
<file path=[Content_Types].xml><?xml version="1.0" encoding="utf-8"?>
<Types xmlns="http://schemas.openxmlformats.org/package/2006/content-types">
  <Default Extension="bin" ContentType="application/vnd.openxmlformats-officedocument.oleObject"/>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pivotTables/pivotTable2.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24226"/>
  <mc:AlternateContent xmlns:mc="http://schemas.openxmlformats.org/markup-compatibility/2006">
    <mc:Choice Requires="x15">
      <x15ac:absPath xmlns:x15ac="http://schemas.microsoft.com/office/spreadsheetml/2010/11/ac" url="C:\Users\端木辰\Desktop\经管机\经管机-模拟试卷\经管机23-24-2期中卷_1\"/>
    </mc:Choice>
  </mc:AlternateContent>
  <xr:revisionPtr revIDLastSave="0" documentId="13_ncr:1_{512D0CB7-F0DB-4F33-804B-5648B3BD2C1F}" xr6:coauthVersionLast="47" xr6:coauthVersionMax="47" xr10:uidLastSave="{00000000-0000-0000-0000-000000000000}"/>
  <bookViews>
    <workbookView xWindow="-108" yWindow="-108" windowWidth="23256" windowHeight="12456" tabRatio="692" activeTab="8" xr2:uid="{00000000-000D-0000-FFFF-FFFF00000000}"/>
  </bookViews>
  <sheets>
    <sheet name="考试须知" sheetId="33" r:id="rId1"/>
    <sheet name="A公司销售数据" sheetId="32" r:id="rId2"/>
    <sheet name="第1题" sheetId="23" r:id="rId3"/>
    <sheet name="第2题" sheetId="24" r:id="rId4"/>
    <sheet name="第3题 " sheetId="25" r:id="rId5"/>
    <sheet name="第4题" sheetId="26" r:id="rId6"/>
    <sheet name="第5题" sheetId="27" r:id="rId7"/>
    <sheet name="第6题" sheetId="28" r:id="rId8"/>
    <sheet name="第7题" sheetId="30" r:id="rId9"/>
  </sheets>
  <definedNames>
    <definedName name="_xlnm._FilterDatabase" localSheetId="3" hidden="1">第2题!#REF!</definedName>
    <definedName name="_xlnm._FilterDatabase" localSheetId="4" hidden="1">'第3题 '!$C:$C</definedName>
    <definedName name="_xlnm._FilterDatabase" localSheetId="5" hidden="1">第4题!$E:$E</definedName>
    <definedName name="solver_adj" localSheetId="8" hidden="1">第7题!$H$8:$H$9</definedName>
    <definedName name="solver_cvg" localSheetId="8" hidden="1">0.0001</definedName>
    <definedName name="solver_drv" localSheetId="8" hidden="1">2</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2</definedName>
    <definedName name="solver_nod" localSheetId="8" hidden="1">2147483647</definedName>
    <definedName name="solver_num" localSheetId="8" hidden="1">0</definedName>
    <definedName name="solver_nwt" localSheetId="8" hidden="1">1</definedName>
    <definedName name="solver_opt" localSheetId="8" hidden="1">第7题!$I$10</definedName>
    <definedName name="solver_pre" localSheetId="8" hidden="1">0.000001</definedName>
    <definedName name="solver_rbv" localSheetId="8" hidden="1">2</definedName>
    <definedName name="solver_rlx" localSheetId="8" hidden="1">2</definedName>
    <definedName name="solver_rsd" localSheetId="8" hidden="1">0</definedName>
    <definedName name="solver_scl" localSheetId="8" hidden="1">2</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2</definedName>
    <definedName name="solver_val" localSheetId="8" hidden="1">0</definedName>
    <definedName name="solver_ver" localSheetId="8" hidden="1">3</definedName>
    <definedName name="查询来自_MS_Access_Database" localSheetId="2" hidden="1">第1题!#REF!</definedName>
    <definedName name="查询来自_MS_Access_Database" localSheetId="4" hidden="1">'第3题 '!#REF!</definedName>
    <definedName name="查询来自_northwind" localSheetId="2" hidden="1">第1题!$A$1:$C$6</definedName>
    <definedName name="查询来自_northwind" localSheetId="4" hidden="1">'第3题 '!$A$1:$D$2158</definedName>
    <definedName name="_xlnm.Extract" localSheetId="4">'第3题 '!$H$1</definedName>
    <definedName name="_xlnm.Extract" localSheetId="5">第4题!$N$1</definedName>
  </definedNames>
  <calcPr calcId="191029"/>
  <pivotCaches>
    <pivotCache cacheId="7" r:id="rId10"/>
    <pivotCache cacheId="1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30" l="1"/>
  <c r="E27" i="30"/>
  <c r="H10" i="30"/>
  <c r="H9" i="30"/>
  <c r="H8" i="30"/>
  <c r="E4" i="30"/>
  <c r="E5" i="30"/>
  <c r="E6" i="30"/>
  <c r="E7" i="30"/>
  <c r="E8" i="30"/>
  <c r="E9" i="30"/>
  <c r="E10" i="30"/>
  <c r="E11" i="30"/>
  <c r="E12" i="30"/>
  <c r="E13" i="30"/>
  <c r="E14" i="30"/>
  <c r="E15" i="30"/>
  <c r="E16" i="30"/>
  <c r="E17" i="30"/>
  <c r="E18" i="30"/>
  <c r="E19" i="30"/>
  <c r="E20" i="30"/>
  <c r="E21" i="30"/>
  <c r="E22" i="30"/>
  <c r="E23" i="30"/>
  <c r="E24" i="30"/>
  <c r="E25" i="30"/>
  <c r="E26" i="30"/>
  <c r="E3" i="30"/>
  <c r="H5" i="30"/>
  <c r="H4" i="30"/>
  <c r="H3" i="30"/>
  <c r="G6" i="28" l="1" a="1"/>
  <c r="G6" i="28" s="1"/>
  <c r="G7" i="28"/>
  <c r="G8" i="28"/>
  <c r="G9" i="28"/>
  <c r="G10" i="28" a="1"/>
  <c r="G10" i="28" s="1"/>
  <c r="G13" i="28"/>
  <c r="G14" i="28" a="1"/>
  <c r="G15" i="28" s="1"/>
  <c r="G14" i="28"/>
  <c r="G17" i="28"/>
  <c r="G18" i="28" a="1"/>
  <c r="G18" i="28" s="1"/>
  <c r="G2" i="28" a="1"/>
  <c r="G2" i="28" s="1"/>
  <c r="F6" i="28" a="1"/>
  <c r="F6" i="28" s="1"/>
  <c r="F10" i="28" a="1"/>
  <c r="F10" i="28" s="1"/>
  <c r="F14" i="28" a="1"/>
  <c r="F14" i="28" s="1"/>
  <c r="F18" i="28" a="1"/>
  <c r="F18" i="28" s="1"/>
  <c r="F2" i="28" a="1"/>
  <c r="F2" i="28" s="1"/>
  <c r="E6" i="28" a="1"/>
  <c r="E6" i="28" s="1"/>
  <c r="E10" i="28" a="1"/>
  <c r="E10" i="28" s="1"/>
  <c r="E14" i="28" a="1"/>
  <c r="E14" i="28"/>
  <c r="E18" i="28" a="1"/>
  <c r="E18" i="28"/>
  <c r="E2" i="28" a="1"/>
  <c r="E2" i="28" s="1"/>
  <c r="K3" i="28"/>
  <c r="K4" i="28"/>
  <c r="K5" i="28"/>
  <c r="K2" i="28"/>
  <c r="J5" i="28"/>
  <c r="J4" i="28"/>
  <c r="J3" i="28"/>
  <c r="J2" i="28"/>
  <c r="E14" i="27"/>
  <c r="E19" i="27" s="1"/>
  <c r="H3" i="27"/>
  <c r="H4" i="27"/>
  <c r="H5" i="27"/>
  <c r="H6" i="27"/>
  <c r="H7" i="27"/>
  <c r="H8" i="27"/>
  <c r="H9" i="27"/>
  <c r="H10" i="27"/>
  <c r="H11" i="27"/>
  <c r="H12" i="27"/>
  <c r="H13" i="27"/>
  <c r="H2" i="27"/>
  <c r="G3" i="27"/>
  <c r="G4" i="27"/>
  <c r="G5" i="27"/>
  <c r="G6" i="27"/>
  <c r="G7" i="27"/>
  <c r="G8" i="27"/>
  <c r="G9" i="27"/>
  <c r="G10" i="27"/>
  <c r="G11" i="27"/>
  <c r="G12" i="27"/>
  <c r="G13" i="27"/>
  <c r="G2" i="27"/>
  <c r="F3" i="27"/>
  <c r="F4" i="27"/>
  <c r="F5" i="27"/>
  <c r="F6" i="27"/>
  <c r="F7" i="27"/>
  <c r="F8" i="27"/>
  <c r="F9" i="27"/>
  <c r="F10" i="27"/>
  <c r="F11" i="27"/>
  <c r="F12" i="27"/>
  <c r="F13" i="27"/>
  <c r="F2" i="27"/>
  <c r="E3" i="27"/>
  <c r="E4" i="27"/>
  <c r="E5" i="27"/>
  <c r="E6" i="27"/>
  <c r="E7" i="27"/>
  <c r="E8" i="27"/>
  <c r="E9" i="27"/>
  <c r="E10" i="27"/>
  <c r="E11" i="27"/>
  <c r="E12" i="27"/>
  <c r="E13" i="27"/>
  <c r="E2" i="27"/>
  <c r="D2" i="27"/>
  <c r="D3" i="27"/>
  <c r="D4" i="27"/>
  <c r="D5" i="27"/>
  <c r="D6" i="27"/>
  <c r="D7" i="27"/>
  <c r="D8" i="27"/>
  <c r="D9" i="27"/>
  <c r="D10" i="27"/>
  <c r="D11" i="27"/>
  <c r="D12" i="27"/>
  <c r="D13" i="27"/>
  <c r="P13" i="26"/>
  <c r="Q2" i="26" a="1"/>
  <c r="Q2" i="26" s="1"/>
  <c r="M13" i="26" s="1"/>
  <c r="K3" i="26"/>
  <c r="K4" i="26"/>
  <c r="K2" i="26"/>
  <c r="Q1" i="26"/>
  <c r="P1"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8"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D641" i="26"/>
  <c r="D642" i="26"/>
  <c r="D643" i="26"/>
  <c r="D644" i="26"/>
  <c r="D645" i="26"/>
  <c r="D646" i="26"/>
  <c r="D647" i="26"/>
  <c r="D648" i="26"/>
  <c r="D649" i="26"/>
  <c r="D650" i="26"/>
  <c r="D651" i="26"/>
  <c r="D652" i="26"/>
  <c r="D653" i="26"/>
  <c r="D654" i="26"/>
  <c r="D655" i="26"/>
  <c r="D656" i="26"/>
  <c r="D657" i="26"/>
  <c r="D658" i="26"/>
  <c r="D659" i="26"/>
  <c r="D660" i="26"/>
  <c r="D661" i="26"/>
  <c r="D662" i="26"/>
  <c r="D663" i="26"/>
  <c r="D664" i="26"/>
  <c r="D665" i="26"/>
  <c r="D666" i="26"/>
  <c r="D667" i="26"/>
  <c r="D668" i="26"/>
  <c r="D669" i="26"/>
  <c r="D670" i="26"/>
  <c r="D671" i="26"/>
  <c r="D672" i="26"/>
  <c r="D673" i="26"/>
  <c r="D674" i="26"/>
  <c r="D675" i="26"/>
  <c r="D676" i="26"/>
  <c r="D677" i="26"/>
  <c r="D678" i="26"/>
  <c r="D679" i="26"/>
  <c r="D680" i="26"/>
  <c r="D681" i="26"/>
  <c r="D682" i="26"/>
  <c r="D683" i="26"/>
  <c r="D684" i="26"/>
  <c r="D685" i="26"/>
  <c r="D686" i="26"/>
  <c r="D687" i="26"/>
  <c r="D688" i="26"/>
  <c r="D689" i="26"/>
  <c r="D690" i="26"/>
  <c r="D691" i="26"/>
  <c r="D692" i="26"/>
  <c r="D693" i="26"/>
  <c r="D694" i="26"/>
  <c r="D695" i="26"/>
  <c r="D696" i="26"/>
  <c r="D697" i="26"/>
  <c r="D698" i="26"/>
  <c r="D699" i="26"/>
  <c r="D700" i="26"/>
  <c r="D701" i="26"/>
  <c r="D702" i="26"/>
  <c r="D703" i="26"/>
  <c r="D704" i="26"/>
  <c r="D705" i="26"/>
  <c r="D706" i="26"/>
  <c r="D707" i="26"/>
  <c r="D708" i="26"/>
  <c r="D709" i="26"/>
  <c r="D710" i="26"/>
  <c r="D711" i="26"/>
  <c r="D712" i="26"/>
  <c r="D713" i="26"/>
  <c r="D714" i="26"/>
  <c r="D715" i="26"/>
  <c r="D716" i="26"/>
  <c r="D717" i="26"/>
  <c r="D718" i="26"/>
  <c r="D719" i="26"/>
  <c r="D720" i="26"/>
  <c r="D721" i="26"/>
  <c r="D722" i="26"/>
  <c r="D723" i="26"/>
  <c r="D724" i="26"/>
  <c r="D725" i="26"/>
  <c r="D726" i="26"/>
  <c r="D727" i="26"/>
  <c r="D728" i="26"/>
  <c r="D729" i="26"/>
  <c r="D730" i="26"/>
  <c r="D731" i="26"/>
  <c r="D732" i="26"/>
  <c r="D733" i="26"/>
  <c r="D734" i="26"/>
  <c r="D735" i="26"/>
  <c r="D736" i="26"/>
  <c r="D737" i="26"/>
  <c r="D738" i="26"/>
  <c r="D739" i="26"/>
  <c r="D740" i="26"/>
  <c r="D741" i="26"/>
  <c r="D742" i="26"/>
  <c r="D743" i="26"/>
  <c r="D744" i="26"/>
  <c r="D745" i="26"/>
  <c r="D746" i="26"/>
  <c r="D747" i="26"/>
  <c r="D748" i="26"/>
  <c r="D749" i="26"/>
  <c r="D750" i="26"/>
  <c r="D751" i="26"/>
  <c r="D752" i="26"/>
  <c r="D753" i="26"/>
  <c r="D754" i="26"/>
  <c r="D755" i="26"/>
  <c r="D756" i="26"/>
  <c r="D757" i="26"/>
  <c r="D758" i="26"/>
  <c r="D759" i="26"/>
  <c r="D760" i="26"/>
  <c r="D761" i="26"/>
  <c r="D762" i="26"/>
  <c r="D763" i="26"/>
  <c r="D764" i="26"/>
  <c r="D765" i="26"/>
  <c r="D766" i="26"/>
  <c r="D767" i="26"/>
  <c r="D768" i="26"/>
  <c r="D769" i="26"/>
  <c r="D770" i="26"/>
  <c r="D771" i="26"/>
  <c r="D772" i="26"/>
  <c r="D773" i="26"/>
  <c r="D774" i="26"/>
  <c r="D775" i="26"/>
  <c r="D776" i="26"/>
  <c r="D777" i="26"/>
  <c r="D778" i="26"/>
  <c r="D779" i="26"/>
  <c r="D780" i="26"/>
  <c r="D781" i="26"/>
  <c r="D782" i="26"/>
  <c r="D783" i="26"/>
  <c r="D784" i="26"/>
  <c r="D785" i="26"/>
  <c r="D786" i="26"/>
  <c r="D787" i="26"/>
  <c r="D788" i="26"/>
  <c r="D789" i="26"/>
  <c r="D790" i="26"/>
  <c r="D791" i="26"/>
  <c r="D792" i="26"/>
  <c r="D793" i="26"/>
  <c r="D794" i="26"/>
  <c r="D795" i="26"/>
  <c r="D796" i="26"/>
  <c r="D797" i="26"/>
  <c r="D798" i="26"/>
  <c r="D799" i="26"/>
  <c r="D800" i="26"/>
  <c r="D801" i="26"/>
  <c r="D802" i="26"/>
  <c r="D803" i="26"/>
  <c r="D804" i="26"/>
  <c r="D805" i="26"/>
  <c r="D806" i="26"/>
  <c r="D807" i="26"/>
  <c r="D808" i="26"/>
  <c r="D809" i="26"/>
  <c r="D810" i="26"/>
  <c r="D811" i="26"/>
  <c r="D812" i="26"/>
  <c r="D813" i="26"/>
  <c r="D814" i="26"/>
  <c r="D815" i="26"/>
  <c r="D816" i="26"/>
  <c r="D817" i="26"/>
  <c r="D818" i="26"/>
  <c r="D819" i="26"/>
  <c r="D820" i="26"/>
  <c r="D821" i="26"/>
  <c r="D822" i="26"/>
  <c r="D823" i="26"/>
  <c r="D824" i="26"/>
  <c r="D825" i="26"/>
  <c r="D826" i="26"/>
  <c r="D827" i="26"/>
  <c r="D828" i="26"/>
  <c r="D829" i="26"/>
  <c r="D830" i="26"/>
  <c r="D831" i="26"/>
  <c r="D832" i="26"/>
  <c r="D833" i="26"/>
  <c r="D834" i="26"/>
  <c r="D835" i="26"/>
  <c r="D836" i="26"/>
  <c r="D837" i="26"/>
  <c r="D838" i="26"/>
  <c r="D839" i="26"/>
  <c r="D840" i="26"/>
  <c r="D841" i="26"/>
  <c r="D842" i="26"/>
  <c r="D843" i="26"/>
  <c r="D844" i="26"/>
  <c r="D845" i="26"/>
  <c r="D846" i="26"/>
  <c r="D847" i="26"/>
  <c r="D848" i="26"/>
  <c r="D849" i="26"/>
  <c r="D850" i="26"/>
  <c r="D851" i="26"/>
  <c r="D852" i="26"/>
  <c r="D853" i="26"/>
  <c r="D854" i="26"/>
  <c r="D855" i="26"/>
  <c r="D856" i="26"/>
  <c r="D857" i="26"/>
  <c r="D858" i="26"/>
  <c r="D859" i="26"/>
  <c r="D860" i="26"/>
  <c r="D861" i="26"/>
  <c r="D862" i="26"/>
  <c r="D863" i="26"/>
  <c r="D864" i="26"/>
  <c r="D865" i="26"/>
  <c r="D866" i="26"/>
  <c r="D867" i="26"/>
  <c r="D868" i="26"/>
  <c r="D869" i="26"/>
  <c r="D870" i="26"/>
  <c r="D871" i="26"/>
  <c r="D872" i="26"/>
  <c r="D873" i="26"/>
  <c r="D874" i="26"/>
  <c r="D875" i="26"/>
  <c r="D876" i="26"/>
  <c r="D877" i="26"/>
  <c r="D878" i="26"/>
  <c r="D879" i="26"/>
  <c r="D880" i="26"/>
  <c r="D881" i="26"/>
  <c r="D882" i="26"/>
  <c r="D883" i="26"/>
  <c r="D884" i="26"/>
  <c r="D885" i="26"/>
  <c r="D886" i="26"/>
  <c r="D887" i="26"/>
  <c r="D888" i="26"/>
  <c r="D889" i="26"/>
  <c r="D890" i="26"/>
  <c r="D891" i="26"/>
  <c r="D892" i="26"/>
  <c r="D893" i="26"/>
  <c r="D894" i="26"/>
  <c r="D895" i="26"/>
  <c r="D896" i="26"/>
  <c r="D897" i="26"/>
  <c r="D898" i="26"/>
  <c r="D899" i="26"/>
  <c r="D900" i="26"/>
  <c r="D901" i="26"/>
  <c r="D902" i="26"/>
  <c r="D903" i="26"/>
  <c r="D904" i="26"/>
  <c r="D905" i="26"/>
  <c r="D906" i="26"/>
  <c r="D907" i="26"/>
  <c r="D908" i="26"/>
  <c r="D909" i="26"/>
  <c r="D910" i="26"/>
  <c r="D911" i="26"/>
  <c r="D912" i="26"/>
  <c r="D913" i="26"/>
  <c r="D914" i="26"/>
  <c r="D915" i="26"/>
  <c r="D916" i="26"/>
  <c r="D917" i="26"/>
  <c r="D918" i="26"/>
  <c r="D919" i="26"/>
  <c r="D920" i="26"/>
  <c r="D921" i="26"/>
  <c r="D922" i="26"/>
  <c r="D923" i="26"/>
  <c r="D924" i="26"/>
  <c r="D925" i="26"/>
  <c r="D926" i="26"/>
  <c r="D927" i="26"/>
  <c r="D928" i="26"/>
  <c r="D929" i="26"/>
  <c r="D930" i="26"/>
  <c r="D931" i="26"/>
  <c r="D932" i="26"/>
  <c r="D933" i="26"/>
  <c r="D934" i="26"/>
  <c r="D935" i="26"/>
  <c r="D936" i="26"/>
  <c r="D937" i="26"/>
  <c r="D938" i="26"/>
  <c r="D939" i="26"/>
  <c r="D940" i="26"/>
  <c r="D941" i="26"/>
  <c r="D942" i="26"/>
  <c r="D943" i="26"/>
  <c r="D944" i="26"/>
  <c r="D945" i="26"/>
  <c r="D946" i="26"/>
  <c r="D947" i="26"/>
  <c r="D948" i="26"/>
  <c r="D949" i="26"/>
  <c r="D950" i="26"/>
  <c r="D951" i="26"/>
  <c r="D952" i="26"/>
  <c r="D953" i="26"/>
  <c r="D954" i="26"/>
  <c r="D955" i="26"/>
  <c r="D956" i="26"/>
  <c r="D957" i="26"/>
  <c r="D958" i="26"/>
  <c r="D959" i="26"/>
  <c r="D960" i="26"/>
  <c r="D961" i="26"/>
  <c r="D962" i="26"/>
  <c r="D963" i="26"/>
  <c r="D964" i="26"/>
  <c r="D965" i="26"/>
  <c r="D966" i="26"/>
  <c r="D967" i="26"/>
  <c r="D968" i="26"/>
  <c r="D969" i="26"/>
  <c r="D970" i="26"/>
  <c r="D971" i="26"/>
  <c r="D972" i="26"/>
  <c r="D973" i="26"/>
  <c r="D974" i="26"/>
  <c r="D975" i="26"/>
  <c r="D976" i="26"/>
  <c r="D977" i="26"/>
  <c r="D978" i="26"/>
  <c r="D979" i="26"/>
  <c r="D980" i="26"/>
  <c r="D981" i="26"/>
  <c r="D982" i="26"/>
  <c r="D983" i="26"/>
  <c r="D984" i="26"/>
  <c r="D985" i="26"/>
  <c r="D986" i="26"/>
  <c r="D987" i="26"/>
  <c r="D988" i="26"/>
  <c r="D989" i="26"/>
  <c r="D990" i="26"/>
  <c r="D991" i="26"/>
  <c r="D992" i="26"/>
  <c r="D993" i="26"/>
  <c r="D994" i="26"/>
  <c r="D995" i="26"/>
  <c r="D996" i="26"/>
  <c r="D997" i="26"/>
  <c r="D998" i="26"/>
  <c r="D999" i="26"/>
  <c r="D1000" i="26"/>
  <c r="D1001" i="26"/>
  <c r="D1002" i="26"/>
  <c r="D1003" i="26"/>
  <c r="D1004" i="26"/>
  <c r="D1005" i="26"/>
  <c r="D1006" i="26"/>
  <c r="D1007" i="26"/>
  <c r="D1008" i="26"/>
  <c r="D1009" i="26"/>
  <c r="D1010" i="26"/>
  <c r="D1011" i="26"/>
  <c r="D1012" i="26"/>
  <c r="D1013" i="26"/>
  <c r="D1014" i="26"/>
  <c r="D1015" i="26"/>
  <c r="D1016" i="26"/>
  <c r="D1017" i="26"/>
  <c r="D1018" i="26"/>
  <c r="D1019" i="26"/>
  <c r="D1020" i="26"/>
  <c r="D1021" i="26"/>
  <c r="D1022" i="26"/>
  <c r="D1023" i="26"/>
  <c r="D1024" i="26"/>
  <c r="D1025" i="26"/>
  <c r="D1026" i="26"/>
  <c r="D1027" i="26"/>
  <c r="D1028" i="26"/>
  <c r="D1029" i="26"/>
  <c r="D1030" i="26"/>
  <c r="D1031" i="26"/>
  <c r="D1032" i="26"/>
  <c r="D1033" i="26"/>
  <c r="D1034" i="26"/>
  <c r="D1035" i="26"/>
  <c r="D1036" i="26"/>
  <c r="D1037" i="26"/>
  <c r="D1038" i="26"/>
  <c r="D1039" i="26"/>
  <c r="D1040" i="26"/>
  <c r="D1041" i="26"/>
  <c r="D1042" i="26"/>
  <c r="D1043" i="26"/>
  <c r="D1044" i="26"/>
  <c r="D1045" i="26"/>
  <c r="D1046" i="26"/>
  <c r="D1047" i="26"/>
  <c r="D1048" i="26"/>
  <c r="D1049" i="26"/>
  <c r="D1050" i="26"/>
  <c r="D1051" i="26"/>
  <c r="D1052" i="26"/>
  <c r="D1053" i="26"/>
  <c r="D1054" i="26"/>
  <c r="D1055" i="26"/>
  <c r="D1056" i="26"/>
  <c r="D1057" i="26"/>
  <c r="D1058" i="26"/>
  <c r="D1059" i="26"/>
  <c r="D1060" i="26"/>
  <c r="D1061" i="26"/>
  <c r="D1062" i="26"/>
  <c r="D1063" i="26"/>
  <c r="D1064" i="26"/>
  <c r="D1065" i="26"/>
  <c r="D1066" i="26"/>
  <c r="D1067" i="26"/>
  <c r="D1068" i="26"/>
  <c r="D1069" i="26"/>
  <c r="D1070" i="26"/>
  <c r="D1071" i="26"/>
  <c r="D1072" i="26"/>
  <c r="D1073" i="26"/>
  <c r="D1074" i="26"/>
  <c r="D1075" i="26"/>
  <c r="D1076" i="26"/>
  <c r="D1077" i="26"/>
  <c r="D1078" i="26"/>
  <c r="D1079" i="26"/>
  <c r="D1080" i="26"/>
  <c r="D1081" i="26"/>
  <c r="D1082" i="26"/>
  <c r="D1083" i="26"/>
  <c r="D1084" i="26"/>
  <c r="D1085" i="26"/>
  <c r="D1086" i="26"/>
  <c r="D1087" i="26"/>
  <c r="D1088" i="26"/>
  <c r="D1089" i="26"/>
  <c r="D1090" i="26"/>
  <c r="D1091" i="26"/>
  <c r="D1092" i="26"/>
  <c r="D1093" i="26"/>
  <c r="D1094" i="26"/>
  <c r="D1095" i="26"/>
  <c r="D1096" i="26"/>
  <c r="D1097" i="26"/>
  <c r="D1098" i="26"/>
  <c r="D1099" i="26"/>
  <c r="D1100" i="26"/>
  <c r="D1101" i="26"/>
  <c r="D1102" i="26"/>
  <c r="D1103" i="26"/>
  <c r="D1104" i="26"/>
  <c r="D1105" i="26"/>
  <c r="D1106" i="26"/>
  <c r="D1107" i="26"/>
  <c r="D1108" i="26"/>
  <c r="D1109" i="26"/>
  <c r="D1110" i="26"/>
  <c r="D1111" i="26"/>
  <c r="D1112" i="26"/>
  <c r="D1113" i="26"/>
  <c r="D1114" i="26"/>
  <c r="D1115" i="26"/>
  <c r="D1116" i="26"/>
  <c r="D1117" i="26"/>
  <c r="D1118" i="26"/>
  <c r="D1119" i="26"/>
  <c r="D1120" i="26"/>
  <c r="D1121" i="26"/>
  <c r="D1122" i="26"/>
  <c r="D1123" i="26"/>
  <c r="D1124" i="26"/>
  <c r="D1125" i="26"/>
  <c r="D1126" i="26"/>
  <c r="D1127" i="26"/>
  <c r="D1128" i="26"/>
  <c r="D1129" i="26"/>
  <c r="D1130" i="26"/>
  <c r="D1131" i="26"/>
  <c r="D1132" i="26"/>
  <c r="D1133" i="26"/>
  <c r="D1134" i="26"/>
  <c r="D1135" i="26"/>
  <c r="D1136" i="26"/>
  <c r="D1137" i="26"/>
  <c r="D1138" i="26"/>
  <c r="D1139" i="26"/>
  <c r="D1140" i="26"/>
  <c r="D1141" i="26"/>
  <c r="D1142" i="26"/>
  <c r="D1143" i="26"/>
  <c r="D1144" i="26"/>
  <c r="D1145" i="26"/>
  <c r="D1146" i="26"/>
  <c r="D1147" i="26"/>
  <c r="D1148" i="26"/>
  <c r="D1149" i="26"/>
  <c r="D1150" i="26"/>
  <c r="D1151" i="26"/>
  <c r="D2" i="26"/>
  <c r="C3" i="26"/>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C641" i="26"/>
  <c r="C642" i="26"/>
  <c r="C643" i="26"/>
  <c r="C644" i="26"/>
  <c r="C645" i="26"/>
  <c r="C646" i="26"/>
  <c r="C647" i="26"/>
  <c r="C648" i="26"/>
  <c r="C649" i="26"/>
  <c r="C650" i="26"/>
  <c r="C651" i="26"/>
  <c r="C652" i="26"/>
  <c r="C653" i="26"/>
  <c r="C654" i="26"/>
  <c r="C655" i="26"/>
  <c r="C656" i="26"/>
  <c r="C657" i="26"/>
  <c r="C658" i="26"/>
  <c r="C659" i="26"/>
  <c r="C660" i="26"/>
  <c r="C661" i="26"/>
  <c r="C662" i="26"/>
  <c r="C663" i="26"/>
  <c r="C664" i="26"/>
  <c r="C665" i="26"/>
  <c r="C666" i="26"/>
  <c r="C667" i="26"/>
  <c r="C668" i="26"/>
  <c r="C669" i="26"/>
  <c r="C670" i="26"/>
  <c r="C671" i="26"/>
  <c r="C672" i="26"/>
  <c r="C673" i="26"/>
  <c r="C674" i="26"/>
  <c r="C675" i="26"/>
  <c r="C676" i="26"/>
  <c r="C677" i="26"/>
  <c r="C678" i="26"/>
  <c r="C679" i="26"/>
  <c r="C680" i="26"/>
  <c r="C681" i="26"/>
  <c r="C682" i="26"/>
  <c r="C683" i="26"/>
  <c r="C684" i="26"/>
  <c r="C685" i="26"/>
  <c r="C686" i="26"/>
  <c r="C687" i="26"/>
  <c r="C688" i="26"/>
  <c r="C689" i="26"/>
  <c r="C690" i="26"/>
  <c r="C691" i="26"/>
  <c r="C692" i="26"/>
  <c r="C693" i="26"/>
  <c r="C694" i="26"/>
  <c r="C695" i="26"/>
  <c r="C696" i="26"/>
  <c r="C697" i="26"/>
  <c r="C698" i="26"/>
  <c r="C699" i="26"/>
  <c r="C700" i="26"/>
  <c r="C701" i="26"/>
  <c r="C702" i="26"/>
  <c r="C703" i="26"/>
  <c r="C704" i="26"/>
  <c r="C705" i="26"/>
  <c r="C706" i="26"/>
  <c r="C707" i="26"/>
  <c r="C708" i="26"/>
  <c r="C709" i="26"/>
  <c r="C710" i="26"/>
  <c r="C711" i="26"/>
  <c r="C712" i="26"/>
  <c r="C713" i="26"/>
  <c r="C714" i="26"/>
  <c r="C715" i="26"/>
  <c r="C716" i="26"/>
  <c r="C717" i="26"/>
  <c r="C718" i="26"/>
  <c r="C719" i="26"/>
  <c r="C720" i="26"/>
  <c r="C721" i="26"/>
  <c r="C722" i="26"/>
  <c r="C723" i="26"/>
  <c r="C724" i="26"/>
  <c r="C725" i="26"/>
  <c r="C726" i="26"/>
  <c r="C727" i="26"/>
  <c r="C728" i="26"/>
  <c r="C729" i="26"/>
  <c r="C730" i="26"/>
  <c r="C731" i="26"/>
  <c r="C732" i="26"/>
  <c r="C733" i="26"/>
  <c r="C734" i="26"/>
  <c r="C735" i="26"/>
  <c r="C736" i="26"/>
  <c r="C737" i="26"/>
  <c r="C738" i="26"/>
  <c r="C739" i="26"/>
  <c r="C740" i="26"/>
  <c r="C741" i="26"/>
  <c r="C742" i="26"/>
  <c r="C743" i="26"/>
  <c r="C744" i="26"/>
  <c r="C745" i="26"/>
  <c r="C746" i="26"/>
  <c r="C747" i="26"/>
  <c r="C748" i="26"/>
  <c r="C749" i="26"/>
  <c r="C750" i="26"/>
  <c r="C751" i="26"/>
  <c r="C752" i="26"/>
  <c r="C753" i="26"/>
  <c r="C754" i="26"/>
  <c r="C755" i="26"/>
  <c r="C756" i="26"/>
  <c r="C757" i="26"/>
  <c r="C758" i="26"/>
  <c r="C759" i="26"/>
  <c r="C760" i="26"/>
  <c r="C761" i="26"/>
  <c r="C762" i="26"/>
  <c r="C763" i="26"/>
  <c r="C764" i="26"/>
  <c r="C765" i="26"/>
  <c r="C766" i="26"/>
  <c r="C767" i="26"/>
  <c r="C768" i="26"/>
  <c r="C769" i="26"/>
  <c r="C770" i="26"/>
  <c r="C771" i="26"/>
  <c r="C772" i="26"/>
  <c r="C773" i="26"/>
  <c r="C774" i="26"/>
  <c r="C775" i="26"/>
  <c r="C776" i="26"/>
  <c r="C777" i="26"/>
  <c r="C778" i="26"/>
  <c r="C779" i="26"/>
  <c r="C780" i="26"/>
  <c r="C781" i="26"/>
  <c r="C782" i="26"/>
  <c r="C783" i="26"/>
  <c r="C784" i="26"/>
  <c r="C785" i="26"/>
  <c r="C786" i="26"/>
  <c r="C787" i="26"/>
  <c r="C788" i="26"/>
  <c r="C789" i="26"/>
  <c r="C790" i="26"/>
  <c r="C791" i="26"/>
  <c r="C792" i="26"/>
  <c r="C793" i="26"/>
  <c r="C794" i="26"/>
  <c r="C795" i="26"/>
  <c r="C796" i="26"/>
  <c r="C797" i="26"/>
  <c r="C798" i="26"/>
  <c r="C799" i="26"/>
  <c r="C800" i="26"/>
  <c r="C801" i="26"/>
  <c r="C802" i="26"/>
  <c r="C803" i="26"/>
  <c r="C804" i="26"/>
  <c r="C805" i="26"/>
  <c r="C806" i="26"/>
  <c r="C807" i="26"/>
  <c r="C808" i="26"/>
  <c r="C809" i="26"/>
  <c r="C810" i="26"/>
  <c r="C811" i="26"/>
  <c r="C812" i="26"/>
  <c r="C813" i="26"/>
  <c r="C814" i="26"/>
  <c r="C815" i="26"/>
  <c r="C816" i="26"/>
  <c r="C817" i="26"/>
  <c r="C818" i="26"/>
  <c r="C819" i="26"/>
  <c r="C820" i="26"/>
  <c r="C821" i="26"/>
  <c r="C822" i="26"/>
  <c r="C823" i="26"/>
  <c r="C824" i="26"/>
  <c r="C825" i="26"/>
  <c r="C826" i="26"/>
  <c r="C827" i="26"/>
  <c r="C828" i="26"/>
  <c r="C829" i="26"/>
  <c r="C830" i="26"/>
  <c r="C831" i="26"/>
  <c r="C832" i="26"/>
  <c r="C833" i="26"/>
  <c r="C834" i="26"/>
  <c r="C835" i="26"/>
  <c r="C836" i="26"/>
  <c r="C837" i="26"/>
  <c r="C838" i="26"/>
  <c r="C839" i="26"/>
  <c r="C840" i="26"/>
  <c r="C841" i="26"/>
  <c r="C842" i="26"/>
  <c r="C843" i="26"/>
  <c r="C844" i="26"/>
  <c r="C845" i="26"/>
  <c r="C846" i="26"/>
  <c r="C847" i="26"/>
  <c r="C848" i="26"/>
  <c r="C849" i="26"/>
  <c r="C850" i="26"/>
  <c r="C851" i="26"/>
  <c r="C852" i="26"/>
  <c r="C853" i="26"/>
  <c r="C854" i="26"/>
  <c r="C855" i="26"/>
  <c r="C856" i="26"/>
  <c r="C857" i="26"/>
  <c r="C858" i="26"/>
  <c r="C859" i="26"/>
  <c r="C860" i="26"/>
  <c r="C861" i="26"/>
  <c r="C862" i="26"/>
  <c r="C863" i="26"/>
  <c r="C864" i="26"/>
  <c r="C865" i="26"/>
  <c r="C866" i="26"/>
  <c r="C867" i="26"/>
  <c r="C868" i="26"/>
  <c r="C869" i="26"/>
  <c r="C870" i="26"/>
  <c r="C871" i="26"/>
  <c r="C872" i="26"/>
  <c r="C873" i="26"/>
  <c r="C874" i="26"/>
  <c r="C875" i="26"/>
  <c r="C876" i="26"/>
  <c r="C877" i="26"/>
  <c r="C878" i="26"/>
  <c r="C879" i="26"/>
  <c r="C880" i="26"/>
  <c r="C881" i="26"/>
  <c r="C882" i="26"/>
  <c r="C883" i="26"/>
  <c r="C884" i="26"/>
  <c r="C885" i="26"/>
  <c r="C886" i="26"/>
  <c r="C887" i="26"/>
  <c r="C888" i="26"/>
  <c r="C889" i="26"/>
  <c r="C890" i="26"/>
  <c r="C891" i="26"/>
  <c r="C892" i="26"/>
  <c r="C893" i="26"/>
  <c r="C894" i="26"/>
  <c r="C895" i="26"/>
  <c r="C896" i="26"/>
  <c r="C897" i="26"/>
  <c r="C898" i="26"/>
  <c r="C899" i="26"/>
  <c r="C900" i="26"/>
  <c r="C901" i="26"/>
  <c r="C902" i="26"/>
  <c r="C903" i="26"/>
  <c r="C904" i="26"/>
  <c r="C905" i="26"/>
  <c r="C906" i="26"/>
  <c r="C907" i="26"/>
  <c r="C908" i="26"/>
  <c r="C909" i="26"/>
  <c r="C910" i="26"/>
  <c r="C911" i="26"/>
  <c r="C912" i="26"/>
  <c r="C913" i="26"/>
  <c r="C914" i="26"/>
  <c r="C915" i="26"/>
  <c r="C916" i="26"/>
  <c r="C917" i="26"/>
  <c r="C918" i="26"/>
  <c r="C919" i="26"/>
  <c r="C920" i="26"/>
  <c r="C921" i="26"/>
  <c r="C922" i="26"/>
  <c r="C923" i="26"/>
  <c r="C924" i="26"/>
  <c r="C925" i="26"/>
  <c r="C926" i="26"/>
  <c r="C927" i="26"/>
  <c r="C928" i="26"/>
  <c r="C929" i="26"/>
  <c r="C930" i="26"/>
  <c r="C931" i="26"/>
  <c r="C932" i="26"/>
  <c r="C933" i="26"/>
  <c r="C934" i="26"/>
  <c r="C935" i="26"/>
  <c r="C936" i="26"/>
  <c r="C937" i="26"/>
  <c r="C938" i="26"/>
  <c r="C939" i="26"/>
  <c r="C940" i="26"/>
  <c r="C941" i="26"/>
  <c r="C942" i="26"/>
  <c r="C943" i="26"/>
  <c r="C944" i="26"/>
  <c r="C945" i="26"/>
  <c r="C946" i="26"/>
  <c r="C947" i="26"/>
  <c r="C948" i="26"/>
  <c r="C949" i="26"/>
  <c r="C950" i="26"/>
  <c r="C951" i="26"/>
  <c r="C952" i="26"/>
  <c r="C953" i="26"/>
  <c r="C954" i="26"/>
  <c r="C955" i="26"/>
  <c r="C956" i="26"/>
  <c r="C957" i="26"/>
  <c r="C958" i="26"/>
  <c r="C959" i="26"/>
  <c r="C960" i="26"/>
  <c r="C961" i="26"/>
  <c r="C962" i="26"/>
  <c r="C963" i="26"/>
  <c r="C964" i="26"/>
  <c r="C965" i="26"/>
  <c r="C966" i="26"/>
  <c r="C967" i="26"/>
  <c r="C968" i="26"/>
  <c r="C969" i="26"/>
  <c r="C970" i="26"/>
  <c r="C971" i="26"/>
  <c r="C972" i="26"/>
  <c r="C973" i="26"/>
  <c r="C974" i="26"/>
  <c r="C975" i="26"/>
  <c r="C976" i="26"/>
  <c r="C977" i="26"/>
  <c r="C978" i="26"/>
  <c r="C979" i="26"/>
  <c r="C980" i="26"/>
  <c r="C981" i="26"/>
  <c r="C982" i="26"/>
  <c r="C983" i="26"/>
  <c r="C984" i="26"/>
  <c r="C985" i="26"/>
  <c r="C986" i="26"/>
  <c r="C987" i="26"/>
  <c r="C988" i="26"/>
  <c r="C989" i="26"/>
  <c r="C990" i="26"/>
  <c r="C991" i="26"/>
  <c r="C992" i="26"/>
  <c r="C993" i="26"/>
  <c r="C994" i="26"/>
  <c r="C995" i="26"/>
  <c r="C996" i="26"/>
  <c r="C997" i="26"/>
  <c r="C998" i="26"/>
  <c r="C999" i="26"/>
  <c r="C1000" i="26"/>
  <c r="C1001" i="26"/>
  <c r="C1002" i="26"/>
  <c r="C1003" i="26"/>
  <c r="C1004" i="26"/>
  <c r="C1005" i="26"/>
  <c r="C1006" i="26"/>
  <c r="C1007" i="26"/>
  <c r="C1008" i="26"/>
  <c r="C1009" i="26"/>
  <c r="C1010" i="26"/>
  <c r="C1011" i="26"/>
  <c r="C1012" i="26"/>
  <c r="C1013" i="26"/>
  <c r="C1014" i="26"/>
  <c r="C1015" i="26"/>
  <c r="C1016" i="26"/>
  <c r="C1017" i="26"/>
  <c r="C1018" i="26"/>
  <c r="C1019" i="26"/>
  <c r="C1020" i="26"/>
  <c r="C1021" i="26"/>
  <c r="C1022" i="26"/>
  <c r="C1023" i="26"/>
  <c r="C1024" i="26"/>
  <c r="C1025" i="26"/>
  <c r="C1026" i="26"/>
  <c r="C1027" i="26"/>
  <c r="C1028" i="26"/>
  <c r="C1029" i="26"/>
  <c r="C1030" i="26"/>
  <c r="C1031" i="26"/>
  <c r="C1032" i="26"/>
  <c r="C1033" i="26"/>
  <c r="C1034" i="26"/>
  <c r="C1035" i="26"/>
  <c r="C1036" i="26"/>
  <c r="C1037" i="26"/>
  <c r="C1038" i="26"/>
  <c r="C1039" i="26"/>
  <c r="C1040" i="26"/>
  <c r="C1041" i="26"/>
  <c r="C1042" i="26"/>
  <c r="C1043" i="26"/>
  <c r="C1044" i="26"/>
  <c r="C1045" i="26"/>
  <c r="C1046" i="26"/>
  <c r="C1047" i="26"/>
  <c r="C1048" i="26"/>
  <c r="C1049" i="26"/>
  <c r="C1050" i="26"/>
  <c r="C1051" i="26"/>
  <c r="C1052" i="26"/>
  <c r="C1053" i="26"/>
  <c r="C1054" i="26"/>
  <c r="C1055" i="26"/>
  <c r="C1056" i="26"/>
  <c r="C1057" i="26"/>
  <c r="C1058" i="26"/>
  <c r="C1059" i="26"/>
  <c r="C1060" i="26"/>
  <c r="C1061" i="26"/>
  <c r="C1062" i="26"/>
  <c r="C1063" i="26"/>
  <c r="C1064" i="26"/>
  <c r="C1065" i="26"/>
  <c r="C1066" i="26"/>
  <c r="C1067" i="26"/>
  <c r="C1068" i="26"/>
  <c r="C1069" i="26"/>
  <c r="C1070" i="26"/>
  <c r="C1071" i="26"/>
  <c r="C1072" i="26"/>
  <c r="C1073" i="26"/>
  <c r="C1074" i="26"/>
  <c r="C1075" i="26"/>
  <c r="C1076" i="26"/>
  <c r="C1077" i="26"/>
  <c r="C1078" i="26"/>
  <c r="C1079" i="26"/>
  <c r="C1080" i="26"/>
  <c r="C1081" i="26"/>
  <c r="C1082" i="26"/>
  <c r="C1083" i="26"/>
  <c r="C1084" i="26"/>
  <c r="C1085" i="26"/>
  <c r="C1086" i="26"/>
  <c r="C1087" i="26"/>
  <c r="C1088" i="26"/>
  <c r="C1089" i="26"/>
  <c r="C1090" i="26"/>
  <c r="C1091" i="26"/>
  <c r="C1092" i="26"/>
  <c r="C1093" i="26"/>
  <c r="C1094" i="26"/>
  <c r="C1095" i="26"/>
  <c r="C1096" i="26"/>
  <c r="C1097" i="26"/>
  <c r="C1098" i="26"/>
  <c r="C1099" i="26"/>
  <c r="C1100" i="26"/>
  <c r="C1101" i="26"/>
  <c r="C1102" i="26"/>
  <c r="C1103" i="26"/>
  <c r="C1104" i="26"/>
  <c r="C1105" i="26"/>
  <c r="C1106" i="26"/>
  <c r="C1107" i="26"/>
  <c r="C1108" i="26"/>
  <c r="C1109" i="26"/>
  <c r="C1110" i="26"/>
  <c r="C1111" i="26"/>
  <c r="C1112" i="26"/>
  <c r="C1113" i="26"/>
  <c r="C1114" i="26"/>
  <c r="C1115" i="26"/>
  <c r="C1116" i="26"/>
  <c r="C1117" i="26"/>
  <c r="C1118" i="26"/>
  <c r="C1119" i="26"/>
  <c r="C1120" i="26"/>
  <c r="C1121" i="26"/>
  <c r="C1122" i="26"/>
  <c r="C1123" i="26"/>
  <c r="C1124" i="26"/>
  <c r="C1125" i="26"/>
  <c r="C1126" i="26"/>
  <c r="C1127" i="26"/>
  <c r="C1128" i="26"/>
  <c r="C1129" i="26"/>
  <c r="C1130" i="26"/>
  <c r="C1131" i="26"/>
  <c r="C1132" i="26"/>
  <c r="C1133" i="26"/>
  <c r="C1134" i="26"/>
  <c r="C1135" i="26"/>
  <c r="C1136" i="26"/>
  <c r="C1137" i="26"/>
  <c r="C1138" i="26"/>
  <c r="C1139" i="26"/>
  <c r="C1140" i="26"/>
  <c r="C1141" i="26"/>
  <c r="C1142" i="26"/>
  <c r="C1143" i="26"/>
  <c r="C1144" i="26"/>
  <c r="C1145" i="26"/>
  <c r="C1146" i="26"/>
  <c r="C1147" i="26"/>
  <c r="C1148" i="26"/>
  <c r="C1149" i="26"/>
  <c r="C1150" i="26"/>
  <c r="C1151" i="26"/>
  <c r="C2" i="26"/>
  <c r="K2" i="25"/>
  <c r="P6" i="25"/>
  <c r="P7" i="25"/>
  <c r="P8" i="25"/>
  <c r="P9" i="25"/>
  <c r="P5" i="25"/>
  <c r="L2" i="25" a="1"/>
  <c r="L2" i="25" s="1"/>
  <c r="L4" i="25" s="1"/>
  <c r="L1" i="25"/>
  <c r="K1" i="25"/>
  <c r="C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C341" i="25"/>
  <c r="C342" i="25"/>
  <c r="C343" i="25"/>
  <c r="C344" i="25"/>
  <c r="C345" i="25"/>
  <c r="C346" i="25"/>
  <c r="C347" i="25"/>
  <c r="C348" i="25"/>
  <c r="C349" i="25"/>
  <c r="C350" i="25"/>
  <c r="C351" i="25"/>
  <c r="C352" i="25"/>
  <c r="C353" i="25"/>
  <c r="C354" i="25"/>
  <c r="C355" i="25"/>
  <c r="C356" i="25"/>
  <c r="C357" i="25"/>
  <c r="C358" i="25"/>
  <c r="C359" i="25"/>
  <c r="C360" i="25"/>
  <c r="C361" i="25"/>
  <c r="C362" i="25"/>
  <c r="C363" i="25"/>
  <c r="C364" i="25"/>
  <c r="C365" i="25"/>
  <c r="C366" i="25"/>
  <c r="C367" i="25"/>
  <c r="C368" i="25"/>
  <c r="C369" i="25"/>
  <c r="C370" i="25"/>
  <c r="C371" i="25"/>
  <c r="C372" i="25"/>
  <c r="C373" i="25"/>
  <c r="C374" i="25"/>
  <c r="C375" i="25"/>
  <c r="C376" i="25"/>
  <c r="C377" i="25"/>
  <c r="C378" i="25"/>
  <c r="C379" i="25"/>
  <c r="C380" i="25"/>
  <c r="C381" i="25"/>
  <c r="C382" i="25"/>
  <c r="C383" i="25"/>
  <c r="C384" i="25"/>
  <c r="C385" i="25"/>
  <c r="C386" i="25"/>
  <c r="C387" i="25"/>
  <c r="C388" i="25"/>
  <c r="C389" i="25"/>
  <c r="C390" i="25"/>
  <c r="C391" i="25"/>
  <c r="C392" i="25"/>
  <c r="C393" i="25"/>
  <c r="C394" i="25"/>
  <c r="C395" i="25"/>
  <c r="C396" i="25"/>
  <c r="C397" i="25"/>
  <c r="C398" i="25"/>
  <c r="C399" i="25"/>
  <c r="C400" i="25"/>
  <c r="C401" i="25"/>
  <c r="C402" i="25"/>
  <c r="C403" i="25"/>
  <c r="C404" i="25"/>
  <c r="C405" i="25"/>
  <c r="C406" i="25"/>
  <c r="C407" i="25"/>
  <c r="C408" i="25"/>
  <c r="C409" i="25"/>
  <c r="C410" i="25"/>
  <c r="C411" i="25"/>
  <c r="C412" i="25"/>
  <c r="C413" i="25"/>
  <c r="C414" i="25"/>
  <c r="C415" i="25"/>
  <c r="C416" i="25"/>
  <c r="C417" i="25"/>
  <c r="C418" i="25"/>
  <c r="C419" i="25"/>
  <c r="C420" i="25"/>
  <c r="C421" i="25"/>
  <c r="C422" i="25"/>
  <c r="C423" i="25"/>
  <c r="C424" i="25"/>
  <c r="C425" i="25"/>
  <c r="C426" i="25"/>
  <c r="C427" i="25"/>
  <c r="C428" i="25"/>
  <c r="C429" i="25"/>
  <c r="C430" i="25"/>
  <c r="C431" i="25"/>
  <c r="C432" i="25"/>
  <c r="C433" i="25"/>
  <c r="C434" i="25"/>
  <c r="C435" i="25"/>
  <c r="C436" i="25"/>
  <c r="C437" i="25"/>
  <c r="C438" i="25"/>
  <c r="C439" i="25"/>
  <c r="C440" i="25"/>
  <c r="C441" i="25"/>
  <c r="C442" i="25"/>
  <c r="C443" i="25"/>
  <c r="C444" i="25"/>
  <c r="C445" i="25"/>
  <c r="C446" i="25"/>
  <c r="C447" i="25"/>
  <c r="C448" i="25"/>
  <c r="C449" i="25"/>
  <c r="C450" i="25"/>
  <c r="C451" i="25"/>
  <c r="C452" i="25"/>
  <c r="C453" i="25"/>
  <c r="C454" i="25"/>
  <c r="C455" i="25"/>
  <c r="C456" i="25"/>
  <c r="C457" i="25"/>
  <c r="C458" i="25"/>
  <c r="C459" i="25"/>
  <c r="C460" i="25"/>
  <c r="C461" i="25"/>
  <c r="C462" i="25"/>
  <c r="C463" i="25"/>
  <c r="C464" i="25"/>
  <c r="C465" i="25"/>
  <c r="C466" i="25"/>
  <c r="C467" i="25"/>
  <c r="C468" i="25"/>
  <c r="C469" i="25"/>
  <c r="C470" i="25"/>
  <c r="C471" i="25"/>
  <c r="C472" i="25"/>
  <c r="C473" i="25"/>
  <c r="C474" i="25"/>
  <c r="C475" i="25"/>
  <c r="C476" i="25"/>
  <c r="C477" i="25"/>
  <c r="C478" i="25"/>
  <c r="C479" i="25"/>
  <c r="C480" i="25"/>
  <c r="C481" i="25"/>
  <c r="C482" i="25"/>
  <c r="C483" i="25"/>
  <c r="C484" i="25"/>
  <c r="C485" i="25"/>
  <c r="C486" i="25"/>
  <c r="C487" i="25"/>
  <c r="C488" i="25"/>
  <c r="C489" i="25"/>
  <c r="C490" i="25"/>
  <c r="C491" i="25"/>
  <c r="C492" i="25"/>
  <c r="C493" i="25"/>
  <c r="C494" i="25"/>
  <c r="C495" i="25"/>
  <c r="C496" i="25"/>
  <c r="C497" i="25"/>
  <c r="C498" i="25"/>
  <c r="C499" i="25"/>
  <c r="C500" i="25"/>
  <c r="C501" i="25"/>
  <c r="C502" i="25"/>
  <c r="C503" i="25"/>
  <c r="C504" i="25"/>
  <c r="C505" i="25"/>
  <c r="C506" i="25"/>
  <c r="C507" i="25"/>
  <c r="C508" i="25"/>
  <c r="C509" i="25"/>
  <c r="C510" i="25"/>
  <c r="C511" i="25"/>
  <c r="C512" i="25"/>
  <c r="C513" i="25"/>
  <c r="C514" i="25"/>
  <c r="C515" i="25"/>
  <c r="C516" i="25"/>
  <c r="C517" i="25"/>
  <c r="C518" i="25"/>
  <c r="C519" i="25"/>
  <c r="C520" i="25"/>
  <c r="C521" i="25"/>
  <c r="C522" i="25"/>
  <c r="C523" i="25"/>
  <c r="C524" i="25"/>
  <c r="C525" i="25"/>
  <c r="C526" i="25"/>
  <c r="C527" i="25"/>
  <c r="C528" i="25"/>
  <c r="C529" i="25"/>
  <c r="C530" i="25"/>
  <c r="C531" i="25"/>
  <c r="C532" i="25"/>
  <c r="C533" i="25"/>
  <c r="C534" i="25"/>
  <c r="C535" i="25"/>
  <c r="C536" i="25"/>
  <c r="C537" i="25"/>
  <c r="C538" i="25"/>
  <c r="C539" i="25"/>
  <c r="C540" i="25"/>
  <c r="C541" i="25"/>
  <c r="C542" i="25"/>
  <c r="C543" i="25"/>
  <c r="C544" i="25"/>
  <c r="C545" i="25"/>
  <c r="C546" i="25"/>
  <c r="C547" i="25"/>
  <c r="C548" i="25"/>
  <c r="C549" i="25"/>
  <c r="C550" i="25"/>
  <c r="C551" i="25"/>
  <c r="C552" i="25"/>
  <c r="C553" i="25"/>
  <c r="C554" i="25"/>
  <c r="C555" i="25"/>
  <c r="C556" i="25"/>
  <c r="C557" i="25"/>
  <c r="C558" i="25"/>
  <c r="C559" i="25"/>
  <c r="C560" i="25"/>
  <c r="C561" i="25"/>
  <c r="C562" i="25"/>
  <c r="C563" i="25"/>
  <c r="C564" i="25"/>
  <c r="C565" i="25"/>
  <c r="C566" i="25"/>
  <c r="C567" i="25"/>
  <c r="C568" i="25"/>
  <c r="C569" i="25"/>
  <c r="C570" i="25"/>
  <c r="C571" i="25"/>
  <c r="C572" i="25"/>
  <c r="C573" i="25"/>
  <c r="C574" i="25"/>
  <c r="C575" i="25"/>
  <c r="C576" i="25"/>
  <c r="C577" i="25"/>
  <c r="C578" i="25"/>
  <c r="C579" i="25"/>
  <c r="C580" i="25"/>
  <c r="C581" i="25"/>
  <c r="C582" i="25"/>
  <c r="C583" i="25"/>
  <c r="C584" i="25"/>
  <c r="C585" i="25"/>
  <c r="C586" i="25"/>
  <c r="C587" i="25"/>
  <c r="C588" i="25"/>
  <c r="C589" i="25"/>
  <c r="C590" i="25"/>
  <c r="C591" i="25"/>
  <c r="C592" i="25"/>
  <c r="C593" i="25"/>
  <c r="C594" i="25"/>
  <c r="C595" i="25"/>
  <c r="C596" i="25"/>
  <c r="C597" i="25"/>
  <c r="C598" i="25"/>
  <c r="C599" i="25"/>
  <c r="C600" i="25"/>
  <c r="C601" i="25"/>
  <c r="C602" i="25"/>
  <c r="C603" i="25"/>
  <c r="C604" i="25"/>
  <c r="C605" i="25"/>
  <c r="C606" i="25"/>
  <c r="C607" i="25"/>
  <c r="C608" i="25"/>
  <c r="C609" i="25"/>
  <c r="C610" i="25"/>
  <c r="C611" i="25"/>
  <c r="C612" i="25"/>
  <c r="C613" i="25"/>
  <c r="C614" i="25"/>
  <c r="C615" i="25"/>
  <c r="C616" i="25"/>
  <c r="C617" i="25"/>
  <c r="C618" i="25"/>
  <c r="C619" i="25"/>
  <c r="C620" i="25"/>
  <c r="C621" i="25"/>
  <c r="C622" i="25"/>
  <c r="C623" i="25"/>
  <c r="C624" i="25"/>
  <c r="C625" i="25"/>
  <c r="C626" i="25"/>
  <c r="C627" i="25"/>
  <c r="C628" i="25"/>
  <c r="C629" i="25"/>
  <c r="C630" i="25"/>
  <c r="C631" i="25"/>
  <c r="C632" i="25"/>
  <c r="C633" i="25"/>
  <c r="C634" i="25"/>
  <c r="C635" i="25"/>
  <c r="C636" i="25"/>
  <c r="C637" i="25"/>
  <c r="C638" i="25"/>
  <c r="C639" i="25"/>
  <c r="C640" i="25"/>
  <c r="C641" i="25"/>
  <c r="C642" i="25"/>
  <c r="C643" i="25"/>
  <c r="C644" i="25"/>
  <c r="C645" i="25"/>
  <c r="C646" i="25"/>
  <c r="C647" i="25"/>
  <c r="C648" i="25"/>
  <c r="C649" i="25"/>
  <c r="C650" i="25"/>
  <c r="C651" i="25"/>
  <c r="C652" i="25"/>
  <c r="C653" i="25"/>
  <c r="C654" i="25"/>
  <c r="C655" i="25"/>
  <c r="C656" i="25"/>
  <c r="C657" i="25"/>
  <c r="C658" i="25"/>
  <c r="C659" i="25"/>
  <c r="C660" i="25"/>
  <c r="C661" i="25"/>
  <c r="C662" i="25"/>
  <c r="C663" i="25"/>
  <c r="C664" i="25"/>
  <c r="C665" i="25"/>
  <c r="C666" i="25"/>
  <c r="C667" i="25"/>
  <c r="C668" i="25"/>
  <c r="C669" i="25"/>
  <c r="C670" i="25"/>
  <c r="C671" i="25"/>
  <c r="C672" i="25"/>
  <c r="C673" i="25"/>
  <c r="C674" i="25"/>
  <c r="C675" i="25"/>
  <c r="C676" i="25"/>
  <c r="C677" i="25"/>
  <c r="C678" i="25"/>
  <c r="C679" i="25"/>
  <c r="C680" i="25"/>
  <c r="C681" i="25"/>
  <c r="C682" i="25"/>
  <c r="C683" i="25"/>
  <c r="C684" i="25"/>
  <c r="C685" i="25"/>
  <c r="C686" i="25"/>
  <c r="C687" i="25"/>
  <c r="C688" i="25"/>
  <c r="C689" i="25"/>
  <c r="C690" i="25"/>
  <c r="C691" i="25"/>
  <c r="C692" i="25"/>
  <c r="C693" i="25"/>
  <c r="C694" i="25"/>
  <c r="C695" i="25"/>
  <c r="C696" i="25"/>
  <c r="C697" i="25"/>
  <c r="C698" i="25"/>
  <c r="C699" i="25"/>
  <c r="C700" i="25"/>
  <c r="C701" i="25"/>
  <c r="C702" i="25"/>
  <c r="C703" i="25"/>
  <c r="C704" i="25"/>
  <c r="C705" i="25"/>
  <c r="C706" i="25"/>
  <c r="C707" i="25"/>
  <c r="C708" i="25"/>
  <c r="C709" i="25"/>
  <c r="C710" i="25"/>
  <c r="C711" i="25"/>
  <c r="C712" i="25"/>
  <c r="C713" i="25"/>
  <c r="C714" i="25"/>
  <c r="C715" i="25"/>
  <c r="C716" i="25"/>
  <c r="C717" i="25"/>
  <c r="C718" i="25"/>
  <c r="C719" i="25"/>
  <c r="C720" i="25"/>
  <c r="C721" i="25"/>
  <c r="C722" i="25"/>
  <c r="C723" i="25"/>
  <c r="C724" i="25"/>
  <c r="C725" i="25"/>
  <c r="C726" i="25"/>
  <c r="C727" i="25"/>
  <c r="C728" i="25"/>
  <c r="C729" i="25"/>
  <c r="C730" i="25"/>
  <c r="C731" i="25"/>
  <c r="C732" i="25"/>
  <c r="C733" i="25"/>
  <c r="C734" i="25"/>
  <c r="C735" i="25"/>
  <c r="C736" i="25"/>
  <c r="C737" i="25"/>
  <c r="C738" i="25"/>
  <c r="C739" i="25"/>
  <c r="C740" i="25"/>
  <c r="C741" i="25"/>
  <c r="C742" i="25"/>
  <c r="C743" i="25"/>
  <c r="C744" i="25"/>
  <c r="C745" i="25"/>
  <c r="C746" i="25"/>
  <c r="C747" i="25"/>
  <c r="C748" i="25"/>
  <c r="C749" i="25"/>
  <c r="C750" i="25"/>
  <c r="C751" i="25"/>
  <c r="C752" i="25"/>
  <c r="C753" i="25"/>
  <c r="C754" i="25"/>
  <c r="C755" i="25"/>
  <c r="C756" i="25"/>
  <c r="C757" i="25"/>
  <c r="C758" i="25"/>
  <c r="C759" i="25"/>
  <c r="C760" i="25"/>
  <c r="C761" i="25"/>
  <c r="C762" i="25"/>
  <c r="C763" i="25"/>
  <c r="C764" i="25"/>
  <c r="C765" i="25"/>
  <c r="C766" i="25"/>
  <c r="C767" i="25"/>
  <c r="C768" i="25"/>
  <c r="C769" i="25"/>
  <c r="C770" i="25"/>
  <c r="C771" i="25"/>
  <c r="C772" i="25"/>
  <c r="C773" i="25"/>
  <c r="C774" i="25"/>
  <c r="C775" i="25"/>
  <c r="C776" i="25"/>
  <c r="C777" i="25"/>
  <c r="C778" i="25"/>
  <c r="C779" i="25"/>
  <c r="C780" i="25"/>
  <c r="C781" i="25"/>
  <c r="C782" i="25"/>
  <c r="C783" i="25"/>
  <c r="C784" i="25"/>
  <c r="C785" i="25"/>
  <c r="C786" i="25"/>
  <c r="C787" i="25"/>
  <c r="C788" i="25"/>
  <c r="C789" i="25"/>
  <c r="C790" i="25"/>
  <c r="C791" i="25"/>
  <c r="C792" i="25"/>
  <c r="C793" i="25"/>
  <c r="C794" i="25"/>
  <c r="C795" i="25"/>
  <c r="C796" i="25"/>
  <c r="C797" i="25"/>
  <c r="C798" i="25"/>
  <c r="C799" i="25"/>
  <c r="C800" i="25"/>
  <c r="C801" i="25"/>
  <c r="C802" i="25"/>
  <c r="C803" i="25"/>
  <c r="C804" i="25"/>
  <c r="C805" i="25"/>
  <c r="C806" i="25"/>
  <c r="C807" i="25"/>
  <c r="C808" i="25"/>
  <c r="C809" i="25"/>
  <c r="C810" i="25"/>
  <c r="C811" i="25"/>
  <c r="C812" i="25"/>
  <c r="C813" i="25"/>
  <c r="C814" i="25"/>
  <c r="C815" i="25"/>
  <c r="C816" i="25"/>
  <c r="C817" i="25"/>
  <c r="C818" i="25"/>
  <c r="C819" i="25"/>
  <c r="C820" i="25"/>
  <c r="C821" i="25"/>
  <c r="C822" i="25"/>
  <c r="C823" i="25"/>
  <c r="C824" i="25"/>
  <c r="C825" i="25"/>
  <c r="C826" i="25"/>
  <c r="C827" i="25"/>
  <c r="C828" i="25"/>
  <c r="C829" i="25"/>
  <c r="C830" i="25"/>
  <c r="C831" i="25"/>
  <c r="C832" i="25"/>
  <c r="C833" i="25"/>
  <c r="C834" i="25"/>
  <c r="C835" i="25"/>
  <c r="C836" i="25"/>
  <c r="C837" i="25"/>
  <c r="C838" i="25"/>
  <c r="C839" i="25"/>
  <c r="C840" i="25"/>
  <c r="C841" i="25"/>
  <c r="C842" i="25"/>
  <c r="C843" i="25"/>
  <c r="C844" i="25"/>
  <c r="C845" i="25"/>
  <c r="C846" i="25"/>
  <c r="C847" i="25"/>
  <c r="C848" i="25"/>
  <c r="C849" i="25"/>
  <c r="C850" i="25"/>
  <c r="C851" i="25"/>
  <c r="C852" i="25"/>
  <c r="C853" i="25"/>
  <c r="C854" i="25"/>
  <c r="C855" i="25"/>
  <c r="C856" i="25"/>
  <c r="C857" i="25"/>
  <c r="C858" i="25"/>
  <c r="C859" i="25"/>
  <c r="C860" i="25"/>
  <c r="C861" i="25"/>
  <c r="C862" i="25"/>
  <c r="C863" i="25"/>
  <c r="C864" i="25"/>
  <c r="C865" i="25"/>
  <c r="C866" i="25"/>
  <c r="C867" i="25"/>
  <c r="C868" i="25"/>
  <c r="C869" i="25"/>
  <c r="C870" i="25"/>
  <c r="C871" i="25"/>
  <c r="C872" i="25"/>
  <c r="C873" i="25"/>
  <c r="C874" i="25"/>
  <c r="C875" i="25"/>
  <c r="C876" i="25"/>
  <c r="C877" i="25"/>
  <c r="C878" i="25"/>
  <c r="C879" i="25"/>
  <c r="C880" i="25"/>
  <c r="C881" i="25"/>
  <c r="C882" i="25"/>
  <c r="C883" i="25"/>
  <c r="C884" i="25"/>
  <c r="C885" i="25"/>
  <c r="C886" i="25"/>
  <c r="C887" i="25"/>
  <c r="C888" i="25"/>
  <c r="C889" i="25"/>
  <c r="C890" i="25"/>
  <c r="C891" i="25"/>
  <c r="C892" i="25"/>
  <c r="C893" i="25"/>
  <c r="C894" i="25"/>
  <c r="C895" i="25"/>
  <c r="C896" i="25"/>
  <c r="C897" i="25"/>
  <c r="C898" i="25"/>
  <c r="C899" i="25"/>
  <c r="C900" i="25"/>
  <c r="C901" i="25"/>
  <c r="C902" i="25"/>
  <c r="C903" i="25"/>
  <c r="C904" i="25"/>
  <c r="C905" i="25"/>
  <c r="C906" i="25"/>
  <c r="C907" i="25"/>
  <c r="C908" i="25"/>
  <c r="C909" i="25"/>
  <c r="C910" i="25"/>
  <c r="C911" i="25"/>
  <c r="C912" i="25"/>
  <c r="C913" i="25"/>
  <c r="C914" i="25"/>
  <c r="C915" i="25"/>
  <c r="C916" i="25"/>
  <c r="C917" i="25"/>
  <c r="C918" i="25"/>
  <c r="C919" i="25"/>
  <c r="C920" i="25"/>
  <c r="C921" i="25"/>
  <c r="C922" i="25"/>
  <c r="C923" i="25"/>
  <c r="C924" i="25"/>
  <c r="C925" i="25"/>
  <c r="C926" i="25"/>
  <c r="C927" i="25"/>
  <c r="C928" i="25"/>
  <c r="C929" i="25"/>
  <c r="C930" i="25"/>
  <c r="C931" i="25"/>
  <c r="C932" i="25"/>
  <c r="C933" i="25"/>
  <c r="C934" i="25"/>
  <c r="C935" i="25"/>
  <c r="C936" i="25"/>
  <c r="C937" i="25"/>
  <c r="C938" i="25"/>
  <c r="C939" i="25"/>
  <c r="C940" i="25"/>
  <c r="C941" i="25"/>
  <c r="C942" i="25"/>
  <c r="C943" i="25"/>
  <c r="C944" i="25"/>
  <c r="C945" i="25"/>
  <c r="C946" i="25"/>
  <c r="C947" i="25"/>
  <c r="C948" i="25"/>
  <c r="C949" i="25"/>
  <c r="C950" i="25"/>
  <c r="C951" i="25"/>
  <c r="C952" i="25"/>
  <c r="C953" i="25"/>
  <c r="C954" i="25"/>
  <c r="C955" i="25"/>
  <c r="C956" i="25"/>
  <c r="C957" i="25"/>
  <c r="C958" i="25"/>
  <c r="C959" i="25"/>
  <c r="C960" i="25"/>
  <c r="C961" i="25"/>
  <c r="C962" i="25"/>
  <c r="C963" i="25"/>
  <c r="C964" i="25"/>
  <c r="C965" i="25"/>
  <c r="C966" i="25"/>
  <c r="C967" i="25"/>
  <c r="C968" i="25"/>
  <c r="C969" i="25"/>
  <c r="C970" i="25"/>
  <c r="C971" i="25"/>
  <c r="C972" i="25"/>
  <c r="C973" i="25"/>
  <c r="C974" i="25"/>
  <c r="C975" i="25"/>
  <c r="C976" i="25"/>
  <c r="C977" i="25"/>
  <c r="C978" i="25"/>
  <c r="C979" i="25"/>
  <c r="C980" i="25"/>
  <c r="C981" i="25"/>
  <c r="C982" i="25"/>
  <c r="C983" i="25"/>
  <c r="C984" i="25"/>
  <c r="C985" i="25"/>
  <c r="C986" i="25"/>
  <c r="C987" i="25"/>
  <c r="C988" i="25"/>
  <c r="C989" i="25"/>
  <c r="C990" i="25"/>
  <c r="C991" i="25"/>
  <c r="C992" i="25"/>
  <c r="C993" i="25"/>
  <c r="C994" i="25"/>
  <c r="C995" i="25"/>
  <c r="C996" i="25"/>
  <c r="C997" i="25"/>
  <c r="C998" i="25"/>
  <c r="C999" i="25"/>
  <c r="C1000" i="25"/>
  <c r="C1001" i="25"/>
  <c r="C1002" i="25"/>
  <c r="C1003" i="25"/>
  <c r="C1004" i="25"/>
  <c r="C1005" i="25"/>
  <c r="C1006" i="25"/>
  <c r="C1007" i="25"/>
  <c r="C1008" i="25"/>
  <c r="C1009" i="25"/>
  <c r="C1010" i="25"/>
  <c r="C1011" i="25"/>
  <c r="C1012" i="25"/>
  <c r="C1013" i="25"/>
  <c r="C1014" i="25"/>
  <c r="C1015" i="25"/>
  <c r="C1016" i="25"/>
  <c r="C1017" i="25"/>
  <c r="C1018" i="25"/>
  <c r="C1019" i="25"/>
  <c r="C1020" i="25"/>
  <c r="C1021" i="25"/>
  <c r="C1022" i="25"/>
  <c r="C1023" i="25"/>
  <c r="C1024" i="25"/>
  <c r="C1025" i="25"/>
  <c r="C1026" i="25"/>
  <c r="C1027" i="25"/>
  <c r="C1028" i="25"/>
  <c r="C1029" i="25"/>
  <c r="C1030" i="25"/>
  <c r="C1031" i="25"/>
  <c r="C1032" i="25"/>
  <c r="C1033" i="25"/>
  <c r="C1034" i="25"/>
  <c r="C1035" i="25"/>
  <c r="C1036" i="25"/>
  <c r="C1037" i="25"/>
  <c r="C1038" i="25"/>
  <c r="C1039" i="25"/>
  <c r="C1040" i="25"/>
  <c r="C1041" i="25"/>
  <c r="C1042" i="25"/>
  <c r="C1043" i="25"/>
  <c r="C1044" i="25"/>
  <c r="C1045" i="25"/>
  <c r="C1046" i="25"/>
  <c r="C1047" i="25"/>
  <c r="C1048" i="25"/>
  <c r="C1049" i="25"/>
  <c r="C1050" i="25"/>
  <c r="C1051" i="25"/>
  <c r="C1052" i="25"/>
  <c r="C1053" i="25"/>
  <c r="C1054" i="25"/>
  <c r="C1055" i="25"/>
  <c r="C1056" i="25"/>
  <c r="C1057" i="25"/>
  <c r="C1058" i="25"/>
  <c r="C1059" i="25"/>
  <c r="C1060" i="25"/>
  <c r="C1061" i="25"/>
  <c r="C1062" i="25"/>
  <c r="C1063" i="25"/>
  <c r="C1064" i="25"/>
  <c r="C1065" i="25"/>
  <c r="C1066" i="25"/>
  <c r="C1067" i="25"/>
  <c r="C1068" i="25"/>
  <c r="C1069" i="25"/>
  <c r="C1070" i="25"/>
  <c r="C1071" i="25"/>
  <c r="C1072" i="25"/>
  <c r="C1073" i="25"/>
  <c r="C1074" i="25"/>
  <c r="C1075" i="25"/>
  <c r="C1076" i="25"/>
  <c r="C1077" i="25"/>
  <c r="C1078" i="25"/>
  <c r="C1079" i="25"/>
  <c r="C1080" i="25"/>
  <c r="C1081" i="25"/>
  <c r="C1082" i="25"/>
  <c r="C1083" i="25"/>
  <c r="C1084" i="25"/>
  <c r="C1085" i="25"/>
  <c r="C1086" i="25"/>
  <c r="C1087" i="25"/>
  <c r="C1088" i="25"/>
  <c r="C1089" i="25"/>
  <c r="C1090" i="25"/>
  <c r="C1091" i="25"/>
  <c r="C1092" i="25"/>
  <c r="C1093" i="25"/>
  <c r="C1094" i="25"/>
  <c r="C1095" i="25"/>
  <c r="C1096" i="25"/>
  <c r="C1097" i="25"/>
  <c r="C1098" i="25"/>
  <c r="C1099" i="25"/>
  <c r="C1100" i="25"/>
  <c r="C1101" i="25"/>
  <c r="C1102" i="25"/>
  <c r="C1103" i="25"/>
  <c r="C1104" i="25"/>
  <c r="C1105" i="25"/>
  <c r="C1106" i="25"/>
  <c r="C1107" i="25"/>
  <c r="C1108" i="25"/>
  <c r="C1109" i="25"/>
  <c r="C1110" i="25"/>
  <c r="C1111" i="25"/>
  <c r="C1112" i="25"/>
  <c r="C1113" i="25"/>
  <c r="C1114" i="25"/>
  <c r="C1115" i="25"/>
  <c r="C1116" i="25"/>
  <c r="C1117" i="25"/>
  <c r="C1118" i="25"/>
  <c r="C1119" i="25"/>
  <c r="C1120" i="25"/>
  <c r="C1121" i="25"/>
  <c r="C1122" i="25"/>
  <c r="C1123" i="25"/>
  <c r="C1124" i="25"/>
  <c r="C1125" i="25"/>
  <c r="C1126" i="25"/>
  <c r="C1127" i="25"/>
  <c r="C1128" i="25"/>
  <c r="C1129" i="25"/>
  <c r="C1130" i="25"/>
  <c r="C1131" i="25"/>
  <c r="C1132" i="25"/>
  <c r="C1133" i="25"/>
  <c r="C1134" i="25"/>
  <c r="C1135" i="25"/>
  <c r="C1136" i="25"/>
  <c r="C1137" i="25"/>
  <c r="C1138" i="25"/>
  <c r="C1139" i="25"/>
  <c r="C1140" i="25"/>
  <c r="C1141" i="25"/>
  <c r="C1142" i="25"/>
  <c r="C1143" i="25"/>
  <c r="C1144" i="25"/>
  <c r="C1145" i="25"/>
  <c r="C1146" i="25"/>
  <c r="C1147" i="25"/>
  <c r="C1148" i="25"/>
  <c r="C1149" i="25"/>
  <c r="C1150" i="25"/>
  <c r="C1151" i="25"/>
  <c r="C1152" i="25"/>
  <c r="C1153" i="25"/>
  <c r="C1154" i="25"/>
  <c r="C1155" i="25"/>
  <c r="C1156" i="25"/>
  <c r="C1157" i="25"/>
  <c r="C1158" i="25"/>
  <c r="C1159" i="25"/>
  <c r="C1160" i="25"/>
  <c r="C1161" i="25"/>
  <c r="C1162" i="25"/>
  <c r="C1163" i="25"/>
  <c r="C1164" i="25"/>
  <c r="C1165" i="25"/>
  <c r="C1166" i="25"/>
  <c r="C1167" i="25"/>
  <c r="C1168" i="25"/>
  <c r="C1169" i="25"/>
  <c r="C1170" i="25"/>
  <c r="C1171" i="25"/>
  <c r="C1172" i="25"/>
  <c r="C1173" i="25"/>
  <c r="C1174" i="25"/>
  <c r="C1175" i="25"/>
  <c r="C1176" i="25"/>
  <c r="C1177" i="25"/>
  <c r="C1178" i="25"/>
  <c r="C1179" i="25"/>
  <c r="C1180" i="25"/>
  <c r="C1181" i="25"/>
  <c r="C1182" i="25"/>
  <c r="C1183" i="25"/>
  <c r="C1184" i="25"/>
  <c r="C1185" i="25"/>
  <c r="C1186" i="25"/>
  <c r="C1187" i="25"/>
  <c r="C1188" i="25"/>
  <c r="C1189" i="25"/>
  <c r="C1190" i="25"/>
  <c r="C1191" i="25"/>
  <c r="C1192" i="25"/>
  <c r="C1193" i="25"/>
  <c r="C1194" i="25"/>
  <c r="C1195" i="25"/>
  <c r="C1196" i="25"/>
  <c r="C1197" i="25"/>
  <c r="C1198" i="25"/>
  <c r="C1199" i="25"/>
  <c r="C1200" i="25"/>
  <c r="C1201" i="25"/>
  <c r="C1202" i="25"/>
  <c r="C1203" i="25"/>
  <c r="C1204" i="25"/>
  <c r="C1205" i="25"/>
  <c r="C1206" i="25"/>
  <c r="C1207" i="25"/>
  <c r="C1208" i="25"/>
  <c r="C1209" i="25"/>
  <c r="C1210" i="25"/>
  <c r="C1211" i="25"/>
  <c r="C1212" i="25"/>
  <c r="C1213" i="25"/>
  <c r="C1214" i="25"/>
  <c r="C1215" i="25"/>
  <c r="C1216" i="25"/>
  <c r="C1217" i="25"/>
  <c r="C1218" i="25"/>
  <c r="C1219" i="25"/>
  <c r="C1220" i="25"/>
  <c r="C1221" i="25"/>
  <c r="C1222" i="25"/>
  <c r="C1223" i="25"/>
  <c r="C1224" i="25"/>
  <c r="C1225" i="25"/>
  <c r="C1226" i="25"/>
  <c r="C1227" i="25"/>
  <c r="C1228" i="25"/>
  <c r="C1229" i="25"/>
  <c r="C1230" i="25"/>
  <c r="C1231" i="25"/>
  <c r="C1232" i="25"/>
  <c r="C1233" i="25"/>
  <c r="C1234" i="25"/>
  <c r="C1235" i="25"/>
  <c r="C1236" i="25"/>
  <c r="C1237" i="25"/>
  <c r="C1238" i="25"/>
  <c r="C1239" i="25"/>
  <c r="C1240" i="25"/>
  <c r="C1241" i="25"/>
  <c r="C1242" i="25"/>
  <c r="C1243" i="25"/>
  <c r="C1244" i="25"/>
  <c r="C1245" i="25"/>
  <c r="C1246" i="25"/>
  <c r="C1247" i="25"/>
  <c r="C1248" i="25"/>
  <c r="C1249" i="25"/>
  <c r="C1250" i="25"/>
  <c r="C1251" i="25"/>
  <c r="C1252" i="25"/>
  <c r="C1253" i="25"/>
  <c r="C1254" i="25"/>
  <c r="C1255" i="25"/>
  <c r="C1256" i="25"/>
  <c r="C1257" i="25"/>
  <c r="C1258" i="25"/>
  <c r="C1259" i="25"/>
  <c r="C1260" i="25"/>
  <c r="C1261" i="25"/>
  <c r="C1262" i="25"/>
  <c r="C1263" i="25"/>
  <c r="C1264" i="25"/>
  <c r="C1265" i="25"/>
  <c r="C1266" i="25"/>
  <c r="C1267" i="25"/>
  <c r="C1268" i="25"/>
  <c r="C1269" i="25"/>
  <c r="C1270" i="25"/>
  <c r="C1271" i="25"/>
  <c r="C1272" i="25"/>
  <c r="C1273" i="25"/>
  <c r="C1274" i="25"/>
  <c r="C1275" i="25"/>
  <c r="C1276" i="25"/>
  <c r="C1277" i="25"/>
  <c r="C1278" i="25"/>
  <c r="C1279" i="25"/>
  <c r="C1280" i="25"/>
  <c r="C1281" i="25"/>
  <c r="C1282" i="25"/>
  <c r="C1283" i="25"/>
  <c r="C1284" i="25"/>
  <c r="C1285" i="25"/>
  <c r="C1286" i="25"/>
  <c r="C1287" i="25"/>
  <c r="C1288" i="25"/>
  <c r="C1289" i="25"/>
  <c r="C1290" i="25"/>
  <c r="C1291" i="25"/>
  <c r="C1292" i="25"/>
  <c r="C1293" i="25"/>
  <c r="C1294" i="25"/>
  <c r="C1295" i="25"/>
  <c r="C1296" i="25"/>
  <c r="C1297" i="25"/>
  <c r="C1298" i="25"/>
  <c r="C1299" i="25"/>
  <c r="C1300" i="25"/>
  <c r="C1301" i="25"/>
  <c r="C1302" i="25"/>
  <c r="C1303" i="25"/>
  <c r="C1304" i="25"/>
  <c r="C1305" i="25"/>
  <c r="C1306" i="25"/>
  <c r="C1307" i="25"/>
  <c r="C1308" i="25"/>
  <c r="C1309" i="25"/>
  <c r="C1310" i="25"/>
  <c r="C1311" i="25"/>
  <c r="C1312" i="25"/>
  <c r="C1313" i="25"/>
  <c r="C1314" i="25"/>
  <c r="C1315" i="25"/>
  <c r="C1316" i="25"/>
  <c r="C1317" i="25"/>
  <c r="C1318" i="25"/>
  <c r="C1319" i="25"/>
  <c r="C1320" i="25"/>
  <c r="C1321" i="25"/>
  <c r="C1322" i="25"/>
  <c r="C1323" i="25"/>
  <c r="C1324" i="25"/>
  <c r="C1325" i="25"/>
  <c r="C1326" i="25"/>
  <c r="C1327" i="25"/>
  <c r="C1328" i="25"/>
  <c r="C1329" i="25"/>
  <c r="C1330" i="25"/>
  <c r="C1331" i="25"/>
  <c r="C1332" i="25"/>
  <c r="C1333" i="25"/>
  <c r="C1334" i="25"/>
  <c r="C1335" i="25"/>
  <c r="C1336" i="25"/>
  <c r="C1337" i="25"/>
  <c r="C1338" i="25"/>
  <c r="C1339" i="25"/>
  <c r="C1340" i="25"/>
  <c r="C1341" i="25"/>
  <c r="C1342" i="25"/>
  <c r="C1343" i="25"/>
  <c r="C1344" i="25"/>
  <c r="C1345" i="25"/>
  <c r="C1346" i="25"/>
  <c r="C1347" i="25"/>
  <c r="C1348" i="25"/>
  <c r="C1349" i="25"/>
  <c r="C1350" i="25"/>
  <c r="C1351" i="25"/>
  <c r="C1352" i="25"/>
  <c r="C1353" i="25"/>
  <c r="C1354" i="25"/>
  <c r="C1355" i="25"/>
  <c r="C1356" i="25"/>
  <c r="C1357" i="25"/>
  <c r="C1358" i="25"/>
  <c r="C1359" i="25"/>
  <c r="C1360" i="25"/>
  <c r="C1361" i="25"/>
  <c r="C1362" i="25"/>
  <c r="C1363" i="25"/>
  <c r="C1364" i="25"/>
  <c r="C1365" i="25"/>
  <c r="C1366" i="25"/>
  <c r="C1367" i="25"/>
  <c r="C1368" i="25"/>
  <c r="C1369" i="25"/>
  <c r="C1370" i="25"/>
  <c r="C1371" i="25"/>
  <c r="C1372" i="25"/>
  <c r="C1373" i="25"/>
  <c r="C1374" i="25"/>
  <c r="C1375" i="25"/>
  <c r="C1376" i="25"/>
  <c r="C1377" i="25"/>
  <c r="C1378" i="25"/>
  <c r="C1379" i="25"/>
  <c r="C1380" i="25"/>
  <c r="C1381" i="25"/>
  <c r="C1382" i="25"/>
  <c r="C1383" i="25"/>
  <c r="C1384" i="25"/>
  <c r="C1385" i="25"/>
  <c r="C1386" i="25"/>
  <c r="C1387" i="25"/>
  <c r="C1388" i="25"/>
  <c r="C1389" i="25"/>
  <c r="C1390" i="25"/>
  <c r="C1391" i="25"/>
  <c r="C1392" i="25"/>
  <c r="C1393" i="25"/>
  <c r="C1394" i="25"/>
  <c r="C1395" i="25"/>
  <c r="C1396" i="25"/>
  <c r="C1397" i="25"/>
  <c r="C1398" i="25"/>
  <c r="C1399" i="25"/>
  <c r="C1400" i="25"/>
  <c r="C1401" i="25"/>
  <c r="C1402" i="25"/>
  <c r="C1403" i="25"/>
  <c r="C1404" i="25"/>
  <c r="C1405" i="25"/>
  <c r="C1406" i="25"/>
  <c r="C1407" i="25"/>
  <c r="C1408" i="25"/>
  <c r="C1409" i="25"/>
  <c r="C1410" i="25"/>
  <c r="C1411" i="25"/>
  <c r="C1412" i="25"/>
  <c r="C1413" i="25"/>
  <c r="C1414" i="25"/>
  <c r="C1415" i="25"/>
  <c r="C1416" i="25"/>
  <c r="C1417" i="25"/>
  <c r="C1418" i="25"/>
  <c r="C1419" i="25"/>
  <c r="C1420" i="25"/>
  <c r="C1421" i="25"/>
  <c r="C1422" i="25"/>
  <c r="C1423" i="25"/>
  <c r="C1424" i="25"/>
  <c r="C1425" i="25"/>
  <c r="C1426" i="25"/>
  <c r="C1427" i="25"/>
  <c r="C1428" i="25"/>
  <c r="C1429" i="25"/>
  <c r="C1430" i="25"/>
  <c r="C1431" i="25"/>
  <c r="C1432" i="25"/>
  <c r="C1433" i="25"/>
  <c r="C1434" i="25"/>
  <c r="C1435" i="25"/>
  <c r="C1436" i="25"/>
  <c r="C1437" i="25"/>
  <c r="C1438" i="25"/>
  <c r="C1439" i="25"/>
  <c r="C1440" i="25"/>
  <c r="C1441" i="25"/>
  <c r="C1442" i="25"/>
  <c r="C1443" i="25"/>
  <c r="C1444" i="25"/>
  <c r="C1445" i="25"/>
  <c r="C1446" i="25"/>
  <c r="C1447" i="25"/>
  <c r="C1448" i="25"/>
  <c r="C1449" i="25"/>
  <c r="C1450" i="25"/>
  <c r="C1451" i="25"/>
  <c r="C1452" i="25"/>
  <c r="C1453" i="25"/>
  <c r="C1454" i="25"/>
  <c r="C1455" i="25"/>
  <c r="C1456" i="25"/>
  <c r="C1457" i="25"/>
  <c r="C1458" i="25"/>
  <c r="C1459" i="25"/>
  <c r="C1460" i="25"/>
  <c r="C1461" i="25"/>
  <c r="C1462" i="25"/>
  <c r="C1463" i="25"/>
  <c r="C1464" i="25"/>
  <c r="C1465" i="25"/>
  <c r="C1466" i="25"/>
  <c r="C1467" i="25"/>
  <c r="C1468" i="25"/>
  <c r="C1469" i="25"/>
  <c r="C1470" i="25"/>
  <c r="C1471" i="25"/>
  <c r="C1472" i="25"/>
  <c r="C1473" i="25"/>
  <c r="C1474" i="25"/>
  <c r="C1475" i="25"/>
  <c r="C1476" i="25"/>
  <c r="C1477" i="25"/>
  <c r="C1478" i="25"/>
  <c r="C1479" i="25"/>
  <c r="C1480" i="25"/>
  <c r="C1481" i="25"/>
  <c r="C1482" i="25"/>
  <c r="C1483" i="25"/>
  <c r="C1484" i="25"/>
  <c r="C1485" i="25"/>
  <c r="C1486" i="25"/>
  <c r="C1487" i="25"/>
  <c r="C1488" i="25"/>
  <c r="C1489" i="25"/>
  <c r="C1490" i="25"/>
  <c r="C1491" i="25"/>
  <c r="C1492" i="25"/>
  <c r="C1493" i="25"/>
  <c r="C1494" i="25"/>
  <c r="C1495" i="25"/>
  <c r="C1496" i="25"/>
  <c r="C1497" i="25"/>
  <c r="C1498" i="25"/>
  <c r="C1499" i="25"/>
  <c r="C1500" i="25"/>
  <c r="C1501" i="25"/>
  <c r="C1502" i="25"/>
  <c r="C1503" i="25"/>
  <c r="C1504" i="25"/>
  <c r="C1505" i="25"/>
  <c r="C1506" i="25"/>
  <c r="C1507" i="25"/>
  <c r="C1508" i="25"/>
  <c r="C1509" i="25"/>
  <c r="C1510" i="25"/>
  <c r="C1511" i="25"/>
  <c r="C1512" i="25"/>
  <c r="C1513" i="25"/>
  <c r="C1514" i="25"/>
  <c r="C1515" i="25"/>
  <c r="C1516" i="25"/>
  <c r="C1517" i="25"/>
  <c r="C1518" i="25"/>
  <c r="C1519" i="25"/>
  <c r="C1520" i="25"/>
  <c r="C1521" i="25"/>
  <c r="C1522" i="25"/>
  <c r="C1523" i="25"/>
  <c r="C1524" i="25"/>
  <c r="C1525" i="25"/>
  <c r="C1526" i="25"/>
  <c r="C1527" i="25"/>
  <c r="C1528" i="25"/>
  <c r="C1529" i="25"/>
  <c r="C1530" i="25"/>
  <c r="C1531" i="25"/>
  <c r="C1532" i="25"/>
  <c r="C1533" i="25"/>
  <c r="C1534" i="25"/>
  <c r="C1535" i="25"/>
  <c r="C1536" i="25"/>
  <c r="C1537" i="25"/>
  <c r="C1538" i="25"/>
  <c r="C1539" i="25"/>
  <c r="C1540" i="25"/>
  <c r="C1541" i="25"/>
  <c r="C1542" i="25"/>
  <c r="C1543" i="25"/>
  <c r="C1544" i="25"/>
  <c r="C1545" i="25"/>
  <c r="C1546" i="25"/>
  <c r="C1547" i="25"/>
  <c r="C1548" i="25"/>
  <c r="C1549" i="25"/>
  <c r="C1550" i="25"/>
  <c r="C1551" i="25"/>
  <c r="C1552" i="25"/>
  <c r="C1553" i="25"/>
  <c r="C1554" i="25"/>
  <c r="C1555" i="25"/>
  <c r="C1556" i="25"/>
  <c r="C1557" i="25"/>
  <c r="C1558" i="25"/>
  <c r="C1559" i="25"/>
  <c r="C1560" i="25"/>
  <c r="C1561" i="25"/>
  <c r="C1562" i="25"/>
  <c r="C1563" i="25"/>
  <c r="C1564" i="25"/>
  <c r="C1565" i="25"/>
  <c r="C1566" i="25"/>
  <c r="C1567" i="25"/>
  <c r="C1568" i="25"/>
  <c r="C1569" i="25"/>
  <c r="C1570" i="25"/>
  <c r="C1571" i="25"/>
  <c r="C1572" i="25"/>
  <c r="C1573" i="25"/>
  <c r="C1574" i="25"/>
  <c r="C1575" i="25"/>
  <c r="C1576" i="25"/>
  <c r="C1577" i="25"/>
  <c r="C1578" i="25"/>
  <c r="C1579" i="25"/>
  <c r="C1580" i="25"/>
  <c r="C1581" i="25"/>
  <c r="C1582" i="25"/>
  <c r="C1583" i="25"/>
  <c r="C1584" i="25"/>
  <c r="C1585" i="25"/>
  <c r="C1586" i="25"/>
  <c r="C1587" i="25"/>
  <c r="C1588" i="25"/>
  <c r="C1589" i="25"/>
  <c r="C1590" i="25"/>
  <c r="C1591" i="25"/>
  <c r="C1592" i="25"/>
  <c r="C1593" i="25"/>
  <c r="C1594" i="25"/>
  <c r="C1595" i="25"/>
  <c r="C1596" i="25"/>
  <c r="C1597" i="25"/>
  <c r="C1598" i="25"/>
  <c r="C1599" i="25"/>
  <c r="C1600" i="25"/>
  <c r="C1601" i="25"/>
  <c r="C1602" i="25"/>
  <c r="C1603" i="25"/>
  <c r="C1604" i="25"/>
  <c r="C1605" i="25"/>
  <c r="C1606" i="25"/>
  <c r="C1607" i="25"/>
  <c r="C1608" i="25"/>
  <c r="C1609" i="25"/>
  <c r="C1610" i="25"/>
  <c r="C1611" i="25"/>
  <c r="C1612" i="25"/>
  <c r="C1613" i="25"/>
  <c r="C1614" i="25"/>
  <c r="C1615" i="25"/>
  <c r="C1616" i="25"/>
  <c r="C1617" i="25"/>
  <c r="C1618" i="25"/>
  <c r="C1619" i="25"/>
  <c r="C1620" i="25"/>
  <c r="C1621" i="25"/>
  <c r="C1622" i="25"/>
  <c r="C1623" i="25"/>
  <c r="C1624" i="25"/>
  <c r="C1625" i="25"/>
  <c r="C1626" i="25"/>
  <c r="C1627" i="25"/>
  <c r="C1628" i="25"/>
  <c r="C1629" i="25"/>
  <c r="C1630" i="25"/>
  <c r="C1631" i="25"/>
  <c r="C1632" i="25"/>
  <c r="C1633" i="25"/>
  <c r="C1634" i="25"/>
  <c r="C1635" i="25"/>
  <c r="C1636" i="25"/>
  <c r="C1637" i="25"/>
  <c r="C1638" i="25"/>
  <c r="C1639" i="25"/>
  <c r="C1640" i="25"/>
  <c r="C1641" i="25"/>
  <c r="C1642" i="25"/>
  <c r="C1643" i="25"/>
  <c r="C1644" i="25"/>
  <c r="C1645" i="25"/>
  <c r="C1646" i="25"/>
  <c r="C1647" i="25"/>
  <c r="C1648" i="25"/>
  <c r="C1649" i="25"/>
  <c r="C1650" i="25"/>
  <c r="C1651" i="25"/>
  <c r="C1652" i="25"/>
  <c r="C1653" i="25"/>
  <c r="C1654" i="25"/>
  <c r="C1655" i="25"/>
  <c r="C1656" i="25"/>
  <c r="C1657" i="25"/>
  <c r="C1658" i="25"/>
  <c r="C1659" i="25"/>
  <c r="C1660" i="25"/>
  <c r="C1661" i="25"/>
  <c r="C1662" i="25"/>
  <c r="C1663" i="25"/>
  <c r="C1664" i="25"/>
  <c r="C1665" i="25"/>
  <c r="C1666" i="25"/>
  <c r="C1667" i="25"/>
  <c r="C1668" i="25"/>
  <c r="C1669" i="25"/>
  <c r="C1670" i="25"/>
  <c r="C1671" i="25"/>
  <c r="C1672" i="25"/>
  <c r="C1673" i="25"/>
  <c r="C1674" i="25"/>
  <c r="C1675" i="25"/>
  <c r="C1676" i="25"/>
  <c r="C1677" i="25"/>
  <c r="C1678" i="25"/>
  <c r="C1679" i="25"/>
  <c r="C1680" i="25"/>
  <c r="C1681" i="25"/>
  <c r="C1682" i="25"/>
  <c r="C1683" i="25"/>
  <c r="C1684" i="25"/>
  <c r="C1685" i="25"/>
  <c r="C1686" i="25"/>
  <c r="C1687" i="25"/>
  <c r="C1688" i="25"/>
  <c r="C1689" i="25"/>
  <c r="C1690" i="25"/>
  <c r="C1691" i="25"/>
  <c r="C1692" i="25"/>
  <c r="C1693" i="25"/>
  <c r="C1694" i="25"/>
  <c r="C1695" i="25"/>
  <c r="C1696" i="25"/>
  <c r="C1697" i="25"/>
  <c r="C1698" i="25"/>
  <c r="C1699" i="25"/>
  <c r="C1700" i="25"/>
  <c r="C1701" i="25"/>
  <c r="C1702" i="25"/>
  <c r="C1703" i="25"/>
  <c r="C1704" i="25"/>
  <c r="C1705" i="25"/>
  <c r="C1706" i="25"/>
  <c r="C1707" i="25"/>
  <c r="C1708" i="25"/>
  <c r="C1709" i="25"/>
  <c r="C1710" i="25"/>
  <c r="C1711" i="25"/>
  <c r="C1712" i="25"/>
  <c r="C1713" i="25"/>
  <c r="C1714" i="25"/>
  <c r="C1715" i="25"/>
  <c r="C1716" i="25"/>
  <c r="C1717" i="25"/>
  <c r="C1718" i="25"/>
  <c r="C1719" i="25"/>
  <c r="C1720" i="25"/>
  <c r="C1721" i="25"/>
  <c r="C1722" i="25"/>
  <c r="C1723" i="25"/>
  <c r="C1724" i="25"/>
  <c r="C1725" i="25"/>
  <c r="C1726" i="25"/>
  <c r="C1727" i="25"/>
  <c r="C1728" i="25"/>
  <c r="C1729" i="25"/>
  <c r="C1730" i="25"/>
  <c r="C1731" i="25"/>
  <c r="C1732" i="25"/>
  <c r="C1733" i="25"/>
  <c r="C1734" i="25"/>
  <c r="C1735" i="25"/>
  <c r="C1736" i="25"/>
  <c r="C1737" i="25"/>
  <c r="C1738" i="25"/>
  <c r="C1739" i="25"/>
  <c r="C1740" i="25"/>
  <c r="C1741" i="25"/>
  <c r="C1742" i="25"/>
  <c r="C1743" i="25"/>
  <c r="C1744" i="25"/>
  <c r="C1745" i="25"/>
  <c r="C1746" i="25"/>
  <c r="C1747" i="25"/>
  <c r="C1748" i="25"/>
  <c r="C1749" i="25"/>
  <c r="C1750" i="25"/>
  <c r="C1751" i="25"/>
  <c r="C1752" i="25"/>
  <c r="C1753" i="25"/>
  <c r="C1754" i="25"/>
  <c r="C1755" i="25"/>
  <c r="C1756" i="25"/>
  <c r="C1757" i="25"/>
  <c r="C1758" i="25"/>
  <c r="C1759" i="25"/>
  <c r="C1760" i="25"/>
  <c r="C1761" i="25"/>
  <c r="C1762" i="25"/>
  <c r="C1763" i="25"/>
  <c r="C1764" i="25"/>
  <c r="C1765" i="25"/>
  <c r="C1766" i="25"/>
  <c r="C1767" i="25"/>
  <c r="C1768" i="25"/>
  <c r="C1769" i="25"/>
  <c r="C1770" i="25"/>
  <c r="C1771" i="25"/>
  <c r="C1772" i="25"/>
  <c r="C1773" i="25"/>
  <c r="C1774" i="25"/>
  <c r="C1775" i="25"/>
  <c r="C1776" i="25"/>
  <c r="C1777" i="25"/>
  <c r="C1778" i="25"/>
  <c r="C1779" i="25"/>
  <c r="C1780" i="25"/>
  <c r="C1781" i="25"/>
  <c r="C1782" i="25"/>
  <c r="C1783" i="25"/>
  <c r="C1784" i="25"/>
  <c r="C1785" i="25"/>
  <c r="C1786" i="25"/>
  <c r="C1787" i="25"/>
  <c r="C1788" i="25"/>
  <c r="C1789" i="25"/>
  <c r="C1790" i="25"/>
  <c r="C1791" i="25"/>
  <c r="C1792" i="25"/>
  <c r="C1793" i="25"/>
  <c r="C1794" i="25"/>
  <c r="C1795" i="25"/>
  <c r="C1796" i="25"/>
  <c r="C1797" i="25"/>
  <c r="C1798" i="25"/>
  <c r="C1799" i="25"/>
  <c r="C1800" i="25"/>
  <c r="C1801" i="25"/>
  <c r="C1802" i="25"/>
  <c r="C1803" i="25"/>
  <c r="C1804" i="25"/>
  <c r="C1805" i="25"/>
  <c r="C1806" i="25"/>
  <c r="C1807" i="25"/>
  <c r="C1808" i="25"/>
  <c r="C1809" i="25"/>
  <c r="C1810" i="25"/>
  <c r="C1811" i="25"/>
  <c r="C1812" i="25"/>
  <c r="C1813" i="25"/>
  <c r="C1814" i="25"/>
  <c r="C1815" i="25"/>
  <c r="C1816" i="25"/>
  <c r="C1817" i="25"/>
  <c r="C1818" i="25"/>
  <c r="C1819" i="25"/>
  <c r="C1820" i="25"/>
  <c r="C1821" i="25"/>
  <c r="C1822" i="25"/>
  <c r="C1823" i="25"/>
  <c r="C1824" i="25"/>
  <c r="C1825" i="25"/>
  <c r="C1826" i="25"/>
  <c r="C1827" i="25"/>
  <c r="C1828" i="25"/>
  <c r="C1829" i="25"/>
  <c r="C1830" i="25"/>
  <c r="C1831" i="25"/>
  <c r="C1832" i="25"/>
  <c r="C1833" i="25"/>
  <c r="C1834" i="25"/>
  <c r="C1835" i="25"/>
  <c r="C1836" i="25"/>
  <c r="C1837" i="25"/>
  <c r="C1838" i="25"/>
  <c r="C1839" i="25"/>
  <c r="C1840" i="25"/>
  <c r="C1841" i="25"/>
  <c r="C1842" i="25"/>
  <c r="C1843" i="25"/>
  <c r="C1844" i="25"/>
  <c r="C1845" i="25"/>
  <c r="C1846" i="25"/>
  <c r="C1847" i="25"/>
  <c r="C1848" i="25"/>
  <c r="C1849" i="25"/>
  <c r="C1850" i="25"/>
  <c r="C1851" i="25"/>
  <c r="C1852" i="25"/>
  <c r="C1853" i="25"/>
  <c r="C1854" i="25"/>
  <c r="C1855" i="25"/>
  <c r="C1856" i="25"/>
  <c r="C1857" i="25"/>
  <c r="C1858" i="25"/>
  <c r="C1859" i="25"/>
  <c r="C1860" i="25"/>
  <c r="C1861" i="25"/>
  <c r="C1862" i="25"/>
  <c r="C1863" i="25"/>
  <c r="C1864" i="25"/>
  <c r="C1865" i="25"/>
  <c r="C1866" i="25"/>
  <c r="C1867" i="25"/>
  <c r="C1868" i="25"/>
  <c r="C1869" i="25"/>
  <c r="C1870" i="25"/>
  <c r="C1871" i="25"/>
  <c r="C1872" i="25"/>
  <c r="C1873" i="25"/>
  <c r="C1874" i="25"/>
  <c r="C1875" i="25"/>
  <c r="C1876" i="25"/>
  <c r="C1877" i="25"/>
  <c r="C1878" i="25"/>
  <c r="C1879" i="25"/>
  <c r="C1880" i="25"/>
  <c r="C1881" i="25"/>
  <c r="C1882" i="25"/>
  <c r="C1883" i="25"/>
  <c r="C1884" i="25"/>
  <c r="C1885" i="25"/>
  <c r="C1886" i="25"/>
  <c r="C1887" i="25"/>
  <c r="C1888" i="25"/>
  <c r="C1889" i="25"/>
  <c r="C1890" i="25"/>
  <c r="C1891" i="25"/>
  <c r="C1892" i="25"/>
  <c r="C1893" i="25"/>
  <c r="C1894" i="25"/>
  <c r="C1895" i="25"/>
  <c r="C1896" i="25"/>
  <c r="C1897" i="25"/>
  <c r="C1898" i="25"/>
  <c r="C1899" i="25"/>
  <c r="C1900" i="25"/>
  <c r="C1901" i="25"/>
  <c r="C1902" i="25"/>
  <c r="C1903" i="25"/>
  <c r="C1904" i="25"/>
  <c r="C1905" i="25"/>
  <c r="C1906" i="25"/>
  <c r="C1907" i="25"/>
  <c r="C1908" i="25"/>
  <c r="C1909" i="25"/>
  <c r="C1910" i="25"/>
  <c r="C1911" i="25"/>
  <c r="C1912" i="25"/>
  <c r="C1913" i="25"/>
  <c r="C1914" i="25"/>
  <c r="C1915" i="25"/>
  <c r="C1916" i="25"/>
  <c r="C1917" i="25"/>
  <c r="C1918" i="25"/>
  <c r="C1919" i="25"/>
  <c r="C1920" i="25"/>
  <c r="C1921" i="25"/>
  <c r="C1922" i="25"/>
  <c r="C1923" i="25"/>
  <c r="C1924" i="25"/>
  <c r="C1925" i="25"/>
  <c r="C1926" i="25"/>
  <c r="C1927" i="25"/>
  <c r="C1928" i="25"/>
  <c r="C1929" i="25"/>
  <c r="C1930" i="25"/>
  <c r="C1931" i="25"/>
  <c r="C1932" i="25"/>
  <c r="C1933" i="25"/>
  <c r="C1934" i="25"/>
  <c r="C1935" i="25"/>
  <c r="C1936" i="25"/>
  <c r="C1937" i="25"/>
  <c r="C1938" i="25"/>
  <c r="C1939" i="25"/>
  <c r="C1940" i="25"/>
  <c r="C1941" i="25"/>
  <c r="C1942" i="25"/>
  <c r="C1943" i="25"/>
  <c r="C1944" i="25"/>
  <c r="C1945" i="25"/>
  <c r="C1946" i="25"/>
  <c r="C1947" i="25"/>
  <c r="C1948" i="25"/>
  <c r="C1949" i="25"/>
  <c r="C1950" i="25"/>
  <c r="C1951" i="25"/>
  <c r="C1952" i="25"/>
  <c r="C1953" i="25"/>
  <c r="C1954" i="25"/>
  <c r="C1955" i="25"/>
  <c r="C1956" i="25"/>
  <c r="C1957" i="25"/>
  <c r="C1958" i="25"/>
  <c r="C1959" i="25"/>
  <c r="C1960" i="25"/>
  <c r="C1961" i="25"/>
  <c r="C1962" i="25"/>
  <c r="C1963" i="25"/>
  <c r="C1964" i="25"/>
  <c r="C1965" i="25"/>
  <c r="C1966" i="25"/>
  <c r="C1967" i="25"/>
  <c r="C1968" i="25"/>
  <c r="C1969" i="25"/>
  <c r="C1970" i="25"/>
  <c r="C1971" i="25"/>
  <c r="C1972" i="25"/>
  <c r="C1973" i="25"/>
  <c r="C1974" i="25"/>
  <c r="C1975" i="25"/>
  <c r="C1976" i="25"/>
  <c r="C1977" i="25"/>
  <c r="C1978" i="25"/>
  <c r="C1979" i="25"/>
  <c r="C1980" i="25"/>
  <c r="C1981" i="25"/>
  <c r="C1982" i="25"/>
  <c r="C1983" i="25"/>
  <c r="C1984" i="25"/>
  <c r="C1985" i="25"/>
  <c r="C1986" i="25"/>
  <c r="C1987" i="25"/>
  <c r="C1988" i="25"/>
  <c r="C1989" i="25"/>
  <c r="C1990" i="25"/>
  <c r="C1991" i="25"/>
  <c r="C1992" i="25"/>
  <c r="C1993" i="25"/>
  <c r="C1994" i="25"/>
  <c r="C1995" i="25"/>
  <c r="C1996" i="25"/>
  <c r="C1997" i="25"/>
  <c r="C1998" i="25"/>
  <c r="C1999" i="25"/>
  <c r="C2000" i="25"/>
  <c r="C2001" i="25"/>
  <c r="C2002" i="25"/>
  <c r="C2003" i="25"/>
  <c r="C2004" i="25"/>
  <c r="C2005" i="25"/>
  <c r="C2006" i="25"/>
  <c r="C2007" i="25"/>
  <c r="C2008" i="25"/>
  <c r="C2009" i="25"/>
  <c r="C2010" i="25"/>
  <c r="C2011" i="25"/>
  <c r="C2012" i="25"/>
  <c r="C2013" i="25"/>
  <c r="C2014" i="25"/>
  <c r="C2015" i="25"/>
  <c r="C2016" i="25"/>
  <c r="C2017" i="25"/>
  <c r="C2018" i="25"/>
  <c r="C2019" i="25"/>
  <c r="C2020" i="25"/>
  <c r="C2021" i="25"/>
  <c r="C2022" i="25"/>
  <c r="C2023" i="25"/>
  <c r="C2024" i="25"/>
  <c r="C2025" i="25"/>
  <c r="C2026" i="25"/>
  <c r="C2027" i="25"/>
  <c r="C2028" i="25"/>
  <c r="C2029" i="25"/>
  <c r="C2030" i="25"/>
  <c r="C2031" i="25"/>
  <c r="C2032" i="25"/>
  <c r="C2033" i="25"/>
  <c r="C2034" i="25"/>
  <c r="C2035" i="25"/>
  <c r="C2036" i="25"/>
  <c r="C2037" i="25"/>
  <c r="C2038" i="25"/>
  <c r="C2039" i="25"/>
  <c r="C2040" i="25"/>
  <c r="C2041" i="25"/>
  <c r="C2042" i="25"/>
  <c r="C2043" i="25"/>
  <c r="C2044" i="25"/>
  <c r="C2045" i="25"/>
  <c r="C2046" i="25"/>
  <c r="C2047" i="25"/>
  <c r="C2048" i="25"/>
  <c r="C2049" i="25"/>
  <c r="C2050" i="25"/>
  <c r="C2051" i="25"/>
  <c r="C2052" i="25"/>
  <c r="C2053" i="25"/>
  <c r="C2054" i="25"/>
  <c r="C2055" i="25"/>
  <c r="C2056" i="25"/>
  <c r="C2057" i="25"/>
  <c r="C2058" i="25"/>
  <c r="C2059" i="25"/>
  <c r="C2060" i="25"/>
  <c r="C2061" i="25"/>
  <c r="C2062" i="25"/>
  <c r="C2063" i="25"/>
  <c r="C2064" i="25"/>
  <c r="C2065" i="25"/>
  <c r="C2066" i="25"/>
  <c r="C2067" i="25"/>
  <c r="C2068" i="25"/>
  <c r="C2069" i="25"/>
  <c r="C2070" i="25"/>
  <c r="C2071" i="25"/>
  <c r="C2072" i="25"/>
  <c r="C2073" i="25"/>
  <c r="C2074" i="25"/>
  <c r="C2075" i="25"/>
  <c r="C2076" i="25"/>
  <c r="C2077" i="25"/>
  <c r="C2078" i="25"/>
  <c r="C2079" i="25"/>
  <c r="C2080" i="25"/>
  <c r="C2081" i="25"/>
  <c r="C2082" i="25"/>
  <c r="C2083" i="25"/>
  <c r="C2084" i="25"/>
  <c r="C2085" i="25"/>
  <c r="C2086" i="25"/>
  <c r="C2087" i="25"/>
  <c r="C2088" i="25"/>
  <c r="C2089" i="25"/>
  <c r="C2090" i="25"/>
  <c r="C2091" i="25"/>
  <c r="C2092" i="25"/>
  <c r="C2093" i="25"/>
  <c r="C2094" i="25"/>
  <c r="C2095" i="25"/>
  <c r="C2096" i="25"/>
  <c r="C2097" i="25"/>
  <c r="C2098" i="25"/>
  <c r="C2099" i="25"/>
  <c r="C2100" i="25"/>
  <c r="C2101" i="25"/>
  <c r="C2102" i="25"/>
  <c r="C2103" i="25"/>
  <c r="C2104" i="25"/>
  <c r="C2105" i="25"/>
  <c r="C2106" i="25"/>
  <c r="C2107" i="25"/>
  <c r="C2108" i="25"/>
  <c r="C2109" i="25"/>
  <c r="C2110" i="25"/>
  <c r="C2111" i="25"/>
  <c r="C2112" i="25"/>
  <c r="C2113" i="25"/>
  <c r="C2114" i="25"/>
  <c r="C2115" i="25"/>
  <c r="C2116" i="25"/>
  <c r="C2117" i="25"/>
  <c r="C2118" i="25"/>
  <c r="C2119" i="25"/>
  <c r="C2120" i="25"/>
  <c r="C2121" i="25"/>
  <c r="C2122" i="25"/>
  <c r="C2123" i="25"/>
  <c r="C2124" i="25"/>
  <c r="C2125" i="25"/>
  <c r="C2126" i="25"/>
  <c r="C2127" i="25"/>
  <c r="C2128" i="25"/>
  <c r="C2129" i="25"/>
  <c r="C2130" i="25"/>
  <c r="C2131" i="25"/>
  <c r="C2132" i="25"/>
  <c r="C2133" i="25"/>
  <c r="C2134" i="25"/>
  <c r="C2135" i="25"/>
  <c r="C2136" i="25"/>
  <c r="C2137" i="25"/>
  <c r="C2138" i="25"/>
  <c r="C2139" i="25"/>
  <c r="C2140" i="25"/>
  <c r="C2141" i="25"/>
  <c r="C2142" i="25"/>
  <c r="C2143" i="25"/>
  <c r="C2144" i="25"/>
  <c r="C2145" i="25"/>
  <c r="C2146" i="25"/>
  <c r="C2147" i="25"/>
  <c r="C2148" i="25"/>
  <c r="C2149" i="25"/>
  <c r="C2150" i="25"/>
  <c r="C2151" i="25"/>
  <c r="C2152" i="25"/>
  <c r="C2153" i="25"/>
  <c r="C2154" i="25"/>
  <c r="C2155" i="25"/>
  <c r="C2156" i="25"/>
  <c r="C2157" i="25"/>
  <c r="C2158" i="25"/>
  <c r="G12" i="28" l="1"/>
  <c r="G21" i="28"/>
  <c r="G11" i="28"/>
  <c r="G20" i="28"/>
  <c r="G19" i="28"/>
  <c r="G16" i="28"/>
  <c r="G5" i="28"/>
  <c r="G4" i="28"/>
  <c r="G3" i="28"/>
  <c r="E16" i="27"/>
  <c r="F16" i="27"/>
  <c r="G16" i="27"/>
  <c r="H16" i="27"/>
  <c r="D16" i="27"/>
  <c r="Q5" i="25"/>
  <c r="Q9" i="25"/>
  <c r="Q8" i="25"/>
  <c r="Q7" i="25"/>
  <c r="Q6" i="25"/>
  <c r="O8" i="25"/>
  <c r="O7" i="25"/>
  <c r="O5" i="25"/>
  <c r="O9" i="25"/>
  <c r="O6" i="25"/>
  <c r="E17" i="27" l="1"/>
  <c r="E18"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DE40BD-AA52-4460-9F00-1AB4D57B4328}" name="查询来自 northwind" type="1" refreshedVersion="7" background="1" saveData="1">
    <dbPr connection="DBQ=C:\USERS\端木辰\Desktop\经管机\习题数据源\习题二数据源\习2-3_Northwind.accdb;DefaultDir=C:\USERS\端木辰\Desktop\经管机\习题数据源\习题二数据源;Driver={Microsoft Access Driver (*.mdb, *.accdb)};DriverId=25;FIL=MS Access;MaxBufferSize=2048;MaxScanRows=8;PageTimeout=5;SafeTransactions=0;Threads=3;UserCommitSync=Yes;" command="SELECT 客户.地区, 客户.城市, Count(订单.订单ID) AS '订单数'_x000d__x000a_FROM 订单 订单, 客户 客户_x000d__x000a_WHERE 订单.客户ID = 客户.客户ID_x000d__x000a_GROUP BY 客户.地区, 客户.城市_x000d__x000a_HAVING (客户.地区='华南') OR (客户.地区='华南') OR (客户.地区='华南') OR (客户.地区='华南') OR (客户.地区='西南')"/>
  </connection>
  <connection id="2" xr16:uid="{452FDBC9-AB12-44B2-A119-01B75E332987}" name="查询来自 northwind1" type="1" refreshedVersion="7" background="1" saveData="1">
    <dbPr connection="DBQ=C:\USERS\端木辰\Desktop\经管机\习题数据源\习题二数据源\习2-3_Northwind.accdb;DefaultDir=C:\USERS\端木辰\Desktop\经管机\习题数据源\习题二数据源;Driver={Microsoft Access Driver (*.mdb, *.accdb)};DriverId=25;FIL=MS Access;MaxBufferSize=2048;MaxScanRows=8;PageTimeout=5;SafeTransactions=0;Threads=3;UserCommitSync=Yes;" command="SELECT 产品.产品名称, 订单.订购日期, 订单明细.单价*订单明细.数量*(1-折扣) AS '销售额'_x000d__x000a_FROM 产品 产品, 订单 订单, 订单明细 订单明细_x000d__x000a_WHERE 订单明细.产品ID = 产品.产品ID AND 订单.订单ID = 订单明细.订单I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<sst xmlns="http://schemas.openxmlformats.org/spreadsheetml/2006/main" count="7048" uniqueCount="171">
  <si>
    <t>学号</t>
  </si>
  <si>
    <t>姓名</t>
  </si>
  <si>
    <r>
      <rPr>
        <b/>
        <sz val="24"/>
        <color rgb="FF0070C0"/>
        <rFont val="微软雅黑"/>
        <family val="2"/>
        <charset val="134"/>
      </rPr>
      <t xml:space="preserve">《经济管理中的计算机应用》期中考试卷 </t>
    </r>
    <r>
      <rPr>
        <b/>
        <sz val="24"/>
        <color rgb="FF0070C0"/>
        <rFont val="微软雅黑"/>
        <family val="2"/>
        <charset val="134"/>
      </rPr>
      <t>（</t>
    </r>
    <r>
      <rPr>
        <b/>
        <sz val="24"/>
        <color rgb="FFFF0000"/>
        <rFont val="微软雅黑"/>
        <family val="2"/>
        <charset val="134"/>
      </rPr>
      <t>闭卷</t>
    </r>
    <r>
      <rPr>
        <b/>
        <sz val="24"/>
        <color rgb="FF0070C0"/>
        <rFont val="微软雅黑"/>
        <family val="2"/>
        <charset val="134"/>
      </rPr>
      <t>）</t>
    </r>
  </si>
  <si>
    <t>2023-2024学年 第2学期</t>
  </si>
  <si>
    <t>题目</t>
  </si>
  <si>
    <t>得分</t>
  </si>
  <si>
    <r>
      <rPr>
        <sz val="12"/>
        <rFont val="宋体"/>
        <family val="3"/>
        <charset val="134"/>
      </rPr>
      <t>第</t>
    </r>
    <r>
      <rPr>
        <sz val="12"/>
        <rFont val="Arial"/>
        <family val="2"/>
      </rPr>
      <t>1</t>
    </r>
    <r>
      <rPr>
        <sz val="12"/>
        <rFont val="宋体"/>
        <family val="3"/>
        <charset val="134"/>
      </rPr>
      <t>题</t>
    </r>
  </si>
  <si>
    <r>
      <rPr>
        <sz val="12"/>
        <rFont val="宋体"/>
        <family val="3"/>
        <charset val="134"/>
      </rPr>
      <t>第</t>
    </r>
    <r>
      <rPr>
        <sz val="12"/>
        <rFont val="Arial"/>
        <family val="2"/>
      </rPr>
      <t>2</t>
    </r>
    <r>
      <rPr>
        <sz val="12"/>
        <rFont val="宋体"/>
        <family val="3"/>
        <charset val="134"/>
      </rPr>
      <t>题</t>
    </r>
  </si>
  <si>
    <r>
      <rPr>
        <sz val="12"/>
        <rFont val="宋体"/>
        <family val="3"/>
        <charset val="134"/>
      </rPr>
      <t>第</t>
    </r>
    <r>
      <rPr>
        <sz val="12"/>
        <rFont val="Arial"/>
        <family val="2"/>
      </rPr>
      <t>3</t>
    </r>
    <r>
      <rPr>
        <sz val="12"/>
        <rFont val="宋体"/>
        <family val="3"/>
        <charset val="134"/>
      </rPr>
      <t>题</t>
    </r>
  </si>
  <si>
    <r>
      <rPr>
        <sz val="12"/>
        <rFont val="宋体"/>
        <family val="3"/>
        <charset val="134"/>
      </rPr>
      <t>第</t>
    </r>
    <r>
      <rPr>
        <sz val="12"/>
        <rFont val="Arial"/>
        <family val="2"/>
      </rPr>
      <t>4</t>
    </r>
    <r>
      <rPr>
        <sz val="12"/>
        <rFont val="宋体"/>
        <family val="3"/>
        <charset val="134"/>
      </rPr>
      <t>题</t>
    </r>
  </si>
  <si>
    <r>
      <rPr>
        <sz val="12"/>
        <rFont val="宋体"/>
        <family val="3"/>
        <charset val="134"/>
      </rPr>
      <t>第</t>
    </r>
    <r>
      <rPr>
        <sz val="12"/>
        <rFont val="Arial"/>
        <family val="2"/>
      </rPr>
      <t>5</t>
    </r>
    <r>
      <rPr>
        <sz val="12"/>
        <rFont val="宋体"/>
        <family val="3"/>
        <charset val="134"/>
      </rPr>
      <t>题</t>
    </r>
  </si>
  <si>
    <r>
      <rPr>
        <sz val="12"/>
        <rFont val="宋体"/>
        <family val="3"/>
        <charset val="134"/>
      </rPr>
      <t>第</t>
    </r>
    <r>
      <rPr>
        <sz val="12"/>
        <rFont val="Arial"/>
        <family val="2"/>
      </rPr>
      <t>6题</t>
    </r>
  </si>
  <si>
    <r>
      <rPr>
        <sz val="12"/>
        <rFont val="宋体"/>
        <family val="3"/>
        <charset val="134"/>
      </rPr>
      <t>第</t>
    </r>
    <r>
      <rPr>
        <sz val="12"/>
        <rFont val="Arial"/>
        <family val="2"/>
      </rPr>
      <t>7题</t>
    </r>
  </si>
  <si>
    <t>总分</t>
  </si>
  <si>
    <t>订单号</t>
  </si>
  <si>
    <t>销售日期</t>
  </si>
  <si>
    <t>类别名称</t>
  </si>
  <si>
    <t>单价</t>
  </si>
  <si>
    <t>数量</t>
  </si>
  <si>
    <t>销售额</t>
  </si>
  <si>
    <t>货主地区</t>
  </si>
  <si>
    <t>猫罐头</t>
  </si>
  <si>
    <t>华北</t>
  </si>
  <si>
    <t>华东</t>
  </si>
  <si>
    <t>华中</t>
  </si>
  <si>
    <t>华南</t>
  </si>
  <si>
    <t>东北</t>
  </si>
  <si>
    <t>西南</t>
  </si>
  <si>
    <t>洁齿酥</t>
  </si>
  <si>
    <t>猫条</t>
  </si>
  <si>
    <t>年</t>
  </si>
  <si>
    <t>月份</t>
  </si>
  <si>
    <t>MSE</t>
  </si>
  <si>
    <t>均方误差最小值</t>
  </si>
  <si>
    <t>最优移动平均跨度</t>
  </si>
  <si>
    <t>2013年1月的预测值</t>
  </si>
  <si>
    <t>星期</t>
  </si>
  <si>
    <t>需求</t>
  </si>
  <si>
    <t>食品(Y)</t>
  </si>
  <si>
    <t>住宅(X)</t>
  </si>
  <si>
    <t>线性回归：</t>
  </si>
  <si>
    <t>a1</t>
  </si>
  <si>
    <t>b1</t>
  </si>
  <si>
    <t>判定系数</t>
  </si>
  <si>
    <t>对数回归：</t>
  </si>
  <si>
    <t>a2</t>
  </si>
  <si>
    <t>b2</t>
  </si>
  <si>
    <t>比较结论：</t>
  </si>
  <si>
    <t>预测：</t>
  </si>
  <si>
    <t>住宅</t>
  </si>
  <si>
    <t>食品　</t>
  </si>
  <si>
    <t>已考</t>
  </si>
  <si>
    <t>序号</t>
    <phoneticPr fontId="18" type="noConversion"/>
  </si>
  <si>
    <t>地区</t>
  </si>
  <si>
    <t>城市</t>
  </si>
  <si>
    <t>海口</t>
  </si>
  <si>
    <t>深圳</t>
  </si>
  <si>
    <t>厦门</t>
  </si>
  <si>
    <t>成都</t>
  </si>
  <si>
    <t>重庆</t>
  </si>
  <si>
    <t>'订单数'</t>
  </si>
  <si>
    <t>行标签</t>
  </si>
  <si>
    <t>总计</t>
  </si>
  <si>
    <t>2019年</t>
  </si>
  <si>
    <t>列标签</t>
  </si>
  <si>
    <t>求和项:销售额</t>
  </si>
  <si>
    <t xml:space="preserve"> </t>
  </si>
  <si>
    <t>低价位</t>
  </si>
  <si>
    <t>高价位</t>
  </si>
  <si>
    <t>产品名称</t>
  </si>
  <si>
    <t>订购日期</t>
  </si>
  <si>
    <t>'销售额'</t>
  </si>
  <si>
    <t>苹果汁</t>
  </si>
  <si>
    <t>牛奶</t>
  </si>
  <si>
    <t>蕃茄酱</t>
  </si>
  <si>
    <t>盐</t>
  </si>
  <si>
    <t>麻油</t>
  </si>
  <si>
    <t>酱油</t>
  </si>
  <si>
    <t>海鲜粉</t>
  </si>
  <si>
    <t>胡椒粉</t>
  </si>
  <si>
    <t>鸡</t>
  </si>
  <si>
    <t>蟹</t>
  </si>
  <si>
    <t>大众奶酪</t>
  </si>
  <si>
    <t>德国奶酪</t>
  </si>
  <si>
    <t>龙虾</t>
  </si>
  <si>
    <t>沙茶</t>
  </si>
  <si>
    <t>味精</t>
  </si>
  <si>
    <t>饼干</t>
  </si>
  <si>
    <t>猪肉</t>
  </si>
  <si>
    <t>墨鱼</t>
  </si>
  <si>
    <t>糖果</t>
  </si>
  <si>
    <t>桂花糕</t>
  </si>
  <si>
    <t>花生</t>
  </si>
  <si>
    <t>糯米</t>
  </si>
  <si>
    <t>燕麦</t>
  </si>
  <si>
    <t>汽水</t>
  </si>
  <si>
    <t>巧克力</t>
  </si>
  <si>
    <t>棉花糖</t>
  </si>
  <si>
    <t>牛肉干</t>
  </si>
  <si>
    <t>烤肉酱</t>
  </si>
  <si>
    <t>鸭肉</t>
  </si>
  <si>
    <t>黄鱼</t>
  </si>
  <si>
    <t>温馨奶酪</t>
  </si>
  <si>
    <t>白奶酪</t>
  </si>
  <si>
    <t>浪花奶酪</t>
  </si>
  <si>
    <t>啤酒</t>
  </si>
  <si>
    <t>蜜桃汁</t>
  </si>
  <si>
    <t>鱿鱼</t>
  </si>
  <si>
    <t>干贝</t>
  </si>
  <si>
    <t>绿茶</t>
  </si>
  <si>
    <t>运动饮料</t>
  </si>
  <si>
    <t>虾米</t>
  </si>
  <si>
    <t>虾子</t>
  </si>
  <si>
    <t>糙米</t>
  </si>
  <si>
    <t>柳橙汁</t>
  </si>
  <si>
    <t>蚝油</t>
  </si>
  <si>
    <t>雪鱼</t>
  </si>
  <si>
    <t>蚵</t>
  </si>
  <si>
    <t>蛋糕</t>
  </si>
  <si>
    <t>玉米片</t>
  </si>
  <si>
    <t>薯条</t>
  </si>
  <si>
    <t>玉米饼</t>
  </si>
  <si>
    <t>猪肉干</t>
  </si>
  <si>
    <t>三合一麦片</t>
  </si>
  <si>
    <t>盐水鸭</t>
  </si>
  <si>
    <t>鸡肉</t>
  </si>
  <si>
    <t>白米</t>
  </si>
  <si>
    <t>小米</t>
  </si>
  <si>
    <t>海参</t>
  </si>
  <si>
    <t>光明奶酪</t>
  </si>
  <si>
    <t>花奶酪</t>
  </si>
  <si>
    <t>海鲜酱</t>
  </si>
  <si>
    <t>山渣片</t>
  </si>
  <si>
    <t>甜辣酱</t>
  </si>
  <si>
    <t>黄豆</t>
  </si>
  <si>
    <t>海苔酱</t>
  </si>
  <si>
    <t>肉松</t>
  </si>
  <si>
    <t>矿泉水</t>
  </si>
  <si>
    <t>绿豆糕</t>
  </si>
  <si>
    <t>黑奶酪</t>
  </si>
  <si>
    <t>苏打水</t>
  </si>
  <si>
    <t>意大利奶酪</t>
  </si>
  <si>
    <t>酸奶酪</t>
  </si>
  <si>
    <t>海哲皮</t>
  </si>
  <si>
    <t>鸡精</t>
  </si>
  <si>
    <t>浓缩咖啡</t>
  </si>
  <si>
    <t>柠檬汁</t>
  </si>
  <si>
    <t>辣椒粉</t>
  </si>
  <si>
    <t>年份</t>
    <phoneticPr fontId="18" type="noConversion"/>
  </si>
  <si>
    <t>年季度</t>
    <phoneticPr fontId="18" type="noConversion"/>
  </si>
  <si>
    <t>2018年3季度</t>
  </si>
  <si>
    <t>2018年4季度</t>
  </si>
  <si>
    <t>2019年1季度</t>
  </si>
  <si>
    <t>2019年2季度</t>
  </si>
  <si>
    <t>2019年3季度</t>
  </si>
  <si>
    <t>2019年4季度</t>
  </si>
  <si>
    <t>2020年1季度</t>
  </si>
  <si>
    <t>2020年2季度</t>
  </si>
  <si>
    <t>2020年3季度</t>
  </si>
  <si>
    <t>2020年4季度</t>
  </si>
  <si>
    <t>销售额总计</t>
    <phoneticPr fontId="18" type="noConversion"/>
  </si>
  <si>
    <t>销售次数总计</t>
    <phoneticPr fontId="18" type="noConversion"/>
  </si>
  <si>
    <t>平均值项:需求</t>
  </si>
  <si>
    <t>周均值</t>
    <phoneticPr fontId="18" type="noConversion"/>
  </si>
  <si>
    <t>总均值</t>
    <phoneticPr fontId="18" type="noConversion"/>
  </si>
  <si>
    <t>季节指数</t>
    <phoneticPr fontId="18" type="noConversion"/>
  </si>
  <si>
    <t>去除季节指数</t>
    <phoneticPr fontId="18" type="noConversion"/>
  </si>
  <si>
    <t>预测值</t>
    <phoneticPr fontId="18" type="noConversion"/>
  </si>
  <si>
    <t>趋势预测值</t>
    <phoneticPr fontId="18" type="noConversion"/>
  </si>
  <si>
    <t>lnx</t>
    <phoneticPr fontId="18" type="noConversion"/>
  </si>
  <si>
    <t>对数回归模型更好</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</si>
</sst>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00_);_(* \(#,##0.00\);_(* &quot;-&quot;??_);_(@_)"/>
    <numFmt numFmtId="177" formatCode="0.0_ "/>
    <numFmt numFmtId="178" formatCode="yy&quot;年&quot;m&quot;月&quot;"/>
    <numFmt numFmtId="179" formatCode="yyyy&quot;年&quot;m&quot;月&quot;d&quot;日&quot;;@"/>
  </numFmts>
  <fonts count="22" x14ac:knownFonts="1">
    <font>
      <sz val="12"/>
      <name val="宋体"/>
      <charset val="134"/>
    </font>
    <font>
      <sz val="11"/>
      <color theme="1"/>
      <name val="宋体"/>
      <family val="3"/>
      <charset val="134"/>
      <scheme val="minor"/>
    </font>
    <font>
      <sz val="10"/>
      <name val="宋体"/>
      <family val="3"/>
      <charset val="134"/>
    </font>
    <font>
      <sz val="11"/>
      <name val="宋体"/>
      <family val="3"/>
      <charset val="134"/>
    </font>
    <font>
      <b/>
      <sz val="12"/>
      <name val="宋体"/>
      <family val="3"/>
      <charset val="134"/>
    </font>
    <font>
      <sz val="10"/>
      <name val="Arial"/>
      <family val="2"/>
    </font>
    <font>
      <sz val="11"/>
      <name val="Arial"/>
      <family val="2"/>
    </font>
    <font>
      <b/>
      <sz val="11"/>
      <name val="宋体"/>
      <family val="3"/>
      <charset val="134"/>
    </font>
    <font>
      <sz val="12"/>
      <name val="Arial"/>
      <family val="2"/>
    </font>
    <font>
      <sz val="12"/>
      <name val="黑体"/>
      <family val="3"/>
      <charset val="134"/>
    </font>
    <font>
      <b/>
      <sz val="12"/>
      <name val="Arial"/>
      <family val="2"/>
    </font>
    <font>
      <b/>
      <sz val="12"/>
      <name val="黑体"/>
      <family val="3"/>
      <charset val="134"/>
    </font>
    <font>
      <b/>
      <sz val="12"/>
      <color indexed="10"/>
      <name val="黑体"/>
      <family val="3"/>
      <charset val="134"/>
    </font>
    <font>
      <b/>
      <sz val="24"/>
      <color rgb="FF0070C0"/>
      <name val="微软雅黑"/>
      <family val="2"/>
      <charset val="134"/>
    </font>
    <font>
      <b/>
      <sz val="16"/>
      <color rgb="FF0070C0"/>
      <name val="微软雅黑"/>
      <family val="2"/>
      <charset val="134"/>
    </font>
    <font>
      <b/>
      <sz val="12"/>
      <color theme="0"/>
      <name val="宋体"/>
      <family val="3"/>
      <charset val="134"/>
    </font>
    <font>
      <b/>
      <sz val="24"/>
      <color rgb="FFFF0000"/>
      <name val="微软雅黑"/>
      <family val="2"/>
      <charset val="134"/>
    </font>
    <font>
      <sz val="12"/>
      <name val="宋体"/>
      <family val="3"/>
      <charset val="134"/>
    </font>
    <font>
      <sz val="9"/>
      <name val="宋体"/>
      <family val="3"/>
      <charset val="134"/>
    </font>
    <font>
      <sz val="11"/>
      <name val="宋体"/>
      <family val="3"/>
      <charset val="134"/>
      <scheme val="minor"/>
    </font>
    <font>
      <sz val="12"/>
      <name val="Times New Roman"/>
      <family val="1"/>
    </font>
    <font>
      <sz val="9"/>
      <name val="Microsoft YaHei UI"/>
      <family val="2"/>
      <charset val="134"/>
    </font>
  </fonts>
  <fills count="10">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0"/>
        <bgColor indexed="64"/>
      </patternFill>
    </fill>
    <fill>
      <patternFill patternType="solid">
        <fgColor indexed="47"/>
        <bgColor indexed="64"/>
      </patternFill>
    </fill>
    <fill>
      <patternFill patternType="solid">
        <fgColor indexed="13"/>
        <bgColor indexed="64"/>
      </patternFill>
    </fill>
    <fill>
      <patternFill patternType="solid">
        <fgColor theme="0" tint="-0.249977111117893"/>
        <bgColor indexed="64"/>
      </patternFill>
    </fill>
    <fill>
      <patternFill patternType="solid">
        <fgColor rgb="FFFFFFCC"/>
        <bgColor indexed="64"/>
      </patternFill>
    </fill>
    <fill>
      <patternFill patternType="solid">
        <fgColor theme="4" tint="0.79995117038483843"/>
        <bgColor indexed="64"/>
      </patternFill>
    </fill>
  </fills>
  <borders count="7">
    <border>
      <left/>
      <right/>
      <top/>
      <bottom/>
      <diagonal/>
    </border>
    <border>
      <left style="thin">
        <color auto="1"/>
      </left>
      <right style="thin">
        <color auto="1"/>
      </right>
      <top style="thin">
        <color auto="1"/>
      </top>
      <bottom style="thin">
        <color auto="1"/>
      </bottom>
      <diagonal/>
    </border>
    <border>
      <left style="double">
        <color indexed="10"/>
      </left>
      <right/>
      <top style="double">
        <color indexed="10"/>
      </top>
      <bottom style="double">
        <color indexed="10"/>
      </bottom>
      <diagonal/>
    </border>
    <border>
      <left/>
      <right style="double">
        <color indexed="10"/>
      </right>
      <top style="double">
        <color indexed="10"/>
      </top>
      <bottom style="double">
        <color indexed="10"/>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4">
    <xf numFmtId="0" fontId="0" fillId="0" borderId="0">
      <alignment vertical="center"/>
    </xf>
    <xf numFmtId="0" fontId="1" fillId="0" borderId="0">
      <alignment vertical="center"/>
    </xf>
    <xf numFmtId="9" fontId="17" fillId="0" borderId="0" applyFont="0" applyFill="0" applyBorder="0" applyAlignment="0" applyProtection="0">
      <alignment vertical="center"/>
    </xf>
    <xf numFmtId="9" fontId="17" fillId="0" borderId="0" applyFont="0" applyFill="0" applyBorder="0" applyAlignment="0" applyProtection="0"/>
    <xf numFmtId="9" fontId="1" fillId="0" borderId="0" applyFont="0" applyFill="0" applyBorder="0" applyAlignment="0" applyProtection="0">
      <alignment vertical="center"/>
    </xf>
    <xf numFmtId="0" fontId="17" fillId="0" borderId="0"/>
    <xf numFmtId="0" fontId="17" fillId="0" borderId="0"/>
    <xf numFmtId="0" fontId="17" fillId="0" borderId="0">
      <alignment vertical="center"/>
    </xf>
    <xf numFmtId="0" fontId="1" fillId="0" borderId="0">
      <alignment vertical="center"/>
    </xf>
    <xf numFmtId="0" fontId="5" fillId="0" borderId="0"/>
    <xf numFmtId="0" fontId="17" fillId="0" borderId="0">
      <alignment vertical="center"/>
    </xf>
    <xf numFmtId="0" fontId="1" fillId="0" borderId="0"/>
    <xf numFmtId="0" fontId="1" fillId="0" borderId="0">
      <alignment vertical="center"/>
    </xf>
    <xf numFmtId="0" fontId="17" fillId="0" borderId="0"/>
    <xf numFmtId="0" fontId="1" fillId="0" borderId="0"/>
    <xf numFmtId="0" fontId="1" fillId="0" borderId="0">
      <alignment vertical="center"/>
    </xf>
    <xf numFmtId="0" fontId="1" fillId="0" borderId="0">
      <alignment vertical="center"/>
    </xf>
    <xf numFmtId="0" fontId="1" fillId="0" borderId="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17" fillId="0" borderId="0" applyFont="0" applyFill="0" applyBorder="0" applyAlignment="0" applyProtection="0">
      <alignment vertical="center"/>
    </xf>
    <xf numFmtId="176" fontId="17" fillId="0" borderId="0" applyFont="0" applyFill="0" applyBorder="0" applyAlignment="0" applyProtection="0">
      <alignment vertical="center"/>
    </xf>
  </cellStyleXfs>
  <cellXfs count="73">
    <xf numFmtId="0" fontId="0" fillId="0" borderId="0" xfId="0">
      <alignment vertical="center"/>
    </xf>
    <xf numFmtId="0" fontId="1" fillId="0" borderId="0" xfId="11"/>
    <xf numFmtId="0" fontId="2" fillId="0" borderId="0" xfId="19" applyFont="1">
      <alignment vertical="center"/>
    </xf>
    <xf numFmtId="0" fontId="2" fillId="2" borderId="1" xfId="20" applyFont="1" applyFill="1" applyBorder="1" applyAlignment="1">
      <alignment horizontal="center"/>
    </xf>
    <xf numFmtId="0" fontId="2" fillId="0" borderId="0" xfId="20" applyFont="1">
      <alignment vertical="center"/>
    </xf>
    <xf numFmtId="0" fontId="2" fillId="2" borderId="1" xfId="20" applyFont="1" applyFill="1" applyBorder="1">
      <alignment vertical="center"/>
    </xf>
    <xf numFmtId="177" fontId="2" fillId="3" borderId="1" xfId="20" applyNumberFormat="1" applyFont="1" applyFill="1" applyBorder="1">
      <alignment vertical="center"/>
    </xf>
    <xf numFmtId="0" fontId="2" fillId="4" borderId="1" xfId="20" applyFont="1" applyFill="1" applyBorder="1">
      <alignment vertical="center"/>
    </xf>
    <xf numFmtId="0" fontId="2" fillId="3" borderId="1" xfId="20" applyFont="1" applyFill="1" applyBorder="1">
      <alignment vertical="center"/>
    </xf>
    <xf numFmtId="2" fontId="2" fillId="4" borderId="1" xfId="20" applyNumberFormat="1" applyFont="1" applyFill="1" applyBorder="1">
      <alignment vertical="center"/>
    </xf>
    <xf numFmtId="0" fontId="3" fillId="0" borderId="0" xfId="21" applyFont="1">
      <alignment vertical="center"/>
    </xf>
    <xf numFmtId="0" fontId="1" fillId="0" borderId="0" xfId="17">
      <alignment vertical="center"/>
    </xf>
    <xf numFmtId="0" fontId="1" fillId="0" borderId="0" xfId="15">
      <alignment vertical="center"/>
    </xf>
    <xf numFmtId="0" fontId="2" fillId="5" borderId="1" xfId="10" applyFont="1" applyFill="1" applyBorder="1" applyAlignment="1">
      <alignment horizontal="center"/>
    </xf>
    <xf numFmtId="0" fontId="17" fillId="0" borderId="0" xfId="10">
      <alignment vertical="center"/>
    </xf>
    <xf numFmtId="178" fontId="17" fillId="3" borderId="4" xfId="10" applyNumberFormat="1" applyFill="1" applyBorder="1">
      <alignment vertical="center"/>
    </xf>
    <xf numFmtId="0" fontId="17" fillId="3" borderId="4" xfId="10" applyFill="1" applyBorder="1">
      <alignment vertical="center"/>
    </xf>
    <xf numFmtId="2" fontId="5" fillId="4" borderId="4" xfId="10" applyNumberFormat="1" applyFont="1" applyFill="1" applyBorder="1">
      <alignment vertical="center"/>
    </xf>
    <xf numFmtId="178" fontId="17" fillId="3" borderId="5" xfId="10" applyNumberFormat="1" applyFill="1" applyBorder="1">
      <alignment vertical="center"/>
    </xf>
    <xf numFmtId="0" fontId="17" fillId="3" borderId="5" xfId="10" applyFill="1" applyBorder="1">
      <alignment vertical="center"/>
    </xf>
    <xf numFmtId="0" fontId="17" fillId="0" borderId="1" xfId="10" applyBorder="1">
      <alignment vertical="center"/>
    </xf>
    <xf numFmtId="0" fontId="17" fillId="0" borderId="6" xfId="10" applyBorder="1">
      <alignment vertical="center"/>
    </xf>
    <xf numFmtId="0" fontId="6" fillId="0" borderId="0" xfId="5" applyFont="1" applyAlignment="1">
      <alignment horizontal="center"/>
    </xf>
    <xf numFmtId="0" fontId="7" fillId="7" borderId="1" xfId="5" applyFont="1" applyFill="1" applyBorder="1" applyAlignment="1">
      <alignment horizontal="center"/>
    </xf>
    <xf numFmtId="0" fontId="6" fillId="8" borderId="1" xfId="5" applyFont="1" applyFill="1" applyBorder="1" applyAlignment="1">
      <alignment horizontal="center"/>
    </xf>
    <xf numFmtId="179" fontId="6" fillId="8" borderId="1" xfId="5" applyNumberFormat="1" applyFont="1" applyFill="1" applyBorder="1" applyAlignment="1">
      <alignment horizontal="center"/>
    </xf>
    <xf numFmtId="0" fontId="3" fillId="8" borderId="1" xfId="5" applyFont="1" applyFill="1" applyBorder="1" applyAlignment="1">
      <alignment horizontal="center"/>
    </xf>
    <xf numFmtId="2" fontId="6" fillId="8" borderId="1" xfId="5" applyNumberFormat="1" applyFont="1" applyFill="1" applyBorder="1" applyAlignment="1">
      <alignment horizontal="center"/>
    </xf>
    <xf numFmtId="0" fontId="8" fillId="0" borderId="0" xfId="5" applyFont="1" applyAlignment="1">
      <alignment horizontal="center"/>
    </xf>
    <xf numFmtId="0" fontId="8" fillId="0" borderId="0" xfId="5" applyFont="1"/>
    <xf numFmtId="0" fontId="17" fillId="0" borderId="0" xfId="5" applyProtection="1">
      <protection hidden="1"/>
    </xf>
    <xf numFmtId="0" fontId="9" fillId="0" borderId="0" xfId="5" applyFont="1" applyProtection="1">
      <protection hidden="1"/>
    </xf>
    <xf numFmtId="49" fontId="10" fillId="6" borderId="1" xfId="5" applyNumberFormat="1" applyFont="1" applyFill="1" applyBorder="1" applyProtection="1">
      <protection hidden="1"/>
    </xf>
    <xf numFmtId="49" fontId="11" fillId="6" borderId="1" xfId="5" applyNumberFormat="1" applyFont="1" applyFill="1" applyBorder="1" applyProtection="1">
      <protection hidden="1"/>
    </xf>
    <xf numFmtId="0" fontId="12" fillId="0" borderId="0" xfId="5" applyFont="1" applyProtection="1">
      <protection hidden="1"/>
    </xf>
    <xf numFmtId="0" fontId="4" fillId="0" borderId="0" xfId="5" applyFont="1" applyProtection="1">
      <protection hidden="1"/>
    </xf>
    <xf numFmtId="0" fontId="17" fillId="0" borderId="0" xfId="5" applyFill="1" applyBorder="1" applyProtection="1">
      <protection hidden="1"/>
    </xf>
    <xf numFmtId="0" fontId="17" fillId="0" borderId="0" xfId="5" applyFill="1" applyBorder="1" applyAlignment="1" applyProtection="1">
      <alignment horizontal="center"/>
      <protection hidden="1"/>
    </xf>
    <xf numFmtId="0" fontId="0" fillId="2" borderId="1" xfId="18" applyFont="1" applyFill="1" applyBorder="1" applyAlignment="1" applyProtection="1">
      <alignment horizontal="center"/>
      <protection hidden="1"/>
    </xf>
    <xf numFmtId="0" fontId="4" fillId="0" borderId="0" xfId="5" applyFont="1" applyFill="1" applyBorder="1" applyProtection="1">
      <protection hidden="1"/>
    </xf>
    <xf numFmtId="0" fontId="0" fillId="9" borderId="1" xfId="18" applyFont="1" applyFill="1" applyBorder="1" applyAlignment="1" applyProtection="1">
      <alignment horizontal="center"/>
      <protection hidden="1"/>
    </xf>
    <xf numFmtId="0" fontId="8" fillId="9" borderId="1" xfId="18" applyFont="1" applyFill="1" applyBorder="1" applyAlignment="1" applyProtection="1">
      <alignment horizontal="center"/>
      <protection hidden="1"/>
    </xf>
    <xf numFmtId="0" fontId="8" fillId="2" borderId="1" xfId="18" applyFont="1" applyFill="1" applyBorder="1" applyAlignment="1" applyProtection="1">
      <alignment horizontal="center"/>
      <protection hidden="1"/>
    </xf>
    <xf numFmtId="0" fontId="15" fillId="0" borderId="0" xfId="5" applyFont="1" applyFill="1" applyBorder="1" applyProtection="1">
      <protection hidden="1"/>
    </xf>
    <xf numFmtId="1" fontId="5" fillId="4" borderId="4" xfId="10" applyNumberFormat="1" applyFont="1" applyFill="1" applyBorder="1">
      <alignment vertical="center"/>
    </xf>
    <xf numFmtId="0" fontId="20" fillId="4" borderId="1" xfId="17" applyFont="1" applyFill="1" applyBorder="1" applyAlignment="1">
      <alignment horizontal="justify" vertical="center" wrapText="1"/>
    </xf>
    <xf numFmtId="0" fontId="19" fillId="4" borderId="1" xfId="17" applyFont="1" applyFill="1" applyBorder="1" applyAlignment="1">
      <alignment horizontal="center" vertical="center"/>
    </xf>
    <xf numFmtId="0" fontId="17" fillId="4" borderId="1" xfId="17" applyFont="1" applyFill="1" applyBorder="1" applyAlignment="1">
      <alignment horizontal="justify" vertical="center" wrapText="1"/>
    </xf>
    <xf numFmtId="0" fontId="13" fillId="0" borderId="0" xfId="5" applyFont="1" applyAlignment="1" applyProtection="1">
      <alignment horizontal="center"/>
      <protection hidden="1"/>
    </xf>
    <xf numFmtId="0" fontId="14" fillId="0" borderId="0" xfId="5" applyFont="1" applyAlignment="1" applyProtection="1">
      <alignment horizontal="center"/>
      <protection hidden="1"/>
    </xf>
    <xf numFmtId="0" fontId="19" fillId="4" borderId="1" xfId="17" applyFont="1" applyFill="1" applyBorder="1" applyAlignment="1">
      <alignment horizontal="center" vertical="center"/>
    </xf>
    <xf numFmtId="0" fontId="2" fillId="4" borderId="2" xfId="20" applyFont="1" applyFill="1" applyBorder="1" applyAlignment="1">
      <alignment horizontal="center" vertical="center"/>
    </xf>
    <xf numFmtId="0" fontId="2" fillId="4" borderId="3" xfId="20" applyFont="1" applyFill="1" applyBorder="1" applyAlignment="1">
      <alignment horizontal="center" vertical="center"/>
    </xf>
    <xf numFmtId="0" fontId="1" fillId="0" borderId="0" xfId="11" applyFill="1"/>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1" fillId="0" borderId="0" xfId="11" applyNumberFormat="1" applyFill="1"/>
    <xf numFmtId="0" fontId="1" fillId="0" borderId="0" xfId="11" applyNumberFormat="1"/>
    <xf numFmtId="14" fontId="1" fillId="0" borderId="0" xfId="11" applyNumberFormat="1" applyFill="1"/>
    <xf numFmtId="14" fontId="1" fillId="0" borderId="0" xfId="11" applyNumberFormat="1"/>
    <xf numFmtId="0" fontId="1" fillId="0" borderId="1" xfId="11" applyFill="1" applyBorder="1"/>
    <xf numFmtId="9" fontId="1" fillId="0" borderId="0" xfId="11" applyNumberFormat="1"/>
    <xf numFmtId="0" fontId="7" fillId="7" borderId="1" xfId="5" applyNumberFormat="1" applyFont="1" applyFill="1" applyBorder="1" applyAlignment="1">
      <alignment horizontal="center"/>
    </xf>
    <xf numFmtId="0" fontId="6" fillId="8" borderId="1" xfId="5" applyNumberFormat="1" applyFont="1" applyFill="1" applyBorder="1" applyAlignment="1">
      <alignment horizontal="center"/>
    </xf>
    <xf numFmtId="0" fontId="1" fillId="0" borderId="0" xfId="15" applyNumberFormat="1">
      <alignment vertical="center"/>
    </xf>
    <xf numFmtId="0" fontId="1" fillId="0" borderId="1" xfId="15" applyBorder="1">
      <alignment vertical="center"/>
    </xf>
    <xf numFmtId="0" fontId="2" fillId="5" borderId="1" xfId="10" applyNumberFormat="1" applyFont="1" applyFill="1" applyBorder="1" applyAlignment="1">
      <alignment horizontal="center"/>
    </xf>
    <xf numFmtId="0" fontId="17" fillId="3" borderId="4" xfId="10" applyNumberFormat="1" applyFill="1" applyBorder="1">
      <alignment vertical="center"/>
    </xf>
    <xf numFmtId="0" fontId="17" fillId="0" borderId="0" xfId="10" applyNumberFormat="1">
      <alignment vertical="center"/>
    </xf>
    <xf numFmtId="2" fontId="17" fillId="6" borderId="1" xfId="10" applyNumberFormat="1" applyFill="1" applyBorder="1">
      <alignment vertical="center"/>
    </xf>
    <xf numFmtId="0" fontId="2" fillId="2" borderId="0" xfId="20" applyFont="1" applyFill="1" applyBorder="1" applyAlignment="1">
      <alignment horizontal="center"/>
    </xf>
    <xf numFmtId="177" fontId="2" fillId="3" borderId="0" xfId="20" applyNumberFormat="1" applyFont="1" applyFill="1" applyBorder="1">
      <alignment vertical="center"/>
    </xf>
  </cellXfs>
  <cellStyles count="24">
    <cellStyle name="Normal 5" xfId="1" xr:uid="{00000000-0005-0000-0000-000000000000}"/>
    <cellStyle name="百分比 2" xfId="2" xr:uid="{00000000-0005-0000-0000-000001000000}"/>
    <cellStyle name="百分比 2 3" xfId="3" xr:uid="{00000000-0005-0000-0000-000002000000}"/>
    <cellStyle name="百分比 3" xfId="4" xr:uid="{00000000-0005-0000-0000-000003000000}"/>
    <cellStyle name="常规" xfId="0" builtinId="0"/>
    <cellStyle name="常规 2" xfId="5" xr:uid="{00000000-0005-0000-0000-000005000000}"/>
    <cellStyle name="常规 2 2" xfId="6" xr:uid="{00000000-0005-0000-0000-000006000000}"/>
    <cellStyle name="常规 2 2 2" xfId="7" xr:uid="{00000000-0005-0000-0000-000007000000}"/>
    <cellStyle name="常规 2 3" xfId="8" xr:uid="{00000000-0005-0000-0000-000008000000}"/>
    <cellStyle name="常规 2 3 2" xfId="9" xr:uid="{00000000-0005-0000-0000-000009000000}"/>
    <cellStyle name="常规 3" xfId="10" xr:uid="{00000000-0005-0000-0000-00000A000000}"/>
    <cellStyle name="常规 3 2" xfId="11" xr:uid="{00000000-0005-0000-0000-00000B000000}"/>
    <cellStyle name="常规 3 2 2" xfId="12" xr:uid="{00000000-0005-0000-0000-00000C000000}"/>
    <cellStyle name="常规 3_第2次第3场-答案和评分标准" xfId="13" xr:uid="{00000000-0005-0000-0000-00000D000000}"/>
    <cellStyle name="常规 4" xfId="14" xr:uid="{00000000-0005-0000-0000-00000E000000}"/>
    <cellStyle name="常规 4 2" xfId="15" xr:uid="{00000000-0005-0000-0000-00000F000000}"/>
    <cellStyle name="常规 5" xfId="16" xr:uid="{00000000-0005-0000-0000-000010000000}"/>
    <cellStyle name="常规 7" xfId="17" xr:uid="{00000000-0005-0000-0000-000011000000}"/>
    <cellStyle name="常规_ks1" xfId="18" xr:uid="{00000000-0005-0000-0000-000012000000}"/>
    <cellStyle name="常规_第4第5章" xfId="19" xr:uid="{00000000-0005-0000-0000-000013000000}"/>
    <cellStyle name="常规_第4第5章_ks" xfId="20" xr:uid="{00000000-0005-0000-0000-000014000000}"/>
    <cellStyle name="常规_第8章投资评价出题-200712" xfId="21" xr:uid="{00000000-0005-0000-0000-000015000000}"/>
    <cellStyle name="千位分隔 2" xfId="22" xr:uid="{00000000-0005-0000-0000-000016000000}"/>
    <cellStyle name="千位分隔 4" xfId="23" xr:uid="{00000000-0005-0000-0000-000017000000}"/>
  </cellStyles>
  <dxfs count="3">
    <dxf>
      <numFmt numFmtId="0" formatCode="General"/>
      <fill>
        <patternFill patternType="none">
          <fgColor indexed="64"/>
          <bgColor indexed="65"/>
        </patternFill>
      </fill>
    </dxf>
    <dxf>
      <numFmt numFmtId="19" formatCode="yyyy/m/d"/>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前五产品各年销售的百分比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16E-4D40-947A-0815CE7620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16E-4D40-947A-0815CE7620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A16E-4D40-947A-0815CE7620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16E-4D40-947A-0815CE7620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A16E-4D40-947A-0815CE7620BD}"/>
              </c:ext>
            </c:extLst>
          </c:dPt>
          <c:dLbls>
            <c:dLbl>
              <c:idx val="0"/>
              <c:layout>
                <c:manualLayout>
                  <c:x val="4.2915682414698161E-2"/>
                  <c:y val="1.551910177894429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6E-4D40-947A-0815CE7620BD}"/>
                </c:ext>
              </c:extLst>
            </c:dLbl>
            <c:dLbl>
              <c:idx val="1"/>
              <c:layout>
                <c:manualLayout>
                  <c:x val="2.0260826771653542E-2"/>
                  <c:y val="2.04480169145523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6E-4D40-947A-0815CE7620BD}"/>
                </c:ext>
              </c:extLst>
            </c:dLbl>
            <c:dLbl>
              <c:idx val="2"/>
              <c:layout>
                <c:manualLayout>
                  <c:x val="-1.632108486439195E-2"/>
                  <c:y val="1.977179935841361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6E-4D40-947A-0815CE7620BD}"/>
                </c:ext>
              </c:extLst>
            </c:dLbl>
            <c:dLbl>
              <c:idx val="3"/>
              <c:layout>
                <c:manualLayout>
                  <c:x val="-4.8300415573053368E-2"/>
                  <c:y val="7.74970836978711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6E-4D40-947A-0815CE7620BD}"/>
                </c:ext>
              </c:extLst>
            </c:dLbl>
            <c:dLbl>
              <c:idx val="4"/>
              <c:layout>
                <c:manualLayout>
                  <c:x val="-8.5834755030621171E-2"/>
                  <c:y val="1.966717701953922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6E-4D40-947A-0815CE7620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'第3题 '!$O$5:$O$9</c:f>
              <c:strCache>
                <c:ptCount val="5"/>
                <c:pt idx="0">
                  <c:v>绿茶</c:v>
                </c:pt>
                <c:pt idx="1">
                  <c:v>鸭肉</c:v>
                </c:pt>
                <c:pt idx="2">
                  <c:v>光明奶酪</c:v>
                </c:pt>
                <c:pt idx="3">
                  <c:v>猪肉</c:v>
                </c:pt>
                <c:pt idx="4">
                  <c:v>花奶酪</c:v>
                </c:pt>
              </c:strCache>
            </c:strRef>
          </c:cat>
          <c:val>
            <c:numRef>
              <c:f>'第3题 '!$Q$5:$Q$9</c:f>
              <c:numCache>
                <c:formatCode>0%</c:formatCode>
                <c:ptCount val="5"/>
                <c:pt idx="0">
                  <c:v>0.39712344581792236</c:v>
                </c:pt>
                <c:pt idx="1">
                  <c:v>0.23207520961225805</c:v>
                </c:pt>
                <c:pt idx="2">
                  <c:v>0.15540042673909818</c:v>
                </c:pt>
                <c:pt idx="3">
                  <c:v>0.11338273496484708</c:v>
                </c:pt>
                <c:pt idx="4">
                  <c:v>0.10201818286587433</c:v>
                </c:pt>
              </c:numCache>
            </c:numRef>
          </c:val>
          <c:extLst>
            <c:ext xmlns:c16="http://schemas.microsoft.com/office/drawing/2014/chart" uri="{C3380CC4-5D6E-409C-BE32-E72D297353CC}">
              <c16:uniqueId val="{00000000-A16E-4D40-947A-0815CE7620BD}"/>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各季度销售情况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9247594050743664E-2"/>
          <c:y val="0.17685185185185184"/>
          <c:w val="0.69853018372703413"/>
          <c:h val="0.53604986876640415"/>
        </c:manualLayout>
      </c:layout>
      <c:barChart>
        <c:barDir val="col"/>
        <c:grouping val="clustered"/>
        <c:varyColors val="0"/>
        <c:ser>
          <c:idx val="0"/>
          <c:order val="0"/>
          <c:spPr>
            <a:solidFill>
              <a:srgbClr val="FF0000"/>
            </a:solidFill>
            <a:ln>
              <a:noFill/>
            </a:ln>
            <a:effectLst/>
          </c:spPr>
          <c:invertIfNegative val="0"/>
          <c:cat>
            <c:strRef>
              <c:f>第4题!$L$14:$L$23</c:f>
              <c:strCache>
                <c:ptCount val="10"/>
                <c:pt idx="0">
                  <c:v>2018年3季度</c:v>
                </c:pt>
                <c:pt idx="1">
                  <c:v>2018年4季度</c:v>
                </c:pt>
                <c:pt idx="2">
                  <c:v>2019年1季度</c:v>
                </c:pt>
                <c:pt idx="3">
                  <c:v>2019年2季度</c:v>
                </c:pt>
                <c:pt idx="4">
                  <c:v>2019年3季度</c:v>
                </c:pt>
                <c:pt idx="5">
                  <c:v>2019年4季度</c:v>
                </c:pt>
                <c:pt idx="6">
                  <c:v>2020年1季度</c:v>
                </c:pt>
                <c:pt idx="7">
                  <c:v>2020年2季度</c:v>
                </c:pt>
                <c:pt idx="8">
                  <c:v>2020年3季度</c:v>
                </c:pt>
                <c:pt idx="9">
                  <c:v>2020年4季度</c:v>
                </c:pt>
              </c:strCache>
            </c:strRef>
          </c:cat>
          <c:val>
            <c:numRef>
              <c:f>第4题!$M$14:$M$23</c:f>
              <c:numCache>
                <c:formatCode>General</c:formatCode>
                <c:ptCount val="10"/>
                <c:pt idx="0">
                  <c:v>0</c:v>
                </c:pt>
                <c:pt idx="1">
                  <c:v>0</c:v>
                </c:pt>
                <c:pt idx="2">
                  <c:v>98</c:v>
                </c:pt>
                <c:pt idx="3">
                  <c:v>117</c:v>
                </c:pt>
                <c:pt idx="4">
                  <c:v>123</c:v>
                </c:pt>
                <c:pt idx="5">
                  <c:v>119</c:v>
                </c:pt>
                <c:pt idx="6">
                  <c:v>0</c:v>
                </c:pt>
                <c:pt idx="7">
                  <c:v>0</c:v>
                </c:pt>
                <c:pt idx="8">
                  <c:v>0</c:v>
                </c:pt>
                <c:pt idx="9">
                  <c:v>0</c:v>
                </c:pt>
              </c:numCache>
            </c:numRef>
          </c:val>
          <c:extLst>
            <c:ext xmlns:c16="http://schemas.microsoft.com/office/drawing/2014/chart" uri="{C3380CC4-5D6E-409C-BE32-E72D297353CC}">
              <c16:uniqueId val="{00000000-3455-4849-8DBD-B757DD6285FB}"/>
            </c:ext>
          </c:extLst>
        </c:ser>
        <c:dLbls>
          <c:showLegendKey val="0"/>
          <c:showVal val="0"/>
          <c:showCatName val="0"/>
          <c:showSerName val="0"/>
          <c:showPercent val="0"/>
          <c:showBubbleSize val="0"/>
        </c:dLbls>
        <c:gapWidth val="150"/>
        <c:overlap val="-27"/>
        <c:axId val="2128849087"/>
        <c:axId val="2128851167"/>
      </c:barChart>
      <c:lineChart>
        <c:grouping val="standard"/>
        <c:varyColors val="0"/>
        <c:ser>
          <c:idx val="1"/>
          <c:order val="1"/>
          <c:tx>
            <c:strRef>
              <c:f>第4题!$P$14:$P$23</c:f>
              <c:strCache>
                <c:ptCount val="10"/>
                <c:pt idx="0">
                  <c:v>89</c:v>
                </c:pt>
                <c:pt idx="1">
                  <c:v>95</c:v>
                </c:pt>
                <c:pt idx="2">
                  <c:v>98</c:v>
                </c:pt>
                <c:pt idx="3">
                  <c:v>117</c:v>
                </c:pt>
                <c:pt idx="4">
                  <c:v>123</c:v>
                </c:pt>
                <c:pt idx="5">
                  <c:v>119</c:v>
                </c:pt>
                <c:pt idx="6">
                  <c:v>135</c:v>
                </c:pt>
                <c:pt idx="7">
                  <c:v>119</c:v>
                </c:pt>
                <c:pt idx="8">
                  <c:v>118</c:v>
                </c:pt>
                <c:pt idx="9">
                  <c:v>137</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val>
            <c:numRef>
              <c:f>第4题!$P$14:$P$23</c:f>
              <c:numCache>
                <c:formatCode>General</c:formatCode>
                <c:ptCount val="10"/>
                <c:pt idx="0">
                  <c:v>89</c:v>
                </c:pt>
                <c:pt idx="1">
                  <c:v>95</c:v>
                </c:pt>
                <c:pt idx="2">
                  <c:v>98</c:v>
                </c:pt>
                <c:pt idx="3">
                  <c:v>117</c:v>
                </c:pt>
                <c:pt idx="4">
                  <c:v>123</c:v>
                </c:pt>
                <c:pt idx="5">
                  <c:v>119</c:v>
                </c:pt>
                <c:pt idx="6">
                  <c:v>135</c:v>
                </c:pt>
                <c:pt idx="7">
                  <c:v>119</c:v>
                </c:pt>
                <c:pt idx="8">
                  <c:v>118</c:v>
                </c:pt>
                <c:pt idx="9">
                  <c:v>137</c:v>
                </c:pt>
              </c:numCache>
            </c:numRef>
          </c:val>
          <c:smooth val="0"/>
          <c:extLst>
            <c:ext xmlns:c16="http://schemas.microsoft.com/office/drawing/2014/chart" uri="{C3380CC4-5D6E-409C-BE32-E72D297353CC}">
              <c16:uniqueId val="{00000002-3455-4849-8DBD-B757DD6285FB}"/>
            </c:ext>
          </c:extLst>
        </c:ser>
        <c:dLbls>
          <c:showLegendKey val="0"/>
          <c:showVal val="0"/>
          <c:showCatName val="0"/>
          <c:showSerName val="0"/>
          <c:showPercent val="0"/>
          <c:showBubbleSize val="0"/>
        </c:dLbls>
        <c:marker val="1"/>
        <c:smooth val="0"/>
        <c:axId val="2128849087"/>
        <c:axId val="2128851167"/>
      </c:lineChart>
      <c:catAx>
        <c:axId val="212884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28851167"/>
        <c:crosses val="autoZero"/>
        <c:auto val="1"/>
        <c:lblAlgn val="ctr"/>
        <c:lblOffset val="100"/>
        <c:noMultiLvlLbl val="0"/>
      </c:catAx>
      <c:valAx>
        <c:axId val="212885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28849087"/>
        <c:crosses val="autoZero"/>
        <c:crossBetween val="between"/>
      </c:valAx>
      <c:spPr>
        <a:noFill/>
        <a:ln>
          <a:solidFill>
            <a:schemeClr val="bg1">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3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r>
              <a:rPr lang="en-US" altLang="zh-CN"/>
              <a:t>NPV of Equipment A and B</a:t>
            </a:r>
          </a:p>
        </c:rich>
      </c:tx>
      <c:overlay val="0"/>
      <c:spPr>
        <a:noFill/>
        <a:ln w="25400">
          <a:noFill/>
        </a:ln>
      </c:spPr>
    </c:title>
    <c:autoTitleDeleted val="0"/>
    <c:plotArea>
      <c:layout/>
      <c:scatterChart>
        <c:scatterStyle val="smoothMarker"/>
        <c:varyColors val="0"/>
        <c:ser>
          <c:idx val="0"/>
          <c:order val="0"/>
          <c:spPr>
            <a:ln w="25400" cap="rnd" cmpd="sng" algn="ctr">
              <a:solidFill>
                <a:srgbClr val="0000FF"/>
              </a:solidFill>
              <a:prstDash val="solid"/>
              <a:round/>
            </a:ln>
          </c:spPr>
          <c:marker>
            <c:symbol val="none"/>
          </c:marker>
          <c:xVal>
            <c:numLit>
              <c:formatCode>General</c:formatCode>
              <c:ptCount val="1"/>
              <c:pt idx="0">
                <c:v>0</c:v>
              </c:pt>
            </c:numLit>
          </c:xVal>
          <c:yVal>
            <c:numLit>
              <c:formatCode>General</c:formatCode>
              <c:ptCount val="1"/>
              <c:pt idx="0">
                <c:v>0</c:v>
              </c:pt>
            </c:numLit>
          </c:y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A5DD-4FD4-A25D-FAA99BF25F8E}"/>
            </c:ext>
          </c:extLst>
        </c:ser>
        <c:ser>
          <c:idx val="1"/>
          <c:order val="1"/>
          <c:spPr>
            <a:ln w="25400" cap="rnd" cmpd="sng" algn="ctr">
              <a:solidFill>
                <a:srgbClr val="FF00FF"/>
              </a:solidFill>
              <a:prstDash val="solid"/>
              <a:round/>
            </a:ln>
          </c:spPr>
          <c:marker>
            <c:symbol val="none"/>
          </c:marker>
          <c:xVal>
            <c:numLit>
              <c:formatCode>General</c:formatCode>
              <c:ptCount val="1"/>
              <c:pt idx="0">
                <c:v>0</c:v>
              </c:pt>
            </c:numLit>
          </c:xVal>
          <c:yVal>
            <c:numLit>
              <c:formatCode>General</c:formatCode>
              <c:ptCount val="1"/>
              <c:pt idx="0">
                <c:v>0</c:v>
              </c:pt>
            </c:numLit>
          </c:y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A5DD-4FD4-A25D-FAA99BF25F8E}"/>
            </c:ext>
          </c:extLst>
        </c:ser>
        <c:ser>
          <c:idx val="2"/>
          <c:order val="2"/>
          <c:spPr>
            <a:ln w="25400" cap="rnd" cmpd="sng" algn="ctr">
              <a:solidFill>
                <a:srgbClr val="FF0000"/>
              </a:solidFill>
              <a:prstDash val="solid"/>
              <a:round/>
            </a:ln>
          </c:spPr>
          <c:marker>
            <c:symbol val="none"/>
          </c:marker>
          <c:xVal>
            <c:numLit>
              <c:formatCode>General</c:formatCode>
              <c:ptCount val="1"/>
              <c:pt idx="0">
                <c:v>0</c:v>
              </c:pt>
            </c:numLit>
          </c:xVal>
          <c:yVal>
            <c:numLit>
              <c:formatCode>General</c:formatCode>
              <c:ptCount val="1"/>
              <c:pt idx="0">
                <c:v>0</c:v>
              </c:pt>
            </c:numLit>
          </c:yVal>
          <c:smooth val="1"/>
          <c:extLst>
            <c:ext xmlns:c16="http://schemas.microsoft.com/office/drawing/2014/chart" uri="{C3380CC4-5D6E-409C-BE32-E72D297353CC}">
              <c16:uniqueId val="{00000002-A5DD-4FD4-A25D-FAA99BF25F8E}"/>
            </c:ext>
          </c:extLst>
        </c:ser>
        <c:dLbls>
          <c:showLegendKey val="0"/>
          <c:showVal val="0"/>
          <c:showCatName val="0"/>
          <c:showSerName val="0"/>
          <c:showPercent val="0"/>
          <c:showBubbleSize val="0"/>
        </c:dLbls>
        <c:axId val="183552656"/>
        <c:axId val="183552264"/>
      </c:scatterChart>
      <c:valAx>
        <c:axId val="183552656"/>
        <c:scaling>
          <c:orientation val="minMax"/>
        </c:scaling>
        <c:delete val="0"/>
        <c:axPos val="b"/>
        <c:majorGridlines>
          <c:spPr>
            <a:ln w="3175" cap="flat" cmpd="sng" algn="ctr">
              <a:solidFill>
                <a:srgbClr val="FFFFFF"/>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183552264"/>
        <c:crosses val="autoZero"/>
        <c:crossBetween val="midCat"/>
      </c:valAx>
      <c:valAx>
        <c:axId val="183552264"/>
        <c:scaling>
          <c:orientation val="minMax"/>
          <c:max val="800"/>
          <c:min val="-200"/>
        </c:scaling>
        <c:delete val="0"/>
        <c:axPos val="l"/>
        <c:majorGridlines>
          <c:spPr>
            <a:ln w="3175" cap="flat" cmpd="sng" algn="ctr">
              <a:solidFill>
                <a:srgbClr val="FFFFFF"/>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183552656"/>
        <c:crosses val="autoZero"/>
        <c:crossBetween val="midCat"/>
        <c:majorUnit val="200"/>
      </c:valAx>
      <c:spPr>
        <a:solidFill>
          <a:srgbClr val="C0C0C0"/>
        </a:solidFill>
        <a:ln w="12700">
          <a:solidFill>
            <a:srgbClr val="808080"/>
          </a:solidFill>
          <a:prstDash val="solid"/>
        </a:ln>
      </c:spPr>
    </c:plotArea>
    <c:legend>
      <c:legendPos val="r"/>
      <c:legendEntry>
        <c:idx val="2"/>
        <c:delete val="1"/>
      </c:legendEntry>
      <c:overlay val="0"/>
      <c:spPr>
        <a:solidFill>
          <a:srgbClr val="FFFFFF"/>
        </a:solidFill>
        <a:ln w="3175">
          <a:solidFill>
            <a:srgbClr val="000000"/>
          </a:solidFill>
          <a:prstDash val="solid"/>
        </a:ln>
      </c:spPr>
      <c:txPr>
        <a:bodyPr rot="0" spcFirstLastPara="0" vertOverflow="ellipsis" vert="horz" wrap="square" anchor="ctr" anchorCtr="1"/>
        <a:lstStyle/>
        <a:p>
          <a:pPr>
            <a:defRPr lang="zh-CN" sz="2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3175" cap="flat" cmpd="sng" algn="ctr">
      <a:solidFill>
        <a:srgbClr val="000000"/>
      </a:solidFill>
      <a:prstDash val="solid"/>
      <a:round/>
    </a:ln>
  </c:spPr>
  <c:txPr>
    <a:bodyPr/>
    <a:lstStyle/>
    <a:p>
      <a:pPr>
        <a:defRPr lang="zh-CN" sz="3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rgbClr val="0070C0"/>
              </a:solidFill>
              <a:round/>
            </a:ln>
            <a:effectLst/>
          </c:spPr>
          <c:marker>
            <c:symbol val="diamond"/>
            <c:size val="6"/>
            <c:spPr>
              <a:solidFill>
                <a:srgbClr val="0070C0"/>
              </a:solidFill>
              <a:ln w="9525">
                <a:noFill/>
              </a:ln>
              <a:effectLst/>
            </c:spPr>
          </c:marker>
          <c:xVal>
            <c:numRef>
              <c:f>第6题!$B$2:$B$21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第6题!$D$2:$D$17</c:f>
              <c:numCache>
                <c:formatCode>General</c:formatCode>
                <c:ptCount val="16"/>
                <c:pt idx="0">
                  <c:v>108</c:v>
                </c:pt>
                <c:pt idx="1">
                  <c:v>116</c:v>
                </c:pt>
                <c:pt idx="2">
                  <c:v>118</c:v>
                </c:pt>
                <c:pt idx="3">
                  <c:v>118</c:v>
                </c:pt>
                <c:pt idx="4">
                  <c:v>104</c:v>
                </c:pt>
                <c:pt idx="5">
                  <c:v>112</c:v>
                </c:pt>
                <c:pt idx="6">
                  <c:v>110</c:v>
                </c:pt>
                <c:pt idx="7">
                  <c:v>102</c:v>
                </c:pt>
                <c:pt idx="8">
                  <c:v>98</c:v>
                </c:pt>
                <c:pt idx="9">
                  <c:v>102</c:v>
                </c:pt>
                <c:pt idx="10">
                  <c:v>92</c:v>
                </c:pt>
                <c:pt idx="11">
                  <c:v>91</c:v>
                </c:pt>
                <c:pt idx="12">
                  <c:v>96</c:v>
                </c:pt>
                <c:pt idx="13">
                  <c:v>100</c:v>
                </c:pt>
                <c:pt idx="14">
                  <c:v>90</c:v>
                </c:pt>
                <c:pt idx="15">
                  <c:v>88</c:v>
                </c:pt>
              </c:numCache>
            </c:numRef>
          </c:yVal>
          <c:smooth val="0"/>
          <c:extLst>
            <c:ext xmlns:c16="http://schemas.microsoft.com/office/drawing/2014/chart" uri="{C3380CC4-5D6E-409C-BE32-E72D297353CC}">
              <c16:uniqueId val="{00000000-EC7C-438C-AC55-DC8B6CA22372}"/>
            </c:ext>
          </c:extLst>
        </c:ser>
        <c:ser>
          <c:idx val="1"/>
          <c:order val="1"/>
          <c:tx>
            <c:strRef>
              <c:f>第6题!$G$1</c:f>
              <c:strCache>
                <c:ptCount val="1"/>
                <c:pt idx="0">
                  <c:v>预测值</c:v>
                </c:pt>
              </c:strCache>
            </c:strRef>
          </c:tx>
          <c:spPr>
            <a:ln w="19050" cap="rnd">
              <a:solidFill>
                <a:srgbClr val="C00000">
                  <a:alpha val="98000"/>
                </a:srgbClr>
              </a:solidFill>
              <a:round/>
            </a:ln>
            <a:effectLst/>
          </c:spPr>
          <c:marker>
            <c:symbol val="square"/>
            <c:size val="7"/>
            <c:spPr>
              <a:solidFill>
                <a:srgbClr val="C00000"/>
              </a:solidFill>
              <a:ln w="9525">
                <a:solidFill>
                  <a:srgbClr val="C00000"/>
                </a:solidFill>
              </a:ln>
              <a:effectLst/>
            </c:spPr>
          </c:marker>
          <c:dPt>
            <c:idx val="16"/>
            <c:marker>
              <c:symbol val="square"/>
              <c:size val="7"/>
              <c:spPr>
                <a:solidFill>
                  <a:srgbClr val="92D050"/>
                </a:solidFill>
                <a:ln w="9525">
                  <a:solidFill>
                    <a:srgbClr val="C00000"/>
                  </a:solidFill>
                </a:ln>
                <a:effectLst/>
              </c:spPr>
            </c:marker>
            <c:bubble3D val="0"/>
            <c:extLst>
              <c:ext xmlns:c16="http://schemas.microsoft.com/office/drawing/2014/chart" uri="{C3380CC4-5D6E-409C-BE32-E72D297353CC}">
                <c16:uniqueId val="{00000006-EC7C-438C-AC55-DC8B6CA22372}"/>
              </c:ext>
            </c:extLst>
          </c:dPt>
          <c:dPt>
            <c:idx val="17"/>
            <c:marker>
              <c:symbol val="square"/>
              <c:size val="7"/>
              <c:spPr>
                <a:solidFill>
                  <a:srgbClr val="92D050"/>
                </a:solidFill>
                <a:ln w="9525">
                  <a:solidFill>
                    <a:srgbClr val="C00000"/>
                  </a:solidFill>
                </a:ln>
                <a:effectLst/>
              </c:spPr>
            </c:marker>
            <c:bubble3D val="0"/>
            <c:extLst>
              <c:ext xmlns:c16="http://schemas.microsoft.com/office/drawing/2014/chart" uri="{C3380CC4-5D6E-409C-BE32-E72D297353CC}">
                <c16:uniqueId val="{00000007-EC7C-438C-AC55-DC8B6CA22372}"/>
              </c:ext>
            </c:extLst>
          </c:dPt>
          <c:dPt>
            <c:idx val="18"/>
            <c:marker>
              <c:symbol val="square"/>
              <c:size val="7"/>
              <c:spPr>
                <a:solidFill>
                  <a:srgbClr val="92D050"/>
                </a:solidFill>
                <a:ln w="9525">
                  <a:solidFill>
                    <a:srgbClr val="C00000"/>
                  </a:solidFill>
                </a:ln>
                <a:effectLst/>
              </c:spPr>
            </c:marker>
            <c:bubble3D val="0"/>
            <c:extLst>
              <c:ext xmlns:c16="http://schemas.microsoft.com/office/drawing/2014/chart" uri="{C3380CC4-5D6E-409C-BE32-E72D297353CC}">
                <c16:uniqueId val="{00000008-EC7C-438C-AC55-DC8B6CA22372}"/>
              </c:ext>
            </c:extLst>
          </c:dPt>
          <c:dPt>
            <c:idx val="19"/>
            <c:marker>
              <c:symbol val="square"/>
              <c:size val="7"/>
              <c:spPr>
                <a:solidFill>
                  <a:srgbClr val="92D050"/>
                </a:solidFill>
                <a:ln w="9525">
                  <a:solidFill>
                    <a:srgbClr val="C00000"/>
                  </a:solidFill>
                </a:ln>
                <a:effectLst/>
              </c:spPr>
            </c:marker>
            <c:bubble3D val="0"/>
            <c:extLst>
              <c:ext xmlns:c16="http://schemas.microsoft.com/office/drawing/2014/chart" uri="{C3380CC4-5D6E-409C-BE32-E72D297353CC}">
                <c16:uniqueId val="{00000009-EC7C-438C-AC55-DC8B6CA22372}"/>
              </c:ext>
            </c:extLst>
          </c:dPt>
          <c:xVal>
            <c:numRef>
              <c:f>第6题!$B$2:$B$21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第6题!$G$2:$G$21</c:f>
              <c:numCache>
                <c:formatCode>General</c:formatCode>
                <c:ptCount val="20"/>
                <c:pt idx="0">
                  <c:v>117.86113639999418</c:v>
                </c:pt>
                <c:pt idx="1">
                  <c:v>120.64959968893017</c:v>
                </c:pt>
                <c:pt idx="2">
                  <c:v>113.07343357885705</c:v>
                </c:pt>
                <c:pt idx="3">
                  <c:v>107.74111303913863</c:v>
                </c:pt>
                <c:pt idx="4">
                  <c:v>109.92818175829838</c:v>
                </c:pt>
                <c:pt idx="5">
                  <c:v>112.32859950536259</c:v>
                </c:pt>
                <c:pt idx="6">
                  <c:v>105.08033510788007</c:v>
                </c:pt>
                <c:pt idx="7">
                  <c:v>99.932642717272202</c:v>
                </c:pt>
                <c:pt idx="8">
                  <c:v>101.34339866926656</c:v>
                </c:pt>
                <c:pt idx="9">
                  <c:v>103.38744723327848</c:v>
                </c:pt>
                <c:pt idx="10">
                  <c:v>96.551773856466951</c:v>
                </c:pt>
                <c:pt idx="11">
                  <c:v>91.659166596069824</c:v>
                </c:pt>
                <c:pt idx="12">
                  <c:v>98.56988699989823</c:v>
                </c:pt>
                <c:pt idx="13">
                  <c:v>99.163839967423414</c:v>
                </c:pt>
                <c:pt idx="14">
                  <c:v>91.248620584342888</c:v>
                </c:pt>
                <c:pt idx="15">
                  <c:v>85.277247276799372</c:v>
                </c:pt>
                <c:pt idx="16">
                  <c:v>84.974040517153654</c:v>
                </c:pt>
                <c:pt idx="17">
                  <c:v>84.997577114934387</c:v>
                </c:pt>
                <c:pt idx="18">
                  <c:v>77.730306423699503</c:v>
                </c:pt>
                <c:pt idx="19">
                  <c:v>72.157670772676397</c:v>
                </c:pt>
              </c:numCache>
            </c:numRef>
          </c:yVal>
          <c:smooth val="0"/>
          <c:extLst>
            <c:ext xmlns:c16="http://schemas.microsoft.com/office/drawing/2014/chart" uri="{C3380CC4-5D6E-409C-BE32-E72D297353CC}">
              <c16:uniqueId val="{00000004-EC7C-438C-AC55-DC8B6CA22372}"/>
            </c:ext>
          </c:extLst>
        </c:ser>
        <c:dLbls>
          <c:showLegendKey val="0"/>
          <c:showVal val="0"/>
          <c:showCatName val="0"/>
          <c:showSerName val="0"/>
          <c:showPercent val="0"/>
          <c:showBubbleSize val="0"/>
        </c:dLbls>
        <c:axId val="2063491135"/>
        <c:axId val="2063492383"/>
      </c:scatterChart>
      <c:valAx>
        <c:axId val="2063491135"/>
        <c:scaling>
          <c:orientation val="minMax"/>
          <c:max val="2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63492383"/>
        <c:crosses val="autoZero"/>
        <c:crossBetween val="midCat"/>
        <c:majorUnit val="1"/>
      </c:valAx>
      <c:valAx>
        <c:axId val="206349238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63491135"/>
        <c:crosses val="autoZero"/>
        <c:crossBetween val="midCat"/>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509492563429572"/>
          <c:y val="0.17222222222222225"/>
          <c:w val="0.85325918635170606"/>
          <c:h val="0.7157487605715952"/>
        </c:manualLayout>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50258792650918638"/>
                  <c:y val="-0.206405293088363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trendline>
            <c:spPr>
              <a:ln w="19050" cap="rnd">
                <a:solidFill>
                  <a:schemeClr val="accent2"/>
                </a:solidFill>
                <a:prstDash val="sysDot"/>
              </a:ln>
              <a:effectLst/>
            </c:spPr>
            <c:trendlineType val="log"/>
            <c:dispRSqr val="1"/>
            <c:dispEq val="1"/>
            <c:trendlineLbl>
              <c:layout>
                <c:manualLayout>
                  <c:x val="8.4995188101487318E-2"/>
                  <c:y val="-0.297500364537766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第7题!$D$3:$D$26</c:f>
              <c:numCache>
                <c:formatCode>0.0_ </c:formatCode>
                <c:ptCount val="24"/>
                <c:pt idx="0">
                  <c:v>9.6</c:v>
                </c:pt>
                <c:pt idx="1">
                  <c:v>9.9</c:v>
                </c:pt>
                <c:pt idx="2">
                  <c:v>5.5</c:v>
                </c:pt>
                <c:pt idx="3">
                  <c:v>6.6</c:v>
                </c:pt>
                <c:pt idx="4">
                  <c:v>10.199999999999999</c:v>
                </c:pt>
                <c:pt idx="5">
                  <c:v>13.9</c:v>
                </c:pt>
                <c:pt idx="6">
                  <c:v>17.600000000000001</c:v>
                </c:pt>
                <c:pt idx="7">
                  <c:v>11.7</c:v>
                </c:pt>
                <c:pt idx="8">
                  <c:v>7.1</c:v>
                </c:pt>
                <c:pt idx="9">
                  <c:v>2.2999999999999998</c:v>
                </c:pt>
                <c:pt idx="10">
                  <c:v>4.9000000000000004</c:v>
                </c:pt>
                <c:pt idx="11">
                  <c:v>5.6</c:v>
                </c:pt>
                <c:pt idx="12">
                  <c:v>5.5</c:v>
                </c:pt>
                <c:pt idx="13">
                  <c:v>4.7</c:v>
                </c:pt>
                <c:pt idx="14">
                  <c:v>4.8</c:v>
                </c:pt>
                <c:pt idx="15">
                  <c:v>4.5</c:v>
                </c:pt>
                <c:pt idx="16">
                  <c:v>5.4</c:v>
                </c:pt>
                <c:pt idx="17">
                  <c:v>4.5</c:v>
                </c:pt>
                <c:pt idx="18">
                  <c:v>3.3</c:v>
                </c:pt>
                <c:pt idx="19">
                  <c:v>3</c:v>
                </c:pt>
                <c:pt idx="20">
                  <c:v>3.1</c:v>
                </c:pt>
                <c:pt idx="21">
                  <c:v>3.2</c:v>
                </c:pt>
                <c:pt idx="22">
                  <c:v>3.2</c:v>
                </c:pt>
                <c:pt idx="23">
                  <c:v>3.1</c:v>
                </c:pt>
              </c:numCache>
            </c:numRef>
          </c:xVal>
          <c:yVal>
            <c:numRef>
              <c:f>第7题!$C$3:$C$26</c:f>
              <c:numCache>
                <c:formatCode>0.0_ </c:formatCode>
                <c:ptCount val="24"/>
                <c:pt idx="0">
                  <c:v>14.3</c:v>
                </c:pt>
                <c:pt idx="1">
                  <c:v>8.5</c:v>
                </c:pt>
                <c:pt idx="2">
                  <c:v>3</c:v>
                </c:pt>
                <c:pt idx="3">
                  <c:v>6.3</c:v>
                </c:pt>
                <c:pt idx="4">
                  <c:v>9.9</c:v>
                </c:pt>
                <c:pt idx="5">
                  <c:v>11</c:v>
                </c:pt>
                <c:pt idx="6">
                  <c:v>8.6</c:v>
                </c:pt>
                <c:pt idx="7">
                  <c:v>7.8</c:v>
                </c:pt>
                <c:pt idx="8">
                  <c:v>4.0999999999999996</c:v>
                </c:pt>
                <c:pt idx="9">
                  <c:v>2.1</c:v>
                </c:pt>
                <c:pt idx="10">
                  <c:v>3.8</c:v>
                </c:pt>
                <c:pt idx="11">
                  <c:v>2.2999999999999998</c:v>
                </c:pt>
                <c:pt idx="12">
                  <c:v>3.2</c:v>
                </c:pt>
                <c:pt idx="13">
                  <c:v>4.0999999999999996</c:v>
                </c:pt>
                <c:pt idx="14">
                  <c:v>4.0999999999999996</c:v>
                </c:pt>
                <c:pt idx="15">
                  <c:v>5.8</c:v>
                </c:pt>
                <c:pt idx="16">
                  <c:v>5.8</c:v>
                </c:pt>
                <c:pt idx="17">
                  <c:v>2.9</c:v>
                </c:pt>
                <c:pt idx="18">
                  <c:v>1.2</c:v>
                </c:pt>
                <c:pt idx="19">
                  <c:v>2.2000000000000002</c:v>
                </c:pt>
                <c:pt idx="20">
                  <c:v>2.4</c:v>
                </c:pt>
                <c:pt idx="21">
                  <c:v>2.8</c:v>
                </c:pt>
                <c:pt idx="22">
                  <c:v>3.3</c:v>
                </c:pt>
                <c:pt idx="23">
                  <c:v>2.6</c:v>
                </c:pt>
              </c:numCache>
            </c:numRef>
          </c:yVal>
          <c:smooth val="0"/>
          <c:extLst>
            <c:ext xmlns:c16="http://schemas.microsoft.com/office/drawing/2014/chart" uri="{C3380CC4-5D6E-409C-BE32-E72D297353CC}">
              <c16:uniqueId val="{00000002-B6BF-45DF-AE73-BFFFEF86F5B7}"/>
            </c:ext>
          </c:extLst>
        </c:ser>
        <c:dLbls>
          <c:showLegendKey val="0"/>
          <c:showVal val="0"/>
          <c:showCatName val="0"/>
          <c:showSerName val="0"/>
          <c:showPercent val="0"/>
          <c:showBubbleSize val="0"/>
        </c:dLbls>
        <c:axId val="593763439"/>
        <c:axId val="593763855"/>
      </c:scatterChart>
      <c:valAx>
        <c:axId val="593763439"/>
        <c:scaling>
          <c:orientation val="minMax"/>
        </c:scaling>
        <c:delete val="0"/>
        <c:axPos val="b"/>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3763855"/>
        <c:crosses val="autoZero"/>
        <c:crossBetween val="midCat"/>
      </c:valAx>
      <c:valAx>
        <c:axId val="593763855"/>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3763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26" fmlaLink="$H$5" fmlaRange="$H$2:$H$4" noThreeD="1" sel="3" val="0"/>
</file>

<file path=xl/ctrlProps/ctrlProp2.xml><?xml version="1.0" encoding="utf-8"?>
<formControlPr xmlns="http://schemas.microsoft.com/office/spreadsheetml/2009/9/main" objectType="Radio" firstButton="1" fmlaLink="$P$6"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List" dx="26" fmlaLink="$L$5" fmlaRange="$K$2:$K$4" noThreeD="1" sel="2" val="0"/>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4.png"/><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257176</xdr:colOff>
      <xdr:row>5</xdr:row>
      <xdr:rowOff>9525</xdr:rowOff>
    </xdr:from>
    <xdr:to>
      <xdr:col>7</xdr:col>
      <xdr:colOff>42863</xdr:colOff>
      <xdr:row>11</xdr:row>
      <xdr:rowOff>133350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a:xfrm>
          <a:off x="257176" y="1333500"/>
          <a:ext cx="8320087" cy="132397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panose="02010600030101010101" pitchFamily="7" charset="-122"/>
              <a:ea typeface="宋体" panose="02010600030101010101" pitchFamily="7" charset="-122"/>
            </a:rPr>
            <a:t>考试注意事项：</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a:p>
          <a:pPr algn="l" rtl="0">
            <a:lnSpc>
              <a:spcPts val="1500"/>
            </a:lnSpc>
            <a:defRPr sz="1000"/>
          </a:pPr>
          <a:r>
            <a:rPr lang="zh-CN" altLang="en-US" sz="1200" b="0" i="0" u="none" strike="noStrike" baseline="0">
              <a:solidFill>
                <a:srgbClr val="000000"/>
              </a:solidFill>
              <a:latin typeface="Arial" panose="020B0604020202020204"/>
              <a:cs typeface="Arial" panose="020B0604020202020204"/>
            </a:rPr>
            <a:t>1</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 </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严格遵守考试纪律，一旦发现任何违犯考试纪律的情况立即取消考生考试资格。</a:t>
          </a:r>
          <a:endParaRPr lang="zh-CN" altLang="en-US" sz="1200" b="0" i="0" u="none" strike="noStrike" baseline="0">
            <a:solidFill>
              <a:srgbClr val="000000"/>
            </a:solidFill>
            <a:latin typeface="Arial" panose="020B0604020202020204"/>
            <a:ea typeface="宋体" panose="02010600030101010101" pitchFamily="7" charset="-122"/>
            <a:cs typeface="Arial" panose="020B0604020202020204"/>
          </a:endParaRPr>
        </a:p>
        <a:p>
          <a:pPr algn="l" rtl="0">
            <a:lnSpc>
              <a:spcPts val="1500"/>
            </a:lnSpc>
            <a:defRPr sz="1000"/>
          </a:pP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2</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、完成操作后必须</a:t>
          </a:r>
          <a:r>
            <a:rPr lang="zh-CN" altLang="en-US" sz="1200" b="1" i="0" u="none" strike="noStrike" baseline="0">
              <a:solidFill>
                <a:srgbClr val="FF0000"/>
              </a:solidFill>
              <a:latin typeface="宋体" panose="02010600030101010101" pitchFamily="7" charset="-122"/>
              <a:ea typeface="宋体" panose="02010600030101010101" pitchFamily="7" charset="-122"/>
              <a:cs typeface="Arial" panose="020B0604020202020204"/>
            </a:rPr>
            <a:t>存盘</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，提交考试卷时必须先将此</a:t>
          </a:r>
          <a:r>
            <a:rPr lang="zh-CN" altLang="en-US" sz="1200" b="1" i="0" u="none" strike="noStrike" baseline="0">
              <a:solidFill>
                <a:srgbClr val="FF0000"/>
              </a:solidFill>
              <a:latin typeface="宋体" panose="02010600030101010101" pitchFamily="7" charset="-122"/>
              <a:ea typeface="宋体" panose="02010600030101010101" pitchFamily="7" charset="-122"/>
              <a:cs typeface="Arial" panose="020B0604020202020204"/>
            </a:rPr>
            <a:t>文件关闭</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，才能正确提交。</a:t>
          </a:r>
        </a:p>
        <a:p>
          <a:pPr algn="l" rtl="0">
            <a:lnSpc>
              <a:spcPts val="1500"/>
            </a:lnSpc>
            <a:defRPr sz="1000"/>
          </a:pPr>
          <a:r>
            <a:rPr lang="zh-CN" altLang="en-US" sz="1200" b="0" i="0" u="none" strike="noStrike" baseline="0">
              <a:solidFill>
                <a:srgbClr val="000000"/>
              </a:solidFill>
              <a:latin typeface="Arial" panose="020B0604020202020204"/>
              <a:cs typeface="Arial" panose="020B0604020202020204"/>
            </a:rPr>
            <a:t>3</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、切记</a:t>
          </a:r>
          <a:r>
            <a:rPr lang="zh-CN" altLang="en-US" sz="1200" b="1" i="0" u="none" strike="noStrike" baseline="0">
              <a:solidFill>
                <a:srgbClr val="FF0000"/>
              </a:solidFill>
              <a:latin typeface="宋体" panose="02010600030101010101" pitchFamily="7" charset="-122"/>
              <a:ea typeface="宋体" panose="02010600030101010101" pitchFamily="7" charset="-122"/>
              <a:cs typeface="Arial" panose="020B0604020202020204"/>
            </a:rPr>
            <a:t>经常存盘</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panose="020B0604020202020204"/>
              <a:cs typeface="Arial" panose="020B0604020202020204"/>
            </a:rPr>
            <a:t>4</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a:t>
          </a:r>
          <a:r>
            <a:rPr lang="zh-CN" altLang="en-US" sz="1200" b="1" i="0" u="none" strike="noStrike" baseline="0">
              <a:solidFill>
                <a:srgbClr val="FF0000"/>
              </a:solidFill>
              <a:latin typeface="宋体" panose="02010600030101010101" pitchFamily="7" charset="-122"/>
              <a:ea typeface="宋体" panose="02010600030101010101" pitchFamily="7" charset="-122"/>
              <a:cs typeface="Arial" panose="020B0604020202020204"/>
            </a:rPr>
            <a:t>若删除此工作表按零分计</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a:t>
          </a:r>
        </a:p>
        <a:p>
          <a:pPr algn="l" rtl="0">
            <a:lnSpc>
              <a:spcPts val="1000"/>
            </a:lnSpc>
            <a:defRPr sz="1000"/>
          </a:pPr>
          <a:endParaRPr lang="zh-CN" altLang="en-US"/>
        </a:p>
      </xdr:txBody>
    </xdr:sp>
    <xdr:clientData/>
  </xdr:twoCellAnchor>
  <xdr:twoCellAnchor>
    <xdr:from>
      <xdr:col>1</xdr:col>
      <xdr:colOff>938212</xdr:colOff>
      <xdr:row>13</xdr:row>
      <xdr:rowOff>19049</xdr:rowOff>
    </xdr:from>
    <xdr:to>
      <xdr:col>6</xdr:col>
      <xdr:colOff>1433512</xdr:colOff>
      <xdr:row>18</xdr:row>
      <xdr:rowOff>38099</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a:xfrm>
          <a:off x="1624012" y="2943224"/>
          <a:ext cx="5581650" cy="101917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45720" tIns="32004" rIns="45720" bIns="32004" anchor="ctr" upright="1"/>
        <a:lstStyle/>
        <a:p>
          <a:pPr algn="ctr" rtl="0">
            <a:lnSpc>
              <a:spcPts val="2400"/>
            </a:lnSpc>
            <a:defRPr sz="1000"/>
          </a:pPr>
          <a:r>
            <a:rPr lang="zh-CN" altLang="en-US" sz="2000" b="1" i="0" u="none" strike="noStrike" baseline="0">
              <a:solidFill>
                <a:srgbClr val="FF0000"/>
              </a:solidFill>
              <a:latin typeface="黑体" panose="02010609060101010101" charset="-122"/>
              <a:ea typeface="黑体" panose="02010609060101010101" charset="-122"/>
            </a:rPr>
            <a:t>诚实考试吾心不虚 ，公平竞争方显实力，</a:t>
          </a:r>
        </a:p>
        <a:p>
          <a:pPr algn="ctr" rtl="0">
            <a:lnSpc>
              <a:spcPts val="2400"/>
            </a:lnSpc>
            <a:defRPr sz="1000"/>
          </a:pPr>
          <a:r>
            <a:rPr lang="zh-CN" altLang="en-US" sz="2000" b="1" i="0" u="none" strike="noStrike" baseline="0">
              <a:solidFill>
                <a:srgbClr val="FF0000"/>
              </a:solidFill>
              <a:latin typeface="黑体" panose="02010609060101010101" charset="-122"/>
              <a:ea typeface="黑体" panose="02010609060101010101" charset="-122"/>
            </a:rPr>
            <a:t>考试失败尚有机会 ，考试舞弊前功尽弃。</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109538</xdr:colOff>
      <xdr:row>1</xdr:row>
      <xdr:rowOff>119063</xdr:rowOff>
    </xdr:from>
    <xdr:to>
      <xdr:col>12</xdr:col>
      <xdr:colOff>614034</xdr:colOff>
      <xdr:row>10</xdr:row>
      <xdr:rowOff>84773</xdr:rowOff>
    </xdr:to>
    <xdr:sp macro="" textlink="">
      <xdr:nvSpPr>
        <xdr:cNvPr id="4" name="文本框 3">
          <a:extLst>
            <a:ext uri="{FF2B5EF4-FFF2-40B4-BE49-F238E27FC236}">
              <a16:creationId xmlns:a16="http://schemas.microsoft.com/office/drawing/2014/main" id="{00000000-0008-0000-0200-000004000000}"/>
            </a:ext>
          </a:extLst>
        </xdr:cNvPr>
        <xdr:cNvSpPr txBox="1"/>
      </xdr:nvSpPr>
      <xdr:spPr>
        <a:xfrm>
          <a:off x="4224338" y="290513"/>
          <a:ext cx="3933496" cy="15087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30000"/>
            </a:lnSpc>
          </a:pPr>
          <a:r>
            <a:rPr lang="zh-CN" altLang="zh-CN" sz="1200" b="1">
              <a:solidFill>
                <a:schemeClr val="dk1"/>
              </a:solidFill>
              <a:effectLst/>
              <a:latin typeface="+mn-lt"/>
              <a:ea typeface="+mn-ea"/>
              <a:cs typeface="+mn-cs"/>
            </a:rPr>
            <a:t>第</a:t>
          </a:r>
          <a:r>
            <a:rPr lang="en-US" altLang="zh-CN" sz="1200" b="1">
              <a:solidFill>
                <a:schemeClr val="dk1"/>
              </a:solidFill>
              <a:effectLst/>
              <a:latin typeface="+mn-lt"/>
              <a:ea typeface="+mn-ea"/>
              <a:cs typeface="+mn-cs"/>
            </a:rPr>
            <a:t>1</a:t>
          </a:r>
          <a:r>
            <a:rPr lang="zh-CN" altLang="zh-CN" sz="1200" b="1">
              <a:solidFill>
                <a:schemeClr val="dk1"/>
              </a:solidFill>
              <a:effectLst/>
              <a:latin typeface="+mn-lt"/>
              <a:ea typeface="+mn-ea"/>
              <a:cs typeface="+mn-cs"/>
            </a:rPr>
            <a:t>题（</a:t>
          </a:r>
          <a:r>
            <a:rPr lang="en-US" altLang="zh-CN" sz="1200" b="1">
              <a:solidFill>
                <a:schemeClr val="dk1"/>
              </a:solidFill>
              <a:effectLst/>
              <a:latin typeface="+mn-lt"/>
              <a:ea typeface="+mn-ea"/>
              <a:cs typeface="+mn-cs"/>
            </a:rPr>
            <a:t>15</a:t>
          </a:r>
          <a:r>
            <a:rPr lang="zh-CN" altLang="zh-CN" sz="1200" b="1">
              <a:solidFill>
                <a:schemeClr val="dk1"/>
              </a:solidFill>
              <a:effectLst/>
              <a:latin typeface="+mn-lt"/>
              <a:ea typeface="+mn-ea"/>
              <a:cs typeface="+mn-cs"/>
            </a:rPr>
            <a:t>分）</a:t>
          </a:r>
          <a:r>
            <a:rPr lang="zh-CN" altLang="en-US" sz="1200"/>
            <a:t>使用</a:t>
          </a:r>
          <a:r>
            <a:rPr lang="en-US" altLang="zh-CN" sz="1200">
              <a:solidFill>
                <a:srgbClr val="FF0000"/>
              </a:solidFill>
            </a:rPr>
            <a:t>Microsoft Query</a:t>
          </a:r>
          <a:r>
            <a:rPr lang="zh-CN" altLang="en-US" sz="1200"/>
            <a:t>软件，查询</a:t>
          </a:r>
          <a:r>
            <a:rPr lang="en-US" altLang="zh-CN" sz="1200"/>
            <a:t>Northwind</a:t>
          </a:r>
          <a:r>
            <a:rPr lang="zh-CN" altLang="en-US" sz="1200"/>
            <a:t>公司位于华南与西南地区各城市的客户所下订单数。查询结果需包括：地区、城市和订单数等信息。查询返回的数据，需保存在当前工作表的</a:t>
          </a:r>
          <a:r>
            <a:rPr lang="en-US" altLang="zh-CN" sz="1200"/>
            <a:t>A1</a:t>
          </a:r>
          <a:r>
            <a:rPr lang="zh-CN" altLang="en-US" sz="1200"/>
            <a:t>单元格开始的区域。注意所有数据查询相关操作均需在</a:t>
          </a:r>
          <a:r>
            <a:rPr lang="en-US" altLang="zh-CN" sz="1200"/>
            <a:t>Query</a:t>
          </a:r>
          <a:r>
            <a:rPr lang="zh-CN" altLang="en-US" sz="1200"/>
            <a:t>中完成。</a:t>
          </a:r>
        </a:p>
        <a:p>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7578</xdr:colOff>
      <xdr:row>1</xdr:row>
      <xdr:rowOff>160020</xdr:rowOff>
    </xdr:from>
    <xdr:to>
      <xdr:col>19</xdr:col>
      <xdr:colOff>365543</xdr:colOff>
      <xdr:row>21</xdr:row>
      <xdr:rowOff>20516</xdr:rowOff>
    </xdr:to>
    <xdr:grpSp>
      <xdr:nvGrpSpPr>
        <xdr:cNvPr id="5" name="组合 4">
          <a:extLst>
            <a:ext uri="{FF2B5EF4-FFF2-40B4-BE49-F238E27FC236}">
              <a16:creationId xmlns:a16="http://schemas.microsoft.com/office/drawing/2014/main" id="{00000000-0008-0000-0300-000005000000}"/>
            </a:ext>
          </a:extLst>
        </xdr:cNvPr>
        <xdr:cNvGrpSpPr/>
      </xdr:nvGrpSpPr>
      <xdr:grpSpPr>
        <a:xfrm>
          <a:off x="7947618" y="358140"/>
          <a:ext cx="6332045" cy="3822896"/>
          <a:chOff x="12482183" y="1567488"/>
          <a:chExt cx="5677340" cy="3307080"/>
        </a:xfrm>
      </xdr:grpSpPr>
      <xdr:sp macro="" textlink="">
        <xdr:nvSpPr>
          <xdr:cNvPr id="6" name="文本框 5">
            <a:extLst>
              <a:ext uri="{FF2B5EF4-FFF2-40B4-BE49-F238E27FC236}">
                <a16:creationId xmlns:a16="http://schemas.microsoft.com/office/drawing/2014/main" id="{00000000-0008-0000-0300-000006000000}"/>
              </a:ext>
            </a:extLst>
          </xdr:cNvPr>
          <xdr:cNvSpPr txBox="1"/>
        </xdr:nvSpPr>
        <xdr:spPr>
          <a:xfrm>
            <a:off x="12510405" y="1567488"/>
            <a:ext cx="5649118" cy="33070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20000"/>
              </a:lnSpc>
              <a:spcBef>
                <a:spcPts val="0"/>
              </a:spcBef>
              <a:spcAft>
                <a:spcPts val="0"/>
              </a:spcAft>
              <a:buClrTx/>
              <a:buSzTx/>
              <a:buFontTx/>
              <a:buNone/>
              <a:defRPr/>
            </a:pPr>
            <a:r>
              <a:rPr lang="zh-CN" altLang="zh-CN" sz="1200" b="1">
                <a:solidFill>
                  <a:schemeClr val="dk1"/>
                </a:solidFill>
                <a:effectLst/>
                <a:latin typeface="+mn-lt"/>
                <a:ea typeface="+mn-ea"/>
                <a:cs typeface="+mn-cs"/>
              </a:rPr>
              <a:t>第</a:t>
            </a:r>
            <a:r>
              <a:rPr lang="en-US" altLang="zh-CN" sz="1200" b="1">
                <a:solidFill>
                  <a:schemeClr val="dk1"/>
                </a:solidFill>
                <a:effectLst/>
                <a:latin typeface="+mn-lt"/>
                <a:ea typeface="+mn-ea"/>
                <a:cs typeface="+mn-cs"/>
              </a:rPr>
              <a:t>2</a:t>
            </a:r>
            <a:r>
              <a:rPr lang="zh-CN" altLang="zh-CN" sz="1200" b="1">
                <a:solidFill>
                  <a:schemeClr val="dk1"/>
                </a:solidFill>
                <a:effectLst/>
                <a:latin typeface="+mn-lt"/>
                <a:ea typeface="+mn-ea"/>
                <a:cs typeface="+mn-cs"/>
              </a:rPr>
              <a:t>题（</a:t>
            </a:r>
            <a:r>
              <a:rPr lang="en-US" altLang="zh-CN" sz="1200" b="1">
                <a:solidFill>
                  <a:schemeClr val="dk1"/>
                </a:solidFill>
                <a:effectLst/>
                <a:latin typeface="+mn-lt"/>
                <a:ea typeface="+mn-ea"/>
                <a:cs typeface="+mn-cs"/>
              </a:rPr>
              <a:t>20</a:t>
            </a:r>
            <a:r>
              <a:rPr lang="zh-CN" altLang="zh-CN" sz="1200" b="1">
                <a:solidFill>
                  <a:schemeClr val="dk1"/>
                </a:solidFill>
                <a:effectLst/>
                <a:latin typeface="+mn-lt"/>
                <a:ea typeface="+mn-ea"/>
                <a:cs typeface="+mn-cs"/>
              </a:rPr>
              <a:t>分）</a:t>
            </a:r>
            <a:r>
              <a:rPr lang="zh-CN" altLang="en-US" sz="1200">
                <a:solidFill>
                  <a:schemeClr val="dk1"/>
                </a:solidFill>
                <a:effectLst/>
                <a:latin typeface="+mn-lt"/>
                <a:ea typeface="+mn-ea"/>
                <a:cs typeface="+mn-cs"/>
              </a:rPr>
              <a:t>利用</a:t>
            </a:r>
            <a:r>
              <a:rPr lang="zh-CN" altLang="zh-CN" sz="1200" b="1">
                <a:solidFill>
                  <a:schemeClr val="dk1"/>
                </a:solidFill>
                <a:effectLst/>
                <a:latin typeface="+mn-lt"/>
                <a:ea typeface="+mn-ea"/>
                <a:cs typeface="+mn-cs"/>
              </a:rPr>
              <a:t>数据透视表</a:t>
            </a:r>
            <a:r>
              <a:rPr lang="zh-CN" altLang="zh-CN" sz="1200">
                <a:solidFill>
                  <a:schemeClr val="dk1"/>
                </a:solidFill>
                <a:effectLst/>
                <a:latin typeface="+mn-lt"/>
                <a:ea typeface="+mn-ea"/>
                <a:cs typeface="+mn-cs"/>
              </a:rPr>
              <a:t>，</a:t>
            </a:r>
            <a:r>
              <a:rPr lang="zh-CN" altLang="en-US" sz="1200">
                <a:solidFill>
                  <a:schemeClr val="dk1"/>
                </a:solidFill>
                <a:effectLst/>
                <a:latin typeface="+mn-lt"/>
                <a:ea typeface="+mn-ea"/>
                <a:cs typeface="+mn-cs"/>
              </a:rPr>
              <a:t>使用</a:t>
            </a:r>
            <a:r>
              <a:rPr lang="zh-CN" altLang="en-US" sz="1200" b="1">
                <a:solidFill>
                  <a:srgbClr val="FF0000"/>
                </a:solidFill>
                <a:effectLst/>
                <a:latin typeface="+mn-lt"/>
                <a:ea typeface="+mn-ea"/>
                <a:cs typeface="+mn-cs"/>
              </a:rPr>
              <a:t>工作表“</a:t>
            </a:r>
            <a:r>
              <a:rPr lang="en-US" altLang="zh-CN" sz="1200" b="1">
                <a:solidFill>
                  <a:srgbClr val="FF0000"/>
                </a:solidFill>
                <a:effectLst/>
                <a:latin typeface="+mn-lt"/>
                <a:ea typeface="+mn-ea"/>
                <a:cs typeface="+mn-cs"/>
              </a:rPr>
              <a:t>A</a:t>
            </a:r>
            <a:r>
              <a:rPr lang="zh-CN" altLang="en-US" sz="1200" b="1">
                <a:solidFill>
                  <a:srgbClr val="FF0000"/>
                </a:solidFill>
                <a:effectLst/>
                <a:latin typeface="+mn-lt"/>
                <a:ea typeface="+mn-ea"/>
                <a:cs typeface="+mn-cs"/>
              </a:rPr>
              <a:t>公司销售数据”</a:t>
            </a:r>
            <a:r>
              <a:rPr lang="zh-CN" altLang="en-US" sz="1200">
                <a:solidFill>
                  <a:schemeClr val="dk1"/>
                </a:solidFill>
                <a:effectLst/>
                <a:latin typeface="+mn-lt"/>
                <a:ea typeface="+mn-ea"/>
                <a:cs typeface="+mn-cs"/>
              </a:rPr>
              <a:t>中的数据</a:t>
            </a:r>
            <a:r>
              <a:rPr lang="zh-CN" altLang="zh-CN" sz="1200">
                <a:solidFill>
                  <a:schemeClr val="dk1"/>
                </a:solidFill>
                <a:effectLst/>
                <a:latin typeface="+mn-lt"/>
                <a:ea typeface="+mn-ea"/>
                <a:cs typeface="+mn-cs"/>
              </a:rPr>
              <a:t>，汇总</a:t>
            </a:r>
            <a:r>
              <a:rPr lang="zh-CN" altLang="en-US" sz="1200">
                <a:solidFill>
                  <a:schemeClr val="dk1"/>
                </a:solidFill>
                <a:effectLst/>
                <a:latin typeface="+mn-lt"/>
                <a:ea typeface="+mn-ea"/>
                <a:cs typeface="+mn-cs"/>
              </a:rPr>
              <a:t>该公司</a:t>
            </a:r>
            <a:r>
              <a:rPr lang="zh-CN" altLang="zh-CN" sz="1200">
                <a:solidFill>
                  <a:schemeClr val="dk1"/>
                </a:solidFill>
                <a:effectLst/>
                <a:latin typeface="+mn-lt"/>
                <a:ea typeface="+mn-ea"/>
                <a:cs typeface="+mn-cs"/>
              </a:rPr>
              <a:t>销售情况。请</a:t>
            </a:r>
            <a:r>
              <a:rPr lang="zh-CN" altLang="en-US" sz="1200">
                <a:solidFill>
                  <a:schemeClr val="dk1"/>
                </a:solidFill>
                <a:effectLst/>
                <a:latin typeface="+mn-lt"/>
                <a:ea typeface="+mn-ea"/>
                <a:cs typeface="+mn-cs"/>
              </a:rPr>
              <a:t>创建组，将单价分为两组，小于等于</a:t>
            </a:r>
            <a:r>
              <a:rPr lang="en-US" altLang="zh-CN" sz="1200">
                <a:solidFill>
                  <a:schemeClr val="dk1"/>
                </a:solidFill>
                <a:effectLst/>
                <a:latin typeface="+mn-lt"/>
                <a:ea typeface="+mn-ea"/>
                <a:cs typeface="+mn-cs"/>
              </a:rPr>
              <a:t>40</a:t>
            </a:r>
            <a:r>
              <a:rPr lang="zh-CN" altLang="en-US" sz="1200">
                <a:solidFill>
                  <a:schemeClr val="dk1"/>
                </a:solidFill>
                <a:effectLst/>
                <a:latin typeface="+mn-lt"/>
                <a:ea typeface="+mn-ea"/>
                <a:cs typeface="+mn-cs"/>
              </a:rPr>
              <a:t>元设为低价位组，</a:t>
            </a:r>
            <a:r>
              <a:rPr lang="zh-CN" altLang="zh-CN" sz="1200">
                <a:solidFill>
                  <a:schemeClr val="dk1"/>
                </a:solidFill>
                <a:effectLst/>
                <a:latin typeface="+mn-lt"/>
                <a:ea typeface="+mn-ea"/>
                <a:cs typeface="+mn-cs"/>
              </a:rPr>
              <a:t>超过</a:t>
            </a:r>
            <a:r>
              <a:rPr lang="en-US" altLang="zh-CN" sz="1200">
                <a:solidFill>
                  <a:schemeClr val="dk1"/>
                </a:solidFill>
                <a:effectLst/>
                <a:latin typeface="+mn-lt"/>
                <a:ea typeface="+mn-ea"/>
                <a:cs typeface="+mn-cs"/>
              </a:rPr>
              <a:t>40</a:t>
            </a:r>
            <a:r>
              <a:rPr lang="zh-CN" altLang="zh-CN" sz="1200">
                <a:solidFill>
                  <a:schemeClr val="dk1"/>
                </a:solidFill>
                <a:effectLst/>
                <a:latin typeface="+mn-lt"/>
                <a:ea typeface="+mn-ea"/>
                <a:cs typeface="+mn-cs"/>
              </a:rPr>
              <a:t>元</a:t>
            </a:r>
            <a:r>
              <a:rPr lang="zh-CN" altLang="en-US" sz="1200">
                <a:solidFill>
                  <a:schemeClr val="dk1"/>
                </a:solidFill>
                <a:effectLst/>
                <a:latin typeface="+mn-lt"/>
                <a:ea typeface="+mn-ea"/>
                <a:cs typeface="+mn-cs"/>
              </a:rPr>
              <a:t>设</a:t>
            </a:r>
            <a:r>
              <a:rPr lang="zh-CN" altLang="zh-CN" sz="1200">
                <a:solidFill>
                  <a:schemeClr val="dk1"/>
                </a:solidFill>
                <a:effectLst/>
                <a:latin typeface="+mn-lt"/>
                <a:ea typeface="+mn-ea"/>
                <a:cs typeface="+mn-cs"/>
              </a:rPr>
              <a:t>为高价位</a:t>
            </a:r>
            <a:r>
              <a:rPr lang="zh-CN" altLang="en-US" sz="1200">
                <a:solidFill>
                  <a:schemeClr val="dk1"/>
                </a:solidFill>
                <a:effectLst/>
                <a:latin typeface="+mn-lt"/>
                <a:ea typeface="+mn-ea"/>
                <a:cs typeface="+mn-cs"/>
              </a:rPr>
              <a:t>组。透视表需呈现低价位和高价位组、华北与华东地区、猫罐头与猫条两种产品的销售额百分比。其中，低价位的销售额百分比，应</a:t>
            </a:r>
            <a:r>
              <a:rPr lang="zh-CN" altLang="zh-CN" sz="1200">
                <a:solidFill>
                  <a:schemeClr val="dk1"/>
                </a:solidFill>
                <a:effectLst/>
                <a:latin typeface="+mn-lt"/>
                <a:ea typeface="+mn-ea"/>
                <a:cs typeface="+mn-cs"/>
              </a:rPr>
              <a:t>显示低价位销售额占两个价位销售额之和的百分比</a:t>
            </a:r>
            <a:r>
              <a:rPr lang="zh-CN" altLang="en-US" sz="1200">
                <a:solidFill>
                  <a:schemeClr val="dk1"/>
                </a:solidFill>
                <a:effectLst/>
                <a:latin typeface="+mn-lt"/>
                <a:ea typeface="+mn-ea"/>
                <a:cs typeface="+mn-cs"/>
              </a:rPr>
              <a:t>。</a:t>
            </a:r>
            <a:r>
              <a:rPr lang="zh-CN" altLang="zh-CN" sz="1200">
                <a:solidFill>
                  <a:schemeClr val="dk1"/>
                </a:solidFill>
                <a:effectLst/>
                <a:latin typeface="+mn-lt"/>
                <a:ea typeface="+mn-ea"/>
                <a:cs typeface="+mn-cs"/>
              </a:rPr>
              <a:t>并添加</a:t>
            </a:r>
            <a:r>
              <a:rPr lang="zh-CN" altLang="en-US" sz="1200">
                <a:solidFill>
                  <a:schemeClr val="dk1"/>
                </a:solidFill>
                <a:effectLst/>
                <a:latin typeface="+mn-lt"/>
                <a:ea typeface="+mn-ea"/>
                <a:cs typeface="+mn-cs"/>
              </a:rPr>
              <a:t>年份</a:t>
            </a:r>
            <a:r>
              <a:rPr lang="zh-CN" altLang="zh-CN" sz="1200">
                <a:solidFill>
                  <a:schemeClr val="dk1"/>
                </a:solidFill>
                <a:effectLst/>
                <a:latin typeface="+mn-lt"/>
                <a:ea typeface="+mn-ea"/>
                <a:cs typeface="+mn-cs"/>
              </a:rPr>
              <a:t>切片器</a:t>
            </a:r>
            <a:r>
              <a:rPr lang="zh-CN" altLang="zh-CN" sz="1100">
                <a:solidFill>
                  <a:schemeClr val="dk1"/>
                </a:solidFill>
                <a:effectLst/>
                <a:latin typeface="+mn-lt"/>
                <a:ea typeface="+mn-ea"/>
                <a:cs typeface="+mn-cs"/>
              </a:rPr>
              <a:t>，</a:t>
            </a:r>
            <a:r>
              <a:rPr lang="zh-CN" altLang="zh-CN" sz="1200">
                <a:solidFill>
                  <a:schemeClr val="dk1"/>
                </a:solidFill>
                <a:effectLst/>
                <a:latin typeface="+mn-lt"/>
                <a:ea typeface="+mn-ea"/>
                <a:cs typeface="+mn-cs"/>
              </a:rPr>
              <a:t>汇总结果</a:t>
            </a:r>
            <a:r>
              <a:rPr lang="zh-CN" altLang="en-US" sz="1200">
                <a:solidFill>
                  <a:srgbClr val="FF0000"/>
                </a:solidFill>
                <a:effectLst/>
                <a:latin typeface="+mn-lt"/>
                <a:ea typeface="+mn-ea"/>
                <a:cs typeface="+mn-cs"/>
              </a:rPr>
              <a:t>必须</a:t>
            </a:r>
            <a:r>
              <a:rPr lang="zh-CN" altLang="zh-CN" sz="1200">
                <a:solidFill>
                  <a:schemeClr val="dk1"/>
                </a:solidFill>
                <a:effectLst/>
                <a:latin typeface="+mn-lt"/>
                <a:ea typeface="+mn-ea"/>
                <a:cs typeface="+mn-cs"/>
              </a:rPr>
              <a:t>如下图所示</a:t>
            </a:r>
            <a:r>
              <a:rPr lang="zh-CN" altLang="en-US" sz="1200">
                <a:solidFill>
                  <a:schemeClr val="dk1"/>
                </a:solidFill>
                <a:effectLst/>
                <a:latin typeface="+mn-lt"/>
                <a:ea typeface="+mn-ea"/>
                <a:cs typeface="+mn-cs"/>
              </a:rPr>
              <a:t>（数值不必显示为星号）。</a:t>
            </a:r>
            <a:endParaRPr lang="en-US" altLang="zh-CN" sz="1200">
              <a:solidFill>
                <a:schemeClr val="dk1"/>
              </a:solidFill>
              <a:effectLst/>
              <a:latin typeface="+mn-lt"/>
              <a:ea typeface="+mn-ea"/>
              <a:cs typeface="+mn-cs"/>
            </a:endParaRPr>
          </a:p>
        </xdr:txBody>
      </xdr:sp>
      <xdr:pic>
        <xdr:nvPicPr>
          <xdr:cNvPr id="7" name="图片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482183" y="2722926"/>
            <a:ext cx="5448745" cy="1752600"/>
          </a:xfrm>
          <a:prstGeom prst="rect">
            <a:avLst/>
          </a:prstGeom>
          <a:solidFill>
            <a:schemeClr val="bg1"/>
          </a:solidFill>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651510</xdr:colOff>
      <xdr:row>12</xdr:row>
      <xdr:rowOff>53340</xdr:rowOff>
    </xdr:from>
    <xdr:to>
      <xdr:col>16</xdr:col>
      <xdr:colOff>422910</xdr:colOff>
      <xdr:row>27</xdr:row>
      <xdr:rowOff>53340</xdr:rowOff>
    </xdr:to>
    <xdr:graphicFrame macro="">
      <xdr:nvGraphicFramePr>
        <xdr:cNvPr id="3" name="图表 2">
          <a:extLst>
            <a:ext uri="{FF2B5EF4-FFF2-40B4-BE49-F238E27FC236}">
              <a16:creationId xmlns:a16="http://schemas.microsoft.com/office/drawing/2014/main" id="{99C8567C-EAE7-4E5F-AA4B-1D3FBC4FD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706755</xdr:colOff>
      <xdr:row>13</xdr:row>
      <xdr:rowOff>167640</xdr:rowOff>
    </xdr:from>
    <xdr:to>
      <xdr:col>9</xdr:col>
      <xdr:colOff>279400</xdr:colOff>
      <xdr:row>34</xdr:row>
      <xdr:rowOff>99060</xdr:rowOff>
    </xdr:to>
    <xdr:grpSp>
      <xdr:nvGrpSpPr>
        <xdr:cNvPr id="2" name="组合 1">
          <a:extLst>
            <a:ext uri="{FF2B5EF4-FFF2-40B4-BE49-F238E27FC236}">
              <a16:creationId xmlns:a16="http://schemas.microsoft.com/office/drawing/2014/main" id="{00000000-0008-0000-0400-000002000000}"/>
            </a:ext>
          </a:extLst>
        </xdr:cNvPr>
        <xdr:cNvGrpSpPr/>
      </xdr:nvGrpSpPr>
      <xdr:grpSpPr>
        <a:xfrm>
          <a:off x="1544955" y="2545080"/>
          <a:ext cx="5158105" cy="3771900"/>
          <a:chOff x="13085445" y="366695"/>
          <a:chExt cx="5158105" cy="3531870"/>
        </a:xfrm>
      </xdr:grpSpPr>
      <xdr:sp macro="" textlink="">
        <xdr:nvSpPr>
          <xdr:cNvPr id="6" name="文本框 5">
            <a:extLst>
              <a:ext uri="{FF2B5EF4-FFF2-40B4-BE49-F238E27FC236}">
                <a16:creationId xmlns:a16="http://schemas.microsoft.com/office/drawing/2014/main" id="{00000000-0008-0000-0400-000006000000}"/>
              </a:ext>
            </a:extLst>
          </xdr:cNvPr>
          <xdr:cNvSpPr txBox="1"/>
        </xdr:nvSpPr>
        <xdr:spPr>
          <a:xfrm>
            <a:off x="13085445" y="366695"/>
            <a:ext cx="5158105" cy="353187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7" charset="-122"/>
                <a:ea typeface="宋体" panose="02010600030101010101" pitchFamily="7" charset="-122"/>
              </a:rPr>
              <a:t>第</a:t>
            </a:r>
            <a:r>
              <a:rPr lang="en-US" altLang="zh-CN" sz="1200" b="1">
                <a:latin typeface="宋体" panose="02010600030101010101" pitchFamily="7" charset="-122"/>
                <a:ea typeface="宋体" panose="02010600030101010101" pitchFamily="7" charset="-122"/>
              </a:rPr>
              <a:t>3</a:t>
            </a:r>
            <a:r>
              <a:rPr lang="zh-CN" altLang="en-US" sz="1200" b="1">
                <a:latin typeface="宋体" panose="02010600030101010101" pitchFamily="7" charset="-122"/>
                <a:ea typeface="宋体" panose="02010600030101010101" pitchFamily="7" charset="-122"/>
              </a:rPr>
              <a:t>题</a:t>
            </a:r>
            <a:r>
              <a:rPr lang="zh-CN" altLang="en-US" sz="1200" b="1">
                <a:solidFill>
                  <a:sysClr val="windowText" lastClr="000000"/>
                </a:solidFill>
                <a:latin typeface="宋体" panose="02010600030101010101" pitchFamily="7" charset="-122"/>
                <a:ea typeface="宋体" panose="02010600030101010101" pitchFamily="7" charset="-122"/>
              </a:rPr>
              <a:t>（</a:t>
            </a:r>
            <a:r>
              <a:rPr lang="en-US" altLang="zh-CN" sz="1200" b="1">
                <a:solidFill>
                  <a:sysClr val="windowText" lastClr="000000"/>
                </a:solidFill>
                <a:latin typeface="宋体" panose="02010600030101010101" pitchFamily="7" charset="-122"/>
                <a:ea typeface="宋体" panose="02010600030101010101" pitchFamily="7" charset="-122"/>
              </a:rPr>
              <a:t>15</a:t>
            </a:r>
            <a:r>
              <a:rPr lang="zh-CN" altLang="en-US" sz="1200" b="1">
                <a:solidFill>
                  <a:sysClr val="windowText" lastClr="000000"/>
                </a:solidFill>
                <a:latin typeface="宋体" panose="02010600030101010101" pitchFamily="7" charset="-122"/>
                <a:ea typeface="宋体" panose="02010600030101010101" pitchFamily="7" charset="-122"/>
              </a:rPr>
              <a:t>分）</a:t>
            </a:r>
            <a:r>
              <a:rPr lang="zh-CN" altLang="en-US">
                <a:sym typeface="+mn-ea"/>
              </a:rPr>
              <a:t> 从</a:t>
            </a:r>
            <a:r>
              <a:rPr lang="en-US" altLang="zh-CN">
                <a:sym typeface="+mn-ea"/>
              </a:rPr>
              <a:t>NorthWind</a:t>
            </a:r>
            <a:r>
              <a:rPr lang="zh-CN" altLang="en-US">
                <a:sym typeface="+mn-ea"/>
              </a:rPr>
              <a:t>的数据库中得到各个产品所有年份的销售数据，然后据此制作销售额最高的前五个产品各年份的销售额，如下图所示。（用</a:t>
            </a:r>
            <a:r>
              <a:rPr lang="en-US" altLang="zh-CN">
                <a:sym typeface="+mn-ea"/>
              </a:rPr>
              <a:t>D</a:t>
            </a:r>
            <a:r>
              <a:rPr lang="zh-CN" altLang="en-US">
                <a:sym typeface="+mn-ea"/>
              </a:rPr>
              <a:t>函数和列表框控件制作动态图；在本工作表中完成所有操作）</a:t>
            </a:r>
            <a:endParaRPr lang="en-US" altLang="zh-CN" sz="1200">
              <a:latin typeface="宋体" panose="02010600030101010101" pitchFamily="7" charset="-122"/>
              <a:ea typeface="宋体" panose="02010600030101010101" pitchFamily="7" charset="-122"/>
            </a:endParaRPr>
          </a:p>
          <a:p>
            <a:endParaRPr lang="en-US" altLang="zh-CN" sz="1200">
              <a:latin typeface="宋体" panose="02010600030101010101" pitchFamily="7" charset="-122"/>
              <a:ea typeface="宋体" panose="02010600030101010101" pitchFamily="7" charset="-122"/>
            </a:endParaRPr>
          </a:p>
          <a:p>
            <a:endParaRPr lang="en-US" altLang="zh-CN" sz="1200">
              <a:latin typeface="宋体" panose="02010600030101010101" pitchFamily="7" charset="-122"/>
              <a:ea typeface="宋体" panose="02010600030101010101" pitchFamily="7" charset="-122"/>
            </a:endParaRPr>
          </a:p>
          <a:p>
            <a:endParaRPr lang="en-US" altLang="zh-CN" sz="1200">
              <a:latin typeface="宋体" panose="02010600030101010101" pitchFamily="7" charset="-122"/>
              <a:ea typeface="宋体" panose="02010600030101010101" pitchFamily="7" charset="-122"/>
            </a:endParaRPr>
          </a:p>
          <a:p>
            <a:endParaRPr lang="en-US" altLang="zh-CN" sz="1200">
              <a:latin typeface="宋体" panose="02010600030101010101" pitchFamily="7" charset="-122"/>
              <a:ea typeface="宋体" panose="02010600030101010101" pitchFamily="7" charset="-122"/>
            </a:endParaRPr>
          </a:p>
          <a:p>
            <a:endParaRPr lang="en-US" altLang="zh-CN" sz="1200">
              <a:latin typeface="宋体" panose="02010600030101010101" pitchFamily="7" charset="-122"/>
              <a:ea typeface="宋体" panose="02010600030101010101" pitchFamily="7" charset="-122"/>
            </a:endParaRPr>
          </a:p>
          <a:p>
            <a:endParaRPr lang="zh-CN" altLang="en-US" sz="1200">
              <a:latin typeface="宋体" panose="02010600030101010101" pitchFamily="7" charset="-122"/>
              <a:ea typeface="宋体" panose="02010600030101010101" pitchFamily="7" charset="-122"/>
            </a:endParaRPr>
          </a:p>
        </xdr:txBody>
      </xdr:sp>
      <xdr:pic>
        <xdr:nvPicPr>
          <xdr:cNvPr id="10" name="图片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13668375" y="1168417"/>
            <a:ext cx="3577590" cy="2408555"/>
          </a:xfrm>
          <a:prstGeom prst="rect">
            <a:avLst/>
          </a:prstGeom>
          <a:ln>
            <a:solidFill>
              <a:schemeClr val="tx1"/>
            </a:solidFill>
          </a:ln>
        </xdr:spPr>
      </xdr:pic>
    </xdr:grpSp>
    <xdr:clientData/>
  </xdr:twoCellAnchor>
  <mc:AlternateContent xmlns:mc="http://schemas.openxmlformats.org/markup-compatibility/2006">
    <mc:Choice xmlns:a14="http://schemas.microsoft.com/office/drawing/2010/main" Requires="a14">
      <xdr:twoCellAnchor editAs="oneCell">
        <xdr:from>
          <xdr:col>15</xdr:col>
          <xdr:colOff>15240</xdr:colOff>
          <xdr:row>13</xdr:row>
          <xdr:rowOff>15240</xdr:rowOff>
        </xdr:from>
        <xdr:to>
          <xdr:col>16</xdr:col>
          <xdr:colOff>83820</xdr:colOff>
          <xdr:row>15</xdr:row>
          <xdr:rowOff>137160</xdr:rowOff>
        </xdr:to>
        <xdr:sp macro="" textlink="">
          <xdr:nvSpPr>
            <xdr:cNvPr id="4098" name="List Box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173356</xdr:colOff>
      <xdr:row>5</xdr:row>
      <xdr:rowOff>147637</xdr:rowOff>
    </xdr:from>
    <xdr:to>
      <xdr:col>8</xdr:col>
      <xdr:colOff>3025</xdr:colOff>
      <xdr:row>30</xdr:row>
      <xdr:rowOff>80639</xdr:rowOff>
    </xdr:to>
    <xdr:grpSp>
      <xdr:nvGrpSpPr>
        <xdr:cNvPr id="5" name="组合 4">
          <a:extLst>
            <a:ext uri="{FF2B5EF4-FFF2-40B4-BE49-F238E27FC236}">
              <a16:creationId xmlns:a16="http://schemas.microsoft.com/office/drawing/2014/main" id="{00000000-0008-0000-0500-000005000000}"/>
            </a:ext>
          </a:extLst>
        </xdr:cNvPr>
        <xdr:cNvGrpSpPr/>
      </xdr:nvGrpSpPr>
      <xdr:grpSpPr>
        <a:xfrm>
          <a:off x="173356" y="1062037"/>
          <a:ext cx="5430369" cy="4505002"/>
          <a:chOff x="2468840" y="6069345"/>
          <a:chExt cx="5430369" cy="5283567"/>
        </a:xfrm>
      </xdr:grpSpPr>
      <xdr:sp macro="" textlink="">
        <xdr:nvSpPr>
          <xdr:cNvPr id="6" name="文本框 5">
            <a:extLst>
              <a:ext uri="{FF2B5EF4-FFF2-40B4-BE49-F238E27FC236}">
                <a16:creationId xmlns:a16="http://schemas.microsoft.com/office/drawing/2014/main" id="{00000000-0008-0000-0500-000006000000}"/>
              </a:ext>
            </a:extLst>
          </xdr:cNvPr>
          <xdr:cNvSpPr txBox="1"/>
        </xdr:nvSpPr>
        <xdr:spPr>
          <a:xfrm>
            <a:off x="2468840" y="6069345"/>
            <a:ext cx="5430369" cy="5283567"/>
          </a:xfrm>
          <a:prstGeom prst="rect">
            <a:avLst/>
          </a:prstGeom>
          <a:solidFill>
            <a:schemeClr val="accent4">
              <a:lumMod val="20000"/>
              <a:lumOff val="80000"/>
            </a:schemeClr>
          </a:solidFill>
          <a:ln w="9525">
            <a:solidFill>
              <a:srgbClr val="000000"/>
            </a:solidFill>
            <a:miter lim="800000"/>
          </a:ln>
        </xdr:spPr>
        <xdr:txBody>
          <a:bodyPr vertOverflow="clip" horzOverflow="clip" wrap="square" lIns="27432" tIns="18288" rIns="0" bIns="0" rtlCol="0" anchor="t" upright="1"/>
          <a:lstStyle/>
          <a:p>
            <a:pPr algn="l" rtl="0">
              <a:lnSpc>
                <a:spcPct val="120000"/>
              </a:lnSpc>
              <a:spcBef>
                <a:spcPts val="600"/>
              </a:spcBef>
              <a:spcAft>
                <a:spcPts val="0"/>
              </a:spcAft>
            </a:pPr>
            <a:r>
              <a:rPr lang="zh-CN" altLang="zh-CN" sz="1200" b="1" i="0" kern="1600" baseline="0">
                <a:effectLst/>
                <a:latin typeface="宋体" panose="02010600030101010101" pitchFamily="7" charset="-122"/>
                <a:ea typeface="宋体" panose="02010600030101010101" pitchFamily="7" charset="-122"/>
                <a:cs typeface="+mn-cs"/>
              </a:rPr>
              <a:t>第</a:t>
            </a:r>
            <a:r>
              <a:rPr lang="en-US" altLang="zh-CN" sz="1200" b="1" i="0" kern="1600" baseline="0">
                <a:effectLst/>
                <a:latin typeface="宋体" panose="02010600030101010101" pitchFamily="7" charset="-122"/>
                <a:ea typeface="宋体" panose="02010600030101010101" pitchFamily="7" charset="-122"/>
                <a:cs typeface="+mn-cs"/>
              </a:rPr>
              <a:t>4</a:t>
            </a:r>
            <a:r>
              <a:rPr lang="zh-CN" altLang="zh-CN" sz="1200" b="1" i="0" kern="1600" baseline="0">
                <a:effectLst/>
                <a:latin typeface="宋体" panose="02010600030101010101" pitchFamily="7" charset="-122"/>
                <a:ea typeface="宋体" panose="02010600030101010101" pitchFamily="7" charset="-122"/>
                <a:cs typeface="+mn-cs"/>
              </a:rPr>
              <a:t>题</a:t>
            </a:r>
            <a:r>
              <a:rPr lang="zh-CN" altLang="en-US" sz="1200" b="1" i="0" kern="1600" baseline="0">
                <a:solidFill>
                  <a:sysClr val="windowText" lastClr="000000"/>
                </a:solidFill>
                <a:effectLst/>
                <a:latin typeface="宋体" panose="02010600030101010101" pitchFamily="7" charset="-122"/>
                <a:ea typeface="宋体" panose="02010600030101010101" pitchFamily="7" charset="-122"/>
                <a:cs typeface="+mn-cs"/>
              </a:rPr>
              <a:t>（</a:t>
            </a:r>
            <a:r>
              <a:rPr lang="en-US" altLang="zh-CN" sz="1200" b="1" i="0" kern="1600" baseline="0">
                <a:solidFill>
                  <a:sysClr val="windowText" lastClr="000000"/>
                </a:solidFill>
                <a:effectLst/>
                <a:latin typeface="宋体" panose="02010600030101010101" pitchFamily="7" charset="-122"/>
                <a:ea typeface="宋体" panose="02010600030101010101" pitchFamily="7" charset="-122"/>
                <a:cs typeface="+mn-cs"/>
              </a:rPr>
              <a:t>15</a:t>
            </a:r>
            <a:r>
              <a:rPr lang="zh-CN" altLang="zh-CN" sz="1200" b="1" i="0" kern="1600" baseline="0">
                <a:solidFill>
                  <a:sysClr val="windowText" lastClr="000000"/>
                </a:solidFill>
                <a:effectLst/>
                <a:latin typeface="宋体" panose="02010600030101010101" pitchFamily="7" charset="-122"/>
                <a:ea typeface="宋体" panose="02010600030101010101" pitchFamily="7" charset="-122"/>
                <a:cs typeface="+mn-cs"/>
              </a:rPr>
              <a:t>分</a:t>
            </a:r>
            <a:r>
              <a:rPr lang="zh-CN" altLang="en-US" sz="1200" b="1" i="0" kern="1600" baseline="0">
                <a:solidFill>
                  <a:sysClr val="windowText" lastClr="000000"/>
                </a:solidFill>
                <a:effectLst/>
                <a:latin typeface="宋体" panose="02010600030101010101" pitchFamily="7" charset="-122"/>
                <a:ea typeface="宋体" panose="02010600030101010101" pitchFamily="7" charset="-122"/>
                <a:cs typeface="+mn-cs"/>
              </a:rPr>
              <a:t>）</a:t>
            </a:r>
            <a:r>
              <a:rPr lang="zh-CN" altLang="en-US" sz="1200" b="0" i="0" kern="1600" baseline="0">
                <a:effectLst/>
                <a:latin typeface="宋体" panose="02010600030101010101" pitchFamily="7" charset="-122"/>
                <a:ea typeface="宋体" panose="02010600030101010101" pitchFamily="7" charset="-122"/>
                <a:cs typeface="+mn-cs"/>
              </a:rPr>
              <a:t>利用工作表“</a:t>
            </a:r>
            <a:r>
              <a:rPr lang="en-US" altLang="zh-CN" sz="1200" b="0" i="0" kern="1600" baseline="0">
                <a:solidFill>
                  <a:srgbClr val="FF0000"/>
                </a:solidFill>
                <a:effectLst/>
                <a:latin typeface="宋体" panose="02010600030101010101" pitchFamily="7" charset="-122"/>
                <a:ea typeface="+mn-ea"/>
                <a:cs typeface="+mn-cs"/>
              </a:rPr>
              <a:t>A</a:t>
            </a:r>
            <a:r>
              <a:rPr lang="zh-CN" altLang="en-US" sz="1200" b="0" i="0" kern="1600" baseline="0">
                <a:solidFill>
                  <a:srgbClr val="FF0000"/>
                </a:solidFill>
                <a:effectLst/>
                <a:latin typeface="宋体" panose="02010600030101010101" pitchFamily="7" charset="-122"/>
                <a:ea typeface="+mn-ea"/>
                <a:cs typeface="+mn-cs"/>
              </a:rPr>
              <a:t>公司销售数据</a:t>
            </a:r>
            <a:r>
              <a:rPr lang="zh-CN" altLang="en-US" sz="1200" b="0" i="0" kern="1600" baseline="0">
                <a:effectLst/>
                <a:latin typeface="宋体" panose="02010600030101010101" pitchFamily="7" charset="-122"/>
                <a:ea typeface="+mn-ea"/>
                <a:cs typeface="+mn-cs"/>
              </a:rPr>
              <a:t>”</a:t>
            </a:r>
            <a:r>
              <a:rPr lang="zh-CN" altLang="en-US" sz="1200" b="0" i="0" kern="1600" baseline="0">
                <a:effectLst/>
                <a:latin typeface="宋体" panose="02010600030101010101" pitchFamily="7" charset="-122"/>
                <a:ea typeface="宋体" panose="02010600030101010101" pitchFamily="7" charset="-122"/>
                <a:cs typeface="+mn-cs"/>
              </a:rPr>
              <a:t>中的</a:t>
            </a:r>
            <a:r>
              <a:rPr lang="zh-CN" altLang="zh-CN" sz="1200" b="0" i="0" kern="1600" baseline="0">
                <a:effectLst/>
                <a:latin typeface="宋体" panose="02010600030101010101" pitchFamily="7" charset="-122"/>
                <a:ea typeface="宋体" panose="02010600030101010101" pitchFamily="7" charset="-122"/>
                <a:cs typeface="+mn-cs"/>
              </a:rPr>
              <a:t>数据，</a:t>
            </a:r>
            <a:r>
              <a:rPr lang="zh-CN" altLang="en-US" sz="1200" b="0" i="0" kern="1600" baseline="0">
                <a:effectLst/>
                <a:latin typeface="宋体" panose="02010600030101010101" pitchFamily="7" charset="-122"/>
                <a:ea typeface="宋体" panose="02010600030101010101" pitchFamily="7" charset="-122"/>
                <a:cs typeface="+mn-cs"/>
              </a:rPr>
              <a:t>使用</a:t>
            </a:r>
            <a:r>
              <a:rPr lang="en-US" altLang="zh-CN" sz="1200" b="0" i="0" kern="1600" baseline="0">
                <a:effectLst/>
                <a:latin typeface="宋体" panose="02010600030101010101" pitchFamily="7" charset="-122"/>
                <a:ea typeface="宋体" panose="02010600030101010101" pitchFamily="7" charset="-122"/>
                <a:cs typeface="+mn-cs"/>
              </a:rPr>
              <a:t>D</a:t>
            </a:r>
            <a:r>
              <a:rPr lang="zh-CN" altLang="en-US" sz="1200" b="0" i="0" kern="1600" baseline="0">
                <a:effectLst/>
                <a:latin typeface="宋体" panose="02010600030101010101" pitchFamily="7" charset="-122"/>
                <a:ea typeface="宋体" panose="02010600030101010101" pitchFamily="7" charset="-122"/>
                <a:cs typeface="+mn-cs"/>
              </a:rPr>
              <a:t>函数</a:t>
            </a:r>
            <a:r>
              <a:rPr lang="zh-CN" altLang="zh-CN" sz="1200" b="0" i="0" kern="1600" baseline="0">
                <a:effectLst/>
                <a:latin typeface="宋体" panose="02010600030101010101" pitchFamily="7" charset="-122"/>
                <a:ea typeface="宋体" panose="02010600030101010101" pitchFamily="7" charset="-122"/>
                <a:cs typeface="+mn-cs"/>
              </a:rPr>
              <a:t>及模拟运算表，计算各</a:t>
            </a:r>
            <a:r>
              <a:rPr lang="zh-CN" altLang="en-US" sz="1200" b="0" i="0" kern="1600" baseline="0">
                <a:effectLst/>
                <a:latin typeface="宋体" panose="02010600030101010101" pitchFamily="7" charset="-122"/>
                <a:ea typeface="宋体" panose="02010600030101010101" pitchFamily="7" charset="-122"/>
                <a:cs typeface="+mn-cs"/>
              </a:rPr>
              <a:t>季度的</a:t>
            </a:r>
            <a:r>
              <a:rPr lang="zh-CN" altLang="zh-CN" sz="1200" b="0" i="0" kern="1600" baseline="0">
                <a:effectLst/>
                <a:latin typeface="宋体" panose="02010600030101010101" pitchFamily="7" charset="-122"/>
                <a:ea typeface="宋体" panose="02010600030101010101" pitchFamily="7" charset="-122"/>
                <a:cs typeface="+mn-cs"/>
              </a:rPr>
              <a:t>销售额总计</a:t>
            </a:r>
            <a:r>
              <a:rPr lang="zh-CN" altLang="en-US" sz="1200" b="0" i="0" kern="1600" baseline="0">
                <a:effectLst/>
                <a:latin typeface="宋体" panose="02010600030101010101" pitchFamily="7" charset="-122"/>
                <a:ea typeface="宋体" panose="02010600030101010101" pitchFamily="7" charset="-122"/>
                <a:cs typeface="+mn-cs"/>
              </a:rPr>
              <a:t>值</a:t>
            </a:r>
            <a:r>
              <a:rPr lang="zh-CN" altLang="zh-CN" sz="1200" b="0" i="0" kern="1600" baseline="0">
                <a:effectLst/>
                <a:latin typeface="宋体" panose="02010600030101010101" pitchFamily="7" charset="-122"/>
                <a:ea typeface="宋体" panose="02010600030101010101" pitchFamily="7" charset="-122"/>
                <a:cs typeface="+mn-cs"/>
              </a:rPr>
              <a:t>和</a:t>
            </a:r>
            <a:r>
              <a:rPr lang="zh-CN" altLang="en-US" sz="1200" b="0" i="0" kern="1600" baseline="0">
                <a:effectLst/>
                <a:latin typeface="宋体" panose="02010600030101010101" pitchFamily="7" charset="-122"/>
                <a:ea typeface="宋体" panose="02010600030101010101" pitchFamily="7" charset="-122"/>
                <a:cs typeface="+mn-cs"/>
              </a:rPr>
              <a:t>产品</a:t>
            </a:r>
            <a:r>
              <a:rPr lang="zh-CN" altLang="zh-CN" sz="1200" b="0" i="0" kern="1600" baseline="0">
                <a:effectLst/>
                <a:latin typeface="宋体" panose="02010600030101010101" pitchFamily="7" charset="-122"/>
                <a:ea typeface="宋体" panose="02010600030101010101" pitchFamily="7" charset="-122"/>
                <a:cs typeface="+mn-cs"/>
              </a:rPr>
              <a:t>销售总次数。创建</a:t>
            </a:r>
            <a:r>
              <a:rPr lang="zh-CN" altLang="en-US" sz="1200" b="0" i="0" kern="1600" baseline="0">
                <a:effectLst/>
                <a:latin typeface="宋体" panose="02010600030101010101" pitchFamily="7" charset="-122"/>
                <a:ea typeface="宋体" panose="02010600030101010101" pitchFamily="7" charset="-122"/>
                <a:cs typeface="+mn-cs"/>
              </a:rPr>
              <a:t>一个年份</a:t>
            </a:r>
            <a:r>
              <a:rPr lang="zh-CN" altLang="zh-CN" sz="1200" b="0" i="0" kern="1600" baseline="0">
                <a:effectLst/>
                <a:latin typeface="宋体" panose="02010600030101010101" pitchFamily="7" charset="-122"/>
                <a:ea typeface="宋体" panose="02010600030101010101" pitchFamily="7" charset="-122"/>
                <a:cs typeface="+mn-cs"/>
              </a:rPr>
              <a:t>列表框</a:t>
            </a:r>
            <a:r>
              <a:rPr lang="zh-CN" altLang="en-US" sz="1200" b="0" i="0" kern="1600" baseline="0">
                <a:effectLst/>
                <a:latin typeface="宋体" panose="02010600030101010101" pitchFamily="7" charset="-122"/>
                <a:ea typeface="宋体" panose="02010600030101010101" pitchFamily="7" charset="-122"/>
                <a:cs typeface="+mn-cs"/>
              </a:rPr>
              <a:t>、销售额总计和销售次数总计的单选钮</a:t>
            </a:r>
            <a:r>
              <a:rPr lang="zh-CN" altLang="zh-CN" sz="1200" b="0" i="0" kern="1600" baseline="0">
                <a:effectLst/>
                <a:latin typeface="宋体" panose="02010600030101010101" pitchFamily="7" charset="-122"/>
                <a:ea typeface="宋体" panose="02010600030101010101" pitchFamily="7" charset="-122"/>
                <a:cs typeface="+mn-cs"/>
              </a:rPr>
              <a:t>，并</a:t>
            </a:r>
            <a:r>
              <a:rPr lang="zh-CN" altLang="en-US" sz="1200" b="0" i="0" kern="1600" baseline="0">
                <a:effectLst/>
                <a:latin typeface="宋体" panose="02010600030101010101" pitchFamily="7" charset="-122"/>
                <a:ea typeface="宋体" panose="02010600030101010101" pitchFamily="7" charset="-122"/>
                <a:cs typeface="+mn-cs"/>
              </a:rPr>
              <a:t>且</a:t>
            </a:r>
            <a:r>
              <a:rPr lang="zh-CN" altLang="zh-CN" sz="1200" b="0" i="0" kern="1600" baseline="0">
                <a:effectLst/>
                <a:latin typeface="宋体" panose="02010600030101010101" pitchFamily="7" charset="-122"/>
                <a:ea typeface="宋体" panose="02010600030101010101" pitchFamily="7" charset="-122"/>
                <a:cs typeface="+mn-cs"/>
              </a:rPr>
              <a:t>绘制</a:t>
            </a:r>
            <a:r>
              <a:rPr lang="zh-CN" altLang="en-US" sz="1200" b="0" i="0" kern="1600" baseline="0">
                <a:effectLst/>
                <a:latin typeface="宋体" panose="02010600030101010101" pitchFamily="7" charset="-122"/>
                <a:ea typeface="宋体" panose="02010600030101010101" pitchFamily="7" charset="-122"/>
                <a:cs typeface="+mn-cs"/>
              </a:rPr>
              <a:t>季度销售情况折线</a:t>
            </a:r>
            <a:r>
              <a:rPr lang="zh-CN" altLang="zh-CN" sz="1200" b="0" i="0" kern="1600" baseline="0">
                <a:effectLst/>
                <a:latin typeface="宋体" panose="02010600030101010101" pitchFamily="7" charset="-122"/>
                <a:ea typeface="宋体" panose="02010600030101010101" pitchFamily="7" charset="-122"/>
                <a:cs typeface="+mn-cs"/>
              </a:rPr>
              <a:t>图。</a:t>
            </a:r>
            <a:endParaRPr lang="en-US" altLang="zh-CN" sz="1200" b="0" i="0" kern="1600" baseline="0">
              <a:effectLst/>
              <a:latin typeface="宋体" panose="02010600030101010101" pitchFamily="7" charset="-122"/>
              <a:ea typeface="宋体" panose="02010600030101010101" pitchFamily="7" charset="-122"/>
              <a:cs typeface="+mn-cs"/>
            </a:endParaRPr>
          </a:p>
          <a:p>
            <a:pPr algn="l" rtl="0">
              <a:lnSpc>
                <a:spcPct val="120000"/>
              </a:lnSpc>
              <a:spcBef>
                <a:spcPts val="600"/>
              </a:spcBef>
              <a:spcAft>
                <a:spcPts val="0"/>
              </a:spcAft>
            </a:pPr>
            <a:r>
              <a:rPr lang="en-US" altLang="zh-CN" sz="1200" b="0" i="0" kern="1600" baseline="0">
                <a:effectLst/>
                <a:latin typeface="宋体" panose="02010600030101010101" pitchFamily="7" charset="-122"/>
                <a:ea typeface="宋体" panose="02010600030101010101" pitchFamily="7" charset="-122"/>
                <a:cs typeface="+mn-cs"/>
              </a:rPr>
              <a:t>   </a:t>
            </a:r>
            <a:r>
              <a:rPr lang="zh-CN" altLang="zh-CN" sz="1200" b="0" i="0" kern="1600" baseline="0">
                <a:effectLst/>
                <a:latin typeface="宋体" panose="02010600030101010101" pitchFamily="7" charset="-122"/>
                <a:ea typeface="宋体" panose="02010600030101010101" pitchFamily="7" charset="-122"/>
                <a:cs typeface="+mn-cs"/>
              </a:rPr>
              <a:t>使用</a:t>
            </a:r>
            <a:r>
              <a:rPr lang="zh-CN" altLang="en-US" sz="1200" b="0" i="0" kern="1600" baseline="0">
                <a:effectLst/>
                <a:latin typeface="宋体" panose="02010600030101010101" pitchFamily="7" charset="-122"/>
                <a:ea typeface="宋体" panose="02010600030101010101" pitchFamily="7" charset="-122"/>
                <a:cs typeface="+mn-cs"/>
              </a:rPr>
              <a:t>年份</a:t>
            </a:r>
            <a:r>
              <a:rPr lang="zh-CN" altLang="zh-CN" sz="1200" b="0" i="0" kern="1600" baseline="0">
                <a:effectLst/>
                <a:latin typeface="宋体" panose="02010600030101010101" pitchFamily="7" charset="-122"/>
                <a:ea typeface="宋体" panose="02010600030101010101" pitchFamily="7" charset="-122"/>
                <a:cs typeface="+mn-cs"/>
              </a:rPr>
              <a:t>列表框和</a:t>
            </a:r>
            <a:r>
              <a:rPr lang="zh-CN" altLang="en-US" sz="1200" b="0" i="0" kern="1600" baseline="0">
                <a:effectLst/>
                <a:latin typeface="宋体" panose="02010600030101010101" pitchFamily="7" charset="-122"/>
                <a:ea typeface="宋体" panose="02010600030101010101" pitchFamily="7" charset="-122"/>
                <a:cs typeface="+mn-cs"/>
              </a:rPr>
              <a:t>单选钮对图形</a:t>
            </a:r>
            <a:r>
              <a:rPr lang="zh-CN" altLang="zh-CN" sz="1200" b="0" i="0" kern="1600" baseline="0">
                <a:effectLst/>
                <a:latin typeface="宋体" panose="02010600030101010101" pitchFamily="7" charset="-122"/>
                <a:ea typeface="宋体" panose="02010600030101010101" pitchFamily="7" charset="-122"/>
                <a:cs typeface="+mn-cs"/>
              </a:rPr>
              <a:t>进行控制</a:t>
            </a:r>
            <a:r>
              <a:rPr lang="zh-CN" altLang="en-US" sz="1200" b="0" i="0" kern="1600" baseline="0">
                <a:effectLst/>
                <a:latin typeface="宋体" panose="02010600030101010101" pitchFamily="7" charset="-122"/>
                <a:ea typeface="宋体" panose="02010600030101010101" pitchFamily="7" charset="-122"/>
                <a:cs typeface="+mn-cs"/>
              </a:rPr>
              <a:t>。</a:t>
            </a:r>
            <a:r>
              <a:rPr lang="zh-CN" altLang="zh-CN" sz="1200" b="0" i="0" kern="1600" baseline="0">
                <a:effectLst/>
                <a:latin typeface="宋体" panose="02010600030101010101" pitchFamily="7" charset="-122"/>
                <a:ea typeface="宋体" panose="02010600030101010101" pitchFamily="7" charset="-122"/>
                <a:cs typeface="+mn-cs"/>
              </a:rPr>
              <a:t>当选择</a:t>
            </a:r>
            <a:r>
              <a:rPr lang="zh-CN" altLang="en-US" sz="1200" b="0" i="0" kern="1600" baseline="0">
                <a:effectLst/>
                <a:latin typeface="宋体" panose="02010600030101010101" pitchFamily="7" charset="-122"/>
                <a:ea typeface="宋体" panose="02010600030101010101" pitchFamily="7" charset="-122"/>
                <a:cs typeface="+mn-cs"/>
              </a:rPr>
              <a:t>年份</a:t>
            </a:r>
            <a:r>
              <a:rPr lang="zh-CN" altLang="zh-CN" sz="1200" b="0" i="0" kern="1600" baseline="0">
                <a:effectLst/>
                <a:latin typeface="宋体" panose="02010600030101010101" pitchFamily="7" charset="-122"/>
                <a:ea typeface="宋体" panose="02010600030101010101" pitchFamily="7" charset="-122"/>
                <a:cs typeface="+mn-cs"/>
              </a:rPr>
              <a:t>列表框中的某个</a:t>
            </a:r>
            <a:r>
              <a:rPr lang="zh-CN" altLang="en-US" sz="1200" b="0" i="0" kern="1600" baseline="0">
                <a:effectLst/>
                <a:latin typeface="宋体" panose="02010600030101010101" pitchFamily="7" charset="-122"/>
                <a:ea typeface="宋体" panose="02010600030101010101" pitchFamily="7" charset="-122"/>
                <a:cs typeface="+mn-cs"/>
              </a:rPr>
              <a:t>年份</a:t>
            </a:r>
            <a:r>
              <a:rPr lang="zh-CN" altLang="zh-CN" sz="1200" b="0" i="0" kern="1600" baseline="0">
                <a:effectLst/>
                <a:latin typeface="宋体" panose="02010600030101010101" pitchFamily="7" charset="-122"/>
                <a:ea typeface="宋体" panose="02010600030101010101" pitchFamily="7" charset="-122"/>
                <a:cs typeface="+mn-cs"/>
              </a:rPr>
              <a:t>值时</a:t>
            </a:r>
            <a:r>
              <a:rPr lang="zh-CN" altLang="en-US" sz="1200" b="0" i="0" kern="1600" baseline="0">
                <a:effectLst/>
                <a:latin typeface="宋体" panose="02010600030101010101" pitchFamily="7" charset="-122"/>
                <a:ea typeface="宋体" panose="02010600030101010101" pitchFamily="7" charset="-122"/>
                <a:cs typeface="+mn-cs"/>
              </a:rPr>
              <a:t>，需用红色柱形显示该年份各季度的销售情况。当选择“</a:t>
            </a:r>
            <a:r>
              <a:rPr lang="zh-CN" altLang="zh-CN" sz="1100" b="0" i="0" baseline="0">
                <a:effectLst/>
                <a:latin typeface="+mn-lt"/>
                <a:ea typeface="+mn-ea"/>
                <a:cs typeface="+mn-cs"/>
              </a:rPr>
              <a:t>销售额总计</a:t>
            </a:r>
            <a:r>
              <a:rPr lang="zh-CN" altLang="en-US" sz="1100" b="0" i="0" baseline="0">
                <a:effectLst/>
                <a:latin typeface="+mn-lt"/>
                <a:ea typeface="+mn-ea"/>
                <a:cs typeface="+mn-cs"/>
              </a:rPr>
              <a:t>”按钮时，显示销售额的总计值；</a:t>
            </a:r>
            <a:r>
              <a:rPr lang="zh-CN" altLang="zh-CN" sz="1100" b="0" i="0" baseline="0">
                <a:effectLst/>
                <a:latin typeface="+mn-lt"/>
                <a:ea typeface="+mn-ea"/>
                <a:cs typeface="+mn-cs"/>
              </a:rPr>
              <a:t>当选择“销售</a:t>
            </a:r>
            <a:r>
              <a:rPr lang="zh-CN" altLang="en-US" sz="1100" b="0" i="0" baseline="0">
                <a:effectLst/>
                <a:latin typeface="+mn-lt"/>
                <a:ea typeface="+mn-ea"/>
                <a:cs typeface="+mn-cs"/>
              </a:rPr>
              <a:t>次数总计</a:t>
            </a:r>
            <a:r>
              <a:rPr lang="zh-CN" altLang="zh-CN" sz="1100" b="0" i="0" baseline="0">
                <a:effectLst/>
                <a:latin typeface="+mn-lt"/>
                <a:ea typeface="+mn-ea"/>
                <a:cs typeface="+mn-cs"/>
              </a:rPr>
              <a:t>”按钮时，显示</a:t>
            </a:r>
            <a:r>
              <a:rPr lang="zh-CN" altLang="en-US" sz="1100" b="0" i="0" baseline="0">
                <a:effectLst/>
                <a:latin typeface="+mn-lt"/>
                <a:ea typeface="+mn-ea"/>
                <a:cs typeface="+mn-cs"/>
              </a:rPr>
              <a:t>产品销售总次数。</a:t>
            </a:r>
            <a:r>
              <a:rPr lang="zh-CN" altLang="en-US" sz="1200" b="0" i="0" kern="1600" baseline="0">
                <a:effectLst/>
                <a:latin typeface="宋体" panose="02010600030101010101" pitchFamily="7" charset="-122"/>
                <a:ea typeface="宋体" panose="02010600030101010101" pitchFamily="7" charset="-122"/>
                <a:cs typeface="+mn-cs"/>
              </a:rPr>
              <a:t>该题图形</a:t>
            </a:r>
            <a:r>
              <a:rPr lang="zh-CN" altLang="zh-CN" sz="1200" b="0" i="0" kern="1600" baseline="0">
                <a:effectLst/>
                <a:latin typeface="宋体" panose="02010600030101010101" pitchFamily="7" charset="-122"/>
                <a:ea typeface="宋体" panose="02010600030101010101" pitchFamily="7" charset="-122"/>
                <a:cs typeface="+mn-cs"/>
              </a:rPr>
              <a:t>如下图所示</a:t>
            </a:r>
            <a:r>
              <a:rPr lang="zh-CN" altLang="en-US" sz="1200" b="0" i="0" kern="1600" baseline="0">
                <a:effectLst/>
                <a:latin typeface="宋体" panose="02010600030101010101" pitchFamily="7" charset="-122"/>
                <a:ea typeface="宋体" panose="02010600030101010101" pitchFamily="7" charset="-122"/>
                <a:cs typeface="+mn-cs"/>
              </a:rPr>
              <a:t>，样图的</a:t>
            </a:r>
            <a:r>
              <a:rPr lang="en-US" altLang="zh-CN" sz="1200" b="0" i="0" kern="1600" baseline="0">
                <a:effectLst/>
                <a:latin typeface="宋体" panose="02010600030101010101" pitchFamily="7" charset="-122"/>
                <a:ea typeface="宋体" panose="02010600030101010101" pitchFamily="7" charset="-122"/>
                <a:cs typeface="+mn-cs"/>
              </a:rPr>
              <a:t>Y</a:t>
            </a:r>
            <a:r>
              <a:rPr lang="zh-CN" altLang="en-US" sz="1200" b="0" i="0" kern="1600" baseline="0">
                <a:effectLst/>
                <a:latin typeface="宋体" panose="02010600030101010101" pitchFamily="7" charset="-122"/>
                <a:ea typeface="宋体" panose="02010600030101010101" pitchFamily="7" charset="-122"/>
                <a:cs typeface="+mn-cs"/>
              </a:rPr>
              <a:t>轴数据仅供参考。</a:t>
            </a:r>
            <a:endParaRPr lang="en-US" altLang="zh-CN" sz="1200" b="0" i="0" kern="1600" baseline="0">
              <a:effectLst/>
              <a:latin typeface="宋体" panose="02010600030101010101" pitchFamily="7" charset="-122"/>
              <a:ea typeface="宋体" panose="02010600030101010101" pitchFamily="7" charset="-122"/>
              <a:cs typeface="+mn-cs"/>
            </a:endParaRPr>
          </a:p>
          <a:p>
            <a:pPr algn="l" rtl="0">
              <a:lnSpc>
                <a:spcPct val="120000"/>
              </a:lnSpc>
              <a:spcBef>
                <a:spcPts val="600"/>
              </a:spcBef>
              <a:spcAft>
                <a:spcPts val="600"/>
              </a:spcAft>
            </a:pP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pic>
        <xdr:nvPicPr>
          <xdr:cNvPr id="7" name="图片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63986" y="8076493"/>
            <a:ext cx="4722914" cy="309906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491490</xdr:colOff>
      <xdr:row>3</xdr:row>
      <xdr:rowOff>152400</xdr:rowOff>
    </xdr:from>
    <xdr:to>
      <xdr:col>16</xdr:col>
      <xdr:colOff>502920</xdr:colOff>
      <xdr:row>18</xdr:row>
      <xdr:rowOff>152400</xdr:rowOff>
    </xdr:to>
    <xdr:grpSp>
      <xdr:nvGrpSpPr>
        <xdr:cNvPr id="8" name="组合 7">
          <a:extLst>
            <a:ext uri="{FF2B5EF4-FFF2-40B4-BE49-F238E27FC236}">
              <a16:creationId xmlns:a16="http://schemas.microsoft.com/office/drawing/2014/main" id="{15D6C895-53CD-4563-BB07-B28B11FDB8C2}"/>
            </a:ext>
          </a:extLst>
        </xdr:cNvPr>
        <xdr:cNvGrpSpPr/>
      </xdr:nvGrpSpPr>
      <xdr:grpSpPr>
        <a:xfrm>
          <a:off x="6747510" y="701040"/>
          <a:ext cx="4598670" cy="2743200"/>
          <a:chOff x="7029450" y="2057400"/>
          <a:chExt cx="4598670" cy="2743200"/>
        </a:xfrm>
      </xdr:grpSpPr>
      <xdr:graphicFrame macro="">
        <xdr:nvGraphicFramePr>
          <xdr:cNvPr id="2" name="图表 1">
            <a:extLst>
              <a:ext uri="{FF2B5EF4-FFF2-40B4-BE49-F238E27FC236}">
                <a16:creationId xmlns:a16="http://schemas.microsoft.com/office/drawing/2014/main" id="{273B1E3D-00BE-47FC-920B-8159DC9C0B40}"/>
              </a:ext>
            </a:extLst>
          </xdr:cNvPr>
          <xdr:cNvGraphicFramePr/>
        </xdr:nvGraphicFramePr>
        <xdr:xfrm>
          <a:off x="7029450" y="20574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pSp>
            <xdr:nvGrpSpPr>
              <xdr:cNvPr id="4" name="组合 3">
                <a:extLst>
                  <a:ext uri="{FF2B5EF4-FFF2-40B4-BE49-F238E27FC236}">
                    <a16:creationId xmlns:a16="http://schemas.microsoft.com/office/drawing/2014/main" id="{F73DA076-945B-4108-B8E8-4AF6906A6541}"/>
                  </a:ext>
                </a:extLst>
              </xdr:cNvPr>
              <xdr:cNvGrpSpPr/>
            </xdr:nvGrpSpPr>
            <xdr:grpSpPr>
              <a:xfrm>
                <a:off x="10675620" y="3634740"/>
                <a:ext cx="952500" cy="480060"/>
                <a:chOff x="11521440" y="632460"/>
                <a:chExt cx="952500" cy="480060"/>
              </a:xfrm>
            </xdr:grpSpPr>
            <xdr:sp macro="" textlink="">
              <xdr:nvSpPr>
                <xdr:cNvPr id="5121" name="Option Button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11536680" y="632460"/>
                  <a:ext cx="937260" cy="2590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900" b="0" i="0" u="none" strike="noStrike" baseline="0">
                      <a:solidFill>
                        <a:srgbClr val="000000"/>
                      </a:solidFill>
                      <a:latin typeface="Microsoft YaHei UI"/>
                      <a:ea typeface="Microsoft YaHei UI"/>
                    </a:rPr>
                    <a:t>销售额总计</a:t>
                  </a:r>
                </a:p>
              </xdr:txBody>
            </xdr:sp>
            <xdr:sp macro="" textlink="">
              <xdr:nvSpPr>
                <xdr:cNvPr id="5122" name="Option Button 2" hidden="1">
                  <a:extLst>
                    <a:ext uri="{63B3BB69-23CF-44E3-9099-C40C66FF867C}">
                      <a14:compatExt spid="_x0000_s5122"/>
                    </a:ext>
                    <a:ext uri="{FF2B5EF4-FFF2-40B4-BE49-F238E27FC236}">
                      <a16:creationId xmlns:a16="http://schemas.microsoft.com/office/drawing/2014/main" id="{A807E91C-535A-4F64-A9F1-607FFCE92E94}"/>
                    </a:ext>
                  </a:extLst>
                </xdr:cNvPr>
                <xdr:cNvSpPr/>
              </xdr:nvSpPr>
              <xdr:spPr bwMode="auto">
                <a:xfrm>
                  <a:off x="11521440" y="853440"/>
                  <a:ext cx="937260" cy="2590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900" b="0" i="0" u="none" strike="noStrike" baseline="0">
                      <a:solidFill>
                        <a:srgbClr val="000000"/>
                      </a:solidFill>
                      <a:latin typeface="Microsoft YaHei UI"/>
                      <a:ea typeface="Microsoft YaHei UI"/>
                    </a:rPr>
                    <a:t>销售次数总计</a:t>
                  </a:r>
                </a:p>
              </xdr:txBody>
            </xdr:sp>
          </xdr:grpSp>
        </mc:Choice>
        <mc:Fallback/>
      </mc:AlternateContent>
      <mc:AlternateContent xmlns:mc="http://schemas.openxmlformats.org/markup-compatibility/2006">
        <mc:Choice xmlns:a14="http://schemas.microsoft.com/office/drawing/2010/main" Requires="a14">
          <xdr:sp macro="" textlink="">
            <xdr:nvSpPr>
              <xdr:cNvPr id="5123" name="List Box 3" hidden="1">
                <a:extLst>
                  <a:ext uri="{63B3BB69-23CF-44E3-9099-C40C66FF867C}">
                    <a14:compatExt spid="_x0000_s5123"/>
                  </a:ext>
                  <a:ext uri="{FF2B5EF4-FFF2-40B4-BE49-F238E27FC236}">
                    <a16:creationId xmlns:a16="http://schemas.microsoft.com/office/drawing/2014/main" id="{00000000-0008-0000-0500-000003140000}"/>
                  </a:ext>
                </a:extLst>
              </xdr:cNvPr>
              <xdr:cNvSpPr/>
            </xdr:nvSpPr>
            <xdr:spPr bwMode="auto">
              <a:xfrm>
                <a:off x="10759440" y="2956560"/>
                <a:ext cx="777240" cy="487680"/>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377825</xdr:colOff>
      <xdr:row>1</xdr:row>
      <xdr:rowOff>163512</xdr:rowOff>
    </xdr:from>
    <xdr:to>
      <xdr:col>15</xdr:col>
      <xdr:colOff>15875</xdr:colOff>
      <xdr:row>11</xdr:row>
      <xdr:rowOff>144462</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a:xfrm>
          <a:off x="5864225" y="363537"/>
          <a:ext cx="4343400" cy="1981200"/>
        </a:xfrm>
        <a:prstGeom prst="rect">
          <a:avLst/>
        </a:prstGeom>
        <a:solidFill>
          <a:schemeClr val="accent4">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27432" tIns="18288" rIns="0" bIns="0" anchor="t" upright="1"/>
        <a:lstStyle/>
        <a:p>
          <a:pPr algn="l" rtl="0">
            <a:lnSpc>
              <a:spcPts val="1400"/>
            </a:lnSpc>
            <a:defRPr sz="1000"/>
          </a:pPr>
          <a:r>
            <a:rPr lang="zh-CN" altLang="en-US" sz="1200" b="1" i="0" u="none" strike="noStrike" baseline="0">
              <a:solidFill>
                <a:srgbClr val="000000"/>
              </a:solidFill>
              <a:latin typeface="宋体" panose="02010600030101010101" pitchFamily="7" charset="-122"/>
              <a:ea typeface="宋体" panose="02010600030101010101" pitchFamily="7" charset="-122"/>
            </a:rPr>
            <a:t>第</a:t>
          </a:r>
          <a:r>
            <a:rPr lang="en-US" altLang="zh-CN" sz="1200" b="1" i="0" u="none" strike="noStrike" baseline="0">
              <a:solidFill>
                <a:srgbClr val="000000"/>
              </a:solidFill>
              <a:latin typeface="宋体" panose="02010600030101010101" pitchFamily="7" charset="-122"/>
              <a:ea typeface="宋体" panose="02010600030101010101" pitchFamily="7" charset="-122"/>
            </a:rPr>
            <a:t>5</a:t>
          </a:r>
          <a:r>
            <a:rPr lang="zh-CN" altLang="en-US" sz="1200" b="1" i="0" u="none" strike="noStrike" baseline="0">
              <a:solidFill>
                <a:srgbClr val="000000"/>
              </a:solidFill>
              <a:latin typeface="宋体" panose="02010600030101010101" pitchFamily="7" charset="-122"/>
              <a:ea typeface="宋体" panose="02010600030101010101" pitchFamily="7" charset="-122"/>
            </a:rPr>
            <a:t>题（</a:t>
          </a:r>
          <a:r>
            <a:rPr lang="en-US" altLang="zh-CN" sz="1200" b="1" i="0" u="none" strike="noStrike" baseline="0">
              <a:solidFill>
                <a:srgbClr val="FF0000"/>
              </a:solidFill>
              <a:latin typeface="宋体" panose="02010600030101010101" pitchFamily="7" charset="-122"/>
              <a:ea typeface="宋体" panose="02010600030101010101" pitchFamily="7" charset="-122"/>
            </a:rPr>
            <a:t>10</a:t>
          </a:r>
          <a:r>
            <a:rPr lang="zh-CN" altLang="en-US" sz="1200" b="1" i="0" u="none" strike="noStrike" baseline="0">
              <a:solidFill>
                <a:srgbClr val="FF0000"/>
              </a:solidFill>
              <a:latin typeface="宋体" panose="02010600030101010101" pitchFamily="7" charset="-122"/>
              <a:ea typeface="宋体" panose="02010600030101010101" pitchFamily="7" charset="-122"/>
            </a:rPr>
            <a:t>分</a:t>
          </a:r>
          <a:r>
            <a:rPr lang="zh-CN" altLang="en-US" sz="1200" b="1" i="0" u="none" strike="noStrike" baseline="0">
              <a:solidFill>
                <a:srgbClr val="000000"/>
              </a:solidFill>
              <a:latin typeface="宋体" panose="02010600030101010101" pitchFamily="7" charset="-122"/>
              <a:ea typeface="宋体" panose="02010600030101010101" pitchFamily="7" charset="-122"/>
            </a:rPr>
            <a:t>）</a:t>
          </a:r>
          <a:r>
            <a:rPr lang="zh-CN" altLang="en-US" sz="1200" b="0" i="0" u="none" strike="noStrike" baseline="0">
              <a:solidFill>
                <a:srgbClr val="000000"/>
              </a:solidFill>
              <a:latin typeface="宋体" panose="02010600030101010101" pitchFamily="7" charset="-122"/>
              <a:ea typeface="宋体" panose="02010600030101010101" pitchFamily="7" charset="-122"/>
            </a:rPr>
            <a:t>某公司在</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2012</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年内各月的销售额如本工作表中范围</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A3:C14</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中的数据所示，经观察发现这些数据大体上符合应用移动平均预测模型的条件。要求：</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1</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，针对在</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D2</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H2</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中键入的移动平均跨度值在</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D3</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H13</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中正确的位置上求出各个月的移动平均估计值；</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2</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，求出这些估计值与对应的销售额实际值之间的均方误差；</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3</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，求出使均方误差达到极小的最优移动平均跨度；</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4</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，在移动平均跨度等于其最优值的前提下，求出按照移动平均预测模型计算的</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2013</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年</a:t>
          </a:r>
          <a:r>
            <a:rPr lang="zh-CN" altLang="en-US" sz="1200" b="0" i="0" u="none" strike="noStrike" baseline="0">
              <a:solidFill>
                <a:srgbClr val="000000"/>
              </a:solidFill>
              <a:latin typeface="Arial" panose="020B0604020202020204"/>
              <a:ea typeface="宋体" panose="02010600030101010101" pitchFamily="7" charset="-122"/>
              <a:cs typeface="Arial" panose="020B0604020202020204"/>
            </a:rPr>
            <a:t>1</a:t>
          </a:r>
          <a:r>
            <a:rPr lang="zh-CN" altLang="en-US" sz="1200" b="0" i="0" u="none" strike="noStrike" baseline="0">
              <a:solidFill>
                <a:srgbClr val="000000"/>
              </a:solidFill>
              <a:latin typeface="宋体" panose="02010600030101010101" pitchFamily="7" charset="-122"/>
              <a:ea typeface="宋体" panose="02010600030101010101" pitchFamily="7" charset="-122"/>
              <a:cs typeface="Arial" panose="020B0604020202020204"/>
            </a:rPr>
            <a:t>月销售额的预测值。</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295275</xdr:colOff>
      <xdr:row>0</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576897</xdr:colOff>
      <xdr:row>7</xdr:row>
      <xdr:rowOff>52704</xdr:rowOff>
    </xdr:from>
    <xdr:to>
      <xdr:col>17</xdr:col>
      <xdr:colOff>149542</xdr:colOff>
      <xdr:row>24</xdr:row>
      <xdr:rowOff>135890</xdr:rowOff>
    </xdr:to>
    <xdr:grpSp>
      <xdr:nvGrpSpPr>
        <xdr:cNvPr id="3" name="组合 2">
          <a:extLst>
            <a:ext uri="{FF2B5EF4-FFF2-40B4-BE49-F238E27FC236}">
              <a16:creationId xmlns:a16="http://schemas.microsoft.com/office/drawing/2014/main" id="{00000000-0008-0000-0700-000003000000}"/>
            </a:ext>
          </a:extLst>
        </xdr:cNvPr>
        <xdr:cNvGrpSpPr/>
      </xdr:nvGrpSpPr>
      <xdr:grpSpPr>
        <a:xfrm>
          <a:off x="7191057" y="1439544"/>
          <a:ext cx="4998085" cy="3435986"/>
          <a:chOff x="4025391" y="995519"/>
          <a:chExt cx="4984750" cy="3432176"/>
        </a:xfrm>
      </xdr:grpSpPr>
      <xdr:sp macro="" textlink="">
        <xdr:nvSpPr>
          <xdr:cNvPr id="6" name="Text Box 2">
            <a:extLst>
              <a:ext uri="{FF2B5EF4-FFF2-40B4-BE49-F238E27FC236}">
                <a16:creationId xmlns:a16="http://schemas.microsoft.com/office/drawing/2014/main" id="{00000000-0008-0000-0700-000006000000}"/>
              </a:ext>
            </a:extLst>
          </xdr:cNvPr>
          <xdr:cNvSpPr txBox="1">
            <a:spLocks noChangeArrowheads="1"/>
          </xdr:cNvSpPr>
        </xdr:nvSpPr>
        <xdr:spPr>
          <a:xfrm>
            <a:off x="4025391" y="995519"/>
            <a:ext cx="4984750" cy="3432176"/>
          </a:xfrm>
          <a:prstGeom prst="rect">
            <a:avLst/>
          </a:prstGeom>
          <a:solidFill>
            <a:schemeClr val="accent4">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100800" tIns="18288" rIns="0" bIns="0" anchor="t" upright="1"/>
          <a:lstStyle/>
          <a:p>
            <a:pPr algn="l" rtl="0">
              <a:lnSpc>
                <a:spcPct val="100000"/>
              </a:lnSpc>
              <a:defRPr sz="1000"/>
            </a:pPr>
            <a:r>
              <a:rPr lang="zh-CN" altLang="en-US" sz="1200" b="1" i="0" u="none" strike="noStrike" baseline="0">
                <a:solidFill>
                  <a:srgbClr val="000000"/>
                </a:solidFill>
                <a:latin typeface="宋体" panose="02010600030101010101" pitchFamily="7" charset="-122"/>
                <a:ea typeface="宋体" panose="02010600030101010101" pitchFamily="7" charset="-122"/>
              </a:rPr>
              <a:t>第</a:t>
            </a:r>
            <a:r>
              <a:rPr lang="en-US" altLang="zh-CN" sz="1200" b="1" i="0" u="none" strike="noStrike" baseline="0">
                <a:solidFill>
                  <a:srgbClr val="000000"/>
                </a:solidFill>
                <a:latin typeface="宋体" panose="02010600030101010101" pitchFamily="7" charset="-122"/>
                <a:ea typeface="宋体" panose="02010600030101010101" pitchFamily="7" charset="-122"/>
              </a:rPr>
              <a:t>6</a:t>
            </a:r>
            <a:r>
              <a:rPr lang="zh-CN" altLang="en-US" sz="1200" b="1" i="0" u="none" strike="noStrike" baseline="0">
                <a:solidFill>
                  <a:srgbClr val="000000"/>
                </a:solidFill>
                <a:latin typeface="宋体" panose="02010600030101010101" pitchFamily="7" charset="-122"/>
                <a:ea typeface="宋体" panose="02010600030101010101" pitchFamily="7" charset="-122"/>
              </a:rPr>
              <a:t>题</a:t>
            </a:r>
            <a:r>
              <a:rPr lang="zh-CN" altLang="en-US" sz="1200" b="1" i="0" u="none" strike="noStrike" baseline="0">
                <a:solidFill>
                  <a:srgbClr val="FF0000"/>
                </a:solidFill>
                <a:latin typeface="宋体" panose="02010600030101010101" pitchFamily="7" charset="-122"/>
                <a:ea typeface="宋体" panose="02010600030101010101" pitchFamily="7" charset="-122"/>
              </a:rPr>
              <a:t>（</a:t>
            </a:r>
            <a:r>
              <a:rPr lang="en-US" altLang="zh-CN" sz="1200" b="1" i="0" u="none" strike="noStrike" baseline="0">
                <a:solidFill>
                  <a:srgbClr val="FF0000"/>
                </a:solidFill>
                <a:latin typeface="宋体" panose="02010600030101010101" pitchFamily="7" charset="-122"/>
                <a:ea typeface="宋体" panose="02010600030101010101" pitchFamily="7" charset="-122"/>
              </a:rPr>
              <a:t>12</a:t>
            </a:r>
            <a:r>
              <a:rPr lang="zh-CN" altLang="en-US" sz="1200" b="1" i="0" u="none" strike="noStrike" baseline="0">
                <a:solidFill>
                  <a:srgbClr val="FF0000"/>
                </a:solidFill>
                <a:latin typeface="宋体" panose="02010600030101010101" pitchFamily="7" charset="-122"/>
                <a:ea typeface="宋体" panose="02010600030101010101" pitchFamily="7" charset="-122"/>
              </a:rPr>
              <a:t>分）</a:t>
            </a:r>
            <a:r>
              <a:rPr lang="zh-CN" altLang="en-US" sz="1200" b="0" i="0" u="none" strike="noStrike" baseline="0">
                <a:solidFill>
                  <a:srgbClr val="000000"/>
                </a:solidFill>
                <a:latin typeface="宋体" panose="02010600030101010101" pitchFamily="7" charset="-122"/>
                <a:ea typeface="宋体" panose="02010600030101010101" pitchFamily="7" charset="-122"/>
              </a:rPr>
              <a:t>某工厂过去</a:t>
            </a:r>
            <a:r>
              <a:rPr lang="en-US" altLang="zh-CN" sz="1200" b="0" i="0" u="none" strike="noStrike" baseline="0">
                <a:solidFill>
                  <a:srgbClr val="000000"/>
                </a:solidFill>
                <a:latin typeface="宋体" panose="02010600030101010101" pitchFamily="7" charset="-122"/>
                <a:ea typeface="宋体" panose="02010600030101010101" pitchFamily="7" charset="-122"/>
              </a:rPr>
              <a:t>4</a:t>
            </a:r>
            <a:r>
              <a:rPr lang="zh-CN" altLang="en-US" sz="1200" b="0" i="0" u="none" strike="noStrike" baseline="0">
                <a:solidFill>
                  <a:srgbClr val="000000"/>
                </a:solidFill>
                <a:latin typeface="宋体" panose="02010600030101010101" pitchFamily="7" charset="-122"/>
                <a:ea typeface="宋体" panose="02010600030101010101" pitchFamily="7" charset="-122"/>
              </a:rPr>
              <a:t>年的产品销量，这些数据有明显的季节性波动，试用季节指数法预测第</a:t>
            </a:r>
            <a:r>
              <a:rPr lang="en-US" altLang="zh-CN" sz="1200" b="0" i="0" u="none" strike="noStrike" baseline="0">
                <a:solidFill>
                  <a:srgbClr val="000000"/>
                </a:solidFill>
                <a:latin typeface="宋体" panose="02010600030101010101" pitchFamily="7" charset="-122"/>
                <a:ea typeface="宋体" panose="02010600030101010101" pitchFamily="7" charset="-122"/>
              </a:rPr>
              <a:t>5</a:t>
            </a:r>
            <a:r>
              <a:rPr lang="zh-CN" altLang="en-US" sz="1200" b="0" i="0" u="none" strike="noStrike" baseline="0">
                <a:solidFill>
                  <a:srgbClr val="000000"/>
                </a:solidFill>
                <a:latin typeface="宋体" panose="02010600030101010101" pitchFamily="7" charset="-122"/>
                <a:ea typeface="宋体" panose="02010600030101010101" pitchFamily="7" charset="-122"/>
              </a:rPr>
              <a:t>年每个季度的产品销量。要求：</a:t>
            </a:r>
            <a:endParaRPr lang="en-US" altLang="zh-CN" sz="1200" b="0" i="0" u="none" strike="noStrike" baseline="0">
              <a:solidFill>
                <a:srgbClr val="000000"/>
              </a:solidFill>
              <a:latin typeface="宋体" panose="02010600030101010101" pitchFamily="7" charset="-122"/>
              <a:ea typeface="宋体" panose="02010600030101010101" pitchFamily="7" charset="-122"/>
            </a:endParaRPr>
          </a:p>
          <a:p>
            <a:r>
              <a:rPr lang="en-US" altLang="zh-CN" sz="1200" b="0" i="0" u="none" strike="noStrike" baseline="0">
                <a:solidFill>
                  <a:srgbClr val="000000"/>
                </a:solidFill>
                <a:latin typeface="宋体" panose="02010600030101010101" pitchFamily="7" charset="-122"/>
                <a:ea typeface="宋体" panose="02010600030101010101" pitchFamily="7" charset="-122"/>
              </a:rPr>
              <a:t>1.</a:t>
            </a:r>
            <a:r>
              <a:rPr lang="zh-CN" altLang="zh-CN" sz="1100">
                <a:effectLst/>
                <a:latin typeface="+mn-lt"/>
                <a:ea typeface="+mn-ea"/>
                <a:cs typeface="+mn-cs"/>
              </a:rPr>
              <a:t>分离</a:t>
            </a:r>
            <a:r>
              <a:rPr lang="zh-CN" altLang="en-US" sz="1100">
                <a:effectLst/>
                <a:latin typeface="+mn-lt"/>
                <a:ea typeface="+mn-ea"/>
                <a:cs typeface="+mn-cs"/>
              </a:rPr>
              <a:t>出</a:t>
            </a:r>
            <a:r>
              <a:rPr lang="zh-CN" altLang="zh-CN" sz="1100">
                <a:effectLst/>
                <a:latin typeface="+mn-lt"/>
                <a:ea typeface="+mn-ea"/>
                <a:cs typeface="+mn-cs"/>
              </a:rPr>
              <a:t>季节性因子</a:t>
            </a:r>
            <a:r>
              <a:rPr lang="zh-CN" altLang="en-US" sz="1100">
                <a:effectLst/>
                <a:latin typeface="+mn-lt"/>
                <a:ea typeface="+mn-ea"/>
                <a:cs typeface="+mn-cs"/>
              </a:rPr>
              <a:t>；</a:t>
            </a:r>
            <a:endParaRPr lang="zh-CN" altLang="zh-CN" sz="1200">
              <a:effectLst/>
            </a:endParaRPr>
          </a:p>
          <a:p>
            <a:r>
              <a:rPr lang="en-US" altLang="zh-CN" sz="1100">
                <a:effectLst/>
                <a:latin typeface="+mn-lt"/>
                <a:ea typeface="+mn-ea"/>
                <a:cs typeface="+mn-cs"/>
              </a:rPr>
              <a:t>2.</a:t>
            </a:r>
            <a:r>
              <a:rPr lang="zh-CN" altLang="en-US" sz="1100">
                <a:effectLst/>
                <a:latin typeface="+mn-lt"/>
                <a:ea typeface="+mn-ea"/>
                <a:cs typeface="+mn-cs"/>
              </a:rPr>
              <a:t>预测去除季节影响以后的</a:t>
            </a:r>
            <a:r>
              <a:rPr lang="zh-CN" altLang="zh-CN" sz="1100">
                <a:effectLst/>
                <a:latin typeface="+mn-lt"/>
                <a:ea typeface="+mn-ea"/>
                <a:cs typeface="+mn-cs"/>
              </a:rPr>
              <a:t>趋势</a:t>
            </a:r>
            <a:r>
              <a:rPr lang="zh-CN" altLang="en-US" sz="1100">
                <a:effectLst/>
                <a:latin typeface="+mn-lt"/>
                <a:ea typeface="+mn-ea"/>
                <a:cs typeface="+mn-cs"/>
              </a:rPr>
              <a:t>值；</a:t>
            </a:r>
            <a:endParaRPr lang="zh-CN" altLang="zh-CN" sz="1200">
              <a:effectLst/>
            </a:endParaRPr>
          </a:p>
          <a:p>
            <a:r>
              <a:rPr lang="en-US" altLang="zh-CN" sz="1100">
                <a:effectLst/>
                <a:latin typeface="+mn-lt"/>
                <a:ea typeface="+mn-ea"/>
                <a:cs typeface="+mn-cs"/>
              </a:rPr>
              <a:t>3.</a:t>
            </a:r>
            <a:r>
              <a:rPr lang="zh-CN" altLang="en-US" sz="1100">
                <a:effectLst/>
                <a:latin typeface="+mn-lt"/>
                <a:ea typeface="+mn-ea"/>
                <a:cs typeface="+mn-cs"/>
              </a:rPr>
              <a:t>对第</a:t>
            </a:r>
            <a:r>
              <a:rPr lang="en-US" altLang="zh-CN" sz="1100">
                <a:effectLst/>
                <a:latin typeface="+mn-lt"/>
                <a:ea typeface="+mn-ea"/>
                <a:cs typeface="+mn-cs"/>
              </a:rPr>
              <a:t>5</a:t>
            </a:r>
            <a:r>
              <a:rPr lang="zh-CN" altLang="en-US" sz="1100">
                <a:effectLst/>
                <a:latin typeface="+mn-lt"/>
                <a:ea typeface="+mn-ea"/>
                <a:cs typeface="+mn-cs"/>
              </a:rPr>
              <a:t>年每个季度进行预测。</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a:stretch>
            <a:fillRect/>
          </a:stretch>
        </xdr:blipFill>
        <xdr:spPr>
          <a:xfrm>
            <a:off x="4333875" y="2061751"/>
            <a:ext cx="3254375" cy="2147548"/>
          </a:xfrm>
          <a:prstGeom prst="rect">
            <a:avLst/>
          </a:prstGeom>
        </xdr:spPr>
      </xdr:pic>
    </xdr:grpSp>
    <xdr:clientData/>
  </xdr:twoCellAnchor>
  <xdr:twoCellAnchor>
    <xdr:from>
      <xdr:col>8</xdr:col>
      <xdr:colOff>266700</xdr:colOff>
      <xdr:row>12</xdr:row>
      <xdr:rowOff>68580</xdr:rowOff>
    </xdr:from>
    <xdr:to>
      <xdr:col>15</xdr:col>
      <xdr:colOff>91440</xdr:colOff>
      <xdr:row>26</xdr:row>
      <xdr:rowOff>53340</xdr:rowOff>
    </xdr:to>
    <xdr:graphicFrame macro="">
      <xdr:nvGraphicFramePr>
        <xdr:cNvPr id="4" name="图表 3">
          <a:extLst>
            <a:ext uri="{FF2B5EF4-FFF2-40B4-BE49-F238E27FC236}">
              <a16:creationId xmlns:a16="http://schemas.microsoft.com/office/drawing/2014/main" id="{F5B5F3FC-C1C9-4361-A778-0F35C3D6B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533400</xdr:colOff>
      <xdr:row>3</xdr:row>
      <xdr:rowOff>9524</xdr:rowOff>
    </xdr:from>
    <xdr:to>
      <xdr:col>18</xdr:col>
      <xdr:colOff>114300</xdr:colOff>
      <xdr:row>22</xdr:row>
      <xdr:rowOff>95250</xdr:rowOff>
    </xdr:to>
    <xdr:grpSp>
      <xdr:nvGrpSpPr>
        <xdr:cNvPr id="3" name="组合 2">
          <a:extLst>
            <a:ext uri="{FF2B5EF4-FFF2-40B4-BE49-F238E27FC236}">
              <a16:creationId xmlns:a16="http://schemas.microsoft.com/office/drawing/2014/main" id="{00000000-0008-0000-0800-000003000000}"/>
            </a:ext>
          </a:extLst>
        </xdr:cNvPr>
        <xdr:cNvGrpSpPr/>
      </xdr:nvGrpSpPr>
      <xdr:grpSpPr>
        <a:xfrm>
          <a:off x="7551420" y="558164"/>
          <a:ext cx="4381500" cy="3560446"/>
          <a:chOff x="2971800" y="3181349"/>
          <a:chExt cx="4381500" cy="3343276"/>
        </a:xfrm>
      </xdr:grpSpPr>
      <xdr:sp macro="" textlink="">
        <xdr:nvSpPr>
          <xdr:cNvPr id="2" name="Text Box 5">
            <a:extLst>
              <a:ext uri="{FF2B5EF4-FFF2-40B4-BE49-F238E27FC236}">
                <a16:creationId xmlns:a16="http://schemas.microsoft.com/office/drawing/2014/main" id="{00000000-0008-0000-0800-000002000000}"/>
              </a:ext>
            </a:extLst>
          </xdr:cNvPr>
          <xdr:cNvSpPr txBox="1">
            <a:spLocks noChangeArrowheads="1"/>
          </xdr:cNvSpPr>
        </xdr:nvSpPr>
        <xdr:spPr>
          <a:xfrm>
            <a:off x="2971800" y="3181349"/>
            <a:ext cx="4381500" cy="3343276"/>
          </a:xfrm>
          <a:prstGeom prst="rect">
            <a:avLst/>
          </a:prstGeom>
          <a:solidFill>
            <a:schemeClr val="accent4">
              <a:lumMod val="20000"/>
              <a:lumOff val="80000"/>
            </a:schemeClr>
          </a:solidFill>
          <a:ln w="317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72000" tIns="82800" rIns="90000" bIns="46800" anchor="t" upright="1"/>
          <a:lstStyle/>
          <a:p>
            <a:pPr algn="l" rtl="0">
              <a:defRPr sz="1000"/>
            </a:pPr>
            <a:r>
              <a:rPr lang="zh-CN" altLang="en-US" sz="1000" b="1" i="0" u="none" strike="noStrike" baseline="0">
                <a:solidFill>
                  <a:srgbClr val="000000"/>
                </a:solidFill>
                <a:latin typeface="宋体" panose="02010600030101010101" pitchFamily="7" charset="-122"/>
                <a:ea typeface="宋体" panose="02010600030101010101" pitchFamily="7" charset="-122"/>
              </a:rPr>
              <a:t>第</a:t>
            </a:r>
            <a:r>
              <a:rPr lang="en-US" altLang="zh-CN" sz="1000" b="1" i="0" u="none" strike="noStrike" baseline="0">
                <a:solidFill>
                  <a:srgbClr val="000000"/>
                </a:solidFill>
                <a:latin typeface="宋体" panose="02010600030101010101" pitchFamily="7" charset="-122"/>
                <a:ea typeface="宋体" panose="02010600030101010101" pitchFamily="7" charset="-122"/>
              </a:rPr>
              <a:t>7</a:t>
            </a:r>
            <a:r>
              <a:rPr lang="zh-CN" altLang="en-US" sz="1000" b="1"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题</a:t>
            </a:r>
            <a:r>
              <a:rPr lang="zh-CN" altLang="en-US" sz="1000" b="1"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 </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 （</a:t>
            </a:r>
            <a:r>
              <a:rPr lang="en-US" altLang="zh-CN" sz="1000" b="0" i="0" u="none" strike="noStrike" baseline="0">
                <a:solidFill>
                  <a:srgbClr val="FF0000"/>
                </a:solidFill>
                <a:latin typeface="Times New Roman" panose="02020603050405020304" pitchFamily="12"/>
                <a:ea typeface="宋体" panose="02010600030101010101" pitchFamily="7" charset="-122"/>
                <a:cs typeface="Times New Roman" panose="02020603050405020304" pitchFamily="12"/>
              </a:rPr>
              <a:t>13</a:t>
            </a:r>
            <a:r>
              <a:rPr lang="zh-CN" altLang="en-US" sz="1000" b="0" i="0" u="none" strike="noStrike" baseline="0">
                <a:solidFill>
                  <a:srgbClr val="FF0000"/>
                </a:solidFill>
                <a:latin typeface="Times New Roman" panose="02020603050405020304" pitchFamily="12"/>
                <a:ea typeface="宋体" panose="02010600030101010101" pitchFamily="7" charset="-122"/>
                <a:cs typeface="Times New Roman" panose="02020603050405020304" pitchFamily="12"/>
              </a:rPr>
              <a:t>分</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本工作表</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B2:D26</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范围内列出了美国劳工统计局公布的美国</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1974 ~ 1997</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年间食品和住宅的消费者物价指数</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(CPIs)</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的百分比变动数据。用这些数据分别建立线性回归模型和对数回归模型，选择其中较好的一种，用住宅的</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CPIs</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百分比变动来预测食品</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CPIs</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的百分比变动。要求：</a:t>
            </a:r>
          </a:p>
          <a:p>
            <a:pPr algn="l" rtl="0">
              <a:defRPr sz="1000"/>
            </a:pP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1、作图观察住宅与食品之间的关系。</a:t>
            </a:r>
            <a:endParaRPr lang="en-US" altLang="zh-CN"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r>
              <a:rPr lang="en-US" altLang="zh-CN"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2</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、计算线性回归方程的系数和回归判定系数；</a:t>
            </a: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r>
              <a:rPr lang="en-US" altLang="zh-CN" sz="1000" b="0" i="0" u="none" strike="noStrike" baseline="0">
                <a:solidFill>
                  <a:srgbClr val="000000"/>
                </a:solidFill>
                <a:latin typeface="Times New Roman" panose="02020603050405020304" pitchFamily="12"/>
                <a:ea typeface="+mn-ea"/>
                <a:cs typeface="Times New Roman" panose="02020603050405020304" pitchFamily="12"/>
              </a:rPr>
              <a:t>3</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、计算对数回归方程的系数和回归判定系数；</a:t>
            </a: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r>
              <a:rPr lang="en-US" altLang="zh-CN" sz="1000" b="0" i="0" u="none" strike="noStrike" baseline="0">
                <a:solidFill>
                  <a:srgbClr val="000000"/>
                </a:solidFill>
                <a:latin typeface="Times New Roman" panose="02020603050405020304" pitchFamily="12"/>
                <a:ea typeface="+mn-ea"/>
                <a:cs typeface="Times New Roman" panose="02020603050405020304" pitchFamily="12"/>
              </a:rPr>
              <a:t>4</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、在F13单元格，显示两种模型的比较结果：“</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回归模型更好”；</a:t>
            </a:r>
          </a:p>
          <a:p>
            <a:pPr algn="l" rtl="0">
              <a:defRPr sz="1000"/>
            </a:pPr>
            <a:r>
              <a:rPr lang="en-US" altLang="zh-CN" sz="1000" b="0" i="0" u="none" strike="noStrike" baseline="0">
                <a:solidFill>
                  <a:srgbClr val="000000"/>
                </a:solidFill>
                <a:latin typeface="Times New Roman" panose="02020603050405020304" pitchFamily="12"/>
                <a:ea typeface="+mn-ea"/>
                <a:cs typeface="Times New Roman" panose="02020603050405020304" pitchFamily="12"/>
              </a:rPr>
              <a:t>5</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、已知</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1998</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年住宅的</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CPIs</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百分比变动为</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3.6</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，预测该年度食品</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CPIs</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的百分比变动。</a:t>
            </a: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endPar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endParaRPr>
          </a:p>
          <a:p>
            <a:pPr algn="l" rtl="0">
              <a:defRPr sz="1000"/>
            </a:pP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请建立线性回归模型，预测该季一条预计乘客数为</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90</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的新航线的运行成本。要求计算出：</a:t>
            </a:r>
          </a:p>
          <a:p>
            <a:pPr algn="l" rtl="0">
              <a:defRPr sz="1000"/>
            </a:pPr>
            <a:r>
              <a:rPr lang="zh-CN" altLang="en-US" sz="1000" b="0" i="0" u="none" strike="noStrike" baseline="0">
                <a:solidFill>
                  <a:srgbClr val="000000"/>
                </a:solidFill>
                <a:latin typeface="Times New Roman" panose="02020603050405020304" pitchFamily="12"/>
                <a:cs typeface="Times New Roman" panose="02020603050405020304" pitchFamily="12"/>
              </a:rPr>
              <a:t>1</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、回归直线的截距</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a</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与斜率</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b</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a:t>
            </a:r>
          </a:p>
          <a:p>
            <a:pPr algn="l" rtl="0">
              <a:defRPr sz="1000"/>
            </a:pPr>
            <a:r>
              <a:rPr lang="zh-CN" altLang="en-US" sz="1000" b="0" i="0" u="none" strike="noStrike" baseline="0">
                <a:solidFill>
                  <a:srgbClr val="000000"/>
                </a:solidFill>
                <a:latin typeface="Times New Roman" panose="02020603050405020304" pitchFamily="12"/>
                <a:cs typeface="Times New Roman" panose="02020603050405020304" pitchFamily="12"/>
              </a:rPr>
              <a:t>2</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、判定系数，</a:t>
            </a:r>
          </a:p>
          <a:p>
            <a:pPr algn="l" rtl="0">
              <a:defRPr sz="1000"/>
            </a:pPr>
            <a:r>
              <a:rPr lang="zh-CN" altLang="en-US" sz="1000" b="0" i="0" u="none" strike="noStrike" baseline="0">
                <a:solidFill>
                  <a:srgbClr val="000000"/>
                </a:solidFill>
                <a:latin typeface="Times New Roman" panose="02020603050405020304" pitchFamily="12"/>
                <a:cs typeface="Times New Roman" panose="02020603050405020304" pitchFamily="12"/>
              </a:rPr>
              <a:t>3</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a:t>
            </a:r>
            <a:r>
              <a:rPr lang="zh-CN" altLang="en-US" sz="1000" b="0" i="0" u="none" strike="noStrike" baseline="0">
                <a:solidFill>
                  <a:srgbClr val="000000"/>
                </a:solidFill>
                <a:latin typeface="Times New Roman" panose="02020603050405020304" pitchFamily="12"/>
                <a:ea typeface="宋体" panose="02010600030101010101" pitchFamily="7" charset="-122"/>
                <a:cs typeface="Times New Roman" panose="02020603050405020304" pitchFamily="12"/>
              </a:rPr>
              <a:t> </a:t>
            </a:r>
            <a:r>
              <a:rPr lang="zh-CN" altLang="en-US" sz="1000" b="0" i="0" u="none" strike="noStrike" baseline="0">
                <a:solidFill>
                  <a:srgbClr val="000000"/>
                </a:solidFill>
                <a:latin typeface="宋体" panose="02010600030101010101" pitchFamily="7" charset="-122"/>
                <a:ea typeface="宋体" panose="02010600030101010101" pitchFamily="7" charset="-122"/>
                <a:cs typeface="Times New Roman" panose="02020603050405020304" pitchFamily="12"/>
              </a:rPr>
              <a:t>成本的预测值。</a:t>
            </a:r>
          </a:p>
          <a:p>
            <a:pPr algn="l" rtl="0">
              <a:defRPr sz="1000"/>
            </a:pPr>
            <a:endParaRPr lang="zh-CN" altLang="en-US"/>
          </a:p>
        </xdr:txBody>
      </xdr:sp>
      <mc:AlternateContent xmlns:mc="http://schemas.openxmlformats.org/markup-compatibility/2006">
        <mc:Choice xmlns:a14="http://schemas.microsoft.com/office/drawing/2010/main" Requires="a14">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3352800" y="4238625"/>
                <a:ext cx="1457325" cy="219075"/>
              </a:xfrm>
              <a:prstGeom prst="rect">
                <a:avLst/>
              </a:prstGeom>
              <a:noFill/>
              <a:extLst>
                <a:ext uri="{909E8E84-426E-40DD-AFC4-6F175D3DCCD1}">
                  <a14:hiddenFill>
                    <a:solidFill>
                      <a:srgbClr val="FFFFFF"/>
                    </a:solidFill>
                  </a14:hiddenFill>
                </a:ext>
              </a:extLst>
            </xdr:spPr>
          </xdr:sp>
        </mc:Choice>
        <mc:Fallback/>
      </mc:AlternateContent>
      <mc:AlternateContent xmlns:mc="http://schemas.openxmlformats.org/markup-compatibility/2006">
        <mc:Choice xmlns:a14="http://schemas.microsoft.com/office/drawing/2010/main" Requires="a14">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3324225" y="4733925"/>
                <a:ext cx="1533525" cy="228600"/>
              </a:xfrm>
              <a:prstGeom prst="rect">
                <a:avLst/>
              </a:prstGeom>
              <a:noFill/>
              <a:extLst>
                <a:ext uri="{909E8E84-426E-40DD-AFC4-6F175D3DCCD1}">
                  <a14:hiddenFill>
                    <a:solidFill>
                      <a:srgbClr val="FFFFFF"/>
                    </a:solidFill>
                  </a14:hiddenFill>
                </a:ext>
              </a:extLst>
            </xdr:spPr>
          </xdr:sp>
        </mc:Choice>
        <mc:Fallback/>
      </mc:AlternateContent>
    </xdr:grpSp>
    <xdr:clientData/>
  </xdr:twoCellAnchor>
  <xdr:twoCellAnchor>
    <xdr:from>
      <xdr:col>11</xdr:col>
      <xdr:colOff>453390</xdr:colOff>
      <xdr:row>16</xdr:row>
      <xdr:rowOff>68580</xdr:rowOff>
    </xdr:from>
    <xdr:to>
      <xdr:col>18</xdr:col>
      <xdr:colOff>224790</xdr:colOff>
      <xdr:row>31</xdr:row>
      <xdr:rowOff>68580</xdr:rowOff>
    </xdr:to>
    <xdr:graphicFrame macro="">
      <xdr:nvGraphicFramePr>
        <xdr:cNvPr id="9" name="图表 8">
          <a:extLst>
            <a:ext uri="{FF2B5EF4-FFF2-40B4-BE49-F238E27FC236}">
              <a16:creationId xmlns:a16="http://schemas.microsoft.com/office/drawing/2014/main" id="{D398F9B2-352D-4CB4-A0B2-BA23F1034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端木辰" refreshedDate="45606.645756365739" createdVersion="7" refreshedVersion="7" minRefreshableVersion="3" recordCount="1151" xr:uid="{4742E070-ECBF-4B97-9152-07C028F11F2F}">
  <cacheSource type="worksheet">
    <worksheetSource ref="A1:G1048576" sheet="A公司销售数据"/>
  </cacheSource>
  <cacheFields count="10">
    <cacheField name="订单号" numFmtId="0">
      <sharedItems containsString="0" containsBlank="1" containsNumber="1" containsInteger="1" minValue="10001" maxValue="10438"/>
    </cacheField>
    <cacheField name="销售日期" numFmtId="0">
      <sharedItems containsNonDate="0" containsDate="1" containsString="0" containsBlank="1" minDate="2018-07-10T00:00:00" maxDate="2020-12-31T00:00:00" count="324">
        <d v="2018-07-10T00:00:00"/>
        <d v="2018-07-12T00:00:00"/>
        <d v="2018-07-22T00:00:00"/>
        <d v="2018-07-24T00:00:00"/>
        <d v="2018-08-03T00:00:00"/>
        <d v="2018-08-05T00:00:00"/>
        <d v="2018-08-17T00:00:00"/>
        <d v="2018-08-19T00:00:00"/>
        <d v="2018-09-02T00:00:00"/>
        <d v="2018-09-04T00:00:00"/>
        <d v="2018-09-16T00:00:00"/>
        <d v="2018-09-18T00:00:00"/>
        <d v="2018-09-20T00:00:00"/>
        <d v="2018-09-28T00:00:00"/>
        <d v="2018-10-04T00:00:00"/>
        <d v="2018-10-16T00:00:00"/>
        <d v="2018-10-18T00:00:00"/>
        <d v="2018-10-26T00:00:00"/>
        <d v="2018-10-28T00:00:00"/>
        <d v="2018-10-30T00:00:00"/>
        <d v="2018-11-01T00:00:00"/>
        <d v="2018-11-07T00:00:00"/>
        <d v="2018-11-09T00:00:00"/>
        <d v="2018-11-21T00:00:00"/>
        <d v="2018-11-23T00:00:00"/>
        <d v="2018-11-29T00:00:00"/>
        <d v="2018-12-05T00:00:00"/>
        <d v="2019-01-06T00:00:00"/>
        <d v="2019-01-08T00:00:00"/>
        <d v="2019-01-10T00:00:00"/>
        <d v="2019-01-16T00:00:00"/>
        <d v="2019-01-24T00:00:00"/>
        <d v="2019-02-19T00:00:00"/>
        <d v="2019-02-21T00:00:00"/>
        <d v="2019-03-03T00:00:00"/>
        <d v="2019-03-05T00:00:00"/>
        <d v="2019-03-15T00:00:00"/>
        <d v="2019-03-21T00:00:00"/>
        <d v="2019-03-27T00:00:00"/>
        <d v="2019-04-18T00:00:00"/>
        <d v="2019-05-14T00:00:00"/>
        <d v="2019-06-09T00:00:00"/>
        <d v="2019-07-05T00:00:00"/>
        <d v="2019-07-07T00:00:00"/>
        <d v="2019-07-25T00:00:00"/>
        <d v="2019-07-31T00:00:00"/>
        <d v="2019-08-02T00:00:00"/>
        <d v="2019-08-04T00:00:00"/>
        <d v="2019-08-20T00:00:00"/>
        <d v="2019-09-03T00:00:00"/>
        <d v="2019-09-27T00:00:00"/>
        <d v="2019-09-29T00:00:00"/>
        <d v="2019-10-11T00:00:00"/>
        <d v="2019-10-13T00:00:00"/>
        <d v="2019-10-31T00:00:00"/>
        <d v="2019-11-06T00:00:00"/>
        <d v="2019-11-08T00:00:00"/>
        <d v="2019-11-14T00:00:00"/>
        <d v="2019-11-20T00:00:00"/>
        <d v="2019-11-26T00:00:00"/>
        <d v="2019-11-28T00:00:00"/>
        <d v="2019-12-12T00:00:00"/>
        <d v="2019-12-18T00:00:00"/>
        <d v="2019-12-26T00:00:00"/>
        <d v="2020-01-01T00:00:00"/>
        <d v="2020-01-09T00:00:00"/>
        <d v="2020-01-15T00:00:00"/>
        <d v="2020-01-23T00:00:00"/>
        <d v="2020-02-06T00:00:00"/>
        <d v="2020-02-12T00:00:00"/>
        <d v="2020-02-14T00:00:00"/>
        <d v="2020-02-16T00:00:00"/>
        <d v="2020-02-26T00:00:00"/>
        <d v="2020-02-28T00:00:00"/>
        <d v="2020-03-03T00:00:00"/>
        <d v="2020-03-05T00:00:00"/>
        <d v="2020-03-17T00:00:00"/>
        <d v="2020-03-19T00:00:00"/>
        <d v="2020-03-29T00:00:00"/>
        <d v="2020-04-08T00:00:00"/>
        <d v="2020-04-16T00:00:00"/>
        <d v="2020-04-22T00:00:00"/>
        <d v="2020-04-26T00:00:00"/>
        <d v="2020-04-30T00:00:00"/>
        <d v="2020-05-06T00:00:00"/>
        <d v="2020-05-08T00:00:00"/>
        <d v="2020-05-22T00:00:00"/>
        <d v="2020-05-26T00:00:00"/>
        <d v="2020-05-28T00:00:00"/>
        <d v="2020-06-03T00:00:00"/>
        <d v="2020-06-09T00:00:00"/>
        <d v="2020-06-11T00:00:00"/>
        <d v="2020-06-23T00:00:00"/>
        <d v="2020-06-25T00:00:00"/>
        <d v="2020-07-01T00:00:00"/>
        <d v="2020-07-15T00:00:00"/>
        <d v="2020-07-17T00:00:00"/>
        <d v="2020-07-23T00:00:00"/>
        <d v="2020-07-29T00:00:00"/>
        <d v="2020-08-12T00:00:00"/>
        <d v="2020-08-14T00:00:00"/>
        <d v="2020-08-26T00:00:00"/>
        <d v="2020-09-03T00:00:00"/>
        <d v="2020-09-09T00:00:00"/>
        <d v="2020-09-15T00:00:00"/>
        <d v="2020-09-17T00:00:00"/>
        <d v="2020-09-29T00:00:00"/>
        <d v="2020-10-01T00:00:00"/>
        <d v="2020-10-11T00:00:00"/>
        <d v="2020-10-13T00:00:00"/>
        <d v="2020-10-25T00:00:00"/>
        <d v="2020-11-06T00:00:00"/>
        <d v="2020-11-08T00:00:00"/>
        <d v="2020-11-12T00:00:00"/>
        <d v="2020-11-18T00:00:00"/>
        <d v="2020-11-20T00:00:00"/>
        <d v="2020-11-26T00:00:00"/>
        <d v="2020-12-02T00:00:00"/>
        <d v="2020-12-08T00:00:00"/>
        <d v="2020-12-10T00:00:00"/>
        <d v="2020-12-20T00:00:00"/>
        <d v="2020-12-22T00:00:00"/>
        <d v="2018-07-18T00:00:00"/>
        <d v="2018-07-26T00:00:00"/>
        <d v="2018-08-07T00:00:00"/>
        <d v="2018-08-09T00:00:00"/>
        <d v="2018-08-21T00:00:00"/>
        <d v="2018-08-23T00:00:00"/>
        <d v="2018-09-06T00:00:00"/>
        <d v="2018-09-26T00:00:00"/>
        <d v="2018-10-10T00:00:00"/>
        <d v="2018-10-24T00:00:00"/>
        <d v="2018-11-11T00:00:00"/>
        <d v="2018-11-13T00:00:00"/>
        <d v="2018-11-25T00:00:00"/>
        <d v="2018-12-07T00:00:00"/>
        <d v="2019-01-18T00:00:00"/>
        <d v="2019-01-30T00:00:00"/>
        <d v="2019-02-15T00:00:00"/>
        <d v="2019-02-27T00:00:00"/>
        <d v="2019-03-07T00:00:00"/>
        <d v="2019-04-24T00:00:00"/>
        <d v="2019-05-16T00:00:00"/>
        <d v="2019-05-22T00:00:00"/>
        <d v="2019-06-11T00:00:00"/>
        <d v="2019-06-27T00:00:00"/>
        <d v="2019-08-22T00:00:00"/>
        <d v="2019-08-28T00:00:00"/>
        <d v="2019-11-22T00:00:00"/>
        <d v="2019-11-24T00:00:00"/>
        <d v="2019-12-04T00:00:00"/>
        <d v="2019-12-20T00:00:00"/>
        <d v="2019-12-22T00:00:00"/>
        <d v="2020-01-03T00:00:00"/>
        <d v="2020-01-17T00:00:00"/>
        <d v="2020-01-19T00:00:00"/>
        <d v="2020-01-29T00:00:00"/>
        <d v="2020-02-18T00:00:00"/>
        <d v="2020-03-11T00:00:00"/>
        <d v="2020-03-25T00:00:00"/>
        <d v="2020-03-31T00:00:00"/>
        <d v="2020-04-10T00:00:00"/>
        <d v="2020-04-12T00:00:00"/>
        <d v="2020-04-24T00:00:00"/>
        <d v="2020-05-10T00:00:00"/>
        <d v="2020-05-14T00:00:00"/>
        <d v="2020-06-05T00:00:00"/>
        <d v="2020-06-17T00:00:00"/>
        <d v="2020-07-19T00:00:00"/>
        <d v="2020-07-31T00:00:00"/>
        <d v="2020-08-02T00:00:00"/>
        <d v="2020-08-28T00:00:00"/>
        <d v="2020-09-11T00:00:00"/>
        <d v="2020-09-23T00:00:00"/>
        <d v="2020-10-15T00:00:00"/>
        <d v="2020-10-27T00:00:00"/>
        <d v="2020-11-10T00:00:00"/>
        <d v="2020-11-22T00:00:00"/>
        <d v="2020-11-24T00:00:00"/>
        <d v="2020-12-04T00:00:00"/>
        <d v="2020-12-16T00:00:00"/>
        <d v="2018-07-20T00:00:00"/>
        <d v="2018-08-01T00:00:00"/>
        <d v="2018-08-15T00:00:00"/>
        <d v="2018-08-29T00:00:00"/>
        <d v="2018-08-31T00:00:00"/>
        <d v="2018-09-12T00:00:00"/>
        <d v="2018-09-14T00:00:00"/>
        <d v="2018-09-30T00:00:00"/>
        <d v="2018-10-02T00:00:00"/>
        <d v="2018-10-12T00:00:00"/>
        <d v="2018-10-14T00:00:00"/>
        <d v="2018-11-15T00:00:00"/>
        <d v="2018-11-27T00:00:00"/>
        <d v="2018-12-09T00:00:00"/>
        <d v="2018-12-11T00:00:00"/>
        <d v="2018-12-13T00:00:00"/>
        <d v="2018-12-19T00:00:00"/>
        <d v="2018-12-21T00:00:00"/>
        <d v="2018-12-23T00:00:00"/>
        <d v="2018-12-25T00:00:00"/>
        <d v="2018-12-27T00:00:00"/>
        <d v="2019-01-02T00:00:00"/>
        <d v="2019-01-04T00:00:00"/>
        <d v="2019-01-20T00:00:00"/>
        <d v="2019-01-22T00:00:00"/>
        <d v="2019-02-01T00:00:00"/>
        <d v="2019-02-03T00:00:00"/>
        <d v="2019-02-05T00:00:00"/>
        <d v="2019-02-07T00:00:00"/>
        <d v="2019-02-13T00:00:00"/>
        <d v="2019-02-17T00:00:00"/>
        <d v="2019-03-01T00:00:00"/>
        <d v="2019-03-13T00:00:00"/>
        <d v="2019-03-17T00:00:00"/>
        <d v="2019-03-19T00:00:00"/>
        <d v="2019-03-29T00:00:00"/>
        <d v="2019-03-31T00:00:00"/>
        <d v="2019-04-02T00:00:00"/>
        <d v="2019-04-04T00:00:00"/>
        <d v="2019-04-10T00:00:00"/>
        <d v="2019-04-12T00:00:00"/>
        <d v="2019-04-14T00:00:00"/>
        <d v="2019-04-16T00:00:00"/>
        <d v="2019-04-26T00:00:00"/>
        <d v="2019-04-28T00:00:00"/>
        <d v="2019-04-30T00:00:00"/>
        <d v="2019-05-02T00:00:00"/>
        <d v="2019-05-08T00:00:00"/>
        <d v="2019-05-10T00:00:00"/>
        <d v="2019-05-12T00:00:00"/>
        <d v="2019-05-24T00:00:00"/>
        <d v="2019-05-26T00:00:00"/>
        <d v="2019-05-28T00:00:00"/>
        <d v="2019-05-30T00:00:00"/>
        <d v="2019-06-05T00:00:00"/>
        <d v="2019-06-07T00:00:00"/>
        <d v="2019-06-13T00:00:00"/>
        <d v="2019-06-19T00:00:00"/>
        <d v="2019-06-21T00:00:00"/>
        <d v="2019-06-23T00:00:00"/>
        <d v="2019-06-25T00:00:00"/>
        <d v="2019-07-03T00:00:00"/>
        <d v="2019-07-09T00:00:00"/>
        <d v="2019-07-11T00:00:00"/>
        <d v="2019-07-17T00:00:00"/>
        <d v="2019-07-19T00:00:00"/>
        <d v="2019-07-21T00:00:00"/>
        <d v="2019-07-23T00:00:00"/>
        <d v="2019-08-06T00:00:00"/>
        <d v="2019-08-08T00:00:00"/>
        <d v="2019-08-14T00:00:00"/>
        <d v="2019-08-16T00:00:00"/>
        <d v="2019-08-18T00:00:00"/>
        <d v="2019-08-30T00:00:00"/>
        <d v="2019-09-01T00:00:00"/>
        <d v="2019-09-05T00:00:00"/>
        <d v="2019-09-11T00:00:00"/>
        <d v="2019-09-13T00:00:00"/>
        <d v="2019-09-15T00:00:00"/>
        <d v="2019-09-17T00:00:00"/>
        <d v="2019-09-19T00:00:00"/>
        <d v="2019-09-25T00:00:00"/>
        <d v="2019-10-01T00:00:00"/>
        <d v="2019-10-03T00:00:00"/>
        <d v="2019-10-09T00:00:00"/>
        <d v="2019-10-15T00:00:00"/>
        <d v="2019-10-17T00:00:00"/>
        <d v="2019-10-23T00:00:00"/>
        <d v="2019-10-25T00:00:00"/>
        <d v="2019-10-27T00:00:00"/>
        <d v="2019-10-29T00:00:00"/>
        <d v="2019-11-10T00:00:00"/>
        <d v="2019-11-12T00:00:00"/>
        <d v="2019-12-06T00:00:00"/>
        <d v="2019-12-08T00:00:00"/>
        <d v="2019-12-10T00:00:00"/>
        <d v="2019-12-24T00:00:00"/>
        <d v="2020-01-05T00:00:00"/>
        <d v="2020-01-07T00:00:00"/>
        <d v="2020-01-21T00:00:00"/>
        <d v="2020-01-31T00:00:00"/>
        <d v="2020-02-02T00:00:00"/>
        <d v="2020-02-04T00:00:00"/>
        <d v="2020-02-20T00:00:00"/>
        <d v="2020-03-01T00:00:00"/>
        <d v="2020-03-13T00:00:00"/>
        <d v="2020-03-15T00:00:00"/>
        <d v="2020-03-27T00:00:00"/>
        <d v="2020-04-02T00:00:00"/>
        <d v="2020-04-14T00:00:00"/>
        <d v="2020-04-28T00:00:00"/>
        <d v="2020-05-12T00:00:00"/>
        <d v="2020-05-20T00:00:00"/>
        <d v="2020-05-24T00:00:00"/>
        <d v="2020-06-07T00:00:00"/>
        <d v="2020-06-19T00:00:00"/>
        <d v="2020-06-21T00:00:00"/>
        <d v="2020-07-03T00:00:00"/>
        <d v="2020-07-05T00:00:00"/>
        <d v="2020-07-07T00:00:00"/>
        <d v="2020-07-09T00:00:00"/>
        <d v="2020-07-21T00:00:00"/>
        <d v="2020-08-04T00:00:00"/>
        <d v="2020-08-06T00:00:00"/>
        <d v="2020-08-16T00:00:00"/>
        <d v="2020-08-18T00:00:00"/>
        <d v="2020-08-20T00:00:00"/>
        <d v="2020-08-30T00:00:00"/>
        <d v="2020-09-01T00:00:00"/>
        <d v="2020-09-13T00:00:00"/>
        <d v="2020-09-25T00:00:00"/>
        <d v="2020-09-27T00:00:00"/>
        <d v="2020-10-07T00:00:00"/>
        <d v="2020-10-09T00:00:00"/>
        <d v="2020-10-21T00:00:00"/>
        <d v="2020-10-23T00:00:00"/>
        <d v="2020-10-29T00:00:00"/>
        <d v="2020-11-04T00:00:00"/>
        <d v="2020-12-06T00:00:00"/>
        <d v="2020-12-18T00:00:00"/>
        <d v="2020-12-24T00:00:00"/>
        <d v="2020-12-30T00:00:00"/>
        <m/>
      </sharedItems>
      <fieldGroup par="8" base="1">
        <rangePr groupBy="months" startDate="2018-07-10T00:00:00" endDate="2020-12-31T00:00:00"/>
        <groupItems count="14">
          <s v="(空白)"/>
          <s v="1月"/>
          <s v="2月"/>
          <s v="3月"/>
          <s v="4月"/>
          <s v="5月"/>
          <s v="6月"/>
          <s v="7月"/>
          <s v="8月"/>
          <s v="9月"/>
          <s v="10月"/>
          <s v="11月"/>
          <s v="12月"/>
          <s v="&gt;2020/12/31"/>
        </groupItems>
      </fieldGroup>
    </cacheField>
    <cacheField name="类别名称" numFmtId="0">
      <sharedItems containsBlank="1" count="4">
        <s v="猫罐头"/>
        <s v="洁齿酥"/>
        <s v="猫条"/>
        <m/>
      </sharedItems>
    </cacheField>
    <cacheField name="单价" numFmtId="0">
      <sharedItems containsString="0" containsBlank="1" containsNumber="1" minValue="2" maxValue="263.5" count="117">
        <n v="34.799999999999997"/>
        <n v="9.8000000000000007"/>
        <n v="14"/>
        <n v="18.600000000000001"/>
        <n v="16"/>
        <n v="10"/>
        <n v="14.4"/>
        <n v="3.6"/>
        <n v="35.1"/>
        <n v="25.6"/>
        <n v="17"/>
        <n v="15.2"/>
        <n v="20.7"/>
        <n v="7.7"/>
        <n v="27.8"/>
        <n v="36.799999999999997"/>
        <n v="2"/>
        <n v="44"/>
        <n v="4.8"/>
        <n v="24.8"/>
        <n v="36.4"/>
        <n v="31.2"/>
        <n v="12.4"/>
        <n v="27.2"/>
        <n v="7.3"/>
        <n v="11.2"/>
        <n v="9.6"/>
        <n v="5.9"/>
        <n v="42.4"/>
        <n v="15.5"/>
        <n v="64.8"/>
        <n v="30.4"/>
        <n v="28.8"/>
        <n v="16.8"/>
        <n v="13.9"/>
        <n v="14.7"/>
        <n v="50"/>
        <n v="26.2"/>
        <n v="17.2"/>
        <n v="5.6"/>
        <n v="10.6"/>
        <n v="24.9"/>
        <n v="7.2"/>
        <n v="19.2"/>
        <n v="26.6"/>
        <n v="13"/>
        <n v="99"/>
        <n v="39.4"/>
        <n v="210.8"/>
        <n v="13.6"/>
        <n v="8"/>
        <n v="6.2"/>
        <n v="10.4"/>
        <n v="18.399999999999999"/>
        <n v="4.5"/>
        <n v="21.05"/>
        <n v="23.25"/>
        <n v="32.799999999999997"/>
        <n v="28.5"/>
        <n v="30"/>
        <n v="22"/>
        <n v="40"/>
        <n v="12"/>
        <n v="45.6"/>
        <n v="2.5"/>
        <n v="17.45"/>
        <n v="97"/>
        <n v="38"/>
        <n v="34"/>
        <n v="31"/>
        <n v="39"/>
        <n v="7.45"/>
        <n v="46"/>
        <n v="19"/>
        <n v="55"/>
        <n v="25.89"/>
        <n v="12.5"/>
        <n v="13.25"/>
        <n v="53"/>
        <n v="21.5"/>
        <n v="263.5"/>
        <n v="49.3"/>
        <n v="32"/>
        <n v="9.65"/>
        <n v="21"/>
        <n v="18"/>
        <n v="7.75"/>
        <n v="33.25"/>
        <n v="19.5"/>
        <n v="123.79"/>
        <n v="31.23"/>
        <n v="24"/>
        <n v="20"/>
        <n v="25"/>
        <n v="19.45"/>
        <n v="9.5"/>
        <n v="62.5"/>
        <n v="15"/>
        <n v="81"/>
        <n v="36"/>
        <n v="9"/>
        <n v="9.1999999999999993"/>
        <n v="20.8"/>
        <n v="17.600000000000001"/>
        <n v="7.6"/>
        <n v="43.9"/>
        <n v="6"/>
        <n v="7"/>
        <n v="15.6"/>
        <n v="10.199999999999999"/>
        <n v="22.8"/>
        <n v="77.599999999999994"/>
        <n v="12.75"/>
        <n v="26"/>
        <n v="21.35"/>
        <n v="16.25"/>
        <m/>
      </sharedItems>
      <fieldGroup par="9"/>
    </cacheField>
    <cacheField name="数量" numFmtId="0">
      <sharedItems containsString="0" containsBlank="1" containsNumber="1" containsInteger="1" minValue="1" maxValue="120"/>
    </cacheField>
    <cacheField name="销售额" numFmtId="0">
      <sharedItems containsString="0" containsBlank="1" containsNumber="1" minValue="4.8" maxValue="10540"/>
    </cacheField>
    <cacheField name="货主地区" numFmtId="0">
      <sharedItems containsBlank="1" count="7">
        <s v="华北"/>
        <s v="华东"/>
        <s v="华中"/>
        <s v="华南"/>
        <s v="东北"/>
        <s v="西南"/>
        <m/>
      </sharedItems>
    </cacheField>
    <cacheField name="季度" numFmtId="0" databaseField="0">
      <fieldGroup base="1">
        <rangePr groupBy="quarters" startDate="2018-07-10T00:00:00" endDate="2020-12-31T00:00:00"/>
        <groupItems count="6">
          <s v="&lt;2018/7/10"/>
          <s v="第一季"/>
          <s v="第二季"/>
          <s v="第三季"/>
          <s v="第四季"/>
          <s v="&gt;2020/12/31"/>
        </groupItems>
      </fieldGroup>
    </cacheField>
    <cacheField name="年" numFmtId="0" databaseField="0">
      <fieldGroup base="1">
        <rangePr groupBy="years" startDate="2018-07-10T00:00:00" endDate="2020-12-31T00:00:00"/>
        <groupItems count="5">
          <s v="&lt;2018/7/10"/>
          <s v="2018年"/>
          <s v="2019年"/>
          <s v="2020年"/>
          <s v="&gt;2020/12/31"/>
        </groupItems>
      </fieldGroup>
    </cacheField>
    <cacheField name="单价2" numFmtId="0" databaseField="0">
      <fieldGroup base="3">
        <discretePr count="117">
          <x v="0"/>
          <x v="1"/>
          <x v="2"/>
          <x v="61"/>
          <x v="61"/>
          <x v="61"/>
          <x v="61"/>
          <x v="61"/>
          <x v="61"/>
          <x v="3"/>
          <x v="61"/>
          <x v="61"/>
          <x v="61"/>
          <x v="61"/>
          <x v="61"/>
          <x v="61"/>
          <x v="61"/>
          <x v="62"/>
          <x v="61"/>
          <x v="61"/>
          <x v="61"/>
          <x v="61"/>
          <x v="4"/>
          <x v="61"/>
          <x v="61"/>
          <x v="61"/>
          <x v="61"/>
          <x v="61"/>
          <x v="5"/>
          <x v="61"/>
          <x v="62"/>
          <x v="61"/>
          <x v="61"/>
          <x v="61"/>
          <x v="61"/>
          <x v="61"/>
          <x v="62"/>
          <x v="61"/>
          <x v="61"/>
          <x v="61"/>
          <x v="61"/>
          <x v="61"/>
          <x v="61"/>
          <x v="61"/>
          <x v="61"/>
          <x v="61"/>
          <x v="62"/>
          <x v="61"/>
          <x v="62"/>
          <x v="61"/>
          <x v="61"/>
          <x v="61"/>
          <x v="61"/>
          <x v="6"/>
          <x v="7"/>
          <x v="8"/>
          <x v="9"/>
          <x v="10"/>
          <x v="11"/>
          <x v="12"/>
          <x v="13"/>
          <x v="14"/>
          <x v="61"/>
          <x v="15"/>
          <x v="16"/>
          <x v="17"/>
          <x v="18"/>
          <x v="19"/>
          <x v="20"/>
          <x v="21"/>
          <x v="22"/>
          <x v="23"/>
          <x v="24"/>
          <x v="25"/>
          <x v="26"/>
          <x v="27"/>
          <x v="28"/>
          <x v="29"/>
          <x v="30"/>
          <x v="31"/>
          <x v="32"/>
          <x v="33"/>
          <x v="34"/>
          <x v="35"/>
          <x v="36"/>
          <x v="37"/>
          <x v="38"/>
          <x v="39"/>
          <x v="40"/>
          <x v="41"/>
          <x v="42"/>
          <x v="61"/>
          <x v="43"/>
          <x v="44"/>
          <x v="45"/>
          <x v="46"/>
          <x v="47"/>
          <x v="48"/>
          <x v="49"/>
          <x v="50"/>
          <x v="51"/>
          <x v="52"/>
          <x v="61"/>
          <x v="61"/>
          <x v="61"/>
          <x v="53"/>
          <x v="54"/>
          <x v="55"/>
          <x v="61"/>
          <x v="61"/>
          <x v="61"/>
          <x v="62"/>
          <x v="56"/>
          <x v="57"/>
          <x v="58"/>
          <x v="59"/>
          <x v="60"/>
        </discretePr>
        <groupItems count="63">
          <n v="34.799999999999997"/>
          <n v="9.8000000000000007"/>
          <n v="14"/>
          <n v="25.6"/>
          <n v="12.4"/>
          <n v="42.4"/>
          <n v="18.399999999999999"/>
          <n v="4.5"/>
          <n v="21.05"/>
          <n v="23.25"/>
          <n v="32.799999999999997"/>
          <n v="28.5"/>
          <n v="30"/>
          <n v="22"/>
          <n v="40"/>
          <n v="45.6"/>
          <n v="2.5"/>
          <n v="17.45"/>
          <n v="97"/>
          <n v="38"/>
          <n v="34"/>
          <n v="31"/>
          <n v="39"/>
          <n v="7.45"/>
          <n v="46"/>
          <n v="19"/>
          <n v="55"/>
          <n v="25.89"/>
          <n v="12.5"/>
          <n v="13.25"/>
          <n v="53"/>
          <n v="21.5"/>
          <n v="263.5"/>
          <n v="49.3"/>
          <n v="32"/>
          <n v="9.65"/>
          <n v="21"/>
          <n v="18"/>
          <n v="7.75"/>
          <n v="33.25"/>
          <n v="19.5"/>
          <n v="123.79"/>
          <n v="31.23"/>
          <n v="20"/>
          <n v="25"/>
          <n v="19.45"/>
          <n v="9.5"/>
          <n v="62.5"/>
          <n v="15"/>
          <n v="81"/>
          <n v="36"/>
          <n v="9"/>
          <n v="9.1999999999999993"/>
          <n v="43.9"/>
          <n v="6"/>
          <n v="7"/>
          <n v="12.75"/>
          <n v="26"/>
          <n v="21.35"/>
          <n v="16.25"/>
          <m/>
          <s v="数据组1"/>
          <s v="数据组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端木辰" refreshedDate="45606.684168287036" createdVersion="7" refreshedVersion="7" minRefreshableVersion="3" recordCount="20" xr:uid="{42558326-DE1A-4B79-9C0B-3A4E278F8D5E}">
  <cacheSource type="worksheet">
    <worksheetSource ref="B1:D21" sheet="第6题"/>
  </cacheSource>
  <cacheFields count="3">
    <cacheField name="星期" numFmtId="0">
      <sharedItems containsSemiMixedTypes="0" containsString="0" containsNumber="1" containsInteger="1" minValue="1" maxValue="20"/>
    </cacheField>
    <cacheField name="序号" numFmtId="0">
      <sharedItems containsSemiMixedTypes="0" containsString="0" containsNumber="1" containsInteger="1" minValue="1" maxValue="4" count="4">
        <n v="1"/>
        <n v="2"/>
        <n v="3"/>
        <n v="4"/>
      </sharedItems>
    </cacheField>
    <cacheField name="需求" numFmtId="0">
      <sharedItems containsSemiMixedTypes="0" containsString="0" containsNumber="1" minValue="74.8" maxValue="1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1">
  <r>
    <n v="10001"/>
    <x v="0"/>
    <x v="0"/>
    <x v="0"/>
    <n v="5"/>
    <n v="174"/>
    <x v="0"/>
  </r>
  <r>
    <n v="10001"/>
    <x v="0"/>
    <x v="0"/>
    <x v="1"/>
    <n v="10"/>
    <n v="98"/>
    <x v="0"/>
  </r>
  <r>
    <n v="10001"/>
    <x v="0"/>
    <x v="0"/>
    <x v="2"/>
    <n v="12"/>
    <n v="168"/>
    <x v="0"/>
  </r>
  <r>
    <n v="10002"/>
    <x v="1"/>
    <x v="0"/>
    <x v="3"/>
    <n v="9"/>
    <n v="167.4"/>
    <x v="1"/>
  </r>
  <r>
    <n v="10006"/>
    <x v="2"/>
    <x v="0"/>
    <x v="4"/>
    <n v="40"/>
    <n v="640"/>
    <x v="0"/>
  </r>
  <r>
    <n v="10006"/>
    <x v="2"/>
    <x v="0"/>
    <x v="5"/>
    <n v="20"/>
    <n v="200"/>
    <x v="0"/>
  </r>
  <r>
    <n v="10006"/>
    <x v="2"/>
    <x v="0"/>
    <x v="6"/>
    <n v="42"/>
    <n v="604.79999999999995"/>
    <x v="0"/>
  </r>
  <r>
    <n v="10007"/>
    <x v="3"/>
    <x v="0"/>
    <x v="7"/>
    <n v="15"/>
    <n v="54"/>
    <x v="2"/>
  </r>
  <r>
    <n v="10010"/>
    <x v="4"/>
    <x v="0"/>
    <x v="8"/>
    <n v="25"/>
    <n v="877.5"/>
    <x v="1"/>
  </r>
  <r>
    <n v="10011"/>
    <x v="5"/>
    <x v="0"/>
    <x v="9"/>
    <n v="6"/>
    <n v="153.6"/>
    <x v="1"/>
  </r>
  <r>
    <n v="10011"/>
    <x v="5"/>
    <x v="0"/>
    <x v="10"/>
    <n v="65"/>
    <n v="1105"/>
    <x v="1"/>
  </r>
  <r>
    <n v="10011"/>
    <x v="5"/>
    <x v="0"/>
    <x v="11"/>
    <n v="50"/>
    <n v="760"/>
    <x v="1"/>
  </r>
  <r>
    <n v="10016"/>
    <x v="6"/>
    <x v="0"/>
    <x v="7"/>
    <n v="28"/>
    <n v="100.8"/>
    <x v="0"/>
  </r>
  <r>
    <n v="10016"/>
    <x v="6"/>
    <x v="0"/>
    <x v="12"/>
    <n v="60"/>
    <n v="1242"/>
    <x v="0"/>
  </r>
  <r>
    <n v="10017"/>
    <x v="7"/>
    <x v="0"/>
    <x v="11"/>
    <n v="35"/>
    <n v="532"/>
    <x v="0"/>
  </r>
  <r>
    <n v="10017"/>
    <x v="7"/>
    <x v="0"/>
    <x v="13"/>
    <n v="25"/>
    <n v="192.5"/>
    <x v="0"/>
  </r>
  <r>
    <n v="10022"/>
    <x v="8"/>
    <x v="0"/>
    <x v="14"/>
    <n v="20"/>
    <n v="556"/>
    <x v="1"/>
  </r>
  <r>
    <n v="10023"/>
    <x v="9"/>
    <x v="0"/>
    <x v="15"/>
    <n v="25"/>
    <n v="920"/>
    <x v="0"/>
  </r>
  <r>
    <n v="10023"/>
    <x v="9"/>
    <x v="0"/>
    <x v="11"/>
    <n v="30"/>
    <n v="456"/>
    <x v="0"/>
  </r>
  <r>
    <n v="10024"/>
    <x v="9"/>
    <x v="0"/>
    <x v="16"/>
    <n v="24"/>
    <n v="48"/>
    <x v="1"/>
  </r>
  <r>
    <n v="10028"/>
    <x v="10"/>
    <x v="0"/>
    <x v="17"/>
    <n v="6"/>
    <n v="264"/>
    <x v="0"/>
  </r>
  <r>
    <n v="10029"/>
    <x v="11"/>
    <x v="0"/>
    <x v="18"/>
    <n v="10"/>
    <n v="48"/>
    <x v="1"/>
  </r>
  <r>
    <n v="10029"/>
    <x v="11"/>
    <x v="0"/>
    <x v="19"/>
    <n v="15"/>
    <n v="372"/>
    <x v="1"/>
  </r>
  <r>
    <n v="10030"/>
    <x v="12"/>
    <x v="0"/>
    <x v="20"/>
    <n v="20"/>
    <n v="728"/>
    <x v="1"/>
  </r>
  <r>
    <n v="10032"/>
    <x v="13"/>
    <x v="0"/>
    <x v="21"/>
    <n v="15"/>
    <n v="468"/>
    <x v="1"/>
  </r>
  <r>
    <n v="10036"/>
    <x v="14"/>
    <x v="0"/>
    <x v="22"/>
    <n v="20"/>
    <n v="248"/>
    <x v="0"/>
  </r>
  <r>
    <n v="10036"/>
    <x v="14"/>
    <x v="0"/>
    <x v="14"/>
    <n v="3"/>
    <n v="83.4"/>
    <x v="0"/>
  </r>
  <r>
    <n v="10036"/>
    <x v="14"/>
    <x v="0"/>
    <x v="23"/>
    <n v="35"/>
    <n v="952"/>
    <x v="0"/>
  </r>
  <r>
    <n v="10036"/>
    <x v="14"/>
    <x v="0"/>
    <x v="24"/>
    <n v="18"/>
    <n v="131.4"/>
    <x v="0"/>
  </r>
  <r>
    <n v="10040"/>
    <x v="15"/>
    <x v="0"/>
    <x v="25"/>
    <n v="20"/>
    <n v="224"/>
    <x v="3"/>
  </r>
  <r>
    <n v="10040"/>
    <x v="15"/>
    <x v="0"/>
    <x v="26"/>
    <n v="15"/>
    <n v="144"/>
    <x v="3"/>
  </r>
  <r>
    <n v="10041"/>
    <x v="16"/>
    <x v="0"/>
    <x v="27"/>
    <n v="10"/>
    <n v="59"/>
    <x v="0"/>
  </r>
  <r>
    <n v="10041"/>
    <x v="16"/>
    <x v="0"/>
    <x v="5"/>
    <n v="3"/>
    <n v="30"/>
    <x v="0"/>
  </r>
  <r>
    <n v="10044"/>
    <x v="17"/>
    <x v="0"/>
    <x v="28"/>
    <n v="2"/>
    <n v="84.8"/>
    <x v="1"/>
  </r>
  <r>
    <n v="10044"/>
    <x v="17"/>
    <x v="0"/>
    <x v="29"/>
    <n v="24"/>
    <n v="372"/>
    <x v="1"/>
  </r>
  <r>
    <n v="10045"/>
    <x v="18"/>
    <x v="0"/>
    <x v="30"/>
    <n v="20"/>
    <n v="1296"/>
    <x v="1"/>
  </r>
  <r>
    <n v="10046"/>
    <x v="19"/>
    <x v="0"/>
    <x v="8"/>
    <n v="5"/>
    <n v="175.5"/>
    <x v="1"/>
  </r>
  <r>
    <n v="10047"/>
    <x v="20"/>
    <x v="0"/>
    <x v="21"/>
    <n v="15"/>
    <n v="468"/>
    <x v="0"/>
  </r>
  <r>
    <n v="10048"/>
    <x v="21"/>
    <x v="0"/>
    <x v="31"/>
    <n v="4"/>
    <n v="121.6"/>
    <x v="0"/>
  </r>
  <r>
    <n v="10049"/>
    <x v="22"/>
    <x v="0"/>
    <x v="32"/>
    <n v="15"/>
    <n v="432"/>
    <x v="3"/>
  </r>
  <r>
    <n v="10049"/>
    <x v="22"/>
    <x v="0"/>
    <x v="33"/>
    <n v="12"/>
    <n v="201.6"/>
    <x v="3"/>
  </r>
  <r>
    <n v="10049"/>
    <x v="22"/>
    <x v="0"/>
    <x v="34"/>
    <n v="30"/>
    <n v="417"/>
    <x v="3"/>
  </r>
  <r>
    <n v="10054"/>
    <x v="23"/>
    <x v="0"/>
    <x v="31"/>
    <n v="20"/>
    <n v="608"/>
    <x v="0"/>
  </r>
  <r>
    <n v="10054"/>
    <x v="23"/>
    <x v="0"/>
    <x v="35"/>
    <n v="10"/>
    <n v="147"/>
    <x v="0"/>
  </r>
  <r>
    <n v="10055"/>
    <x v="24"/>
    <x v="0"/>
    <x v="20"/>
    <n v="28"/>
    <n v="1019.2"/>
    <x v="1"/>
  </r>
  <r>
    <n v="10055"/>
    <x v="24"/>
    <x v="0"/>
    <x v="15"/>
    <n v="12"/>
    <n v="441.6"/>
    <x v="1"/>
  </r>
  <r>
    <n v="10058"/>
    <x v="25"/>
    <x v="0"/>
    <x v="36"/>
    <n v="25"/>
    <n v="1250"/>
    <x v="0"/>
  </r>
  <r>
    <n v="10058"/>
    <x v="25"/>
    <x v="0"/>
    <x v="6"/>
    <n v="30"/>
    <n v="432"/>
    <x v="0"/>
  </r>
  <r>
    <n v="10059"/>
    <x v="26"/>
    <x v="0"/>
    <x v="12"/>
    <n v="10"/>
    <n v="207"/>
    <x v="0"/>
  </r>
  <r>
    <n v="10059"/>
    <x v="26"/>
    <x v="0"/>
    <x v="37"/>
    <n v="10"/>
    <n v="262"/>
    <x v="0"/>
  </r>
  <r>
    <n v="10072"/>
    <x v="27"/>
    <x v="0"/>
    <x v="21"/>
    <n v="8"/>
    <n v="249.6"/>
    <x v="3"/>
  </r>
  <r>
    <n v="10073"/>
    <x v="28"/>
    <x v="0"/>
    <x v="38"/>
    <n v="30"/>
    <n v="516"/>
    <x v="1"/>
  </r>
  <r>
    <n v="10074"/>
    <x v="28"/>
    <x v="0"/>
    <x v="6"/>
    <n v="10"/>
    <n v="144"/>
    <x v="4"/>
  </r>
  <r>
    <n v="10075"/>
    <x v="29"/>
    <x v="0"/>
    <x v="39"/>
    <n v="20"/>
    <n v="112"/>
    <x v="5"/>
  </r>
  <r>
    <n v="10076"/>
    <x v="30"/>
    <x v="0"/>
    <x v="6"/>
    <n v="4"/>
    <n v="57.6"/>
    <x v="0"/>
  </r>
  <r>
    <n v="10080"/>
    <x v="31"/>
    <x v="0"/>
    <x v="33"/>
    <n v="50"/>
    <n v="840"/>
    <x v="5"/>
  </r>
  <r>
    <n v="10080"/>
    <x v="31"/>
    <x v="0"/>
    <x v="11"/>
    <n v="25"/>
    <n v="380"/>
    <x v="5"/>
  </r>
  <r>
    <n v="10080"/>
    <x v="31"/>
    <x v="0"/>
    <x v="12"/>
    <n v="35"/>
    <n v="724.5"/>
    <x v="5"/>
  </r>
  <r>
    <n v="10080"/>
    <x v="31"/>
    <x v="0"/>
    <x v="40"/>
    <n v="30"/>
    <n v="318"/>
    <x v="5"/>
  </r>
  <r>
    <n v="10090"/>
    <x v="32"/>
    <x v="0"/>
    <x v="41"/>
    <n v="24"/>
    <n v="597.6"/>
    <x v="0"/>
  </r>
  <r>
    <n v="10090"/>
    <x v="32"/>
    <x v="0"/>
    <x v="42"/>
    <n v="40"/>
    <n v="288"/>
    <x v="0"/>
  </r>
  <r>
    <n v="10090"/>
    <x v="32"/>
    <x v="0"/>
    <x v="14"/>
    <n v="25"/>
    <n v="695"/>
    <x v="0"/>
  </r>
  <r>
    <n v="10091"/>
    <x v="33"/>
    <x v="0"/>
    <x v="12"/>
    <n v="15"/>
    <n v="310.5"/>
    <x v="0"/>
  </r>
  <r>
    <n v="10095"/>
    <x v="34"/>
    <x v="0"/>
    <x v="43"/>
    <n v="40"/>
    <n v="768"/>
    <x v="5"/>
  </r>
  <r>
    <n v="10095"/>
    <x v="34"/>
    <x v="0"/>
    <x v="5"/>
    <n v="56"/>
    <n v="560"/>
    <x v="5"/>
  </r>
  <r>
    <n v="10096"/>
    <x v="35"/>
    <x v="0"/>
    <x v="5"/>
    <n v="4"/>
    <n v="40"/>
    <x v="0"/>
  </r>
  <r>
    <n v="10096"/>
    <x v="35"/>
    <x v="0"/>
    <x v="44"/>
    <n v="50"/>
    <n v="1330"/>
    <x v="0"/>
  </r>
  <r>
    <n v="10099"/>
    <x v="36"/>
    <x v="0"/>
    <x v="21"/>
    <n v="36"/>
    <n v="1123.2"/>
    <x v="0"/>
  </r>
  <r>
    <n v="10102"/>
    <x v="37"/>
    <x v="0"/>
    <x v="27"/>
    <n v="24"/>
    <n v="141.6"/>
    <x v="0"/>
  </r>
  <r>
    <n v="10103"/>
    <x v="38"/>
    <x v="0"/>
    <x v="45"/>
    <n v="15"/>
    <n v="195"/>
    <x v="5"/>
  </r>
  <r>
    <n v="10103"/>
    <x v="38"/>
    <x v="0"/>
    <x v="32"/>
    <n v="18"/>
    <n v="518.4"/>
    <x v="5"/>
  </r>
  <r>
    <n v="10104"/>
    <x v="38"/>
    <x v="0"/>
    <x v="13"/>
    <n v="13"/>
    <n v="100.1"/>
    <x v="1"/>
  </r>
  <r>
    <n v="10113"/>
    <x v="39"/>
    <x v="0"/>
    <x v="46"/>
    <n v="35"/>
    <n v="3465"/>
    <x v="1"/>
  </r>
  <r>
    <n v="10113"/>
    <x v="39"/>
    <x v="0"/>
    <x v="27"/>
    <n v="28"/>
    <n v="165.2"/>
    <x v="1"/>
  </r>
  <r>
    <n v="10113"/>
    <x v="39"/>
    <x v="0"/>
    <x v="20"/>
    <n v="30"/>
    <n v="1092"/>
    <x v="1"/>
  </r>
  <r>
    <n v="10113"/>
    <x v="39"/>
    <x v="0"/>
    <x v="4"/>
    <n v="35"/>
    <n v="560"/>
    <x v="1"/>
  </r>
  <r>
    <n v="10126"/>
    <x v="40"/>
    <x v="0"/>
    <x v="38"/>
    <n v="50"/>
    <n v="860"/>
    <x v="4"/>
  </r>
  <r>
    <n v="10126"/>
    <x v="40"/>
    <x v="0"/>
    <x v="40"/>
    <n v="80"/>
    <n v="848"/>
    <x v="4"/>
  </r>
  <r>
    <n v="10127"/>
    <x v="40"/>
    <x v="0"/>
    <x v="5"/>
    <n v="30"/>
    <n v="300"/>
    <x v="0"/>
  </r>
  <r>
    <n v="10127"/>
    <x v="40"/>
    <x v="0"/>
    <x v="40"/>
    <n v="15"/>
    <n v="159"/>
    <x v="0"/>
  </r>
  <r>
    <n v="10140"/>
    <x v="41"/>
    <x v="0"/>
    <x v="17"/>
    <n v="12"/>
    <n v="528"/>
    <x v="5"/>
  </r>
  <r>
    <n v="10140"/>
    <x v="41"/>
    <x v="0"/>
    <x v="38"/>
    <n v="15"/>
    <n v="258"/>
    <x v="5"/>
  </r>
  <r>
    <n v="10140"/>
    <x v="41"/>
    <x v="0"/>
    <x v="7"/>
    <n v="15"/>
    <n v="54"/>
    <x v="5"/>
  </r>
  <r>
    <n v="10140"/>
    <x v="41"/>
    <x v="0"/>
    <x v="20"/>
    <n v="6"/>
    <n v="218.4"/>
    <x v="5"/>
  </r>
  <r>
    <n v="10152"/>
    <x v="42"/>
    <x v="0"/>
    <x v="5"/>
    <n v="60"/>
    <n v="600"/>
    <x v="4"/>
  </r>
  <r>
    <n v="10152"/>
    <x v="42"/>
    <x v="0"/>
    <x v="38"/>
    <n v="30"/>
    <n v="516"/>
    <x v="4"/>
  </r>
  <r>
    <n v="10153"/>
    <x v="43"/>
    <x v="0"/>
    <x v="6"/>
    <n v="35"/>
    <n v="504"/>
    <x v="1"/>
  </r>
  <r>
    <n v="10153"/>
    <x v="43"/>
    <x v="0"/>
    <x v="4"/>
    <n v="30"/>
    <n v="480"/>
    <x v="1"/>
  </r>
  <r>
    <n v="10164"/>
    <x v="44"/>
    <x v="0"/>
    <x v="17"/>
    <n v="9"/>
    <n v="396"/>
    <x v="0"/>
  </r>
  <r>
    <n v="10164"/>
    <x v="44"/>
    <x v="0"/>
    <x v="29"/>
    <n v="40"/>
    <n v="620"/>
    <x v="0"/>
  </r>
  <r>
    <n v="10165"/>
    <x v="45"/>
    <x v="0"/>
    <x v="3"/>
    <n v="20"/>
    <n v="372"/>
    <x v="0"/>
  </r>
  <r>
    <n v="10166"/>
    <x v="46"/>
    <x v="0"/>
    <x v="47"/>
    <n v="40"/>
    <n v="1576"/>
    <x v="5"/>
  </r>
  <r>
    <n v="10168"/>
    <x v="47"/>
    <x v="0"/>
    <x v="21"/>
    <n v="2"/>
    <n v="62.4"/>
    <x v="1"/>
  </r>
  <r>
    <n v="10176"/>
    <x v="48"/>
    <x v="0"/>
    <x v="17"/>
    <n v="20"/>
    <n v="880"/>
    <x v="4"/>
  </r>
  <r>
    <n v="10177"/>
    <x v="48"/>
    <x v="0"/>
    <x v="48"/>
    <n v="49"/>
    <n v="10329.200000000001"/>
    <x v="0"/>
  </r>
  <r>
    <n v="10177"/>
    <x v="48"/>
    <x v="0"/>
    <x v="6"/>
    <n v="60"/>
    <n v="864"/>
    <x v="0"/>
  </r>
  <r>
    <n v="10177"/>
    <x v="48"/>
    <x v="0"/>
    <x v="5"/>
    <n v="30"/>
    <n v="300"/>
    <x v="0"/>
  </r>
  <r>
    <n v="10183"/>
    <x v="49"/>
    <x v="0"/>
    <x v="21"/>
    <n v="45"/>
    <n v="1404"/>
    <x v="5"/>
  </r>
  <r>
    <n v="10184"/>
    <x v="49"/>
    <x v="0"/>
    <x v="21"/>
    <n v="50"/>
    <n v="1560"/>
    <x v="4"/>
  </r>
  <r>
    <n v="10195"/>
    <x v="50"/>
    <x v="0"/>
    <x v="49"/>
    <n v="60"/>
    <n v="816"/>
    <x v="3"/>
  </r>
  <r>
    <n v="10195"/>
    <x v="50"/>
    <x v="0"/>
    <x v="27"/>
    <n v="80"/>
    <n v="472"/>
    <x v="3"/>
  </r>
  <r>
    <n v="10196"/>
    <x v="51"/>
    <x v="0"/>
    <x v="33"/>
    <n v="6"/>
    <n v="100.8"/>
    <x v="0"/>
  </r>
  <r>
    <n v="10196"/>
    <x v="51"/>
    <x v="0"/>
    <x v="20"/>
    <n v="12"/>
    <n v="436.8"/>
    <x v="0"/>
  </r>
  <r>
    <n v="10202"/>
    <x v="52"/>
    <x v="0"/>
    <x v="39"/>
    <n v="20"/>
    <n v="112"/>
    <x v="5"/>
  </r>
  <r>
    <n v="10203"/>
    <x v="53"/>
    <x v="0"/>
    <x v="19"/>
    <n v="20"/>
    <n v="496"/>
    <x v="1"/>
  </r>
  <r>
    <n v="10203"/>
    <x v="53"/>
    <x v="0"/>
    <x v="27"/>
    <n v="6"/>
    <n v="35.4"/>
    <x v="1"/>
  </r>
  <r>
    <n v="10204"/>
    <x v="53"/>
    <x v="0"/>
    <x v="43"/>
    <n v="120"/>
    <n v="2304"/>
    <x v="4"/>
  </r>
  <r>
    <n v="10214"/>
    <x v="54"/>
    <x v="0"/>
    <x v="50"/>
    <n v="40"/>
    <n v="320"/>
    <x v="1"/>
  </r>
  <r>
    <n v="10215"/>
    <x v="55"/>
    <x v="0"/>
    <x v="18"/>
    <n v="1"/>
    <n v="4.8"/>
    <x v="1"/>
  </r>
  <r>
    <n v="10215"/>
    <x v="55"/>
    <x v="0"/>
    <x v="42"/>
    <n v="21"/>
    <n v="151.19999999999999"/>
    <x v="1"/>
  </r>
  <r>
    <n v="10216"/>
    <x v="56"/>
    <x v="0"/>
    <x v="25"/>
    <n v="50"/>
    <n v="560"/>
    <x v="4"/>
  </r>
  <r>
    <n v="10221"/>
    <x v="57"/>
    <x v="0"/>
    <x v="12"/>
    <n v="8"/>
    <n v="165.6"/>
    <x v="0"/>
  </r>
  <r>
    <n v="10222"/>
    <x v="58"/>
    <x v="0"/>
    <x v="34"/>
    <n v="35"/>
    <n v="486.5"/>
    <x v="1"/>
  </r>
  <r>
    <n v="10222"/>
    <x v="58"/>
    <x v="0"/>
    <x v="11"/>
    <n v="40"/>
    <n v="608"/>
    <x v="1"/>
  </r>
  <r>
    <n v="10222"/>
    <x v="58"/>
    <x v="0"/>
    <x v="29"/>
    <n v="2"/>
    <n v="31"/>
    <x v="1"/>
  </r>
  <r>
    <n v="10227"/>
    <x v="59"/>
    <x v="0"/>
    <x v="51"/>
    <n v="10"/>
    <n v="62"/>
    <x v="1"/>
  </r>
  <r>
    <n v="10228"/>
    <x v="60"/>
    <x v="0"/>
    <x v="49"/>
    <n v="60"/>
    <n v="816"/>
    <x v="1"/>
  </r>
  <r>
    <n v="10228"/>
    <x v="60"/>
    <x v="0"/>
    <x v="5"/>
    <n v="35"/>
    <n v="350"/>
    <x v="1"/>
  </r>
  <r>
    <n v="10228"/>
    <x v="60"/>
    <x v="0"/>
    <x v="6"/>
    <n v="42"/>
    <n v="604.79999999999995"/>
    <x v="1"/>
  </r>
  <r>
    <n v="10235"/>
    <x v="61"/>
    <x v="0"/>
    <x v="35"/>
    <n v="10"/>
    <n v="147"/>
    <x v="0"/>
  </r>
  <r>
    <n v="10236"/>
    <x v="62"/>
    <x v="0"/>
    <x v="25"/>
    <n v="35"/>
    <n v="392"/>
    <x v="0"/>
  </r>
  <r>
    <n v="10236"/>
    <x v="62"/>
    <x v="0"/>
    <x v="52"/>
    <n v="30"/>
    <n v="312"/>
    <x v="0"/>
  </r>
  <r>
    <n v="10237"/>
    <x v="62"/>
    <x v="0"/>
    <x v="50"/>
    <n v="14"/>
    <n v="112"/>
    <x v="1"/>
  </r>
  <r>
    <n v="10242"/>
    <x v="63"/>
    <x v="0"/>
    <x v="34"/>
    <n v="18"/>
    <n v="250.2"/>
    <x v="1"/>
  </r>
  <r>
    <n v="10243"/>
    <x v="64"/>
    <x v="0"/>
    <x v="5"/>
    <n v="30"/>
    <n v="300"/>
    <x v="1"/>
  </r>
  <r>
    <n v="10243"/>
    <x v="64"/>
    <x v="0"/>
    <x v="51"/>
    <n v="36"/>
    <n v="223.2"/>
    <x v="1"/>
  </r>
  <r>
    <n v="10243"/>
    <x v="64"/>
    <x v="0"/>
    <x v="17"/>
    <n v="60"/>
    <n v="2640"/>
    <x v="1"/>
  </r>
  <r>
    <n v="10250"/>
    <x v="65"/>
    <x v="0"/>
    <x v="14"/>
    <n v="25"/>
    <n v="695"/>
    <x v="0"/>
  </r>
  <r>
    <n v="10251"/>
    <x v="66"/>
    <x v="0"/>
    <x v="2"/>
    <n v="30"/>
    <n v="420"/>
    <x v="0"/>
  </r>
  <r>
    <n v="10251"/>
    <x v="66"/>
    <x v="0"/>
    <x v="53"/>
    <n v="5"/>
    <n v="92"/>
    <x v="0"/>
  </r>
  <r>
    <n v="10251"/>
    <x v="66"/>
    <x v="0"/>
    <x v="54"/>
    <n v="14"/>
    <n v="63"/>
    <x v="0"/>
  </r>
  <r>
    <n v="10256"/>
    <x v="67"/>
    <x v="0"/>
    <x v="55"/>
    <n v="20"/>
    <n v="421"/>
    <x v="0"/>
  </r>
  <r>
    <n v="10256"/>
    <x v="67"/>
    <x v="0"/>
    <x v="56"/>
    <n v="70"/>
    <n v="1627.5"/>
    <x v="0"/>
  </r>
  <r>
    <n v="10257"/>
    <x v="67"/>
    <x v="0"/>
    <x v="57"/>
    <n v="10"/>
    <n v="328"/>
    <x v="5"/>
  </r>
  <r>
    <n v="10257"/>
    <x v="67"/>
    <x v="0"/>
    <x v="58"/>
    <n v="25"/>
    <n v="712.5"/>
    <x v="5"/>
  </r>
  <r>
    <n v="10264"/>
    <x v="68"/>
    <x v="0"/>
    <x v="59"/>
    <n v="50"/>
    <n v="1500"/>
    <x v="0"/>
  </r>
  <r>
    <n v="10264"/>
    <x v="68"/>
    <x v="0"/>
    <x v="60"/>
    <n v="50"/>
    <n v="1100"/>
    <x v="0"/>
  </r>
  <r>
    <n v="10264"/>
    <x v="68"/>
    <x v="0"/>
    <x v="61"/>
    <n v="10"/>
    <n v="400"/>
    <x v="0"/>
  </r>
  <r>
    <n v="10265"/>
    <x v="69"/>
    <x v="0"/>
    <x v="62"/>
    <n v="9"/>
    <n v="108"/>
    <x v="0"/>
  </r>
  <r>
    <n v="10267"/>
    <x v="70"/>
    <x v="0"/>
    <x v="63"/>
    <n v="35"/>
    <n v="1596"/>
    <x v="0"/>
  </r>
  <r>
    <n v="10268"/>
    <x v="71"/>
    <x v="0"/>
    <x v="64"/>
    <n v="16"/>
    <n v="40"/>
    <x v="4"/>
  </r>
  <r>
    <n v="10268"/>
    <x v="71"/>
    <x v="0"/>
    <x v="65"/>
    <n v="50"/>
    <n v="872.5"/>
    <x v="4"/>
  </r>
  <r>
    <n v="10268"/>
    <x v="71"/>
    <x v="0"/>
    <x v="66"/>
    <n v="16"/>
    <n v="1552"/>
    <x v="4"/>
  </r>
  <r>
    <n v="10272"/>
    <x v="72"/>
    <x v="0"/>
    <x v="67"/>
    <n v="40"/>
    <n v="1520"/>
    <x v="0"/>
  </r>
  <r>
    <n v="10272"/>
    <x v="72"/>
    <x v="0"/>
    <x v="68"/>
    <n v="10"/>
    <n v="340"/>
    <x v="0"/>
  </r>
  <r>
    <n v="10272"/>
    <x v="72"/>
    <x v="0"/>
    <x v="69"/>
    <n v="16"/>
    <n v="496"/>
    <x v="0"/>
  </r>
  <r>
    <n v="10273"/>
    <x v="73"/>
    <x v="0"/>
    <x v="54"/>
    <n v="8"/>
    <n v="36"/>
    <x v="4"/>
  </r>
  <r>
    <n v="10276"/>
    <x v="74"/>
    <x v="0"/>
    <x v="70"/>
    <n v="25"/>
    <n v="975"/>
    <x v="1"/>
  </r>
  <r>
    <n v="10277"/>
    <x v="74"/>
    <x v="0"/>
    <x v="71"/>
    <n v="15"/>
    <n v="111.75"/>
    <x v="5"/>
  </r>
  <r>
    <n v="10277"/>
    <x v="74"/>
    <x v="0"/>
    <x v="72"/>
    <n v="60"/>
    <n v="2760"/>
    <x v="5"/>
  </r>
  <r>
    <n v="10278"/>
    <x v="75"/>
    <x v="0"/>
    <x v="73"/>
    <n v="30"/>
    <n v="570"/>
    <x v="1"/>
  </r>
  <r>
    <n v="10278"/>
    <x v="75"/>
    <x v="0"/>
    <x v="53"/>
    <n v="15"/>
    <n v="276"/>
    <x v="1"/>
  </r>
  <r>
    <n v="10283"/>
    <x v="76"/>
    <x v="0"/>
    <x v="70"/>
    <n v="40"/>
    <n v="1560"/>
    <x v="0"/>
  </r>
  <r>
    <n v="10283"/>
    <x v="76"/>
    <x v="0"/>
    <x v="58"/>
    <n v="20"/>
    <n v="570"/>
    <x v="0"/>
  </r>
  <r>
    <n v="10284"/>
    <x v="76"/>
    <x v="0"/>
    <x v="74"/>
    <n v="2"/>
    <n v="110"/>
    <x v="1"/>
  </r>
  <r>
    <n v="10285"/>
    <x v="77"/>
    <x v="0"/>
    <x v="10"/>
    <n v="24"/>
    <n v="408"/>
    <x v="1"/>
  </r>
  <r>
    <n v="10285"/>
    <x v="77"/>
    <x v="0"/>
    <x v="75"/>
    <n v="15"/>
    <n v="388.35"/>
    <x v="1"/>
  </r>
  <r>
    <n v="10290"/>
    <x v="78"/>
    <x v="0"/>
    <x v="76"/>
    <n v="30"/>
    <n v="375"/>
    <x v="5"/>
  </r>
  <r>
    <n v="10290"/>
    <x v="78"/>
    <x v="0"/>
    <x v="77"/>
    <n v="20"/>
    <n v="265"/>
    <x v="5"/>
  </r>
  <r>
    <n v="10290"/>
    <x v="78"/>
    <x v="0"/>
    <x v="0"/>
    <n v="21"/>
    <n v="730.8"/>
    <x v="5"/>
  </r>
  <r>
    <n v="10290"/>
    <x v="78"/>
    <x v="0"/>
    <x v="78"/>
    <n v="6"/>
    <n v="318"/>
    <x v="5"/>
  </r>
  <r>
    <n v="10294"/>
    <x v="79"/>
    <x v="0"/>
    <x v="79"/>
    <n v="9"/>
    <n v="193.5"/>
    <x v="0"/>
  </r>
  <r>
    <n v="10294"/>
    <x v="79"/>
    <x v="0"/>
    <x v="80"/>
    <n v="4"/>
    <n v="1054"/>
    <x v="0"/>
  </r>
  <r>
    <n v="10294"/>
    <x v="79"/>
    <x v="0"/>
    <x v="55"/>
    <n v="36"/>
    <n v="757.8"/>
    <x v="0"/>
  </r>
  <r>
    <n v="10294"/>
    <x v="79"/>
    <x v="0"/>
    <x v="54"/>
    <n v="35"/>
    <n v="157.5"/>
    <x v="0"/>
  </r>
  <r>
    <n v="10299"/>
    <x v="80"/>
    <x v="0"/>
    <x v="81"/>
    <n v="40"/>
    <n v="1972"/>
    <x v="1"/>
  </r>
  <r>
    <n v="10300"/>
    <x v="80"/>
    <x v="0"/>
    <x v="73"/>
    <n v="60"/>
    <n v="1140"/>
    <x v="1"/>
  </r>
  <r>
    <n v="10300"/>
    <x v="80"/>
    <x v="0"/>
    <x v="82"/>
    <n v="24"/>
    <n v="768"/>
    <x v="1"/>
  </r>
  <r>
    <n v="10301"/>
    <x v="81"/>
    <x v="0"/>
    <x v="83"/>
    <n v="14"/>
    <n v="135.1"/>
    <x v="0"/>
  </r>
  <r>
    <n v="10303"/>
    <x v="82"/>
    <x v="0"/>
    <x v="70"/>
    <n v="8"/>
    <n v="312"/>
    <x v="4"/>
  </r>
  <r>
    <n v="10306"/>
    <x v="83"/>
    <x v="0"/>
    <x v="84"/>
    <n v="24"/>
    <n v="504"/>
    <x v="5"/>
  </r>
  <r>
    <n v="10306"/>
    <x v="83"/>
    <x v="0"/>
    <x v="84"/>
    <n v="15"/>
    <n v="315"/>
    <x v="5"/>
  </r>
  <r>
    <n v="10306"/>
    <x v="83"/>
    <x v="0"/>
    <x v="85"/>
    <n v="6"/>
    <n v="108"/>
    <x v="5"/>
  </r>
  <r>
    <n v="10306"/>
    <x v="83"/>
    <x v="0"/>
    <x v="65"/>
    <n v="14"/>
    <n v="244.3"/>
    <x v="5"/>
  </r>
  <r>
    <n v="10308"/>
    <x v="84"/>
    <x v="0"/>
    <x v="78"/>
    <n v="20"/>
    <n v="1060"/>
    <x v="1"/>
  </r>
  <r>
    <n v="10309"/>
    <x v="85"/>
    <x v="0"/>
    <x v="0"/>
    <n v="24"/>
    <n v="835.2"/>
    <x v="0"/>
  </r>
  <r>
    <n v="10310"/>
    <x v="85"/>
    <x v="0"/>
    <x v="86"/>
    <n v="20"/>
    <n v="155"/>
    <x v="0"/>
  </r>
  <r>
    <n v="10310"/>
    <x v="85"/>
    <x v="0"/>
    <x v="87"/>
    <n v="30"/>
    <n v="997.5"/>
    <x v="0"/>
  </r>
  <r>
    <n v="10317"/>
    <x v="86"/>
    <x v="0"/>
    <x v="70"/>
    <n v="16"/>
    <n v="624"/>
    <x v="5"/>
  </r>
  <r>
    <n v="10320"/>
    <x v="87"/>
    <x v="0"/>
    <x v="74"/>
    <n v="40"/>
    <n v="2200"/>
    <x v="0"/>
  </r>
  <r>
    <n v="10321"/>
    <x v="88"/>
    <x v="0"/>
    <x v="69"/>
    <n v="5"/>
    <n v="155"/>
    <x v="5"/>
  </r>
  <r>
    <n v="10322"/>
    <x v="89"/>
    <x v="0"/>
    <x v="76"/>
    <n v="35"/>
    <n v="437.5"/>
    <x v="0"/>
  </r>
  <r>
    <n v="10322"/>
    <x v="89"/>
    <x v="0"/>
    <x v="85"/>
    <n v="30"/>
    <n v="540"/>
    <x v="0"/>
  </r>
  <r>
    <n v="10326"/>
    <x v="90"/>
    <x v="0"/>
    <x v="70"/>
    <n v="18"/>
    <n v="702"/>
    <x v="4"/>
  </r>
  <r>
    <n v="10327"/>
    <x v="90"/>
    <x v="0"/>
    <x v="81"/>
    <n v="10"/>
    <n v="493"/>
    <x v="0"/>
  </r>
  <r>
    <n v="10328"/>
    <x v="91"/>
    <x v="0"/>
    <x v="85"/>
    <n v="10"/>
    <n v="180"/>
    <x v="1"/>
  </r>
  <r>
    <n v="10328"/>
    <x v="91"/>
    <x v="0"/>
    <x v="0"/>
    <n v="30"/>
    <n v="1044"/>
    <x v="1"/>
  </r>
  <r>
    <n v="10328"/>
    <x v="91"/>
    <x v="0"/>
    <x v="74"/>
    <n v="12"/>
    <n v="660"/>
    <x v="1"/>
  </r>
  <r>
    <n v="10334"/>
    <x v="92"/>
    <x v="0"/>
    <x v="86"/>
    <n v="50"/>
    <n v="387.5"/>
    <x v="0"/>
  </r>
  <r>
    <n v="10335"/>
    <x v="93"/>
    <x v="0"/>
    <x v="85"/>
    <n v="14"/>
    <n v="252"/>
    <x v="5"/>
  </r>
  <r>
    <n v="10335"/>
    <x v="93"/>
    <x v="0"/>
    <x v="88"/>
    <n v="4"/>
    <n v="78"/>
    <x v="5"/>
  </r>
  <r>
    <n v="10336"/>
    <x v="94"/>
    <x v="0"/>
    <x v="89"/>
    <n v="10"/>
    <n v="1237.9000000000001"/>
    <x v="0"/>
  </r>
  <r>
    <n v="10344"/>
    <x v="95"/>
    <x v="0"/>
    <x v="59"/>
    <n v="10"/>
    <n v="300"/>
    <x v="5"/>
  </r>
  <r>
    <n v="10344"/>
    <x v="95"/>
    <x v="0"/>
    <x v="5"/>
    <n v="14"/>
    <n v="140"/>
    <x v="5"/>
  </r>
  <r>
    <n v="10345"/>
    <x v="96"/>
    <x v="0"/>
    <x v="29"/>
    <n v="25"/>
    <n v="387.5"/>
    <x v="1"/>
  </r>
  <r>
    <n v="10345"/>
    <x v="96"/>
    <x v="0"/>
    <x v="90"/>
    <n v="5"/>
    <n v="156.15"/>
    <x v="1"/>
  </r>
  <r>
    <n v="10350"/>
    <x v="97"/>
    <x v="0"/>
    <x v="54"/>
    <n v="35"/>
    <n v="157.5"/>
    <x v="0"/>
  </r>
  <r>
    <n v="10350"/>
    <x v="97"/>
    <x v="0"/>
    <x v="88"/>
    <n v="20"/>
    <n v="390"/>
    <x v="0"/>
  </r>
  <r>
    <n v="10350"/>
    <x v="97"/>
    <x v="0"/>
    <x v="55"/>
    <n v="12"/>
    <n v="252.6"/>
    <x v="0"/>
  </r>
  <r>
    <n v="10351"/>
    <x v="98"/>
    <x v="0"/>
    <x v="79"/>
    <n v="9"/>
    <n v="193.5"/>
    <x v="5"/>
  </r>
  <r>
    <n v="10358"/>
    <x v="99"/>
    <x v="0"/>
    <x v="65"/>
    <n v="30"/>
    <n v="523.5"/>
    <x v="1"/>
  </r>
  <r>
    <n v="10359"/>
    <x v="100"/>
    <x v="0"/>
    <x v="60"/>
    <n v="20"/>
    <n v="440"/>
    <x v="3"/>
  </r>
  <r>
    <n v="10359"/>
    <x v="100"/>
    <x v="0"/>
    <x v="91"/>
    <n v="20"/>
    <n v="480"/>
    <x v="3"/>
  </r>
  <r>
    <n v="10359"/>
    <x v="100"/>
    <x v="0"/>
    <x v="81"/>
    <n v="10"/>
    <n v="493"/>
    <x v="3"/>
  </r>
  <r>
    <n v="10365"/>
    <x v="101"/>
    <x v="0"/>
    <x v="73"/>
    <n v="55"/>
    <n v="1045"/>
    <x v="0"/>
  </r>
  <r>
    <n v="10365"/>
    <x v="101"/>
    <x v="0"/>
    <x v="92"/>
    <n v="18"/>
    <n v="360"/>
    <x v="0"/>
  </r>
  <r>
    <n v="10365"/>
    <x v="101"/>
    <x v="0"/>
    <x v="85"/>
    <n v="80"/>
    <n v="1440"/>
    <x v="0"/>
  </r>
  <r>
    <n v="10365"/>
    <x v="101"/>
    <x v="0"/>
    <x v="69"/>
    <n v="70"/>
    <n v="2170"/>
    <x v="0"/>
  </r>
  <r>
    <n v="10371"/>
    <x v="102"/>
    <x v="0"/>
    <x v="76"/>
    <n v="15"/>
    <n v="187.5"/>
    <x v="1"/>
  </r>
  <r>
    <n v="10371"/>
    <x v="102"/>
    <x v="0"/>
    <x v="67"/>
    <n v="20"/>
    <n v="760"/>
    <x v="1"/>
  </r>
  <r>
    <n v="10371"/>
    <x v="102"/>
    <x v="0"/>
    <x v="93"/>
    <n v="70"/>
    <n v="1750"/>
    <x v="1"/>
  </r>
  <r>
    <n v="10372"/>
    <x v="103"/>
    <x v="0"/>
    <x v="84"/>
    <n v="40"/>
    <n v="840"/>
    <x v="1"/>
  </r>
  <r>
    <n v="10377"/>
    <x v="104"/>
    <x v="0"/>
    <x v="89"/>
    <n v="6"/>
    <n v="742.74"/>
    <x v="5"/>
  </r>
  <r>
    <n v="10377"/>
    <x v="104"/>
    <x v="0"/>
    <x v="63"/>
    <n v="10"/>
    <n v="456"/>
    <x v="5"/>
  </r>
  <r>
    <n v="10377"/>
    <x v="104"/>
    <x v="0"/>
    <x v="94"/>
    <n v="10"/>
    <n v="194.5"/>
    <x v="5"/>
  </r>
  <r>
    <n v="10378"/>
    <x v="105"/>
    <x v="0"/>
    <x v="2"/>
    <n v="5"/>
    <n v="70"/>
    <x v="0"/>
  </r>
  <r>
    <n v="10385"/>
    <x v="106"/>
    <x v="0"/>
    <x v="73"/>
    <n v="30"/>
    <n v="570"/>
    <x v="0"/>
  </r>
  <r>
    <n v="10386"/>
    <x v="107"/>
    <x v="0"/>
    <x v="67"/>
    <n v="36"/>
    <n v="1368"/>
    <x v="0"/>
  </r>
  <r>
    <n v="10386"/>
    <x v="107"/>
    <x v="0"/>
    <x v="90"/>
    <n v="35"/>
    <n v="1093.05"/>
    <x v="0"/>
  </r>
  <r>
    <n v="10386"/>
    <x v="107"/>
    <x v="0"/>
    <x v="81"/>
    <n v="80"/>
    <n v="3944"/>
    <x v="0"/>
  </r>
  <r>
    <n v="10391"/>
    <x v="108"/>
    <x v="0"/>
    <x v="0"/>
    <n v="60"/>
    <n v="2088"/>
    <x v="0"/>
  </r>
  <r>
    <n v="10391"/>
    <x v="108"/>
    <x v="0"/>
    <x v="95"/>
    <n v="20"/>
    <n v="190"/>
    <x v="0"/>
  </r>
  <r>
    <n v="10392"/>
    <x v="108"/>
    <x v="0"/>
    <x v="96"/>
    <n v="8"/>
    <n v="500"/>
    <x v="0"/>
  </r>
  <r>
    <n v="10393"/>
    <x v="109"/>
    <x v="0"/>
    <x v="97"/>
    <n v="15"/>
    <n v="225"/>
    <x v="5"/>
  </r>
  <r>
    <n v="10399"/>
    <x v="110"/>
    <x v="0"/>
    <x v="45"/>
    <n v="35"/>
    <n v="455"/>
    <x v="0"/>
  </r>
  <r>
    <n v="10399"/>
    <x v="110"/>
    <x v="0"/>
    <x v="69"/>
    <n v="18"/>
    <n v="558"/>
    <x v="0"/>
  </r>
  <r>
    <n v="10399"/>
    <x v="110"/>
    <x v="0"/>
    <x v="85"/>
    <n v="15"/>
    <n v="270"/>
    <x v="0"/>
  </r>
  <r>
    <n v="10400"/>
    <x v="110"/>
    <x v="0"/>
    <x v="85"/>
    <n v="20"/>
    <n v="360"/>
    <x v="1"/>
  </r>
  <r>
    <n v="10407"/>
    <x v="111"/>
    <x v="0"/>
    <x v="85"/>
    <n v="20"/>
    <n v="360"/>
    <x v="1"/>
  </r>
  <r>
    <n v="10407"/>
    <x v="111"/>
    <x v="0"/>
    <x v="71"/>
    <n v="6"/>
    <n v="44.7"/>
    <x v="1"/>
  </r>
  <r>
    <n v="10407"/>
    <x v="111"/>
    <x v="0"/>
    <x v="60"/>
    <n v="12"/>
    <n v="264"/>
    <x v="1"/>
  </r>
  <r>
    <n v="10408"/>
    <x v="112"/>
    <x v="0"/>
    <x v="83"/>
    <n v="20"/>
    <n v="193"/>
    <x v="0"/>
  </r>
  <r>
    <n v="10412"/>
    <x v="113"/>
    <x v="0"/>
    <x v="97"/>
    <n v="40"/>
    <n v="600"/>
    <x v="0"/>
  </r>
  <r>
    <n v="10412"/>
    <x v="113"/>
    <x v="0"/>
    <x v="76"/>
    <n v="20"/>
    <n v="250"/>
    <x v="0"/>
  </r>
  <r>
    <n v="10413"/>
    <x v="114"/>
    <x v="0"/>
    <x v="98"/>
    <n v="21"/>
    <n v="1701"/>
    <x v="0"/>
  </r>
  <r>
    <n v="10414"/>
    <x v="115"/>
    <x v="0"/>
    <x v="85"/>
    <n v="3"/>
    <n v="54"/>
    <x v="4"/>
  </r>
  <r>
    <n v="10420"/>
    <x v="116"/>
    <x v="0"/>
    <x v="99"/>
    <n v="45"/>
    <n v="1620"/>
    <x v="0"/>
  </r>
  <r>
    <n v="10421"/>
    <x v="117"/>
    <x v="0"/>
    <x v="91"/>
    <n v="4"/>
    <n v="96"/>
    <x v="0"/>
  </r>
  <r>
    <n v="10421"/>
    <x v="117"/>
    <x v="0"/>
    <x v="87"/>
    <n v="15"/>
    <n v="498.75"/>
    <x v="0"/>
  </r>
  <r>
    <n v="10421"/>
    <x v="117"/>
    <x v="0"/>
    <x v="76"/>
    <n v="8"/>
    <n v="100"/>
    <x v="0"/>
  </r>
  <r>
    <n v="10427"/>
    <x v="118"/>
    <x v="0"/>
    <x v="100"/>
    <n v="5"/>
    <n v="45"/>
    <x v="3"/>
  </r>
  <r>
    <n v="10428"/>
    <x v="119"/>
    <x v="0"/>
    <x v="77"/>
    <n v="30"/>
    <n v="397.5"/>
    <x v="1"/>
  </r>
  <r>
    <n v="10428"/>
    <x v="119"/>
    <x v="0"/>
    <x v="57"/>
    <n v="10"/>
    <n v="328"/>
    <x v="1"/>
  </r>
  <r>
    <n v="10428"/>
    <x v="119"/>
    <x v="0"/>
    <x v="56"/>
    <n v="30"/>
    <n v="697.5"/>
    <x v="1"/>
  </r>
  <r>
    <n v="10433"/>
    <x v="120"/>
    <x v="0"/>
    <x v="2"/>
    <n v="40"/>
    <n v="560"/>
    <x v="0"/>
  </r>
  <r>
    <n v="10433"/>
    <x v="120"/>
    <x v="0"/>
    <x v="65"/>
    <n v="50"/>
    <n v="872.5"/>
    <x v="0"/>
  </r>
  <r>
    <n v="10434"/>
    <x v="121"/>
    <x v="0"/>
    <x v="101"/>
    <n v="30"/>
    <n v="276"/>
    <x v="1"/>
  </r>
  <r>
    <n v="10434"/>
    <x v="121"/>
    <x v="0"/>
    <x v="5"/>
    <n v="12"/>
    <n v="120"/>
    <x v="1"/>
  </r>
  <r>
    <n v="10002"/>
    <x v="1"/>
    <x v="1"/>
    <x v="28"/>
    <n v="40"/>
    <n v="1696"/>
    <x v="1"/>
  </r>
  <r>
    <n v="10003"/>
    <x v="122"/>
    <x v="1"/>
    <x v="13"/>
    <n v="10"/>
    <n v="77"/>
    <x v="0"/>
  </r>
  <r>
    <n v="10003"/>
    <x v="122"/>
    <x v="1"/>
    <x v="28"/>
    <n v="35"/>
    <n v="1484"/>
    <x v="0"/>
  </r>
  <r>
    <n v="10007"/>
    <x v="3"/>
    <x v="1"/>
    <x v="43"/>
    <n v="21"/>
    <n v="403.2"/>
    <x v="2"/>
  </r>
  <r>
    <n v="10007"/>
    <x v="3"/>
    <x v="1"/>
    <x v="50"/>
    <n v="21"/>
    <n v="168"/>
    <x v="2"/>
  </r>
  <r>
    <n v="10008"/>
    <x v="123"/>
    <x v="1"/>
    <x v="11"/>
    <n v="25"/>
    <n v="380"/>
    <x v="0"/>
  </r>
  <r>
    <n v="10012"/>
    <x v="124"/>
    <x v="1"/>
    <x v="50"/>
    <n v="10"/>
    <n v="80"/>
    <x v="1"/>
  </r>
  <r>
    <n v="10012"/>
    <x v="124"/>
    <x v="1"/>
    <x v="102"/>
    <n v="1"/>
    <n v="20.8"/>
    <x v="1"/>
  </r>
  <r>
    <n v="10013"/>
    <x v="125"/>
    <x v="1"/>
    <x v="62"/>
    <n v="21"/>
    <n v="252"/>
    <x v="0"/>
  </r>
  <r>
    <n v="10018"/>
    <x v="126"/>
    <x v="1"/>
    <x v="21"/>
    <n v="30"/>
    <n v="936"/>
    <x v="2"/>
  </r>
  <r>
    <n v="10018"/>
    <x v="126"/>
    <x v="1"/>
    <x v="62"/>
    <n v="20"/>
    <n v="240"/>
    <x v="2"/>
  </r>
  <r>
    <n v="10019"/>
    <x v="127"/>
    <x v="1"/>
    <x v="31"/>
    <n v="12"/>
    <n v="364.8"/>
    <x v="0"/>
  </r>
  <r>
    <n v="10025"/>
    <x v="128"/>
    <x v="1"/>
    <x v="5"/>
    <n v="40"/>
    <n v="400"/>
    <x v="0"/>
  </r>
  <r>
    <n v="10025"/>
    <x v="128"/>
    <x v="1"/>
    <x v="30"/>
    <n v="6"/>
    <n v="388.8"/>
    <x v="0"/>
  </r>
  <r>
    <n v="10025"/>
    <x v="128"/>
    <x v="1"/>
    <x v="14"/>
    <n v="24"/>
    <n v="667.2"/>
    <x v="0"/>
  </r>
  <r>
    <n v="10030"/>
    <x v="12"/>
    <x v="1"/>
    <x v="47"/>
    <n v="12"/>
    <n v="472.8"/>
    <x v="1"/>
  </r>
  <r>
    <n v="10031"/>
    <x v="129"/>
    <x v="1"/>
    <x v="17"/>
    <n v="15"/>
    <n v="660"/>
    <x v="1"/>
  </r>
  <r>
    <n v="10031"/>
    <x v="129"/>
    <x v="1"/>
    <x v="8"/>
    <n v="8"/>
    <n v="280.8"/>
    <x v="1"/>
  </r>
  <r>
    <n v="10037"/>
    <x v="130"/>
    <x v="1"/>
    <x v="8"/>
    <n v="15"/>
    <n v="526.5"/>
    <x v="1"/>
  </r>
  <r>
    <n v="10037"/>
    <x v="130"/>
    <x v="1"/>
    <x v="23"/>
    <n v="20"/>
    <n v="544"/>
    <x v="1"/>
  </r>
  <r>
    <n v="10037"/>
    <x v="130"/>
    <x v="1"/>
    <x v="29"/>
    <n v="21"/>
    <n v="325.5"/>
    <x v="1"/>
  </r>
  <r>
    <n v="10042"/>
    <x v="131"/>
    <x v="1"/>
    <x v="44"/>
    <n v="9"/>
    <n v="239.4"/>
    <x v="1"/>
  </r>
  <r>
    <n v="10042"/>
    <x v="131"/>
    <x v="1"/>
    <x v="50"/>
    <n v="30"/>
    <n v="240"/>
    <x v="1"/>
  </r>
  <r>
    <n v="10043"/>
    <x v="17"/>
    <x v="1"/>
    <x v="4"/>
    <n v="15"/>
    <n v="240"/>
    <x v="5"/>
  </r>
  <r>
    <n v="10046"/>
    <x v="19"/>
    <x v="1"/>
    <x v="36"/>
    <n v="12"/>
    <n v="600"/>
    <x v="1"/>
  </r>
  <r>
    <n v="10046"/>
    <x v="19"/>
    <x v="1"/>
    <x v="7"/>
    <n v="10"/>
    <n v="36"/>
    <x v="1"/>
  </r>
  <r>
    <n v="10046"/>
    <x v="19"/>
    <x v="1"/>
    <x v="51"/>
    <n v="6"/>
    <n v="37.200000000000003"/>
    <x v="1"/>
  </r>
  <r>
    <n v="10050"/>
    <x v="132"/>
    <x v="1"/>
    <x v="14"/>
    <n v="20"/>
    <n v="556"/>
    <x v="3"/>
  </r>
  <r>
    <n v="10050"/>
    <x v="132"/>
    <x v="1"/>
    <x v="6"/>
    <n v="60"/>
    <n v="864"/>
    <x v="3"/>
  </r>
  <r>
    <n v="10051"/>
    <x v="133"/>
    <x v="1"/>
    <x v="11"/>
    <n v="40"/>
    <n v="608"/>
    <x v="0"/>
  </r>
  <r>
    <n v="10055"/>
    <x v="24"/>
    <x v="1"/>
    <x v="21"/>
    <n v="40"/>
    <n v="1248"/>
    <x v="1"/>
  </r>
  <r>
    <n v="10056"/>
    <x v="134"/>
    <x v="1"/>
    <x v="35"/>
    <n v="40"/>
    <n v="588"/>
    <x v="1"/>
  </r>
  <r>
    <n v="10056"/>
    <x v="134"/>
    <x v="1"/>
    <x v="33"/>
    <n v="30"/>
    <n v="504"/>
    <x v="1"/>
  </r>
  <r>
    <n v="10059"/>
    <x v="26"/>
    <x v="1"/>
    <x v="27"/>
    <n v="5"/>
    <n v="29.5"/>
    <x v="0"/>
  </r>
  <r>
    <n v="10060"/>
    <x v="135"/>
    <x v="1"/>
    <x v="5"/>
    <n v="3"/>
    <n v="30"/>
    <x v="1"/>
  </r>
  <r>
    <n v="10060"/>
    <x v="135"/>
    <x v="1"/>
    <x v="47"/>
    <n v="10"/>
    <n v="394"/>
    <x v="1"/>
  </r>
  <r>
    <n v="10076"/>
    <x v="30"/>
    <x v="1"/>
    <x v="25"/>
    <n v="4"/>
    <n v="44.8"/>
    <x v="0"/>
  </r>
  <r>
    <n v="10076"/>
    <x v="30"/>
    <x v="1"/>
    <x v="22"/>
    <n v="5"/>
    <n v="62"/>
    <x v="0"/>
  </r>
  <r>
    <n v="10077"/>
    <x v="136"/>
    <x v="1"/>
    <x v="8"/>
    <n v="80"/>
    <n v="2808"/>
    <x v="5"/>
  </r>
  <r>
    <n v="10081"/>
    <x v="137"/>
    <x v="1"/>
    <x v="5"/>
    <n v="10"/>
    <n v="100"/>
    <x v="0"/>
  </r>
  <r>
    <n v="10081"/>
    <x v="137"/>
    <x v="1"/>
    <x v="33"/>
    <n v="40"/>
    <n v="672"/>
    <x v="0"/>
  </r>
  <r>
    <n v="10081"/>
    <x v="137"/>
    <x v="1"/>
    <x v="17"/>
    <n v="9"/>
    <n v="396"/>
    <x v="0"/>
  </r>
  <r>
    <n v="10088"/>
    <x v="138"/>
    <x v="1"/>
    <x v="28"/>
    <n v="48"/>
    <n v="2035.2"/>
    <x v="4"/>
  </r>
  <r>
    <n v="10091"/>
    <x v="33"/>
    <x v="1"/>
    <x v="21"/>
    <n v="20"/>
    <n v="624"/>
    <x v="0"/>
  </r>
  <r>
    <n v="10092"/>
    <x v="139"/>
    <x v="1"/>
    <x v="47"/>
    <n v="28"/>
    <n v="1103.2"/>
    <x v="0"/>
  </r>
  <r>
    <n v="10092"/>
    <x v="139"/>
    <x v="1"/>
    <x v="21"/>
    <n v="70"/>
    <n v="2184"/>
    <x v="0"/>
  </r>
  <r>
    <n v="10096"/>
    <x v="35"/>
    <x v="1"/>
    <x v="6"/>
    <n v="15"/>
    <n v="216"/>
    <x v="0"/>
  </r>
  <r>
    <n v="10097"/>
    <x v="140"/>
    <x v="1"/>
    <x v="103"/>
    <n v="35"/>
    <n v="616"/>
    <x v="0"/>
  </r>
  <r>
    <n v="10097"/>
    <x v="140"/>
    <x v="1"/>
    <x v="82"/>
    <n v="70"/>
    <n v="2240"/>
    <x v="0"/>
  </r>
  <r>
    <n v="10104"/>
    <x v="38"/>
    <x v="1"/>
    <x v="29"/>
    <n v="77"/>
    <n v="1193.5"/>
    <x v="1"/>
  </r>
  <r>
    <n v="10104"/>
    <x v="38"/>
    <x v="1"/>
    <x v="48"/>
    <n v="20"/>
    <n v="4216"/>
    <x v="1"/>
  </r>
  <r>
    <n v="10104"/>
    <x v="38"/>
    <x v="1"/>
    <x v="33"/>
    <n v="10"/>
    <n v="168"/>
    <x v="1"/>
  </r>
  <r>
    <n v="10113"/>
    <x v="39"/>
    <x v="1"/>
    <x v="48"/>
    <n v="10"/>
    <n v="2108"/>
    <x v="1"/>
  </r>
  <r>
    <n v="10114"/>
    <x v="39"/>
    <x v="1"/>
    <x v="6"/>
    <n v="54"/>
    <n v="777.6"/>
    <x v="4"/>
  </r>
  <r>
    <n v="10114"/>
    <x v="39"/>
    <x v="1"/>
    <x v="23"/>
    <n v="55"/>
    <n v="1496"/>
    <x v="4"/>
  </r>
  <r>
    <n v="10115"/>
    <x v="141"/>
    <x v="1"/>
    <x v="28"/>
    <n v="20"/>
    <n v="848"/>
    <x v="0"/>
  </r>
  <r>
    <n v="10128"/>
    <x v="142"/>
    <x v="1"/>
    <x v="3"/>
    <n v="15"/>
    <n v="279"/>
    <x v="1"/>
  </r>
  <r>
    <n v="10128"/>
    <x v="142"/>
    <x v="1"/>
    <x v="27"/>
    <n v="10"/>
    <n v="59"/>
    <x v="1"/>
  </r>
  <r>
    <n v="10129"/>
    <x v="143"/>
    <x v="1"/>
    <x v="5"/>
    <n v="42"/>
    <n v="420"/>
    <x v="0"/>
  </r>
  <r>
    <n v="10141"/>
    <x v="144"/>
    <x v="1"/>
    <x v="39"/>
    <n v="20"/>
    <n v="112"/>
    <x v="1"/>
  </r>
  <r>
    <n v="10141"/>
    <x v="144"/>
    <x v="1"/>
    <x v="104"/>
    <n v="15"/>
    <n v="114"/>
    <x v="1"/>
  </r>
  <r>
    <n v="10141"/>
    <x v="144"/>
    <x v="1"/>
    <x v="37"/>
    <n v="40"/>
    <n v="1048"/>
    <x v="1"/>
  </r>
  <r>
    <n v="10150"/>
    <x v="145"/>
    <x v="1"/>
    <x v="28"/>
    <n v="18"/>
    <n v="763.2"/>
    <x v="0"/>
  </r>
  <r>
    <n v="10153"/>
    <x v="43"/>
    <x v="1"/>
    <x v="46"/>
    <n v="21"/>
    <n v="2079"/>
    <x v="1"/>
  </r>
  <r>
    <n v="10154"/>
    <x v="43"/>
    <x v="1"/>
    <x v="12"/>
    <n v="18"/>
    <n v="372.6"/>
    <x v="4"/>
  </r>
  <r>
    <n v="10154"/>
    <x v="43"/>
    <x v="1"/>
    <x v="31"/>
    <n v="70"/>
    <n v="2128"/>
    <x v="4"/>
  </r>
  <r>
    <n v="10166"/>
    <x v="46"/>
    <x v="1"/>
    <x v="6"/>
    <n v="24"/>
    <n v="345.6"/>
    <x v="5"/>
  </r>
  <r>
    <n v="10166"/>
    <x v="46"/>
    <x v="1"/>
    <x v="6"/>
    <n v="14"/>
    <n v="201.6"/>
    <x v="5"/>
  </r>
  <r>
    <n v="10167"/>
    <x v="46"/>
    <x v="1"/>
    <x v="16"/>
    <n v="50"/>
    <n v="100"/>
    <x v="3"/>
  </r>
  <r>
    <n v="10178"/>
    <x v="146"/>
    <x v="1"/>
    <x v="6"/>
    <n v="20"/>
    <n v="288"/>
    <x v="5"/>
  </r>
  <r>
    <n v="10178"/>
    <x v="146"/>
    <x v="1"/>
    <x v="43"/>
    <n v="10"/>
    <n v="192"/>
    <x v="5"/>
  </r>
  <r>
    <n v="10179"/>
    <x v="147"/>
    <x v="1"/>
    <x v="31"/>
    <n v="5"/>
    <n v="152"/>
    <x v="3"/>
  </r>
  <r>
    <n v="10197"/>
    <x v="51"/>
    <x v="1"/>
    <x v="13"/>
    <n v="30"/>
    <n v="231"/>
    <x v="1"/>
  </r>
  <r>
    <n v="10197"/>
    <x v="51"/>
    <x v="1"/>
    <x v="41"/>
    <n v="15"/>
    <n v="373.5"/>
    <x v="1"/>
  </r>
  <r>
    <n v="10197"/>
    <x v="51"/>
    <x v="1"/>
    <x v="21"/>
    <n v="10"/>
    <n v="312"/>
    <x v="1"/>
  </r>
  <r>
    <n v="10204"/>
    <x v="53"/>
    <x v="1"/>
    <x v="44"/>
    <n v="35"/>
    <n v="931"/>
    <x v="4"/>
  </r>
  <r>
    <n v="10204"/>
    <x v="53"/>
    <x v="1"/>
    <x v="33"/>
    <n v="28"/>
    <n v="470.4"/>
    <x v="4"/>
  </r>
  <r>
    <n v="10204"/>
    <x v="53"/>
    <x v="1"/>
    <x v="52"/>
    <n v="55"/>
    <n v="572"/>
    <x v="4"/>
  </r>
  <r>
    <n v="10216"/>
    <x v="56"/>
    <x v="1"/>
    <x v="24"/>
    <n v="21"/>
    <n v="153.30000000000001"/>
    <x v="4"/>
  </r>
  <r>
    <n v="10217"/>
    <x v="56"/>
    <x v="1"/>
    <x v="15"/>
    <n v="3"/>
    <n v="110.4"/>
    <x v="1"/>
  </r>
  <r>
    <n v="10217"/>
    <x v="56"/>
    <x v="1"/>
    <x v="103"/>
    <n v="16"/>
    <n v="281.60000000000002"/>
    <x v="1"/>
  </r>
  <r>
    <n v="10223"/>
    <x v="148"/>
    <x v="1"/>
    <x v="42"/>
    <n v="15"/>
    <n v="108"/>
    <x v="0"/>
  </r>
  <r>
    <n v="10223"/>
    <x v="148"/>
    <x v="1"/>
    <x v="44"/>
    <n v="8"/>
    <n v="212.8"/>
    <x v="0"/>
  </r>
  <r>
    <n v="10223"/>
    <x v="148"/>
    <x v="1"/>
    <x v="36"/>
    <n v="30"/>
    <n v="1500"/>
    <x v="0"/>
  </r>
  <r>
    <n v="10225"/>
    <x v="149"/>
    <x v="1"/>
    <x v="28"/>
    <n v="18"/>
    <n v="763.2"/>
    <x v="1"/>
  </r>
  <r>
    <n v="10229"/>
    <x v="150"/>
    <x v="1"/>
    <x v="62"/>
    <n v="12"/>
    <n v="144"/>
    <x v="1"/>
  </r>
  <r>
    <n v="10229"/>
    <x v="150"/>
    <x v="1"/>
    <x v="43"/>
    <n v="2"/>
    <n v="38.4"/>
    <x v="1"/>
  </r>
  <r>
    <n v="10230"/>
    <x v="150"/>
    <x v="1"/>
    <x v="6"/>
    <n v="20"/>
    <n v="288"/>
    <x v="1"/>
  </r>
  <r>
    <n v="10237"/>
    <x v="62"/>
    <x v="1"/>
    <x v="28"/>
    <n v="3"/>
    <n v="127.2"/>
    <x v="1"/>
  </r>
  <r>
    <n v="10237"/>
    <x v="62"/>
    <x v="1"/>
    <x v="35"/>
    <n v="10"/>
    <n v="147"/>
    <x v="1"/>
  </r>
  <r>
    <n v="10238"/>
    <x v="151"/>
    <x v="1"/>
    <x v="62"/>
    <n v="60"/>
    <n v="720"/>
    <x v="0"/>
  </r>
  <r>
    <n v="10239"/>
    <x v="152"/>
    <x v="1"/>
    <x v="28"/>
    <n v="25"/>
    <n v="1060"/>
    <x v="4"/>
  </r>
  <r>
    <n v="10244"/>
    <x v="64"/>
    <x v="1"/>
    <x v="52"/>
    <n v="7"/>
    <n v="72.8"/>
    <x v="1"/>
  </r>
  <r>
    <n v="10244"/>
    <x v="64"/>
    <x v="1"/>
    <x v="29"/>
    <n v="15"/>
    <n v="232.5"/>
    <x v="1"/>
  </r>
  <r>
    <n v="10245"/>
    <x v="153"/>
    <x v="1"/>
    <x v="25"/>
    <n v="60"/>
    <n v="672"/>
    <x v="0"/>
  </r>
  <r>
    <n v="10252"/>
    <x v="154"/>
    <x v="1"/>
    <x v="92"/>
    <n v="25"/>
    <n v="500"/>
    <x v="0"/>
  </r>
  <r>
    <n v="10252"/>
    <x v="154"/>
    <x v="1"/>
    <x v="63"/>
    <n v="20"/>
    <n v="912"/>
    <x v="0"/>
  </r>
  <r>
    <n v="10253"/>
    <x v="155"/>
    <x v="1"/>
    <x v="63"/>
    <n v="8"/>
    <n v="364.8"/>
    <x v="3"/>
  </r>
  <r>
    <n v="10257"/>
    <x v="67"/>
    <x v="1"/>
    <x v="73"/>
    <n v="12"/>
    <n v="228"/>
    <x v="5"/>
  </r>
  <r>
    <n v="10257"/>
    <x v="67"/>
    <x v="1"/>
    <x v="5"/>
    <n v="12"/>
    <n v="120"/>
    <x v="5"/>
  </r>
  <r>
    <n v="10258"/>
    <x v="156"/>
    <x v="1"/>
    <x v="81"/>
    <n v="3"/>
    <n v="147.9"/>
    <x v="1"/>
  </r>
  <r>
    <n v="10265"/>
    <x v="69"/>
    <x v="1"/>
    <x v="95"/>
    <n v="6"/>
    <n v="57"/>
    <x v="0"/>
  </r>
  <r>
    <n v="10265"/>
    <x v="69"/>
    <x v="1"/>
    <x v="54"/>
    <n v="10"/>
    <n v="45"/>
    <x v="0"/>
  </r>
  <r>
    <n v="10265"/>
    <x v="69"/>
    <x v="1"/>
    <x v="68"/>
    <n v="12"/>
    <n v="408"/>
    <x v="0"/>
  </r>
  <r>
    <n v="10268"/>
    <x v="71"/>
    <x v="1"/>
    <x v="68"/>
    <n v="84"/>
    <n v="2856"/>
    <x v="4"/>
  </r>
  <r>
    <n v="10268"/>
    <x v="71"/>
    <x v="1"/>
    <x v="105"/>
    <n v="120"/>
    <n v="5268"/>
    <x v="4"/>
  </r>
  <r>
    <n v="10269"/>
    <x v="157"/>
    <x v="1"/>
    <x v="2"/>
    <n v="20"/>
    <n v="280"/>
    <x v="3"/>
  </r>
  <r>
    <n v="10273"/>
    <x v="73"/>
    <x v="1"/>
    <x v="57"/>
    <n v="5"/>
    <n v="164"/>
    <x v="4"/>
  </r>
  <r>
    <n v="10274"/>
    <x v="73"/>
    <x v="1"/>
    <x v="85"/>
    <n v="3"/>
    <n v="54"/>
    <x v="0"/>
  </r>
  <r>
    <n v="10274"/>
    <x v="73"/>
    <x v="1"/>
    <x v="83"/>
    <n v="10"/>
    <n v="96.5"/>
    <x v="0"/>
  </r>
  <r>
    <n v="10279"/>
    <x v="158"/>
    <x v="1"/>
    <x v="106"/>
    <n v="10"/>
    <n v="60"/>
    <x v="0"/>
  </r>
  <r>
    <n v="10279"/>
    <x v="158"/>
    <x v="1"/>
    <x v="85"/>
    <n v="8"/>
    <n v="144"/>
    <x v="0"/>
  </r>
  <r>
    <n v="10279"/>
    <x v="158"/>
    <x v="1"/>
    <x v="67"/>
    <n v="30"/>
    <n v="1140"/>
    <x v="0"/>
  </r>
  <r>
    <n v="10286"/>
    <x v="159"/>
    <x v="1"/>
    <x v="0"/>
    <n v="24"/>
    <n v="835.2"/>
    <x v="5"/>
  </r>
  <r>
    <n v="10286"/>
    <x v="159"/>
    <x v="1"/>
    <x v="60"/>
    <n v="50"/>
    <n v="1100"/>
    <x v="5"/>
  </r>
  <r>
    <n v="10286"/>
    <x v="159"/>
    <x v="1"/>
    <x v="97"/>
    <n v="24"/>
    <n v="360"/>
    <x v="5"/>
  </r>
  <r>
    <n v="10290"/>
    <x v="78"/>
    <x v="1"/>
    <x v="97"/>
    <n v="9"/>
    <n v="135"/>
    <x v="5"/>
  </r>
  <r>
    <n v="10291"/>
    <x v="160"/>
    <x v="1"/>
    <x v="97"/>
    <n v="7"/>
    <n v="105"/>
    <x v="1"/>
  </r>
  <r>
    <n v="10291"/>
    <x v="160"/>
    <x v="1"/>
    <x v="0"/>
    <n v="1"/>
    <n v="34.799999999999997"/>
    <x v="1"/>
  </r>
  <r>
    <n v="10295"/>
    <x v="161"/>
    <x v="1"/>
    <x v="71"/>
    <n v="24"/>
    <n v="178.8"/>
    <x v="0"/>
  </r>
  <r>
    <n v="10295"/>
    <x v="161"/>
    <x v="1"/>
    <x v="84"/>
    <n v="15"/>
    <n v="315"/>
    <x v="0"/>
  </r>
  <r>
    <n v="10296"/>
    <x v="162"/>
    <x v="1"/>
    <x v="67"/>
    <n v="30"/>
    <n v="1140"/>
    <x v="4"/>
  </r>
  <r>
    <n v="10301"/>
    <x v="81"/>
    <x v="1"/>
    <x v="2"/>
    <n v="10"/>
    <n v="140"/>
    <x v="0"/>
  </r>
  <r>
    <n v="10302"/>
    <x v="163"/>
    <x v="1"/>
    <x v="76"/>
    <n v="55"/>
    <n v="687.5"/>
    <x v="0"/>
  </r>
  <r>
    <n v="10302"/>
    <x v="163"/>
    <x v="1"/>
    <x v="78"/>
    <n v="48"/>
    <n v="2544"/>
    <x v="0"/>
  </r>
  <r>
    <n v="10307"/>
    <x v="83"/>
    <x v="1"/>
    <x v="100"/>
    <n v="20"/>
    <n v="180"/>
    <x v="0"/>
  </r>
  <r>
    <n v="10307"/>
    <x v="83"/>
    <x v="1"/>
    <x v="81"/>
    <n v="20"/>
    <n v="986"/>
    <x v="0"/>
  </r>
  <r>
    <n v="10307"/>
    <x v="83"/>
    <x v="1"/>
    <x v="45"/>
    <n v="10"/>
    <n v="130"/>
    <x v="0"/>
  </r>
  <r>
    <n v="10311"/>
    <x v="164"/>
    <x v="1"/>
    <x v="78"/>
    <n v="20"/>
    <n v="1060"/>
    <x v="3"/>
  </r>
  <r>
    <n v="10311"/>
    <x v="164"/>
    <x v="1"/>
    <x v="57"/>
    <n v="18"/>
    <n v="590.4"/>
    <x v="3"/>
  </r>
  <r>
    <n v="10311"/>
    <x v="164"/>
    <x v="1"/>
    <x v="95"/>
    <n v="25"/>
    <n v="237.5"/>
    <x v="3"/>
  </r>
  <r>
    <n v="10314"/>
    <x v="165"/>
    <x v="1"/>
    <x v="78"/>
    <n v="50"/>
    <n v="2650"/>
    <x v="0"/>
  </r>
  <r>
    <n v="10320"/>
    <x v="87"/>
    <x v="1"/>
    <x v="78"/>
    <n v="3"/>
    <n v="159"/>
    <x v="0"/>
  </r>
  <r>
    <n v="10323"/>
    <x v="166"/>
    <x v="1"/>
    <x v="84"/>
    <n v="15"/>
    <n v="315"/>
    <x v="0"/>
  </r>
  <r>
    <n v="10323"/>
    <x v="166"/>
    <x v="1"/>
    <x v="67"/>
    <n v="60"/>
    <n v="2280"/>
    <x v="0"/>
  </r>
  <r>
    <n v="10324"/>
    <x v="166"/>
    <x v="1"/>
    <x v="2"/>
    <n v="28"/>
    <n v="392"/>
    <x v="0"/>
  </r>
  <r>
    <n v="10328"/>
    <x v="91"/>
    <x v="1"/>
    <x v="105"/>
    <n v="6"/>
    <n v="263.39999999999998"/>
    <x v="1"/>
  </r>
  <r>
    <n v="10329"/>
    <x v="167"/>
    <x v="1"/>
    <x v="94"/>
    <n v="21"/>
    <n v="408.45"/>
    <x v="1"/>
  </r>
  <r>
    <n v="10329"/>
    <x v="167"/>
    <x v="1"/>
    <x v="85"/>
    <n v="10"/>
    <n v="180"/>
    <x v="1"/>
  </r>
  <r>
    <n v="10336"/>
    <x v="94"/>
    <x v="1"/>
    <x v="99"/>
    <n v="10"/>
    <n v="360"/>
    <x v="0"/>
  </r>
  <r>
    <n v="10336"/>
    <x v="94"/>
    <x v="1"/>
    <x v="68"/>
    <n v="24"/>
    <n v="816"/>
    <x v="0"/>
  </r>
  <r>
    <n v="10337"/>
    <x v="94"/>
    <x v="1"/>
    <x v="76"/>
    <n v="50"/>
    <n v="625"/>
    <x v="0"/>
  </r>
  <r>
    <n v="10346"/>
    <x v="168"/>
    <x v="1"/>
    <x v="99"/>
    <n v="20"/>
    <n v="720"/>
    <x v="0"/>
  </r>
  <r>
    <n v="10346"/>
    <x v="168"/>
    <x v="1"/>
    <x v="98"/>
    <n v="21"/>
    <n v="1701"/>
    <x v="0"/>
  </r>
  <r>
    <n v="10346"/>
    <x v="168"/>
    <x v="1"/>
    <x v="85"/>
    <n v="4"/>
    <n v="72"/>
    <x v="0"/>
  </r>
  <r>
    <n v="10351"/>
    <x v="98"/>
    <x v="1"/>
    <x v="105"/>
    <n v="50"/>
    <n v="2195"/>
    <x v="5"/>
  </r>
  <r>
    <n v="10352"/>
    <x v="169"/>
    <x v="1"/>
    <x v="81"/>
    <n v="10"/>
    <n v="493"/>
    <x v="1"/>
  </r>
  <r>
    <n v="10353"/>
    <x v="170"/>
    <x v="1"/>
    <x v="71"/>
    <n v="4"/>
    <n v="29.8"/>
    <x v="0"/>
  </r>
  <r>
    <n v="10360"/>
    <x v="100"/>
    <x v="1"/>
    <x v="59"/>
    <n v="45"/>
    <n v="1350"/>
    <x v="0"/>
  </r>
  <r>
    <n v="10360"/>
    <x v="100"/>
    <x v="1"/>
    <x v="64"/>
    <n v="14"/>
    <n v="35"/>
    <x v="0"/>
  </r>
  <r>
    <n v="10360"/>
    <x v="100"/>
    <x v="1"/>
    <x v="70"/>
    <n v="100"/>
    <n v="3900"/>
    <x v="0"/>
  </r>
  <r>
    <n v="10366"/>
    <x v="171"/>
    <x v="1"/>
    <x v="86"/>
    <n v="40"/>
    <n v="310"/>
    <x v="1"/>
  </r>
  <r>
    <n v="10366"/>
    <x v="171"/>
    <x v="1"/>
    <x v="106"/>
    <n v="8"/>
    <n v="48"/>
    <x v="1"/>
  </r>
  <r>
    <n v="10367"/>
    <x v="171"/>
    <x v="1"/>
    <x v="84"/>
    <n v="14"/>
    <n v="294"/>
    <x v="0"/>
  </r>
  <r>
    <n v="10372"/>
    <x v="103"/>
    <x v="1"/>
    <x v="5"/>
    <n v="42"/>
    <n v="420"/>
    <x v="1"/>
  </r>
  <r>
    <n v="10373"/>
    <x v="172"/>
    <x v="1"/>
    <x v="54"/>
    <n v="5"/>
    <n v="22.5"/>
    <x v="5"/>
  </r>
  <r>
    <n v="10373"/>
    <x v="172"/>
    <x v="1"/>
    <x v="107"/>
    <n v="5"/>
    <n v="35"/>
    <x v="5"/>
  </r>
  <r>
    <n v="10378"/>
    <x v="105"/>
    <x v="1"/>
    <x v="56"/>
    <n v="3"/>
    <n v="69.75"/>
    <x v="0"/>
  </r>
  <r>
    <n v="10378"/>
    <x v="105"/>
    <x v="1"/>
    <x v="68"/>
    <n v="10"/>
    <n v="340"/>
    <x v="0"/>
  </r>
  <r>
    <n v="10379"/>
    <x v="173"/>
    <x v="1"/>
    <x v="57"/>
    <n v="12"/>
    <n v="393.6"/>
    <x v="1"/>
  </r>
  <r>
    <n v="10386"/>
    <x v="107"/>
    <x v="1"/>
    <x v="106"/>
    <n v="13"/>
    <n v="78"/>
    <x v="0"/>
  </r>
  <r>
    <n v="10387"/>
    <x v="107"/>
    <x v="1"/>
    <x v="78"/>
    <n v="15"/>
    <n v="795"/>
    <x v="1"/>
  </r>
  <r>
    <n v="10387"/>
    <x v="107"/>
    <x v="1"/>
    <x v="59"/>
    <n v="35"/>
    <n v="1050"/>
    <x v="1"/>
  </r>
  <r>
    <n v="10393"/>
    <x v="109"/>
    <x v="1"/>
    <x v="99"/>
    <n v="20"/>
    <n v="720"/>
    <x v="5"/>
  </r>
  <r>
    <n v="10394"/>
    <x v="174"/>
    <x v="1"/>
    <x v="73"/>
    <n v="50"/>
    <n v="950"/>
    <x v="4"/>
  </r>
  <r>
    <n v="10394"/>
    <x v="174"/>
    <x v="1"/>
    <x v="53"/>
    <n v="60"/>
    <n v="1104"/>
    <x v="4"/>
  </r>
  <r>
    <n v="10400"/>
    <x v="110"/>
    <x v="1"/>
    <x v="101"/>
    <n v="30"/>
    <n v="276"/>
    <x v="1"/>
  </r>
  <r>
    <n v="10401"/>
    <x v="175"/>
    <x v="1"/>
    <x v="54"/>
    <n v="15"/>
    <n v="67.5"/>
    <x v="0"/>
  </r>
  <r>
    <n v="10401"/>
    <x v="175"/>
    <x v="1"/>
    <x v="84"/>
    <n v="15"/>
    <n v="315"/>
    <x v="0"/>
  </r>
  <r>
    <n v="10409"/>
    <x v="176"/>
    <x v="1"/>
    <x v="95"/>
    <n v="6"/>
    <n v="57"/>
    <x v="1"/>
  </r>
  <r>
    <n v="10409"/>
    <x v="176"/>
    <x v="1"/>
    <x v="56"/>
    <n v="3"/>
    <n v="69.75"/>
    <x v="1"/>
  </r>
  <r>
    <n v="10409"/>
    <x v="176"/>
    <x v="1"/>
    <x v="94"/>
    <n v="28"/>
    <n v="544.6"/>
    <x v="1"/>
  </r>
  <r>
    <n v="10414"/>
    <x v="115"/>
    <x v="1"/>
    <x v="77"/>
    <n v="49"/>
    <n v="649.25"/>
    <x v="4"/>
  </r>
  <r>
    <n v="10415"/>
    <x v="115"/>
    <x v="1"/>
    <x v="76"/>
    <n v="10"/>
    <n v="125"/>
    <x v="0"/>
  </r>
  <r>
    <n v="10416"/>
    <x v="177"/>
    <x v="1"/>
    <x v="2"/>
    <n v="30"/>
    <n v="420"/>
    <x v="1"/>
  </r>
  <r>
    <n v="10416"/>
    <x v="177"/>
    <x v="1"/>
    <x v="78"/>
    <n v="20"/>
    <n v="1060"/>
    <x v="1"/>
  </r>
  <r>
    <n v="10418"/>
    <x v="178"/>
    <x v="1"/>
    <x v="78"/>
    <n v="20"/>
    <n v="1060"/>
    <x v="0"/>
  </r>
  <r>
    <n v="10422"/>
    <x v="117"/>
    <x v="1"/>
    <x v="73"/>
    <n v="30"/>
    <n v="570"/>
    <x v="5"/>
  </r>
  <r>
    <n v="10423"/>
    <x v="179"/>
    <x v="1"/>
    <x v="2"/>
    <n v="25"/>
    <n v="350"/>
    <x v="4"/>
  </r>
  <r>
    <n v="10423"/>
    <x v="179"/>
    <x v="1"/>
    <x v="97"/>
    <n v="50"/>
    <n v="750"/>
    <x v="4"/>
  </r>
  <r>
    <n v="10429"/>
    <x v="180"/>
    <x v="1"/>
    <x v="94"/>
    <n v="21"/>
    <n v="408.45"/>
    <x v="1"/>
  </r>
  <r>
    <n v="10429"/>
    <x v="180"/>
    <x v="1"/>
    <x v="69"/>
    <n v="2"/>
    <n v="62"/>
    <x v="1"/>
  </r>
  <r>
    <n v="10429"/>
    <x v="180"/>
    <x v="1"/>
    <x v="101"/>
    <n v="7"/>
    <n v="64.400000000000006"/>
    <x v="1"/>
  </r>
  <r>
    <n v="10434"/>
    <x v="121"/>
    <x v="1"/>
    <x v="87"/>
    <n v="28"/>
    <n v="931"/>
    <x v="1"/>
  </r>
  <r>
    <n v="10435"/>
    <x v="121"/>
    <x v="1"/>
    <x v="86"/>
    <n v="30"/>
    <n v="232.5"/>
    <x v="0"/>
  </r>
  <r>
    <n v="10435"/>
    <x v="121"/>
    <x v="1"/>
    <x v="64"/>
    <n v="30"/>
    <n v="75"/>
    <x v="0"/>
  </r>
  <r>
    <n v="10003"/>
    <x v="122"/>
    <x v="2"/>
    <x v="33"/>
    <n v="15"/>
    <n v="252"/>
    <x v="0"/>
  </r>
  <r>
    <n v="10004"/>
    <x v="122"/>
    <x v="2"/>
    <x v="108"/>
    <n v="15"/>
    <n v="234"/>
    <x v="1"/>
  </r>
  <r>
    <n v="10004"/>
    <x v="122"/>
    <x v="2"/>
    <x v="33"/>
    <n v="6"/>
    <n v="100.8"/>
    <x v="1"/>
  </r>
  <r>
    <n v="10004"/>
    <x v="122"/>
    <x v="2"/>
    <x v="33"/>
    <n v="20"/>
    <n v="336"/>
    <x v="1"/>
  </r>
  <r>
    <n v="10005"/>
    <x v="181"/>
    <x v="2"/>
    <x v="16"/>
    <n v="25"/>
    <n v="50"/>
    <x v="4"/>
  </r>
  <r>
    <n v="10005"/>
    <x v="181"/>
    <x v="2"/>
    <x v="30"/>
    <n v="40"/>
    <n v="2592"/>
    <x v="4"/>
  </r>
  <r>
    <n v="10005"/>
    <x v="181"/>
    <x v="2"/>
    <x v="23"/>
    <n v="40"/>
    <n v="1088"/>
    <x v="4"/>
  </r>
  <r>
    <n v="10008"/>
    <x v="123"/>
    <x v="2"/>
    <x v="11"/>
    <n v="20"/>
    <n v="304"/>
    <x v="0"/>
  </r>
  <r>
    <n v="10008"/>
    <x v="123"/>
    <x v="2"/>
    <x v="34"/>
    <n v="35"/>
    <n v="486.5"/>
    <x v="0"/>
  </r>
  <r>
    <n v="10008"/>
    <x v="123"/>
    <x v="2"/>
    <x v="17"/>
    <n v="30"/>
    <n v="1320"/>
    <x v="0"/>
  </r>
  <r>
    <n v="10009"/>
    <x v="182"/>
    <x v="2"/>
    <x v="37"/>
    <n v="15"/>
    <n v="393"/>
    <x v="1"/>
  </r>
  <r>
    <n v="10009"/>
    <x v="182"/>
    <x v="2"/>
    <x v="52"/>
    <n v="12"/>
    <n v="124.8"/>
    <x v="1"/>
  </r>
  <r>
    <n v="10010"/>
    <x v="4"/>
    <x v="2"/>
    <x v="6"/>
    <n v="6"/>
    <n v="86.4"/>
    <x v="1"/>
  </r>
  <r>
    <n v="10010"/>
    <x v="4"/>
    <x v="2"/>
    <x v="52"/>
    <n v="15"/>
    <n v="156"/>
    <x v="1"/>
  </r>
  <r>
    <n v="10013"/>
    <x v="125"/>
    <x v="2"/>
    <x v="13"/>
    <n v="16"/>
    <n v="123.2"/>
    <x v="0"/>
  </r>
  <r>
    <n v="10013"/>
    <x v="125"/>
    <x v="2"/>
    <x v="47"/>
    <n v="15"/>
    <n v="591"/>
    <x v="0"/>
  </r>
  <r>
    <n v="10013"/>
    <x v="125"/>
    <x v="2"/>
    <x v="108"/>
    <n v="50"/>
    <n v="780"/>
    <x v="0"/>
  </r>
  <r>
    <n v="10014"/>
    <x v="125"/>
    <x v="2"/>
    <x v="6"/>
    <n v="20"/>
    <n v="288"/>
    <x v="1"/>
  </r>
  <r>
    <n v="10014"/>
    <x v="125"/>
    <x v="2"/>
    <x v="50"/>
    <n v="20"/>
    <n v="160"/>
    <x v="1"/>
  </r>
  <r>
    <n v="10015"/>
    <x v="183"/>
    <x v="2"/>
    <x v="91"/>
    <n v="15"/>
    <n v="360"/>
    <x v="1"/>
  </r>
  <r>
    <n v="10015"/>
    <x v="183"/>
    <x v="2"/>
    <x v="31"/>
    <n v="2"/>
    <n v="60.8"/>
    <x v="1"/>
  </r>
  <r>
    <n v="10015"/>
    <x v="183"/>
    <x v="2"/>
    <x v="10"/>
    <n v="12"/>
    <n v="204"/>
    <x v="1"/>
  </r>
  <r>
    <n v="10016"/>
    <x v="6"/>
    <x v="2"/>
    <x v="34"/>
    <n v="60"/>
    <n v="834"/>
    <x v="0"/>
  </r>
  <r>
    <n v="10016"/>
    <x v="6"/>
    <x v="2"/>
    <x v="50"/>
    <n v="36"/>
    <n v="288"/>
    <x v="0"/>
  </r>
  <r>
    <n v="10020"/>
    <x v="184"/>
    <x v="2"/>
    <x v="35"/>
    <n v="50"/>
    <n v="735"/>
    <x v="1"/>
  </r>
  <r>
    <n v="10020"/>
    <x v="184"/>
    <x v="2"/>
    <x v="6"/>
    <n v="15"/>
    <n v="216"/>
    <x v="1"/>
  </r>
  <r>
    <n v="10020"/>
    <x v="184"/>
    <x v="2"/>
    <x v="17"/>
    <n v="70"/>
    <n v="3080"/>
    <x v="1"/>
  </r>
  <r>
    <n v="10021"/>
    <x v="185"/>
    <x v="2"/>
    <x v="14"/>
    <n v="4"/>
    <n v="111.2"/>
    <x v="1"/>
  </r>
  <r>
    <n v="10021"/>
    <x v="185"/>
    <x v="2"/>
    <x v="46"/>
    <n v="10"/>
    <n v="990"/>
    <x v="1"/>
  </r>
  <r>
    <n v="10022"/>
    <x v="8"/>
    <x v="2"/>
    <x v="16"/>
    <n v="60"/>
    <n v="120"/>
    <x v="1"/>
  </r>
  <r>
    <n v="10026"/>
    <x v="186"/>
    <x v="2"/>
    <x v="5"/>
    <n v="15"/>
    <n v="150"/>
    <x v="1"/>
  </r>
  <r>
    <n v="10026"/>
    <x v="186"/>
    <x v="2"/>
    <x v="6"/>
    <n v="33"/>
    <n v="475.2"/>
    <x v="1"/>
  </r>
  <r>
    <n v="10026"/>
    <x v="186"/>
    <x v="2"/>
    <x v="35"/>
    <n v="60"/>
    <n v="882"/>
    <x v="1"/>
  </r>
  <r>
    <n v="10026"/>
    <x v="186"/>
    <x v="2"/>
    <x v="16"/>
    <n v="20"/>
    <n v="40"/>
    <x v="1"/>
  </r>
  <r>
    <n v="10026"/>
    <x v="186"/>
    <x v="2"/>
    <x v="19"/>
    <n v="24"/>
    <n v="595.20000000000005"/>
    <x v="1"/>
  </r>
  <r>
    <n v="10027"/>
    <x v="187"/>
    <x v="2"/>
    <x v="38"/>
    <n v="20"/>
    <n v="344"/>
    <x v="0"/>
  </r>
  <r>
    <n v="10027"/>
    <x v="187"/>
    <x v="2"/>
    <x v="14"/>
    <n v="7"/>
    <n v="194.6"/>
    <x v="0"/>
  </r>
  <r>
    <n v="10028"/>
    <x v="10"/>
    <x v="2"/>
    <x v="7"/>
    <n v="12"/>
    <n v="43.2"/>
    <x v="0"/>
  </r>
  <r>
    <n v="10031"/>
    <x v="129"/>
    <x v="2"/>
    <x v="29"/>
    <n v="16"/>
    <n v="248"/>
    <x v="1"/>
  </r>
  <r>
    <n v="10031"/>
    <x v="129"/>
    <x v="2"/>
    <x v="62"/>
    <n v="25"/>
    <n v="300"/>
    <x v="1"/>
  </r>
  <r>
    <n v="10033"/>
    <x v="188"/>
    <x v="2"/>
    <x v="43"/>
    <n v="20"/>
    <n v="384"/>
    <x v="1"/>
  </r>
  <r>
    <n v="10033"/>
    <x v="188"/>
    <x v="2"/>
    <x v="51"/>
    <n v="30"/>
    <n v="186"/>
    <x v="1"/>
  </r>
  <r>
    <n v="10033"/>
    <x v="188"/>
    <x v="2"/>
    <x v="7"/>
    <n v="12"/>
    <n v="43.2"/>
    <x v="1"/>
  </r>
  <r>
    <n v="10034"/>
    <x v="188"/>
    <x v="2"/>
    <x v="6"/>
    <n v="4"/>
    <n v="57.6"/>
    <x v="1"/>
  </r>
  <r>
    <n v="10034"/>
    <x v="188"/>
    <x v="2"/>
    <x v="24"/>
    <n v="1"/>
    <n v="7.3"/>
    <x v="1"/>
  </r>
  <r>
    <n v="10034"/>
    <x v="188"/>
    <x v="2"/>
    <x v="7"/>
    <n v="6"/>
    <n v="21.6"/>
    <x v="1"/>
  </r>
  <r>
    <n v="10035"/>
    <x v="189"/>
    <x v="2"/>
    <x v="12"/>
    <n v="6"/>
    <n v="124.2"/>
    <x v="1"/>
  </r>
  <r>
    <n v="10035"/>
    <x v="189"/>
    <x v="2"/>
    <x v="108"/>
    <n v="2"/>
    <n v="31.2"/>
    <x v="1"/>
  </r>
  <r>
    <n v="10037"/>
    <x v="130"/>
    <x v="2"/>
    <x v="25"/>
    <n v="5"/>
    <n v="56"/>
    <x v="1"/>
  </r>
  <r>
    <n v="10038"/>
    <x v="190"/>
    <x v="2"/>
    <x v="37"/>
    <n v="36"/>
    <n v="943.2"/>
    <x v="1"/>
  </r>
  <r>
    <n v="10038"/>
    <x v="190"/>
    <x v="2"/>
    <x v="6"/>
    <n v="45"/>
    <n v="648"/>
    <x v="1"/>
  </r>
  <r>
    <n v="10038"/>
    <x v="190"/>
    <x v="2"/>
    <x v="35"/>
    <n v="40"/>
    <n v="588"/>
    <x v="1"/>
  </r>
  <r>
    <n v="10039"/>
    <x v="191"/>
    <x v="2"/>
    <x v="6"/>
    <n v="100"/>
    <n v="1440"/>
    <x v="1"/>
  </r>
  <r>
    <n v="10039"/>
    <x v="191"/>
    <x v="2"/>
    <x v="47"/>
    <n v="40"/>
    <n v="1576"/>
    <x v="1"/>
  </r>
  <r>
    <n v="10040"/>
    <x v="15"/>
    <x v="2"/>
    <x v="34"/>
    <n v="40"/>
    <n v="556"/>
    <x v="3"/>
  </r>
  <r>
    <n v="10043"/>
    <x v="17"/>
    <x v="2"/>
    <x v="10"/>
    <n v="20"/>
    <n v="340"/>
    <x v="5"/>
  </r>
  <r>
    <n v="10043"/>
    <x v="17"/>
    <x v="2"/>
    <x v="52"/>
    <n v="10"/>
    <n v="104"/>
    <x v="5"/>
  </r>
  <r>
    <n v="10043"/>
    <x v="17"/>
    <x v="2"/>
    <x v="46"/>
    <n v="15"/>
    <n v="1485"/>
    <x v="5"/>
  </r>
  <r>
    <n v="10044"/>
    <x v="17"/>
    <x v="2"/>
    <x v="18"/>
    <n v="20"/>
    <n v="96"/>
    <x v="1"/>
  </r>
  <r>
    <n v="10047"/>
    <x v="20"/>
    <x v="2"/>
    <x v="15"/>
    <n v="15"/>
    <n v="552"/>
    <x v="0"/>
  </r>
  <r>
    <n v="10047"/>
    <x v="20"/>
    <x v="2"/>
    <x v="6"/>
    <n v="18"/>
    <n v="259.2"/>
    <x v="0"/>
  </r>
  <r>
    <n v="10047"/>
    <x v="20"/>
    <x v="2"/>
    <x v="23"/>
    <n v="21"/>
    <n v="571.20000000000005"/>
    <x v="0"/>
  </r>
  <r>
    <n v="10047"/>
    <x v="20"/>
    <x v="2"/>
    <x v="51"/>
    <n v="6"/>
    <n v="37.200000000000003"/>
    <x v="0"/>
  </r>
  <r>
    <n v="10051"/>
    <x v="133"/>
    <x v="2"/>
    <x v="47"/>
    <n v="15"/>
    <n v="591"/>
    <x v="0"/>
  </r>
  <r>
    <n v="10051"/>
    <x v="133"/>
    <x v="2"/>
    <x v="17"/>
    <n v="30"/>
    <n v="1320"/>
    <x v="0"/>
  </r>
  <r>
    <n v="10051"/>
    <x v="133"/>
    <x v="2"/>
    <x v="11"/>
    <n v="40"/>
    <n v="608"/>
    <x v="0"/>
  </r>
  <r>
    <n v="10052"/>
    <x v="192"/>
    <x v="2"/>
    <x v="24"/>
    <n v="15"/>
    <n v="109.5"/>
    <x v="1"/>
  </r>
  <r>
    <n v="10052"/>
    <x v="192"/>
    <x v="2"/>
    <x v="62"/>
    <n v="20"/>
    <n v="240"/>
    <x v="1"/>
  </r>
  <r>
    <n v="10053"/>
    <x v="23"/>
    <x v="2"/>
    <x v="5"/>
    <n v="20"/>
    <n v="200"/>
    <x v="3"/>
  </r>
  <r>
    <n v="10053"/>
    <x v="23"/>
    <x v="2"/>
    <x v="49"/>
    <n v="30"/>
    <n v="408"/>
    <x v="3"/>
  </r>
  <r>
    <n v="10056"/>
    <x v="134"/>
    <x v="2"/>
    <x v="5"/>
    <n v="15"/>
    <n v="150"/>
    <x v="1"/>
  </r>
  <r>
    <n v="10057"/>
    <x v="193"/>
    <x v="2"/>
    <x v="4"/>
    <n v="30"/>
    <n v="480"/>
    <x v="1"/>
  </r>
  <r>
    <n v="10057"/>
    <x v="193"/>
    <x v="2"/>
    <x v="17"/>
    <n v="10"/>
    <n v="440"/>
    <x v="1"/>
  </r>
  <r>
    <n v="10057"/>
    <x v="193"/>
    <x v="2"/>
    <x v="38"/>
    <n v="2"/>
    <n v="34.4"/>
    <x v="1"/>
  </r>
  <r>
    <n v="10058"/>
    <x v="25"/>
    <x v="2"/>
    <x v="46"/>
    <n v="25"/>
    <n v="2475"/>
    <x v="0"/>
  </r>
  <r>
    <n v="10061"/>
    <x v="194"/>
    <x v="2"/>
    <x v="62"/>
    <n v="5"/>
    <n v="60"/>
    <x v="3"/>
  </r>
  <r>
    <n v="10061"/>
    <x v="194"/>
    <x v="2"/>
    <x v="32"/>
    <n v="1"/>
    <n v="28.8"/>
    <x v="3"/>
  </r>
  <r>
    <n v="10062"/>
    <x v="195"/>
    <x v="2"/>
    <x v="103"/>
    <n v="20"/>
    <n v="352"/>
    <x v="4"/>
  </r>
  <r>
    <n v="10062"/>
    <x v="195"/>
    <x v="2"/>
    <x v="15"/>
    <n v="20"/>
    <n v="736"/>
    <x v="4"/>
  </r>
  <r>
    <n v="10062"/>
    <x v="195"/>
    <x v="2"/>
    <x v="92"/>
    <n v="30"/>
    <n v="600"/>
    <x v="4"/>
  </r>
  <r>
    <n v="10062"/>
    <x v="195"/>
    <x v="2"/>
    <x v="38"/>
    <n v="3"/>
    <n v="51.6"/>
    <x v="4"/>
  </r>
  <r>
    <n v="10062"/>
    <x v="195"/>
    <x v="2"/>
    <x v="25"/>
    <n v="2"/>
    <n v="22.4"/>
    <x v="4"/>
  </r>
  <r>
    <n v="10063"/>
    <x v="196"/>
    <x v="2"/>
    <x v="47"/>
    <n v="5"/>
    <n v="197"/>
    <x v="0"/>
  </r>
  <r>
    <n v="10063"/>
    <x v="196"/>
    <x v="2"/>
    <x v="34"/>
    <n v="10"/>
    <n v="139"/>
    <x v="0"/>
  </r>
  <r>
    <n v="10064"/>
    <x v="196"/>
    <x v="2"/>
    <x v="25"/>
    <n v="6"/>
    <n v="67.2"/>
    <x v="5"/>
  </r>
  <r>
    <n v="10064"/>
    <x v="196"/>
    <x v="2"/>
    <x v="32"/>
    <n v="7"/>
    <n v="201.6"/>
    <x v="5"/>
  </r>
  <r>
    <n v="10065"/>
    <x v="197"/>
    <x v="2"/>
    <x v="15"/>
    <n v="24"/>
    <n v="883.2"/>
    <x v="0"/>
  </r>
  <r>
    <n v="10065"/>
    <x v="197"/>
    <x v="2"/>
    <x v="37"/>
    <n v="20"/>
    <n v="524"/>
    <x v="0"/>
  </r>
  <r>
    <n v="10065"/>
    <x v="197"/>
    <x v="2"/>
    <x v="20"/>
    <n v="4"/>
    <n v="145.6"/>
    <x v="0"/>
  </r>
  <r>
    <n v="10065"/>
    <x v="197"/>
    <x v="2"/>
    <x v="51"/>
    <n v="10"/>
    <n v="62"/>
    <x v="0"/>
  </r>
  <r>
    <n v="10066"/>
    <x v="198"/>
    <x v="2"/>
    <x v="11"/>
    <n v="12"/>
    <n v="182.4"/>
    <x v="0"/>
  </r>
  <r>
    <n v="10067"/>
    <x v="199"/>
    <x v="2"/>
    <x v="40"/>
    <n v="30"/>
    <n v="318"/>
    <x v="0"/>
  </r>
  <r>
    <n v="10067"/>
    <x v="199"/>
    <x v="2"/>
    <x v="47"/>
    <n v="25"/>
    <n v="985"/>
    <x v="0"/>
  </r>
  <r>
    <n v="10067"/>
    <x v="199"/>
    <x v="2"/>
    <x v="9"/>
    <n v="40"/>
    <n v="1024"/>
    <x v="0"/>
  </r>
  <r>
    <n v="10068"/>
    <x v="200"/>
    <x v="2"/>
    <x v="62"/>
    <n v="30"/>
    <n v="360"/>
    <x v="4"/>
  </r>
  <r>
    <n v="10068"/>
    <x v="200"/>
    <x v="2"/>
    <x v="25"/>
    <n v="14"/>
    <n v="156.80000000000001"/>
    <x v="4"/>
  </r>
  <r>
    <n v="10069"/>
    <x v="201"/>
    <x v="2"/>
    <x v="47"/>
    <n v="70"/>
    <n v="2758"/>
    <x v="0"/>
  </r>
  <r>
    <n v="10069"/>
    <x v="201"/>
    <x v="2"/>
    <x v="13"/>
    <n v="10"/>
    <n v="77"/>
    <x v="0"/>
  </r>
  <r>
    <n v="10070"/>
    <x v="202"/>
    <x v="2"/>
    <x v="6"/>
    <n v="20"/>
    <n v="288"/>
    <x v="1"/>
  </r>
  <r>
    <n v="10071"/>
    <x v="203"/>
    <x v="2"/>
    <x v="6"/>
    <n v="6"/>
    <n v="86.4"/>
    <x v="4"/>
  </r>
  <r>
    <n v="10071"/>
    <x v="203"/>
    <x v="2"/>
    <x v="13"/>
    <n v="20"/>
    <n v="154"/>
    <x v="4"/>
  </r>
  <r>
    <n v="10072"/>
    <x v="27"/>
    <x v="2"/>
    <x v="6"/>
    <n v="30"/>
    <n v="432"/>
    <x v="3"/>
  </r>
  <r>
    <n v="10072"/>
    <x v="27"/>
    <x v="2"/>
    <x v="20"/>
    <n v="14"/>
    <n v="509.6"/>
    <x v="3"/>
  </r>
  <r>
    <n v="10077"/>
    <x v="136"/>
    <x v="2"/>
    <x v="6"/>
    <n v="70"/>
    <n v="1008"/>
    <x v="5"/>
  </r>
  <r>
    <n v="10077"/>
    <x v="136"/>
    <x v="2"/>
    <x v="17"/>
    <n v="40"/>
    <n v="1760"/>
    <x v="5"/>
  </r>
  <r>
    <n v="10077"/>
    <x v="136"/>
    <x v="2"/>
    <x v="34"/>
    <n v="21"/>
    <n v="291.89999999999998"/>
    <x v="5"/>
  </r>
  <r>
    <n v="10077"/>
    <x v="136"/>
    <x v="2"/>
    <x v="26"/>
    <n v="30"/>
    <n v="288"/>
    <x v="5"/>
  </r>
  <r>
    <n v="10078"/>
    <x v="204"/>
    <x v="2"/>
    <x v="14"/>
    <n v="40"/>
    <n v="1112"/>
    <x v="3"/>
  </r>
  <r>
    <n v="10078"/>
    <x v="204"/>
    <x v="2"/>
    <x v="92"/>
    <n v="6"/>
    <n v="120"/>
    <x v="3"/>
  </r>
  <r>
    <n v="10078"/>
    <x v="204"/>
    <x v="2"/>
    <x v="5"/>
    <n v="4"/>
    <n v="40"/>
    <x v="3"/>
  </r>
  <r>
    <n v="10078"/>
    <x v="204"/>
    <x v="2"/>
    <x v="3"/>
    <n v="9"/>
    <n v="167.4"/>
    <x v="3"/>
  </r>
  <r>
    <n v="10078"/>
    <x v="204"/>
    <x v="2"/>
    <x v="18"/>
    <n v="12"/>
    <n v="57.6"/>
    <x v="3"/>
  </r>
  <r>
    <n v="10079"/>
    <x v="205"/>
    <x v="2"/>
    <x v="51"/>
    <n v="50"/>
    <n v="310"/>
    <x v="3"/>
  </r>
  <r>
    <n v="10079"/>
    <x v="205"/>
    <x v="2"/>
    <x v="108"/>
    <n v="16"/>
    <n v="249.6"/>
    <x v="3"/>
  </r>
  <r>
    <n v="10079"/>
    <x v="205"/>
    <x v="2"/>
    <x v="103"/>
    <n v="24"/>
    <n v="422.4"/>
    <x v="3"/>
  </r>
  <r>
    <n v="10082"/>
    <x v="206"/>
    <x v="2"/>
    <x v="31"/>
    <n v="12"/>
    <n v="364.8"/>
    <x v="0"/>
  </r>
  <r>
    <n v="10082"/>
    <x v="206"/>
    <x v="2"/>
    <x v="48"/>
    <n v="20"/>
    <n v="4216"/>
    <x v="0"/>
  </r>
  <r>
    <n v="10082"/>
    <x v="206"/>
    <x v="2"/>
    <x v="12"/>
    <n v="8"/>
    <n v="165.6"/>
    <x v="0"/>
  </r>
  <r>
    <n v="10082"/>
    <x v="206"/>
    <x v="2"/>
    <x v="24"/>
    <n v="10"/>
    <n v="73"/>
    <x v="0"/>
  </r>
  <r>
    <n v="10083"/>
    <x v="207"/>
    <x v="2"/>
    <x v="41"/>
    <n v="50"/>
    <n v="1245"/>
    <x v="1"/>
  </r>
  <r>
    <n v="10083"/>
    <x v="207"/>
    <x v="2"/>
    <x v="14"/>
    <n v="25"/>
    <n v="695"/>
    <x v="1"/>
  </r>
  <r>
    <n v="10084"/>
    <x v="207"/>
    <x v="2"/>
    <x v="27"/>
    <n v="15"/>
    <n v="88.5"/>
    <x v="5"/>
  </r>
  <r>
    <n v="10085"/>
    <x v="208"/>
    <x v="2"/>
    <x v="36"/>
    <n v="40"/>
    <n v="2000"/>
    <x v="4"/>
  </r>
  <r>
    <n v="10085"/>
    <x v="208"/>
    <x v="2"/>
    <x v="104"/>
    <n v="16"/>
    <n v="121.6"/>
    <x v="4"/>
  </r>
  <r>
    <n v="10085"/>
    <x v="208"/>
    <x v="2"/>
    <x v="25"/>
    <n v="10"/>
    <n v="112"/>
    <x v="4"/>
  </r>
  <r>
    <n v="10086"/>
    <x v="209"/>
    <x v="2"/>
    <x v="50"/>
    <n v="10"/>
    <n v="80"/>
    <x v="0"/>
  </r>
  <r>
    <n v="10086"/>
    <x v="209"/>
    <x v="2"/>
    <x v="38"/>
    <n v="40"/>
    <n v="688"/>
    <x v="0"/>
  </r>
  <r>
    <n v="10086"/>
    <x v="209"/>
    <x v="2"/>
    <x v="3"/>
    <n v="10"/>
    <n v="186"/>
    <x v="0"/>
  </r>
  <r>
    <n v="10087"/>
    <x v="210"/>
    <x v="2"/>
    <x v="5"/>
    <n v="10"/>
    <n v="100"/>
    <x v="0"/>
  </r>
  <r>
    <n v="10087"/>
    <x v="210"/>
    <x v="2"/>
    <x v="39"/>
    <n v="8"/>
    <n v="44.8"/>
    <x v="0"/>
  </r>
  <r>
    <n v="10088"/>
    <x v="138"/>
    <x v="2"/>
    <x v="9"/>
    <n v="6"/>
    <n v="153.6"/>
    <x v="4"/>
  </r>
  <r>
    <n v="10088"/>
    <x v="138"/>
    <x v="2"/>
    <x v="11"/>
    <n v="7"/>
    <n v="106.4"/>
    <x v="4"/>
  </r>
  <r>
    <n v="10088"/>
    <x v="138"/>
    <x v="2"/>
    <x v="5"/>
    <n v="25"/>
    <n v="250"/>
    <x v="4"/>
  </r>
  <r>
    <n v="10089"/>
    <x v="211"/>
    <x v="2"/>
    <x v="103"/>
    <n v="18"/>
    <n v="316.8"/>
    <x v="0"/>
  </r>
  <r>
    <n v="10090"/>
    <x v="32"/>
    <x v="2"/>
    <x v="11"/>
    <n v="20"/>
    <n v="304"/>
    <x v="0"/>
  </r>
  <r>
    <n v="10090"/>
    <x v="32"/>
    <x v="2"/>
    <x v="102"/>
    <n v="28"/>
    <n v="582.4"/>
    <x v="0"/>
  </r>
  <r>
    <n v="10092"/>
    <x v="139"/>
    <x v="2"/>
    <x v="103"/>
    <n v="10"/>
    <n v="176"/>
    <x v="0"/>
  </r>
  <r>
    <n v="10093"/>
    <x v="212"/>
    <x v="2"/>
    <x v="15"/>
    <n v="40"/>
    <n v="1472"/>
    <x v="5"/>
  </r>
  <r>
    <n v="10093"/>
    <x v="212"/>
    <x v="2"/>
    <x v="36"/>
    <n v="20"/>
    <n v="1000"/>
    <x v="5"/>
  </r>
  <r>
    <n v="10093"/>
    <x v="212"/>
    <x v="2"/>
    <x v="13"/>
    <n v="12"/>
    <n v="92.4"/>
    <x v="5"/>
  </r>
  <r>
    <n v="10094"/>
    <x v="212"/>
    <x v="2"/>
    <x v="17"/>
    <n v="9"/>
    <n v="396"/>
    <x v="4"/>
  </r>
  <r>
    <n v="10094"/>
    <x v="212"/>
    <x v="2"/>
    <x v="16"/>
    <n v="8"/>
    <n v="16"/>
    <x v="4"/>
  </r>
  <r>
    <n v="10095"/>
    <x v="34"/>
    <x v="2"/>
    <x v="11"/>
    <n v="24"/>
    <n v="364.8"/>
    <x v="5"/>
  </r>
  <r>
    <n v="10095"/>
    <x v="34"/>
    <x v="2"/>
    <x v="11"/>
    <n v="40"/>
    <n v="608"/>
    <x v="5"/>
  </r>
  <r>
    <n v="10098"/>
    <x v="213"/>
    <x v="2"/>
    <x v="24"/>
    <n v="80"/>
    <n v="584"/>
    <x v="4"/>
  </r>
  <r>
    <n v="10098"/>
    <x v="213"/>
    <x v="2"/>
    <x v="25"/>
    <n v="9"/>
    <n v="100.8"/>
    <x v="4"/>
  </r>
  <r>
    <n v="10098"/>
    <x v="213"/>
    <x v="2"/>
    <x v="82"/>
    <n v="70"/>
    <n v="2240"/>
    <x v="4"/>
  </r>
  <r>
    <n v="10099"/>
    <x v="36"/>
    <x v="2"/>
    <x v="31"/>
    <n v="20"/>
    <n v="608"/>
    <x v="0"/>
  </r>
  <r>
    <n v="10100"/>
    <x v="214"/>
    <x v="2"/>
    <x v="51"/>
    <n v="6"/>
    <n v="37.200000000000003"/>
    <x v="0"/>
  </r>
  <r>
    <n v="10100"/>
    <x v="214"/>
    <x v="2"/>
    <x v="6"/>
    <n v="50"/>
    <n v="720"/>
    <x v="0"/>
  </r>
  <r>
    <n v="10100"/>
    <x v="214"/>
    <x v="2"/>
    <x v="25"/>
    <n v="10"/>
    <n v="112"/>
    <x v="0"/>
  </r>
  <r>
    <n v="10100"/>
    <x v="214"/>
    <x v="2"/>
    <x v="35"/>
    <n v="4"/>
    <n v="58.8"/>
    <x v="0"/>
  </r>
  <r>
    <n v="10101"/>
    <x v="215"/>
    <x v="2"/>
    <x v="6"/>
    <n v="15"/>
    <n v="216"/>
    <x v="0"/>
  </r>
  <r>
    <n v="10101"/>
    <x v="215"/>
    <x v="2"/>
    <x v="42"/>
    <n v="25"/>
    <n v="180"/>
    <x v="0"/>
  </r>
  <r>
    <n v="10105"/>
    <x v="216"/>
    <x v="2"/>
    <x v="27"/>
    <n v="20"/>
    <n v="118"/>
    <x v="0"/>
  </r>
  <r>
    <n v="10105"/>
    <x v="216"/>
    <x v="2"/>
    <x v="7"/>
    <n v="10"/>
    <n v="36"/>
    <x v="0"/>
  </r>
  <r>
    <n v="10106"/>
    <x v="217"/>
    <x v="2"/>
    <x v="48"/>
    <n v="50"/>
    <n v="10540"/>
    <x v="0"/>
  </r>
  <r>
    <n v="10106"/>
    <x v="217"/>
    <x v="2"/>
    <x v="33"/>
    <n v="12"/>
    <n v="201.6"/>
    <x v="0"/>
  </r>
  <r>
    <n v="10107"/>
    <x v="218"/>
    <x v="2"/>
    <x v="6"/>
    <n v="12"/>
    <n v="172.8"/>
    <x v="5"/>
  </r>
  <r>
    <n v="10107"/>
    <x v="218"/>
    <x v="2"/>
    <x v="46"/>
    <n v="4"/>
    <n v="396"/>
    <x v="5"/>
  </r>
  <r>
    <n v="10108"/>
    <x v="219"/>
    <x v="2"/>
    <x v="7"/>
    <n v="25"/>
    <n v="90"/>
    <x v="1"/>
  </r>
  <r>
    <n v="10108"/>
    <x v="219"/>
    <x v="2"/>
    <x v="108"/>
    <n v="25"/>
    <n v="390"/>
    <x v="1"/>
  </r>
  <r>
    <n v="10109"/>
    <x v="220"/>
    <x v="2"/>
    <x v="43"/>
    <n v="12"/>
    <n v="230.4"/>
    <x v="3"/>
  </r>
  <r>
    <n v="10109"/>
    <x v="220"/>
    <x v="2"/>
    <x v="32"/>
    <n v="20"/>
    <n v="576"/>
    <x v="3"/>
  </r>
  <r>
    <n v="10109"/>
    <x v="220"/>
    <x v="2"/>
    <x v="5"/>
    <n v="30"/>
    <n v="300"/>
    <x v="3"/>
  </r>
  <r>
    <n v="10110"/>
    <x v="221"/>
    <x v="2"/>
    <x v="23"/>
    <n v="8"/>
    <n v="217.6"/>
    <x v="1"/>
  </r>
  <r>
    <n v="10110"/>
    <x v="221"/>
    <x v="2"/>
    <x v="41"/>
    <n v="16"/>
    <n v="398.4"/>
    <x v="1"/>
  </r>
  <r>
    <n v="10110"/>
    <x v="221"/>
    <x v="2"/>
    <x v="19"/>
    <n v="30"/>
    <n v="744"/>
    <x v="1"/>
  </r>
  <r>
    <n v="10111"/>
    <x v="222"/>
    <x v="2"/>
    <x v="25"/>
    <n v="10"/>
    <n v="112"/>
    <x v="0"/>
  </r>
  <r>
    <n v="10111"/>
    <x v="222"/>
    <x v="2"/>
    <x v="7"/>
    <n v="10"/>
    <n v="36"/>
    <x v="0"/>
  </r>
  <r>
    <n v="10111"/>
    <x v="222"/>
    <x v="2"/>
    <x v="11"/>
    <n v="20"/>
    <n v="304"/>
    <x v="0"/>
  </r>
  <r>
    <n v="10112"/>
    <x v="223"/>
    <x v="2"/>
    <x v="5"/>
    <n v="70"/>
    <n v="700"/>
    <x v="1"/>
  </r>
  <r>
    <n v="10112"/>
    <x v="223"/>
    <x v="2"/>
    <x v="23"/>
    <n v="80"/>
    <n v="2176"/>
    <x v="1"/>
  </r>
  <r>
    <n v="10112"/>
    <x v="223"/>
    <x v="2"/>
    <x v="34"/>
    <n v="56"/>
    <n v="778.4"/>
    <x v="1"/>
  </r>
  <r>
    <n v="10115"/>
    <x v="141"/>
    <x v="2"/>
    <x v="27"/>
    <n v="24"/>
    <n v="141.6"/>
    <x v="0"/>
  </r>
  <r>
    <n v="10115"/>
    <x v="141"/>
    <x v="2"/>
    <x v="25"/>
    <n v="50"/>
    <n v="560"/>
    <x v="0"/>
  </r>
  <r>
    <n v="10116"/>
    <x v="224"/>
    <x v="2"/>
    <x v="6"/>
    <n v="12"/>
    <n v="172.8"/>
    <x v="0"/>
  </r>
  <r>
    <n v="10116"/>
    <x v="224"/>
    <x v="2"/>
    <x v="51"/>
    <n v="12"/>
    <n v="74.400000000000006"/>
    <x v="0"/>
  </r>
  <r>
    <n v="10116"/>
    <x v="224"/>
    <x v="2"/>
    <x v="5"/>
    <n v="20"/>
    <n v="200"/>
    <x v="0"/>
  </r>
  <r>
    <n v="10117"/>
    <x v="224"/>
    <x v="2"/>
    <x v="38"/>
    <n v="5"/>
    <n v="86"/>
    <x v="1"/>
  </r>
  <r>
    <n v="10117"/>
    <x v="224"/>
    <x v="2"/>
    <x v="32"/>
    <n v="30"/>
    <n v="864"/>
    <x v="1"/>
  </r>
  <r>
    <n v="10118"/>
    <x v="225"/>
    <x v="2"/>
    <x v="33"/>
    <n v="24"/>
    <n v="403.2"/>
    <x v="0"/>
  </r>
  <r>
    <n v="10119"/>
    <x v="226"/>
    <x v="2"/>
    <x v="33"/>
    <n v="5"/>
    <n v="84"/>
    <x v="3"/>
  </r>
  <r>
    <n v="10119"/>
    <x v="226"/>
    <x v="2"/>
    <x v="52"/>
    <n v="5"/>
    <n v="52"/>
    <x v="3"/>
  </r>
  <r>
    <n v="10120"/>
    <x v="226"/>
    <x v="2"/>
    <x v="27"/>
    <n v="18"/>
    <n v="106.2"/>
    <x v="0"/>
  </r>
  <r>
    <n v="10120"/>
    <x v="226"/>
    <x v="2"/>
    <x v="33"/>
    <n v="15"/>
    <n v="252"/>
    <x v="0"/>
  </r>
  <r>
    <n v="10120"/>
    <x v="226"/>
    <x v="2"/>
    <x v="52"/>
    <n v="7"/>
    <n v="72.8"/>
    <x v="0"/>
  </r>
  <r>
    <n v="10120"/>
    <x v="226"/>
    <x v="2"/>
    <x v="25"/>
    <n v="36"/>
    <n v="403.2"/>
    <x v="0"/>
  </r>
  <r>
    <n v="10121"/>
    <x v="227"/>
    <x v="2"/>
    <x v="108"/>
    <n v="25"/>
    <n v="390"/>
    <x v="4"/>
  </r>
  <r>
    <n v="10121"/>
    <x v="227"/>
    <x v="2"/>
    <x v="44"/>
    <n v="35"/>
    <n v="931"/>
    <x v="4"/>
  </r>
  <r>
    <n v="10121"/>
    <x v="227"/>
    <x v="2"/>
    <x v="50"/>
    <n v="5"/>
    <n v="40"/>
    <x v="4"/>
  </r>
  <r>
    <n v="10121"/>
    <x v="227"/>
    <x v="2"/>
    <x v="20"/>
    <n v="13"/>
    <n v="473.2"/>
    <x v="4"/>
  </r>
  <r>
    <n v="10122"/>
    <x v="228"/>
    <x v="2"/>
    <x v="46"/>
    <n v="20"/>
    <n v="1980"/>
    <x v="0"/>
  </r>
  <r>
    <n v="10122"/>
    <x v="228"/>
    <x v="2"/>
    <x v="31"/>
    <n v="18"/>
    <n v="547.20000000000005"/>
    <x v="0"/>
  </r>
  <r>
    <n v="10123"/>
    <x v="229"/>
    <x v="2"/>
    <x v="6"/>
    <n v="15"/>
    <n v="216"/>
    <x v="4"/>
  </r>
  <r>
    <n v="10123"/>
    <x v="229"/>
    <x v="2"/>
    <x v="44"/>
    <n v="30"/>
    <n v="798"/>
    <x v="4"/>
  </r>
  <r>
    <n v="10123"/>
    <x v="229"/>
    <x v="2"/>
    <x v="50"/>
    <n v="20"/>
    <n v="160"/>
    <x v="4"/>
  </r>
  <r>
    <n v="10124"/>
    <x v="229"/>
    <x v="2"/>
    <x v="11"/>
    <n v="6"/>
    <n v="91.2"/>
    <x v="5"/>
  </r>
  <r>
    <n v="10125"/>
    <x v="230"/>
    <x v="2"/>
    <x v="30"/>
    <n v="12"/>
    <n v="777.6"/>
    <x v="0"/>
  </r>
  <r>
    <n v="10125"/>
    <x v="230"/>
    <x v="2"/>
    <x v="48"/>
    <n v="40"/>
    <n v="8432"/>
    <x v="0"/>
  </r>
  <r>
    <n v="10125"/>
    <x v="230"/>
    <x v="2"/>
    <x v="14"/>
    <n v="42"/>
    <n v="1167.5999999999999"/>
    <x v="0"/>
  </r>
  <r>
    <n v="10125"/>
    <x v="230"/>
    <x v="2"/>
    <x v="23"/>
    <n v="70"/>
    <n v="1904"/>
    <x v="0"/>
  </r>
  <r>
    <n v="10130"/>
    <x v="143"/>
    <x v="2"/>
    <x v="20"/>
    <n v="20"/>
    <n v="728"/>
    <x v="1"/>
  </r>
  <r>
    <n v="10130"/>
    <x v="143"/>
    <x v="2"/>
    <x v="6"/>
    <n v="20"/>
    <n v="288"/>
    <x v="1"/>
  </r>
  <r>
    <n v="10131"/>
    <x v="231"/>
    <x v="2"/>
    <x v="38"/>
    <n v="6"/>
    <n v="103.2"/>
    <x v="1"/>
  </r>
  <r>
    <n v="10132"/>
    <x v="232"/>
    <x v="2"/>
    <x v="33"/>
    <n v="20"/>
    <n v="336"/>
    <x v="5"/>
  </r>
  <r>
    <n v="10132"/>
    <x v="232"/>
    <x v="2"/>
    <x v="8"/>
    <n v="16"/>
    <n v="561.6"/>
    <x v="5"/>
  </r>
  <r>
    <n v="10132"/>
    <x v="232"/>
    <x v="2"/>
    <x v="13"/>
    <n v="8"/>
    <n v="61.6"/>
    <x v="5"/>
  </r>
  <r>
    <n v="10133"/>
    <x v="233"/>
    <x v="2"/>
    <x v="37"/>
    <n v="20"/>
    <n v="524"/>
    <x v="4"/>
  </r>
  <r>
    <n v="10133"/>
    <x v="233"/>
    <x v="2"/>
    <x v="23"/>
    <n v="6"/>
    <n v="163.19999999999999"/>
    <x v="4"/>
  </r>
  <r>
    <n v="10133"/>
    <x v="233"/>
    <x v="2"/>
    <x v="62"/>
    <n v="30"/>
    <n v="360"/>
    <x v="4"/>
  </r>
  <r>
    <n v="10133"/>
    <x v="233"/>
    <x v="2"/>
    <x v="12"/>
    <n v="18"/>
    <n v="372.6"/>
    <x v="4"/>
  </r>
  <r>
    <n v="10134"/>
    <x v="233"/>
    <x v="2"/>
    <x v="50"/>
    <n v="14"/>
    <n v="112"/>
    <x v="1"/>
  </r>
  <r>
    <n v="10135"/>
    <x v="234"/>
    <x v="2"/>
    <x v="36"/>
    <n v="9"/>
    <n v="450"/>
    <x v="0"/>
  </r>
  <r>
    <n v="10135"/>
    <x v="234"/>
    <x v="2"/>
    <x v="16"/>
    <n v="60"/>
    <n v="120"/>
    <x v="0"/>
  </r>
  <r>
    <n v="10135"/>
    <x v="234"/>
    <x v="2"/>
    <x v="10"/>
    <n v="32"/>
    <n v="544"/>
    <x v="0"/>
  </r>
  <r>
    <n v="10135"/>
    <x v="234"/>
    <x v="2"/>
    <x v="46"/>
    <n v="14"/>
    <n v="1386"/>
    <x v="0"/>
  </r>
  <r>
    <n v="10135"/>
    <x v="234"/>
    <x v="2"/>
    <x v="50"/>
    <n v="50"/>
    <n v="400"/>
    <x v="0"/>
  </r>
  <r>
    <n v="10136"/>
    <x v="235"/>
    <x v="2"/>
    <x v="45"/>
    <n v="15"/>
    <n v="195"/>
    <x v="4"/>
  </r>
  <r>
    <n v="10136"/>
    <x v="235"/>
    <x v="2"/>
    <x v="31"/>
    <n v="20"/>
    <n v="608"/>
    <x v="4"/>
  </r>
  <r>
    <n v="10136"/>
    <x v="235"/>
    <x v="2"/>
    <x v="18"/>
    <n v="20"/>
    <n v="96"/>
    <x v="4"/>
  </r>
  <r>
    <n v="10137"/>
    <x v="235"/>
    <x v="2"/>
    <x v="30"/>
    <n v="28"/>
    <n v="1814.4"/>
    <x v="3"/>
  </r>
  <r>
    <n v="10137"/>
    <x v="235"/>
    <x v="2"/>
    <x v="23"/>
    <n v="15"/>
    <n v="408"/>
    <x v="3"/>
  </r>
  <r>
    <n v="10138"/>
    <x v="236"/>
    <x v="2"/>
    <x v="5"/>
    <n v="8"/>
    <n v="80"/>
    <x v="5"/>
  </r>
  <r>
    <n v="10138"/>
    <x v="236"/>
    <x v="2"/>
    <x v="91"/>
    <n v="10"/>
    <n v="240"/>
    <x v="5"/>
  </r>
  <r>
    <n v="10138"/>
    <x v="236"/>
    <x v="2"/>
    <x v="23"/>
    <n v="20"/>
    <n v="544"/>
    <x v="5"/>
  </r>
  <r>
    <n v="10139"/>
    <x v="41"/>
    <x v="2"/>
    <x v="7"/>
    <n v="15"/>
    <n v="54"/>
    <x v="1"/>
  </r>
  <r>
    <n v="10139"/>
    <x v="41"/>
    <x v="2"/>
    <x v="25"/>
    <n v="10"/>
    <n v="112"/>
    <x v="1"/>
  </r>
  <r>
    <n v="10142"/>
    <x v="237"/>
    <x v="2"/>
    <x v="62"/>
    <n v="30"/>
    <n v="360"/>
    <x v="1"/>
  </r>
  <r>
    <n v="10142"/>
    <x v="237"/>
    <x v="2"/>
    <x v="43"/>
    <n v="15"/>
    <n v="288"/>
    <x v="1"/>
  </r>
  <r>
    <n v="10142"/>
    <x v="237"/>
    <x v="2"/>
    <x v="19"/>
    <n v="16"/>
    <n v="396.8"/>
    <x v="1"/>
  </r>
  <r>
    <n v="10142"/>
    <x v="237"/>
    <x v="2"/>
    <x v="47"/>
    <n v="20"/>
    <n v="788"/>
    <x v="1"/>
  </r>
  <r>
    <n v="10143"/>
    <x v="238"/>
    <x v="2"/>
    <x v="26"/>
    <n v="45"/>
    <n v="432"/>
    <x v="5"/>
  </r>
  <r>
    <n v="10143"/>
    <x v="238"/>
    <x v="2"/>
    <x v="5"/>
    <n v="60"/>
    <n v="600"/>
    <x v="5"/>
  </r>
  <r>
    <n v="10143"/>
    <x v="238"/>
    <x v="2"/>
    <x v="14"/>
    <n v="24"/>
    <n v="667.2"/>
    <x v="5"/>
  </r>
  <r>
    <n v="10143"/>
    <x v="238"/>
    <x v="2"/>
    <x v="6"/>
    <n v="40"/>
    <n v="576"/>
    <x v="5"/>
  </r>
  <r>
    <n v="10144"/>
    <x v="238"/>
    <x v="2"/>
    <x v="18"/>
    <n v="18"/>
    <n v="86.4"/>
    <x v="0"/>
  </r>
  <r>
    <n v="10145"/>
    <x v="239"/>
    <x v="2"/>
    <x v="32"/>
    <n v="50"/>
    <n v="1440"/>
    <x v="0"/>
  </r>
  <r>
    <n v="10146"/>
    <x v="240"/>
    <x v="2"/>
    <x v="5"/>
    <n v="32"/>
    <n v="320"/>
    <x v="0"/>
  </r>
  <r>
    <n v="10146"/>
    <x v="240"/>
    <x v="2"/>
    <x v="25"/>
    <n v="7"/>
    <n v="78.400000000000006"/>
    <x v="0"/>
  </r>
  <r>
    <n v="10146"/>
    <x v="240"/>
    <x v="2"/>
    <x v="41"/>
    <n v="70"/>
    <n v="1743"/>
    <x v="0"/>
  </r>
  <r>
    <n v="10146"/>
    <x v="240"/>
    <x v="2"/>
    <x v="3"/>
    <n v="42"/>
    <n v="781.2"/>
    <x v="0"/>
  </r>
  <r>
    <n v="10146"/>
    <x v="240"/>
    <x v="2"/>
    <x v="11"/>
    <n v="25"/>
    <n v="380"/>
    <x v="0"/>
  </r>
  <r>
    <n v="10147"/>
    <x v="240"/>
    <x v="2"/>
    <x v="47"/>
    <n v="10"/>
    <n v="394"/>
    <x v="0"/>
  </r>
  <r>
    <n v="10147"/>
    <x v="240"/>
    <x v="2"/>
    <x v="18"/>
    <n v="10"/>
    <n v="48"/>
    <x v="0"/>
  </r>
  <r>
    <n v="10148"/>
    <x v="241"/>
    <x v="2"/>
    <x v="32"/>
    <n v="8"/>
    <n v="230.4"/>
    <x v="4"/>
  </r>
  <r>
    <n v="10148"/>
    <x v="241"/>
    <x v="2"/>
    <x v="37"/>
    <n v="70"/>
    <n v="1834"/>
    <x v="4"/>
  </r>
  <r>
    <n v="10148"/>
    <x v="241"/>
    <x v="2"/>
    <x v="26"/>
    <n v="28"/>
    <n v="268.8"/>
    <x v="4"/>
  </r>
  <r>
    <n v="10149"/>
    <x v="145"/>
    <x v="2"/>
    <x v="38"/>
    <n v="60"/>
    <n v="1032"/>
    <x v="3"/>
  </r>
  <r>
    <n v="10149"/>
    <x v="145"/>
    <x v="2"/>
    <x v="42"/>
    <n v="40"/>
    <n v="288"/>
    <x v="3"/>
  </r>
  <r>
    <n v="10149"/>
    <x v="145"/>
    <x v="2"/>
    <x v="14"/>
    <n v="21"/>
    <n v="583.79999999999995"/>
    <x v="3"/>
  </r>
  <r>
    <n v="10150"/>
    <x v="145"/>
    <x v="2"/>
    <x v="50"/>
    <n v="10"/>
    <n v="80"/>
    <x v="0"/>
  </r>
  <r>
    <n v="10151"/>
    <x v="242"/>
    <x v="2"/>
    <x v="6"/>
    <n v="30"/>
    <n v="432"/>
    <x v="5"/>
  </r>
  <r>
    <n v="10151"/>
    <x v="242"/>
    <x v="2"/>
    <x v="43"/>
    <n v="120"/>
    <n v="2304"/>
    <x v="5"/>
  </r>
  <r>
    <n v="10152"/>
    <x v="42"/>
    <x v="2"/>
    <x v="6"/>
    <n v="35"/>
    <n v="504"/>
    <x v="4"/>
  </r>
  <r>
    <n v="10152"/>
    <x v="42"/>
    <x v="2"/>
    <x v="52"/>
    <n v="14"/>
    <n v="145.6"/>
    <x v="4"/>
  </r>
  <r>
    <n v="10154"/>
    <x v="43"/>
    <x v="2"/>
    <x v="33"/>
    <n v="20"/>
    <n v="336"/>
    <x v="4"/>
  </r>
  <r>
    <n v="10154"/>
    <x v="43"/>
    <x v="2"/>
    <x v="38"/>
    <n v="60"/>
    <n v="1032"/>
    <x v="4"/>
  </r>
  <r>
    <n v="10155"/>
    <x v="243"/>
    <x v="2"/>
    <x v="8"/>
    <n v="65"/>
    <n v="2281.5"/>
    <x v="0"/>
  </r>
  <r>
    <n v="10155"/>
    <x v="243"/>
    <x v="2"/>
    <x v="42"/>
    <n v="60"/>
    <n v="432"/>
    <x v="0"/>
  </r>
  <r>
    <n v="10156"/>
    <x v="244"/>
    <x v="2"/>
    <x v="34"/>
    <n v="21"/>
    <n v="291.89999999999998"/>
    <x v="0"/>
  </r>
  <r>
    <n v="10156"/>
    <x v="244"/>
    <x v="2"/>
    <x v="109"/>
    <n v="70"/>
    <n v="714"/>
    <x v="0"/>
  </r>
  <r>
    <n v="10157"/>
    <x v="244"/>
    <x v="2"/>
    <x v="25"/>
    <n v="40"/>
    <n v="448"/>
    <x v="0"/>
  </r>
  <r>
    <n v="10157"/>
    <x v="244"/>
    <x v="2"/>
    <x v="41"/>
    <n v="30"/>
    <n v="747"/>
    <x v="0"/>
  </r>
  <r>
    <n v="10157"/>
    <x v="244"/>
    <x v="2"/>
    <x v="4"/>
    <n v="30"/>
    <n v="480"/>
    <x v="0"/>
  </r>
  <r>
    <n v="10158"/>
    <x v="245"/>
    <x v="2"/>
    <x v="50"/>
    <n v="50"/>
    <n v="400"/>
    <x v="1"/>
  </r>
  <r>
    <n v="10159"/>
    <x v="246"/>
    <x v="2"/>
    <x v="35"/>
    <n v="2"/>
    <n v="29.4"/>
    <x v="1"/>
  </r>
  <r>
    <n v="10159"/>
    <x v="246"/>
    <x v="2"/>
    <x v="50"/>
    <n v="30"/>
    <n v="240"/>
    <x v="1"/>
  </r>
  <r>
    <n v="10159"/>
    <x v="246"/>
    <x v="2"/>
    <x v="20"/>
    <n v="42"/>
    <n v="1528.8"/>
    <x v="1"/>
  </r>
  <r>
    <n v="10159"/>
    <x v="246"/>
    <x v="2"/>
    <x v="6"/>
    <n v="10"/>
    <n v="144"/>
    <x v="1"/>
  </r>
  <r>
    <n v="10159"/>
    <x v="246"/>
    <x v="2"/>
    <x v="11"/>
    <n v="5"/>
    <n v="76"/>
    <x v="1"/>
  </r>
  <r>
    <n v="10160"/>
    <x v="246"/>
    <x v="2"/>
    <x v="32"/>
    <n v="15"/>
    <n v="432"/>
    <x v="0"/>
  </r>
  <r>
    <n v="10160"/>
    <x v="246"/>
    <x v="2"/>
    <x v="33"/>
    <n v="30"/>
    <n v="504"/>
    <x v="0"/>
  </r>
  <r>
    <n v="10160"/>
    <x v="246"/>
    <x v="2"/>
    <x v="38"/>
    <n v="15"/>
    <n v="258"/>
    <x v="0"/>
  </r>
  <r>
    <n v="10161"/>
    <x v="247"/>
    <x v="2"/>
    <x v="102"/>
    <n v="10"/>
    <n v="208"/>
    <x v="5"/>
  </r>
  <r>
    <n v="10161"/>
    <x v="247"/>
    <x v="2"/>
    <x v="47"/>
    <n v="35"/>
    <n v="1379"/>
    <x v="5"/>
  </r>
  <r>
    <n v="10161"/>
    <x v="247"/>
    <x v="2"/>
    <x v="27"/>
    <n v="6"/>
    <n v="35.4"/>
    <x v="5"/>
  </r>
  <r>
    <n v="10162"/>
    <x v="248"/>
    <x v="2"/>
    <x v="50"/>
    <n v="12"/>
    <n v="96"/>
    <x v="1"/>
  </r>
  <r>
    <n v="10162"/>
    <x v="248"/>
    <x v="2"/>
    <x v="3"/>
    <n v="12"/>
    <n v="223.2"/>
    <x v="1"/>
  </r>
  <r>
    <n v="10163"/>
    <x v="44"/>
    <x v="2"/>
    <x v="17"/>
    <n v="16"/>
    <n v="704"/>
    <x v="1"/>
  </r>
  <r>
    <n v="10163"/>
    <x v="44"/>
    <x v="2"/>
    <x v="16"/>
    <n v="49"/>
    <n v="98"/>
    <x v="1"/>
  </r>
  <r>
    <n v="10164"/>
    <x v="44"/>
    <x v="2"/>
    <x v="13"/>
    <n v="25"/>
    <n v="192.5"/>
    <x v="0"/>
  </r>
  <r>
    <n v="10167"/>
    <x v="46"/>
    <x v="2"/>
    <x v="24"/>
    <n v="18"/>
    <n v="131.4"/>
    <x v="3"/>
  </r>
  <r>
    <n v="10168"/>
    <x v="47"/>
    <x v="2"/>
    <x v="16"/>
    <n v="20"/>
    <n v="40"/>
    <x v="1"/>
  </r>
  <r>
    <n v="10169"/>
    <x v="249"/>
    <x v="2"/>
    <x v="108"/>
    <n v="20"/>
    <n v="312"/>
    <x v="0"/>
  </r>
  <r>
    <n v="10169"/>
    <x v="249"/>
    <x v="2"/>
    <x v="37"/>
    <n v="10"/>
    <n v="262"/>
    <x v="0"/>
  </r>
  <r>
    <n v="10169"/>
    <x v="249"/>
    <x v="2"/>
    <x v="24"/>
    <n v="20"/>
    <n v="146"/>
    <x v="0"/>
  </r>
  <r>
    <n v="10170"/>
    <x v="249"/>
    <x v="2"/>
    <x v="26"/>
    <n v="2"/>
    <n v="19.2"/>
    <x v="5"/>
  </r>
  <r>
    <n v="10170"/>
    <x v="249"/>
    <x v="2"/>
    <x v="48"/>
    <n v="50"/>
    <n v="10540"/>
    <x v="5"/>
  </r>
  <r>
    <n v="10170"/>
    <x v="249"/>
    <x v="2"/>
    <x v="5"/>
    <n v="36"/>
    <n v="360"/>
    <x v="5"/>
  </r>
  <r>
    <n v="10170"/>
    <x v="249"/>
    <x v="2"/>
    <x v="52"/>
    <n v="35"/>
    <n v="364"/>
    <x v="5"/>
  </r>
  <r>
    <n v="10171"/>
    <x v="250"/>
    <x v="2"/>
    <x v="104"/>
    <n v="55"/>
    <n v="418"/>
    <x v="4"/>
  </r>
  <r>
    <n v="10171"/>
    <x v="250"/>
    <x v="2"/>
    <x v="50"/>
    <n v="15"/>
    <n v="120"/>
    <x v="4"/>
  </r>
  <r>
    <n v="10171"/>
    <x v="250"/>
    <x v="2"/>
    <x v="110"/>
    <n v="16"/>
    <n v="364.8"/>
    <x v="4"/>
  </r>
  <r>
    <n v="10171"/>
    <x v="250"/>
    <x v="2"/>
    <x v="11"/>
    <n v="60"/>
    <n v="912"/>
    <x v="4"/>
  </r>
  <r>
    <n v="10172"/>
    <x v="251"/>
    <x v="2"/>
    <x v="23"/>
    <n v="60"/>
    <n v="1632"/>
    <x v="5"/>
  </r>
  <r>
    <n v="10172"/>
    <x v="251"/>
    <x v="2"/>
    <x v="32"/>
    <n v="20"/>
    <n v="576"/>
    <x v="5"/>
  </r>
  <r>
    <n v="10173"/>
    <x v="252"/>
    <x v="2"/>
    <x v="111"/>
    <n v="20"/>
    <n v="1552"/>
    <x v="0"/>
  </r>
  <r>
    <n v="10173"/>
    <x v="252"/>
    <x v="2"/>
    <x v="18"/>
    <n v="2"/>
    <n v="9.6"/>
    <x v="0"/>
  </r>
  <r>
    <n v="10173"/>
    <x v="252"/>
    <x v="2"/>
    <x v="62"/>
    <n v="8"/>
    <n v="96"/>
    <x v="0"/>
  </r>
  <r>
    <n v="10173"/>
    <x v="252"/>
    <x v="2"/>
    <x v="62"/>
    <n v="20"/>
    <n v="240"/>
    <x v="0"/>
  </r>
  <r>
    <n v="10174"/>
    <x v="252"/>
    <x v="2"/>
    <x v="24"/>
    <n v="4"/>
    <n v="29.2"/>
    <x v="0"/>
  </r>
  <r>
    <n v="10174"/>
    <x v="252"/>
    <x v="2"/>
    <x v="37"/>
    <n v="15"/>
    <n v="393"/>
    <x v="0"/>
  </r>
  <r>
    <n v="10174"/>
    <x v="252"/>
    <x v="2"/>
    <x v="41"/>
    <n v="30"/>
    <n v="747"/>
    <x v="0"/>
  </r>
  <r>
    <n v="10174"/>
    <x v="252"/>
    <x v="2"/>
    <x v="52"/>
    <n v="10"/>
    <n v="104"/>
    <x v="0"/>
  </r>
  <r>
    <n v="10175"/>
    <x v="253"/>
    <x v="2"/>
    <x v="41"/>
    <n v="2"/>
    <n v="49.8"/>
    <x v="0"/>
  </r>
  <r>
    <n v="10176"/>
    <x v="48"/>
    <x v="2"/>
    <x v="5"/>
    <n v="14"/>
    <n v="140"/>
    <x v="4"/>
  </r>
  <r>
    <n v="10179"/>
    <x v="147"/>
    <x v="2"/>
    <x v="44"/>
    <n v="7"/>
    <n v="186.2"/>
    <x v="3"/>
  </r>
  <r>
    <n v="10180"/>
    <x v="147"/>
    <x v="2"/>
    <x v="3"/>
    <n v="35"/>
    <n v="651"/>
    <x v="0"/>
  </r>
  <r>
    <n v="10181"/>
    <x v="254"/>
    <x v="2"/>
    <x v="26"/>
    <n v="20"/>
    <n v="192"/>
    <x v="4"/>
  </r>
  <r>
    <n v="10182"/>
    <x v="255"/>
    <x v="2"/>
    <x v="8"/>
    <n v="35"/>
    <n v="1228.5"/>
    <x v="4"/>
  </r>
  <r>
    <n v="10182"/>
    <x v="255"/>
    <x v="2"/>
    <x v="45"/>
    <n v="40"/>
    <n v="520"/>
    <x v="4"/>
  </r>
  <r>
    <n v="10183"/>
    <x v="49"/>
    <x v="2"/>
    <x v="17"/>
    <n v="70"/>
    <n v="3080"/>
    <x v="5"/>
  </r>
  <r>
    <n v="10183"/>
    <x v="49"/>
    <x v="2"/>
    <x v="31"/>
    <n v="30"/>
    <n v="912"/>
    <x v="5"/>
  </r>
  <r>
    <n v="10183"/>
    <x v="49"/>
    <x v="2"/>
    <x v="50"/>
    <n v="50"/>
    <n v="400"/>
    <x v="5"/>
  </r>
  <r>
    <n v="10184"/>
    <x v="49"/>
    <x v="2"/>
    <x v="35"/>
    <n v="50"/>
    <n v="735"/>
    <x v="4"/>
  </r>
  <r>
    <n v="10184"/>
    <x v="49"/>
    <x v="2"/>
    <x v="104"/>
    <n v="30"/>
    <n v="228"/>
    <x v="4"/>
  </r>
  <r>
    <n v="10185"/>
    <x v="256"/>
    <x v="2"/>
    <x v="27"/>
    <n v="40"/>
    <n v="236"/>
    <x v="1"/>
  </r>
  <r>
    <n v="10185"/>
    <x v="256"/>
    <x v="2"/>
    <x v="41"/>
    <n v="10"/>
    <n v="249"/>
    <x v="1"/>
  </r>
  <r>
    <n v="10186"/>
    <x v="257"/>
    <x v="2"/>
    <x v="31"/>
    <n v="28"/>
    <n v="851.2"/>
    <x v="1"/>
  </r>
  <r>
    <n v="10187"/>
    <x v="257"/>
    <x v="2"/>
    <x v="6"/>
    <n v="18"/>
    <n v="259.2"/>
    <x v="1"/>
  </r>
  <r>
    <n v="10187"/>
    <x v="257"/>
    <x v="2"/>
    <x v="33"/>
    <n v="6"/>
    <n v="100.8"/>
    <x v="1"/>
  </r>
  <r>
    <n v="10188"/>
    <x v="258"/>
    <x v="2"/>
    <x v="14"/>
    <n v="10"/>
    <n v="278"/>
    <x v="1"/>
  </r>
  <r>
    <n v="10188"/>
    <x v="258"/>
    <x v="2"/>
    <x v="33"/>
    <n v="12"/>
    <n v="201.6"/>
    <x v="1"/>
  </r>
  <r>
    <n v="10188"/>
    <x v="258"/>
    <x v="2"/>
    <x v="11"/>
    <n v="10"/>
    <n v="152"/>
    <x v="1"/>
  </r>
  <r>
    <n v="10189"/>
    <x v="259"/>
    <x v="2"/>
    <x v="51"/>
    <n v="24"/>
    <n v="148.80000000000001"/>
    <x v="5"/>
  </r>
  <r>
    <n v="10189"/>
    <x v="259"/>
    <x v="2"/>
    <x v="44"/>
    <n v="30"/>
    <n v="798"/>
    <x v="5"/>
  </r>
  <r>
    <n v="10189"/>
    <x v="259"/>
    <x v="2"/>
    <x v="31"/>
    <n v="40"/>
    <n v="1216"/>
    <x v="5"/>
  </r>
  <r>
    <n v="10189"/>
    <x v="259"/>
    <x v="2"/>
    <x v="26"/>
    <n v="5"/>
    <n v="48"/>
    <x v="5"/>
  </r>
  <r>
    <n v="10190"/>
    <x v="259"/>
    <x v="2"/>
    <x v="37"/>
    <n v="15"/>
    <n v="393"/>
    <x v="5"/>
  </r>
  <r>
    <n v="10191"/>
    <x v="260"/>
    <x v="2"/>
    <x v="25"/>
    <n v="20"/>
    <n v="224"/>
    <x v="0"/>
  </r>
  <r>
    <n v="10191"/>
    <x v="260"/>
    <x v="2"/>
    <x v="108"/>
    <n v="15"/>
    <n v="234"/>
    <x v="0"/>
  </r>
  <r>
    <n v="10191"/>
    <x v="260"/>
    <x v="2"/>
    <x v="24"/>
    <n v="15"/>
    <n v="109.5"/>
    <x v="0"/>
  </r>
  <r>
    <n v="10192"/>
    <x v="261"/>
    <x v="2"/>
    <x v="50"/>
    <n v="30"/>
    <n v="240"/>
    <x v="1"/>
  </r>
  <r>
    <n v="10192"/>
    <x v="261"/>
    <x v="2"/>
    <x v="34"/>
    <n v="16"/>
    <n v="222.4"/>
    <x v="1"/>
  </r>
  <r>
    <n v="10192"/>
    <x v="261"/>
    <x v="2"/>
    <x v="31"/>
    <n v="15"/>
    <n v="456"/>
    <x v="1"/>
  </r>
  <r>
    <n v="10192"/>
    <x v="261"/>
    <x v="2"/>
    <x v="44"/>
    <n v="6"/>
    <n v="159.6"/>
    <x v="1"/>
  </r>
  <r>
    <n v="10193"/>
    <x v="262"/>
    <x v="2"/>
    <x v="46"/>
    <n v="24"/>
    <n v="2376"/>
    <x v="0"/>
  </r>
  <r>
    <n v="10193"/>
    <x v="262"/>
    <x v="2"/>
    <x v="110"/>
    <n v="90"/>
    <n v="2052"/>
    <x v="0"/>
  </r>
  <r>
    <n v="10193"/>
    <x v="262"/>
    <x v="2"/>
    <x v="34"/>
    <n v="49"/>
    <n v="681.1"/>
    <x v="0"/>
  </r>
  <r>
    <n v="10193"/>
    <x v="262"/>
    <x v="2"/>
    <x v="11"/>
    <n v="45"/>
    <n v="684"/>
    <x v="0"/>
  </r>
  <r>
    <n v="10194"/>
    <x v="262"/>
    <x v="2"/>
    <x v="8"/>
    <n v="50"/>
    <n v="1755"/>
    <x v="1"/>
  </r>
  <r>
    <n v="10195"/>
    <x v="50"/>
    <x v="2"/>
    <x v="33"/>
    <n v="30"/>
    <n v="504"/>
    <x v="3"/>
  </r>
  <r>
    <n v="10197"/>
    <x v="51"/>
    <x v="2"/>
    <x v="6"/>
    <n v="8"/>
    <n v="115.2"/>
    <x v="1"/>
  </r>
  <r>
    <n v="10198"/>
    <x v="263"/>
    <x v="2"/>
    <x v="27"/>
    <n v="15"/>
    <n v="88.5"/>
    <x v="1"/>
  </r>
  <r>
    <n v="10198"/>
    <x v="263"/>
    <x v="2"/>
    <x v="6"/>
    <n v="6"/>
    <n v="86.4"/>
    <x v="1"/>
  </r>
  <r>
    <n v="10199"/>
    <x v="264"/>
    <x v="2"/>
    <x v="39"/>
    <n v="15"/>
    <n v="84"/>
    <x v="5"/>
  </r>
  <r>
    <n v="10199"/>
    <x v="264"/>
    <x v="2"/>
    <x v="24"/>
    <n v="12"/>
    <n v="87.6"/>
    <x v="5"/>
  </r>
  <r>
    <n v="10199"/>
    <x v="264"/>
    <x v="2"/>
    <x v="5"/>
    <n v="3"/>
    <n v="30"/>
    <x v="5"/>
  </r>
  <r>
    <n v="10199"/>
    <x v="264"/>
    <x v="2"/>
    <x v="7"/>
    <n v="20"/>
    <n v="72"/>
    <x v="5"/>
  </r>
  <r>
    <n v="10200"/>
    <x v="264"/>
    <x v="2"/>
    <x v="38"/>
    <n v="2"/>
    <n v="34.4"/>
    <x v="1"/>
  </r>
  <r>
    <n v="10200"/>
    <x v="264"/>
    <x v="2"/>
    <x v="24"/>
    <n v="40"/>
    <n v="292"/>
    <x v="1"/>
  </r>
  <r>
    <n v="10200"/>
    <x v="264"/>
    <x v="2"/>
    <x v="33"/>
    <n v="35"/>
    <n v="588"/>
    <x v="1"/>
  </r>
  <r>
    <n v="10201"/>
    <x v="265"/>
    <x v="2"/>
    <x v="35"/>
    <n v="20"/>
    <n v="294"/>
    <x v="0"/>
  </r>
  <r>
    <n v="10201"/>
    <x v="265"/>
    <x v="2"/>
    <x v="41"/>
    <n v="6"/>
    <n v="149.4"/>
    <x v="0"/>
  </r>
  <r>
    <n v="10202"/>
    <x v="52"/>
    <x v="2"/>
    <x v="47"/>
    <n v="35"/>
    <n v="1379"/>
    <x v="5"/>
  </r>
  <r>
    <n v="10202"/>
    <x v="52"/>
    <x v="2"/>
    <x v="19"/>
    <n v="14"/>
    <n v="347.2"/>
    <x v="5"/>
  </r>
  <r>
    <n v="10205"/>
    <x v="266"/>
    <x v="2"/>
    <x v="20"/>
    <n v="15"/>
    <n v="546"/>
    <x v="0"/>
  </r>
  <r>
    <n v="10205"/>
    <x v="266"/>
    <x v="2"/>
    <x v="29"/>
    <n v="100"/>
    <n v="1550"/>
    <x v="0"/>
  </r>
  <r>
    <n v="10206"/>
    <x v="267"/>
    <x v="2"/>
    <x v="62"/>
    <n v="25"/>
    <n v="300"/>
    <x v="0"/>
  </r>
  <r>
    <n v="10206"/>
    <x v="267"/>
    <x v="2"/>
    <x v="109"/>
    <n v="15"/>
    <n v="153"/>
    <x v="0"/>
  </r>
  <r>
    <n v="10207"/>
    <x v="267"/>
    <x v="2"/>
    <x v="34"/>
    <n v="20"/>
    <n v="278"/>
    <x v="0"/>
  </r>
  <r>
    <n v="10207"/>
    <x v="267"/>
    <x v="2"/>
    <x v="16"/>
    <n v="20"/>
    <n v="40"/>
    <x v="0"/>
  </r>
  <r>
    <n v="10207"/>
    <x v="267"/>
    <x v="2"/>
    <x v="26"/>
    <n v="10"/>
    <n v="96"/>
    <x v="0"/>
  </r>
  <r>
    <n v="10208"/>
    <x v="268"/>
    <x v="2"/>
    <x v="37"/>
    <n v="50"/>
    <n v="1310"/>
    <x v="0"/>
  </r>
  <r>
    <n v="10208"/>
    <x v="268"/>
    <x v="2"/>
    <x v="38"/>
    <n v="30"/>
    <n v="516"/>
    <x v="0"/>
  </r>
  <r>
    <n v="10208"/>
    <x v="268"/>
    <x v="2"/>
    <x v="110"/>
    <n v="25"/>
    <n v="570"/>
    <x v="0"/>
  </r>
  <r>
    <n v="10208"/>
    <x v="268"/>
    <x v="2"/>
    <x v="6"/>
    <n v="20"/>
    <n v="288"/>
    <x v="0"/>
  </r>
  <r>
    <n v="10209"/>
    <x v="269"/>
    <x v="2"/>
    <x v="50"/>
    <n v="40"/>
    <n v="320"/>
    <x v="3"/>
  </r>
  <r>
    <n v="10209"/>
    <x v="269"/>
    <x v="2"/>
    <x v="4"/>
    <n v="21"/>
    <n v="336"/>
    <x v="3"/>
  </r>
  <r>
    <n v="10210"/>
    <x v="269"/>
    <x v="2"/>
    <x v="17"/>
    <n v="36"/>
    <n v="1584"/>
    <x v="4"/>
  </r>
  <r>
    <n v="10211"/>
    <x v="270"/>
    <x v="2"/>
    <x v="41"/>
    <n v="30"/>
    <n v="747"/>
    <x v="4"/>
  </r>
  <r>
    <n v="10211"/>
    <x v="270"/>
    <x v="2"/>
    <x v="15"/>
    <n v="20"/>
    <n v="736"/>
    <x v="4"/>
  </r>
  <r>
    <n v="10211"/>
    <x v="270"/>
    <x v="2"/>
    <x v="20"/>
    <n v="30"/>
    <n v="1092"/>
    <x v="4"/>
  </r>
  <r>
    <n v="10211"/>
    <x v="270"/>
    <x v="2"/>
    <x v="31"/>
    <n v="15"/>
    <n v="456"/>
    <x v="4"/>
  </r>
  <r>
    <n v="10211"/>
    <x v="270"/>
    <x v="2"/>
    <x v="38"/>
    <n v="50"/>
    <n v="860"/>
    <x v="4"/>
  </r>
  <r>
    <n v="10212"/>
    <x v="271"/>
    <x v="2"/>
    <x v="14"/>
    <n v="40"/>
    <n v="1112"/>
    <x v="1"/>
  </r>
  <r>
    <n v="10212"/>
    <x v="271"/>
    <x v="2"/>
    <x v="26"/>
    <n v="20"/>
    <n v="192"/>
    <x v="1"/>
  </r>
  <r>
    <n v="10212"/>
    <x v="271"/>
    <x v="2"/>
    <x v="91"/>
    <n v="16"/>
    <n v="384"/>
    <x v="1"/>
  </r>
  <r>
    <n v="10213"/>
    <x v="54"/>
    <x v="2"/>
    <x v="5"/>
    <n v="21"/>
    <n v="210"/>
    <x v="4"/>
  </r>
  <r>
    <n v="10213"/>
    <x v="54"/>
    <x v="2"/>
    <x v="51"/>
    <n v="4"/>
    <n v="24.8"/>
    <x v="4"/>
  </r>
  <r>
    <n v="10214"/>
    <x v="54"/>
    <x v="2"/>
    <x v="12"/>
    <n v="28"/>
    <n v="579.6"/>
    <x v="1"/>
  </r>
  <r>
    <n v="10214"/>
    <x v="54"/>
    <x v="2"/>
    <x v="43"/>
    <n v="60"/>
    <n v="1152"/>
    <x v="1"/>
  </r>
  <r>
    <n v="10217"/>
    <x v="56"/>
    <x v="2"/>
    <x v="23"/>
    <n v="20"/>
    <n v="544"/>
    <x v="1"/>
  </r>
  <r>
    <n v="10217"/>
    <x v="56"/>
    <x v="2"/>
    <x v="31"/>
    <n v="30"/>
    <n v="912"/>
    <x v="1"/>
  </r>
  <r>
    <n v="10218"/>
    <x v="272"/>
    <x v="2"/>
    <x v="46"/>
    <n v="18"/>
    <n v="1782"/>
    <x v="1"/>
  </r>
  <r>
    <n v="10218"/>
    <x v="272"/>
    <x v="2"/>
    <x v="104"/>
    <n v="30"/>
    <n v="228"/>
    <x v="1"/>
  </r>
  <r>
    <n v="10218"/>
    <x v="272"/>
    <x v="2"/>
    <x v="7"/>
    <n v="25"/>
    <n v="90"/>
    <x v="1"/>
  </r>
  <r>
    <n v="10218"/>
    <x v="272"/>
    <x v="2"/>
    <x v="35"/>
    <n v="20"/>
    <n v="294"/>
    <x v="1"/>
  </r>
  <r>
    <n v="10218"/>
    <x v="272"/>
    <x v="2"/>
    <x v="45"/>
    <n v="25"/>
    <n v="325"/>
    <x v="1"/>
  </r>
  <r>
    <n v="10219"/>
    <x v="273"/>
    <x v="2"/>
    <x v="26"/>
    <n v="5"/>
    <n v="48"/>
    <x v="5"/>
  </r>
  <r>
    <n v="10219"/>
    <x v="273"/>
    <x v="2"/>
    <x v="33"/>
    <n v="10"/>
    <n v="168"/>
    <x v="5"/>
  </r>
  <r>
    <n v="10220"/>
    <x v="273"/>
    <x v="2"/>
    <x v="7"/>
    <n v="28"/>
    <n v="100.8"/>
    <x v="0"/>
  </r>
  <r>
    <n v="10220"/>
    <x v="273"/>
    <x v="2"/>
    <x v="25"/>
    <n v="12"/>
    <n v="134.4"/>
    <x v="0"/>
  </r>
  <r>
    <n v="10221"/>
    <x v="57"/>
    <x v="2"/>
    <x v="15"/>
    <n v="15"/>
    <n v="552"/>
    <x v="0"/>
  </r>
  <r>
    <n v="10224"/>
    <x v="148"/>
    <x v="2"/>
    <x v="31"/>
    <n v="20"/>
    <n v="608"/>
    <x v="1"/>
  </r>
  <r>
    <n v="10224"/>
    <x v="148"/>
    <x v="2"/>
    <x v="91"/>
    <n v="30"/>
    <n v="720"/>
    <x v="1"/>
  </r>
  <r>
    <n v="10225"/>
    <x v="149"/>
    <x v="2"/>
    <x v="7"/>
    <n v="80"/>
    <n v="288"/>
    <x v="1"/>
  </r>
  <r>
    <n v="10226"/>
    <x v="59"/>
    <x v="2"/>
    <x v="16"/>
    <n v="12"/>
    <n v="24"/>
    <x v="3"/>
  </r>
  <r>
    <n v="10226"/>
    <x v="59"/>
    <x v="2"/>
    <x v="38"/>
    <n v="12"/>
    <n v="206.4"/>
    <x v="3"/>
  </r>
  <r>
    <n v="10227"/>
    <x v="59"/>
    <x v="2"/>
    <x v="35"/>
    <n v="21"/>
    <n v="308.7"/>
    <x v="1"/>
  </r>
  <r>
    <n v="10227"/>
    <x v="59"/>
    <x v="2"/>
    <x v="3"/>
    <n v="12"/>
    <n v="223.2"/>
    <x v="1"/>
  </r>
  <r>
    <n v="10227"/>
    <x v="59"/>
    <x v="2"/>
    <x v="20"/>
    <n v="18"/>
    <n v="655.20000000000005"/>
    <x v="1"/>
  </r>
  <r>
    <n v="10230"/>
    <x v="150"/>
    <x v="2"/>
    <x v="6"/>
    <n v="15"/>
    <n v="216"/>
    <x v="1"/>
  </r>
  <r>
    <n v="10230"/>
    <x v="150"/>
    <x v="2"/>
    <x v="50"/>
    <n v="21"/>
    <n v="168"/>
    <x v="1"/>
  </r>
  <r>
    <n v="10231"/>
    <x v="274"/>
    <x v="2"/>
    <x v="19"/>
    <n v="20"/>
    <n v="496"/>
    <x v="1"/>
  </r>
  <r>
    <n v="10232"/>
    <x v="275"/>
    <x v="2"/>
    <x v="44"/>
    <n v="30"/>
    <n v="798"/>
    <x v="0"/>
  </r>
  <r>
    <n v="10232"/>
    <x v="275"/>
    <x v="2"/>
    <x v="37"/>
    <n v="28"/>
    <n v="733.6"/>
    <x v="0"/>
  </r>
  <r>
    <n v="10232"/>
    <x v="275"/>
    <x v="2"/>
    <x v="48"/>
    <n v="30"/>
    <n v="6324"/>
    <x v="0"/>
  </r>
  <r>
    <n v="10232"/>
    <x v="275"/>
    <x v="2"/>
    <x v="17"/>
    <n v="60"/>
    <n v="2640"/>
    <x v="0"/>
  </r>
  <r>
    <n v="10233"/>
    <x v="276"/>
    <x v="2"/>
    <x v="104"/>
    <n v="30"/>
    <n v="228"/>
    <x v="1"/>
  </r>
  <r>
    <n v="10233"/>
    <x v="276"/>
    <x v="2"/>
    <x v="17"/>
    <n v="12"/>
    <n v="528"/>
    <x v="1"/>
  </r>
  <r>
    <n v="10234"/>
    <x v="276"/>
    <x v="2"/>
    <x v="23"/>
    <n v="40"/>
    <n v="1088"/>
    <x v="0"/>
  </r>
  <r>
    <n v="10234"/>
    <x v="276"/>
    <x v="2"/>
    <x v="4"/>
    <n v="24"/>
    <n v="384"/>
    <x v="0"/>
  </r>
  <r>
    <n v="10238"/>
    <x v="151"/>
    <x v="2"/>
    <x v="50"/>
    <n v="20"/>
    <n v="160"/>
    <x v="0"/>
  </r>
  <r>
    <n v="10238"/>
    <x v="151"/>
    <x v="2"/>
    <x v="11"/>
    <n v="20"/>
    <n v="304"/>
    <x v="0"/>
  </r>
  <r>
    <n v="10238"/>
    <x v="151"/>
    <x v="2"/>
    <x v="43"/>
    <n v="30"/>
    <n v="576"/>
    <x v="0"/>
  </r>
  <r>
    <n v="10239"/>
    <x v="152"/>
    <x v="2"/>
    <x v="50"/>
    <n v="16"/>
    <n v="128"/>
    <x v="4"/>
  </r>
  <r>
    <n v="10239"/>
    <x v="152"/>
    <x v="2"/>
    <x v="33"/>
    <n v="5"/>
    <n v="84"/>
    <x v="4"/>
  </r>
  <r>
    <n v="10240"/>
    <x v="152"/>
    <x v="2"/>
    <x v="27"/>
    <n v="24"/>
    <n v="141.6"/>
    <x v="4"/>
  </r>
  <r>
    <n v="10240"/>
    <x v="152"/>
    <x v="2"/>
    <x v="41"/>
    <n v="30"/>
    <n v="747"/>
    <x v="4"/>
  </r>
  <r>
    <n v="10240"/>
    <x v="152"/>
    <x v="2"/>
    <x v="24"/>
    <n v="5"/>
    <n v="36.5"/>
    <x v="4"/>
  </r>
  <r>
    <n v="10241"/>
    <x v="277"/>
    <x v="2"/>
    <x v="62"/>
    <n v="20"/>
    <n v="240"/>
    <x v="4"/>
  </r>
  <r>
    <n v="10241"/>
    <x v="277"/>
    <x v="2"/>
    <x v="17"/>
    <n v="30"/>
    <n v="1320"/>
    <x v="4"/>
  </r>
  <r>
    <n v="10242"/>
    <x v="63"/>
    <x v="2"/>
    <x v="33"/>
    <n v="15"/>
    <n v="252"/>
    <x v="1"/>
  </r>
  <r>
    <n v="10245"/>
    <x v="153"/>
    <x v="2"/>
    <x v="25"/>
    <n v="20"/>
    <n v="224"/>
    <x v="0"/>
  </r>
  <r>
    <n v="10246"/>
    <x v="278"/>
    <x v="2"/>
    <x v="49"/>
    <n v="10"/>
    <n v="136"/>
    <x v="0"/>
  </r>
  <r>
    <n v="10246"/>
    <x v="278"/>
    <x v="2"/>
    <x v="32"/>
    <n v="10"/>
    <n v="288"/>
    <x v="0"/>
  </r>
  <r>
    <n v="10246"/>
    <x v="278"/>
    <x v="2"/>
    <x v="33"/>
    <n v="15"/>
    <n v="252"/>
    <x v="0"/>
  </r>
  <r>
    <n v="10247"/>
    <x v="278"/>
    <x v="2"/>
    <x v="31"/>
    <n v="30"/>
    <n v="912"/>
    <x v="0"/>
  </r>
  <r>
    <n v="10248"/>
    <x v="279"/>
    <x v="2"/>
    <x v="52"/>
    <n v="5"/>
    <n v="52"/>
    <x v="5"/>
  </r>
  <r>
    <n v="10248"/>
    <x v="279"/>
    <x v="2"/>
    <x v="42"/>
    <n v="10"/>
    <n v="72"/>
    <x v="5"/>
  </r>
  <r>
    <n v="10248"/>
    <x v="279"/>
    <x v="2"/>
    <x v="13"/>
    <n v="20"/>
    <n v="154"/>
    <x v="5"/>
  </r>
  <r>
    <n v="10249"/>
    <x v="65"/>
    <x v="2"/>
    <x v="5"/>
    <n v="20"/>
    <n v="200"/>
    <x v="0"/>
  </r>
  <r>
    <n v="10250"/>
    <x v="65"/>
    <x v="2"/>
    <x v="52"/>
    <n v="25"/>
    <n v="260"/>
    <x v="0"/>
  </r>
  <r>
    <n v="10250"/>
    <x v="65"/>
    <x v="2"/>
    <x v="31"/>
    <n v="14"/>
    <n v="425.6"/>
    <x v="0"/>
  </r>
  <r>
    <n v="10253"/>
    <x v="155"/>
    <x v="2"/>
    <x v="29"/>
    <n v="12"/>
    <n v="186"/>
    <x v="3"/>
  </r>
  <r>
    <n v="10254"/>
    <x v="155"/>
    <x v="2"/>
    <x v="71"/>
    <n v="20"/>
    <n v="149"/>
    <x v="0"/>
  </r>
  <r>
    <n v="10255"/>
    <x v="280"/>
    <x v="2"/>
    <x v="95"/>
    <n v="21"/>
    <n v="199.5"/>
    <x v="1"/>
  </r>
  <r>
    <n v="10255"/>
    <x v="280"/>
    <x v="2"/>
    <x v="2"/>
    <n v="30"/>
    <n v="420"/>
    <x v="1"/>
  </r>
  <r>
    <n v="10255"/>
    <x v="280"/>
    <x v="2"/>
    <x v="57"/>
    <n v="6"/>
    <n v="196.8"/>
    <x v="1"/>
  </r>
  <r>
    <n v="10259"/>
    <x v="281"/>
    <x v="2"/>
    <x v="97"/>
    <n v="14"/>
    <n v="210"/>
    <x v="0"/>
  </r>
  <r>
    <n v="10259"/>
    <x v="281"/>
    <x v="2"/>
    <x v="2"/>
    <n v="18"/>
    <n v="252"/>
    <x v="0"/>
  </r>
  <r>
    <n v="10260"/>
    <x v="281"/>
    <x v="2"/>
    <x v="72"/>
    <n v="15"/>
    <n v="690"/>
    <x v="5"/>
  </r>
  <r>
    <n v="10260"/>
    <x v="281"/>
    <x v="2"/>
    <x v="112"/>
    <n v="15"/>
    <n v="191.25"/>
    <x v="5"/>
  </r>
  <r>
    <n v="10261"/>
    <x v="282"/>
    <x v="2"/>
    <x v="106"/>
    <n v="10"/>
    <n v="60"/>
    <x v="0"/>
  </r>
  <r>
    <n v="10261"/>
    <x v="282"/>
    <x v="2"/>
    <x v="85"/>
    <n v="10"/>
    <n v="180"/>
    <x v="0"/>
  </r>
  <r>
    <n v="10262"/>
    <x v="283"/>
    <x v="2"/>
    <x v="63"/>
    <n v="3"/>
    <n v="136.80000000000001"/>
    <x v="0"/>
  </r>
  <r>
    <n v="10263"/>
    <x v="68"/>
    <x v="2"/>
    <x v="89"/>
    <n v="36"/>
    <n v="4456.4399999999996"/>
    <x v="4"/>
  </r>
  <r>
    <n v="10263"/>
    <x v="68"/>
    <x v="2"/>
    <x v="86"/>
    <n v="36"/>
    <n v="279"/>
    <x v="4"/>
  </r>
  <r>
    <n v="10266"/>
    <x v="70"/>
    <x v="2"/>
    <x v="5"/>
    <n v="40"/>
    <n v="400"/>
    <x v="0"/>
  </r>
  <r>
    <n v="10266"/>
    <x v="70"/>
    <x v="2"/>
    <x v="58"/>
    <n v="15"/>
    <n v="427.5"/>
    <x v="0"/>
  </r>
  <r>
    <n v="10266"/>
    <x v="70"/>
    <x v="2"/>
    <x v="82"/>
    <n v="50"/>
    <n v="1600"/>
    <x v="0"/>
  </r>
  <r>
    <n v="10267"/>
    <x v="70"/>
    <x v="2"/>
    <x v="98"/>
    <n v="39"/>
    <n v="3159"/>
    <x v="0"/>
  </r>
  <r>
    <n v="10267"/>
    <x v="70"/>
    <x v="2"/>
    <x v="67"/>
    <n v="70"/>
    <n v="2660"/>
    <x v="0"/>
  </r>
  <r>
    <n v="10267"/>
    <x v="70"/>
    <x v="2"/>
    <x v="86"/>
    <n v="50"/>
    <n v="387.5"/>
    <x v="0"/>
  </r>
  <r>
    <n v="10267"/>
    <x v="70"/>
    <x v="2"/>
    <x v="55"/>
    <n v="39"/>
    <n v="820.95"/>
    <x v="0"/>
  </r>
  <r>
    <n v="10269"/>
    <x v="157"/>
    <x v="2"/>
    <x v="96"/>
    <n v="25"/>
    <n v="1562.5"/>
    <x v="3"/>
  </r>
  <r>
    <n v="10269"/>
    <x v="157"/>
    <x v="2"/>
    <x v="83"/>
    <n v="80"/>
    <n v="772"/>
    <x v="3"/>
  </r>
  <r>
    <n v="10270"/>
    <x v="157"/>
    <x v="2"/>
    <x v="107"/>
    <n v="6"/>
    <n v="42"/>
    <x v="1"/>
  </r>
  <r>
    <n v="10270"/>
    <x v="157"/>
    <x v="2"/>
    <x v="74"/>
    <n v="4"/>
    <n v="220"/>
    <x v="1"/>
  </r>
  <r>
    <n v="10270"/>
    <x v="157"/>
    <x v="2"/>
    <x v="97"/>
    <n v="6"/>
    <n v="90"/>
    <x v="1"/>
  </r>
  <r>
    <n v="10271"/>
    <x v="284"/>
    <x v="2"/>
    <x v="80"/>
    <n v="15"/>
    <n v="3952.5"/>
    <x v="1"/>
  </r>
  <r>
    <n v="10271"/>
    <x v="284"/>
    <x v="2"/>
    <x v="94"/>
    <n v="9"/>
    <n v="175.05"/>
    <x v="1"/>
  </r>
  <r>
    <n v="10271"/>
    <x v="284"/>
    <x v="2"/>
    <x v="54"/>
    <n v="5"/>
    <n v="22.5"/>
    <x v="1"/>
  </r>
  <r>
    <n v="10274"/>
    <x v="73"/>
    <x v="2"/>
    <x v="76"/>
    <n v="6"/>
    <n v="75"/>
    <x v="0"/>
  </r>
  <r>
    <n v="10275"/>
    <x v="285"/>
    <x v="2"/>
    <x v="61"/>
    <n v="24"/>
    <n v="960"/>
    <x v="0"/>
  </r>
  <r>
    <n v="10275"/>
    <x v="285"/>
    <x v="2"/>
    <x v="75"/>
    <n v="20"/>
    <n v="517.79999999999995"/>
    <x v="0"/>
  </r>
  <r>
    <n v="10275"/>
    <x v="285"/>
    <x v="2"/>
    <x v="53"/>
    <n v="25"/>
    <n v="460"/>
    <x v="0"/>
  </r>
  <r>
    <n v="10275"/>
    <x v="285"/>
    <x v="2"/>
    <x v="85"/>
    <n v="40"/>
    <n v="720"/>
    <x v="0"/>
  </r>
  <r>
    <n v="10276"/>
    <x v="74"/>
    <x v="2"/>
    <x v="83"/>
    <n v="6"/>
    <n v="57.9"/>
    <x v="1"/>
  </r>
  <r>
    <n v="10276"/>
    <x v="74"/>
    <x v="2"/>
    <x v="98"/>
    <n v="15"/>
    <n v="1215"/>
    <x v="1"/>
  </r>
  <r>
    <n v="10276"/>
    <x v="74"/>
    <x v="2"/>
    <x v="113"/>
    <n v="18"/>
    <n v="468"/>
    <x v="1"/>
  </r>
  <r>
    <n v="10277"/>
    <x v="74"/>
    <x v="2"/>
    <x v="69"/>
    <n v="2"/>
    <n v="62"/>
    <x v="5"/>
  </r>
  <r>
    <n v="10277"/>
    <x v="74"/>
    <x v="2"/>
    <x v="75"/>
    <n v="10"/>
    <n v="258.89999999999998"/>
    <x v="5"/>
  </r>
  <r>
    <n v="10280"/>
    <x v="158"/>
    <x v="2"/>
    <x v="73"/>
    <n v="30"/>
    <n v="570"/>
    <x v="0"/>
  </r>
  <r>
    <n v="10280"/>
    <x v="158"/>
    <x v="2"/>
    <x v="60"/>
    <n v="50"/>
    <n v="1100"/>
    <x v="0"/>
  </r>
  <r>
    <n v="10281"/>
    <x v="286"/>
    <x v="2"/>
    <x v="64"/>
    <n v="8"/>
    <n v="20"/>
    <x v="0"/>
  </r>
  <r>
    <n v="10281"/>
    <x v="286"/>
    <x v="2"/>
    <x v="0"/>
    <n v="9"/>
    <n v="313.2"/>
    <x v="0"/>
  </r>
  <r>
    <n v="10281"/>
    <x v="286"/>
    <x v="2"/>
    <x v="84"/>
    <n v="3"/>
    <n v="63"/>
    <x v="0"/>
  </r>
  <r>
    <n v="10282"/>
    <x v="287"/>
    <x v="2"/>
    <x v="76"/>
    <n v="20"/>
    <n v="250"/>
    <x v="3"/>
  </r>
  <r>
    <n v="10282"/>
    <x v="287"/>
    <x v="2"/>
    <x v="99"/>
    <n v="10"/>
    <n v="360"/>
    <x v="3"/>
  </r>
  <r>
    <n v="10282"/>
    <x v="287"/>
    <x v="2"/>
    <x v="91"/>
    <n v="14"/>
    <n v="336"/>
    <x v="3"/>
  </r>
  <r>
    <n v="10283"/>
    <x v="76"/>
    <x v="2"/>
    <x v="72"/>
    <n v="25"/>
    <n v="1150"/>
    <x v="0"/>
  </r>
  <r>
    <n v="10283"/>
    <x v="76"/>
    <x v="2"/>
    <x v="85"/>
    <n v="50"/>
    <n v="900"/>
    <x v="0"/>
  </r>
  <r>
    <n v="10287"/>
    <x v="159"/>
    <x v="2"/>
    <x v="53"/>
    <n v="10"/>
    <n v="184"/>
    <x v="5"/>
  </r>
  <r>
    <n v="10287"/>
    <x v="159"/>
    <x v="2"/>
    <x v="71"/>
    <n v="10"/>
    <n v="74.5"/>
    <x v="5"/>
  </r>
  <r>
    <n v="10287"/>
    <x v="159"/>
    <x v="2"/>
    <x v="75"/>
    <n v="10"/>
    <n v="258.89999999999998"/>
    <x v="5"/>
  </r>
  <r>
    <n v="10288"/>
    <x v="288"/>
    <x v="2"/>
    <x v="74"/>
    <n v="15"/>
    <n v="825"/>
    <x v="1"/>
  </r>
  <r>
    <n v="10288"/>
    <x v="288"/>
    <x v="2"/>
    <x v="84"/>
    <n v="50"/>
    <n v="1050"/>
    <x v="1"/>
  </r>
  <r>
    <n v="10288"/>
    <x v="288"/>
    <x v="2"/>
    <x v="88"/>
    <n v="5"/>
    <n v="97.5"/>
    <x v="1"/>
  </r>
  <r>
    <n v="10288"/>
    <x v="288"/>
    <x v="2"/>
    <x v="53"/>
    <n v="10"/>
    <n v="184"/>
    <x v="1"/>
  </r>
  <r>
    <n v="10289"/>
    <x v="78"/>
    <x v="2"/>
    <x v="68"/>
    <n v="35"/>
    <n v="1190"/>
    <x v="0"/>
  </r>
  <r>
    <n v="10289"/>
    <x v="78"/>
    <x v="2"/>
    <x v="76"/>
    <n v="20"/>
    <n v="250"/>
    <x v="0"/>
  </r>
  <r>
    <n v="10289"/>
    <x v="78"/>
    <x v="2"/>
    <x v="64"/>
    <n v="30"/>
    <n v="75"/>
    <x v="0"/>
  </r>
  <r>
    <n v="10289"/>
    <x v="78"/>
    <x v="2"/>
    <x v="67"/>
    <n v="15"/>
    <n v="570"/>
    <x v="0"/>
  </r>
  <r>
    <n v="10292"/>
    <x v="289"/>
    <x v="2"/>
    <x v="106"/>
    <n v="8"/>
    <n v="48"/>
    <x v="1"/>
  </r>
  <r>
    <n v="10292"/>
    <x v="289"/>
    <x v="2"/>
    <x v="5"/>
    <n v="15"/>
    <n v="150"/>
    <x v="1"/>
  </r>
  <r>
    <n v="10292"/>
    <x v="289"/>
    <x v="2"/>
    <x v="92"/>
    <n v="6"/>
    <n v="120"/>
    <x v="1"/>
  </r>
  <r>
    <n v="10292"/>
    <x v="289"/>
    <x v="2"/>
    <x v="64"/>
    <n v="15"/>
    <n v="37.5"/>
    <x v="1"/>
  </r>
  <r>
    <n v="10293"/>
    <x v="79"/>
    <x v="2"/>
    <x v="90"/>
    <n v="40"/>
    <n v="1249.2"/>
    <x v="0"/>
  </r>
  <r>
    <n v="10293"/>
    <x v="79"/>
    <x v="2"/>
    <x v="76"/>
    <n v="35"/>
    <n v="437.5"/>
    <x v="0"/>
  </r>
  <r>
    <n v="10293"/>
    <x v="79"/>
    <x v="2"/>
    <x v="5"/>
    <n v="60"/>
    <n v="600"/>
    <x v="0"/>
  </r>
  <r>
    <n v="10293"/>
    <x v="79"/>
    <x v="2"/>
    <x v="80"/>
    <n v="30"/>
    <n v="7905"/>
    <x v="0"/>
  </r>
  <r>
    <n v="10296"/>
    <x v="162"/>
    <x v="2"/>
    <x v="100"/>
    <n v="70"/>
    <n v="630"/>
    <x v="4"/>
  </r>
  <r>
    <n v="10297"/>
    <x v="162"/>
    <x v="2"/>
    <x v="63"/>
    <n v="7"/>
    <n v="319.2"/>
    <x v="4"/>
  </r>
  <r>
    <n v="10297"/>
    <x v="162"/>
    <x v="2"/>
    <x v="2"/>
    <n v="7"/>
    <n v="98"/>
    <x v="4"/>
  </r>
  <r>
    <n v="10298"/>
    <x v="290"/>
    <x v="2"/>
    <x v="84"/>
    <n v="10"/>
    <n v="210"/>
    <x v="0"/>
  </r>
  <r>
    <n v="10299"/>
    <x v="80"/>
    <x v="2"/>
    <x v="85"/>
    <n v="30"/>
    <n v="540"/>
    <x v="1"/>
  </r>
  <r>
    <n v="10299"/>
    <x v="80"/>
    <x v="2"/>
    <x v="59"/>
    <n v="10"/>
    <n v="300"/>
    <x v="1"/>
  </r>
  <r>
    <n v="10302"/>
    <x v="163"/>
    <x v="2"/>
    <x v="95"/>
    <n v="100"/>
    <n v="950"/>
    <x v="0"/>
  </r>
  <r>
    <n v="10303"/>
    <x v="82"/>
    <x v="2"/>
    <x v="58"/>
    <n v="10"/>
    <n v="285"/>
    <x v="4"/>
  </r>
  <r>
    <n v="10303"/>
    <x v="82"/>
    <x v="2"/>
    <x v="5"/>
    <n v="6"/>
    <n v="60"/>
    <x v="4"/>
  </r>
  <r>
    <n v="10303"/>
    <x v="82"/>
    <x v="2"/>
    <x v="101"/>
    <n v="10"/>
    <n v="92"/>
    <x v="4"/>
  </r>
  <r>
    <n v="10304"/>
    <x v="82"/>
    <x v="2"/>
    <x v="85"/>
    <n v="20"/>
    <n v="360"/>
    <x v="1"/>
  </r>
  <r>
    <n v="10304"/>
    <x v="82"/>
    <x v="2"/>
    <x v="94"/>
    <n v="40"/>
    <n v="778"/>
    <x v="1"/>
  </r>
  <r>
    <n v="10304"/>
    <x v="82"/>
    <x v="2"/>
    <x v="65"/>
    <n v="40"/>
    <n v="698"/>
    <x v="1"/>
  </r>
  <r>
    <n v="10305"/>
    <x v="291"/>
    <x v="2"/>
    <x v="86"/>
    <n v="30"/>
    <n v="232.5"/>
    <x v="0"/>
  </r>
  <r>
    <n v="10305"/>
    <x v="291"/>
    <x v="2"/>
    <x v="99"/>
    <n v="18"/>
    <n v="648"/>
    <x v="0"/>
  </r>
  <r>
    <n v="10306"/>
    <x v="83"/>
    <x v="2"/>
    <x v="76"/>
    <n v="30"/>
    <n v="375"/>
    <x v="5"/>
  </r>
  <r>
    <n v="10307"/>
    <x v="83"/>
    <x v="2"/>
    <x v="65"/>
    <n v="30"/>
    <n v="523.5"/>
    <x v="0"/>
  </r>
  <r>
    <n v="10308"/>
    <x v="84"/>
    <x v="2"/>
    <x v="101"/>
    <n v="35"/>
    <n v="322"/>
    <x v="1"/>
  </r>
  <r>
    <n v="10308"/>
    <x v="84"/>
    <x v="2"/>
    <x v="67"/>
    <n v="40"/>
    <n v="1520"/>
    <x v="1"/>
  </r>
  <r>
    <n v="10308"/>
    <x v="84"/>
    <x v="2"/>
    <x v="56"/>
    <n v="30"/>
    <n v="697.5"/>
    <x v="1"/>
  </r>
  <r>
    <n v="10308"/>
    <x v="84"/>
    <x v="2"/>
    <x v="54"/>
    <n v="18"/>
    <n v="81"/>
    <x v="1"/>
  </r>
  <r>
    <n v="10311"/>
    <x v="164"/>
    <x v="2"/>
    <x v="107"/>
    <n v="30"/>
    <n v="210"/>
    <x v="3"/>
  </r>
  <r>
    <n v="10311"/>
    <x v="164"/>
    <x v="2"/>
    <x v="97"/>
    <n v="3"/>
    <n v="45"/>
    <x v="3"/>
  </r>
  <r>
    <n v="10312"/>
    <x v="292"/>
    <x v="2"/>
    <x v="83"/>
    <n v="12"/>
    <n v="115.8"/>
    <x v="1"/>
  </r>
  <r>
    <n v="10312"/>
    <x v="292"/>
    <x v="2"/>
    <x v="91"/>
    <n v="18"/>
    <n v="432"/>
    <x v="1"/>
  </r>
  <r>
    <n v="10313"/>
    <x v="165"/>
    <x v="2"/>
    <x v="75"/>
    <n v="20"/>
    <n v="517.79999999999995"/>
    <x v="1"/>
  </r>
  <r>
    <n v="10313"/>
    <x v="165"/>
    <x v="2"/>
    <x v="81"/>
    <n v="15"/>
    <n v="739.5"/>
    <x v="1"/>
  </r>
  <r>
    <n v="10314"/>
    <x v="165"/>
    <x v="2"/>
    <x v="94"/>
    <n v="10"/>
    <n v="194.5"/>
    <x v="0"/>
  </r>
  <r>
    <n v="10315"/>
    <x v="293"/>
    <x v="2"/>
    <x v="64"/>
    <n v="20"/>
    <n v="50"/>
    <x v="5"/>
  </r>
  <r>
    <n v="10315"/>
    <x v="293"/>
    <x v="2"/>
    <x v="81"/>
    <n v="10"/>
    <n v="493"/>
    <x v="5"/>
  </r>
  <r>
    <n v="10316"/>
    <x v="86"/>
    <x v="2"/>
    <x v="107"/>
    <n v="70"/>
    <n v="490"/>
    <x v="1"/>
  </r>
  <r>
    <n v="10316"/>
    <x v="86"/>
    <x v="2"/>
    <x v="73"/>
    <n v="25"/>
    <n v="475"/>
    <x v="1"/>
  </r>
  <r>
    <n v="10317"/>
    <x v="86"/>
    <x v="2"/>
    <x v="76"/>
    <n v="6"/>
    <n v="75"/>
    <x v="5"/>
  </r>
  <r>
    <n v="10317"/>
    <x v="86"/>
    <x v="2"/>
    <x v="91"/>
    <n v="25"/>
    <n v="600"/>
    <x v="5"/>
  </r>
  <r>
    <n v="10318"/>
    <x v="294"/>
    <x v="2"/>
    <x v="54"/>
    <n v="25"/>
    <n v="112.5"/>
    <x v="5"/>
  </r>
  <r>
    <n v="10318"/>
    <x v="294"/>
    <x v="2"/>
    <x v="87"/>
    <n v="18"/>
    <n v="598.5"/>
    <x v="5"/>
  </r>
  <r>
    <n v="10319"/>
    <x v="87"/>
    <x v="2"/>
    <x v="96"/>
    <n v="18"/>
    <n v="1125"/>
    <x v="0"/>
  </r>
  <r>
    <n v="10319"/>
    <x v="87"/>
    <x v="2"/>
    <x v="85"/>
    <n v="10"/>
    <n v="180"/>
    <x v="0"/>
  </r>
  <r>
    <n v="10319"/>
    <x v="87"/>
    <x v="2"/>
    <x v="84"/>
    <n v="35"/>
    <n v="735"/>
    <x v="0"/>
  </r>
  <r>
    <n v="10320"/>
    <x v="87"/>
    <x v="2"/>
    <x v="76"/>
    <n v="60"/>
    <n v="750"/>
    <x v="0"/>
  </r>
  <r>
    <n v="10324"/>
    <x v="166"/>
    <x v="2"/>
    <x v="56"/>
    <n v="11"/>
    <n v="255.75"/>
    <x v="0"/>
  </r>
  <r>
    <n v="10325"/>
    <x v="295"/>
    <x v="2"/>
    <x v="53"/>
    <n v="50"/>
    <n v="920"/>
    <x v="1"/>
  </r>
  <r>
    <n v="10325"/>
    <x v="295"/>
    <x v="2"/>
    <x v="82"/>
    <n v="10"/>
    <n v="320"/>
    <x v="1"/>
  </r>
  <r>
    <n v="10325"/>
    <x v="295"/>
    <x v="2"/>
    <x v="65"/>
    <n v="12"/>
    <n v="209.4"/>
    <x v="1"/>
  </r>
  <r>
    <n v="10325"/>
    <x v="295"/>
    <x v="2"/>
    <x v="86"/>
    <n v="15"/>
    <n v="116.25"/>
    <x v="1"/>
  </r>
  <r>
    <n v="10326"/>
    <x v="90"/>
    <x v="2"/>
    <x v="2"/>
    <n v="40"/>
    <n v="560"/>
    <x v="4"/>
  </r>
  <r>
    <n v="10326"/>
    <x v="90"/>
    <x v="2"/>
    <x v="57"/>
    <n v="25"/>
    <n v="820"/>
    <x v="4"/>
  </r>
  <r>
    <n v="10327"/>
    <x v="90"/>
    <x v="2"/>
    <x v="87"/>
    <n v="6"/>
    <n v="199.5"/>
    <x v="0"/>
  </r>
  <r>
    <n v="10327"/>
    <x v="90"/>
    <x v="2"/>
    <x v="64"/>
    <n v="14"/>
    <n v="35"/>
    <x v="0"/>
  </r>
  <r>
    <n v="10327"/>
    <x v="90"/>
    <x v="2"/>
    <x v="53"/>
    <n v="2"/>
    <n v="36.799999999999997"/>
    <x v="0"/>
  </r>
  <r>
    <n v="10329"/>
    <x v="167"/>
    <x v="2"/>
    <x v="76"/>
    <n v="20"/>
    <n v="250"/>
    <x v="1"/>
  </r>
  <r>
    <n v="10330"/>
    <x v="167"/>
    <x v="2"/>
    <x v="86"/>
    <n v="20"/>
    <n v="155"/>
    <x v="0"/>
  </r>
  <r>
    <n v="10330"/>
    <x v="167"/>
    <x v="2"/>
    <x v="45"/>
    <n v="18"/>
    <n v="234"/>
    <x v="0"/>
  </r>
  <r>
    <n v="10330"/>
    <x v="167"/>
    <x v="2"/>
    <x v="85"/>
    <n v="10"/>
    <n v="180"/>
    <x v="0"/>
  </r>
  <r>
    <n v="10331"/>
    <x v="296"/>
    <x v="2"/>
    <x v="88"/>
    <n v="6"/>
    <n v="117"/>
    <x v="1"/>
  </r>
  <r>
    <n v="10331"/>
    <x v="296"/>
    <x v="2"/>
    <x v="85"/>
    <n v="20"/>
    <n v="360"/>
    <x v="1"/>
  </r>
  <r>
    <n v="10332"/>
    <x v="297"/>
    <x v="2"/>
    <x v="29"/>
    <n v="10"/>
    <n v="155"/>
    <x v="0"/>
  </r>
  <r>
    <n v="10332"/>
    <x v="297"/>
    <x v="2"/>
    <x v="86"/>
    <n v="21"/>
    <n v="162.75"/>
    <x v="0"/>
  </r>
  <r>
    <n v="10333"/>
    <x v="92"/>
    <x v="2"/>
    <x v="83"/>
    <n v="9"/>
    <n v="86.85"/>
    <x v="4"/>
  </r>
  <r>
    <n v="10333"/>
    <x v="92"/>
    <x v="2"/>
    <x v="55"/>
    <n v="30"/>
    <n v="631.5"/>
    <x v="4"/>
  </r>
  <r>
    <n v="10333"/>
    <x v="92"/>
    <x v="2"/>
    <x v="56"/>
    <n v="15"/>
    <n v="348.75"/>
    <x v="4"/>
  </r>
  <r>
    <n v="10338"/>
    <x v="298"/>
    <x v="2"/>
    <x v="95"/>
    <n v="15"/>
    <n v="142.5"/>
    <x v="1"/>
  </r>
  <r>
    <n v="10339"/>
    <x v="299"/>
    <x v="2"/>
    <x v="107"/>
    <n v="4"/>
    <n v="28"/>
    <x v="0"/>
  </r>
  <r>
    <n v="10340"/>
    <x v="299"/>
    <x v="2"/>
    <x v="90"/>
    <n v="6"/>
    <n v="187.38"/>
    <x v="3"/>
  </r>
  <r>
    <n v="10340"/>
    <x v="299"/>
    <x v="2"/>
    <x v="45"/>
    <n v="20"/>
    <n v="260"/>
    <x v="3"/>
  </r>
  <r>
    <n v="10340"/>
    <x v="299"/>
    <x v="2"/>
    <x v="85"/>
    <n v="20"/>
    <n v="360"/>
    <x v="3"/>
  </r>
  <r>
    <n v="10341"/>
    <x v="300"/>
    <x v="2"/>
    <x v="96"/>
    <n v="40"/>
    <n v="2500"/>
    <x v="0"/>
  </r>
  <r>
    <n v="10341"/>
    <x v="300"/>
    <x v="2"/>
    <x v="2"/>
    <n v="100"/>
    <n v="1400"/>
    <x v="0"/>
  </r>
  <r>
    <n v="10342"/>
    <x v="301"/>
    <x v="2"/>
    <x v="85"/>
    <n v="4"/>
    <n v="72"/>
    <x v="1"/>
  </r>
  <r>
    <n v="10343"/>
    <x v="95"/>
    <x v="2"/>
    <x v="85"/>
    <n v="20"/>
    <n v="360"/>
    <x v="0"/>
  </r>
  <r>
    <n v="10343"/>
    <x v="95"/>
    <x v="2"/>
    <x v="45"/>
    <n v="60"/>
    <n v="780"/>
    <x v="0"/>
  </r>
  <r>
    <n v="10344"/>
    <x v="95"/>
    <x v="2"/>
    <x v="71"/>
    <n v="50"/>
    <n v="372.5"/>
    <x v="5"/>
  </r>
  <r>
    <n v="10347"/>
    <x v="168"/>
    <x v="2"/>
    <x v="107"/>
    <n v="24"/>
    <n v="168"/>
    <x v="5"/>
  </r>
  <r>
    <n v="10347"/>
    <x v="168"/>
    <x v="2"/>
    <x v="77"/>
    <n v="30"/>
    <n v="397.5"/>
    <x v="5"/>
  </r>
  <r>
    <n v="10348"/>
    <x v="302"/>
    <x v="2"/>
    <x v="58"/>
    <n v="120"/>
    <n v="3420"/>
    <x v="1"/>
  </r>
  <r>
    <n v="10348"/>
    <x v="302"/>
    <x v="2"/>
    <x v="85"/>
    <n v="30"/>
    <n v="540"/>
    <x v="1"/>
  </r>
  <r>
    <n v="10348"/>
    <x v="302"/>
    <x v="2"/>
    <x v="99"/>
    <n v="65"/>
    <n v="2340"/>
    <x v="1"/>
  </r>
  <r>
    <n v="10349"/>
    <x v="97"/>
    <x v="2"/>
    <x v="86"/>
    <n v="30"/>
    <n v="232.5"/>
    <x v="0"/>
  </r>
  <r>
    <n v="10349"/>
    <x v="97"/>
    <x v="2"/>
    <x v="67"/>
    <n v="5"/>
    <n v="190"/>
    <x v="0"/>
  </r>
  <r>
    <n v="10349"/>
    <x v="97"/>
    <x v="2"/>
    <x v="105"/>
    <n v="24"/>
    <n v="1053.5999999999999"/>
    <x v="0"/>
  </r>
  <r>
    <n v="10353"/>
    <x v="170"/>
    <x v="2"/>
    <x v="97"/>
    <n v="30"/>
    <n v="450"/>
    <x v="0"/>
  </r>
  <r>
    <n v="10354"/>
    <x v="170"/>
    <x v="2"/>
    <x v="106"/>
    <n v="60"/>
    <n v="360"/>
    <x v="0"/>
  </r>
  <r>
    <n v="10354"/>
    <x v="170"/>
    <x v="2"/>
    <x v="74"/>
    <n v="35"/>
    <n v="1925"/>
    <x v="0"/>
  </r>
  <r>
    <n v="10355"/>
    <x v="303"/>
    <x v="2"/>
    <x v="45"/>
    <n v="5"/>
    <n v="65"/>
    <x v="4"/>
  </r>
  <r>
    <n v="10356"/>
    <x v="304"/>
    <x v="2"/>
    <x v="84"/>
    <n v="48"/>
    <n v="1008"/>
    <x v="0"/>
  </r>
  <r>
    <n v="10356"/>
    <x v="304"/>
    <x v="2"/>
    <x v="92"/>
    <n v="25"/>
    <n v="500"/>
    <x v="0"/>
  </r>
  <r>
    <n v="10357"/>
    <x v="304"/>
    <x v="2"/>
    <x v="85"/>
    <n v="10"/>
    <n v="180"/>
    <x v="1"/>
  </r>
  <r>
    <n v="10357"/>
    <x v="304"/>
    <x v="2"/>
    <x v="112"/>
    <n v="6"/>
    <n v="76.5"/>
    <x v="1"/>
  </r>
  <r>
    <n v="10358"/>
    <x v="99"/>
    <x v="2"/>
    <x v="79"/>
    <n v="15"/>
    <n v="322.5"/>
    <x v="1"/>
  </r>
  <r>
    <n v="10358"/>
    <x v="99"/>
    <x v="2"/>
    <x v="68"/>
    <n v="70"/>
    <n v="2380"/>
    <x v="1"/>
  </r>
  <r>
    <n v="10358"/>
    <x v="99"/>
    <x v="2"/>
    <x v="74"/>
    <n v="20"/>
    <n v="1100"/>
    <x v="1"/>
  </r>
  <r>
    <n v="10360"/>
    <x v="100"/>
    <x v="2"/>
    <x v="53"/>
    <n v="42"/>
    <n v="772.8"/>
    <x v="0"/>
  </r>
  <r>
    <n v="10360"/>
    <x v="100"/>
    <x v="2"/>
    <x v="0"/>
    <n v="12"/>
    <n v="417.6"/>
    <x v="0"/>
  </r>
  <r>
    <n v="10361"/>
    <x v="305"/>
    <x v="2"/>
    <x v="67"/>
    <n v="28"/>
    <n v="1064"/>
    <x v="0"/>
  </r>
  <r>
    <n v="10362"/>
    <x v="306"/>
    <x v="2"/>
    <x v="69"/>
    <n v="10"/>
    <n v="310"/>
    <x v="0"/>
  </r>
  <r>
    <n v="10362"/>
    <x v="306"/>
    <x v="2"/>
    <x v="85"/>
    <n v="3"/>
    <n v="54"/>
    <x v="0"/>
  </r>
  <r>
    <n v="10362"/>
    <x v="306"/>
    <x v="2"/>
    <x v="5"/>
    <n v="6"/>
    <n v="60"/>
    <x v="0"/>
  </r>
  <r>
    <n v="10363"/>
    <x v="307"/>
    <x v="2"/>
    <x v="73"/>
    <n v="21"/>
    <n v="399"/>
    <x v="4"/>
  </r>
  <r>
    <n v="10364"/>
    <x v="307"/>
    <x v="2"/>
    <x v="73"/>
    <n v="10"/>
    <n v="190"/>
    <x v="5"/>
  </r>
  <r>
    <n v="10364"/>
    <x v="307"/>
    <x v="2"/>
    <x v="68"/>
    <n v="15"/>
    <n v="510"/>
    <x v="5"/>
  </r>
  <r>
    <n v="10364"/>
    <x v="307"/>
    <x v="2"/>
    <x v="85"/>
    <n v="6"/>
    <n v="108"/>
    <x v="5"/>
  </r>
  <r>
    <n v="10365"/>
    <x v="101"/>
    <x v="2"/>
    <x v="68"/>
    <n v="40"/>
    <n v="1360"/>
    <x v="0"/>
  </r>
  <r>
    <n v="10367"/>
    <x v="171"/>
    <x v="2"/>
    <x v="5"/>
    <n v="8"/>
    <n v="80"/>
    <x v="0"/>
  </r>
  <r>
    <n v="10367"/>
    <x v="171"/>
    <x v="2"/>
    <x v="85"/>
    <n v="5"/>
    <n v="90"/>
    <x v="0"/>
  </r>
  <r>
    <n v="10368"/>
    <x v="308"/>
    <x v="2"/>
    <x v="91"/>
    <n v="5"/>
    <n v="120"/>
    <x v="0"/>
  </r>
  <r>
    <n v="10369"/>
    <x v="309"/>
    <x v="2"/>
    <x v="79"/>
    <n v="15"/>
    <n v="322.5"/>
    <x v="3"/>
  </r>
  <r>
    <n v="10369"/>
    <x v="309"/>
    <x v="2"/>
    <x v="97"/>
    <n v="15"/>
    <n v="225"/>
    <x v="3"/>
  </r>
  <r>
    <n v="10369"/>
    <x v="309"/>
    <x v="2"/>
    <x v="67"/>
    <n v="14"/>
    <n v="532"/>
    <x v="3"/>
  </r>
  <r>
    <n v="10369"/>
    <x v="309"/>
    <x v="2"/>
    <x v="80"/>
    <n v="15"/>
    <n v="3952.5"/>
    <x v="3"/>
  </r>
  <r>
    <n v="10370"/>
    <x v="309"/>
    <x v="2"/>
    <x v="74"/>
    <n v="30"/>
    <n v="1650"/>
    <x v="0"/>
  </r>
  <r>
    <n v="10374"/>
    <x v="172"/>
    <x v="2"/>
    <x v="100"/>
    <n v="10"/>
    <n v="90"/>
    <x v="1"/>
  </r>
  <r>
    <n v="10374"/>
    <x v="172"/>
    <x v="2"/>
    <x v="97"/>
    <n v="20"/>
    <n v="300"/>
    <x v="1"/>
  </r>
  <r>
    <n v="10374"/>
    <x v="172"/>
    <x v="2"/>
    <x v="79"/>
    <n v="15"/>
    <n v="322.5"/>
    <x v="1"/>
  </r>
  <r>
    <n v="10374"/>
    <x v="172"/>
    <x v="2"/>
    <x v="101"/>
    <n v="5"/>
    <n v="46"/>
    <x v="1"/>
  </r>
  <r>
    <n v="10375"/>
    <x v="310"/>
    <x v="2"/>
    <x v="76"/>
    <n v="18"/>
    <n v="225"/>
    <x v="0"/>
  </r>
  <r>
    <n v="10375"/>
    <x v="310"/>
    <x v="2"/>
    <x v="73"/>
    <n v="20"/>
    <n v="380"/>
    <x v="0"/>
  </r>
  <r>
    <n v="10376"/>
    <x v="104"/>
    <x v="2"/>
    <x v="54"/>
    <n v="3"/>
    <n v="13.5"/>
    <x v="0"/>
  </r>
  <r>
    <n v="10376"/>
    <x v="104"/>
    <x v="2"/>
    <x v="85"/>
    <n v="30"/>
    <n v="540"/>
    <x v="0"/>
  </r>
  <r>
    <n v="10376"/>
    <x v="104"/>
    <x v="2"/>
    <x v="56"/>
    <n v="21"/>
    <n v="488.25"/>
    <x v="0"/>
  </r>
  <r>
    <n v="10376"/>
    <x v="104"/>
    <x v="2"/>
    <x v="101"/>
    <n v="15"/>
    <n v="138"/>
    <x v="0"/>
  </r>
  <r>
    <n v="10376"/>
    <x v="104"/>
    <x v="2"/>
    <x v="5"/>
    <n v="25"/>
    <n v="250"/>
    <x v="0"/>
  </r>
  <r>
    <n v="10379"/>
    <x v="173"/>
    <x v="2"/>
    <x v="79"/>
    <n v="20"/>
    <n v="430"/>
    <x v="1"/>
  </r>
  <r>
    <n v="10379"/>
    <x v="173"/>
    <x v="2"/>
    <x v="68"/>
    <n v="20"/>
    <n v="680"/>
    <x v="1"/>
  </r>
  <r>
    <n v="10380"/>
    <x v="173"/>
    <x v="2"/>
    <x v="97"/>
    <n v="35"/>
    <n v="525"/>
    <x v="0"/>
  </r>
  <r>
    <n v="10380"/>
    <x v="173"/>
    <x v="2"/>
    <x v="81"/>
    <n v="15"/>
    <n v="739.5"/>
    <x v="0"/>
  </r>
  <r>
    <n v="10381"/>
    <x v="311"/>
    <x v="2"/>
    <x v="85"/>
    <n v="25"/>
    <n v="450"/>
    <x v="5"/>
  </r>
  <r>
    <n v="10382"/>
    <x v="311"/>
    <x v="2"/>
    <x v="89"/>
    <n v="20"/>
    <n v="2475.8000000000002"/>
    <x v="0"/>
  </r>
  <r>
    <n v="10382"/>
    <x v="311"/>
    <x v="2"/>
    <x v="87"/>
    <n v="9"/>
    <n v="299.25"/>
    <x v="0"/>
  </r>
  <r>
    <n v="10383"/>
    <x v="312"/>
    <x v="2"/>
    <x v="85"/>
    <n v="35"/>
    <n v="630"/>
    <x v="0"/>
  </r>
  <r>
    <n v="10383"/>
    <x v="312"/>
    <x v="2"/>
    <x v="91"/>
    <n v="12"/>
    <n v="288"/>
    <x v="0"/>
  </r>
  <r>
    <n v="10384"/>
    <x v="106"/>
    <x v="2"/>
    <x v="86"/>
    <n v="8"/>
    <n v="62"/>
    <x v="0"/>
  </r>
  <r>
    <n v="10385"/>
    <x v="106"/>
    <x v="2"/>
    <x v="64"/>
    <n v="20"/>
    <n v="50"/>
    <x v="0"/>
  </r>
  <r>
    <n v="10387"/>
    <x v="107"/>
    <x v="2"/>
    <x v="96"/>
    <n v="50"/>
    <n v="3125"/>
    <x v="1"/>
  </r>
  <r>
    <n v="10387"/>
    <x v="107"/>
    <x v="2"/>
    <x v="86"/>
    <n v="2"/>
    <n v="15.5"/>
    <x v="1"/>
  </r>
  <r>
    <n v="10388"/>
    <x v="313"/>
    <x v="2"/>
    <x v="60"/>
    <n v="10"/>
    <n v="220"/>
    <x v="1"/>
  </r>
  <r>
    <n v="10388"/>
    <x v="313"/>
    <x v="2"/>
    <x v="114"/>
    <n v="15"/>
    <n v="320.25"/>
    <x v="1"/>
  </r>
  <r>
    <n v="10388"/>
    <x v="313"/>
    <x v="2"/>
    <x v="84"/>
    <n v="40"/>
    <n v="840"/>
    <x v="1"/>
  </r>
  <r>
    <n v="10389"/>
    <x v="314"/>
    <x v="2"/>
    <x v="77"/>
    <n v="6"/>
    <n v="79.5"/>
    <x v="3"/>
  </r>
  <r>
    <n v="10389"/>
    <x v="314"/>
    <x v="2"/>
    <x v="60"/>
    <n v="25"/>
    <n v="550"/>
    <x v="3"/>
  </r>
  <r>
    <n v="10390"/>
    <x v="314"/>
    <x v="2"/>
    <x v="84"/>
    <n v="10"/>
    <n v="210"/>
    <x v="0"/>
  </r>
  <r>
    <n v="10390"/>
    <x v="314"/>
    <x v="2"/>
    <x v="115"/>
    <n v="25"/>
    <n v="406.25"/>
    <x v="0"/>
  </r>
  <r>
    <n v="10390"/>
    <x v="314"/>
    <x v="2"/>
    <x v="67"/>
    <n v="60"/>
    <n v="2280"/>
    <x v="0"/>
  </r>
  <r>
    <n v="10391"/>
    <x v="108"/>
    <x v="2"/>
    <x v="55"/>
    <n v="21"/>
    <n v="442.05"/>
    <x v="0"/>
  </r>
  <r>
    <n v="10395"/>
    <x v="174"/>
    <x v="2"/>
    <x v="58"/>
    <n v="20"/>
    <n v="570"/>
    <x v="1"/>
  </r>
  <r>
    <n v="10395"/>
    <x v="174"/>
    <x v="2"/>
    <x v="5"/>
    <n v="30"/>
    <n v="300"/>
    <x v="1"/>
  </r>
  <r>
    <n v="10396"/>
    <x v="315"/>
    <x v="2"/>
    <x v="62"/>
    <n v="2"/>
    <n v="24"/>
    <x v="1"/>
  </r>
  <r>
    <n v="10396"/>
    <x v="315"/>
    <x v="2"/>
    <x v="63"/>
    <n v="15"/>
    <n v="684"/>
    <x v="1"/>
  </r>
  <r>
    <n v="10396"/>
    <x v="315"/>
    <x v="2"/>
    <x v="85"/>
    <n v="21"/>
    <n v="378"/>
    <x v="1"/>
  </r>
  <r>
    <n v="10397"/>
    <x v="315"/>
    <x v="2"/>
    <x v="96"/>
    <n v="4"/>
    <n v="250"/>
    <x v="0"/>
  </r>
  <r>
    <n v="10397"/>
    <x v="315"/>
    <x v="2"/>
    <x v="62"/>
    <n v="21"/>
    <n v="252"/>
    <x v="0"/>
  </r>
  <r>
    <n v="10397"/>
    <x v="315"/>
    <x v="2"/>
    <x v="72"/>
    <n v="20"/>
    <n v="920"/>
    <x v="0"/>
  </r>
  <r>
    <n v="10398"/>
    <x v="316"/>
    <x v="2"/>
    <x v="73"/>
    <n v="15"/>
    <n v="285"/>
    <x v="3"/>
  </r>
  <r>
    <n v="10398"/>
    <x v="316"/>
    <x v="2"/>
    <x v="96"/>
    <n v="20"/>
    <n v="1250"/>
    <x v="3"/>
  </r>
  <r>
    <n v="10399"/>
    <x v="110"/>
    <x v="2"/>
    <x v="79"/>
    <n v="30"/>
    <n v="645"/>
    <x v="0"/>
  </r>
  <r>
    <n v="10402"/>
    <x v="175"/>
    <x v="2"/>
    <x v="63"/>
    <n v="20"/>
    <n v="912"/>
    <x v="5"/>
  </r>
  <r>
    <n v="10402"/>
    <x v="175"/>
    <x v="2"/>
    <x v="0"/>
    <n v="15"/>
    <n v="522"/>
    <x v="5"/>
  </r>
  <r>
    <n v="10403"/>
    <x v="317"/>
    <x v="2"/>
    <x v="57"/>
    <n v="25"/>
    <n v="820"/>
    <x v="1"/>
  </r>
  <r>
    <n v="10403"/>
    <x v="317"/>
    <x v="2"/>
    <x v="71"/>
    <n v="30"/>
    <n v="223.5"/>
    <x v="1"/>
  </r>
  <r>
    <n v="10403"/>
    <x v="317"/>
    <x v="2"/>
    <x v="75"/>
    <n v="30"/>
    <n v="776.7"/>
    <x v="1"/>
  </r>
  <r>
    <n v="10404"/>
    <x v="318"/>
    <x v="2"/>
    <x v="84"/>
    <n v="20"/>
    <n v="420"/>
    <x v="0"/>
  </r>
  <r>
    <n v="10404"/>
    <x v="318"/>
    <x v="2"/>
    <x v="101"/>
    <n v="12"/>
    <n v="110.4"/>
    <x v="0"/>
  </r>
  <r>
    <n v="10405"/>
    <x v="318"/>
    <x v="2"/>
    <x v="75"/>
    <n v="2"/>
    <n v="51.78"/>
    <x v="0"/>
  </r>
  <r>
    <n v="10405"/>
    <x v="318"/>
    <x v="2"/>
    <x v="2"/>
    <n v="20"/>
    <n v="280"/>
    <x v="0"/>
  </r>
  <r>
    <n v="10406"/>
    <x v="111"/>
    <x v="2"/>
    <x v="68"/>
    <n v="20"/>
    <n v="680"/>
    <x v="0"/>
  </r>
  <r>
    <n v="10406"/>
    <x v="111"/>
    <x v="2"/>
    <x v="65"/>
    <n v="30"/>
    <n v="523.5"/>
    <x v="0"/>
  </r>
  <r>
    <n v="10410"/>
    <x v="176"/>
    <x v="2"/>
    <x v="67"/>
    <n v="45"/>
    <n v="1710"/>
    <x v="1"/>
  </r>
  <r>
    <n v="10410"/>
    <x v="176"/>
    <x v="2"/>
    <x v="95"/>
    <n v="10"/>
    <n v="95"/>
    <x v="1"/>
  </r>
  <r>
    <n v="10410"/>
    <x v="176"/>
    <x v="2"/>
    <x v="68"/>
    <n v="30"/>
    <n v="1020"/>
    <x v="1"/>
  </r>
  <r>
    <n v="10410"/>
    <x v="176"/>
    <x v="2"/>
    <x v="29"/>
    <n v="50"/>
    <n v="775"/>
    <x v="1"/>
  </r>
  <r>
    <n v="10410"/>
    <x v="176"/>
    <x v="2"/>
    <x v="62"/>
    <n v="45"/>
    <n v="540"/>
    <x v="1"/>
  </r>
  <r>
    <n v="10410"/>
    <x v="176"/>
    <x v="2"/>
    <x v="83"/>
    <n v="24"/>
    <n v="231.6"/>
    <x v="1"/>
  </r>
  <r>
    <n v="10411"/>
    <x v="113"/>
    <x v="2"/>
    <x v="45"/>
    <n v="70"/>
    <n v="910"/>
    <x v="5"/>
  </r>
  <r>
    <n v="10411"/>
    <x v="113"/>
    <x v="2"/>
    <x v="68"/>
    <n v="55"/>
    <n v="1870"/>
    <x v="5"/>
  </r>
  <r>
    <n v="10411"/>
    <x v="113"/>
    <x v="2"/>
    <x v="5"/>
    <n v="60"/>
    <n v="600"/>
    <x v="5"/>
  </r>
  <r>
    <n v="10411"/>
    <x v="113"/>
    <x v="2"/>
    <x v="53"/>
    <n v="70"/>
    <n v="1288"/>
    <x v="5"/>
  </r>
  <r>
    <n v="10412"/>
    <x v="113"/>
    <x v="2"/>
    <x v="53"/>
    <n v="24"/>
    <n v="441.6"/>
    <x v="0"/>
  </r>
  <r>
    <n v="10416"/>
    <x v="177"/>
    <x v="2"/>
    <x v="53"/>
    <n v="30"/>
    <n v="552"/>
    <x v="1"/>
  </r>
  <r>
    <n v="10417"/>
    <x v="177"/>
    <x v="2"/>
    <x v="69"/>
    <n v="24"/>
    <n v="744"/>
    <x v="1"/>
  </r>
  <r>
    <n v="10417"/>
    <x v="177"/>
    <x v="2"/>
    <x v="67"/>
    <n v="12"/>
    <n v="456"/>
    <x v="1"/>
  </r>
  <r>
    <n v="10417"/>
    <x v="177"/>
    <x v="2"/>
    <x v="55"/>
    <n v="15"/>
    <n v="315.75"/>
    <x v="1"/>
  </r>
  <r>
    <n v="10418"/>
    <x v="178"/>
    <x v="2"/>
    <x v="85"/>
    <n v="10"/>
    <n v="180"/>
    <x v="0"/>
  </r>
  <r>
    <n v="10418"/>
    <x v="178"/>
    <x v="2"/>
    <x v="74"/>
    <n v="1"/>
    <n v="55"/>
    <x v="0"/>
  </r>
  <r>
    <n v="10419"/>
    <x v="116"/>
    <x v="2"/>
    <x v="89"/>
    <n v="36"/>
    <n v="4456.4399999999996"/>
    <x v="3"/>
  </r>
  <r>
    <n v="10419"/>
    <x v="116"/>
    <x v="2"/>
    <x v="55"/>
    <n v="10"/>
    <n v="210.5"/>
    <x v="3"/>
  </r>
  <r>
    <n v="10420"/>
    <x v="116"/>
    <x v="2"/>
    <x v="79"/>
    <n v="14"/>
    <n v="301"/>
    <x v="0"/>
  </r>
  <r>
    <n v="10423"/>
    <x v="179"/>
    <x v="2"/>
    <x v="86"/>
    <n v="25"/>
    <n v="193.75"/>
    <x v="4"/>
  </r>
  <r>
    <n v="10423"/>
    <x v="179"/>
    <x v="2"/>
    <x v="100"/>
    <n v="32"/>
    <n v="288"/>
    <x v="4"/>
  </r>
  <r>
    <n v="10423"/>
    <x v="179"/>
    <x v="2"/>
    <x v="62"/>
    <n v="60"/>
    <n v="720"/>
    <x v="4"/>
  </r>
  <r>
    <n v="10424"/>
    <x v="319"/>
    <x v="2"/>
    <x v="81"/>
    <n v="10"/>
    <n v="493"/>
    <x v="0"/>
  </r>
  <r>
    <n v="10424"/>
    <x v="319"/>
    <x v="2"/>
    <x v="55"/>
    <n v="12"/>
    <n v="252.6"/>
    <x v="0"/>
  </r>
  <r>
    <n v="10424"/>
    <x v="319"/>
    <x v="2"/>
    <x v="65"/>
    <n v="10"/>
    <n v="174.5"/>
    <x v="0"/>
  </r>
  <r>
    <n v="10425"/>
    <x v="319"/>
    <x v="2"/>
    <x v="80"/>
    <n v="15"/>
    <n v="3952.5"/>
    <x v="1"/>
  </r>
  <r>
    <n v="10425"/>
    <x v="319"/>
    <x v="2"/>
    <x v="79"/>
    <n v="12"/>
    <n v="258"/>
    <x v="1"/>
  </r>
  <r>
    <n v="10426"/>
    <x v="118"/>
    <x v="2"/>
    <x v="72"/>
    <n v="6"/>
    <n v="276"/>
    <x v="0"/>
  </r>
  <r>
    <n v="10426"/>
    <x v="118"/>
    <x v="2"/>
    <x v="65"/>
    <n v="3"/>
    <n v="52.35"/>
    <x v="0"/>
  </r>
  <r>
    <n v="10426"/>
    <x v="118"/>
    <x v="2"/>
    <x v="2"/>
    <n v="6"/>
    <n v="84"/>
    <x v="0"/>
  </r>
  <r>
    <n v="10430"/>
    <x v="180"/>
    <x v="2"/>
    <x v="64"/>
    <n v="8"/>
    <n v="20"/>
    <x v="0"/>
  </r>
  <r>
    <n v="10430"/>
    <x v="180"/>
    <x v="2"/>
    <x v="90"/>
    <n v="30"/>
    <n v="936.9"/>
    <x v="0"/>
  </r>
  <r>
    <n v="10431"/>
    <x v="320"/>
    <x v="2"/>
    <x v="67"/>
    <n v="100"/>
    <n v="3800"/>
    <x v="0"/>
  </r>
  <r>
    <n v="10431"/>
    <x v="320"/>
    <x v="2"/>
    <x v="64"/>
    <n v="30"/>
    <n v="75"/>
    <x v="0"/>
  </r>
  <r>
    <n v="10431"/>
    <x v="320"/>
    <x v="2"/>
    <x v="83"/>
    <n v="120"/>
    <n v="1158"/>
    <x v="0"/>
  </r>
  <r>
    <n v="10431"/>
    <x v="320"/>
    <x v="2"/>
    <x v="71"/>
    <n v="30"/>
    <n v="223.5"/>
    <x v="0"/>
  </r>
  <r>
    <n v="10432"/>
    <x v="320"/>
    <x v="2"/>
    <x v="74"/>
    <n v="12"/>
    <n v="660"/>
    <x v="1"/>
  </r>
  <r>
    <n v="10433"/>
    <x v="120"/>
    <x v="2"/>
    <x v="76"/>
    <n v="20"/>
    <n v="250"/>
    <x v="0"/>
  </r>
  <r>
    <n v="10435"/>
    <x v="121"/>
    <x v="2"/>
    <x v="10"/>
    <n v="4"/>
    <n v="68"/>
    <x v="0"/>
  </r>
  <r>
    <n v="10436"/>
    <x v="321"/>
    <x v="2"/>
    <x v="107"/>
    <n v="9"/>
    <n v="63"/>
    <x v="0"/>
  </r>
  <r>
    <n v="10437"/>
    <x v="321"/>
    <x v="2"/>
    <x v="95"/>
    <n v="40"/>
    <n v="380"/>
    <x v="5"/>
  </r>
  <r>
    <n v="10437"/>
    <x v="321"/>
    <x v="2"/>
    <x v="53"/>
    <n v="20"/>
    <n v="368"/>
    <x v="5"/>
  </r>
  <r>
    <n v="10437"/>
    <x v="321"/>
    <x v="2"/>
    <x v="68"/>
    <n v="30"/>
    <n v="1020"/>
    <x v="5"/>
  </r>
  <r>
    <n v="10438"/>
    <x v="322"/>
    <x v="2"/>
    <x v="83"/>
    <n v="4"/>
    <n v="38.6"/>
    <x v="1"/>
  </r>
  <r>
    <n v="10438"/>
    <x v="322"/>
    <x v="2"/>
    <x v="95"/>
    <n v="15"/>
    <n v="142.5"/>
    <x v="1"/>
  </r>
  <r>
    <n v="10438"/>
    <x v="322"/>
    <x v="2"/>
    <x v="69"/>
    <n v="20"/>
    <n v="620"/>
    <x v="1"/>
  </r>
  <r>
    <m/>
    <x v="323"/>
    <x v="3"/>
    <x v="116"/>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n v="108"/>
  </r>
  <r>
    <n v="2"/>
    <x v="1"/>
    <n v="116"/>
  </r>
  <r>
    <n v="3"/>
    <x v="2"/>
    <n v="118"/>
  </r>
  <r>
    <n v="4"/>
    <x v="3"/>
    <n v="118"/>
  </r>
  <r>
    <n v="5"/>
    <x v="0"/>
    <n v="104"/>
  </r>
  <r>
    <n v="6"/>
    <x v="1"/>
    <n v="112"/>
  </r>
  <r>
    <n v="7"/>
    <x v="2"/>
    <n v="110"/>
  </r>
  <r>
    <n v="8"/>
    <x v="3"/>
    <n v="102"/>
  </r>
  <r>
    <n v="9"/>
    <x v="0"/>
    <n v="98"/>
  </r>
  <r>
    <n v="10"/>
    <x v="1"/>
    <n v="102"/>
  </r>
  <r>
    <n v="11"/>
    <x v="2"/>
    <n v="92"/>
  </r>
  <r>
    <n v="12"/>
    <x v="3"/>
    <n v="91"/>
  </r>
  <r>
    <n v="13"/>
    <x v="0"/>
    <n v="96"/>
  </r>
  <r>
    <n v="14"/>
    <x v="1"/>
    <n v="100"/>
  </r>
  <r>
    <n v="15"/>
    <x v="2"/>
    <n v="90"/>
  </r>
  <r>
    <n v="16"/>
    <x v="3"/>
    <n v="88"/>
  </r>
  <r>
    <n v="17"/>
    <x v="0"/>
    <n v="85"/>
  </r>
  <r>
    <n v="18"/>
    <x v="1"/>
    <n v="81.599999999999994"/>
  </r>
  <r>
    <n v="19"/>
    <x v="2"/>
    <n v="78.2"/>
  </r>
  <r>
    <n v="20"/>
    <x v="3"/>
    <n v="7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0CA80-C574-4F36-900F-2709584F18D6}" name="数据透视表1" cacheId="7" applyNumberFormats="0" applyBorderFormats="0" applyFontFormats="0" applyPatternFormats="0" applyAlignmentFormats="0" applyWidthHeightFormats="1" dataCaption="值" updatedVersion="7" minRefreshableVersion="3" useAutoFormatting="1" colGrandTotals="0" itemPrintTitles="1" createdVersion="7" indent="0" compact="0" outline="1" outlineData="1" compactData="0" multipleFieldFilters="0">
  <location ref="A3:E8" firstHeaderRow="1" firstDataRow="3" firstDataCol="1" rowPageCount="1" colPageCount="1"/>
  <pivotFields count="10">
    <pivotField compact="0" showAll="0" defaultSubtotal="0"/>
    <pivotField compact="0" showAll="0" defaultSubtotal="0">
      <items count="14">
        <item x="0"/>
        <item x="1"/>
        <item x="2"/>
        <item x="3"/>
        <item x="4"/>
        <item x="5"/>
        <item x="6"/>
        <item x="7"/>
        <item x="8"/>
        <item x="9"/>
        <item x="10"/>
        <item x="11"/>
        <item x="12"/>
        <item x="13"/>
      </items>
    </pivotField>
    <pivotField name=" " axis="axisCol" compact="0" showAll="0" defaultSubtotal="0">
      <items count="4">
        <item h="1" x="1"/>
        <item x="0"/>
        <item x="2"/>
        <item h="1" x="3"/>
      </items>
    </pivotField>
    <pivotField compact="0" showAll="0" defaultSubtotal="0">
      <items count="117">
        <item x="16"/>
        <item x="64"/>
        <item x="7"/>
        <item x="54"/>
        <item x="18"/>
        <item x="39"/>
        <item x="27"/>
        <item x="106"/>
        <item x="51"/>
        <item x="107"/>
        <item x="42"/>
        <item x="24"/>
        <item x="71"/>
        <item x="104"/>
        <item x="13"/>
        <item x="86"/>
        <item x="50"/>
        <item x="100"/>
        <item x="101"/>
        <item x="95"/>
        <item x="26"/>
        <item x="83"/>
        <item x="1"/>
        <item x="5"/>
        <item x="109"/>
        <item x="52"/>
        <item x="40"/>
        <item x="25"/>
        <item x="62"/>
        <item x="22"/>
        <item x="76"/>
        <item x="112"/>
        <item x="45"/>
        <item x="77"/>
        <item x="49"/>
        <item x="34"/>
        <item x="2"/>
        <item x="6"/>
        <item x="35"/>
        <item x="97"/>
        <item x="11"/>
        <item x="29"/>
        <item x="108"/>
        <item x="4"/>
        <item x="115"/>
        <item x="33"/>
        <item x="10"/>
        <item x="38"/>
        <item x="65"/>
        <item x="103"/>
        <item x="85"/>
        <item x="53"/>
        <item x="3"/>
        <item x="73"/>
        <item x="43"/>
        <item x="94"/>
        <item x="88"/>
        <item x="92"/>
        <item x="12"/>
        <item x="102"/>
        <item x="84"/>
        <item x="55"/>
        <item x="114"/>
        <item x="79"/>
        <item x="60"/>
        <item x="110"/>
        <item x="56"/>
        <item x="91"/>
        <item x="19"/>
        <item x="41"/>
        <item x="93"/>
        <item x="9"/>
        <item x="75"/>
        <item x="113"/>
        <item x="37"/>
        <item x="44"/>
        <item x="23"/>
        <item x="14"/>
        <item x="58"/>
        <item x="32"/>
        <item x="59"/>
        <item x="31"/>
        <item x="69"/>
        <item x="21"/>
        <item x="90"/>
        <item x="82"/>
        <item x="57"/>
        <item x="87"/>
        <item x="68"/>
        <item x="0"/>
        <item x="8"/>
        <item x="99"/>
        <item x="20"/>
        <item x="15"/>
        <item x="67"/>
        <item x="70"/>
        <item x="47"/>
        <item x="61"/>
        <item x="28"/>
        <item x="105"/>
        <item x="17"/>
        <item x="63"/>
        <item x="72"/>
        <item x="81"/>
        <item x="36"/>
        <item x="78"/>
        <item x="74"/>
        <item x="96"/>
        <item x="30"/>
        <item x="111"/>
        <item x="98"/>
        <item x="66"/>
        <item x="46"/>
        <item x="89"/>
        <item x="48"/>
        <item x="80"/>
        <item x="116"/>
      </items>
    </pivotField>
    <pivotField compact="0" showAll="0" defaultSubtotal="0"/>
    <pivotField dataField="1" compact="0" showAll="0" defaultSubtotal="0"/>
    <pivotField name="列标签" axis="axisCol" compact="0" showAll="0" defaultSubtotal="0">
      <items count="7">
        <item h="1" x="4"/>
        <item x="0"/>
        <item x="1"/>
        <item h="1" x="3"/>
        <item h="1" x="2"/>
        <item h="1" x="5"/>
        <item h="1" x="6"/>
      </items>
    </pivotField>
    <pivotField compact="0" showAll="0" defaultSubtotal="0">
      <items count="6">
        <item sd="0" x="0"/>
        <item sd="0" x="1"/>
        <item sd="0" x="2"/>
        <item sd="0" x="3"/>
        <item sd="0" x="4"/>
        <item sd="0" x="5"/>
      </items>
    </pivotField>
    <pivotField axis="axisPage" compact="0" showAll="0" defaultSubtotal="0">
      <items count="5">
        <item sd="0" x="0"/>
        <item sd="0" x="1"/>
        <item sd="0" x="2"/>
        <item sd="0" x="3"/>
        <item sd="0" x="4"/>
      </items>
    </pivotField>
    <pivotField name="行标签" axis="axisRow" compact="0" subtotalTop="0" showAll="0" defaultSubtotal="0">
      <items count="63">
        <item n="低价位" sd="0" x="61"/>
        <item x="16"/>
        <item x="7"/>
        <item x="54"/>
        <item x="55"/>
        <item x="23"/>
        <item x="38"/>
        <item x="51"/>
        <item x="52"/>
        <item x="46"/>
        <item x="35"/>
        <item x="1"/>
        <item x="4"/>
        <item x="28"/>
        <item x="56"/>
        <item x="29"/>
        <item x="2"/>
        <item x="48"/>
        <item x="59"/>
        <item x="17"/>
        <item x="37"/>
        <item x="6"/>
        <item x="25"/>
        <item x="45"/>
        <item x="40"/>
        <item x="43"/>
        <item x="36"/>
        <item x="8"/>
        <item x="58"/>
        <item x="31"/>
        <item x="13"/>
        <item x="9"/>
        <item x="44"/>
        <item x="3"/>
        <item x="27"/>
        <item x="57"/>
        <item x="11"/>
        <item x="12"/>
        <item x="21"/>
        <item x="42"/>
        <item x="34"/>
        <item x="10"/>
        <item x="39"/>
        <item x="20"/>
        <item x="0"/>
        <item x="50"/>
        <item x="19"/>
        <item x="22"/>
        <item x="14"/>
        <item x="5"/>
        <item x="53"/>
        <item n="高价位" sd="0" x="62"/>
        <item x="15"/>
        <item x="24"/>
        <item x="33"/>
        <item x="30"/>
        <item x="26"/>
        <item x="47"/>
        <item x="49"/>
        <item x="18"/>
        <item x="41"/>
        <item x="32"/>
        <item x="60"/>
      </items>
    </pivotField>
  </pivotFields>
  <rowFields count="1">
    <field x="9"/>
  </rowFields>
  <rowItems count="3">
    <i>
      <x/>
    </i>
    <i>
      <x v="51"/>
    </i>
    <i t="grand">
      <x/>
    </i>
  </rowItems>
  <colFields count="2">
    <field x="6"/>
    <field x="2"/>
  </colFields>
  <colItems count="4">
    <i>
      <x v="1"/>
      <x v="1"/>
    </i>
    <i r="1">
      <x v="2"/>
    </i>
    <i>
      <x v="2"/>
      <x v="1"/>
    </i>
    <i r="1">
      <x v="2"/>
    </i>
  </colItems>
  <pageFields count="1">
    <pageField fld="8" item="2" hier="-1"/>
  </pageFields>
  <dataFields count="1">
    <dataField name="求和项:销售额"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F29544-87D7-4706-9D18-C2F5BA8762EC}" name="数据透视表2" cacheId="11"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23:B28" firstHeaderRow="1" firstDataRow="1" firstDataCol="1"/>
  <pivotFields count="3">
    <pivotField showAll="0"/>
    <pivotField axis="axisRow" showAll="0">
      <items count="5">
        <item x="0"/>
        <item x="1"/>
        <item x="2"/>
        <item x="3"/>
        <item t="default"/>
      </items>
    </pivotField>
    <pivotField dataField="1" showAll="0"/>
  </pivotFields>
  <rowFields count="1">
    <field x="1"/>
  </rowFields>
  <rowItems count="5">
    <i>
      <x/>
    </i>
    <i>
      <x v="1"/>
    </i>
    <i>
      <x v="2"/>
    </i>
    <i>
      <x v="3"/>
    </i>
    <i t="grand">
      <x/>
    </i>
  </rowItems>
  <colItems count="1">
    <i/>
  </colItems>
  <dataFields count="1">
    <dataField name="平均值项:需求"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查询来自 northwind" connectionId="1" xr16:uid="{F4652C9B-9A33-41E4-B8FA-4A9DFE77AABB}" autoFormatId="16" applyNumberFormats="0" applyBorderFormats="0" applyFontFormats="0" applyPatternFormats="0" applyAlignmentFormats="0" applyWidthHeightFormats="0">
  <queryTableRefresh nextId="5">
    <queryTableFields count="3">
      <queryTableField id="1" name="地区" tableColumnId="1"/>
      <queryTableField id="2" name="城市" tableColumnId="2"/>
      <queryTableField id="4" name="'订单数'"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查询来自 northwind" connectionId="2" xr16:uid="{1DF9914B-EE55-48F5-87D8-DC67B6DFEB05}" autoFormatId="16" applyNumberFormats="0" applyBorderFormats="0" applyFontFormats="0" applyPatternFormats="0" applyAlignmentFormats="0" applyWidthHeightFormats="0">
  <queryTableRefresh nextId="5">
    <queryTableFields count="4">
      <queryTableField id="1" name="产品名称" tableColumnId="1"/>
      <queryTableField id="2" name="订购日期" tableColumnId="2"/>
      <queryTableField id="4" dataBound="0" tableColumnId="4"/>
      <queryTableField id="3" name="'销售额'"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AC4AB-DFC2-40D1-B773-42E5B022C955}" name="表_查询来自_northwind" displayName="表_查询来自_northwind" ref="A1:C6" tableType="queryTable" totalsRowShown="0" headerRowCellStyle="常规 3 2" dataCellStyle="常规 3 2">
  <autoFilter ref="A1:C6" xr:uid="{908AC4AB-DFC2-40D1-B773-42E5B022C955}"/>
  <tableColumns count="3">
    <tableColumn id="1" xr3:uid="{5D692C60-E8EC-4EF9-9643-5CF3FE6F964A}" uniqueName="1" name="地区" queryTableFieldId="1" dataCellStyle="常规 3 2"/>
    <tableColumn id="2" xr3:uid="{62F507E9-CCC0-4313-9D10-E0B76FAF243C}" uniqueName="2" name="城市" queryTableFieldId="2" dataCellStyle="常规 3 2"/>
    <tableColumn id="4" xr3:uid="{B0526D4A-34A3-4A63-80F8-2FB99F583100}" uniqueName="4" name="'订单数'" queryTableFieldId="4" dataDxfId="2" dataCellStyle="常规 3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FDD2FF-F78E-46DC-957F-9C6AC755220E}" name="表_查询来自_northwind3" displayName="表_查询来自_northwind3" ref="A1:D2158" tableType="queryTable" totalsRowShown="0" headerRowCellStyle="常规 3 2" dataCellStyle="常规 3 2">
  <tableColumns count="4">
    <tableColumn id="1" xr3:uid="{4A5EA4D1-50B3-434B-9AE2-9D4496A38C96}" uniqueName="1" name="产品名称" queryTableFieldId="1" dataCellStyle="常规 3 2"/>
    <tableColumn id="2" xr3:uid="{D4FBA78C-DDC4-4E00-9D42-FFBCF74F83B1}" uniqueName="2" name="订购日期" queryTableFieldId="2" dataDxfId="1" dataCellStyle="常规 3 2"/>
    <tableColumn id="4" xr3:uid="{4D9ECE89-0238-4EB2-BE7D-8072A7B93446}" uniqueName="4" name="年份" queryTableFieldId="4" dataDxfId="0" dataCellStyle="常规 3 2">
      <calculatedColumnFormula>YEAR(表_查询来自_northwind3[[#This Row],[订购日期]])</calculatedColumnFormula>
    </tableColumn>
    <tableColumn id="3" xr3:uid="{88A255F1-D01F-4593-9F6D-05BE1B32DF7A}" uniqueName="3" name="'销售额'" queryTableFieldId="3" dataCellStyle="常规 3 2"/>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3.vml"/><Relationship Id="rId1" Type="http://schemas.openxmlformats.org/officeDocument/2006/relationships/drawing" Target="../drawings/drawing8.xml"/><Relationship Id="rId6" Type="http://schemas.openxmlformats.org/officeDocument/2006/relationships/image" Target="../media/image6.emf"/><Relationship Id="rId5" Type="http://schemas.openxmlformats.org/officeDocument/2006/relationships/oleObject" Target="../embeddings/oleObject2.bin"/><Relationship Id="rId4" Type="http://schemas.openxmlformats.org/officeDocument/2006/relationships/image" Target="../media/image5.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showGridLines="0" workbookViewId="0">
      <selection activeCell="F22" sqref="F22"/>
    </sheetView>
  </sheetViews>
  <sheetFormatPr defaultRowHeight="15.6" x14ac:dyDescent="0.25"/>
  <cols>
    <col min="2" max="2" width="12.59765625" customWidth="1"/>
    <col min="5" max="5" width="13.3984375" customWidth="1"/>
    <col min="6" max="6" width="22.69921875" customWidth="1"/>
    <col min="7" max="7" width="36.19921875" customWidth="1"/>
    <col min="8" max="8" width="11.296875" customWidth="1"/>
  </cols>
  <sheetData>
    <row r="1" spans="1:13" ht="16.2" x14ac:dyDescent="0.3">
      <c r="A1" s="31" t="s">
        <v>0</v>
      </c>
      <c r="B1" s="32"/>
      <c r="C1" s="30"/>
      <c r="D1" s="31" t="s">
        <v>1</v>
      </c>
      <c r="E1" s="33"/>
      <c r="F1" s="30"/>
      <c r="G1" s="34" t="s">
        <v>51</v>
      </c>
      <c r="H1" s="30"/>
      <c r="I1" s="30"/>
      <c r="J1" s="30"/>
      <c r="K1" s="30"/>
      <c r="L1" s="30"/>
      <c r="M1" s="30"/>
    </row>
    <row r="2" spans="1:13" x14ac:dyDescent="0.25">
      <c r="A2" s="30"/>
      <c r="B2" s="30"/>
      <c r="C2" s="30"/>
      <c r="D2" s="30"/>
      <c r="E2" s="30"/>
      <c r="F2" s="35"/>
      <c r="G2" s="30"/>
      <c r="H2" s="30"/>
      <c r="I2" s="30"/>
      <c r="J2" s="30"/>
      <c r="K2" s="30"/>
      <c r="L2" s="30"/>
      <c r="M2" s="30"/>
    </row>
    <row r="3" spans="1:13" ht="33" x14ac:dyDescent="0.65">
      <c r="A3" s="48" t="s">
        <v>2</v>
      </c>
      <c r="B3" s="48"/>
      <c r="C3" s="48"/>
      <c r="D3" s="48"/>
      <c r="E3" s="48"/>
      <c r="F3" s="48"/>
      <c r="G3" s="48"/>
      <c r="H3" s="48"/>
      <c r="I3" s="30"/>
      <c r="J3" s="30"/>
      <c r="K3" s="30"/>
      <c r="L3" s="30"/>
      <c r="M3" s="30"/>
    </row>
    <row r="4" spans="1:13" ht="23.4" x14ac:dyDescent="0.5">
      <c r="A4" s="49" t="s">
        <v>3</v>
      </c>
      <c r="B4" s="49"/>
      <c r="C4" s="49"/>
      <c r="D4" s="49"/>
      <c r="E4" s="49"/>
      <c r="F4" s="49"/>
      <c r="G4" s="49"/>
      <c r="H4" s="30"/>
      <c r="I4" s="30"/>
      <c r="J4" s="30"/>
      <c r="K4" s="30"/>
      <c r="L4" s="30"/>
      <c r="M4" s="30"/>
    </row>
    <row r="5" spans="1:13" x14ac:dyDescent="0.25">
      <c r="A5" s="30"/>
      <c r="B5" s="30"/>
      <c r="C5" s="30"/>
      <c r="D5" s="30"/>
      <c r="E5" s="30"/>
      <c r="F5" s="30"/>
      <c r="G5" s="30"/>
      <c r="H5" s="30"/>
      <c r="I5" s="36"/>
      <c r="J5" s="30"/>
      <c r="K5" s="30"/>
      <c r="L5" s="30"/>
      <c r="M5" s="30"/>
    </row>
    <row r="6" spans="1:13" x14ac:dyDescent="0.25">
      <c r="A6" s="30"/>
      <c r="B6" s="30"/>
      <c r="C6" s="30"/>
      <c r="D6" s="30"/>
      <c r="E6" s="30"/>
      <c r="F6" s="30"/>
      <c r="G6" s="30"/>
      <c r="H6" s="30"/>
      <c r="I6" s="37"/>
      <c r="J6" s="38" t="s">
        <v>4</v>
      </c>
      <c r="K6" s="38" t="s">
        <v>5</v>
      </c>
      <c r="L6" s="30"/>
      <c r="M6" s="30"/>
    </row>
    <row r="7" spans="1:13" x14ac:dyDescent="0.25">
      <c r="A7" s="30"/>
      <c r="B7" s="30"/>
      <c r="C7" s="30"/>
      <c r="D7" s="30"/>
      <c r="E7" s="30"/>
      <c r="F7" s="30"/>
      <c r="G7" s="30"/>
      <c r="H7" s="30"/>
      <c r="I7" s="39"/>
      <c r="J7" s="40" t="s">
        <v>6</v>
      </c>
      <c r="K7" s="41">
        <v>15</v>
      </c>
      <c r="L7" s="30"/>
      <c r="M7" s="30"/>
    </row>
    <row r="8" spans="1:13" x14ac:dyDescent="0.25">
      <c r="A8" s="30"/>
      <c r="B8" s="30"/>
      <c r="C8" s="30"/>
      <c r="D8" s="30"/>
      <c r="E8" s="30"/>
      <c r="F8" s="30"/>
      <c r="G8" s="30"/>
      <c r="H8" s="30"/>
      <c r="I8" s="39"/>
      <c r="J8" s="38" t="s">
        <v>7</v>
      </c>
      <c r="K8" s="42">
        <v>20</v>
      </c>
      <c r="L8" s="30"/>
      <c r="M8" s="30"/>
    </row>
    <row r="9" spans="1:13" x14ac:dyDescent="0.25">
      <c r="A9" s="30"/>
      <c r="B9" s="30"/>
      <c r="C9" s="30"/>
      <c r="D9" s="30"/>
      <c r="E9" s="30"/>
      <c r="F9" s="30"/>
      <c r="G9" s="30"/>
      <c r="H9" s="30"/>
      <c r="I9" s="39"/>
      <c r="J9" s="40" t="s">
        <v>8</v>
      </c>
      <c r="K9" s="41">
        <v>15</v>
      </c>
      <c r="L9" s="30"/>
      <c r="M9" s="30"/>
    </row>
    <row r="10" spans="1:13" x14ac:dyDescent="0.25">
      <c r="A10" s="30"/>
      <c r="B10" s="30"/>
      <c r="C10" s="30"/>
      <c r="D10" s="30"/>
      <c r="E10" s="30"/>
      <c r="F10" s="30"/>
      <c r="G10" s="30"/>
      <c r="H10" s="30"/>
      <c r="I10" s="39"/>
      <c r="J10" s="38" t="s">
        <v>9</v>
      </c>
      <c r="K10" s="42">
        <v>15</v>
      </c>
      <c r="L10" s="30"/>
      <c r="M10" s="30"/>
    </row>
    <row r="11" spans="1:13" x14ac:dyDescent="0.25">
      <c r="A11" s="30"/>
      <c r="B11" s="30"/>
      <c r="C11" s="30"/>
      <c r="D11" s="30"/>
      <c r="E11" s="30"/>
      <c r="F11" s="30"/>
      <c r="G11" s="30"/>
      <c r="H11" s="30"/>
      <c r="I11" s="39"/>
      <c r="J11" s="40" t="s">
        <v>10</v>
      </c>
      <c r="K11" s="41">
        <v>10</v>
      </c>
      <c r="L11" s="30"/>
      <c r="M11" s="30"/>
    </row>
    <row r="12" spans="1:13" x14ac:dyDescent="0.25">
      <c r="A12" s="30"/>
      <c r="B12" s="30"/>
      <c r="C12" s="30"/>
      <c r="D12" s="30"/>
      <c r="E12" s="30"/>
      <c r="F12" s="30"/>
      <c r="G12" s="30"/>
      <c r="H12" s="30"/>
      <c r="I12" s="36"/>
      <c r="J12" s="38" t="s">
        <v>11</v>
      </c>
      <c r="K12" s="42">
        <v>12</v>
      </c>
      <c r="L12" s="30"/>
      <c r="M12" s="30"/>
    </row>
    <row r="13" spans="1:13" x14ac:dyDescent="0.25">
      <c r="A13" s="30"/>
      <c r="B13" s="30"/>
      <c r="C13" s="30"/>
      <c r="D13" s="30"/>
      <c r="E13" s="30"/>
      <c r="F13" s="30"/>
      <c r="G13" s="30"/>
      <c r="H13" s="30"/>
      <c r="I13" s="43"/>
      <c r="J13" s="40" t="s">
        <v>12</v>
      </c>
      <c r="K13" s="41">
        <v>13</v>
      </c>
      <c r="L13" s="30"/>
      <c r="M13" s="30"/>
    </row>
    <row r="14" spans="1:13" x14ac:dyDescent="0.25">
      <c r="A14" s="30"/>
      <c r="B14" s="30"/>
      <c r="C14" s="30"/>
      <c r="D14" s="30"/>
      <c r="E14" s="30"/>
      <c r="F14" s="30"/>
      <c r="G14" s="30"/>
      <c r="H14" s="30"/>
      <c r="I14" s="43"/>
      <c r="J14" s="38"/>
      <c r="K14" s="42"/>
      <c r="L14" s="30"/>
      <c r="M14" s="30"/>
    </row>
    <row r="15" spans="1:13" x14ac:dyDescent="0.25">
      <c r="A15" s="30"/>
      <c r="B15" s="30"/>
      <c r="C15" s="30"/>
      <c r="D15" s="30"/>
      <c r="E15" s="30"/>
      <c r="F15" s="30"/>
      <c r="G15" s="30"/>
      <c r="H15" s="30"/>
      <c r="I15" s="30"/>
      <c r="J15" s="30"/>
      <c r="K15" s="30"/>
      <c r="L15" s="30"/>
      <c r="M15" s="30"/>
    </row>
    <row r="16" spans="1:13" x14ac:dyDescent="0.25">
      <c r="A16" s="30"/>
      <c r="B16" s="30"/>
      <c r="C16" s="30"/>
      <c r="D16" s="30"/>
      <c r="E16" s="30"/>
      <c r="F16" s="30"/>
      <c r="G16" s="30"/>
      <c r="H16" s="30"/>
      <c r="I16" s="30"/>
      <c r="J16" s="38" t="s">
        <v>13</v>
      </c>
      <c r="K16" s="42">
        <v>100</v>
      </c>
      <c r="L16" s="30"/>
      <c r="M16" s="30"/>
    </row>
    <row r="17" spans="1:13" x14ac:dyDescent="0.25">
      <c r="A17" s="30"/>
      <c r="B17" s="30"/>
      <c r="C17" s="30"/>
      <c r="D17" s="30"/>
      <c r="E17" s="30"/>
      <c r="F17" s="30"/>
      <c r="G17" s="30"/>
      <c r="H17" s="30"/>
      <c r="I17" s="30"/>
      <c r="J17" s="30"/>
      <c r="K17" s="30"/>
      <c r="L17" s="30"/>
      <c r="M17" s="30"/>
    </row>
    <row r="18" spans="1:13" x14ac:dyDescent="0.25">
      <c r="A18" s="30"/>
      <c r="B18" s="30"/>
      <c r="C18" s="30"/>
      <c r="D18" s="30"/>
      <c r="E18" s="30"/>
      <c r="F18" s="30"/>
      <c r="G18" s="30"/>
      <c r="H18" s="30"/>
      <c r="I18" s="30"/>
      <c r="J18" s="30"/>
      <c r="K18" s="30"/>
      <c r="L18" s="30"/>
      <c r="M18" s="30"/>
    </row>
    <row r="19" spans="1:13" x14ac:dyDescent="0.25">
      <c r="A19" s="30"/>
      <c r="B19" s="30"/>
      <c r="C19" s="30"/>
      <c r="D19" s="30"/>
      <c r="E19" s="30"/>
      <c r="F19" s="30"/>
      <c r="G19" s="30"/>
      <c r="H19" s="30"/>
      <c r="I19" s="30"/>
      <c r="J19" s="30"/>
      <c r="K19" s="30"/>
      <c r="L19" s="30"/>
      <c r="M19" s="30"/>
    </row>
    <row r="20" spans="1:13" x14ac:dyDescent="0.25">
      <c r="A20" s="30"/>
      <c r="B20" s="30"/>
      <c r="C20" s="30"/>
      <c r="D20" s="30"/>
      <c r="E20" s="30"/>
      <c r="F20" s="30"/>
      <c r="G20" s="30"/>
      <c r="H20" s="30"/>
      <c r="I20" s="30"/>
      <c r="J20" s="30"/>
      <c r="K20" s="30"/>
      <c r="L20" s="30"/>
      <c r="M20" s="30"/>
    </row>
    <row r="21" spans="1:13" x14ac:dyDescent="0.25">
      <c r="A21" s="30"/>
      <c r="B21" s="30"/>
      <c r="C21" s="30"/>
      <c r="D21" s="30"/>
      <c r="E21" s="30"/>
      <c r="F21" s="30"/>
      <c r="G21" s="30"/>
      <c r="H21" s="30"/>
      <c r="I21" s="30"/>
      <c r="J21" s="30"/>
      <c r="K21" s="30"/>
      <c r="L21" s="30"/>
      <c r="M21" s="30"/>
    </row>
    <row r="22" spans="1:13" x14ac:dyDescent="0.25">
      <c r="A22" s="30"/>
      <c r="B22" s="30"/>
      <c r="C22" s="30"/>
      <c r="D22" s="30"/>
      <c r="E22" s="30"/>
      <c r="F22" s="30"/>
      <c r="G22" s="30"/>
      <c r="H22" s="30"/>
      <c r="I22" s="30"/>
      <c r="J22" s="30"/>
      <c r="K22" s="30"/>
      <c r="L22" s="30"/>
      <c r="M22" s="30"/>
    </row>
    <row r="23" spans="1:13" x14ac:dyDescent="0.25">
      <c r="A23" s="30"/>
      <c r="B23" s="30"/>
      <c r="C23" s="30"/>
      <c r="D23" s="30"/>
      <c r="E23" s="30"/>
      <c r="F23" s="30"/>
      <c r="G23" s="30"/>
      <c r="H23" s="30"/>
      <c r="I23" s="30"/>
      <c r="J23" s="30"/>
      <c r="K23" s="30"/>
      <c r="L23" s="30"/>
      <c r="M23" s="30"/>
    </row>
  </sheetData>
  <mergeCells count="2">
    <mergeCell ref="A3:H3"/>
    <mergeCell ref="A4:G4"/>
  </mergeCells>
  <phoneticPr fontId="1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4506668294322"/>
  </sheetPr>
  <dimension ref="A1:G1151"/>
  <sheetViews>
    <sheetView workbookViewId="0">
      <selection sqref="A1:G1151"/>
    </sheetView>
  </sheetViews>
  <sheetFormatPr defaultColWidth="9" defaultRowHeight="15.6" x14ac:dyDescent="0.25"/>
  <cols>
    <col min="1" max="1" width="8.8984375" style="22"/>
    <col min="2" max="2" width="16.09765625" style="22" customWidth="1"/>
    <col min="3" max="3" width="11.59765625" style="22" customWidth="1"/>
    <col min="4" max="4" width="7.5" style="22" customWidth="1"/>
    <col min="5" max="5" width="6" style="22" customWidth="1"/>
    <col min="6" max="7" width="10.09765625" style="22" customWidth="1"/>
  </cols>
  <sheetData>
    <row r="1" spans="1:7" x14ac:dyDescent="0.25">
      <c r="A1" s="23" t="s">
        <v>14</v>
      </c>
      <c r="B1" s="23" t="s">
        <v>15</v>
      </c>
      <c r="C1" s="23" t="s">
        <v>16</v>
      </c>
      <c r="D1" s="23" t="s">
        <v>17</v>
      </c>
      <c r="E1" s="23" t="s">
        <v>18</v>
      </c>
      <c r="F1" s="23" t="s">
        <v>19</v>
      </c>
      <c r="G1" s="23" t="s">
        <v>20</v>
      </c>
    </row>
    <row r="2" spans="1:7" x14ac:dyDescent="0.25">
      <c r="A2" s="24">
        <v>10001</v>
      </c>
      <c r="B2" s="25">
        <v>43291</v>
      </c>
      <c r="C2" s="26" t="s">
        <v>21</v>
      </c>
      <c r="D2" s="24">
        <v>34.799999999999997</v>
      </c>
      <c r="E2" s="24">
        <v>5</v>
      </c>
      <c r="F2" s="27">
        <v>174</v>
      </c>
      <c r="G2" s="26" t="s">
        <v>22</v>
      </c>
    </row>
    <row r="3" spans="1:7" x14ac:dyDescent="0.25">
      <c r="A3" s="24">
        <v>10001</v>
      </c>
      <c r="B3" s="25">
        <v>43291</v>
      </c>
      <c r="C3" s="26" t="s">
        <v>21</v>
      </c>
      <c r="D3" s="24">
        <v>9.8000000000000007</v>
      </c>
      <c r="E3" s="24">
        <v>10</v>
      </c>
      <c r="F3" s="27">
        <v>98</v>
      </c>
      <c r="G3" s="26" t="s">
        <v>22</v>
      </c>
    </row>
    <row r="4" spans="1:7" x14ac:dyDescent="0.25">
      <c r="A4" s="24">
        <v>10001</v>
      </c>
      <c r="B4" s="25">
        <v>43291</v>
      </c>
      <c r="C4" s="26" t="s">
        <v>21</v>
      </c>
      <c r="D4" s="24">
        <v>14</v>
      </c>
      <c r="E4" s="24">
        <v>12</v>
      </c>
      <c r="F4" s="27">
        <v>168</v>
      </c>
      <c r="G4" s="26" t="s">
        <v>22</v>
      </c>
    </row>
    <row r="5" spans="1:7" x14ac:dyDescent="0.25">
      <c r="A5" s="24">
        <v>10002</v>
      </c>
      <c r="B5" s="25">
        <v>43293</v>
      </c>
      <c r="C5" s="26" t="s">
        <v>21</v>
      </c>
      <c r="D5" s="24">
        <v>18.600000000000001</v>
      </c>
      <c r="E5" s="24">
        <v>9</v>
      </c>
      <c r="F5" s="27">
        <v>167.4</v>
      </c>
      <c r="G5" s="26" t="s">
        <v>23</v>
      </c>
    </row>
    <row r="6" spans="1:7" x14ac:dyDescent="0.25">
      <c r="A6" s="24">
        <v>10006</v>
      </c>
      <c r="B6" s="25">
        <v>43303</v>
      </c>
      <c r="C6" s="26" t="s">
        <v>21</v>
      </c>
      <c r="D6" s="24">
        <v>16</v>
      </c>
      <c r="E6" s="24">
        <v>40</v>
      </c>
      <c r="F6" s="27">
        <v>640</v>
      </c>
      <c r="G6" s="26" t="s">
        <v>22</v>
      </c>
    </row>
    <row r="7" spans="1:7" x14ac:dyDescent="0.25">
      <c r="A7" s="24">
        <v>10006</v>
      </c>
      <c r="B7" s="25">
        <v>43303</v>
      </c>
      <c r="C7" s="26" t="s">
        <v>21</v>
      </c>
      <c r="D7" s="24">
        <v>10</v>
      </c>
      <c r="E7" s="24">
        <v>20</v>
      </c>
      <c r="F7" s="27">
        <v>200</v>
      </c>
      <c r="G7" s="26" t="s">
        <v>22</v>
      </c>
    </row>
    <row r="8" spans="1:7" x14ac:dyDescent="0.25">
      <c r="A8" s="24">
        <v>10006</v>
      </c>
      <c r="B8" s="25">
        <v>43303</v>
      </c>
      <c r="C8" s="26" t="s">
        <v>21</v>
      </c>
      <c r="D8" s="24">
        <v>14.4</v>
      </c>
      <c r="E8" s="24">
        <v>42</v>
      </c>
      <c r="F8" s="27">
        <v>604.79999999999995</v>
      </c>
      <c r="G8" s="26" t="s">
        <v>22</v>
      </c>
    </row>
    <row r="9" spans="1:7" x14ac:dyDescent="0.25">
      <c r="A9" s="24">
        <v>10007</v>
      </c>
      <c r="B9" s="25">
        <v>43305</v>
      </c>
      <c r="C9" s="26" t="s">
        <v>21</v>
      </c>
      <c r="D9" s="24">
        <v>3.6</v>
      </c>
      <c r="E9" s="24">
        <v>15</v>
      </c>
      <c r="F9" s="27">
        <v>54</v>
      </c>
      <c r="G9" s="26" t="s">
        <v>24</v>
      </c>
    </row>
    <row r="10" spans="1:7" x14ac:dyDescent="0.25">
      <c r="A10" s="24">
        <v>10010</v>
      </c>
      <c r="B10" s="25">
        <v>43315</v>
      </c>
      <c r="C10" s="26" t="s">
        <v>21</v>
      </c>
      <c r="D10" s="24">
        <v>35.1</v>
      </c>
      <c r="E10" s="24">
        <v>25</v>
      </c>
      <c r="F10" s="27">
        <v>877.5</v>
      </c>
      <c r="G10" s="26" t="s">
        <v>23</v>
      </c>
    </row>
    <row r="11" spans="1:7" x14ac:dyDescent="0.25">
      <c r="A11" s="24">
        <v>10011</v>
      </c>
      <c r="B11" s="25">
        <v>43317</v>
      </c>
      <c r="C11" s="26" t="s">
        <v>21</v>
      </c>
      <c r="D11" s="24">
        <v>25.6</v>
      </c>
      <c r="E11" s="24">
        <v>6</v>
      </c>
      <c r="F11" s="27">
        <v>153.6</v>
      </c>
      <c r="G11" s="26" t="s">
        <v>23</v>
      </c>
    </row>
    <row r="12" spans="1:7" x14ac:dyDescent="0.25">
      <c r="A12" s="24">
        <v>10011</v>
      </c>
      <c r="B12" s="25">
        <v>43317</v>
      </c>
      <c r="C12" s="26" t="s">
        <v>21</v>
      </c>
      <c r="D12" s="24">
        <v>17</v>
      </c>
      <c r="E12" s="24">
        <v>65</v>
      </c>
      <c r="F12" s="27">
        <v>1105</v>
      </c>
      <c r="G12" s="26" t="s">
        <v>23</v>
      </c>
    </row>
    <row r="13" spans="1:7" x14ac:dyDescent="0.25">
      <c r="A13" s="24">
        <v>10011</v>
      </c>
      <c r="B13" s="25">
        <v>43317</v>
      </c>
      <c r="C13" s="26" t="s">
        <v>21</v>
      </c>
      <c r="D13" s="24">
        <v>15.2</v>
      </c>
      <c r="E13" s="24">
        <v>50</v>
      </c>
      <c r="F13" s="27">
        <v>760</v>
      </c>
      <c r="G13" s="26" t="s">
        <v>23</v>
      </c>
    </row>
    <row r="14" spans="1:7" x14ac:dyDescent="0.25">
      <c r="A14" s="24">
        <v>10016</v>
      </c>
      <c r="B14" s="25">
        <v>43329</v>
      </c>
      <c r="C14" s="26" t="s">
        <v>21</v>
      </c>
      <c r="D14" s="24">
        <v>3.6</v>
      </c>
      <c r="E14" s="24">
        <v>28</v>
      </c>
      <c r="F14" s="27">
        <v>100.8</v>
      </c>
      <c r="G14" s="26" t="s">
        <v>22</v>
      </c>
    </row>
    <row r="15" spans="1:7" x14ac:dyDescent="0.25">
      <c r="A15" s="24">
        <v>10016</v>
      </c>
      <c r="B15" s="25">
        <v>43329</v>
      </c>
      <c r="C15" s="26" t="s">
        <v>21</v>
      </c>
      <c r="D15" s="24">
        <v>20.7</v>
      </c>
      <c r="E15" s="24">
        <v>60</v>
      </c>
      <c r="F15" s="27">
        <v>1242</v>
      </c>
      <c r="G15" s="26" t="s">
        <v>22</v>
      </c>
    </row>
    <row r="16" spans="1:7" x14ac:dyDescent="0.25">
      <c r="A16" s="24">
        <v>10017</v>
      </c>
      <c r="B16" s="25">
        <v>43331</v>
      </c>
      <c r="C16" s="26" t="s">
        <v>21</v>
      </c>
      <c r="D16" s="24">
        <v>15.2</v>
      </c>
      <c r="E16" s="24">
        <v>35</v>
      </c>
      <c r="F16" s="27">
        <v>532</v>
      </c>
      <c r="G16" s="26" t="s">
        <v>22</v>
      </c>
    </row>
    <row r="17" spans="1:7" x14ac:dyDescent="0.25">
      <c r="A17" s="24">
        <v>10017</v>
      </c>
      <c r="B17" s="25">
        <v>43331</v>
      </c>
      <c r="C17" s="26" t="s">
        <v>21</v>
      </c>
      <c r="D17" s="24">
        <v>7.7</v>
      </c>
      <c r="E17" s="24">
        <v>25</v>
      </c>
      <c r="F17" s="27">
        <v>192.5</v>
      </c>
      <c r="G17" s="26" t="s">
        <v>22</v>
      </c>
    </row>
    <row r="18" spans="1:7" x14ac:dyDescent="0.25">
      <c r="A18" s="24">
        <v>10022</v>
      </c>
      <c r="B18" s="25">
        <v>43345</v>
      </c>
      <c r="C18" s="26" t="s">
        <v>21</v>
      </c>
      <c r="D18" s="24">
        <v>27.8</v>
      </c>
      <c r="E18" s="24">
        <v>20</v>
      </c>
      <c r="F18" s="27">
        <v>556</v>
      </c>
      <c r="G18" s="26" t="s">
        <v>23</v>
      </c>
    </row>
    <row r="19" spans="1:7" x14ac:dyDescent="0.25">
      <c r="A19" s="24">
        <v>10023</v>
      </c>
      <c r="B19" s="25">
        <v>43347</v>
      </c>
      <c r="C19" s="26" t="s">
        <v>21</v>
      </c>
      <c r="D19" s="24">
        <v>36.799999999999997</v>
      </c>
      <c r="E19" s="24">
        <v>25</v>
      </c>
      <c r="F19" s="27">
        <v>920</v>
      </c>
      <c r="G19" s="26" t="s">
        <v>22</v>
      </c>
    </row>
    <row r="20" spans="1:7" x14ac:dyDescent="0.25">
      <c r="A20" s="24">
        <v>10023</v>
      </c>
      <c r="B20" s="25">
        <v>43347</v>
      </c>
      <c r="C20" s="26" t="s">
        <v>21</v>
      </c>
      <c r="D20" s="24">
        <v>15.2</v>
      </c>
      <c r="E20" s="24">
        <v>30</v>
      </c>
      <c r="F20" s="27">
        <v>456</v>
      </c>
      <c r="G20" s="26" t="s">
        <v>22</v>
      </c>
    </row>
    <row r="21" spans="1:7" x14ac:dyDescent="0.25">
      <c r="A21" s="24">
        <v>10024</v>
      </c>
      <c r="B21" s="25">
        <v>43347</v>
      </c>
      <c r="C21" s="26" t="s">
        <v>21</v>
      </c>
      <c r="D21" s="24">
        <v>2</v>
      </c>
      <c r="E21" s="24">
        <v>24</v>
      </c>
      <c r="F21" s="27">
        <v>48</v>
      </c>
      <c r="G21" s="26" t="s">
        <v>23</v>
      </c>
    </row>
    <row r="22" spans="1:7" x14ac:dyDescent="0.25">
      <c r="A22" s="24">
        <v>10028</v>
      </c>
      <c r="B22" s="25">
        <v>43359</v>
      </c>
      <c r="C22" s="26" t="s">
        <v>21</v>
      </c>
      <c r="D22" s="24">
        <v>44</v>
      </c>
      <c r="E22" s="24">
        <v>6</v>
      </c>
      <c r="F22" s="27">
        <v>264</v>
      </c>
      <c r="G22" s="26" t="s">
        <v>22</v>
      </c>
    </row>
    <row r="23" spans="1:7" x14ac:dyDescent="0.25">
      <c r="A23" s="24">
        <v>10029</v>
      </c>
      <c r="B23" s="25">
        <v>43361</v>
      </c>
      <c r="C23" s="26" t="s">
        <v>21</v>
      </c>
      <c r="D23" s="24">
        <v>4.8</v>
      </c>
      <c r="E23" s="24">
        <v>10</v>
      </c>
      <c r="F23" s="27">
        <v>48</v>
      </c>
      <c r="G23" s="26" t="s">
        <v>23</v>
      </c>
    </row>
    <row r="24" spans="1:7" x14ac:dyDescent="0.25">
      <c r="A24" s="24">
        <v>10029</v>
      </c>
      <c r="B24" s="25">
        <v>43361</v>
      </c>
      <c r="C24" s="26" t="s">
        <v>21</v>
      </c>
      <c r="D24" s="24">
        <v>24.8</v>
      </c>
      <c r="E24" s="24">
        <v>15</v>
      </c>
      <c r="F24" s="27">
        <v>372</v>
      </c>
      <c r="G24" s="26" t="s">
        <v>23</v>
      </c>
    </row>
    <row r="25" spans="1:7" x14ac:dyDescent="0.25">
      <c r="A25" s="24">
        <v>10030</v>
      </c>
      <c r="B25" s="25">
        <v>43363</v>
      </c>
      <c r="C25" s="26" t="s">
        <v>21</v>
      </c>
      <c r="D25" s="24">
        <v>36.4</v>
      </c>
      <c r="E25" s="24">
        <v>20</v>
      </c>
      <c r="F25" s="27">
        <v>728</v>
      </c>
      <c r="G25" s="26" t="s">
        <v>23</v>
      </c>
    </row>
    <row r="26" spans="1:7" x14ac:dyDescent="0.25">
      <c r="A26" s="24">
        <v>10032</v>
      </c>
      <c r="B26" s="25">
        <v>43371</v>
      </c>
      <c r="C26" s="26" t="s">
        <v>21</v>
      </c>
      <c r="D26" s="24">
        <v>31.2</v>
      </c>
      <c r="E26" s="24">
        <v>15</v>
      </c>
      <c r="F26" s="27">
        <v>468</v>
      </c>
      <c r="G26" s="26" t="s">
        <v>23</v>
      </c>
    </row>
    <row r="27" spans="1:7" x14ac:dyDescent="0.25">
      <c r="A27" s="24">
        <v>10036</v>
      </c>
      <c r="B27" s="25">
        <v>43377</v>
      </c>
      <c r="C27" s="26" t="s">
        <v>21</v>
      </c>
      <c r="D27" s="24">
        <v>12.4</v>
      </c>
      <c r="E27" s="24">
        <v>20</v>
      </c>
      <c r="F27" s="27">
        <v>248</v>
      </c>
      <c r="G27" s="26" t="s">
        <v>22</v>
      </c>
    </row>
    <row r="28" spans="1:7" x14ac:dyDescent="0.25">
      <c r="A28" s="24">
        <v>10036</v>
      </c>
      <c r="B28" s="25">
        <v>43377</v>
      </c>
      <c r="C28" s="26" t="s">
        <v>21</v>
      </c>
      <c r="D28" s="24">
        <v>27.8</v>
      </c>
      <c r="E28" s="24">
        <v>3</v>
      </c>
      <c r="F28" s="27">
        <v>83.4</v>
      </c>
      <c r="G28" s="26" t="s">
        <v>22</v>
      </c>
    </row>
    <row r="29" spans="1:7" x14ac:dyDescent="0.25">
      <c r="A29" s="24">
        <v>10036</v>
      </c>
      <c r="B29" s="25">
        <v>43377</v>
      </c>
      <c r="C29" s="26" t="s">
        <v>21</v>
      </c>
      <c r="D29" s="24">
        <v>27.2</v>
      </c>
      <c r="E29" s="24">
        <v>35</v>
      </c>
      <c r="F29" s="27">
        <v>952</v>
      </c>
      <c r="G29" s="26" t="s">
        <v>22</v>
      </c>
    </row>
    <row r="30" spans="1:7" x14ac:dyDescent="0.25">
      <c r="A30" s="24">
        <v>10036</v>
      </c>
      <c r="B30" s="25">
        <v>43377</v>
      </c>
      <c r="C30" s="26" t="s">
        <v>21</v>
      </c>
      <c r="D30" s="24">
        <v>7.3</v>
      </c>
      <c r="E30" s="24">
        <v>18</v>
      </c>
      <c r="F30" s="27">
        <v>131.4</v>
      </c>
      <c r="G30" s="26" t="s">
        <v>22</v>
      </c>
    </row>
    <row r="31" spans="1:7" x14ac:dyDescent="0.25">
      <c r="A31" s="24">
        <v>10040</v>
      </c>
      <c r="B31" s="25">
        <v>43389</v>
      </c>
      <c r="C31" s="26" t="s">
        <v>21</v>
      </c>
      <c r="D31" s="24">
        <v>11.2</v>
      </c>
      <c r="E31" s="24">
        <v>20</v>
      </c>
      <c r="F31" s="27">
        <v>224</v>
      </c>
      <c r="G31" s="26" t="s">
        <v>25</v>
      </c>
    </row>
    <row r="32" spans="1:7" x14ac:dyDescent="0.25">
      <c r="A32" s="24">
        <v>10040</v>
      </c>
      <c r="B32" s="25">
        <v>43389</v>
      </c>
      <c r="C32" s="26" t="s">
        <v>21</v>
      </c>
      <c r="D32" s="24">
        <v>9.6</v>
      </c>
      <c r="E32" s="24">
        <v>15</v>
      </c>
      <c r="F32" s="27">
        <v>144</v>
      </c>
      <c r="G32" s="26" t="s">
        <v>25</v>
      </c>
    </row>
    <row r="33" spans="1:7" x14ac:dyDescent="0.25">
      <c r="A33" s="24">
        <v>10041</v>
      </c>
      <c r="B33" s="25">
        <v>43391</v>
      </c>
      <c r="C33" s="26" t="s">
        <v>21</v>
      </c>
      <c r="D33" s="24">
        <v>5.9</v>
      </c>
      <c r="E33" s="24">
        <v>10</v>
      </c>
      <c r="F33" s="27">
        <v>59</v>
      </c>
      <c r="G33" s="26" t="s">
        <v>22</v>
      </c>
    </row>
    <row r="34" spans="1:7" x14ac:dyDescent="0.25">
      <c r="A34" s="24">
        <v>10041</v>
      </c>
      <c r="B34" s="25">
        <v>43391</v>
      </c>
      <c r="C34" s="26" t="s">
        <v>21</v>
      </c>
      <c r="D34" s="24">
        <v>10</v>
      </c>
      <c r="E34" s="24">
        <v>3</v>
      </c>
      <c r="F34" s="27">
        <v>30</v>
      </c>
      <c r="G34" s="26" t="s">
        <v>22</v>
      </c>
    </row>
    <row r="35" spans="1:7" x14ac:dyDescent="0.25">
      <c r="A35" s="24">
        <v>10044</v>
      </c>
      <c r="B35" s="25">
        <v>43399</v>
      </c>
      <c r="C35" s="26" t="s">
        <v>21</v>
      </c>
      <c r="D35" s="24">
        <v>42.4</v>
      </c>
      <c r="E35" s="24">
        <v>2</v>
      </c>
      <c r="F35" s="27">
        <v>84.8</v>
      </c>
      <c r="G35" s="26" t="s">
        <v>23</v>
      </c>
    </row>
    <row r="36" spans="1:7" x14ac:dyDescent="0.25">
      <c r="A36" s="24">
        <v>10044</v>
      </c>
      <c r="B36" s="25">
        <v>43399</v>
      </c>
      <c r="C36" s="26" t="s">
        <v>21</v>
      </c>
      <c r="D36" s="24">
        <v>15.5</v>
      </c>
      <c r="E36" s="24">
        <v>24</v>
      </c>
      <c r="F36" s="27">
        <v>372</v>
      </c>
      <c r="G36" s="26" t="s">
        <v>23</v>
      </c>
    </row>
    <row r="37" spans="1:7" x14ac:dyDescent="0.25">
      <c r="A37" s="24">
        <v>10045</v>
      </c>
      <c r="B37" s="25">
        <v>43401</v>
      </c>
      <c r="C37" s="26" t="s">
        <v>21</v>
      </c>
      <c r="D37" s="24">
        <v>64.8</v>
      </c>
      <c r="E37" s="24">
        <v>20</v>
      </c>
      <c r="F37" s="27">
        <v>1296</v>
      </c>
      <c r="G37" s="26" t="s">
        <v>23</v>
      </c>
    </row>
    <row r="38" spans="1:7" x14ac:dyDescent="0.25">
      <c r="A38" s="24">
        <v>10046</v>
      </c>
      <c r="B38" s="25">
        <v>43403</v>
      </c>
      <c r="C38" s="26" t="s">
        <v>21</v>
      </c>
      <c r="D38" s="24">
        <v>35.1</v>
      </c>
      <c r="E38" s="24">
        <v>5</v>
      </c>
      <c r="F38" s="27">
        <v>175.5</v>
      </c>
      <c r="G38" s="26" t="s">
        <v>23</v>
      </c>
    </row>
    <row r="39" spans="1:7" x14ac:dyDescent="0.25">
      <c r="A39" s="24">
        <v>10047</v>
      </c>
      <c r="B39" s="25">
        <v>43405</v>
      </c>
      <c r="C39" s="26" t="s">
        <v>21</v>
      </c>
      <c r="D39" s="24">
        <v>31.2</v>
      </c>
      <c r="E39" s="24">
        <v>15</v>
      </c>
      <c r="F39" s="27">
        <v>468</v>
      </c>
      <c r="G39" s="26" t="s">
        <v>22</v>
      </c>
    </row>
    <row r="40" spans="1:7" x14ac:dyDescent="0.25">
      <c r="A40" s="24">
        <v>10048</v>
      </c>
      <c r="B40" s="25">
        <v>43411</v>
      </c>
      <c r="C40" s="26" t="s">
        <v>21</v>
      </c>
      <c r="D40" s="24">
        <v>30.4</v>
      </c>
      <c r="E40" s="24">
        <v>4</v>
      </c>
      <c r="F40" s="27">
        <v>121.6</v>
      </c>
      <c r="G40" s="26" t="s">
        <v>22</v>
      </c>
    </row>
    <row r="41" spans="1:7" x14ac:dyDescent="0.25">
      <c r="A41" s="24">
        <v>10049</v>
      </c>
      <c r="B41" s="25">
        <v>43413</v>
      </c>
      <c r="C41" s="26" t="s">
        <v>21</v>
      </c>
      <c r="D41" s="24">
        <v>28.8</v>
      </c>
      <c r="E41" s="24">
        <v>15</v>
      </c>
      <c r="F41" s="27">
        <v>432</v>
      </c>
      <c r="G41" s="26" t="s">
        <v>25</v>
      </c>
    </row>
    <row r="42" spans="1:7" x14ac:dyDescent="0.25">
      <c r="A42" s="24">
        <v>10049</v>
      </c>
      <c r="B42" s="25">
        <v>43413</v>
      </c>
      <c r="C42" s="26" t="s">
        <v>21</v>
      </c>
      <c r="D42" s="24">
        <v>16.8</v>
      </c>
      <c r="E42" s="24">
        <v>12</v>
      </c>
      <c r="F42" s="27">
        <v>201.6</v>
      </c>
      <c r="G42" s="26" t="s">
        <v>25</v>
      </c>
    </row>
    <row r="43" spans="1:7" x14ac:dyDescent="0.25">
      <c r="A43" s="24">
        <v>10049</v>
      </c>
      <c r="B43" s="25">
        <v>43413</v>
      </c>
      <c r="C43" s="26" t="s">
        <v>21</v>
      </c>
      <c r="D43" s="24">
        <v>13.9</v>
      </c>
      <c r="E43" s="24">
        <v>30</v>
      </c>
      <c r="F43" s="27">
        <v>417</v>
      </c>
      <c r="G43" s="26" t="s">
        <v>25</v>
      </c>
    </row>
    <row r="44" spans="1:7" x14ac:dyDescent="0.25">
      <c r="A44" s="24">
        <v>10054</v>
      </c>
      <c r="B44" s="25">
        <v>43425</v>
      </c>
      <c r="C44" s="26" t="s">
        <v>21</v>
      </c>
      <c r="D44" s="24">
        <v>30.4</v>
      </c>
      <c r="E44" s="24">
        <v>20</v>
      </c>
      <c r="F44" s="27">
        <v>608</v>
      </c>
      <c r="G44" s="26" t="s">
        <v>22</v>
      </c>
    </row>
    <row r="45" spans="1:7" x14ac:dyDescent="0.25">
      <c r="A45" s="24">
        <v>10054</v>
      </c>
      <c r="B45" s="25">
        <v>43425</v>
      </c>
      <c r="C45" s="26" t="s">
        <v>21</v>
      </c>
      <c r="D45" s="24">
        <v>14.7</v>
      </c>
      <c r="E45" s="24">
        <v>10</v>
      </c>
      <c r="F45" s="27">
        <v>147</v>
      </c>
      <c r="G45" s="26" t="s">
        <v>22</v>
      </c>
    </row>
    <row r="46" spans="1:7" x14ac:dyDescent="0.25">
      <c r="A46" s="24">
        <v>10055</v>
      </c>
      <c r="B46" s="25">
        <v>43427</v>
      </c>
      <c r="C46" s="26" t="s">
        <v>21</v>
      </c>
      <c r="D46" s="24">
        <v>36.4</v>
      </c>
      <c r="E46" s="24">
        <v>28</v>
      </c>
      <c r="F46" s="27">
        <v>1019.2</v>
      </c>
      <c r="G46" s="26" t="s">
        <v>23</v>
      </c>
    </row>
    <row r="47" spans="1:7" x14ac:dyDescent="0.25">
      <c r="A47" s="24">
        <v>10055</v>
      </c>
      <c r="B47" s="25">
        <v>43427</v>
      </c>
      <c r="C47" s="26" t="s">
        <v>21</v>
      </c>
      <c r="D47" s="24">
        <v>36.799999999999997</v>
      </c>
      <c r="E47" s="24">
        <v>12</v>
      </c>
      <c r="F47" s="27">
        <v>441.6</v>
      </c>
      <c r="G47" s="26" t="s">
        <v>23</v>
      </c>
    </row>
    <row r="48" spans="1:7" x14ac:dyDescent="0.25">
      <c r="A48" s="24">
        <v>10058</v>
      </c>
      <c r="B48" s="25">
        <v>43433</v>
      </c>
      <c r="C48" s="26" t="s">
        <v>21</v>
      </c>
      <c r="D48" s="24">
        <v>50</v>
      </c>
      <c r="E48" s="24">
        <v>25</v>
      </c>
      <c r="F48" s="27">
        <v>1250</v>
      </c>
      <c r="G48" s="26" t="s">
        <v>22</v>
      </c>
    </row>
    <row r="49" spans="1:7" x14ac:dyDescent="0.25">
      <c r="A49" s="24">
        <v>10058</v>
      </c>
      <c r="B49" s="25">
        <v>43433</v>
      </c>
      <c r="C49" s="26" t="s">
        <v>21</v>
      </c>
      <c r="D49" s="24">
        <v>14.4</v>
      </c>
      <c r="E49" s="24">
        <v>30</v>
      </c>
      <c r="F49" s="27">
        <v>432</v>
      </c>
      <c r="G49" s="26" t="s">
        <v>22</v>
      </c>
    </row>
    <row r="50" spans="1:7" x14ac:dyDescent="0.25">
      <c r="A50" s="24">
        <v>10059</v>
      </c>
      <c r="B50" s="25">
        <v>43439</v>
      </c>
      <c r="C50" s="26" t="s">
        <v>21</v>
      </c>
      <c r="D50" s="24">
        <v>20.7</v>
      </c>
      <c r="E50" s="24">
        <v>10</v>
      </c>
      <c r="F50" s="27">
        <v>207</v>
      </c>
      <c r="G50" s="26" t="s">
        <v>22</v>
      </c>
    </row>
    <row r="51" spans="1:7" x14ac:dyDescent="0.25">
      <c r="A51" s="24">
        <v>10059</v>
      </c>
      <c r="B51" s="25">
        <v>43439</v>
      </c>
      <c r="C51" s="26" t="s">
        <v>21</v>
      </c>
      <c r="D51" s="24">
        <v>26.2</v>
      </c>
      <c r="E51" s="24">
        <v>10</v>
      </c>
      <c r="F51" s="27">
        <v>262</v>
      </c>
      <c r="G51" s="26" t="s">
        <v>22</v>
      </c>
    </row>
    <row r="52" spans="1:7" x14ac:dyDescent="0.25">
      <c r="A52" s="24">
        <v>10072</v>
      </c>
      <c r="B52" s="25">
        <v>43471</v>
      </c>
      <c r="C52" s="26" t="s">
        <v>21</v>
      </c>
      <c r="D52" s="24">
        <v>31.2</v>
      </c>
      <c r="E52" s="24">
        <v>8</v>
      </c>
      <c r="F52" s="27">
        <v>249.6</v>
      </c>
      <c r="G52" s="26" t="s">
        <v>25</v>
      </c>
    </row>
    <row r="53" spans="1:7" x14ac:dyDescent="0.25">
      <c r="A53" s="24">
        <v>10073</v>
      </c>
      <c r="B53" s="25">
        <v>43473</v>
      </c>
      <c r="C53" s="26" t="s">
        <v>21</v>
      </c>
      <c r="D53" s="24">
        <v>17.2</v>
      </c>
      <c r="E53" s="24">
        <v>30</v>
      </c>
      <c r="F53" s="27">
        <v>516</v>
      </c>
      <c r="G53" s="26" t="s">
        <v>23</v>
      </c>
    </row>
    <row r="54" spans="1:7" x14ac:dyDescent="0.25">
      <c r="A54" s="24">
        <v>10074</v>
      </c>
      <c r="B54" s="25">
        <v>43473</v>
      </c>
      <c r="C54" s="26" t="s">
        <v>21</v>
      </c>
      <c r="D54" s="24">
        <v>14.4</v>
      </c>
      <c r="E54" s="24">
        <v>10</v>
      </c>
      <c r="F54" s="27">
        <v>144</v>
      </c>
      <c r="G54" s="26" t="s">
        <v>26</v>
      </c>
    </row>
    <row r="55" spans="1:7" x14ac:dyDescent="0.25">
      <c r="A55" s="24">
        <v>10075</v>
      </c>
      <c r="B55" s="25">
        <v>43475</v>
      </c>
      <c r="C55" s="26" t="s">
        <v>21</v>
      </c>
      <c r="D55" s="24">
        <v>5.6</v>
      </c>
      <c r="E55" s="24">
        <v>20</v>
      </c>
      <c r="F55" s="27">
        <v>112</v>
      </c>
      <c r="G55" s="26" t="s">
        <v>27</v>
      </c>
    </row>
    <row r="56" spans="1:7" x14ac:dyDescent="0.25">
      <c r="A56" s="24">
        <v>10076</v>
      </c>
      <c r="B56" s="25">
        <v>43481</v>
      </c>
      <c r="C56" s="26" t="s">
        <v>21</v>
      </c>
      <c r="D56" s="24">
        <v>14.4</v>
      </c>
      <c r="E56" s="24">
        <v>4</v>
      </c>
      <c r="F56" s="27">
        <v>57.6</v>
      </c>
      <c r="G56" s="26" t="s">
        <v>22</v>
      </c>
    </row>
    <row r="57" spans="1:7" x14ac:dyDescent="0.25">
      <c r="A57" s="24">
        <v>10080</v>
      </c>
      <c r="B57" s="25">
        <v>43489</v>
      </c>
      <c r="C57" s="26" t="s">
        <v>21</v>
      </c>
      <c r="D57" s="24">
        <v>16.8</v>
      </c>
      <c r="E57" s="24">
        <v>50</v>
      </c>
      <c r="F57" s="27">
        <v>840</v>
      </c>
      <c r="G57" s="26" t="s">
        <v>27</v>
      </c>
    </row>
    <row r="58" spans="1:7" x14ac:dyDescent="0.25">
      <c r="A58" s="24">
        <v>10080</v>
      </c>
      <c r="B58" s="25">
        <v>43489</v>
      </c>
      <c r="C58" s="26" t="s">
        <v>21</v>
      </c>
      <c r="D58" s="24">
        <v>15.2</v>
      </c>
      <c r="E58" s="24">
        <v>25</v>
      </c>
      <c r="F58" s="27">
        <v>380</v>
      </c>
      <c r="G58" s="26" t="s">
        <v>27</v>
      </c>
    </row>
    <row r="59" spans="1:7" x14ac:dyDescent="0.25">
      <c r="A59" s="24">
        <v>10080</v>
      </c>
      <c r="B59" s="25">
        <v>43489</v>
      </c>
      <c r="C59" s="26" t="s">
        <v>21</v>
      </c>
      <c r="D59" s="24">
        <v>20.7</v>
      </c>
      <c r="E59" s="24">
        <v>35</v>
      </c>
      <c r="F59" s="27">
        <v>724.5</v>
      </c>
      <c r="G59" s="26" t="s">
        <v>27</v>
      </c>
    </row>
    <row r="60" spans="1:7" x14ac:dyDescent="0.25">
      <c r="A60" s="24">
        <v>10080</v>
      </c>
      <c r="B60" s="25">
        <v>43489</v>
      </c>
      <c r="C60" s="26" t="s">
        <v>21</v>
      </c>
      <c r="D60" s="24">
        <v>10.6</v>
      </c>
      <c r="E60" s="24">
        <v>30</v>
      </c>
      <c r="F60" s="27">
        <v>318</v>
      </c>
      <c r="G60" s="26" t="s">
        <v>27</v>
      </c>
    </row>
    <row r="61" spans="1:7" x14ac:dyDescent="0.25">
      <c r="A61" s="24">
        <v>10090</v>
      </c>
      <c r="B61" s="25">
        <v>43515</v>
      </c>
      <c r="C61" s="26" t="s">
        <v>21</v>
      </c>
      <c r="D61" s="24">
        <v>24.9</v>
      </c>
      <c r="E61" s="24">
        <v>24</v>
      </c>
      <c r="F61" s="27">
        <v>597.6</v>
      </c>
      <c r="G61" s="26" t="s">
        <v>22</v>
      </c>
    </row>
    <row r="62" spans="1:7" x14ac:dyDescent="0.25">
      <c r="A62" s="24">
        <v>10090</v>
      </c>
      <c r="B62" s="25">
        <v>43515</v>
      </c>
      <c r="C62" s="26" t="s">
        <v>21</v>
      </c>
      <c r="D62" s="24">
        <v>7.2</v>
      </c>
      <c r="E62" s="24">
        <v>40</v>
      </c>
      <c r="F62" s="27">
        <v>288</v>
      </c>
      <c r="G62" s="26" t="s">
        <v>22</v>
      </c>
    </row>
    <row r="63" spans="1:7" x14ac:dyDescent="0.25">
      <c r="A63" s="24">
        <v>10090</v>
      </c>
      <c r="B63" s="25">
        <v>43515</v>
      </c>
      <c r="C63" s="26" t="s">
        <v>21</v>
      </c>
      <c r="D63" s="24">
        <v>27.8</v>
      </c>
      <c r="E63" s="24">
        <v>25</v>
      </c>
      <c r="F63" s="27">
        <v>695</v>
      </c>
      <c r="G63" s="26" t="s">
        <v>22</v>
      </c>
    </row>
    <row r="64" spans="1:7" x14ac:dyDescent="0.25">
      <c r="A64" s="24">
        <v>10091</v>
      </c>
      <c r="B64" s="25">
        <v>43517</v>
      </c>
      <c r="C64" s="26" t="s">
        <v>21</v>
      </c>
      <c r="D64" s="24">
        <v>20.7</v>
      </c>
      <c r="E64" s="24">
        <v>15</v>
      </c>
      <c r="F64" s="27">
        <v>310.5</v>
      </c>
      <c r="G64" s="26" t="s">
        <v>22</v>
      </c>
    </row>
    <row r="65" spans="1:7" x14ac:dyDescent="0.25">
      <c r="A65" s="24">
        <v>10095</v>
      </c>
      <c r="B65" s="25">
        <v>43527</v>
      </c>
      <c r="C65" s="26" t="s">
        <v>21</v>
      </c>
      <c r="D65" s="24">
        <v>19.2</v>
      </c>
      <c r="E65" s="24">
        <v>40</v>
      </c>
      <c r="F65" s="27">
        <v>768</v>
      </c>
      <c r="G65" s="26" t="s">
        <v>27</v>
      </c>
    </row>
    <row r="66" spans="1:7" x14ac:dyDescent="0.25">
      <c r="A66" s="24">
        <v>10095</v>
      </c>
      <c r="B66" s="25">
        <v>43527</v>
      </c>
      <c r="C66" s="26" t="s">
        <v>21</v>
      </c>
      <c r="D66" s="24">
        <v>10</v>
      </c>
      <c r="E66" s="24">
        <v>56</v>
      </c>
      <c r="F66" s="27">
        <v>560</v>
      </c>
      <c r="G66" s="26" t="s">
        <v>27</v>
      </c>
    </row>
    <row r="67" spans="1:7" x14ac:dyDescent="0.25">
      <c r="A67" s="24">
        <v>10096</v>
      </c>
      <c r="B67" s="25">
        <v>43529</v>
      </c>
      <c r="C67" s="26" t="s">
        <v>21</v>
      </c>
      <c r="D67" s="24">
        <v>10</v>
      </c>
      <c r="E67" s="24">
        <v>4</v>
      </c>
      <c r="F67" s="27">
        <v>40</v>
      </c>
      <c r="G67" s="26" t="s">
        <v>22</v>
      </c>
    </row>
    <row r="68" spans="1:7" x14ac:dyDescent="0.25">
      <c r="A68" s="24">
        <v>10096</v>
      </c>
      <c r="B68" s="25">
        <v>43529</v>
      </c>
      <c r="C68" s="26" t="s">
        <v>21</v>
      </c>
      <c r="D68" s="24">
        <v>26.6</v>
      </c>
      <c r="E68" s="24">
        <v>50</v>
      </c>
      <c r="F68" s="27">
        <v>1330</v>
      </c>
      <c r="G68" s="26" t="s">
        <v>22</v>
      </c>
    </row>
    <row r="69" spans="1:7" x14ac:dyDescent="0.25">
      <c r="A69" s="24">
        <v>10099</v>
      </c>
      <c r="B69" s="25">
        <v>43539</v>
      </c>
      <c r="C69" s="26" t="s">
        <v>21</v>
      </c>
      <c r="D69" s="24">
        <v>31.2</v>
      </c>
      <c r="E69" s="24">
        <v>36</v>
      </c>
      <c r="F69" s="27">
        <v>1123.2</v>
      </c>
      <c r="G69" s="26" t="s">
        <v>22</v>
      </c>
    </row>
    <row r="70" spans="1:7" x14ac:dyDescent="0.25">
      <c r="A70" s="24">
        <v>10102</v>
      </c>
      <c r="B70" s="25">
        <v>43545</v>
      </c>
      <c r="C70" s="26" t="s">
        <v>21</v>
      </c>
      <c r="D70" s="24">
        <v>5.9</v>
      </c>
      <c r="E70" s="24">
        <v>24</v>
      </c>
      <c r="F70" s="27">
        <v>141.6</v>
      </c>
      <c r="G70" s="26" t="s">
        <v>22</v>
      </c>
    </row>
    <row r="71" spans="1:7" x14ac:dyDescent="0.25">
      <c r="A71" s="24">
        <v>10103</v>
      </c>
      <c r="B71" s="25">
        <v>43551</v>
      </c>
      <c r="C71" s="26" t="s">
        <v>21</v>
      </c>
      <c r="D71" s="24">
        <v>13</v>
      </c>
      <c r="E71" s="24">
        <v>15</v>
      </c>
      <c r="F71" s="27">
        <v>195</v>
      </c>
      <c r="G71" s="26" t="s">
        <v>27</v>
      </c>
    </row>
    <row r="72" spans="1:7" x14ac:dyDescent="0.25">
      <c r="A72" s="24">
        <v>10103</v>
      </c>
      <c r="B72" s="25">
        <v>43551</v>
      </c>
      <c r="C72" s="26" t="s">
        <v>21</v>
      </c>
      <c r="D72" s="24">
        <v>28.8</v>
      </c>
      <c r="E72" s="24">
        <v>18</v>
      </c>
      <c r="F72" s="27">
        <v>518.4</v>
      </c>
      <c r="G72" s="26" t="s">
        <v>27</v>
      </c>
    </row>
    <row r="73" spans="1:7" x14ac:dyDescent="0.25">
      <c r="A73" s="24">
        <v>10104</v>
      </c>
      <c r="B73" s="25">
        <v>43551</v>
      </c>
      <c r="C73" s="26" t="s">
        <v>21</v>
      </c>
      <c r="D73" s="24">
        <v>7.7</v>
      </c>
      <c r="E73" s="24">
        <v>13</v>
      </c>
      <c r="F73" s="27">
        <v>100.1</v>
      </c>
      <c r="G73" s="26" t="s">
        <v>23</v>
      </c>
    </row>
    <row r="74" spans="1:7" x14ac:dyDescent="0.25">
      <c r="A74" s="24">
        <v>10113</v>
      </c>
      <c r="B74" s="25">
        <v>43573</v>
      </c>
      <c r="C74" s="26" t="s">
        <v>21</v>
      </c>
      <c r="D74" s="24">
        <v>99</v>
      </c>
      <c r="E74" s="24">
        <v>35</v>
      </c>
      <c r="F74" s="27">
        <v>3465</v>
      </c>
      <c r="G74" s="26" t="s">
        <v>23</v>
      </c>
    </row>
    <row r="75" spans="1:7" x14ac:dyDescent="0.25">
      <c r="A75" s="24">
        <v>10113</v>
      </c>
      <c r="B75" s="25">
        <v>43573</v>
      </c>
      <c r="C75" s="26" t="s">
        <v>21</v>
      </c>
      <c r="D75" s="24">
        <v>5.9</v>
      </c>
      <c r="E75" s="24">
        <v>28</v>
      </c>
      <c r="F75" s="27">
        <v>165.2</v>
      </c>
      <c r="G75" s="26" t="s">
        <v>23</v>
      </c>
    </row>
    <row r="76" spans="1:7" x14ac:dyDescent="0.25">
      <c r="A76" s="24">
        <v>10113</v>
      </c>
      <c r="B76" s="25">
        <v>43573</v>
      </c>
      <c r="C76" s="26" t="s">
        <v>21</v>
      </c>
      <c r="D76" s="24">
        <v>36.4</v>
      </c>
      <c r="E76" s="24">
        <v>30</v>
      </c>
      <c r="F76" s="27">
        <v>1092</v>
      </c>
      <c r="G76" s="26" t="s">
        <v>23</v>
      </c>
    </row>
    <row r="77" spans="1:7" x14ac:dyDescent="0.25">
      <c r="A77" s="24">
        <v>10113</v>
      </c>
      <c r="B77" s="25">
        <v>43573</v>
      </c>
      <c r="C77" s="26" t="s">
        <v>21</v>
      </c>
      <c r="D77" s="24">
        <v>16</v>
      </c>
      <c r="E77" s="24">
        <v>35</v>
      </c>
      <c r="F77" s="27">
        <v>560</v>
      </c>
      <c r="G77" s="26" t="s">
        <v>23</v>
      </c>
    </row>
    <row r="78" spans="1:7" x14ac:dyDescent="0.25">
      <c r="A78" s="24">
        <v>10126</v>
      </c>
      <c r="B78" s="25">
        <v>43599</v>
      </c>
      <c r="C78" s="26" t="s">
        <v>21</v>
      </c>
      <c r="D78" s="24">
        <v>17.2</v>
      </c>
      <c r="E78" s="24">
        <v>50</v>
      </c>
      <c r="F78" s="27">
        <v>860</v>
      </c>
      <c r="G78" s="26" t="s">
        <v>26</v>
      </c>
    </row>
    <row r="79" spans="1:7" x14ac:dyDescent="0.25">
      <c r="A79" s="24">
        <v>10126</v>
      </c>
      <c r="B79" s="25">
        <v>43599</v>
      </c>
      <c r="C79" s="26" t="s">
        <v>21</v>
      </c>
      <c r="D79" s="24">
        <v>10.6</v>
      </c>
      <c r="E79" s="24">
        <v>80</v>
      </c>
      <c r="F79" s="27">
        <v>848</v>
      </c>
      <c r="G79" s="26" t="s">
        <v>26</v>
      </c>
    </row>
    <row r="80" spans="1:7" x14ac:dyDescent="0.25">
      <c r="A80" s="24">
        <v>10127</v>
      </c>
      <c r="B80" s="25">
        <v>43599</v>
      </c>
      <c r="C80" s="26" t="s">
        <v>21</v>
      </c>
      <c r="D80" s="24">
        <v>10</v>
      </c>
      <c r="E80" s="24">
        <v>30</v>
      </c>
      <c r="F80" s="27">
        <v>300</v>
      </c>
      <c r="G80" s="26" t="s">
        <v>22</v>
      </c>
    </row>
    <row r="81" spans="1:7" x14ac:dyDescent="0.25">
      <c r="A81" s="24">
        <v>10127</v>
      </c>
      <c r="B81" s="25">
        <v>43599</v>
      </c>
      <c r="C81" s="26" t="s">
        <v>21</v>
      </c>
      <c r="D81" s="24">
        <v>10.6</v>
      </c>
      <c r="E81" s="24">
        <v>15</v>
      </c>
      <c r="F81" s="27">
        <v>159</v>
      </c>
      <c r="G81" s="26" t="s">
        <v>22</v>
      </c>
    </row>
    <row r="82" spans="1:7" x14ac:dyDescent="0.25">
      <c r="A82" s="24">
        <v>10140</v>
      </c>
      <c r="B82" s="25">
        <v>43625</v>
      </c>
      <c r="C82" s="26" t="s">
        <v>21</v>
      </c>
      <c r="D82" s="24">
        <v>44</v>
      </c>
      <c r="E82" s="24">
        <v>12</v>
      </c>
      <c r="F82" s="27">
        <v>528</v>
      </c>
      <c r="G82" s="26" t="s">
        <v>27</v>
      </c>
    </row>
    <row r="83" spans="1:7" x14ac:dyDescent="0.25">
      <c r="A83" s="24">
        <v>10140</v>
      </c>
      <c r="B83" s="25">
        <v>43625</v>
      </c>
      <c r="C83" s="26" t="s">
        <v>21</v>
      </c>
      <c r="D83" s="24">
        <v>17.2</v>
      </c>
      <c r="E83" s="24">
        <v>15</v>
      </c>
      <c r="F83" s="27">
        <v>258</v>
      </c>
      <c r="G83" s="26" t="s">
        <v>27</v>
      </c>
    </row>
    <row r="84" spans="1:7" x14ac:dyDescent="0.25">
      <c r="A84" s="24">
        <v>10140</v>
      </c>
      <c r="B84" s="25">
        <v>43625</v>
      </c>
      <c r="C84" s="26" t="s">
        <v>21</v>
      </c>
      <c r="D84" s="24">
        <v>3.6</v>
      </c>
      <c r="E84" s="24">
        <v>15</v>
      </c>
      <c r="F84" s="27">
        <v>54</v>
      </c>
      <c r="G84" s="26" t="s">
        <v>27</v>
      </c>
    </row>
    <row r="85" spans="1:7" x14ac:dyDescent="0.25">
      <c r="A85" s="24">
        <v>10140</v>
      </c>
      <c r="B85" s="25">
        <v>43625</v>
      </c>
      <c r="C85" s="26" t="s">
        <v>21</v>
      </c>
      <c r="D85" s="24">
        <v>36.4</v>
      </c>
      <c r="E85" s="24">
        <v>6</v>
      </c>
      <c r="F85" s="27">
        <v>218.4</v>
      </c>
      <c r="G85" s="26" t="s">
        <v>27</v>
      </c>
    </row>
    <row r="86" spans="1:7" x14ac:dyDescent="0.25">
      <c r="A86" s="24">
        <v>10152</v>
      </c>
      <c r="B86" s="25">
        <v>43651</v>
      </c>
      <c r="C86" s="26" t="s">
        <v>21</v>
      </c>
      <c r="D86" s="24">
        <v>10</v>
      </c>
      <c r="E86" s="24">
        <v>60</v>
      </c>
      <c r="F86" s="27">
        <v>600</v>
      </c>
      <c r="G86" s="26" t="s">
        <v>26</v>
      </c>
    </row>
    <row r="87" spans="1:7" x14ac:dyDescent="0.25">
      <c r="A87" s="24">
        <v>10152</v>
      </c>
      <c r="B87" s="25">
        <v>43651</v>
      </c>
      <c r="C87" s="26" t="s">
        <v>21</v>
      </c>
      <c r="D87" s="24">
        <v>17.2</v>
      </c>
      <c r="E87" s="24">
        <v>30</v>
      </c>
      <c r="F87" s="27">
        <v>516</v>
      </c>
      <c r="G87" s="26" t="s">
        <v>26</v>
      </c>
    </row>
    <row r="88" spans="1:7" x14ac:dyDescent="0.25">
      <c r="A88" s="24">
        <v>10153</v>
      </c>
      <c r="B88" s="25">
        <v>43653</v>
      </c>
      <c r="C88" s="26" t="s">
        <v>21</v>
      </c>
      <c r="D88" s="24">
        <v>14.4</v>
      </c>
      <c r="E88" s="24">
        <v>35</v>
      </c>
      <c r="F88" s="27">
        <v>504</v>
      </c>
      <c r="G88" s="26" t="s">
        <v>23</v>
      </c>
    </row>
    <row r="89" spans="1:7" x14ac:dyDescent="0.25">
      <c r="A89" s="24">
        <v>10153</v>
      </c>
      <c r="B89" s="25">
        <v>43653</v>
      </c>
      <c r="C89" s="26" t="s">
        <v>21</v>
      </c>
      <c r="D89" s="24">
        <v>16</v>
      </c>
      <c r="E89" s="24">
        <v>30</v>
      </c>
      <c r="F89" s="27">
        <v>480</v>
      </c>
      <c r="G89" s="26" t="s">
        <v>23</v>
      </c>
    </row>
    <row r="90" spans="1:7" x14ac:dyDescent="0.25">
      <c r="A90" s="24">
        <v>10164</v>
      </c>
      <c r="B90" s="25">
        <v>43671</v>
      </c>
      <c r="C90" s="26" t="s">
        <v>21</v>
      </c>
      <c r="D90" s="24">
        <v>44</v>
      </c>
      <c r="E90" s="24">
        <v>9</v>
      </c>
      <c r="F90" s="27">
        <v>396</v>
      </c>
      <c r="G90" s="26" t="s">
        <v>22</v>
      </c>
    </row>
    <row r="91" spans="1:7" x14ac:dyDescent="0.25">
      <c r="A91" s="24">
        <v>10164</v>
      </c>
      <c r="B91" s="25">
        <v>43671</v>
      </c>
      <c r="C91" s="26" t="s">
        <v>21</v>
      </c>
      <c r="D91" s="24">
        <v>15.5</v>
      </c>
      <c r="E91" s="24">
        <v>40</v>
      </c>
      <c r="F91" s="27">
        <v>620</v>
      </c>
      <c r="G91" s="26" t="s">
        <v>22</v>
      </c>
    </row>
    <row r="92" spans="1:7" x14ac:dyDescent="0.25">
      <c r="A92" s="24">
        <v>10165</v>
      </c>
      <c r="B92" s="25">
        <v>43677</v>
      </c>
      <c r="C92" s="26" t="s">
        <v>21</v>
      </c>
      <c r="D92" s="24">
        <v>18.600000000000001</v>
      </c>
      <c r="E92" s="24">
        <v>20</v>
      </c>
      <c r="F92" s="27">
        <v>372</v>
      </c>
      <c r="G92" s="26" t="s">
        <v>22</v>
      </c>
    </row>
    <row r="93" spans="1:7" x14ac:dyDescent="0.25">
      <c r="A93" s="24">
        <v>10166</v>
      </c>
      <c r="B93" s="25">
        <v>43679</v>
      </c>
      <c r="C93" s="26" t="s">
        <v>21</v>
      </c>
      <c r="D93" s="24">
        <v>39.4</v>
      </c>
      <c r="E93" s="24">
        <v>40</v>
      </c>
      <c r="F93" s="27">
        <v>1576</v>
      </c>
      <c r="G93" s="26" t="s">
        <v>27</v>
      </c>
    </row>
    <row r="94" spans="1:7" x14ac:dyDescent="0.25">
      <c r="A94" s="24">
        <v>10168</v>
      </c>
      <c r="B94" s="25">
        <v>43681</v>
      </c>
      <c r="C94" s="26" t="s">
        <v>21</v>
      </c>
      <c r="D94" s="24">
        <v>31.2</v>
      </c>
      <c r="E94" s="24">
        <v>2</v>
      </c>
      <c r="F94" s="27">
        <v>62.4</v>
      </c>
      <c r="G94" s="26" t="s">
        <v>23</v>
      </c>
    </row>
    <row r="95" spans="1:7" x14ac:dyDescent="0.25">
      <c r="A95" s="24">
        <v>10176</v>
      </c>
      <c r="B95" s="25">
        <v>43697</v>
      </c>
      <c r="C95" s="26" t="s">
        <v>21</v>
      </c>
      <c r="D95" s="24">
        <v>44</v>
      </c>
      <c r="E95" s="24">
        <v>20</v>
      </c>
      <c r="F95" s="27">
        <v>880</v>
      </c>
      <c r="G95" s="26" t="s">
        <v>26</v>
      </c>
    </row>
    <row r="96" spans="1:7" x14ac:dyDescent="0.25">
      <c r="A96" s="24">
        <v>10177</v>
      </c>
      <c r="B96" s="25">
        <v>43697</v>
      </c>
      <c r="C96" s="26" t="s">
        <v>21</v>
      </c>
      <c r="D96" s="24">
        <v>210.8</v>
      </c>
      <c r="E96" s="24">
        <v>49</v>
      </c>
      <c r="F96" s="27">
        <v>10329.200000000001</v>
      </c>
      <c r="G96" s="26" t="s">
        <v>22</v>
      </c>
    </row>
    <row r="97" spans="1:7" x14ac:dyDescent="0.25">
      <c r="A97" s="24">
        <v>10177</v>
      </c>
      <c r="B97" s="25">
        <v>43697</v>
      </c>
      <c r="C97" s="26" t="s">
        <v>21</v>
      </c>
      <c r="D97" s="24">
        <v>14.4</v>
      </c>
      <c r="E97" s="24">
        <v>60</v>
      </c>
      <c r="F97" s="27">
        <v>864</v>
      </c>
      <c r="G97" s="26" t="s">
        <v>22</v>
      </c>
    </row>
    <row r="98" spans="1:7" x14ac:dyDescent="0.25">
      <c r="A98" s="24">
        <v>10177</v>
      </c>
      <c r="B98" s="25">
        <v>43697</v>
      </c>
      <c r="C98" s="26" t="s">
        <v>21</v>
      </c>
      <c r="D98" s="24">
        <v>10</v>
      </c>
      <c r="E98" s="24">
        <v>30</v>
      </c>
      <c r="F98" s="27">
        <v>300</v>
      </c>
      <c r="G98" s="26" t="s">
        <v>22</v>
      </c>
    </row>
    <row r="99" spans="1:7" x14ac:dyDescent="0.25">
      <c r="A99" s="24">
        <v>10183</v>
      </c>
      <c r="B99" s="25">
        <v>43711</v>
      </c>
      <c r="C99" s="26" t="s">
        <v>21</v>
      </c>
      <c r="D99" s="24">
        <v>31.2</v>
      </c>
      <c r="E99" s="24">
        <v>45</v>
      </c>
      <c r="F99" s="27">
        <v>1404</v>
      </c>
      <c r="G99" s="26" t="s">
        <v>27</v>
      </c>
    </row>
    <row r="100" spans="1:7" x14ac:dyDescent="0.25">
      <c r="A100" s="24">
        <v>10184</v>
      </c>
      <c r="B100" s="25">
        <v>43711</v>
      </c>
      <c r="C100" s="26" t="s">
        <v>21</v>
      </c>
      <c r="D100" s="24">
        <v>31.2</v>
      </c>
      <c r="E100" s="24">
        <v>50</v>
      </c>
      <c r="F100" s="27">
        <v>1560</v>
      </c>
      <c r="G100" s="26" t="s">
        <v>26</v>
      </c>
    </row>
    <row r="101" spans="1:7" x14ac:dyDescent="0.25">
      <c r="A101" s="24">
        <v>10195</v>
      </c>
      <c r="B101" s="25">
        <v>43735</v>
      </c>
      <c r="C101" s="26" t="s">
        <v>21</v>
      </c>
      <c r="D101" s="24">
        <v>13.6</v>
      </c>
      <c r="E101" s="24">
        <v>60</v>
      </c>
      <c r="F101" s="27">
        <v>816</v>
      </c>
      <c r="G101" s="26" t="s">
        <v>25</v>
      </c>
    </row>
    <row r="102" spans="1:7" x14ac:dyDescent="0.25">
      <c r="A102" s="24">
        <v>10195</v>
      </c>
      <c r="B102" s="25">
        <v>43735</v>
      </c>
      <c r="C102" s="26" t="s">
        <v>21</v>
      </c>
      <c r="D102" s="24">
        <v>5.9</v>
      </c>
      <c r="E102" s="24">
        <v>80</v>
      </c>
      <c r="F102" s="27">
        <v>472</v>
      </c>
      <c r="G102" s="26" t="s">
        <v>25</v>
      </c>
    </row>
    <row r="103" spans="1:7" x14ac:dyDescent="0.25">
      <c r="A103" s="24">
        <v>10196</v>
      </c>
      <c r="B103" s="25">
        <v>43737</v>
      </c>
      <c r="C103" s="26" t="s">
        <v>21</v>
      </c>
      <c r="D103" s="24">
        <v>16.8</v>
      </c>
      <c r="E103" s="24">
        <v>6</v>
      </c>
      <c r="F103" s="27">
        <v>100.8</v>
      </c>
      <c r="G103" s="26" t="s">
        <v>22</v>
      </c>
    </row>
    <row r="104" spans="1:7" x14ac:dyDescent="0.25">
      <c r="A104" s="24">
        <v>10196</v>
      </c>
      <c r="B104" s="25">
        <v>43737</v>
      </c>
      <c r="C104" s="26" t="s">
        <v>21</v>
      </c>
      <c r="D104" s="24">
        <v>36.4</v>
      </c>
      <c r="E104" s="24">
        <v>12</v>
      </c>
      <c r="F104" s="27">
        <v>436.8</v>
      </c>
      <c r="G104" s="26" t="s">
        <v>22</v>
      </c>
    </row>
    <row r="105" spans="1:7" x14ac:dyDescent="0.25">
      <c r="A105" s="24">
        <v>10202</v>
      </c>
      <c r="B105" s="25">
        <v>43749</v>
      </c>
      <c r="C105" s="26" t="s">
        <v>21</v>
      </c>
      <c r="D105" s="24">
        <v>5.6</v>
      </c>
      <c r="E105" s="24">
        <v>20</v>
      </c>
      <c r="F105" s="27">
        <v>112</v>
      </c>
      <c r="G105" s="26" t="s">
        <v>27</v>
      </c>
    </row>
    <row r="106" spans="1:7" x14ac:dyDescent="0.25">
      <c r="A106" s="24">
        <v>10203</v>
      </c>
      <c r="B106" s="25">
        <v>43751</v>
      </c>
      <c r="C106" s="26" t="s">
        <v>21</v>
      </c>
      <c r="D106" s="24">
        <v>24.8</v>
      </c>
      <c r="E106" s="24">
        <v>20</v>
      </c>
      <c r="F106" s="27">
        <v>496</v>
      </c>
      <c r="G106" s="26" t="s">
        <v>23</v>
      </c>
    </row>
    <row r="107" spans="1:7" x14ac:dyDescent="0.25">
      <c r="A107" s="24">
        <v>10203</v>
      </c>
      <c r="B107" s="25">
        <v>43751</v>
      </c>
      <c r="C107" s="26" t="s">
        <v>21</v>
      </c>
      <c r="D107" s="24">
        <v>5.9</v>
      </c>
      <c r="E107" s="24">
        <v>6</v>
      </c>
      <c r="F107" s="27">
        <v>35.4</v>
      </c>
      <c r="G107" s="26" t="s">
        <v>23</v>
      </c>
    </row>
    <row r="108" spans="1:7" x14ac:dyDescent="0.25">
      <c r="A108" s="24">
        <v>10204</v>
      </c>
      <c r="B108" s="25">
        <v>43751</v>
      </c>
      <c r="C108" s="26" t="s">
        <v>21</v>
      </c>
      <c r="D108" s="24">
        <v>19.2</v>
      </c>
      <c r="E108" s="24">
        <v>120</v>
      </c>
      <c r="F108" s="27">
        <v>2304</v>
      </c>
      <c r="G108" s="26" t="s">
        <v>26</v>
      </c>
    </row>
    <row r="109" spans="1:7" x14ac:dyDescent="0.25">
      <c r="A109" s="24">
        <v>10214</v>
      </c>
      <c r="B109" s="25">
        <v>43769</v>
      </c>
      <c r="C109" s="26" t="s">
        <v>21</v>
      </c>
      <c r="D109" s="24">
        <v>8</v>
      </c>
      <c r="E109" s="24">
        <v>40</v>
      </c>
      <c r="F109" s="27">
        <v>320</v>
      </c>
      <c r="G109" s="26" t="s">
        <v>23</v>
      </c>
    </row>
    <row r="110" spans="1:7" x14ac:dyDescent="0.25">
      <c r="A110" s="24">
        <v>10215</v>
      </c>
      <c r="B110" s="25">
        <v>43775</v>
      </c>
      <c r="C110" s="26" t="s">
        <v>21</v>
      </c>
      <c r="D110" s="24">
        <v>4.8</v>
      </c>
      <c r="E110" s="24">
        <v>1</v>
      </c>
      <c r="F110" s="27">
        <v>4.8</v>
      </c>
      <c r="G110" s="26" t="s">
        <v>23</v>
      </c>
    </row>
    <row r="111" spans="1:7" x14ac:dyDescent="0.25">
      <c r="A111" s="24">
        <v>10215</v>
      </c>
      <c r="B111" s="25">
        <v>43775</v>
      </c>
      <c r="C111" s="26" t="s">
        <v>21</v>
      </c>
      <c r="D111" s="24">
        <v>7.2</v>
      </c>
      <c r="E111" s="24">
        <v>21</v>
      </c>
      <c r="F111" s="27">
        <v>151.19999999999999</v>
      </c>
      <c r="G111" s="26" t="s">
        <v>23</v>
      </c>
    </row>
    <row r="112" spans="1:7" x14ac:dyDescent="0.25">
      <c r="A112" s="24">
        <v>10216</v>
      </c>
      <c r="B112" s="25">
        <v>43777</v>
      </c>
      <c r="C112" s="26" t="s">
        <v>21</v>
      </c>
      <c r="D112" s="24">
        <v>11.2</v>
      </c>
      <c r="E112" s="24">
        <v>50</v>
      </c>
      <c r="F112" s="27">
        <v>560</v>
      </c>
      <c r="G112" s="26" t="s">
        <v>26</v>
      </c>
    </row>
    <row r="113" spans="1:7" x14ac:dyDescent="0.25">
      <c r="A113" s="24">
        <v>10221</v>
      </c>
      <c r="B113" s="25">
        <v>43783</v>
      </c>
      <c r="C113" s="26" t="s">
        <v>21</v>
      </c>
      <c r="D113" s="24">
        <v>20.7</v>
      </c>
      <c r="E113" s="24">
        <v>8</v>
      </c>
      <c r="F113" s="27">
        <v>165.6</v>
      </c>
      <c r="G113" s="26" t="s">
        <v>22</v>
      </c>
    </row>
    <row r="114" spans="1:7" x14ac:dyDescent="0.25">
      <c r="A114" s="24">
        <v>10222</v>
      </c>
      <c r="B114" s="25">
        <v>43789</v>
      </c>
      <c r="C114" s="26" t="s">
        <v>21</v>
      </c>
      <c r="D114" s="24">
        <v>13.9</v>
      </c>
      <c r="E114" s="24">
        <v>35</v>
      </c>
      <c r="F114" s="27">
        <v>486.5</v>
      </c>
      <c r="G114" s="26" t="s">
        <v>23</v>
      </c>
    </row>
    <row r="115" spans="1:7" x14ac:dyDescent="0.25">
      <c r="A115" s="24">
        <v>10222</v>
      </c>
      <c r="B115" s="25">
        <v>43789</v>
      </c>
      <c r="C115" s="26" t="s">
        <v>21</v>
      </c>
      <c r="D115" s="24">
        <v>15.2</v>
      </c>
      <c r="E115" s="24">
        <v>40</v>
      </c>
      <c r="F115" s="27">
        <v>608</v>
      </c>
      <c r="G115" s="26" t="s">
        <v>23</v>
      </c>
    </row>
    <row r="116" spans="1:7" x14ac:dyDescent="0.25">
      <c r="A116" s="24">
        <v>10222</v>
      </c>
      <c r="B116" s="25">
        <v>43789</v>
      </c>
      <c r="C116" s="26" t="s">
        <v>21</v>
      </c>
      <c r="D116" s="24">
        <v>15.5</v>
      </c>
      <c r="E116" s="24">
        <v>2</v>
      </c>
      <c r="F116" s="27">
        <v>31</v>
      </c>
      <c r="G116" s="26" t="s">
        <v>23</v>
      </c>
    </row>
    <row r="117" spans="1:7" x14ac:dyDescent="0.25">
      <c r="A117" s="24">
        <v>10227</v>
      </c>
      <c r="B117" s="25">
        <v>43795</v>
      </c>
      <c r="C117" s="26" t="s">
        <v>21</v>
      </c>
      <c r="D117" s="24">
        <v>6.2</v>
      </c>
      <c r="E117" s="24">
        <v>10</v>
      </c>
      <c r="F117" s="27">
        <v>62</v>
      </c>
      <c r="G117" s="26" t="s">
        <v>23</v>
      </c>
    </row>
    <row r="118" spans="1:7" x14ac:dyDescent="0.25">
      <c r="A118" s="24">
        <v>10228</v>
      </c>
      <c r="B118" s="25">
        <v>43797</v>
      </c>
      <c r="C118" s="26" t="s">
        <v>21</v>
      </c>
      <c r="D118" s="24">
        <v>13.6</v>
      </c>
      <c r="E118" s="24">
        <v>60</v>
      </c>
      <c r="F118" s="27">
        <v>816</v>
      </c>
      <c r="G118" s="26" t="s">
        <v>23</v>
      </c>
    </row>
    <row r="119" spans="1:7" x14ac:dyDescent="0.25">
      <c r="A119" s="24">
        <v>10228</v>
      </c>
      <c r="B119" s="25">
        <v>43797</v>
      </c>
      <c r="C119" s="26" t="s">
        <v>21</v>
      </c>
      <c r="D119" s="24">
        <v>10</v>
      </c>
      <c r="E119" s="24">
        <v>35</v>
      </c>
      <c r="F119" s="27">
        <v>350</v>
      </c>
      <c r="G119" s="26" t="s">
        <v>23</v>
      </c>
    </row>
    <row r="120" spans="1:7" x14ac:dyDescent="0.25">
      <c r="A120" s="24">
        <v>10228</v>
      </c>
      <c r="B120" s="25">
        <v>43797</v>
      </c>
      <c r="C120" s="26" t="s">
        <v>21</v>
      </c>
      <c r="D120" s="24">
        <v>14.4</v>
      </c>
      <c r="E120" s="24">
        <v>42</v>
      </c>
      <c r="F120" s="27">
        <v>604.79999999999995</v>
      </c>
      <c r="G120" s="26" t="s">
        <v>23</v>
      </c>
    </row>
    <row r="121" spans="1:7" x14ac:dyDescent="0.25">
      <c r="A121" s="24">
        <v>10235</v>
      </c>
      <c r="B121" s="25">
        <v>43811</v>
      </c>
      <c r="C121" s="26" t="s">
        <v>21</v>
      </c>
      <c r="D121" s="24">
        <v>14.7</v>
      </c>
      <c r="E121" s="24">
        <v>10</v>
      </c>
      <c r="F121" s="27">
        <v>147</v>
      </c>
      <c r="G121" s="26" t="s">
        <v>22</v>
      </c>
    </row>
    <row r="122" spans="1:7" x14ac:dyDescent="0.25">
      <c r="A122" s="24">
        <v>10236</v>
      </c>
      <c r="B122" s="25">
        <v>43817</v>
      </c>
      <c r="C122" s="26" t="s">
        <v>21</v>
      </c>
      <c r="D122" s="24">
        <v>11.2</v>
      </c>
      <c r="E122" s="24">
        <v>35</v>
      </c>
      <c r="F122" s="27">
        <v>392</v>
      </c>
      <c r="G122" s="26" t="s">
        <v>22</v>
      </c>
    </row>
    <row r="123" spans="1:7" x14ac:dyDescent="0.25">
      <c r="A123" s="24">
        <v>10236</v>
      </c>
      <c r="B123" s="25">
        <v>43817</v>
      </c>
      <c r="C123" s="26" t="s">
        <v>21</v>
      </c>
      <c r="D123" s="24">
        <v>10.4</v>
      </c>
      <c r="E123" s="24">
        <v>30</v>
      </c>
      <c r="F123" s="27">
        <v>312</v>
      </c>
      <c r="G123" s="26" t="s">
        <v>22</v>
      </c>
    </row>
    <row r="124" spans="1:7" x14ac:dyDescent="0.25">
      <c r="A124" s="24">
        <v>10237</v>
      </c>
      <c r="B124" s="25">
        <v>43817</v>
      </c>
      <c r="C124" s="26" t="s">
        <v>21</v>
      </c>
      <c r="D124" s="24">
        <v>8</v>
      </c>
      <c r="E124" s="24">
        <v>14</v>
      </c>
      <c r="F124" s="27">
        <v>112</v>
      </c>
      <c r="G124" s="26" t="s">
        <v>23</v>
      </c>
    </row>
    <row r="125" spans="1:7" x14ac:dyDescent="0.25">
      <c r="A125" s="24">
        <v>10242</v>
      </c>
      <c r="B125" s="25">
        <v>43825</v>
      </c>
      <c r="C125" s="26" t="s">
        <v>21</v>
      </c>
      <c r="D125" s="24">
        <v>13.9</v>
      </c>
      <c r="E125" s="24">
        <v>18</v>
      </c>
      <c r="F125" s="27">
        <v>250.2</v>
      </c>
      <c r="G125" s="26" t="s">
        <v>23</v>
      </c>
    </row>
    <row r="126" spans="1:7" x14ac:dyDescent="0.25">
      <c r="A126" s="24">
        <v>10243</v>
      </c>
      <c r="B126" s="25">
        <v>43831</v>
      </c>
      <c r="C126" s="26" t="s">
        <v>21</v>
      </c>
      <c r="D126" s="24">
        <v>10</v>
      </c>
      <c r="E126" s="24">
        <v>30</v>
      </c>
      <c r="F126" s="27">
        <v>300</v>
      </c>
      <c r="G126" s="26" t="s">
        <v>23</v>
      </c>
    </row>
    <row r="127" spans="1:7" x14ac:dyDescent="0.25">
      <c r="A127" s="24">
        <v>10243</v>
      </c>
      <c r="B127" s="25">
        <v>43831</v>
      </c>
      <c r="C127" s="26" t="s">
        <v>21</v>
      </c>
      <c r="D127" s="24">
        <v>6.2</v>
      </c>
      <c r="E127" s="24">
        <v>36</v>
      </c>
      <c r="F127" s="27">
        <v>223.2</v>
      </c>
      <c r="G127" s="26" t="s">
        <v>23</v>
      </c>
    </row>
    <row r="128" spans="1:7" x14ac:dyDescent="0.25">
      <c r="A128" s="24">
        <v>10243</v>
      </c>
      <c r="B128" s="25">
        <v>43831</v>
      </c>
      <c r="C128" s="26" t="s">
        <v>21</v>
      </c>
      <c r="D128" s="24">
        <v>44</v>
      </c>
      <c r="E128" s="24">
        <v>60</v>
      </c>
      <c r="F128" s="27">
        <v>2640</v>
      </c>
      <c r="G128" s="26" t="s">
        <v>23</v>
      </c>
    </row>
    <row r="129" spans="1:7" x14ac:dyDescent="0.25">
      <c r="A129" s="24">
        <v>10250</v>
      </c>
      <c r="B129" s="25">
        <v>43839</v>
      </c>
      <c r="C129" s="26" t="s">
        <v>21</v>
      </c>
      <c r="D129" s="24">
        <v>27.8</v>
      </c>
      <c r="E129" s="24">
        <v>25</v>
      </c>
      <c r="F129" s="27">
        <v>695</v>
      </c>
      <c r="G129" s="26" t="s">
        <v>22</v>
      </c>
    </row>
    <row r="130" spans="1:7" x14ac:dyDescent="0.25">
      <c r="A130" s="24">
        <v>10251</v>
      </c>
      <c r="B130" s="25">
        <v>43845</v>
      </c>
      <c r="C130" s="26" t="s">
        <v>21</v>
      </c>
      <c r="D130" s="24">
        <v>14</v>
      </c>
      <c r="E130" s="24">
        <v>30</v>
      </c>
      <c r="F130" s="27">
        <v>420</v>
      </c>
      <c r="G130" s="26" t="s">
        <v>22</v>
      </c>
    </row>
    <row r="131" spans="1:7" x14ac:dyDescent="0.25">
      <c r="A131" s="24">
        <v>10251</v>
      </c>
      <c r="B131" s="25">
        <v>43845</v>
      </c>
      <c r="C131" s="26" t="s">
        <v>21</v>
      </c>
      <c r="D131" s="24">
        <v>18.399999999999999</v>
      </c>
      <c r="E131" s="24">
        <v>5</v>
      </c>
      <c r="F131" s="27">
        <v>92</v>
      </c>
      <c r="G131" s="26" t="s">
        <v>22</v>
      </c>
    </row>
    <row r="132" spans="1:7" x14ac:dyDescent="0.25">
      <c r="A132" s="24">
        <v>10251</v>
      </c>
      <c r="B132" s="25">
        <v>43845</v>
      </c>
      <c r="C132" s="26" t="s">
        <v>21</v>
      </c>
      <c r="D132" s="24">
        <v>4.5</v>
      </c>
      <c r="E132" s="24">
        <v>14</v>
      </c>
      <c r="F132" s="27">
        <v>63</v>
      </c>
      <c r="G132" s="26" t="s">
        <v>22</v>
      </c>
    </row>
    <row r="133" spans="1:7" x14ac:dyDescent="0.25">
      <c r="A133" s="24">
        <v>10256</v>
      </c>
      <c r="B133" s="25">
        <v>43853</v>
      </c>
      <c r="C133" s="26" t="s">
        <v>21</v>
      </c>
      <c r="D133" s="24">
        <v>21.05</v>
      </c>
      <c r="E133" s="24">
        <v>20</v>
      </c>
      <c r="F133" s="27">
        <v>421</v>
      </c>
      <c r="G133" s="26" t="s">
        <v>22</v>
      </c>
    </row>
    <row r="134" spans="1:7" x14ac:dyDescent="0.25">
      <c r="A134" s="24">
        <v>10256</v>
      </c>
      <c r="B134" s="25">
        <v>43853</v>
      </c>
      <c r="C134" s="26" t="s">
        <v>21</v>
      </c>
      <c r="D134" s="24">
        <v>23.25</v>
      </c>
      <c r="E134" s="24">
        <v>70</v>
      </c>
      <c r="F134" s="27">
        <v>1627.5</v>
      </c>
      <c r="G134" s="26" t="s">
        <v>22</v>
      </c>
    </row>
    <row r="135" spans="1:7" x14ac:dyDescent="0.25">
      <c r="A135" s="24">
        <v>10257</v>
      </c>
      <c r="B135" s="25">
        <v>43853</v>
      </c>
      <c r="C135" s="26" t="s">
        <v>21</v>
      </c>
      <c r="D135" s="24">
        <v>32.799999999999997</v>
      </c>
      <c r="E135" s="24">
        <v>10</v>
      </c>
      <c r="F135" s="27">
        <v>328</v>
      </c>
      <c r="G135" s="26" t="s">
        <v>27</v>
      </c>
    </row>
    <row r="136" spans="1:7" x14ac:dyDescent="0.25">
      <c r="A136" s="24">
        <v>10257</v>
      </c>
      <c r="B136" s="25">
        <v>43853</v>
      </c>
      <c r="C136" s="26" t="s">
        <v>21</v>
      </c>
      <c r="D136" s="24">
        <v>28.5</v>
      </c>
      <c r="E136" s="24">
        <v>25</v>
      </c>
      <c r="F136" s="27">
        <v>712.5</v>
      </c>
      <c r="G136" s="26" t="s">
        <v>27</v>
      </c>
    </row>
    <row r="137" spans="1:7" x14ac:dyDescent="0.25">
      <c r="A137" s="24">
        <v>10264</v>
      </c>
      <c r="B137" s="25">
        <v>43867</v>
      </c>
      <c r="C137" s="26" t="s">
        <v>21</v>
      </c>
      <c r="D137" s="24">
        <v>30</v>
      </c>
      <c r="E137" s="24">
        <v>50</v>
      </c>
      <c r="F137" s="27">
        <v>1500</v>
      </c>
      <c r="G137" s="26" t="s">
        <v>22</v>
      </c>
    </row>
    <row r="138" spans="1:7" x14ac:dyDescent="0.25">
      <c r="A138" s="24">
        <v>10264</v>
      </c>
      <c r="B138" s="25">
        <v>43867</v>
      </c>
      <c r="C138" s="26" t="s">
        <v>21</v>
      </c>
      <c r="D138" s="24">
        <v>22</v>
      </c>
      <c r="E138" s="24">
        <v>50</v>
      </c>
      <c r="F138" s="27">
        <v>1100</v>
      </c>
      <c r="G138" s="26" t="s">
        <v>22</v>
      </c>
    </row>
    <row r="139" spans="1:7" x14ac:dyDescent="0.25">
      <c r="A139" s="24">
        <v>10264</v>
      </c>
      <c r="B139" s="25">
        <v>43867</v>
      </c>
      <c r="C139" s="26" t="s">
        <v>21</v>
      </c>
      <c r="D139" s="24">
        <v>40</v>
      </c>
      <c r="E139" s="24">
        <v>10</v>
      </c>
      <c r="F139" s="27">
        <v>400</v>
      </c>
      <c r="G139" s="26" t="s">
        <v>22</v>
      </c>
    </row>
    <row r="140" spans="1:7" x14ac:dyDescent="0.25">
      <c r="A140" s="24">
        <v>10265</v>
      </c>
      <c r="B140" s="25">
        <v>43873</v>
      </c>
      <c r="C140" s="26" t="s">
        <v>21</v>
      </c>
      <c r="D140" s="24">
        <v>12</v>
      </c>
      <c r="E140" s="24">
        <v>9</v>
      </c>
      <c r="F140" s="27">
        <v>108</v>
      </c>
      <c r="G140" s="26" t="s">
        <v>22</v>
      </c>
    </row>
    <row r="141" spans="1:7" x14ac:dyDescent="0.25">
      <c r="A141" s="24">
        <v>10267</v>
      </c>
      <c r="B141" s="25">
        <v>43875</v>
      </c>
      <c r="C141" s="26" t="s">
        <v>21</v>
      </c>
      <c r="D141" s="24">
        <v>45.6</v>
      </c>
      <c r="E141" s="24">
        <v>35</v>
      </c>
      <c r="F141" s="27">
        <v>1596</v>
      </c>
      <c r="G141" s="26" t="s">
        <v>22</v>
      </c>
    </row>
    <row r="142" spans="1:7" x14ac:dyDescent="0.25">
      <c r="A142" s="24">
        <v>10268</v>
      </c>
      <c r="B142" s="25">
        <v>43877</v>
      </c>
      <c r="C142" s="26" t="s">
        <v>21</v>
      </c>
      <c r="D142" s="24">
        <v>2.5</v>
      </c>
      <c r="E142" s="24">
        <v>16</v>
      </c>
      <c r="F142" s="27">
        <v>40</v>
      </c>
      <c r="G142" s="26" t="s">
        <v>26</v>
      </c>
    </row>
    <row r="143" spans="1:7" x14ac:dyDescent="0.25">
      <c r="A143" s="24">
        <v>10268</v>
      </c>
      <c r="B143" s="25">
        <v>43877</v>
      </c>
      <c r="C143" s="26" t="s">
        <v>21</v>
      </c>
      <c r="D143" s="24">
        <v>17.45</v>
      </c>
      <c r="E143" s="24">
        <v>50</v>
      </c>
      <c r="F143" s="27">
        <v>872.5</v>
      </c>
      <c r="G143" s="26" t="s">
        <v>26</v>
      </c>
    </row>
    <row r="144" spans="1:7" x14ac:dyDescent="0.25">
      <c r="A144" s="24">
        <v>10268</v>
      </c>
      <c r="B144" s="25">
        <v>43877</v>
      </c>
      <c r="C144" s="26" t="s">
        <v>21</v>
      </c>
      <c r="D144" s="24">
        <v>97</v>
      </c>
      <c r="E144" s="24">
        <v>16</v>
      </c>
      <c r="F144" s="27">
        <v>1552</v>
      </c>
      <c r="G144" s="26" t="s">
        <v>26</v>
      </c>
    </row>
    <row r="145" spans="1:7" x14ac:dyDescent="0.25">
      <c r="A145" s="24">
        <v>10272</v>
      </c>
      <c r="B145" s="25">
        <v>43887</v>
      </c>
      <c r="C145" s="26" t="s">
        <v>21</v>
      </c>
      <c r="D145" s="24">
        <v>38</v>
      </c>
      <c r="E145" s="24">
        <v>40</v>
      </c>
      <c r="F145" s="27">
        <v>1520</v>
      </c>
      <c r="G145" s="26" t="s">
        <v>22</v>
      </c>
    </row>
    <row r="146" spans="1:7" x14ac:dyDescent="0.25">
      <c r="A146" s="24">
        <v>10272</v>
      </c>
      <c r="B146" s="25">
        <v>43887</v>
      </c>
      <c r="C146" s="26" t="s">
        <v>21</v>
      </c>
      <c r="D146" s="24">
        <v>34</v>
      </c>
      <c r="E146" s="24">
        <v>10</v>
      </c>
      <c r="F146" s="27">
        <v>340</v>
      </c>
      <c r="G146" s="26" t="s">
        <v>22</v>
      </c>
    </row>
    <row r="147" spans="1:7" x14ac:dyDescent="0.25">
      <c r="A147" s="24">
        <v>10272</v>
      </c>
      <c r="B147" s="25">
        <v>43887</v>
      </c>
      <c r="C147" s="26" t="s">
        <v>21</v>
      </c>
      <c r="D147" s="24">
        <v>31</v>
      </c>
      <c r="E147" s="24">
        <v>16</v>
      </c>
      <c r="F147" s="27">
        <v>496</v>
      </c>
      <c r="G147" s="26" t="s">
        <v>22</v>
      </c>
    </row>
    <row r="148" spans="1:7" x14ac:dyDescent="0.25">
      <c r="A148" s="24">
        <v>10273</v>
      </c>
      <c r="B148" s="25">
        <v>43889</v>
      </c>
      <c r="C148" s="26" t="s">
        <v>21</v>
      </c>
      <c r="D148" s="24">
        <v>4.5</v>
      </c>
      <c r="E148" s="24">
        <v>8</v>
      </c>
      <c r="F148" s="27">
        <v>36</v>
      </c>
      <c r="G148" s="26" t="s">
        <v>26</v>
      </c>
    </row>
    <row r="149" spans="1:7" x14ac:dyDescent="0.25">
      <c r="A149" s="24">
        <v>10276</v>
      </c>
      <c r="B149" s="25">
        <v>43893</v>
      </c>
      <c r="C149" s="26" t="s">
        <v>21</v>
      </c>
      <c r="D149" s="24">
        <v>39</v>
      </c>
      <c r="E149" s="24">
        <v>25</v>
      </c>
      <c r="F149" s="27">
        <v>975</v>
      </c>
      <c r="G149" s="26" t="s">
        <v>23</v>
      </c>
    </row>
    <row r="150" spans="1:7" x14ac:dyDescent="0.25">
      <c r="A150" s="24">
        <v>10277</v>
      </c>
      <c r="B150" s="25">
        <v>43893</v>
      </c>
      <c r="C150" s="26" t="s">
        <v>21</v>
      </c>
      <c r="D150" s="24">
        <v>7.45</v>
      </c>
      <c r="E150" s="24">
        <v>15</v>
      </c>
      <c r="F150" s="27">
        <v>111.75</v>
      </c>
      <c r="G150" s="26" t="s">
        <v>27</v>
      </c>
    </row>
    <row r="151" spans="1:7" x14ac:dyDescent="0.25">
      <c r="A151" s="24">
        <v>10277</v>
      </c>
      <c r="B151" s="25">
        <v>43893</v>
      </c>
      <c r="C151" s="26" t="s">
        <v>21</v>
      </c>
      <c r="D151" s="24">
        <v>46</v>
      </c>
      <c r="E151" s="24">
        <v>60</v>
      </c>
      <c r="F151" s="27">
        <v>2760</v>
      </c>
      <c r="G151" s="26" t="s">
        <v>27</v>
      </c>
    </row>
    <row r="152" spans="1:7" x14ac:dyDescent="0.25">
      <c r="A152" s="24">
        <v>10278</v>
      </c>
      <c r="B152" s="25">
        <v>43895</v>
      </c>
      <c r="C152" s="26" t="s">
        <v>21</v>
      </c>
      <c r="D152" s="24">
        <v>19</v>
      </c>
      <c r="E152" s="24">
        <v>30</v>
      </c>
      <c r="F152" s="27">
        <v>570</v>
      </c>
      <c r="G152" s="26" t="s">
        <v>23</v>
      </c>
    </row>
    <row r="153" spans="1:7" x14ac:dyDescent="0.25">
      <c r="A153" s="24">
        <v>10278</v>
      </c>
      <c r="B153" s="25">
        <v>43895</v>
      </c>
      <c r="C153" s="26" t="s">
        <v>21</v>
      </c>
      <c r="D153" s="24">
        <v>18.399999999999999</v>
      </c>
      <c r="E153" s="24">
        <v>15</v>
      </c>
      <c r="F153" s="27">
        <v>276</v>
      </c>
      <c r="G153" s="26" t="s">
        <v>23</v>
      </c>
    </row>
    <row r="154" spans="1:7" x14ac:dyDescent="0.25">
      <c r="A154" s="24">
        <v>10283</v>
      </c>
      <c r="B154" s="25">
        <v>43907</v>
      </c>
      <c r="C154" s="26" t="s">
        <v>21</v>
      </c>
      <c r="D154" s="24">
        <v>39</v>
      </c>
      <c r="E154" s="24">
        <v>40</v>
      </c>
      <c r="F154" s="27">
        <v>1560</v>
      </c>
      <c r="G154" s="26" t="s">
        <v>22</v>
      </c>
    </row>
    <row r="155" spans="1:7" x14ac:dyDescent="0.25">
      <c r="A155" s="24">
        <v>10283</v>
      </c>
      <c r="B155" s="25">
        <v>43907</v>
      </c>
      <c r="C155" s="26" t="s">
        <v>21</v>
      </c>
      <c r="D155" s="24">
        <v>28.5</v>
      </c>
      <c r="E155" s="24">
        <v>20</v>
      </c>
      <c r="F155" s="27">
        <v>570</v>
      </c>
      <c r="G155" s="26" t="s">
        <v>22</v>
      </c>
    </row>
    <row r="156" spans="1:7" x14ac:dyDescent="0.25">
      <c r="A156" s="24">
        <v>10284</v>
      </c>
      <c r="B156" s="25">
        <v>43907</v>
      </c>
      <c r="C156" s="26" t="s">
        <v>21</v>
      </c>
      <c r="D156" s="24">
        <v>55</v>
      </c>
      <c r="E156" s="24">
        <v>2</v>
      </c>
      <c r="F156" s="27">
        <v>110</v>
      </c>
      <c r="G156" s="26" t="s">
        <v>23</v>
      </c>
    </row>
    <row r="157" spans="1:7" x14ac:dyDescent="0.25">
      <c r="A157" s="24">
        <v>10285</v>
      </c>
      <c r="B157" s="25">
        <v>43909</v>
      </c>
      <c r="C157" s="26" t="s">
        <v>21</v>
      </c>
      <c r="D157" s="24">
        <v>17</v>
      </c>
      <c r="E157" s="24">
        <v>24</v>
      </c>
      <c r="F157" s="27">
        <v>408</v>
      </c>
      <c r="G157" s="26" t="s">
        <v>23</v>
      </c>
    </row>
    <row r="158" spans="1:7" x14ac:dyDescent="0.25">
      <c r="A158" s="24">
        <v>10285</v>
      </c>
      <c r="B158" s="25">
        <v>43909</v>
      </c>
      <c r="C158" s="26" t="s">
        <v>21</v>
      </c>
      <c r="D158" s="24">
        <v>25.89</v>
      </c>
      <c r="E158" s="24">
        <v>15</v>
      </c>
      <c r="F158" s="27">
        <v>388.35</v>
      </c>
      <c r="G158" s="26" t="s">
        <v>23</v>
      </c>
    </row>
    <row r="159" spans="1:7" x14ac:dyDescent="0.25">
      <c r="A159" s="24">
        <v>10290</v>
      </c>
      <c r="B159" s="25">
        <v>43919</v>
      </c>
      <c r="C159" s="26" t="s">
        <v>21</v>
      </c>
      <c r="D159" s="24">
        <v>12.5</v>
      </c>
      <c r="E159" s="24">
        <v>30</v>
      </c>
      <c r="F159" s="27">
        <v>375</v>
      </c>
      <c r="G159" s="26" t="s">
        <v>27</v>
      </c>
    </row>
    <row r="160" spans="1:7" x14ac:dyDescent="0.25">
      <c r="A160" s="24">
        <v>10290</v>
      </c>
      <c r="B160" s="25">
        <v>43919</v>
      </c>
      <c r="C160" s="26" t="s">
        <v>21</v>
      </c>
      <c r="D160" s="24">
        <v>13.25</v>
      </c>
      <c r="E160" s="24">
        <v>20</v>
      </c>
      <c r="F160" s="27">
        <v>265</v>
      </c>
      <c r="G160" s="26" t="s">
        <v>27</v>
      </c>
    </row>
    <row r="161" spans="1:7" x14ac:dyDescent="0.25">
      <c r="A161" s="24">
        <v>10290</v>
      </c>
      <c r="B161" s="25">
        <v>43919</v>
      </c>
      <c r="C161" s="26" t="s">
        <v>21</v>
      </c>
      <c r="D161" s="24">
        <v>34.799999999999997</v>
      </c>
      <c r="E161" s="24">
        <v>21</v>
      </c>
      <c r="F161" s="27">
        <v>730.8</v>
      </c>
      <c r="G161" s="26" t="s">
        <v>27</v>
      </c>
    </row>
    <row r="162" spans="1:7" x14ac:dyDescent="0.25">
      <c r="A162" s="24">
        <v>10290</v>
      </c>
      <c r="B162" s="25">
        <v>43919</v>
      </c>
      <c r="C162" s="26" t="s">
        <v>21</v>
      </c>
      <c r="D162" s="24">
        <v>53</v>
      </c>
      <c r="E162" s="24">
        <v>6</v>
      </c>
      <c r="F162" s="27">
        <v>318</v>
      </c>
      <c r="G162" s="26" t="s">
        <v>27</v>
      </c>
    </row>
    <row r="163" spans="1:7" x14ac:dyDescent="0.25">
      <c r="A163" s="24">
        <v>10294</v>
      </c>
      <c r="B163" s="25">
        <v>43929</v>
      </c>
      <c r="C163" s="26" t="s">
        <v>21</v>
      </c>
      <c r="D163" s="24">
        <v>21.5</v>
      </c>
      <c r="E163" s="24">
        <v>9</v>
      </c>
      <c r="F163" s="27">
        <v>193.5</v>
      </c>
      <c r="G163" s="26" t="s">
        <v>22</v>
      </c>
    </row>
    <row r="164" spans="1:7" x14ac:dyDescent="0.25">
      <c r="A164" s="24">
        <v>10294</v>
      </c>
      <c r="B164" s="25">
        <v>43929</v>
      </c>
      <c r="C164" s="26" t="s">
        <v>21</v>
      </c>
      <c r="D164" s="24">
        <v>263.5</v>
      </c>
      <c r="E164" s="24">
        <v>4</v>
      </c>
      <c r="F164" s="27">
        <v>1054</v>
      </c>
      <c r="G164" s="26" t="s">
        <v>22</v>
      </c>
    </row>
    <row r="165" spans="1:7" x14ac:dyDescent="0.25">
      <c r="A165" s="24">
        <v>10294</v>
      </c>
      <c r="B165" s="25">
        <v>43929</v>
      </c>
      <c r="C165" s="26" t="s">
        <v>21</v>
      </c>
      <c r="D165" s="24">
        <v>21.05</v>
      </c>
      <c r="E165" s="24">
        <v>36</v>
      </c>
      <c r="F165" s="27">
        <v>757.8</v>
      </c>
      <c r="G165" s="26" t="s">
        <v>22</v>
      </c>
    </row>
    <row r="166" spans="1:7" x14ac:dyDescent="0.25">
      <c r="A166" s="24">
        <v>10294</v>
      </c>
      <c r="B166" s="25">
        <v>43929</v>
      </c>
      <c r="C166" s="26" t="s">
        <v>21</v>
      </c>
      <c r="D166" s="24">
        <v>4.5</v>
      </c>
      <c r="E166" s="24">
        <v>35</v>
      </c>
      <c r="F166" s="27">
        <v>157.5</v>
      </c>
      <c r="G166" s="26" t="s">
        <v>22</v>
      </c>
    </row>
    <row r="167" spans="1:7" x14ac:dyDescent="0.25">
      <c r="A167" s="24">
        <v>10299</v>
      </c>
      <c r="B167" s="25">
        <v>43937</v>
      </c>
      <c r="C167" s="26" t="s">
        <v>21</v>
      </c>
      <c r="D167" s="24">
        <v>49.3</v>
      </c>
      <c r="E167" s="24">
        <v>40</v>
      </c>
      <c r="F167" s="27">
        <v>1972</v>
      </c>
      <c r="G167" s="26" t="s">
        <v>23</v>
      </c>
    </row>
    <row r="168" spans="1:7" x14ac:dyDescent="0.25">
      <c r="A168" s="24">
        <v>10300</v>
      </c>
      <c r="B168" s="25">
        <v>43937</v>
      </c>
      <c r="C168" s="26" t="s">
        <v>21</v>
      </c>
      <c r="D168" s="24">
        <v>19</v>
      </c>
      <c r="E168" s="24">
        <v>60</v>
      </c>
      <c r="F168" s="27">
        <v>1140</v>
      </c>
      <c r="G168" s="26" t="s">
        <v>23</v>
      </c>
    </row>
    <row r="169" spans="1:7" x14ac:dyDescent="0.25">
      <c r="A169" s="24">
        <v>10300</v>
      </c>
      <c r="B169" s="25">
        <v>43937</v>
      </c>
      <c r="C169" s="26" t="s">
        <v>21</v>
      </c>
      <c r="D169" s="24">
        <v>32</v>
      </c>
      <c r="E169" s="24">
        <v>24</v>
      </c>
      <c r="F169" s="27">
        <v>768</v>
      </c>
      <c r="G169" s="26" t="s">
        <v>23</v>
      </c>
    </row>
    <row r="170" spans="1:7" x14ac:dyDescent="0.25">
      <c r="A170" s="24">
        <v>10301</v>
      </c>
      <c r="B170" s="25">
        <v>43943</v>
      </c>
      <c r="C170" s="26" t="s">
        <v>21</v>
      </c>
      <c r="D170" s="24">
        <v>9.65</v>
      </c>
      <c r="E170" s="24">
        <v>14</v>
      </c>
      <c r="F170" s="27">
        <v>135.1</v>
      </c>
      <c r="G170" s="26" t="s">
        <v>22</v>
      </c>
    </row>
    <row r="171" spans="1:7" x14ac:dyDescent="0.25">
      <c r="A171" s="24">
        <v>10303</v>
      </c>
      <c r="B171" s="25">
        <v>43947</v>
      </c>
      <c r="C171" s="26" t="s">
        <v>21</v>
      </c>
      <c r="D171" s="24">
        <v>39</v>
      </c>
      <c r="E171" s="24">
        <v>8</v>
      </c>
      <c r="F171" s="27">
        <v>312</v>
      </c>
      <c r="G171" s="26" t="s">
        <v>26</v>
      </c>
    </row>
    <row r="172" spans="1:7" x14ac:dyDescent="0.25">
      <c r="A172" s="24">
        <v>10306</v>
      </c>
      <c r="B172" s="25">
        <v>43951</v>
      </c>
      <c r="C172" s="26" t="s">
        <v>21</v>
      </c>
      <c r="D172" s="24">
        <v>21</v>
      </c>
      <c r="E172" s="24">
        <v>24</v>
      </c>
      <c r="F172" s="27">
        <v>504</v>
      </c>
      <c r="G172" s="26" t="s">
        <v>27</v>
      </c>
    </row>
    <row r="173" spans="1:7" x14ac:dyDescent="0.25">
      <c r="A173" s="24">
        <v>10306</v>
      </c>
      <c r="B173" s="25">
        <v>43951</v>
      </c>
      <c r="C173" s="26" t="s">
        <v>21</v>
      </c>
      <c r="D173" s="24">
        <v>21</v>
      </c>
      <c r="E173" s="24">
        <v>15</v>
      </c>
      <c r="F173" s="27">
        <v>315</v>
      </c>
      <c r="G173" s="26" t="s">
        <v>27</v>
      </c>
    </row>
    <row r="174" spans="1:7" x14ac:dyDescent="0.25">
      <c r="A174" s="24">
        <v>10306</v>
      </c>
      <c r="B174" s="25">
        <v>43951</v>
      </c>
      <c r="C174" s="26" t="s">
        <v>21</v>
      </c>
      <c r="D174" s="24">
        <v>18</v>
      </c>
      <c r="E174" s="24">
        <v>6</v>
      </c>
      <c r="F174" s="27">
        <v>108</v>
      </c>
      <c r="G174" s="26" t="s">
        <v>27</v>
      </c>
    </row>
    <row r="175" spans="1:7" x14ac:dyDescent="0.25">
      <c r="A175" s="24">
        <v>10306</v>
      </c>
      <c r="B175" s="25">
        <v>43951</v>
      </c>
      <c r="C175" s="26" t="s">
        <v>21</v>
      </c>
      <c r="D175" s="24">
        <v>17.45</v>
      </c>
      <c r="E175" s="24">
        <v>14</v>
      </c>
      <c r="F175" s="27">
        <v>244.3</v>
      </c>
      <c r="G175" s="26" t="s">
        <v>27</v>
      </c>
    </row>
    <row r="176" spans="1:7" x14ac:dyDescent="0.25">
      <c r="A176" s="24">
        <v>10308</v>
      </c>
      <c r="B176" s="25">
        <v>43957</v>
      </c>
      <c r="C176" s="26" t="s">
        <v>21</v>
      </c>
      <c r="D176" s="24">
        <v>53</v>
      </c>
      <c r="E176" s="24">
        <v>20</v>
      </c>
      <c r="F176" s="27">
        <v>1060</v>
      </c>
      <c r="G176" s="26" t="s">
        <v>23</v>
      </c>
    </row>
    <row r="177" spans="1:7" x14ac:dyDescent="0.25">
      <c r="A177" s="24">
        <v>10309</v>
      </c>
      <c r="B177" s="25">
        <v>43959</v>
      </c>
      <c r="C177" s="26" t="s">
        <v>21</v>
      </c>
      <c r="D177" s="24">
        <v>34.799999999999997</v>
      </c>
      <c r="E177" s="24">
        <v>24</v>
      </c>
      <c r="F177" s="27">
        <v>835.2</v>
      </c>
      <c r="G177" s="26" t="s">
        <v>22</v>
      </c>
    </row>
    <row r="178" spans="1:7" x14ac:dyDescent="0.25">
      <c r="A178" s="24">
        <v>10310</v>
      </c>
      <c r="B178" s="25">
        <v>43959</v>
      </c>
      <c r="C178" s="26" t="s">
        <v>21</v>
      </c>
      <c r="D178" s="24">
        <v>7.75</v>
      </c>
      <c r="E178" s="24">
        <v>20</v>
      </c>
      <c r="F178" s="27">
        <v>155</v>
      </c>
      <c r="G178" s="26" t="s">
        <v>22</v>
      </c>
    </row>
    <row r="179" spans="1:7" x14ac:dyDescent="0.25">
      <c r="A179" s="24">
        <v>10310</v>
      </c>
      <c r="B179" s="25">
        <v>43959</v>
      </c>
      <c r="C179" s="26" t="s">
        <v>21</v>
      </c>
      <c r="D179" s="24">
        <v>33.25</v>
      </c>
      <c r="E179" s="24">
        <v>30</v>
      </c>
      <c r="F179" s="27">
        <v>997.5</v>
      </c>
      <c r="G179" s="26" t="s">
        <v>22</v>
      </c>
    </row>
    <row r="180" spans="1:7" x14ac:dyDescent="0.25">
      <c r="A180" s="24">
        <v>10317</v>
      </c>
      <c r="B180" s="25">
        <v>43973</v>
      </c>
      <c r="C180" s="26" t="s">
        <v>21</v>
      </c>
      <c r="D180" s="24">
        <v>39</v>
      </c>
      <c r="E180" s="24">
        <v>16</v>
      </c>
      <c r="F180" s="27">
        <v>624</v>
      </c>
      <c r="G180" s="26" t="s">
        <v>27</v>
      </c>
    </row>
    <row r="181" spans="1:7" x14ac:dyDescent="0.25">
      <c r="A181" s="24">
        <v>10320</v>
      </c>
      <c r="B181" s="25">
        <v>43977</v>
      </c>
      <c r="C181" s="26" t="s">
        <v>21</v>
      </c>
      <c r="D181" s="24">
        <v>55</v>
      </c>
      <c r="E181" s="24">
        <v>40</v>
      </c>
      <c r="F181" s="27">
        <v>2200</v>
      </c>
      <c r="G181" s="26" t="s">
        <v>22</v>
      </c>
    </row>
    <row r="182" spans="1:7" x14ac:dyDescent="0.25">
      <c r="A182" s="24">
        <v>10321</v>
      </c>
      <c r="B182" s="25">
        <v>43979</v>
      </c>
      <c r="C182" s="26" t="s">
        <v>21</v>
      </c>
      <c r="D182" s="24">
        <v>31</v>
      </c>
      <c r="E182" s="24">
        <v>5</v>
      </c>
      <c r="F182" s="27">
        <v>155</v>
      </c>
      <c r="G182" s="26" t="s">
        <v>27</v>
      </c>
    </row>
    <row r="183" spans="1:7" x14ac:dyDescent="0.25">
      <c r="A183" s="24">
        <v>10322</v>
      </c>
      <c r="B183" s="25">
        <v>43985</v>
      </c>
      <c r="C183" s="26" t="s">
        <v>21</v>
      </c>
      <c r="D183" s="24">
        <v>12.5</v>
      </c>
      <c r="E183" s="24">
        <v>35</v>
      </c>
      <c r="F183" s="27">
        <v>437.5</v>
      </c>
      <c r="G183" s="26" t="s">
        <v>22</v>
      </c>
    </row>
    <row r="184" spans="1:7" x14ac:dyDescent="0.25">
      <c r="A184" s="24">
        <v>10322</v>
      </c>
      <c r="B184" s="25">
        <v>43985</v>
      </c>
      <c r="C184" s="26" t="s">
        <v>21</v>
      </c>
      <c r="D184" s="24">
        <v>18</v>
      </c>
      <c r="E184" s="24">
        <v>30</v>
      </c>
      <c r="F184" s="27">
        <v>540</v>
      </c>
      <c r="G184" s="26" t="s">
        <v>22</v>
      </c>
    </row>
    <row r="185" spans="1:7" x14ac:dyDescent="0.25">
      <c r="A185" s="24">
        <v>10326</v>
      </c>
      <c r="B185" s="25">
        <v>43991</v>
      </c>
      <c r="C185" s="26" t="s">
        <v>21</v>
      </c>
      <c r="D185" s="24">
        <v>39</v>
      </c>
      <c r="E185" s="24">
        <v>18</v>
      </c>
      <c r="F185" s="27">
        <v>702</v>
      </c>
      <c r="G185" s="26" t="s">
        <v>26</v>
      </c>
    </row>
    <row r="186" spans="1:7" x14ac:dyDescent="0.25">
      <c r="A186" s="24">
        <v>10327</v>
      </c>
      <c r="B186" s="25">
        <v>43991</v>
      </c>
      <c r="C186" s="26" t="s">
        <v>21</v>
      </c>
      <c r="D186" s="24">
        <v>49.3</v>
      </c>
      <c r="E186" s="24">
        <v>10</v>
      </c>
      <c r="F186" s="27">
        <v>493</v>
      </c>
      <c r="G186" s="26" t="s">
        <v>22</v>
      </c>
    </row>
    <row r="187" spans="1:7" x14ac:dyDescent="0.25">
      <c r="A187" s="24">
        <v>10328</v>
      </c>
      <c r="B187" s="25">
        <v>43993</v>
      </c>
      <c r="C187" s="26" t="s">
        <v>21</v>
      </c>
      <c r="D187" s="24">
        <v>18</v>
      </c>
      <c r="E187" s="24">
        <v>10</v>
      </c>
      <c r="F187" s="27">
        <v>180</v>
      </c>
      <c r="G187" s="26" t="s">
        <v>23</v>
      </c>
    </row>
    <row r="188" spans="1:7" x14ac:dyDescent="0.25">
      <c r="A188" s="24">
        <v>10328</v>
      </c>
      <c r="B188" s="25">
        <v>43993</v>
      </c>
      <c r="C188" s="26" t="s">
        <v>21</v>
      </c>
      <c r="D188" s="24">
        <v>34.799999999999997</v>
      </c>
      <c r="E188" s="24">
        <v>30</v>
      </c>
      <c r="F188" s="27">
        <v>1044</v>
      </c>
      <c r="G188" s="26" t="s">
        <v>23</v>
      </c>
    </row>
    <row r="189" spans="1:7" x14ac:dyDescent="0.25">
      <c r="A189" s="24">
        <v>10328</v>
      </c>
      <c r="B189" s="25">
        <v>43993</v>
      </c>
      <c r="C189" s="26" t="s">
        <v>21</v>
      </c>
      <c r="D189" s="24">
        <v>55</v>
      </c>
      <c r="E189" s="24">
        <v>12</v>
      </c>
      <c r="F189" s="27">
        <v>660</v>
      </c>
      <c r="G189" s="26" t="s">
        <v>23</v>
      </c>
    </row>
    <row r="190" spans="1:7" x14ac:dyDescent="0.25">
      <c r="A190" s="24">
        <v>10334</v>
      </c>
      <c r="B190" s="25">
        <v>44005</v>
      </c>
      <c r="C190" s="26" t="s">
        <v>21</v>
      </c>
      <c r="D190" s="24">
        <v>7.75</v>
      </c>
      <c r="E190" s="24">
        <v>50</v>
      </c>
      <c r="F190" s="27">
        <v>387.5</v>
      </c>
      <c r="G190" s="26" t="s">
        <v>22</v>
      </c>
    </row>
    <row r="191" spans="1:7" x14ac:dyDescent="0.25">
      <c r="A191" s="24">
        <v>10335</v>
      </c>
      <c r="B191" s="25">
        <v>44007</v>
      </c>
      <c r="C191" s="26" t="s">
        <v>21</v>
      </c>
      <c r="D191" s="24">
        <v>18</v>
      </c>
      <c r="E191" s="24">
        <v>14</v>
      </c>
      <c r="F191" s="27">
        <v>252</v>
      </c>
      <c r="G191" s="26" t="s">
        <v>27</v>
      </c>
    </row>
    <row r="192" spans="1:7" x14ac:dyDescent="0.25">
      <c r="A192" s="24">
        <v>10335</v>
      </c>
      <c r="B192" s="25">
        <v>44007</v>
      </c>
      <c r="C192" s="26" t="s">
        <v>21</v>
      </c>
      <c r="D192" s="24">
        <v>19.5</v>
      </c>
      <c r="E192" s="24">
        <v>4</v>
      </c>
      <c r="F192" s="27">
        <v>78</v>
      </c>
      <c r="G192" s="26" t="s">
        <v>27</v>
      </c>
    </row>
    <row r="193" spans="1:7" x14ac:dyDescent="0.25">
      <c r="A193" s="24">
        <v>10336</v>
      </c>
      <c r="B193" s="25">
        <v>44013</v>
      </c>
      <c r="C193" s="26" t="s">
        <v>21</v>
      </c>
      <c r="D193" s="24">
        <v>123.79</v>
      </c>
      <c r="E193" s="24">
        <v>10</v>
      </c>
      <c r="F193" s="27">
        <v>1237.9000000000001</v>
      </c>
      <c r="G193" s="26" t="s">
        <v>22</v>
      </c>
    </row>
    <row r="194" spans="1:7" x14ac:dyDescent="0.25">
      <c r="A194" s="24">
        <v>10344</v>
      </c>
      <c r="B194" s="25">
        <v>44027</v>
      </c>
      <c r="C194" s="26" t="s">
        <v>21</v>
      </c>
      <c r="D194" s="24">
        <v>30</v>
      </c>
      <c r="E194" s="24">
        <v>10</v>
      </c>
      <c r="F194" s="27">
        <v>300</v>
      </c>
      <c r="G194" s="26" t="s">
        <v>27</v>
      </c>
    </row>
    <row r="195" spans="1:7" x14ac:dyDescent="0.25">
      <c r="A195" s="24">
        <v>10344</v>
      </c>
      <c r="B195" s="25">
        <v>44027</v>
      </c>
      <c r="C195" s="26" t="s">
        <v>21</v>
      </c>
      <c r="D195" s="24">
        <v>10</v>
      </c>
      <c r="E195" s="24">
        <v>14</v>
      </c>
      <c r="F195" s="27">
        <v>140</v>
      </c>
      <c r="G195" s="26" t="s">
        <v>27</v>
      </c>
    </row>
    <row r="196" spans="1:7" x14ac:dyDescent="0.25">
      <c r="A196" s="24">
        <v>10345</v>
      </c>
      <c r="B196" s="25">
        <v>44029</v>
      </c>
      <c r="C196" s="26" t="s">
        <v>21</v>
      </c>
      <c r="D196" s="24">
        <v>15.5</v>
      </c>
      <c r="E196" s="24">
        <v>25</v>
      </c>
      <c r="F196" s="27">
        <v>387.5</v>
      </c>
      <c r="G196" s="26" t="s">
        <v>23</v>
      </c>
    </row>
    <row r="197" spans="1:7" x14ac:dyDescent="0.25">
      <c r="A197" s="24">
        <v>10345</v>
      </c>
      <c r="B197" s="25">
        <v>44029</v>
      </c>
      <c r="C197" s="26" t="s">
        <v>21</v>
      </c>
      <c r="D197" s="24">
        <v>31.23</v>
      </c>
      <c r="E197" s="24">
        <v>5</v>
      </c>
      <c r="F197" s="27">
        <v>156.15</v>
      </c>
      <c r="G197" s="26" t="s">
        <v>23</v>
      </c>
    </row>
    <row r="198" spans="1:7" x14ac:dyDescent="0.25">
      <c r="A198" s="24">
        <v>10350</v>
      </c>
      <c r="B198" s="25">
        <v>44035</v>
      </c>
      <c r="C198" s="26" t="s">
        <v>21</v>
      </c>
      <c r="D198" s="24">
        <v>4.5</v>
      </c>
      <c r="E198" s="24">
        <v>35</v>
      </c>
      <c r="F198" s="27">
        <v>157.5</v>
      </c>
      <c r="G198" s="26" t="s">
        <v>22</v>
      </c>
    </row>
    <row r="199" spans="1:7" x14ac:dyDescent="0.25">
      <c r="A199" s="24">
        <v>10350</v>
      </c>
      <c r="B199" s="25">
        <v>44035</v>
      </c>
      <c r="C199" s="26" t="s">
        <v>21</v>
      </c>
      <c r="D199" s="24">
        <v>19.5</v>
      </c>
      <c r="E199" s="24">
        <v>20</v>
      </c>
      <c r="F199" s="27">
        <v>390</v>
      </c>
      <c r="G199" s="26" t="s">
        <v>22</v>
      </c>
    </row>
    <row r="200" spans="1:7" x14ac:dyDescent="0.25">
      <c r="A200" s="24">
        <v>10350</v>
      </c>
      <c r="B200" s="25">
        <v>44035</v>
      </c>
      <c r="C200" s="26" t="s">
        <v>21</v>
      </c>
      <c r="D200" s="24">
        <v>21.05</v>
      </c>
      <c r="E200" s="24">
        <v>12</v>
      </c>
      <c r="F200" s="27">
        <v>252.6</v>
      </c>
      <c r="G200" s="26" t="s">
        <v>22</v>
      </c>
    </row>
    <row r="201" spans="1:7" x14ac:dyDescent="0.25">
      <c r="A201" s="24">
        <v>10351</v>
      </c>
      <c r="B201" s="25">
        <v>44041</v>
      </c>
      <c r="C201" s="26" t="s">
        <v>21</v>
      </c>
      <c r="D201" s="24">
        <v>21.5</v>
      </c>
      <c r="E201" s="24">
        <v>9</v>
      </c>
      <c r="F201" s="27">
        <v>193.5</v>
      </c>
      <c r="G201" s="26" t="s">
        <v>27</v>
      </c>
    </row>
    <row r="202" spans="1:7" x14ac:dyDescent="0.25">
      <c r="A202" s="24">
        <v>10358</v>
      </c>
      <c r="B202" s="25">
        <v>44055</v>
      </c>
      <c r="C202" s="26" t="s">
        <v>21</v>
      </c>
      <c r="D202" s="24">
        <v>17.45</v>
      </c>
      <c r="E202" s="24">
        <v>30</v>
      </c>
      <c r="F202" s="27">
        <v>523.5</v>
      </c>
      <c r="G202" s="26" t="s">
        <v>23</v>
      </c>
    </row>
    <row r="203" spans="1:7" x14ac:dyDescent="0.25">
      <c r="A203" s="24">
        <v>10359</v>
      </c>
      <c r="B203" s="25">
        <v>44057</v>
      </c>
      <c r="C203" s="26" t="s">
        <v>21</v>
      </c>
      <c r="D203" s="24">
        <v>22</v>
      </c>
      <c r="E203" s="24">
        <v>20</v>
      </c>
      <c r="F203" s="27">
        <v>440</v>
      </c>
      <c r="G203" s="26" t="s">
        <v>25</v>
      </c>
    </row>
    <row r="204" spans="1:7" x14ac:dyDescent="0.25">
      <c r="A204" s="24">
        <v>10359</v>
      </c>
      <c r="B204" s="25">
        <v>44057</v>
      </c>
      <c r="C204" s="26" t="s">
        <v>21</v>
      </c>
      <c r="D204" s="24">
        <v>24</v>
      </c>
      <c r="E204" s="24">
        <v>20</v>
      </c>
      <c r="F204" s="27">
        <v>480</v>
      </c>
      <c r="G204" s="26" t="s">
        <v>25</v>
      </c>
    </row>
    <row r="205" spans="1:7" x14ac:dyDescent="0.25">
      <c r="A205" s="24">
        <v>10359</v>
      </c>
      <c r="B205" s="25">
        <v>44057</v>
      </c>
      <c r="C205" s="26" t="s">
        <v>21</v>
      </c>
      <c r="D205" s="24">
        <v>49.3</v>
      </c>
      <c r="E205" s="24">
        <v>10</v>
      </c>
      <c r="F205" s="27">
        <v>493</v>
      </c>
      <c r="G205" s="26" t="s">
        <v>25</v>
      </c>
    </row>
    <row r="206" spans="1:7" x14ac:dyDescent="0.25">
      <c r="A206" s="24">
        <v>10365</v>
      </c>
      <c r="B206" s="25">
        <v>44069</v>
      </c>
      <c r="C206" s="26" t="s">
        <v>21</v>
      </c>
      <c r="D206" s="24">
        <v>19</v>
      </c>
      <c r="E206" s="24">
        <v>55</v>
      </c>
      <c r="F206" s="27">
        <v>1045</v>
      </c>
      <c r="G206" s="26" t="s">
        <v>22</v>
      </c>
    </row>
    <row r="207" spans="1:7" x14ac:dyDescent="0.25">
      <c r="A207" s="24">
        <v>10365</v>
      </c>
      <c r="B207" s="25">
        <v>44069</v>
      </c>
      <c r="C207" s="26" t="s">
        <v>21</v>
      </c>
      <c r="D207" s="24">
        <v>20</v>
      </c>
      <c r="E207" s="24">
        <v>18</v>
      </c>
      <c r="F207" s="27">
        <v>360</v>
      </c>
      <c r="G207" s="26" t="s">
        <v>22</v>
      </c>
    </row>
    <row r="208" spans="1:7" x14ac:dyDescent="0.25">
      <c r="A208" s="24">
        <v>10365</v>
      </c>
      <c r="B208" s="25">
        <v>44069</v>
      </c>
      <c r="C208" s="26" t="s">
        <v>21</v>
      </c>
      <c r="D208" s="24">
        <v>18</v>
      </c>
      <c r="E208" s="24">
        <v>80</v>
      </c>
      <c r="F208" s="27">
        <v>1440</v>
      </c>
      <c r="G208" s="26" t="s">
        <v>22</v>
      </c>
    </row>
    <row r="209" spans="1:7" x14ac:dyDescent="0.25">
      <c r="A209" s="24">
        <v>10365</v>
      </c>
      <c r="B209" s="25">
        <v>44069</v>
      </c>
      <c r="C209" s="26" t="s">
        <v>21</v>
      </c>
      <c r="D209" s="24">
        <v>31</v>
      </c>
      <c r="E209" s="24">
        <v>70</v>
      </c>
      <c r="F209" s="27">
        <v>2170</v>
      </c>
      <c r="G209" s="26" t="s">
        <v>22</v>
      </c>
    </row>
    <row r="210" spans="1:7" x14ac:dyDescent="0.25">
      <c r="A210" s="24">
        <v>10371</v>
      </c>
      <c r="B210" s="25">
        <v>44077</v>
      </c>
      <c r="C210" s="26" t="s">
        <v>21</v>
      </c>
      <c r="D210" s="24">
        <v>12.5</v>
      </c>
      <c r="E210" s="24">
        <v>15</v>
      </c>
      <c r="F210" s="27">
        <v>187.5</v>
      </c>
      <c r="G210" s="26" t="s">
        <v>23</v>
      </c>
    </row>
    <row r="211" spans="1:7" x14ac:dyDescent="0.25">
      <c r="A211" s="24">
        <v>10371</v>
      </c>
      <c r="B211" s="25">
        <v>44077</v>
      </c>
      <c r="C211" s="26" t="s">
        <v>21</v>
      </c>
      <c r="D211" s="24">
        <v>38</v>
      </c>
      <c r="E211" s="24">
        <v>20</v>
      </c>
      <c r="F211" s="27">
        <v>760</v>
      </c>
      <c r="G211" s="26" t="s">
        <v>23</v>
      </c>
    </row>
    <row r="212" spans="1:7" x14ac:dyDescent="0.25">
      <c r="A212" s="24">
        <v>10371</v>
      </c>
      <c r="B212" s="25">
        <v>44077</v>
      </c>
      <c r="C212" s="26" t="s">
        <v>21</v>
      </c>
      <c r="D212" s="24">
        <v>25</v>
      </c>
      <c r="E212" s="24">
        <v>70</v>
      </c>
      <c r="F212" s="27">
        <v>1750</v>
      </c>
      <c r="G212" s="26" t="s">
        <v>23</v>
      </c>
    </row>
    <row r="213" spans="1:7" x14ac:dyDescent="0.25">
      <c r="A213" s="24">
        <v>10372</v>
      </c>
      <c r="B213" s="25">
        <v>44083</v>
      </c>
      <c r="C213" s="26" t="s">
        <v>21</v>
      </c>
      <c r="D213" s="24">
        <v>21</v>
      </c>
      <c r="E213" s="24">
        <v>40</v>
      </c>
      <c r="F213" s="27">
        <v>840</v>
      </c>
      <c r="G213" s="26" t="s">
        <v>23</v>
      </c>
    </row>
    <row r="214" spans="1:7" x14ac:dyDescent="0.25">
      <c r="A214" s="24">
        <v>10377</v>
      </c>
      <c r="B214" s="25">
        <v>44089</v>
      </c>
      <c r="C214" s="26" t="s">
        <v>21</v>
      </c>
      <c r="D214" s="24">
        <v>123.79</v>
      </c>
      <c r="E214" s="24">
        <v>6</v>
      </c>
      <c r="F214" s="27">
        <v>742.74</v>
      </c>
      <c r="G214" s="26" t="s">
        <v>27</v>
      </c>
    </row>
    <row r="215" spans="1:7" x14ac:dyDescent="0.25">
      <c r="A215" s="24">
        <v>10377</v>
      </c>
      <c r="B215" s="25">
        <v>44089</v>
      </c>
      <c r="C215" s="26" t="s">
        <v>21</v>
      </c>
      <c r="D215" s="24">
        <v>45.6</v>
      </c>
      <c r="E215" s="24">
        <v>10</v>
      </c>
      <c r="F215" s="27">
        <v>456</v>
      </c>
      <c r="G215" s="26" t="s">
        <v>27</v>
      </c>
    </row>
    <row r="216" spans="1:7" x14ac:dyDescent="0.25">
      <c r="A216" s="24">
        <v>10377</v>
      </c>
      <c r="B216" s="25">
        <v>44089</v>
      </c>
      <c r="C216" s="26" t="s">
        <v>21</v>
      </c>
      <c r="D216" s="24">
        <v>19.45</v>
      </c>
      <c r="E216" s="24">
        <v>10</v>
      </c>
      <c r="F216" s="27">
        <v>194.5</v>
      </c>
      <c r="G216" s="26" t="s">
        <v>27</v>
      </c>
    </row>
    <row r="217" spans="1:7" x14ac:dyDescent="0.25">
      <c r="A217" s="24">
        <v>10378</v>
      </c>
      <c r="B217" s="25">
        <v>44091</v>
      </c>
      <c r="C217" s="26" t="s">
        <v>21</v>
      </c>
      <c r="D217" s="24">
        <v>14</v>
      </c>
      <c r="E217" s="24">
        <v>5</v>
      </c>
      <c r="F217" s="27">
        <v>70</v>
      </c>
      <c r="G217" s="26" t="s">
        <v>22</v>
      </c>
    </row>
    <row r="218" spans="1:7" x14ac:dyDescent="0.25">
      <c r="A218" s="24">
        <v>10385</v>
      </c>
      <c r="B218" s="25">
        <v>44103</v>
      </c>
      <c r="C218" s="26" t="s">
        <v>21</v>
      </c>
      <c r="D218" s="24">
        <v>19</v>
      </c>
      <c r="E218" s="24">
        <v>30</v>
      </c>
      <c r="F218" s="27">
        <v>570</v>
      </c>
      <c r="G218" s="26" t="s">
        <v>22</v>
      </c>
    </row>
    <row r="219" spans="1:7" x14ac:dyDescent="0.25">
      <c r="A219" s="24">
        <v>10386</v>
      </c>
      <c r="B219" s="25">
        <v>44105</v>
      </c>
      <c r="C219" s="26" t="s">
        <v>21</v>
      </c>
      <c r="D219" s="24">
        <v>38</v>
      </c>
      <c r="E219" s="24">
        <v>36</v>
      </c>
      <c r="F219" s="27">
        <v>1368</v>
      </c>
      <c r="G219" s="26" t="s">
        <v>22</v>
      </c>
    </row>
    <row r="220" spans="1:7" x14ac:dyDescent="0.25">
      <c r="A220" s="24">
        <v>10386</v>
      </c>
      <c r="B220" s="25">
        <v>44105</v>
      </c>
      <c r="C220" s="26" t="s">
        <v>21</v>
      </c>
      <c r="D220" s="24">
        <v>31.23</v>
      </c>
      <c r="E220" s="24">
        <v>35</v>
      </c>
      <c r="F220" s="27">
        <v>1093.05</v>
      </c>
      <c r="G220" s="26" t="s">
        <v>22</v>
      </c>
    </row>
    <row r="221" spans="1:7" x14ac:dyDescent="0.25">
      <c r="A221" s="24">
        <v>10386</v>
      </c>
      <c r="B221" s="25">
        <v>44105</v>
      </c>
      <c r="C221" s="26" t="s">
        <v>21</v>
      </c>
      <c r="D221" s="24">
        <v>49.3</v>
      </c>
      <c r="E221" s="24">
        <v>80</v>
      </c>
      <c r="F221" s="27">
        <v>3944</v>
      </c>
      <c r="G221" s="26" t="s">
        <v>22</v>
      </c>
    </row>
    <row r="222" spans="1:7" x14ac:dyDescent="0.25">
      <c r="A222" s="24">
        <v>10391</v>
      </c>
      <c r="B222" s="25">
        <v>44115</v>
      </c>
      <c r="C222" s="26" t="s">
        <v>21</v>
      </c>
      <c r="D222" s="24">
        <v>34.799999999999997</v>
      </c>
      <c r="E222" s="24">
        <v>60</v>
      </c>
      <c r="F222" s="27">
        <v>2088</v>
      </c>
      <c r="G222" s="26" t="s">
        <v>22</v>
      </c>
    </row>
    <row r="223" spans="1:7" x14ac:dyDescent="0.25">
      <c r="A223" s="24">
        <v>10391</v>
      </c>
      <c r="B223" s="25">
        <v>44115</v>
      </c>
      <c r="C223" s="26" t="s">
        <v>21</v>
      </c>
      <c r="D223" s="24">
        <v>9.5</v>
      </c>
      <c r="E223" s="24">
        <v>20</v>
      </c>
      <c r="F223" s="27">
        <v>190</v>
      </c>
      <c r="G223" s="26" t="s">
        <v>22</v>
      </c>
    </row>
    <row r="224" spans="1:7" x14ac:dyDescent="0.25">
      <c r="A224" s="24">
        <v>10392</v>
      </c>
      <c r="B224" s="25">
        <v>44115</v>
      </c>
      <c r="C224" s="26" t="s">
        <v>21</v>
      </c>
      <c r="D224" s="24">
        <v>62.5</v>
      </c>
      <c r="E224" s="24">
        <v>8</v>
      </c>
      <c r="F224" s="27">
        <v>500</v>
      </c>
      <c r="G224" s="26" t="s">
        <v>22</v>
      </c>
    </row>
    <row r="225" spans="1:7" x14ac:dyDescent="0.25">
      <c r="A225" s="24">
        <v>10393</v>
      </c>
      <c r="B225" s="25">
        <v>44117</v>
      </c>
      <c r="C225" s="26" t="s">
        <v>21</v>
      </c>
      <c r="D225" s="24">
        <v>15</v>
      </c>
      <c r="E225" s="24">
        <v>15</v>
      </c>
      <c r="F225" s="27">
        <v>225</v>
      </c>
      <c r="G225" s="26" t="s">
        <v>27</v>
      </c>
    </row>
    <row r="226" spans="1:7" x14ac:dyDescent="0.25">
      <c r="A226" s="24">
        <v>10399</v>
      </c>
      <c r="B226" s="25">
        <v>44129</v>
      </c>
      <c r="C226" s="26" t="s">
        <v>21</v>
      </c>
      <c r="D226" s="24">
        <v>13</v>
      </c>
      <c r="E226" s="24">
        <v>35</v>
      </c>
      <c r="F226" s="27">
        <v>455</v>
      </c>
      <c r="G226" s="26" t="s">
        <v>22</v>
      </c>
    </row>
    <row r="227" spans="1:7" x14ac:dyDescent="0.25">
      <c r="A227" s="24">
        <v>10399</v>
      </c>
      <c r="B227" s="25">
        <v>44129</v>
      </c>
      <c r="C227" s="26" t="s">
        <v>21</v>
      </c>
      <c r="D227" s="24">
        <v>31</v>
      </c>
      <c r="E227" s="24">
        <v>18</v>
      </c>
      <c r="F227" s="27">
        <v>558</v>
      </c>
      <c r="G227" s="26" t="s">
        <v>22</v>
      </c>
    </row>
    <row r="228" spans="1:7" x14ac:dyDescent="0.25">
      <c r="A228" s="24">
        <v>10399</v>
      </c>
      <c r="B228" s="25">
        <v>44129</v>
      </c>
      <c r="C228" s="26" t="s">
        <v>21</v>
      </c>
      <c r="D228" s="24">
        <v>18</v>
      </c>
      <c r="E228" s="24">
        <v>15</v>
      </c>
      <c r="F228" s="27">
        <v>270</v>
      </c>
      <c r="G228" s="26" t="s">
        <v>22</v>
      </c>
    </row>
    <row r="229" spans="1:7" x14ac:dyDescent="0.25">
      <c r="A229" s="24">
        <v>10400</v>
      </c>
      <c r="B229" s="25">
        <v>44129</v>
      </c>
      <c r="C229" s="26" t="s">
        <v>21</v>
      </c>
      <c r="D229" s="24">
        <v>18</v>
      </c>
      <c r="E229" s="24">
        <v>20</v>
      </c>
      <c r="F229" s="27">
        <v>360</v>
      </c>
      <c r="G229" s="26" t="s">
        <v>23</v>
      </c>
    </row>
    <row r="230" spans="1:7" x14ac:dyDescent="0.25">
      <c r="A230" s="24">
        <v>10407</v>
      </c>
      <c r="B230" s="25">
        <v>44141</v>
      </c>
      <c r="C230" s="26" t="s">
        <v>21</v>
      </c>
      <c r="D230" s="24">
        <v>18</v>
      </c>
      <c r="E230" s="24">
        <v>20</v>
      </c>
      <c r="F230" s="27">
        <v>360</v>
      </c>
      <c r="G230" s="26" t="s">
        <v>23</v>
      </c>
    </row>
    <row r="231" spans="1:7" x14ac:dyDescent="0.25">
      <c r="A231" s="24">
        <v>10407</v>
      </c>
      <c r="B231" s="25">
        <v>44141</v>
      </c>
      <c r="C231" s="26" t="s">
        <v>21</v>
      </c>
      <c r="D231" s="24">
        <v>7.45</v>
      </c>
      <c r="E231" s="24">
        <v>6</v>
      </c>
      <c r="F231" s="27">
        <v>44.7</v>
      </c>
      <c r="G231" s="26" t="s">
        <v>23</v>
      </c>
    </row>
    <row r="232" spans="1:7" x14ac:dyDescent="0.25">
      <c r="A232" s="24">
        <v>10407</v>
      </c>
      <c r="B232" s="25">
        <v>44141</v>
      </c>
      <c r="C232" s="26" t="s">
        <v>21</v>
      </c>
      <c r="D232" s="24">
        <v>22</v>
      </c>
      <c r="E232" s="24">
        <v>12</v>
      </c>
      <c r="F232" s="27">
        <v>264</v>
      </c>
      <c r="G232" s="26" t="s">
        <v>23</v>
      </c>
    </row>
    <row r="233" spans="1:7" x14ac:dyDescent="0.25">
      <c r="A233" s="24">
        <v>10408</v>
      </c>
      <c r="B233" s="25">
        <v>44143</v>
      </c>
      <c r="C233" s="26" t="s">
        <v>21</v>
      </c>
      <c r="D233" s="24">
        <v>9.65</v>
      </c>
      <c r="E233" s="24">
        <v>20</v>
      </c>
      <c r="F233" s="27">
        <v>193</v>
      </c>
      <c r="G233" s="26" t="s">
        <v>22</v>
      </c>
    </row>
    <row r="234" spans="1:7" x14ac:dyDescent="0.25">
      <c r="A234" s="24">
        <v>10412</v>
      </c>
      <c r="B234" s="25">
        <v>44147</v>
      </c>
      <c r="C234" s="26" t="s">
        <v>21</v>
      </c>
      <c r="D234" s="24">
        <v>15</v>
      </c>
      <c r="E234" s="24">
        <v>40</v>
      </c>
      <c r="F234" s="27">
        <v>600</v>
      </c>
      <c r="G234" s="26" t="s">
        <v>22</v>
      </c>
    </row>
    <row r="235" spans="1:7" x14ac:dyDescent="0.25">
      <c r="A235" s="24">
        <v>10412</v>
      </c>
      <c r="B235" s="25">
        <v>44147</v>
      </c>
      <c r="C235" s="26" t="s">
        <v>21</v>
      </c>
      <c r="D235" s="24">
        <v>12.5</v>
      </c>
      <c r="E235" s="24">
        <v>20</v>
      </c>
      <c r="F235" s="27">
        <v>250</v>
      </c>
      <c r="G235" s="26" t="s">
        <v>22</v>
      </c>
    </row>
    <row r="236" spans="1:7" x14ac:dyDescent="0.25">
      <c r="A236" s="24">
        <v>10413</v>
      </c>
      <c r="B236" s="25">
        <v>44153</v>
      </c>
      <c r="C236" s="26" t="s">
        <v>21</v>
      </c>
      <c r="D236" s="24">
        <v>81</v>
      </c>
      <c r="E236" s="24">
        <v>21</v>
      </c>
      <c r="F236" s="27">
        <v>1701</v>
      </c>
      <c r="G236" s="26" t="s">
        <v>22</v>
      </c>
    </row>
    <row r="237" spans="1:7" x14ac:dyDescent="0.25">
      <c r="A237" s="24">
        <v>10414</v>
      </c>
      <c r="B237" s="25">
        <v>44155</v>
      </c>
      <c r="C237" s="26" t="s">
        <v>21</v>
      </c>
      <c r="D237" s="24">
        <v>18</v>
      </c>
      <c r="E237" s="24">
        <v>3</v>
      </c>
      <c r="F237" s="27">
        <v>54</v>
      </c>
      <c r="G237" s="26" t="s">
        <v>26</v>
      </c>
    </row>
    <row r="238" spans="1:7" x14ac:dyDescent="0.25">
      <c r="A238" s="24">
        <v>10420</v>
      </c>
      <c r="B238" s="25">
        <v>44161</v>
      </c>
      <c r="C238" s="26" t="s">
        <v>21</v>
      </c>
      <c r="D238" s="24">
        <v>36</v>
      </c>
      <c r="E238" s="24">
        <v>45</v>
      </c>
      <c r="F238" s="27">
        <v>1620</v>
      </c>
      <c r="G238" s="26" t="s">
        <v>22</v>
      </c>
    </row>
    <row r="239" spans="1:7" x14ac:dyDescent="0.25">
      <c r="A239" s="24">
        <v>10421</v>
      </c>
      <c r="B239" s="25">
        <v>44167</v>
      </c>
      <c r="C239" s="26" t="s">
        <v>21</v>
      </c>
      <c r="D239" s="24">
        <v>24</v>
      </c>
      <c r="E239" s="24">
        <v>4</v>
      </c>
      <c r="F239" s="27">
        <v>96</v>
      </c>
      <c r="G239" s="26" t="s">
        <v>22</v>
      </c>
    </row>
    <row r="240" spans="1:7" x14ac:dyDescent="0.25">
      <c r="A240" s="24">
        <v>10421</v>
      </c>
      <c r="B240" s="25">
        <v>44167</v>
      </c>
      <c r="C240" s="26" t="s">
        <v>21</v>
      </c>
      <c r="D240" s="24">
        <v>33.25</v>
      </c>
      <c r="E240" s="24">
        <v>15</v>
      </c>
      <c r="F240" s="27">
        <v>498.75</v>
      </c>
      <c r="G240" s="26" t="s">
        <v>22</v>
      </c>
    </row>
    <row r="241" spans="1:7" x14ac:dyDescent="0.25">
      <c r="A241" s="24">
        <v>10421</v>
      </c>
      <c r="B241" s="25">
        <v>44167</v>
      </c>
      <c r="C241" s="26" t="s">
        <v>21</v>
      </c>
      <c r="D241" s="24">
        <v>12.5</v>
      </c>
      <c r="E241" s="24">
        <v>8</v>
      </c>
      <c r="F241" s="27">
        <v>100</v>
      </c>
      <c r="G241" s="26" t="s">
        <v>22</v>
      </c>
    </row>
    <row r="242" spans="1:7" x14ac:dyDescent="0.25">
      <c r="A242" s="24">
        <v>10427</v>
      </c>
      <c r="B242" s="25">
        <v>44173</v>
      </c>
      <c r="C242" s="26" t="s">
        <v>21</v>
      </c>
      <c r="D242" s="24">
        <v>9</v>
      </c>
      <c r="E242" s="24">
        <v>5</v>
      </c>
      <c r="F242" s="27">
        <v>45</v>
      </c>
      <c r="G242" s="26" t="s">
        <v>25</v>
      </c>
    </row>
    <row r="243" spans="1:7" x14ac:dyDescent="0.25">
      <c r="A243" s="24">
        <v>10428</v>
      </c>
      <c r="B243" s="25">
        <v>44175</v>
      </c>
      <c r="C243" s="26" t="s">
        <v>21</v>
      </c>
      <c r="D243" s="24">
        <v>13.25</v>
      </c>
      <c r="E243" s="24">
        <v>30</v>
      </c>
      <c r="F243" s="27">
        <v>397.5</v>
      </c>
      <c r="G243" s="26" t="s">
        <v>23</v>
      </c>
    </row>
    <row r="244" spans="1:7" x14ac:dyDescent="0.25">
      <c r="A244" s="24">
        <v>10428</v>
      </c>
      <c r="B244" s="25">
        <v>44175</v>
      </c>
      <c r="C244" s="26" t="s">
        <v>21</v>
      </c>
      <c r="D244" s="24">
        <v>32.799999999999997</v>
      </c>
      <c r="E244" s="24">
        <v>10</v>
      </c>
      <c r="F244" s="27">
        <v>328</v>
      </c>
      <c r="G244" s="26" t="s">
        <v>23</v>
      </c>
    </row>
    <row r="245" spans="1:7" x14ac:dyDescent="0.25">
      <c r="A245" s="24">
        <v>10428</v>
      </c>
      <c r="B245" s="25">
        <v>44175</v>
      </c>
      <c r="C245" s="26" t="s">
        <v>21</v>
      </c>
      <c r="D245" s="24">
        <v>23.25</v>
      </c>
      <c r="E245" s="24">
        <v>30</v>
      </c>
      <c r="F245" s="27">
        <v>697.5</v>
      </c>
      <c r="G245" s="26" t="s">
        <v>23</v>
      </c>
    </row>
    <row r="246" spans="1:7" x14ac:dyDescent="0.25">
      <c r="A246" s="24">
        <v>10433</v>
      </c>
      <c r="B246" s="25">
        <v>44185</v>
      </c>
      <c r="C246" s="26" t="s">
        <v>21</v>
      </c>
      <c r="D246" s="24">
        <v>14</v>
      </c>
      <c r="E246" s="24">
        <v>40</v>
      </c>
      <c r="F246" s="27">
        <v>560</v>
      </c>
      <c r="G246" s="26" t="s">
        <v>22</v>
      </c>
    </row>
    <row r="247" spans="1:7" x14ac:dyDescent="0.25">
      <c r="A247" s="24">
        <v>10433</v>
      </c>
      <c r="B247" s="25">
        <v>44185</v>
      </c>
      <c r="C247" s="26" t="s">
        <v>21</v>
      </c>
      <c r="D247" s="24">
        <v>17.45</v>
      </c>
      <c r="E247" s="24">
        <v>50</v>
      </c>
      <c r="F247" s="27">
        <v>872.5</v>
      </c>
      <c r="G247" s="26" t="s">
        <v>22</v>
      </c>
    </row>
    <row r="248" spans="1:7" x14ac:dyDescent="0.25">
      <c r="A248" s="24">
        <v>10434</v>
      </c>
      <c r="B248" s="25">
        <v>44187</v>
      </c>
      <c r="C248" s="26" t="s">
        <v>21</v>
      </c>
      <c r="D248" s="24">
        <v>9.1999999999999993</v>
      </c>
      <c r="E248" s="24">
        <v>30</v>
      </c>
      <c r="F248" s="27">
        <v>276</v>
      </c>
      <c r="G248" s="26" t="s">
        <v>23</v>
      </c>
    </row>
    <row r="249" spans="1:7" x14ac:dyDescent="0.25">
      <c r="A249" s="24">
        <v>10434</v>
      </c>
      <c r="B249" s="25">
        <v>44187</v>
      </c>
      <c r="C249" s="26" t="s">
        <v>21</v>
      </c>
      <c r="D249" s="24">
        <v>10</v>
      </c>
      <c r="E249" s="24">
        <v>12</v>
      </c>
      <c r="F249" s="27">
        <v>120</v>
      </c>
      <c r="G249" s="26" t="s">
        <v>23</v>
      </c>
    </row>
    <row r="250" spans="1:7" x14ac:dyDescent="0.25">
      <c r="A250" s="24">
        <v>10002</v>
      </c>
      <c r="B250" s="25">
        <v>43293</v>
      </c>
      <c r="C250" s="26" t="s">
        <v>28</v>
      </c>
      <c r="D250" s="24">
        <v>42.4</v>
      </c>
      <c r="E250" s="24">
        <v>40</v>
      </c>
      <c r="F250" s="27">
        <v>1696</v>
      </c>
      <c r="G250" s="26" t="s">
        <v>23</v>
      </c>
    </row>
    <row r="251" spans="1:7" x14ac:dyDescent="0.25">
      <c r="A251" s="24">
        <v>10003</v>
      </c>
      <c r="B251" s="25">
        <v>43299</v>
      </c>
      <c r="C251" s="26" t="s">
        <v>28</v>
      </c>
      <c r="D251" s="24">
        <v>7.7</v>
      </c>
      <c r="E251" s="24">
        <v>10</v>
      </c>
      <c r="F251" s="27">
        <v>77</v>
      </c>
      <c r="G251" s="26" t="s">
        <v>22</v>
      </c>
    </row>
    <row r="252" spans="1:7" x14ac:dyDescent="0.25">
      <c r="A252" s="24">
        <v>10003</v>
      </c>
      <c r="B252" s="25">
        <v>43299</v>
      </c>
      <c r="C252" s="26" t="s">
        <v>28</v>
      </c>
      <c r="D252" s="24">
        <v>42.4</v>
      </c>
      <c r="E252" s="24">
        <v>35</v>
      </c>
      <c r="F252" s="27">
        <v>1484</v>
      </c>
      <c r="G252" s="26" t="s">
        <v>22</v>
      </c>
    </row>
    <row r="253" spans="1:7" x14ac:dyDescent="0.25">
      <c r="A253" s="24">
        <v>10007</v>
      </c>
      <c r="B253" s="25">
        <v>43305</v>
      </c>
      <c r="C253" s="26" t="s">
        <v>28</v>
      </c>
      <c r="D253" s="24">
        <v>19.2</v>
      </c>
      <c r="E253" s="24">
        <v>21</v>
      </c>
      <c r="F253" s="27">
        <v>403.2</v>
      </c>
      <c r="G253" s="26" t="s">
        <v>24</v>
      </c>
    </row>
    <row r="254" spans="1:7" x14ac:dyDescent="0.25">
      <c r="A254" s="24">
        <v>10007</v>
      </c>
      <c r="B254" s="25">
        <v>43305</v>
      </c>
      <c r="C254" s="26" t="s">
        <v>28</v>
      </c>
      <c r="D254" s="24">
        <v>8</v>
      </c>
      <c r="E254" s="24">
        <v>21</v>
      </c>
      <c r="F254" s="27">
        <v>168</v>
      </c>
      <c r="G254" s="26" t="s">
        <v>24</v>
      </c>
    </row>
    <row r="255" spans="1:7" x14ac:dyDescent="0.25">
      <c r="A255" s="24">
        <v>10008</v>
      </c>
      <c r="B255" s="25">
        <v>43307</v>
      </c>
      <c r="C255" s="26" t="s">
        <v>28</v>
      </c>
      <c r="D255" s="24">
        <v>15.2</v>
      </c>
      <c r="E255" s="24">
        <v>25</v>
      </c>
      <c r="F255" s="27">
        <v>380</v>
      </c>
      <c r="G255" s="26" t="s">
        <v>22</v>
      </c>
    </row>
    <row r="256" spans="1:7" x14ac:dyDescent="0.25">
      <c r="A256" s="24">
        <v>10012</v>
      </c>
      <c r="B256" s="25">
        <v>43319</v>
      </c>
      <c r="C256" s="26" t="s">
        <v>28</v>
      </c>
      <c r="D256" s="24">
        <v>8</v>
      </c>
      <c r="E256" s="24">
        <v>10</v>
      </c>
      <c r="F256" s="27">
        <v>80</v>
      </c>
      <c r="G256" s="26" t="s">
        <v>23</v>
      </c>
    </row>
    <row r="257" spans="1:7" x14ac:dyDescent="0.25">
      <c r="A257" s="24">
        <v>10012</v>
      </c>
      <c r="B257" s="25">
        <v>43319</v>
      </c>
      <c r="C257" s="26" t="s">
        <v>28</v>
      </c>
      <c r="D257" s="24">
        <v>20.8</v>
      </c>
      <c r="E257" s="24">
        <v>1</v>
      </c>
      <c r="F257" s="27">
        <v>20.8</v>
      </c>
      <c r="G257" s="26" t="s">
        <v>23</v>
      </c>
    </row>
    <row r="258" spans="1:7" x14ac:dyDescent="0.25">
      <c r="A258" s="24">
        <v>10013</v>
      </c>
      <c r="B258" s="25">
        <v>43321</v>
      </c>
      <c r="C258" s="26" t="s">
        <v>28</v>
      </c>
      <c r="D258" s="24">
        <v>12</v>
      </c>
      <c r="E258" s="24">
        <v>21</v>
      </c>
      <c r="F258" s="27">
        <v>252</v>
      </c>
      <c r="G258" s="26" t="s">
        <v>22</v>
      </c>
    </row>
    <row r="259" spans="1:7" x14ac:dyDescent="0.25">
      <c r="A259" s="24">
        <v>10018</v>
      </c>
      <c r="B259" s="25">
        <v>43333</v>
      </c>
      <c r="C259" s="26" t="s">
        <v>28</v>
      </c>
      <c r="D259" s="24">
        <v>31.2</v>
      </c>
      <c r="E259" s="24">
        <v>30</v>
      </c>
      <c r="F259" s="27">
        <v>936</v>
      </c>
      <c r="G259" s="26" t="s">
        <v>24</v>
      </c>
    </row>
    <row r="260" spans="1:7" x14ac:dyDescent="0.25">
      <c r="A260" s="24">
        <v>10018</v>
      </c>
      <c r="B260" s="25">
        <v>43333</v>
      </c>
      <c r="C260" s="26" t="s">
        <v>28</v>
      </c>
      <c r="D260" s="24">
        <v>12</v>
      </c>
      <c r="E260" s="24">
        <v>20</v>
      </c>
      <c r="F260" s="27">
        <v>240</v>
      </c>
      <c r="G260" s="26" t="s">
        <v>24</v>
      </c>
    </row>
    <row r="261" spans="1:7" x14ac:dyDescent="0.25">
      <c r="A261" s="24">
        <v>10019</v>
      </c>
      <c r="B261" s="25">
        <v>43335</v>
      </c>
      <c r="C261" s="26" t="s">
        <v>28</v>
      </c>
      <c r="D261" s="24">
        <v>30.4</v>
      </c>
      <c r="E261" s="24">
        <v>12</v>
      </c>
      <c r="F261" s="27">
        <v>364.8</v>
      </c>
      <c r="G261" s="26" t="s">
        <v>22</v>
      </c>
    </row>
    <row r="262" spans="1:7" x14ac:dyDescent="0.25">
      <c r="A262" s="24">
        <v>10025</v>
      </c>
      <c r="B262" s="25">
        <v>43349</v>
      </c>
      <c r="C262" s="26" t="s">
        <v>28</v>
      </c>
      <c r="D262" s="24">
        <v>10</v>
      </c>
      <c r="E262" s="24">
        <v>40</v>
      </c>
      <c r="F262" s="27">
        <v>400</v>
      </c>
      <c r="G262" s="26" t="s">
        <v>22</v>
      </c>
    </row>
    <row r="263" spans="1:7" x14ac:dyDescent="0.25">
      <c r="A263" s="24">
        <v>10025</v>
      </c>
      <c r="B263" s="25">
        <v>43349</v>
      </c>
      <c r="C263" s="26" t="s">
        <v>28</v>
      </c>
      <c r="D263" s="24">
        <v>64.8</v>
      </c>
      <c r="E263" s="24">
        <v>6</v>
      </c>
      <c r="F263" s="27">
        <v>388.8</v>
      </c>
      <c r="G263" s="26" t="s">
        <v>22</v>
      </c>
    </row>
    <row r="264" spans="1:7" x14ac:dyDescent="0.25">
      <c r="A264" s="24">
        <v>10025</v>
      </c>
      <c r="B264" s="25">
        <v>43349</v>
      </c>
      <c r="C264" s="26" t="s">
        <v>28</v>
      </c>
      <c r="D264" s="24">
        <v>27.8</v>
      </c>
      <c r="E264" s="24">
        <v>24</v>
      </c>
      <c r="F264" s="27">
        <v>667.2</v>
      </c>
      <c r="G264" s="26" t="s">
        <v>22</v>
      </c>
    </row>
    <row r="265" spans="1:7" x14ac:dyDescent="0.25">
      <c r="A265" s="24">
        <v>10030</v>
      </c>
      <c r="B265" s="25">
        <v>43363</v>
      </c>
      <c r="C265" s="26" t="s">
        <v>28</v>
      </c>
      <c r="D265" s="24">
        <v>39.4</v>
      </c>
      <c r="E265" s="24">
        <v>12</v>
      </c>
      <c r="F265" s="27">
        <v>472.8</v>
      </c>
      <c r="G265" s="26" t="s">
        <v>23</v>
      </c>
    </row>
    <row r="266" spans="1:7" x14ac:dyDescent="0.25">
      <c r="A266" s="24">
        <v>10031</v>
      </c>
      <c r="B266" s="25">
        <v>43369</v>
      </c>
      <c r="C266" s="26" t="s">
        <v>28</v>
      </c>
      <c r="D266" s="24">
        <v>44</v>
      </c>
      <c r="E266" s="24">
        <v>15</v>
      </c>
      <c r="F266" s="27">
        <v>660</v>
      </c>
      <c r="G266" s="26" t="s">
        <v>23</v>
      </c>
    </row>
    <row r="267" spans="1:7" x14ac:dyDescent="0.25">
      <c r="A267" s="24">
        <v>10031</v>
      </c>
      <c r="B267" s="25">
        <v>43369</v>
      </c>
      <c r="C267" s="26" t="s">
        <v>28</v>
      </c>
      <c r="D267" s="24">
        <v>35.1</v>
      </c>
      <c r="E267" s="24">
        <v>8</v>
      </c>
      <c r="F267" s="27">
        <v>280.8</v>
      </c>
      <c r="G267" s="26" t="s">
        <v>23</v>
      </c>
    </row>
    <row r="268" spans="1:7" x14ac:dyDescent="0.25">
      <c r="A268" s="24">
        <v>10037</v>
      </c>
      <c r="B268" s="25">
        <v>43383</v>
      </c>
      <c r="C268" s="26" t="s">
        <v>28</v>
      </c>
      <c r="D268" s="24">
        <v>35.1</v>
      </c>
      <c r="E268" s="24">
        <v>15</v>
      </c>
      <c r="F268" s="27">
        <v>526.5</v>
      </c>
      <c r="G268" s="26" t="s">
        <v>23</v>
      </c>
    </row>
    <row r="269" spans="1:7" x14ac:dyDescent="0.25">
      <c r="A269" s="24">
        <v>10037</v>
      </c>
      <c r="B269" s="25">
        <v>43383</v>
      </c>
      <c r="C269" s="26" t="s">
        <v>28</v>
      </c>
      <c r="D269" s="24">
        <v>27.2</v>
      </c>
      <c r="E269" s="24">
        <v>20</v>
      </c>
      <c r="F269" s="27">
        <v>544</v>
      </c>
      <c r="G269" s="26" t="s">
        <v>23</v>
      </c>
    </row>
    <row r="270" spans="1:7" x14ac:dyDescent="0.25">
      <c r="A270" s="24">
        <v>10037</v>
      </c>
      <c r="B270" s="25">
        <v>43383</v>
      </c>
      <c r="C270" s="26" t="s">
        <v>28</v>
      </c>
      <c r="D270" s="24">
        <v>15.5</v>
      </c>
      <c r="E270" s="24">
        <v>21</v>
      </c>
      <c r="F270" s="27">
        <v>325.5</v>
      </c>
      <c r="G270" s="26" t="s">
        <v>23</v>
      </c>
    </row>
    <row r="271" spans="1:7" x14ac:dyDescent="0.25">
      <c r="A271" s="24">
        <v>10042</v>
      </c>
      <c r="B271" s="25">
        <v>43397</v>
      </c>
      <c r="C271" s="26" t="s">
        <v>28</v>
      </c>
      <c r="D271" s="24">
        <v>26.6</v>
      </c>
      <c r="E271" s="24">
        <v>9</v>
      </c>
      <c r="F271" s="27">
        <v>239.4</v>
      </c>
      <c r="G271" s="26" t="s">
        <v>23</v>
      </c>
    </row>
    <row r="272" spans="1:7" x14ac:dyDescent="0.25">
      <c r="A272" s="24">
        <v>10042</v>
      </c>
      <c r="B272" s="25">
        <v>43397</v>
      </c>
      <c r="C272" s="26" t="s">
        <v>28</v>
      </c>
      <c r="D272" s="24">
        <v>8</v>
      </c>
      <c r="E272" s="24">
        <v>30</v>
      </c>
      <c r="F272" s="27">
        <v>240</v>
      </c>
      <c r="G272" s="26" t="s">
        <v>23</v>
      </c>
    </row>
    <row r="273" spans="1:7" x14ac:dyDescent="0.25">
      <c r="A273" s="24">
        <v>10043</v>
      </c>
      <c r="B273" s="25">
        <v>43399</v>
      </c>
      <c r="C273" s="26" t="s">
        <v>28</v>
      </c>
      <c r="D273" s="24">
        <v>16</v>
      </c>
      <c r="E273" s="24">
        <v>15</v>
      </c>
      <c r="F273" s="27">
        <v>240</v>
      </c>
      <c r="G273" s="26" t="s">
        <v>27</v>
      </c>
    </row>
    <row r="274" spans="1:7" x14ac:dyDescent="0.25">
      <c r="A274" s="24">
        <v>10046</v>
      </c>
      <c r="B274" s="25">
        <v>43403</v>
      </c>
      <c r="C274" s="26" t="s">
        <v>28</v>
      </c>
      <c r="D274" s="24">
        <v>50</v>
      </c>
      <c r="E274" s="24">
        <v>12</v>
      </c>
      <c r="F274" s="27">
        <v>600</v>
      </c>
      <c r="G274" s="26" t="s">
        <v>23</v>
      </c>
    </row>
    <row r="275" spans="1:7" x14ac:dyDescent="0.25">
      <c r="A275" s="24">
        <v>10046</v>
      </c>
      <c r="B275" s="25">
        <v>43403</v>
      </c>
      <c r="C275" s="26" t="s">
        <v>28</v>
      </c>
      <c r="D275" s="24">
        <v>3.6</v>
      </c>
      <c r="E275" s="24">
        <v>10</v>
      </c>
      <c r="F275" s="27">
        <v>36</v>
      </c>
      <c r="G275" s="26" t="s">
        <v>23</v>
      </c>
    </row>
    <row r="276" spans="1:7" x14ac:dyDescent="0.25">
      <c r="A276" s="24">
        <v>10046</v>
      </c>
      <c r="B276" s="25">
        <v>43403</v>
      </c>
      <c r="C276" s="26" t="s">
        <v>28</v>
      </c>
      <c r="D276" s="24">
        <v>6.2</v>
      </c>
      <c r="E276" s="24">
        <v>6</v>
      </c>
      <c r="F276" s="27">
        <v>37.200000000000003</v>
      </c>
      <c r="G276" s="26" t="s">
        <v>23</v>
      </c>
    </row>
    <row r="277" spans="1:7" x14ac:dyDescent="0.25">
      <c r="A277" s="24">
        <v>10050</v>
      </c>
      <c r="B277" s="25">
        <v>43415</v>
      </c>
      <c r="C277" s="26" t="s">
        <v>28</v>
      </c>
      <c r="D277" s="24">
        <v>27.8</v>
      </c>
      <c r="E277" s="24">
        <v>20</v>
      </c>
      <c r="F277" s="27">
        <v>556</v>
      </c>
      <c r="G277" s="26" t="s">
        <v>25</v>
      </c>
    </row>
    <row r="278" spans="1:7" x14ac:dyDescent="0.25">
      <c r="A278" s="24">
        <v>10050</v>
      </c>
      <c r="B278" s="25">
        <v>43415</v>
      </c>
      <c r="C278" s="26" t="s">
        <v>28</v>
      </c>
      <c r="D278" s="24">
        <v>14.4</v>
      </c>
      <c r="E278" s="24">
        <v>60</v>
      </c>
      <c r="F278" s="27">
        <v>864</v>
      </c>
      <c r="G278" s="26" t="s">
        <v>25</v>
      </c>
    </row>
    <row r="279" spans="1:7" x14ac:dyDescent="0.25">
      <c r="A279" s="24">
        <v>10051</v>
      </c>
      <c r="B279" s="25">
        <v>43417</v>
      </c>
      <c r="C279" s="26" t="s">
        <v>28</v>
      </c>
      <c r="D279" s="24">
        <v>15.2</v>
      </c>
      <c r="E279" s="24">
        <v>40</v>
      </c>
      <c r="F279" s="27">
        <v>608</v>
      </c>
      <c r="G279" s="26" t="s">
        <v>22</v>
      </c>
    </row>
    <row r="280" spans="1:7" x14ac:dyDescent="0.25">
      <c r="A280" s="24">
        <v>10055</v>
      </c>
      <c r="B280" s="25">
        <v>43427</v>
      </c>
      <c r="C280" s="26" t="s">
        <v>28</v>
      </c>
      <c r="D280" s="24">
        <v>31.2</v>
      </c>
      <c r="E280" s="24">
        <v>40</v>
      </c>
      <c r="F280" s="27">
        <v>1248</v>
      </c>
      <c r="G280" s="26" t="s">
        <v>23</v>
      </c>
    </row>
    <row r="281" spans="1:7" x14ac:dyDescent="0.25">
      <c r="A281" s="24">
        <v>10056</v>
      </c>
      <c r="B281" s="25">
        <v>43429</v>
      </c>
      <c r="C281" s="26" t="s">
        <v>28</v>
      </c>
      <c r="D281" s="24">
        <v>14.7</v>
      </c>
      <c r="E281" s="24">
        <v>40</v>
      </c>
      <c r="F281" s="27">
        <v>588</v>
      </c>
      <c r="G281" s="26" t="s">
        <v>23</v>
      </c>
    </row>
    <row r="282" spans="1:7" x14ac:dyDescent="0.25">
      <c r="A282" s="24">
        <v>10056</v>
      </c>
      <c r="B282" s="25">
        <v>43429</v>
      </c>
      <c r="C282" s="26" t="s">
        <v>28</v>
      </c>
      <c r="D282" s="24">
        <v>16.8</v>
      </c>
      <c r="E282" s="24">
        <v>30</v>
      </c>
      <c r="F282" s="27">
        <v>504</v>
      </c>
      <c r="G282" s="26" t="s">
        <v>23</v>
      </c>
    </row>
    <row r="283" spans="1:7" x14ac:dyDescent="0.25">
      <c r="A283" s="24">
        <v>10059</v>
      </c>
      <c r="B283" s="25">
        <v>43439</v>
      </c>
      <c r="C283" s="26" t="s">
        <v>28</v>
      </c>
      <c r="D283" s="24">
        <v>5.9</v>
      </c>
      <c r="E283" s="24">
        <v>5</v>
      </c>
      <c r="F283" s="27">
        <v>29.5</v>
      </c>
      <c r="G283" s="26" t="s">
        <v>22</v>
      </c>
    </row>
    <row r="284" spans="1:7" x14ac:dyDescent="0.25">
      <c r="A284" s="24">
        <v>10060</v>
      </c>
      <c r="B284" s="25">
        <v>43441</v>
      </c>
      <c r="C284" s="26" t="s">
        <v>28</v>
      </c>
      <c r="D284" s="24">
        <v>10</v>
      </c>
      <c r="E284" s="24">
        <v>3</v>
      </c>
      <c r="F284" s="27">
        <v>30</v>
      </c>
      <c r="G284" s="26" t="s">
        <v>23</v>
      </c>
    </row>
    <row r="285" spans="1:7" x14ac:dyDescent="0.25">
      <c r="A285" s="24">
        <v>10060</v>
      </c>
      <c r="B285" s="25">
        <v>43441</v>
      </c>
      <c r="C285" s="26" t="s">
        <v>28</v>
      </c>
      <c r="D285" s="24">
        <v>39.4</v>
      </c>
      <c r="E285" s="24">
        <v>10</v>
      </c>
      <c r="F285" s="27">
        <v>394</v>
      </c>
      <c r="G285" s="26" t="s">
        <v>23</v>
      </c>
    </row>
    <row r="286" spans="1:7" x14ac:dyDescent="0.25">
      <c r="A286" s="24">
        <v>10076</v>
      </c>
      <c r="B286" s="25">
        <v>43481</v>
      </c>
      <c r="C286" s="26" t="s">
        <v>28</v>
      </c>
      <c r="D286" s="24">
        <v>11.2</v>
      </c>
      <c r="E286" s="24">
        <v>4</v>
      </c>
      <c r="F286" s="27">
        <v>44.8</v>
      </c>
      <c r="G286" s="26" t="s">
        <v>22</v>
      </c>
    </row>
    <row r="287" spans="1:7" x14ac:dyDescent="0.25">
      <c r="A287" s="24">
        <v>10076</v>
      </c>
      <c r="B287" s="25">
        <v>43481</v>
      </c>
      <c r="C287" s="26" t="s">
        <v>28</v>
      </c>
      <c r="D287" s="24">
        <v>12.4</v>
      </c>
      <c r="E287" s="24">
        <v>5</v>
      </c>
      <c r="F287" s="27">
        <v>62</v>
      </c>
      <c r="G287" s="26" t="s">
        <v>22</v>
      </c>
    </row>
    <row r="288" spans="1:7" x14ac:dyDescent="0.25">
      <c r="A288" s="24">
        <v>10077</v>
      </c>
      <c r="B288" s="25">
        <v>43483</v>
      </c>
      <c r="C288" s="26" t="s">
        <v>28</v>
      </c>
      <c r="D288" s="24">
        <v>35.1</v>
      </c>
      <c r="E288" s="24">
        <v>80</v>
      </c>
      <c r="F288" s="27">
        <v>2808</v>
      </c>
      <c r="G288" s="26" t="s">
        <v>27</v>
      </c>
    </row>
    <row r="289" spans="1:7" x14ac:dyDescent="0.25">
      <c r="A289" s="24">
        <v>10081</v>
      </c>
      <c r="B289" s="25">
        <v>43495</v>
      </c>
      <c r="C289" s="26" t="s">
        <v>28</v>
      </c>
      <c r="D289" s="24">
        <v>10</v>
      </c>
      <c r="E289" s="24">
        <v>10</v>
      </c>
      <c r="F289" s="27">
        <v>100</v>
      </c>
      <c r="G289" s="26" t="s">
        <v>22</v>
      </c>
    </row>
    <row r="290" spans="1:7" x14ac:dyDescent="0.25">
      <c r="A290" s="24">
        <v>10081</v>
      </c>
      <c r="B290" s="25">
        <v>43495</v>
      </c>
      <c r="C290" s="26" t="s">
        <v>28</v>
      </c>
      <c r="D290" s="24">
        <v>16.8</v>
      </c>
      <c r="E290" s="24">
        <v>40</v>
      </c>
      <c r="F290" s="27">
        <v>672</v>
      </c>
      <c r="G290" s="26" t="s">
        <v>22</v>
      </c>
    </row>
    <row r="291" spans="1:7" x14ac:dyDescent="0.25">
      <c r="A291" s="24">
        <v>10081</v>
      </c>
      <c r="B291" s="25">
        <v>43495</v>
      </c>
      <c r="C291" s="26" t="s">
        <v>28</v>
      </c>
      <c r="D291" s="24">
        <v>44</v>
      </c>
      <c r="E291" s="24">
        <v>9</v>
      </c>
      <c r="F291" s="27">
        <v>396</v>
      </c>
      <c r="G291" s="26" t="s">
        <v>22</v>
      </c>
    </row>
    <row r="292" spans="1:7" x14ac:dyDescent="0.25">
      <c r="A292" s="24">
        <v>10088</v>
      </c>
      <c r="B292" s="25">
        <v>43511</v>
      </c>
      <c r="C292" s="26" t="s">
        <v>28</v>
      </c>
      <c r="D292" s="24">
        <v>42.4</v>
      </c>
      <c r="E292" s="24">
        <v>48</v>
      </c>
      <c r="F292" s="27">
        <v>2035.2</v>
      </c>
      <c r="G292" s="26" t="s">
        <v>26</v>
      </c>
    </row>
    <row r="293" spans="1:7" x14ac:dyDescent="0.25">
      <c r="A293" s="24">
        <v>10091</v>
      </c>
      <c r="B293" s="25">
        <v>43517</v>
      </c>
      <c r="C293" s="26" t="s">
        <v>28</v>
      </c>
      <c r="D293" s="24">
        <v>31.2</v>
      </c>
      <c r="E293" s="24">
        <v>20</v>
      </c>
      <c r="F293" s="27">
        <v>624</v>
      </c>
      <c r="G293" s="26" t="s">
        <v>22</v>
      </c>
    </row>
    <row r="294" spans="1:7" x14ac:dyDescent="0.25">
      <c r="A294" s="24">
        <v>10092</v>
      </c>
      <c r="B294" s="25">
        <v>43523</v>
      </c>
      <c r="C294" s="26" t="s">
        <v>28</v>
      </c>
      <c r="D294" s="24">
        <v>39.4</v>
      </c>
      <c r="E294" s="24">
        <v>28</v>
      </c>
      <c r="F294" s="27">
        <v>1103.2</v>
      </c>
      <c r="G294" s="26" t="s">
        <v>22</v>
      </c>
    </row>
    <row r="295" spans="1:7" x14ac:dyDescent="0.25">
      <c r="A295" s="24">
        <v>10092</v>
      </c>
      <c r="B295" s="25">
        <v>43523</v>
      </c>
      <c r="C295" s="26" t="s">
        <v>28</v>
      </c>
      <c r="D295" s="24">
        <v>31.2</v>
      </c>
      <c r="E295" s="24">
        <v>70</v>
      </c>
      <c r="F295" s="27">
        <v>2184</v>
      </c>
      <c r="G295" s="26" t="s">
        <v>22</v>
      </c>
    </row>
    <row r="296" spans="1:7" x14ac:dyDescent="0.25">
      <c r="A296" s="24">
        <v>10096</v>
      </c>
      <c r="B296" s="25">
        <v>43529</v>
      </c>
      <c r="C296" s="26" t="s">
        <v>28</v>
      </c>
      <c r="D296" s="24">
        <v>14.4</v>
      </c>
      <c r="E296" s="24">
        <v>15</v>
      </c>
      <c r="F296" s="27">
        <v>216</v>
      </c>
      <c r="G296" s="26" t="s">
        <v>22</v>
      </c>
    </row>
    <row r="297" spans="1:7" x14ac:dyDescent="0.25">
      <c r="A297" s="24">
        <v>10097</v>
      </c>
      <c r="B297" s="25">
        <v>43531</v>
      </c>
      <c r="C297" s="26" t="s">
        <v>28</v>
      </c>
      <c r="D297" s="24">
        <v>17.600000000000001</v>
      </c>
      <c r="E297" s="24">
        <v>35</v>
      </c>
      <c r="F297" s="27">
        <v>616</v>
      </c>
      <c r="G297" s="26" t="s">
        <v>22</v>
      </c>
    </row>
    <row r="298" spans="1:7" x14ac:dyDescent="0.25">
      <c r="A298" s="24">
        <v>10097</v>
      </c>
      <c r="B298" s="25">
        <v>43531</v>
      </c>
      <c r="C298" s="26" t="s">
        <v>28</v>
      </c>
      <c r="D298" s="24">
        <v>32</v>
      </c>
      <c r="E298" s="24">
        <v>70</v>
      </c>
      <c r="F298" s="27">
        <v>2240</v>
      </c>
      <c r="G298" s="26" t="s">
        <v>22</v>
      </c>
    </row>
    <row r="299" spans="1:7" x14ac:dyDescent="0.25">
      <c r="A299" s="24">
        <v>10104</v>
      </c>
      <c r="B299" s="25">
        <v>43551</v>
      </c>
      <c r="C299" s="26" t="s">
        <v>28</v>
      </c>
      <c r="D299" s="24">
        <v>15.5</v>
      </c>
      <c r="E299" s="24">
        <v>77</v>
      </c>
      <c r="F299" s="27">
        <v>1193.5</v>
      </c>
      <c r="G299" s="26" t="s">
        <v>23</v>
      </c>
    </row>
    <row r="300" spans="1:7" x14ac:dyDescent="0.25">
      <c r="A300" s="24">
        <v>10104</v>
      </c>
      <c r="B300" s="25">
        <v>43551</v>
      </c>
      <c r="C300" s="26" t="s">
        <v>28</v>
      </c>
      <c r="D300" s="24">
        <v>210.8</v>
      </c>
      <c r="E300" s="24">
        <v>20</v>
      </c>
      <c r="F300" s="27">
        <v>4216</v>
      </c>
      <c r="G300" s="26" t="s">
        <v>23</v>
      </c>
    </row>
    <row r="301" spans="1:7" x14ac:dyDescent="0.25">
      <c r="A301" s="24">
        <v>10104</v>
      </c>
      <c r="B301" s="25">
        <v>43551</v>
      </c>
      <c r="C301" s="26" t="s">
        <v>28</v>
      </c>
      <c r="D301" s="24">
        <v>16.8</v>
      </c>
      <c r="E301" s="24">
        <v>10</v>
      </c>
      <c r="F301" s="27">
        <v>168</v>
      </c>
      <c r="G301" s="26" t="s">
        <v>23</v>
      </c>
    </row>
    <row r="302" spans="1:7" x14ac:dyDescent="0.25">
      <c r="A302" s="24">
        <v>10113</v>
      </c>
      <c r="B302" s="25">
        <v>43573</v>
      </c>
      <c r="C302" s="26" t="s">
        <v>28</v>
      </c>
      <c r="D302" s="24">
        <v>210.8</v>
      </c>
      <c r="E302" s="24">
        <v>10</v>
      </c>
      <c r="F302" s="27">
        <v>2108</v>
      </c>
      <c r="G302" s="26" t="s">
        <v>23</v>
      </c>
    </row>
    <row r="303" spans="1:7" x14ac:dyDescent="0.25">
      <c r="A303" s="24">
        <v>10114</v>
      </c>
      <c r="B303" s="25">
        <v>43573</v>
      </c>
      <c r="C303" s="26" t="s">
        <v>28</v>
      </c>
      <c r="D303" s="24">
        <v>14.4</v>
      </c>
      <c r="E303" s="24">
        <v>54</v>
      </c>
      <c r="F303" s="27">
        <v>777.6</v>
      </c>
      <c r="G303" s="26" t="s">
        <v>26</v>
      </c>
    </row>
    <row r="304" spans="1:7" x14ac:dyDescent="0.25">
      <c r="A304" s="24">
        <v>10114</v>
      </c>
      <c r="B304" s="25">
        <v>43573</v>
      </c>
      <c r="C304" s="26" t="s">
        <v>28</v>
      </c>
      <c r="D304" s="24">
        <v>27.2</v>
      </c>
      <c r="E304" s="24">
        <v>55</v>
      </c>
      <c r="F304" s="27">
        <v>1496</v>
      </c>
      <c r="G304" s="26" t="s">
        <v>26</v>
      </c>
    </row>
    <row r="305" spans="1:7" x14ac:dyDescent="0.25">
      <c r="A305" s="24">
        <v>10115</v>
      </c>
      <c r="B305" s="25">
        <v>43579</v>
      </c>
      <c r="C305" s="26" t="s">
        <v>28</v>
      </c>
      <c r="D305" s="24">
        <v>42.4</v>
      </c>
      <c r="E305" s="24">
        <v>20</v>
      </c>
      <c r="F305" s="27">
        <v>848</v>
      </c>
      <c r="G305" s="26" t="s">
        <v>22</v>
      </c>
    </row>
    <row r="306" spans="1:7" x14ac:dyDescent="0.25">
      <c r="A306" s="24">
        <v>10128</v>
      </c>
      <c r="B306" s="25">
        <v>43601</v>
      </c>
      <c r="C306" s="26" t="s">
        <v>28</v>
      </c>
      <c r="D306" s="24">
        <v>18.600000000000001</v>
      </c>
      <c r="E306" s="24">
        <v>15</v>
      </c>
      <c r="F306" s="27">
        <v>279</v>
      </c>
      <c r="G306" s="26" t="s">
        <v>23</v>
      </c>
    </row>
    <row r="307" spans="1:7" x14ac:dyDescent="0.25">
      <c r="A307" s="24">
        <v>10128</v>
      </c>
      <c r="B307" s="25">
        <v>43601</v>
      </c>
      <c r="C307" s="26" t="s">
        <v>28</v>
      </c>
      <c r="D307" s="24">
        <v>5.9</v>
      </c>
      <c r="E307" s="24">
        <v>10</v>
      </c>
      <c r="F307" s="27">
        <v>59</v>
      </c>
      <c r="G307" s="26" t="s">
        <v>23</v>
      </c>
    </row>
    <row r="308" spans="1:7" x14ac:dyDescent="0.25">
      <c r="A308" s="24">
        <v>10129</v>
      </c>
      <c r="B308" s="25">
        <v>43607</v>
      </c>
      <c r="C308" s="26" t="s">
        <v>28</v>
      </c>
      <c r="D308" s="24">
        <v>10</v>
      </c>
      <c r="E308" s="24">
        <v>42</v>
      </c>
      <c r="F308" s="27">
        <v>420</v>
      </c>
      <c r="G308" s="26" t="s">
        <v>22</v>
      </c>
    </row>
    <row r="309" spans="1:7" x14ac:dyDescent="0.25">
      <c r="A309" s="24">
        <v>10141</v>
      </c>
      <c r="B309" s="25">
        <v>43627</v>
      </c>
      <c r="C309" s="26" t="s">
        <v>28</v>
      </c>
      <c r="D309" s="24">
        <v>5.6</v>
      </c>
      <c r="E309" s="24">
        <v>20</v>
      </c>
      <c r="F309" s="27">
        <v>112</v>
      </c>
      <c r="G309" s="26" t="s">
        <v>23</v>
      </c>
    </row>
    <row r="310" spans="1:7" x14ac:dyDescent="0.25">
      <c r="A310" s="24">
        <v>10141</v>
      </c>
      <c r="B310" s="25">
        <v>43627</v>
      </c>
      <c r="C310" s="26" t="s">
        <v>28</v>
      </c>
      <c r="D310" s="24">
        <v>7.6</v>
      </c>
      <c r="E310" s="24">
        <v>15</v>
      </c>
      <c r="F310" s="27">
        <v>114</v>
      </c>
      <c r="G310" s="26" t="s">
        <v>23</v>
      </c>
    </row>
    <row r="311" spans="1:7" x14ac:dyDescent="0.25">
      <c r="A311" s="24">
        <v>10141</v>
      </c>
      <c r="B311" s="25">
        <v>43627</v>
      </c>
      <c r="C311" s="26" t="s">
        <v>28</v>
      </c>
      <c r="D311" s="24">
        <v>26.2</v>
      </c>
      <c r="E311" s="24">
        <v>40</v>
      </c>
      <c r="F311" s="27">
        <v>1048</v>
      </c>
      <c r="G311" s="26" t="s">
        <v>23</v>
      </c>
    </row>
    <row r="312" spans="1:7" x14ac:dyDescent="0.25">
      <c r="A312" s="24">
        <v>10150</v>
      </c>
      <c r="B312" s="25">
        <v>43643</v>
      </c>
      <c r="C312" s="26" t="s">
        <v>28</v>
      </c>
      <c r="D312" s="24">
        <v>42.4</v>
      </c>
      <c r="E312" s="24">
        <v>18</v>
      </c>
      <c r="F312" s="27">
        <v>763.2</v>
      </c>
      <c r="G312" s="26" t="s">
        <v>22</v>
      </c>
    </row>
    <row r="313" spans="1:7" x14ac:dyDescent="0.25">
      <c r="A313" s="24">
        <v>10153</v>
      </c>
      <c r="B313" s="25">
        <v>43653</v>
      </c>
      <c r="C313" s="26" t="s">
        <v>28</v>
      </c>
      <c r="D313" s="24">
        <v>99</v>
      </c>
      <c r="E313" s="24">
        <v>21</v>
      </c>
      <c r="F313" s="27">
        <v>2079</v>
      </c>
      <c r="G313" s="26" t="s">
        <v>23</v>
      </c>
    </row>
    <row r="314" spans="1:7" x14ac:dyDescent="0.25">
      <c r="A314" s="24">
        <v>10154</v>
      </c>
      <c r="B314" s="25">
        <v>43653</v>
      </c>
      <c r="C314" s="26" t="s">
        <v>28</v>
      </c>
      <c r="D314" s="24">
        <v>20.7</v>
      </c>
      <c r="E314" s="24">
        <v>18</v>
      </c>
      <c r="F314" s="27">
        <v>372.6</v>
      </c>
      <c r="G314" s="26" t="s">
        <v>26</v>
      </c>
    </row>
    <row r="315" spans="1:7" x14ac:dyDescent="0.25">
      <c r="A315" s="24">
        <v>10154</v>
      </c>
      <c r="B315" s="25">
        <v>43653</v>
      </c>
      <c r="C315" s="26" t="s">
        <v>28</v>
      </c>
      <c r="D315" s="24">
        <v>30.4</v>
      </c>
      <c r="E315" s="24">
        <v>70</v>
      </c>
      <c r="F315" s="27">
        <v>2128</v>
      </c>
      <c r="G315" s="26" t="s">
        <v>26</v>
      </c>
    </row>
    <row r="316" spans="1:7" x14ac:dyDescent="0.25">
      <c r="A316" s="24">
        <v>10166</v>
      </c>
      <c r="B316" s="25">
        <v>43679</v>
      </c>
      <c r="C316" s="26" t="s">
        <v>28</v>
      </c>
      <c r="D316" s="24">
        <v>14.4</v>
      </c>
      <c r="E316" s="24">
        <v>24</v>
      </c>
      <c r="F316" s="27">
        <v>345.6</v>
      </c>
      <c r="G316" s="26" t="s">
        <v>27</v>
      </c>
    </row>
    <row r="317" spans="1:7" x14ac:dyDescent="0.25">
      <c r="A317" s="24">
        <v>10166</v>
      </c>
      <c r="B317" s="25">
        <v>43679</v>
      </c>
      <c r="C317" s="26" t="s">
        <v>28</v>
      </c>
      <c r="D317" s="24">
        <v>14.4</v>
      </c>
      <c r="E317" s="24">
        <v>14</v>
      </c>
      <c r="F317" s="27">
        <v>201.6</v>
      </c>
      <c r="G317" s="26" t="s">
        <v>27</v>
      </c>
    </row>
    <row r="318" spans="1:7" x14ac:dyDescent="0.25">
      <c r="A318" s="24">
        <v>10167</v>
      </c>
      <c r="B318" s="25">
        <v>43679</v>
      </c>
      <c r="C318" s="26" t="s">
        <v>28</v>
      </c>
      <c r="D318" s="24">
        <v>2</v>
      </c>
      <c r="E318" s="24">
        <v>50</v>
      </c>
      <c r="F318" s="27">
        <v>100</v>
      </c>
      <c r="G318" s="26" t="s">
        <v>25</v>
      </c>
    </row>
    <row r="319" spans="1:7" x14ac:dyDescent="0.25">
      <c r="A319" s="24">
        <v>10178</v>
      </c>
      <c r="B319" s="25">
        <v>43699</v>
      </c>
      <c r="C319" s="26" t="s">
        <v>28</v>
      </c>
      <c r="D319" s="24">
        <v>14.4</v>
      </c>
      <c r="E319" s="24">
        <v>20</v>
      </c>
      <c r="F319" s="27">
        <v>288</v>
      </c>
      <c r="G319" s="26" t="s">
        <v>27</v>
      </c>
    </row>
    <row r="320" spans="1:7" x14ac:dyDescent="0.25">
      <c r="A320" s="24">
        <v>10178</v>
      </c>
      <c r="B320" s="25">
        <v>43699</v>
      </c>
      <c r="C320" s="26" t="s">
        <v>28</v>
      </c>
      <c r="D320" s="24">
        <v>19.2</v>
      </c>
      <c r="E320" s="24">
        <v>10</v>
      </c>
      <c r="F320" s="27">
        <v>192</v>
      </c>
      <c r="G320" s="26" t="s">
        <v>27</v>
      </c>
    </row>
    <row r="321" spans="1:7" x14ac:dyDescent="0.25">
      <c r="A321" s="24">
        <v>10179</v>
      </c>
      <c r="B321" s="25">
        <v>43705</v>
      </c>
      <c r="C321" s="26" t="s">
        <v>28</v>
      </c>
      <c r="D321" s="24">
        <v>30.4</v>
      </c>
      <c r="E321" s="24">
        <v>5</v>
      </c>
      <c r="F321" s="27">
        <v>152</v>
      </c>
      <c r="G321" s="26" t="s">
        <v>25</v>
      </c>
    </row>
    <row r="322" spans="1:7" x14ac:dyDescent="0.25">
      <c r="A322" s="24">
        <v>10197</v>
      </c>
      <c r="B322" s="25">
        <v>43737</v>
      </c>
      <c r="C322" s="26" t="s">
        <v>28</v>
      </c>
      <c r="D322" s="24">
        <v>7.7</v>
      </c>
      <c r="E322" s="24">
        <v>30</v>
      </c>
      <c r="F322" s="27">
        <v>231</v>
      </c>
      <c r="G322" s="26" t="s">
        <v>23</v>
      </c>
    </row>
    <row r="323" spans="1:7" x14ac:dyDescent="0.25">
      <c r="A323" s="24">
        <v>10197</v>
      </c>
      <c r="B323" s="25">
        <v>43737</v>
      </c>
      <c r="C323" s="26" t="s">
        <v>28</v>
      </c>
      <c r="D323" s="24">
        <v>24.9</v>
      </c>
      <c r="E323" s="24">
        <v>15</v>
      </c>
      <c r="F323" s="27">
        <v>373.5</v>
      </c>
      <c r="G323" s="26" t="s">
        <v>23</v>
      </c>
    </row>
    <row r="324" spans="1:7" x14ac:dyDescent="0.25">
      <c r="A324" s="24">
        <v>10197</v>
      </c>
      <c r="B324" s="25">
        <v>43737</v>
      </c>
      <c r="C324" s="26" t="s">
        <v>28</v>
      </c>
      <c r="D324" s="24">
        <v>31.2</v>
      </c>
      <c r="E324" s="24">
        <v>10</v>
      </c>
      <c r="F324" s="27">
        <v>312</v>
      </c>
      <c r="G324" s="26" t="s">
        <v>23</v>
      </c>
    </row>
    <row r="325" spans="1:7" x14ac:dyDescent="0.25">
      <c r="A325" s="24">
        <v>10204</v>
      </c>
      <c r="B325" s="25">
        <v>43751</v>
      </c>
      <c r="C325" s="26" t="s">
        <v>28</v>
      </c>
      <c r="D325" s="24">
        <v>26.6</v>
      </c>
      <c r="E325" s="24">
        <v>35</v>
      </c>
      <c r="F325" s="27">
        <v>931</v>
      </c>
      <c r="G325" s="26" t="s">
        <v>26</v>
      </c>
    </row>
    <row r="326" spans="1:7" x14ac:dyDescent="0.25">
      <c r="A326" s="24">
        <v>10204</v>
      </c>
      <c r="B326" s="25">
        <v>43751</v>
      </c>
      <c r="C326" s="26" t="s">
        <v>28</v>
      </c>
      <c r="D326" s="24">
        <v>16.8</v>
      </c>
      <c r="E326" s="24">
        <v>28</v>
      </c>
      <c r="F326" s="27">
        <v>470.4</v>
      </c>
      <c r="G326" s="26" t="s">
        <v>26</v>
      </c>
    </row>
    <row r="327" spans="1:7" x14ac:dyDescent="0.25">
      <c r="A327" s="24">
        <v>10204</v>
      </c>
      <c r="B327" s="25">
        <v>43751</v>
      </c>
      <c r="C327" s="26" t="s">
        <v>28</v>
      </c>
      <c r="D327" s="24">
        <v>10.4</v>
      </c>
      <c r="E327" s="24">
        <v>55</v>
      </c>
      <c r="F327" s="27">
        <v>572</v>
      </c>
      <c r="G327" s="26" t="s">
        <v>26</v>
      </c>
    </row>
    <row r="328" spans="1:7" x14ac:dyDescent="0.25">
      <c r="A328" s="24">
        <v>10216</v>
      </c>
      <c r="B328" s="25">
        <v>43777</v>
      </c>
      <c r="C328" s="26" t="s">
        <v>28</v>
      </c>
      <c r="D328" s="24">
        <v>7.3</v>
      </c>
      <c r="E328" s="24">
        <v>21</v>
      </c>
      <c r="F328" s="27">
        <v>153.30000000000001</v>
      </c>
      <c r="G328" s="26" t="s">
        <v>26</v>
      </c>
    </row>
    <row r="329" spans="1:7" x14ac:dyDescent="0.25">
      <c r="A329" s="24">
        <v>10217</v>
      </c>
      <c r="B329" s="25">
        <v>43777</v>
      </c>
      <c r="C329" s="26" t="s">
        <v>28</v>
      </c>
      <c r="D329" s="24">
        <v>36.799999999999997</v>
      </c>
      <c r="E329" s="24">
        <v>3</v>
      </c>
      <c r="F329" s="27">
        <v>110.4</v>
      </c>
      <c r="G329" s="26" t="s">
        <v>23</v>
      </c>
    </row>
    <row r="330" spans="1:7" x14ac:dyDescent="0.25">
      <c r="A330" s="24">
        <v>10217</v>
      </c>
      <c r="B330" s="25">
        <v>43777</v>
      </c>
      <c r="C330" s="26" t="s">
        <v>28</v>
      </c>
      <c r="D330" s="24">
        <v>17.600000000000001</v>
      </c>
      <c r="E330" s="24">
        <v>16</v>
      </c>
      <c r="F330" s="27">
        <v>281.60000000000002</v>
      </c>
      <c r="G330" s="26" t="s">
        <v>23</v>
      </c>
    </row>
    <row r="331" spans="1:7" x14ac:dyDescent="0.25">
      <c r="A331" s="24">
        <v>10223</v>
      </c>
      <c r="B331" s="25">
        <v>43791</v>
      </c>
      <c r="C331" s="26" t="s">
        <v>28</v>
      </c>
      <c r="D331" s="24">
        <v>7.2</v>
      </c>
      <c r="E331" s="24">
        <v>15</v>
      </c>
      <c r="F331" s="27">
        <v>108</v>
      </c>
      <c r="G331" s="26" t="s">
        <v>22</v>
      </c>
    </row>
    <row r="332" spans="1:7" x14ac:dyDescent="0.25">
      <c r="A332" s="24">
        <v>10223</v>
      </c>
      <c r="B332" s="25">
        <v>43791</v>
      </c>
      <c r="C332" s="26" t="s">
        <v>28</v>
      </c>
      <c r="D332" s="24">
        <v>26.6</v>
      </c>
      <c r="E332" s="24">
        <v>8</v>
      </c>
      <c r="F332" s="27">
        <v>212.8</v>
      </c>
      <c r="G332" s="26" t="s">
        <v>22</v>
      </c>
    </row>
    <row r="333" spans="1:7" x14ac:dyDescent="0.25">
      <c r="A333" s="24">
        <v>10223</v>
      </c>
      <c r="B333" s="25">
        <v>43791</v>
      </c>
      <c r="C333" s="26" t="s">
        <v>28</v>
      </c>
      <c r="D333" s="24">
        <v>50</v>
      </c>
      <c r="E333" s="24">
        <v>30</v>
      </c>
      <c r="F333" s="27">
        <v>1500</v>
      </c>
      <c r="G333" s="26" t="s">
        <v>22</v>
      </c>
    </row>
    <row r="334" spans="1:7" x14ac:dyDescent="0.25">
      <c r="A334" s="24">
        <v>10225</v>
      </c>
      <c r="B334" s="25">
        <v>43793</v>
      </c>
      <c r="C334" s="26" t="s">
        <v>28</v>
      </c>
      <c r="D334" s="24">
        <v>42.4</v>
      </c>
      <c r="E334" s="24">
        <v>18</v>
      </c>
      <c r="F334" s="27">
        <v>763.2</v>
      </c>
      <c r="G334" s="26" t="s">
        <v>23</v>
      </c>
    </row>
    <row r="335" spans="1:7" x14ac:dyDescent="0.25">
      <c r="A335" s="24">
        <v>10229</v>
      </c>
      <c r="B335" s="25">
        <v>43803</v>
      </c>
      <c r="C335" s="26" t="s">
        <v>28</v>
      </c>
      <c r="D335" s="24">
        <v>12</v>
      </c>
      <c r="E335" s="24">
        <v>12</v>
      </c>
      <c r="F335" s="27">
        <v>144</v>
      </c>
      <c r="G335" s="26" t="s">
        <v>23</v>
      </c>
    </row>
    <row r="336" spans="1:7" x14ac:dyDescent="0.25">
      <c r="A336" s="24">
        <v>10229</v>
      </c>
      <c r="B336" s="25">
        <v>43803</v>
      </c>
      <c r="C336" s="26" t="s">
        <v>28</v>
      </c>
      <c r="D336" s="24">
        <v>19.2</v>
      </c>
      <c r="E336" s="24">
        <v>2</v>
      </c>
      <c r="F336" s="27">
        <v>38.4</v>
      </c>
      <c r="G336" s="26" t="s">
        <v>23</v>
      </c>
    </row>
    <row r="337" spans="1:7" x14ac:dyDescent="0.25">
      <c r="A337" s="24">
        <v>10230</v>
      </c>
      <c r="B337" s="25">
        <v>43803</v>
      </c>
      <c r="C337" s="26" t="s">
        <v>28</v>
      </c>
      <c r="D337" s="24">
        <v>14.4</v>
      </c>
      <c r="E337" s="24">
        <v>20</v>
      </c>
      <c r="F337" s="27">
        <v>288</v>
      </c>
      <c r="G337" s="26" t="s">
        <v>23</v>
      </c>
    </row>
    <row r="338" spans="1:7" x14ac:dyDescent="0.25">
      <c r="A338" s="24">
        <v>10237</v>
      </c>
      <c r="B338" s="25">
        <v>43817</v>
      </c>
      <c r="C338" s="26" t="s">
        <v>28</v>
      </c>
      <c r="D338" s="24">
        <v>42.4</v>
      </c>
      <c r="E338" s="24">
        <v>3</v>
      </c>
      <c r="F338" s="27">
        <v>127.2</v>
      </c>
      <c r="G338" s="26" t="s">
        <v>23</v>
      </c>
    </row>
    <row r="339" spans="1:7" x14ac:dyDescent="0.25">
      <c r="A339" s="24">
        <v>10237</v>
      </c>
      <c r="B339" s="25">
        <v>43817</v>
      </c>
      <c r="C339" s="26" t="s">
        <v>28</v>
      </c>
      <c r="D339" s="24">
        <v>14.7</v>
      </c>
      <c r="E339" s="24">
        <v>10</v>
      </c>
      <c r="F339" s="27">
        <v>147</v>
      </c>
      <c r="G339" s="26" t="s">
        <v>23</v>
      </c>
    </row>
    <row r="340" spans="1:7" x14ac:dyDescent="0.25">
      <c r="A340" s="24">
        <v>10238</v>
      </c>
      <c r="B340" s="25">
        <v>43819</v>
      </c>
      <c r="C340" s="26" t="s">
        <v>28</v>
      </c>
      <c r="D340" s="24">
        <v>12</v>
      </c>
      <c r="E340" s="24">
        <v>60</v>
      </c>
      <c r="F340" s="27">
        <v>720</v>
      </c>
      <c r="G340" s="26" t="s">
        <v>22</v>
      </c>
    </row>
    <row r="341" spans="1:7" x14ac:dyDescent="0.25">
      <c r="A341" s="24">
        <v>10239</v>
      </c>
      <c r="B341" s="25">
        <v>43821</v>
      </c>
      <c r="C341" s="26" t="s">
        <v>28</v>
      </c>
      <c r="D341" s="24">
        <v>42.4</v>
      </c>
      <c r="E341" s="24">
        <v>25</v>
      </c>
      <c r="F341" s="27">
        <v>1060</v>
      </c>
      <c r="G341" s="26" t="s">
        <v>26</v>
      </c>
    </row>
    <row r="342" spans="1:7" x14ac:dyDescent="0.25">
      <c r="A342" s="24">
        <v>10244</v>
      </c>
      <c r="B342" s="25">
        <v>43831</v>
      </c>
      <c r="C342" s="26" t="s">
        <v>28</v>
      </c>
      <c r="D342" s="24">
        <v>10.4</v>
      </c>
      <c r="E342" s="24">
        <v>7</v>
      </c>
      <c r="F342" s="27">
        <v>72.8</v>
      </c>
      <c r="G342" s="26" t="s">
        <v>23</v>
      </c>
    </row>
    <row r="343" spans="1:7" x14ac:dyDescent="0.25">
      <c r="A343" s="24">
        <v>10244</v>
      </c>
      <c r="B343" s="25">
        <v>43831</v>
      </c>
      <c r="C343" s="26" t="s">
        <v>28</v>
      </c>
      <c r="D343" s="24">
        <v>15.5</v>
      </c>
      <c r="E343" s="24">
        <v>15</v>
      </c>
      <c r="F343" s="27">
        <v>232.5</v>
      </c>
      <c r="G343" s="26" t="s">
        <v>23</v>
      </c>
    </row>
    <row r="344" spans="1:7" x14ac:dyDescent="0.25">
      <c r="A344" s="24">
        <v>10245</v>
      </c>
      <c r="B344" s="25">
        <v>43833</v>
      </c>
      <c r="C344" s="26" t="s">
        <v>28</v>
      </c>
      <c r="D344" s="24">
        <v>11.2</v>
      </c>
      <c r="E344" s="24">
        <v>60</v>
      </c>
      <c r="F344" s="27">
        <v>672</v>
      </c>
      <c r="G344" s="26" t="s">
        <v>22</v>
      </c>
    </row>
    <row r="345" spans="1:7" x14ac:dyDescent="0.25">
      <c r="A345" s="24">
        <v>10252</v>
      </c>
      <c r="B345" s="25">
        <v>43847</v>
      </c>
      <c r="C345" s="26" t="s">
        <v>28</v>
      </c>
      <c r="D345" s="24">
        <v>20</v>
      </c>
      <c r="E345" s="24">
        <v>25</v>
      </c>
      <c r="F345" s="27">
        <v>500</v>
      </c>
      <c r="G345" s="26" t="s">
        <v>22</v>
      </c>
    </row>
    <row r="346" spans="1:7" x14ac:dyDescent="0.25">
      <c r="A346" s="24">
        <v>10252</v>
      </c>
      <c r="B346" s="25">
        <v>43847</v>
      </c>
      <c r="C346" s="26" t="s">
        <v>28</v>
      </c>
      <c r="D346" s="24">
        <v>45.6</v>
      </c>
      <c r="E346" s="24">
        <v>20</v>
      </c>
      <c r="F346" s="27">
        <v>912</v>
      </c>
      <c r="G346" s="26" t="s">
        <v>22</v>
      </c>
    </row>
    <row r="347" spans="1:7" x14ac:dyDescent="0.25">
      <c r="A347" s="24">
        <v>10253</v>
      </c>
      <c r="B347" s="25">
        <v>43849</v>
      </c>
      <c r="C347" s="26" t="s">
        <v>28</v>
      </c>
      <c r="D347" s="24">
        <v>45.6</v>
      </c>
      <c r="E347" s="24">
        <v>8</v>
      </c>
      <c r="F347" s="27">
        <v>364.8</v>
      </c>
      <c r="G347" s="26" t="s">
        <v>25</v>
      </c>
    </row>
    <row r="348" spans="1:7" x14ac:dyDescent="0.25">
      <c r="A348" s="24">
        <v>10257</v>
      </c>
      <c r="B348" s="25">
        <v>43853</v>
      </c>
      <c r="C348" s="26" t="s">
        <v>28</v>
      </c>
      <c r="D348" s="24">
        <v>19</v>
      </c>
      <c r="E348" s="24">
        <v>12</v>
      </c>
      <c r="F348" s="27">
        <v>228</v>
      </c>
      <c r="G348" s="26" t="s">
        <v>27</v>
      </c>
    </row>
    <row r="349" spans="1:7" x14ac:dyDescent="0.25">
      <c r="A349" s="24">
        <v>10257</v>
      </c>
      <c r="B349" s="25">
        <v>43853</v>
      </c>
      <c r="C349" s="26" t="s">
        <v>28</v>
      </c>
      <c r="D349" s="24">
        <v>10</v>
      </c>
      <c r="E349" s="24">
        <v>12</v>
      </c>
      <c r="F349" s="27">
        <v>120</v>
      </c>
      <c r="G349" s="26" t="s">
        <v>27</v>
      </c>
    </row>
    <row r="350" spans="1:7" x14ac:dyDescent="0.25">
      <c r="A350" s="24">
        <v>10258</v>
      </c>
      <c r="B350" s="25">
        <v>43859</v>
      </c>
      <c r="C350" s="26" t="s">
        <v>28</v>
      </c>
      <c r="D350" s="24">
        <v>49.3</v>
      </c>
      <c r="E350" s="24">
        <v>3</v>
      </c>
      <c r="F350" s="27">
        <v>147.9</v>
      </c>
      <c r="G350" s="26" t="s">
        <v>23</v>
      </c>
    </row>
    <row r="351" spans="1:7" x14ac:dyDescent="0.25">
      <c r="A351" s="24">
        <v>10265</v>
      </c>
      <c r="B351" s="25">
        <v>43873</v>
      </c>
      <c r="C351" s="26" t="s">
        <v>28</v>
      </c>
      <c r="D351" s="24">
        <v>9.5</v>
      </c>
      <c r="E351" s="24">
        <v>6</v>
      </c>
      <c r="F351" s="27">
        <v>57</v>
      </c>
      <c r="G351" s="26" t="s">
        <v>22</v>
      </c>
    </row>
    <row r="352" spans="1:7" x14ac:dyDescent="0.25">
      <c r="A352" s="24">
        <v>10265</v>
      </c>
      <c r="B352" s="25">
        <v>43873</v>
      </c>
      <c r="C352" s="26" t="s">
        <v>28</v>
      </c>
      <c r="D352" s="24">
        <v>4.5</v>
      </c>
      <c r="E352" s="24">
        <v>10</v>
      </c>
      <c r="F352" s="27">
        <v>45</v>
      </c>
      <c r="G352" s="26" t="s">
        <v>22</v>
      </c>
    </row>
    <row r="353" spans="1:7" x14ac:dyDescent="0.25">
      <c r="A353" s="24">
        <v>10265</v>
      </c>
      <c r="B353" s="25">
        <v>43873</v>
      </c>
      <c r="C353" s="26" t="s">
        <v>28</v>
      </c>
      <c r="D353" s="24">
        <v>34</v>
      </c>
      <c r="E353" s="24">
        <v>12</v>
      </c>
      <c r="F353" s="27">
        <v>408</v>
      </c>
      <c r="G353" s="26" t="s">
        <v>22</v>
      </c>
    </row>
    <row r="354" spans="1:7" x14ac:dyDescent="0.25">
      <c r="A354" s="24">
        <v>10268</v>
      </c>
      <c r="B354" s="25">
        <v>43877</v>
      </c>
      <c r="C354" s="26" t="s">
        <v>28</v>
      </c>
      <c r="D354" s="24">
        <v>34</v>
      </c>
      <c r="E354" s="24">
        <v>84</v>
      </c>
      <c r="F354" s="27">
        <v>2856</v>
      </c>
      <c r="G354" s="26" t="s">
        <v>26</v>
      </c>
    </row>
    <row r="355" spans="1:7" x14ac:dyDescent="0.25">
      <c r="A355" s="24">
        <v>10268</v>
      </c>
      <c r="B355" s="25">
        <v>43877</v>
      </c>
      <c r="C355" s="26" t="s">
        <v>28</v>
      </c>
      <c r="D355" s="24">
        <v>43.9</v>
      </c>
      <c r="E355" s="24">
        <v>120</v>
      </c>
      <c r="F355" s="27">
        <v>5268</v>
      </c>
      <c r="G355" s="26" t="s">
        <v>26</v>
      </c>
    </row>
    <row r="356" spans="1:7" x14ac:dyDescent="0.25">
      <c r="A356" s="24">
        <v>10269</v>
      </c>
      <c r="B356" s="25">
        <v>43879</v>
      </c>
      <c r="C356" s="26" t="s">
        <v>28</v>
      </c>
      <c r="D356" s="24">
        <v>14</v>
      </c>
      <c r="E356" s="24">
        <v>20</v>
      </c>
      <c r="F356" s="27">
        <v>280</v>
      </c>
      <c r="G356" s="26" t="s">
        <v>25</v>
      </c>
    </row>
    <row r="357" spans="1:7" x14ac:dyDescent="0.25">
      <c r="A357" s="24">
        <v>10273</v>
      </c>
      <c r="B357" s="25">
        <v>43889</v>
      </c>
      <c r="C357" s="26" t="s">
        <v>28</v>
      </c>
      <c r="D357" s="24">
        <v>32.799999999999997</v>
      </c>
      <c r="E357" s="24">
        <v>5</v>
      </c>
      <c r="F357" s="27">
        <v>164</v>
      </c>
      <c r="G357" s="26" t="s">
        <v>26</v>
      </c>
    </row>
    <row r="358" spans="1:7" x14ac:dyDescent="0.25">
      <c r="A358" s="24">
        <v>10274</v>
      </c>
      <c r="B358" s="25">
        <v>43889</v>
      </c>
      <c r="C358" s="26" t="s">
        <v>28</v>
      </c>
      <c r="D358" s="24">
        <v>18</v>
      </c>
      <c r="E358" s="24">
        <v>3</v>
      </c>
      <c r="F358" s="27">
        <v>54</v>
      </c>
      <c r="G358" s="26" t="s">
        <v>22</v>
      </c>
    </row>
    <row r="359" spans="1:7" x14ac:dyDescent="0.25">
      <c r="A359" s="24">
        <v>10274</v>
      </c>
      <c r="B359" s="25">
        <v>43889</v>
      </c>
      <c r="C359" s="26" t="s">
        <v>28</v>
      </c>
      <c r="D359" s="24">
        <v>9.65</v>
      </c>
      <c r="E359" s="24">
        <v>10</v>
      </c>
      <c r="F359" s="27">
        <v>96.5</v>
      </c>
      <c r="G359" s="26" t="s">
        <v>22</v>
      </c>
    </row>
    <row r="360" spans="1:7" x14ac:dyDescent="0.25">
      <c r="A360" s="24">
        <v>10279</v>
      </c>
      <c r="B360" s="25">
        <v>43901</v>
      </c>
      <c r="C360" s="26" t="s">
        <v>28</v>
      </c>
      <c r="D360" s="24">
        <v>6</v>
      </c>
      <c r="E360" s="24">
        <v>10</v>
      </c>
      <c r="F360" s="27">
        <v>60</v>
      </c>
      <c r="G360" s="26" t="s">
        <v>22</v>
      </c>
    </row>
    <row r="361" spans="1:7" x14ac:dyDescent="0.25">
      <c r="A361" s="24">
        <v>10279</v>
      </c>
      <c r="B361" s="25">
        <v>43901</v>
      </c>
      <c r="C361" s="26" t="s">
        <v>28</v>
      </c>
      <c r="D361" s="24">
        <v>18</v>
      </c>
      <c r="E361" s="24">
        <v>8</v>
      </c>
      <c r="F361" s="27">
        <v>144</v>
      </c>
      <c r="G361" s="26" t="s">
        <v>22</v>
      </c>
    </row>
    <row r="362" spans="1:7" x14ac:dyDescent="0.25">
      <c r="A362" s="24">
        <v>10279</v>
      </c>
      <c r="B362" s="25">
        <v>43901</v>
      </c>
      <c r="C362" s="26" t="s">
        <v>28</v>
      </c>
      <c r="D362" s="24">
        <v>38</v>
      </c>
      <c r="E362" s="24">
        <v>30</v>
      </c>
      <c r="F362" s="27">
        <v>1140</v>
      </c>
      <c r="G362" s="26" t="s">
        <v>22</v>
      </c>
    </row>
    <row r="363" spans="1:7" x14ac:dyDescent="0.25">
      <c r="A363" s="24">
        <v>10286</v>
      </c>
      <c r="B363" s="25">
        <v>43915</v>
      </c>
      <c r="C363" s="26" t="s">
        <v>28</v>
      </c>
      <c r="D363" s="24">
        <v>34.799999999999997</v>
      </c>
      <c r="E363" s="24">
        <v>24</v>
      </c>
      <c r="F363" s="27">
        <v>835.2</v>
      </c>
      <c r="G363" s="26" t="s">
        <v>27</v>
      </c>
    </row>
    <row r="364" spans="1:7" x14ac:dyDescent="0.25">
      <c r="A364" s="24">
        <v>10286</v>
      </c>
      <c r="B364" s="25">
        <v>43915</v>
      </c>
      <c r="C364" s="26" t="s">
        <v>28</v>
      </c>
      <c r="D364" s="24">
        <v>22</v>
      </c>
      <c r="E364" s="24">
        <v>50</v>
      </c>
      <c r="F364" s="27">
        <v>1100</v>
      </c>
      <c r="G364" s="26" t="s">
        <v>27</v>
      </c>
    </row>
    <row r="365" spans="1:7" x14ac:dyDescent="0.25">
      <c r="A365" s="24">
        <v>10286</v>
      </c>
      <c r="B365" s="25">
        <v>43915</v>
      </c>
      <c r="C365" s="26" t="s">
        <v>28</v>
      </c>
      <c r="D365" s="24">
        <v>15</v>
      </c>
      <c r="E365" s="24">
        <v>24</v>
      </c>
      <c r="F365" s="27">
        <v>360</v>
      </c>
      <c r="G365" s="26" t="s">
        <v>27</v>
      </c>
    </row>
    <row r="366" spans="1:7" x14ac:dyDescent="0.25">
      <c r="A366" s="24">
        <v>10290</v>
      </c>
      <c r="B366" s="25">
        <v>43919</v>
      </c>
      <c r="C366" s="26" t="s">
        <v>28</v>
      </c>
      <c r="D366" s="24">
        <v>15</v>
      </c>
      <c r="E366" s="24">
        <v>9</v>
      </c>
      <c r="F366" s="27">
        <v>135</v>
      </c>
      <c r="G366" s="26" t="s">
        <v>27</v>
      </c>
    </row>
    <row r="367" spans="1:7" x14ac:dyDescent="0.25">
      <c r="A367" s="24">
        <v>10291</v>
      </c>
      <c r="B367" s="25">
        <v>43921</v>
      </c>
      <c r="C367" s="26" t="s">
        <v>28</v>
      </c>
      <c r="D367" s="24">
        <v>15</v>
      </c>
      <c r="E367" s="24">
        <v>7</v>
      </c>
      <c r="F367" s="27">
        <v>105</v>
      </c>
      <c r="G367" s="26" t="s">
        <v>23</v>
      </c>
    </row>
    <row r="368" spans="1:7" x14ac:dyDescent="0.25">
      <c r="A368" s="24">
        <v>10291</v>
      </c>
      <c r="B368" s="25">
        <v>43921</v>
      </c>
      <c r="C368" s="26" t="s">
        <v>28</v>
      </c>
      <c r="D368" s="24">
        <v>34.799999999999997</v>
      </c>
      <c r="E368" s="24">
        <v>1</v>
      </c>
      <c r="F368" s="27">
        <v>34.799999999999997</v>
      </c>
      <c r="G368" s="26" t="s">
        <v>23</v>
      </c>
    </row>
    <row r="369" spans="1:7" x14ac:dyDescent="0.25">
      <c r="A369" s="24">
        <v>10295</v>
      </c>
      <c r="B369" s="25">
        <v>43931</v>
      </c>
      <c r="C369" s="26" t="s">
        <v>28</v>
      </c>
      <c r="D369" s="24">
        <v>7.45</v>
      </c>
      <c r="E369" s="24">
        <v>24</v>
      </c>
      <c r="F369" s="27">
        <v>178.8</v>
      </c>
      <c r="G369" s="26" t="s">
        <v>22</v>
      </c>
    </row>
    <row r="370" spans="1:7" x14ac:dyDescent="0.25">
      <c r="A370" s="24">
        <v>10295</v>
      </c>
      <c r="B370" s="25">
        <v>43931</v>
      </c>
      <c r="C370" s="26" t="s">
        <v>28</v>
      </c>
      <c r="D370" s="24">
        <v>21</v>
      </c>
      <c r="E370" s="24">
        <v>15</v>
      </c>
      <c r="F370" s="27">
        <v>315</v>
      </c>
      <c r="G370" s="26" t="s">
        <v>22</v>
      </c>
    </row>
    <row r="371" spans="1:7" x14ac:dyDescent="0.25">
      <c r="A371" s="24">
        <v>10296</v>
      </c>
      <c r="B371" s="25">
        <v>43933</v>
      </c>
      <c r="C371" s="26" t="s">
        <v>28</v>
      </c>
      <c r="D371" s="24">
        <v>38</v>
      </c>
      <c r="E371" s="24">
        <v>30</v>
      </c>
      <c r="F371" s="27">
        <v>1140</v>
      </c>
      <c r="G371" s="26" t="s">
        <v>26</v>
      </c>
    </row>
    <row r="372" spans="1:7" x14ac:dyDescent="0.25">
      <c r="A372" s="24">
        <v>10301</v>
      </c>
      <c r="B372" s="25">
        <v>43943</v>
      </c>
      <c r="C372" s="26" t="s">
        <v>28</v>
      </c>
      <c r="D372" s="24">
        <v>14</v>
      </c>
      <c r="E372" s="24">
        <v>10</v>
      </c>
      <c r="F372" s="27">
        <v>140</v>
      </c>
      <c r="G372" s="26" t="s">
        <v>22</v>
      </c>
    </row>
    <row r="373" spans="1:7" x14ac:dyDescent="0.25">
      <c r="A373" s="24">
        <v>10302</v>
      </c>
      <c r="B373" s="25">
        <v>43945</v>
      </c>
      <c r="C373" s="26" t="s">
        <v>28</v>
      </c>
      <c r="D373" s="24">
        <v>12.5</v>
      </c>
      <c r="E373" s="24">
        <v>55</v>
      </c>
      <c r="F373" s="27">
        <v>687.5</v>
      </c>
      <c r="G373" s="26" t="s">
        <v>22</v>
      </c>
    </row>
    <row r="374" spans="1:7" x14ac:dyDescent="0.25">
      <c r="A374" s="24">
        <v>10302</v>
      </c>
      <c r="B374" s="25">
        <v>43945</v>
      </c>
      <c r="C374" s="26" t="s">
        <v>28</v>
      </c>
      <c r="D374" s="24">
        <v>53</v>
      </c>
      <c r="E374" s="24">
        <v>48</v>
      </c>
      <c r="F374" s="27">
        <v>2544</v>
      </c>
      <c r="G374" s="26" t="s">
        <v>22</v>
      </c>
    </row>
    <row r="375" spans="1:7" x14ac:dyDescent="0.25">
      <c r="A375" s="24">
        <v>10307</v>
      </c>
      <c r="B375" s="25">
        <v>43951</v>
      </c>
      <c r="C375" s="26" t="s">
        <v>28</v>
      </c>
      <c r="D375" s="24">
        <v>9</v>
      </c>
      <c r="E375" s="24">
        <v>20</v>
      </c>
      <c r="F375" s="27">
        <v>180</v>
      </c>
      <c r="G375" s="26" t="s">
        <v>22</v>
      </c>
    </row>
    <row r="376" spans="1:7" x14ac:dyDescent="0.25">
      <c r="A376" s="24">
        <v>10307</v>
      </c>
      <c r="B376" s="25">
        <v>43951</v>
      </c>
      <c r="C376" s="26" t="s">
        <v>28</v>
      </c>
      <c r="D376" s="24">
        <v>49.3</v>
      </c>
      <c r="E376" s="24">
        <v>20</v>
      </c>
      <c r="F376" s="27">
        <v>986</v>
      </c>
      <c r="G376" s="26" t="s">
        <v>22</v>
      </c>
    </row>
    <row r="377" spans="1:7" x14ac:dyDescent="0.25">
      <c r="A377" s="24">
        <v>10307</v>
      </c>
      <c r="B377" s="25">
        <v>43951</v>
      </c>
      <c r="C377" s="26" t="s">
        <v>28</v>
      </c>
      <c r="D377" s="24">
        <v>13</v>
      </c>
      <c r="E377" s="24">
        <v>10</v>
      </c>
      <c r="F377" s="27">
        <v>130</v>
      </c>
      <c r="G377" s="26" t="s">
        <v>22</v>
      </c>
    </row>
    <row r="378" spans="1:7" x14ac:dyDescent="0.25">
      <c r="A378" s="24">
        <v>10311</v>
      </c>
      <c r="B378" s="25">
        <v>43961</v>
      </c>
      <c r="C378" s="26" t="s">
        <v>28</v>
      </c>
      <c r="D378" s="24">
        <v>53</v>
      </c>
      <c r="E378" s="24">
        <v>20</v>
      </c>
      <c r="F378" s="27">
        <v>1060</v>
      </c>
      <c r="G378" s="26" t="s">
        <v>25</v>
      </c>
    </row>
    <row r="379" spans="1:7" x14ac:dyDescent="0.25">
      <c r="A379" s="24">
        <v>10311</v>
      </c>
      <c r="B379" s="25">
        <v>43961</v>
      </c>
      <c r="C379" s="26" t="s">
        <v>28</v>
      </c>
      <c r="D379" s="24">
        <v>32.799999999999997</v>
      </c>
      <c r="E379" s="24">
        <v>18</v>
      </c>
      <c r="F379" s="27">
        <v>590.4</v>
      </c>
      <c r="G379" s="26" t="s">
        <v>25</v>
      </c>
    </row>
    <row r="380" spans="1:7" x14ac:dyDescent="0.25">
      <c r="A380" s="24">
        <v>10311</v>
      </c>
      <c r="B380" s="25">
        <v>43961</v>
      </c>
      <c r="C380" s="26" t="s">
        <v>28</v>
      </c>
      <c r="D380" s="24">
        <v>9.5</v>
      </c>
      <c r="E380" s="24">
        <v>25</v>
      </c>
      <c r="F380" s="27">
        <v>237.5</v>
      </c>
      <c r="G380" s="26" t="s">
        <v>25</v>
      </c>
    </row>
    <row r="381" spans="1:7" x14ac:dyDescent="0.25">
      <c r="A381" s="24">
        <v>10314</v>
      </c>
      <c r="B381" s="25">
        <v>43965</v>
      </c>
      <c r="C381" s="26" t="s">
        <v>28</v>
      </c>
      <c r="D381" s="24">
        <v>53</v>
      </c>
      <c r="E381" s="24">
        <v>50</v>
      </c>
      <c r="F381" s="27">
        <v>2650</v>
      </c>
      <c r="G381" s="26" t="s">
        <v>22</v>
      </c>
    </row>
    <row r="382" spans="1:7" x14ac:dyDescent="0.25">
      <c r="A382" s="24">
        <v>10320</v>
      </c>
      <c r="B382" s="25">
        <v>43977</v>
      </c>
      <c r="C382" s="26" t="s">
        <v>28</v>
      </c>
      <c r="D382" s="24">
        <v>53</v>
      </c>
      <c r="E382" s="24">
        <v>3</v>
      </c>
      <c r="F382" s="27">
        <v>159</v>
      </c>
      <c r="G382" s="26" t="s">
        <v>22</v>
      </c>
    </row>
    <row r="383" spans="1:7" x14ac:dyDescent="0.25">
      <c r="A383" s="24">
        <v>10323</v>
      </c>
      <c r="B383" s="25">
        <v>43987</v>
      </c>
      <c r="C383" s="26" t="s">
        <v>28</v>
      </c>
      <c r="D383" s="24">
        <v>21</v>
      </c>
      <c r="E383" s="24">
        <v>15</v>
      </c>
      <c r="F383" s="27">
        <v>315</v>
      </c>
      <c r="G383" s="26" t="s">
        <v>22</v>
      </c>
    </row>
    <row r="384" spans="1:7" x14ac:dyDescent="0.25">
      <c r="A384" s="24">
        <v>10323</v>
      </c>
      <c r="B384" s="25">
        <v>43987</v>
      </c>
      <c r="C384" s="26" t="s">
        <v>28</v>
      </c>
      <c r="D384" s="24">
        <v>38</v>
      </c>
      <c r="E384" s="24">
        <v>60</v>
      </c>
      <c r="F384" s="27">
        <v>2280</v>
      </c>
      <c r="G384" s="26" t="s">
        <v>22</v>
      </c>
    </row>
    <row r="385" spans="1:7" x14ac:dyDescent="0.25">
      <c r="A385" s="24">
        <v>10324</v>
      </c>
      <c r="B385" s="25">
        <v>43987</v>
      </c>
      <c r="C385" s="26" t="s">
        <v>28</v>
      </c>
      <c r="D385" s="24">
        <v>14</v>
      </c>
      <c r="E385" s="24">
        <v>28</v>
      </c>
      <c r="F385" s="27">
        <v>392</v>
      </c>
      <c r="G385" s="26" t="s">
        <v>22</v>
      </c>
    </row>
    <row r="386" spans="1:7" x14ac:dyDescent="0.25">
      <c r="A386" s="24">
        <v>10328</v>
      </c>
      <c r="B386" s="25">
        <v>43993</v>
      </c>
      <c r="C386" s="26" t="s">
        <v>28</v>
      </c>
      <c r="D386" s="24">
        <v>43.9</v>
      </c>
      <c r="E386" s="24">
        <v>6</v>
      </c>
      <c r="F386" s="27">
        <v>263.39999999999998</v>
      </c>
      <c r="G386" s="26" t="s">
        <v>23</v>
      </c>
    </row>
    <row r="387" spans="1:7" x14ac:dyDescent="0.25">
      <c r="A387" s="24">
        <v>10329</v>
      </c>
      <c r="B387" s="25">
        <v>43999</v>
      </c>
      <c r="C387" s="26" t="s">
        <v>28</v>
      </c>
      <c r="D387" s="24">
        <v>19.45</v>
      </c>
      <c r="E387" s="24">
        <v>21</v>
      </c>
      <c r="F387" s="27">
        <v>408.45</v>
      </c>
      <c r="G387" s="26" t="s">
        <v>23</v>
      </c>
    </row>
    <row r="388" spans="1:7" x14ac:dyDescent="0.25">
      <c r="A388" s="24">
        <v>10329</v>
      </c>
      <c r="B388" s="25">
        <v>43999</v>
      </c>
      <c r="C388" s="26" t="s">
        <v>28</v>
      </c>
      <c r="D388" s="24">
        <v>18</v>
      </c>
      <c r="E388" s="24">
        <v>10</v>
      </c>
      <c r="F388" s="27">
        <v>180</v>
      </c>
      <c r="G388" s="26" t="s">
        <v>23</v>
      </c>
    </row>
    <row r="389" spans="1:7" x14ac:dyDescent="0.25">
      <c r="A389" s="24">
        <v>10336</v>
      </c>
      <c r="B389" s="25">
        <v>44013</v>
      </c>
      <c r="C389" s="26" t="s">
        <v>28</v>
      </c>
      <c r="D389" s="24">
        <v>36</v>
      </c>
      <c r="E389" s="24">
        <v>10</v>
      </c>
      <c r="F389" s="27">
        <v>360</v>
      </c>
      <c r="G389" s="26" t="s">
        <v>22</v>
      </c>
    </row>
    <row r="390" spans="1:7" x14ac:dyDescent="0.25">
      <c r="A390" s="24">
        <v>10336</v>
      </c>
      <c r="B390" s="25">
        <v>44013</v>
      </c>
      <c r="C390" s="26" t="s">
        <v>28</v>
      </c>
      <c r="D390" s="24">
        <v>34</v>
      </c>
      <c r="E390" s="24">
        <v>24</v>
      </c>
      <c r="F390" s="27">
        <v>816</v>
      </c>
      <c r="G390" s="26" t="s">
        <v>22</v>
      </c>
    </row>
    <row r="391" spans="1:7" x14ac:dyDescent="0.25">
      <c r="A391" s="24">
        <v>10337</v>
      </c>
      <c r="B391" s="25">
        <v>44013</v>
      </c>
      <c r="C391" s="26" t="s">
        <v>28</v>
      </c>
      <c r="D391" s="24">
        <v>12.5</v>
      </c>
      <c r="E391" s="24">
        <v>50</v>
      </c>
      <c r="F391" s="27">
        <v>625</v>
      </c>
      <c r="G391" s="26" t="s">
        <v>22</v>
      </c>
    </row>
    <row r="392" spans="1:7" x14ac:dyDescent="0.25">
      <c r="A392" s="24">
        <v>10346</v>
      </c>
      <c r="B392" s="25">
        <v>44031</v>
      </c>
      <c r="C392" s="26" t="s">
        <v>28</v>
      </c>
      <c r="D392" s="24">
        <v>36</v>
      </c>
      <c r="E392" s="24">
        <v>20</v>
      </c>
      <c r="F392" s="27">
        <v>720</v>
      </c>
      <c r="G392" s="26" t="s">
        <v>22</v>
      </c>
    </row>
    <row r="393" spans="1:7" x14ac:dyDescent="0.25">
      <c r="A393" s="24">
        <v>10346</v>
      </c>
      <c r="B393" s="25">
        <v>44031</v>
      </c>
      <c r="C393" s="26" t="s">
        <v>28</v>
      </c>
      <c r="D393" s="24">
        <v>81</v>
      </c>
      <c r="E393" s="24">
        <v>21</v>
      </c>
      <c r="F393" s="27">
        <v>1701</v>
      </c>
      <c r="G393" s="26" t="s">
        <v>22</v>
      </c>
    </row>
    <row r="394" spans="1:7" x14ac:dyDescent="0.25">
      <c r="A394" s="24">
        <v>10346</v>
      </c>
      <c r="B394" s="25">
        <v>44031</v>
      </c>
      <c r="C394" s="26" t="s">
        <v>28</v>
      </c>
      <c r="D394" s="24">
        <v>18</v>
      </c>
      <c r="E394" s="24">
        <v>4</v>
      </c>
      <c r="F394" s="27">
        <v>72</v>
      </c>
      <c r="G394" s="26" t="s">
        <v>22</v>
      </c>
    </row>
    <row r="395" spans="1:7" x14ac:dyDescent="0.25">
      <c r="A395" s="24">
        <v>10351</v>
      </c>
      <c r="B395" s="25">
        <v>44041</v>
      </c>
      <c r="C395" s="26" t="s">
        <v>28</v>
      </c>
      <c r="D395" s="24">
        <v>43.9</v>
      </c>
      <c r="E395" s="24">
        <v>50</v>
      </c>
      <c r="F395" s="27">
        <v>2195</v>
      </c>
      <c r="G395" s="26" t="s">
        <v>27</v>
      </c>
    </row>
    <row r="396" spans="1:7" x14ac:dyDescent="0.25">
      <c r="A396" s="24">
        <v>10352</v>
      </c>
      <c r="B396" s="25">
        <v>44043</v>
      </c>
      <c r="C396" s="26" t="s">
        <v>28</v>
      </c>
      <c r="D396" s="24">
        <v>49.3</v>
      </c>
      <c r="E396" s="24">
        <v>10</v>
      </c>
      <c r="F396" s="27">
        <v>493</v>
      </c>
      <c r="G396" s="26" t="s">
        <v>23</v>
      </c>
    </row>
    <row r="397" spans="1:7" x14ac:dyDescent="0.25">
      <c r="A397" s="24">
        <v>10353</v>
      </c>
      <c r="B397" s="25">
        <v>44045</v>
      </c>
      <c r="C397" s="26" t="s">
        <v>28</v>
      </c>
      <c r="D397" s="24">
        <v>7.45</v>
      </c>
      <c r="E397" s="24">
        <v>4</v>
      </c>
      <c r="F397" s="27">
        <v>29.8</v>
      </c>
      <c r="G397" s="26" t="s">
        <v>22</v>
      </c>
    </row>
    <row r="398" spans="1:7" x14ac:dyDescent="0.25">
      <c r="A398" s="24">
        <v>10360</v>
      </c>
      <c r="B398" s="25">
        <v>44057</v>
      </c>
      <c r="C398" s="26" t="s">
        <v>28</v>
      </c>
      <c r="D398" s="24">
        <v>30</v>
      </c>
      <c r="E398" s="24">
        <v>45</v>
      </c>
      <c r="F398" s="27">
        <v>1350</v>
      </c>
      <c r="G398" s="26" t="s">
        <v>22</v>
      </c>
    </row>
    <row r="399" spans="1:7" x14ac:dyDescent="0.25">
      <c r="A399" s="24">
        <v>10360</v>
      </c>
      <c r="B399" s="25">
        <v>44057</v>
      </c>
      <c r="C399" s="26" t="s">
        <v>28</v>
      </c>
      <c r="D399" s="24">
        <v>2.5</v>
      </c>
      <c r="E399" s="24">
        <v>14</v>
      </c>
      <c r="F399" s="27">
        <v>35</v>
      </c>
      <c r="G399" s="26" t="s">
        <v>22</v>
      </c>
    </row>
    <row r="400" spans="1:7" x14ac:dyDescent="0.25">
      <c r="A400" s="24">
        <v>10360</v>
      </c>
      <c r="B400" s="25">
        <v>44057</v>
      </c>
      <c r="C400" s="26" t="s">
        <v>28</v>
      </c>
      <c r="D400" s="24">
        <v>39</v>
      </c>
      <c r="E400" s="24">
        <v>100</v>
      </c>
      <c r="F400" s="27">
        <v>3900</v>
      </c>
      <c r="G400" s="26" t="s">
        <v>22</v>
      </c>
    </row>
    <row r="401" spans="1:7" x14ac:dyDescent="0.25">
      <c r="A401" s="24">
        <v>10366</v>
      </c>
      <c r="B401" s="25">
        <v>44071</v>
      </c>
      <c r="C401" s="26" t="s">
        <v>28</v>
      </c>
      <c r="D401" s="24">
        <v>7.75</v>
      </c>
      <c r="E401" s="24">
        <v>40</v>
      </c>
      <c r="F401" s="27">
        <v>310</v>
      </c>
      <c r="G401" s="26" t="s">
        <v>23</v>
      </c>
    </row>
    <row r="402" spans="1:7" x14ac:dyDescent="0.25">
      <c r="A402" s="24">
        <v>10366</v>
      </c>
      <c r="B402" s="25">
        <v>44071</v>
      </c>
      <c r="C402" s="26" t="s">
        <v>28</v>
      </c>
      <c r="D402" s="24">
        <v>6</v>
      </c>
      <c r="E402" s="24">
        <v>8</v>
      </c>
      <c r="F402" s="27">
        <v>48</v>
      </c>
      <c r="G402" s="26" t="s">
        <v>23</v>
      </c>
    </row>
    <row r="403" spans="1:7" x14ac:dyDescent="0.25">
      <c r="A403" s="24">
        <v>10367</v>
      </c>
      <c r="B403" s="25">
        <v>44071</v>
      </c>
      <c r="C403" s="26" t="s">
        <v>28</v>
      </c>
      <c r="D403" s="24">
        <v>21</v>
      </c>
      <c r="E403" s="24">
        <v>14</v>
      </c>
      <c r="F403" s="27">
        <v>294</v>
      </c>
      <c r="G403" s="26" t="s">
        <v>22</v>
      </c>
    </row>
    <row r="404" spans="1:7" x14ac:dyDescent="0.25">
      <c r="A404" s="24">
        <v>10372</v>
      </c>
      <c r="B404" s="25">
        <v>44083</v>
      </c>
      <c r="C404" s="26" t="s">
        <v>28</v>
      </c>
      <c r="D404" s="24">
        <v>10</v>
      </c>
      <c r="E404" s="24">
        <v>42</v>
      </c>
      <c r="F404" s="27">
        <v>420</v>
      </c>
      <c r="G404" s="26" t="s">
        <v>23</v>
      </c>
    </row>
    <row r="405" spans="1:7" x14ac:dyDescent="0.25">
      <c r="A405" s="24">
        <v>10373</v>
      </c>
      <c r="B405" s="25">
        <v>44085</v>
      </c>
      <c r="C405" s="26" t="s">
        <v>28</v>
      </c>
      <c r="D405" s="24">
        <v>4.5</v>
      </c>
      <c r="E405" s="24">
        <v>5</v>
      </c>
      <c r="F405" s="27">
        <v>22.5</v>
      </c>
      <c r="G405" s="26" t="s">
        <v>27</v>
      </c>
    </row>
    <row r="406" spans="1:7" x14ac:dyDescent="0.25">
      <c r="A406" s="24">
        <v>10373</v>
      </c>
      <c r="B406" s="25">
        <v>44085</v>
      </c>
      <c r="C406" s="26" t="s">
        <v>28</v>
      </c>
      <c r="D406" s="24">
        <v>7</v>
      </c>
      <c r="E406" s="24">
        <v>5</v>
      </c>
      <c r="F406" s="27">
        <v>35</v>
      </c>
      <c r="G406" s="26" t="s">
        <v>27</v>
      </c>
    </row>
    <row r="407" spans="1:7" x14ac:dyDescent="0.25">
      <c r="A407" s="24">
        <v>10378</v>
      </c>
      <c r="B407" s="25">
        <v>44091</v>
      </c>
      <c r="C407" s="26" t="s">
        <v>28</v>
      </c>
      <c r="D407" s="24">
        <v>23.25</v>
      </c>
      <c r="E407" s="24">
        <v>3</v>
      </c>
      <c r="F407" s="27">
        <v>69.75</v>
      </c>
      <c r="G407" s="26" t="s">
        <v>22</v>
      </c>
    </row>
    <row r="408" spans="1:7" x14ac:dyDescent="0.25">
      <c r="A408" s="24">
        <v>10378</v>
      </c>
      <c r="B408" s="25">
        <v>44091</v>
      </c>
      <c r="C408" s="26" t="s">
        <v>28</v>
      </c>
      <c r="D408" s="24">
        <v>34</v>
      </c>
      <c r="E408" s="24">
        <v>10</v>
      </c>
      <c r="F408" s="27">
        <v>340</v>
      </c>
      <c r="G408" s="26" t="s">
        <v>22</v>
      </c>
    </row>
    <row r="409" spans="1:7" x14ac:dyDescent="0.25">
      <c r="A409" s="24">
        <v>10379</v>
      </c>
      <c r="B409" s="25">
        <v>44097</v>
      </c>
      <c r="C409" s="26" t="s">
        <v>28</v>
      </c>
      <c r="D409" s="24">
        <v>32.799999999999997</v>
      </c>
      <c r="E409" s="24">
        <v>12</v>
      </c>
      <c r="F409" s="27">
        <v>393.6</v>
      </c>
      <c r="G409" s="26" t="s">
        <v>23</v>
      </c>
    </row>
    <row r="410" spans="1:7" x14ac:dyDescent="0.25">
      <c r="A410" s="24">
        <v>10386</v>
      </c>
      <c r="B410" s="25">
        <v>44105</v>
      </c>
      <c r="C410" s="26" t="s">
        <v>28</v>
      </c>
      <c r="D410" s="24">
        <v>6</v>
      </c>
      <c r="E410" s="24">
        <v>13</v>
      </c>
      <c r="F410" s="27">
        <v>78</v>
      </c>
      <c r="G410" s="26" t="s">
        <v>22</v>
      </c>
    </row>
    <row r="411" spans="1:7" x14ac:dyDescent="0.25">
      <c r="A411" s="24">
        <v>10387</v>
      </c>
      <c r="B411" s="25">
        <v>44105</v>
      </c>
      <c r="C411" s="26" t="s">
        <v>28</v>
      </c>
      <c r="D411" s="24">
        <v>53</v>
      </c>
      <c r="E411" s="24">
        <v>15</v>
      </c>
      <c r="F411" s="27">
        <v>795</v>
      </c>
      <c r="G411" s="26" t="s">
        <v>23</v>
      </c>
    </row>
    <row r="412" spans="1:7" x14ac:dyDescent="0.25">
      <c r="A412" s="24">
        <v>10387</v>
      </c>
      <c r="B412" s="25">
        <v>44105</v>
      </c>
      <c r="C412" s="26" t="s">
        <v>28</v>
      </c>
      <c r="D412" s="24">
        <v>30</v>
      </c>
      <c r="E412" s="24">
        <v>35</v>
      </c>
      <c r="F412" s="27">
        <v>1050</v>
      </c>
      <c r="G412" s="26" t="s">
        <v>23</v>
      </c>
    </row>
    <row r="413" spans="1:7" x14ac:dyDescent="0.25">
      <c r="A413" s="24">
        <v>10393</v>
      </c>
      <c r="B413" s="25">
        <v>44117</v>
      </c>
      <c r="C413" s="26" t="s">
        <v>28</v>
      </c>
      <c r="D413" s="24">
        <v>36</v>
      </c>
      <c r="E413" s="24">
        <v>20</v>
      </c>
      <c r="F413" s="27">
        <v>720</v>
      </c>
      <c r="G413" s="26" t="s">
        <v>27</v>
      </c>
    </row>
    <row r="414" spans="1:7" x14ac:dyDescent="0.25">
      <c r="A414" s="24">
        <v>10394</v>
      </c>
      <c r="B414" s="25">
        <v>44119</v>
      </c>
      <c r="C414" s="26" t="s">
        <v>28</v>
      </c>
      <c r="D414" s="24">
        <v>19</v>
      </c>
      <c r="E414" s="24">
        <v>50</v>
      </c>
      <c r="F414" s="27">
        <v>950</v>
      </c>
      <c r="G414" s="26" t="s">
        <v>26</v>
      </c>
    </row>
    <row r="415" spans="1:7" x14ac:dyDescent="0.25">
      <c r="A415" s="24">
        <v>10394</v>
      </c>
      <c r="B415" s="25">
        <v>44119</v>
      </c>
      <c r="C415" s="26" t="s">
        <v>28</v>
      </c>
      <c r="D415" s="24">
        <v>18.399999999999999</v>
      </c>
      <c r="E415" s="24">
        <v>60</v>
      </c>
      <c r="F415" s="27">
        <v>1104</v>
      </c>
      <c r="G415" s="26" t="s">
        <v>26</v>
      </c>
    </row>
    <row r="416" spans="1:7" x14ac:dyDescent="0.25">
      <c r="A416" s="24">
        <v>10400</v>
      </c>
      <c r="B416" s="25">
        <v>44129</v>
      </c>
      <c r="C416" s="26" t="s">
        <v>28</v>
      </c>
      <c r="D416" s="24">
        <v>9.1999999999999993</v>
      </c>
      <c r="E416" s="24">
        <v>30</v>
      </c>
      <c r="F416" s="27">
        <v>276</v>
      </c>
      <c r="G416" s="26" t="s">
        <v>23</v>
      </c>
    </row>
    <row r="417" spans="1:7" x14ac:dyDescent="0.25">
      <c r="A417" s="24">
        <v>10401</v>
      </c>
      <c r="B417" s="25">
        <v>44131</v>
      </c>
      <c r="C417" s="26" t="s">
        <v>28</v>
      </c>
      <c r="D417" s="24">
        <v>4.5</v>
      </c>
      <c r="E417" s="24">
        <v>15</v>
      </c>
      <c r="F417" s="27">
        <v>67.5</v>
      </c>
      <c r="G417" s="26" t="s">
        <v>22</v>
      </c>
    </row>
    <row r="418" spans="1:7" x14ac:dyDescent="0.25">
      <c r="A418" s="24">
        <v>10401</v>
      </c>
      <c r="B418" s="25">
        <v>44131</v>
      </c>
      <c r="C418" s="26" t="s">
        <v>28</v>
      </c>
      <c r="D418" s="24">
        <v>21</v>
      </c>
      <c r="E418" s="24">
        <v>15</v>
      </c>
      <c r="F418" s="27">
        <v>315</v>
      </c>
      <c r="G418" s="26" t="s">
        <v>22</v>
      </c>
    </row>
    <row r="419" spans="1:7" x14ac:dyDescent="0.25">
      <c r="A419" s="24">
        <v>10409</v>
      </c>
      <c r="B419" s="25">
        <v>44145</v>
      </c>
      <c r="C419" s="26" t="s">
        <v>28</v>
      </c>
      <c r="D419" s="24">
        <v>9.5</v>
      </c>
      <c r="E419" s="24">
        <v>6</v>
      </c>
      <c r="F419" s="27">
        <v>57</v>
      </c>
      <c r="G419" s="26" t="s">
        <v>23</v>
      </c>
    </row>
    <row r="420" spans="1:7" x14ac:dyDescent="0.25">
      <c r="A420" s="24">
        <v>10409</v>
      </c>
      <c r="B420" s="25">
        <v>44145</v>
      </c>
      <c r="C420" s="26" t="s">
        <v>28</v>
      </c>
      <c r="D420" s="24">
        <v>23.25</v>
      </c>
      <c r="E420" s="24">
        <v>3</v>
      </c>
      <c r="F420" s="27">
        <v>69.75</v>
      </c>
      <c r="G420" s="26" t="s">
        <v>23</v>
      </c>
    </row>
    <row r="421" spans="1:7" x14ac:dyDescent="0.25">
      <c r="A421" s="24">
        <v>10409</v>
      </c>
      <c r="B421" s="25">
        <v>44145</v>
      </c>
      <c r="C421" s="26" t="s">
        <v>28</v>
      </c>
      <c r="D421" s="24">
        <v>19.45</v>
      </c>
      <c r="E421" s="24">
        <v>28</v>
      </c>
      <c r="F421" s="27">
        <v>544.6</v>
      </c>
      <c r="G421" s="26" t="s">
        <v>23</v>
      </c>
    </row>
    <row r="422" spans="1:7" x14ac:dyDescent="0.25">
      <c r="A422" s="24">
        <v>10414</v>
      </c>
      <c r="B422" s="25">
        <v>44155</v>
      </c>
      <c r="C422" s="26" t="s">
        <v>28</v>
      </c>
      <c r="D422" s="24">
        <v>13.25</v>
      </c>
      <c r="E422" s="24">
        <v>49</v>
      </c>
      <c r="F422" s="27">
        <v>649.25</v>
      </c>
      <c r="G422" s="26" t="s">
        <v>26</v>
      </c>
    </row>
    <row r="423" spans="1:7" x14ac:dyDescent="0.25">
      <c r="A423" s="24">
        <v>10415</v>
      </c>
      <c r="B423" s="25">
        <v>44155</v>
      </c>
      <c r="C423" s="26" t="s">
        <v>28</v>
      </c>
      <c r="D423" s="24">
        <v>12.5</v>
      </c>
      <c r="E423" s="24">
        <v>10</v>
      </c>
      <c r="F423" s="27">
        <v>125</v>
      </c>
      <c r="G423" s="26" t="s">
        <v>22</v>
      </c>
    </row>
    <row r="424" spans="1:7" x14ac:dyDescent="0.25">
      <c r="A424" s="24">
        <v>10416</v>
      </c>
      <c r="B424" s="25">
        <v>44157</v>
      </c>
      <c r="C424" s="26" t="s">
        <v>28</v>
      </c>
      <c r="D424" s="24">
        <v>14</v>
      </c>
      <c r="E424" s="24">
        <v>30</v>
      </c>
      <c r="F424" s="27">
        <v>420</v>
      </c>
      <c r="G424" s="26" t="s">
        <v>23</v>
      </c>
    </row>
    <row r="425" spans="1:7" x14ac:dyDescent="0.25">
      <c r="A425" s="24">
        <v>10416</v>
      </c>
      <c r="B425" s="25">
        <v>44157</v>
      </c>
      <c r="C425" s="26" t="s">
        <v>28</v>
      </c>
      <c r="D425" s="24">
        <v>53</v>
      </c>
      <c r="E425" s="24">
        <v>20</v>
      </c>
      <c r="F425" s="27">
        <v>1060</v>
      </c>
      <c r="G425" s="26" t="s">
        <v>23</v>
      </c>
    </row>
    <row r="426" spans="1:7" x14ac:dyDescent="0.25">
      <c r="A426" s="24">
        <v>10418</v>
      </c>
      <c r="B426" s="25">
        <v>44159</v>
      </c>
      <c r="C426" s="26" t="s">
        <v>28</v>
      </c>
      <c r="D426" s="24">
        <v>53</v>
      </c>
      <c r="E426" s="24">
        <v>20</v>
      </c>
      <c r="F426" s="27">
        <v>1060</v>
      </c>
      <c r="G426" s="26" t="s">
        <v>22</v>
      </c>
    </row>
    <row r="427" spans="1:7" x14ac:dyDescent="0.25">
      <c r="A427" s="24">
        <v>10422</v>
      </c>
      <c r="B427" s="25">
        <v>44167</v>
      </c>
      <c r="C427" s="26" t="s">
        <v>28</v>
      </c>
      <c r="D427" s="24">
        <v>19</v>
      </c>
      <c r="E427" s="24">
        <v>30</v>
      </c>
      <c r="F427" s="27">
        <v>570</v>
      </c>
      <c r="G427" s="26" t="s">
        <v>27</v>
      </c>
    </row>
    <row r="428" spans="1:7" x14ac:dyDescent="0.25">
      <c r="A428" s="24">
        <v>10423</v>
      </c>
      <c r="B428" s="25">
        <v>44169</v>
      </c>
      <c r="C428" s="26" t="s">
        <v>28</v>
      </c>
      <c r="D428" s="24">
        <v>14</v>
      </c>
      <c r="E428" s="24">
        <v>25</v>
      </c>
      <c r="F428" s="27">
        <v>350</v>
      </c>
      <c r="G428" s="26" t="s">
        <v>26</v>
      </c>
    </row>
    <row r="429" spans="1:7" x14ac:dyDescent="0.25">
      <c r="A429" s="24">
        <v>10423</v>
      </c>
      <c r="B429" s="25">
        <v>44169</v>
      </c>
      <c r="C429" s="26" t="s">
        <v>28</v>
      </c>
      <c r="D429" s="24">
        <v>15</v>
      </c>
      <c r="E429" s="24">
        <v>50</v>
      </c>
      <c r="F429" s="27">
        <v>750</v>
      </c>
      <c r="G429" s="26" t="s">
        <v>26</v>
      </c>
    </row>
    <row r="430" spans="1:7" x14ac:dyDescent="0.25">
      <c r="A430" s="24">
        <v>10429</v>
      </c>
      <c r="B430" s="25">
        <v>44181</v>
      </c>
      <c r="C430" s="26" t="s">
        <v>28</v>
      </c>
      <c r="D430" s="24">
        <v>19.45</v>
      </c>
      <c r="E430" s="24">
        <v>21</v>
      </c>
      <c r="F430" s="27">
        <v>408.45</v>
      </c>
      <c r="G430" s="26" t="s">
        <v>23</v>
      </c>
    </row>
    <row r="431" spans="1:7" x14ac:dyDescent="0.25">
      <c r="A431" s="24">
        <v>10429</v>
      </c>
      <c r="B431" s="25">
        <v>44181</v>
      </c>
      <c r="C431" s="26" t="s">
        <v>28</v>
      </c>
      <c r="D431" s="24">
        <v>31</v>
      </c>
      <c r="E431" s="24">
        <v>2</v>
      </c>
      <c r="F431" s="27">
        <v>62</v>
      </c>
      <c r="G431" s="26" t="s">
        <v>23</v>
      </c>
    </row>
    <row r="432" spans="1:7" x14ac:dyDescent="0.25">
      <c r="A432" s="24">
        <v>10429</v>
      </c>
      <c r="B432" s="25">
        <v>44181</v>
      </c>
      <c r="C432" s="26" t="s">
        <v>28</v>
      </c>
      <c r="D432" s="24">
        <v>9.1999999999999993</v>
      </c>
      <c r="E432" s="24">
        <v>7</v>
      </c>
      <c r="F432" s="27">
        <v>64.400000000000006</v>
      </c>
      <c r="G432" s="26" t="s">
        <v>23</v>
      </c>
    </row>
    <row r="433" spans="1:7" x14ac:dyDescent="0.25">
      <c r="A433" s="24">
        <v>10434</v>
      </c>
      <c r="B433" s="25">
        <v>44187</v>
      </c>
      <c r="C433" s="26" t="s">
        <v>28</v>
      </c>
      <c r="D433" s="24">
        <v>33.25</v>
      </c>
      <c r="E433" s="24">
        <v>28</v>
      </c>
      <c r="F433" s="27">
        <v>931</v>
      </c>
      <c r="G433" s="26" t="s">
        <v>23</v>
      </c>
    </row>
    <row r="434" spans="1:7" x14ac:dyDescent="0.25">
      <c r="A434" s="24">
        <v>10435</v>
      </c>
      <c r="B434" s="25">
        <v>44187</v>
      </c>
      <c r="C434" s="26" t="s">
        <v>28</v>
      </c>
      <c r="D434" s="24">
        <v>7.75</v>
      </c>
      <c r="E434" s="24">
        <v>30</v>
      </c>
      <c r="F434" s="27">
        <v>232.5</v>
      </c>
      <c r="G434" s="26" t="s">
        <v>22</v>
      </c>
    </row>
    <row r="435" spans="1:7" x14ac:dyDescent="0.25">
      <c r="A435" s="24">
        <v>10435</v>
      </c>
      <c r="B435" s="25">
        <v>44187</v>
      </c>
      <c r="C435" s="26" t="s">
        <v>28</v>
      </c>
      <c r="D435" s="24">
        <v>2.5</v>
      </c>
      <c r="E435" s="24">
        <v>30</v>
      </c>
      <c r="F435" s="27">
        <v>75</v>
      </c>
      <c r="G435" s="26" t="s">
        <v>22</v>
      </c>
    </row>
    <row r="436" spans="1:7" x14ac:dyDescent="0.25">
      <c r="A436" s="24">
        <v>10003</v>
      </c>
      <c r="B436" s="25">
        <v>43299</v>
      </c>
      <c r="C436" s="26" t="s">
        <v>29</v>
      </c>
      <c r="D436" s="24">
        <v>16.8</v>
      </c>
      <c r="E436" s="24">
        <v>15</v>
      </c>
      <c r="F436" s="27">
        <v>252</v>
      </c>
      <c r="G436" s="26" t="s">
        <v>22</v>
      </c>
    </row>
    <row r="437" spans="1:7" x14ac:dyDescent="0.25">
      <c r="A437" s="24">
        <v>10004</v>
      </c>
      <c r="B437" s="25">
        <v>43299</v>
      </c>
      <c r="C437" s="26" t="s">
        <v>29</v>
      </c>
      <c r="D437" s="24">
        <v>15.6</v>
      </c>
      <c r="E437" s="24">
        <v>15</v>
      </c>
      <c r="F437" s="27">
        <v>234</v>
      </c>
      <c r="G437" s="26" t="s">
        <v>23</v>
      </c>
    </row>
    <row r="438" spans="1:7" x14ac:dyDescent="0.25">
      <c r="A438" s="24">
        <v>10004</v>
      </c>
      <c r="B438" s="25">
        <v>43299</v>
      </c>
      <c r="C438" s="26" t="s">
        <v>29</v>
      </c>
      <c r="D438" s="24">
        <v>16.8</v>
      </c>
      <c r="E438" s="24">
        <v>6</v>
      </c>
      <c r="F438" s="27">
        <v>100.8</v>
      </c>
      <c r="G438" s="26" t="s">
        <v>23</v>
      </c>
    </row>
    <row r="439" spans="1:7" x14ac:dyDescent="0.25">
      <c r="A439" s="24">
        <v>10004</v>
      </c>
      <c r="B439" s="25">
        <v>43299</v>
      </c>
      <c r="C439" s="26" t="s">
        <v>29</v>
      </c>
      <c r="D439" s="24">
        <v>16.8</v>
      </c>
      <c r="E439" s="24">
        <v>20</v>
      </c>
      <c r="F439" s="27">
        <v>336</v>
      </c>
      <c r="G439" s="26" t="s">
        <v>23</v>
      </c>
    </row>
    <row r="440" spans="1:7" x14ac:dyDescent="0.25">
      <c r="A440" s="24">
        <v>10005</v>
      </c>
      <c r="B440" s="25">
        <v>43301</v>
      </c>
      <c r="C440" s="26" t="s">
        <v>29</v>
      </c>
      <c r="D440" s="24">
        <v>2</v>
      </c>
      <c r="E440" s="24">
        <v>25</v>
      </c>
      <c r="F440" s="27">
        <v>50</v>
      </c>
      <c r="G440" s="26" t="s">
        <v>26</v>
      </c>
    </row>
    <row r="441" spans="1:7" x14ac:dyDescent="0.25">
      <c r="A441" s="24">
        <v>10005</v>
      </c>
      <c r="B441" s="25">
        <v>43301</v>
      </c>
      <c r="C441" s="26" t="s">
        <v>29</v>
      </c>
      <c r="D441" s="24">
        <v>64.8</v>
      </c>
      <c r="E441" s="24">
        <v>40</v>
      </c>
      <c r="F441" s="27">
        <v>2592</v>
      </c>
      <c r="G441" s="26" t="s">
        <v>26</v>
      </c>
    </row>
    <row r="442" spans="1:7" x14ac:dyDescent="0.25">
      <c r="A442" s="24">
        <v>10005</v>
      </c>
      <c r="B442" s="25">
        <v>43301</v>
      </c>
      <c r="C442" s="26" t="s">
        <v>29</v>
      </c>
      <c r="D442" s="24">
        <v>27.2</v>
      </c>
      <c r="E442" s="24">
        <v>40</v>
      </c>
      <c r="F442" s="27">
        <v>1088</v>
      </c>
      <c r="G442" s="26" t="s">
        <v>26</v>
      </c>
    </row>
    <row r="443" spans="1:7" x14ac:dyDescent="0.25">
      <c r="A443" s="24">
        <v>10008</v>
      </c>
      <c r="B443" s="25">
        <v>43307</v>
      </c>
      <c r="C443" s="26" t="s">
        <v>29</v>
      </c>
      <c r="D443" s="24">
        <v>15.2</v>
      </c>
      <c r="E443" s="24">
        <v>20</v>
      </c>
      <c r="F443" s="27">
        <v>304</v>
      </c>
      <c r="G443" s="26" t="s">
        <v>22</v>
      </c>
    </row>
    <row r="444" spans="1:7" x14ac:dyDescent="0.25">
      <c r="A444" s="24">
        <v>10008</v>
      </c>
      <c r="B444" s="25">
        <v>43307</v>
      </c>
      <c r="C444" s="26" t="s">
        <v>29</v>
      </c>
      <c r="D444" s="24">
        <v>13.9</v>
      </c>
      <c r="E444" s="24">
        <v>35</v>
      </c>
      <c r="F444" s="27">
        <v>486.5</v>
      </c>
      <c r="G444" s="26" t="s">
        <v>22</v>
      </c>
    </row>
    <row r="445" spans="1:7" x14ac:dyDescent="0.25">
      <c r="A445" s="24">
        <v>10008</v>
      </c>
      <c r="B445" s="25">
        <v>43307</v>
      </c>
      <c r="C445" s="26" t="s">
        <v>29</v>
      </c>
      <c r="D445" s="24">
        <v>44</v>
      </c>
      <c r="E445" s="24">
        <v>30</v>
      </c>
      <c r="F445" s="27">
        <v>1320</v>
      </c>
      <c r="G445" s="26" t="s">
        <v>22</v>
      </c>
    </row>
    <row r="446" spans="1:7" x14ac:dyDescent="0.25">
      <c r="A446" s="24">
        <v>10009</v>
      </c>
      <c r="B446" s="25">
        <v>43313</v>
      </c>
      <c r="C446" s="26" t="s">
        <v>29</v>
      </c>
      <c r="D446" s="24">
        <v>26.2</v>
      </c>
      <c r="E446" s="24">
        <v>15</v>
      </c>
      <c r="F446" s="27">
        <v>393</v>
      </c>
      <c r="G446" s="26" t="s">
        <v>23</v>
      </c>
    </row>
    <row r="447" spans="1:7" x14ac:dyDescent="0.25">
      <c r="A447" s="24">
        <v>10009</v>
      </c>
      <c r="B447" s="25">
        <v>43313</v>
      </c>
      <c r="C447" s="26" t="s">
        <v>29</v>
      </c>
      <c r="D447" s="24">
        <v>10.4</v>
      </c>
      <c r="E447" s="24">
        <v>12</v>
      </c>
      <c r="F447" s="27">
        <v>124.8</v>
      </c>
      <c r="G447" s="26" t="s">
        <v>23</v>
      </c>
    </row>
    <row r="448" spans="1:7" x14ac:dyDescent="0.25">
      <c r="A448" s="24">
        <v>10010</v>
      </c>
      <c r="B448" s="25">
        <v>43315</v>
      </c>
      <c r="C448" s="26" t="s">
        <v>29</v>
      </c>
      <c r="D448" s="24">
        <v>14.4</v>
      </c>
      <c r="E448" s="24">
        <v>6</v>
      </c>
      <c r="F448" s="27">
        <v>86.4</v>
      </c>
      <c r="G448" s="26" t="s">
        <v>23</v>
      </c>
    </row>
    <row r="449" spans="1:7" x14ac:dyDescent="0.25">
      <c r="A449" s="24">
        <v>10010</v>
      </c>
      <c r="B449" s="25">
        <v>43315</v>
      </c>
      <c r="C449" s="26" t="s">
        <v>29</v>
      </c>
      <c r="D449" s="24">
        <v>10.4</v>
      </c>
      <c r="E449" s="24">
        <v>15</v>
      </c>
      <c r="F449" s="27">
        <v>156</v>
      </c>
      <c r="G449" s="26" t="s">
        <v>23</v>
      </c>
    </row>
    <row r="450" spans="1:7" x14ac:dyDescent="0.25">
      <c r="A450" s="24">
        <v>10013</v>
      </c>
      <c r="B450" s="25">
        <v>43321</v>
      </c>
      <c r="C450" s="26" t="s">
        <v>29</v>
      </c>
      <c r="D450" s="24">
        <v>7.7</v>
      </c>
      <c r="E450" s="24">
        <v>16</v>
      </c>
      <c r="F450" s="27">
        <v>123.2</v>
      </c>
      <c r="G450" s="26" t="s">
        <v>22</v>
      </c>
    </row>
    <row r="451" spans="1:7" x14ac:dyDescent="0.25">
      <c r="A451" s="24">
        <v>10013</v>
      </c>
      <c r="B451" s="25">
        <v>43321</v>
      </c>
      <c r="C451" s="26" t="s">
        <v>29</v>
      </c>
      <c r="D451" s="24">
        <v>39.4</v>
      </c>
      <c r="E451" s="24">
        <v>15</v>
      </c>
      <c r="F451" s="27">
        <v>591</v>
      </c>
      <c r="G451" s="26" t="s">
        <v>22</v>
      </c>
    </row>
    <row r="452" spans="1:7" x14ac:dyDescent="0.25">
      <c r="A452" s="24">
        <v>10013</v>
      </c>
      <c r="B452" s="25">
        <v>43321</v>
      </c>
      <c r="C452" s="26" t="s">
        <v>29</v>
      </c>
      <c r="D452" s="24">
        <v>15.6</v>
      </c>
      <c r="E452" s="24">
        <v>50</v>
      </c>
      <c r="F452" s="27">
        <v>780</v>
      </c>
      <c r="G452" s="26" t="s">
        <v>22</v>
      </c>
    </row>
    <row r="453" spans="1:7" x14ac:dyDescent="0.25">
      <c r="A453" s="24">
        <v>10014</v>
      </c>
      <c r="B453" s="25">
        <v>43321</v>
      </c>
      <c r="C453" s="26" t="s">
        <v>29</v>
      </c>
      <c r="D453" s="24">
        <v>14.4</v>
      </c>
      <c r="E453" s="24">
        <v>20</v>
      </c>
      <c r="F453" s="27">
        <v>288</v>
      </c>
      <c r="G453" s="26" t="s">
        <v>23</v>
      </c>
    </row>
    <row r="454" spans="1:7" x14ac:dyDescent="0.25">
      <c r="A454" s="24">
        <v>10014</v>
      </c>
      <c r="B454" s="25">
        <v>43321</v>
      </c>
      <c r="C454" s="26" t="s">
        <v>29</v>
      </c>
      <c r="D454" s="24">
        <v>8</v>
      </c>
      <c r="E454" s="24">
        <v>20</v>
      </c>
      <c r="F454" s="27">
        <v>160</v>
      </c>
      <c r="G454" s="26" t="s">
        <v>23</v>
      </c>
    </row>
    <row r="455" spans="1:7" x14ac:dyDescent="0.25">
      <c r="A455" s="24">
        <v>10015</v>
      </c>
      <c r="B455" s="25">
        <v>43327</v>
      </c>
      <c r="C455" s="26" t="s">
        <v>29</v>
      </c>
      <c r="D455" s="24">
        <v>24</v>
      </c>
      <c r="E455" s="24">
        <v>15</v>
      </c>
      <c r="F455" s="27">
        <v>360</v>
      </c>
      <c r="G455" s="26" t="s">
        <v>23</v>
      </c>
    </row>
    <row r="456" spans="1:7" x14ac:dyDescent="0.25">
      <c r="A456" s="24">
        <v>10015</v>
      </c>
      <c r="B456" s="25">
        <v>43327</v>
      </c>
      <c r="C456" s="26" t="s">
        <v>29</v>
      </c>
      <c r="D456" s="24">
        <v>30.4</v>
      </c>
      <c r="E456" s="24">
        <v>2</v>
      </c>
      <c r="F456" s="27">
        <v>60.8</v>
      </c>
      <c r="G456" s="26" t="s">
        <v>23</v>
      </c>
    </row>
    <row r="457" spans="1:7" x14ac:dyDescent="0.25">
      <c r="A457" s="24">
        <v>10015</v>
      </c>
      <c r="B457" s="25">
        <v>43327</v>
      </c>
      <c r="C457" s="26" t="s">
        <v>29</v>
      </c>
      <c r="D457" s="24">
        <v>17</v>
      </c>
      <c r="E457" s="24">
        <v>12</v>
      </c>
      <c r="F457" s="27">
        <v>204</v>
      </c>
      <c r="G457" s="26" t="s">
        <v>23</v>
      </c>
    </row>
    <row r="458" spans="1:7" x14ac:dyDescent="0.25">
      <c r="A458" s="24">
        <v>10016</v>
      </c>
      <c r="B458" s="25">
        <v>43329</v>
      </c>
      <c r="C458" s="26" t="s">
        <v>29</v>
      </c>
      <c r="D458" s="24">
        <v>13.9</v>
      </c>
      <c r="E458" s="24">
        <v>60</v>
      </c>
      <c r="F458" s="27">
        <v>834</v>
      </c>
      <c r="G458" s="26" t="s">
        <v>22</v>
      </c>
    </row>
    <row r="459" spans="1:7" x14ac:dyDescent="0.25">
      <c r="A459" s="24">
        <v>10016</v>
      </c>
      <c r="B459" s="25">
        <v>43329</v>
      </c>
      <c r="C459" s="26" t="s">
        <v>29</v>
      </c>
      <c r="D459" s="24">
        <v>8</v>
      </c>
      <c r="E459" s="24">
        <v>36</v>
      </c>
      <c r="F459" s="27">
        <v>288</v>
      </c>
      <c r="G459" s="26" t="s">
        <v>22</v>
      </c>
    </row>
    <row r="460" spans="1:7" x14ac:dyDescent="0.25">
      <c r="A460" s="24">
        <v>10020</v>
      </c>
      <c r="B460" s="25">
        <v>43341</v>
      </c>
      <c r="C460" s="26" t="s">
        <v>29</v>
      </c>
      <c r="D460" s="24">
        <v>14.7</v>
      </c>
      <c r="E460" s="24">
        <v>50</v>
      </c>
      <c r="F460" s="27">
        <v>735</v>
      </c>
      <c r="G460" s="26" t="s">
        <v>23</v>
      </c>
    </row>
    <row r="461" spans="1:7" x14ac:dyDescent="0.25">
      <c r="A461" s="24">
        <v>10020</v>
      </c>
      <c r="B461" s="25">
        <v>43341</v>
      </c>
      <c r="C461" s="26" t="s">
        <v>29</v>
      </c>
      <c r="D461" s="24">
        <v>14.4</v>
      </c>
      <c r="E461" s="24">
        <v>15</v>
      </c>
      <c r="F461" s="27">
        <v>216</v>
      </c>
      <c r="G461" s="26" t="s">
        <v>23</v>
      </c>
    </row>
    <row r="462" spans="1:7" x14ac:dyDescent="0.25">
      <c r="A462" s="24">
        <v>10020</v>
      </c>
      <c r="B462" s="25">
        <v>43341</v>
      </c>
      <c r="C462" s="26" t="s">
        <v>29</v>
      </c>
      <c r="D462" s="24">
        <v>44</v>
      </c>
      <c r="E462" s="24">
        <v>70</v>
      </c>
      <c r="F462" s="27">
        <v>3080</v>
      </c>
      <c r="G462" s="26" t="s">
        <v>23</v>
      </c>
    </row>
    <row r="463" spans="1:7" x14ac:dyDescent="0.25">
      <c r="A463" s="24">
        <v>10021</v>
      </c>
      <c r="B463" s="25">
        <v>43343</v>
      </c>
      <c r="C463" s="26" t="s">
        <v>29</v>
      </c>
      <c r="D463" s="24">
        <v>27.8</v>
      </c>
      <c r="E463" s="24">
        <v>4</v>
      </c>
      <c r="F463" s="27">
        <v>111.2</v>
      </c>
      <c r="G463" s="26" t="s">
        <v>23</v>
      </c>
    </row>
    <row r="464" spans="1:7" x14ac:dyDescent="0.25">
      <c r="A464" s="24">
        <v>10021</v>
      </c>
      <c r="B464" s="25">
        <v>43343</v>
      </c>
      <c r="C464" s="26" t="s">
        <v>29</v>
      </c>
      <c r="D464" s="24">
        <v>99</v>
      </c>
      <c r="E464" s="24">
        <v>10</v>
      </c>
      <c r="F464" s="27">
        <v>990</v>
      </c>
      <c r="G464" s="26" t="s">
        <v>23</v>
      </c>
    </row>
    <row r="465" spans="1:7" x14ac:dyDescent="0.25">
      <c r="A465" s="24">
        <v>10022</v>
      </c>
      <c r="B465" s="25">
        <v>43345</v>
      </c>
      <c r="C465" s="26" t="s">
        <v>29</v>
      </c>
      <c r="D465" s="24">
        <v>2</v>
      </c>
      <c r="E465" s="24">
        <v>60</v>
      </c>
      <c r="F465" s="27">
        <v>120</v>
      </c>
      <c r="G465" s="26" t="s">
        <v>23</v>
      </c>
    </row>
    <row r="466" spans="1:7" x14ac:dyDescent="0.25">
      <c r="A466" s="24">
        <v>10026</v>
      </c>
      <c r="B466" s="25">
        <v>43355</v>
      </c>
      <c r="C466" s="26" t="s">
        <v>29</v>
      </c>
      <c r="D466" s="24">
        <v>10</v>
      </c>
      <c r="E466" s="24">
        <v>15</v>
      </c>
      <c r="F466" s="27">
        <v>150</v>
      </c>
      <c r="G466" s="26" t="s">
        <v>23</v>
      </c>
    </row>
    <row r="467" spans="1:7" x14ac:dyDescent="0.25">
      <c r="A467" s="24">
        <v>10026</v>
      </c>
      <c r="B467" s="25">
        <v>43355</v>
      </c>
      <c r="C467" s="26" t="s">
        <v>29</v>
      </c>
      <c r="D467" s="24">
        <v>14.4</v>
      </c>
      <c r="E467" s="24">
        <v>33</v>
      </c>
      <c r="F467" s="27">
        <v>475.2</v>
      </c>
      <c r="G467" s="26" t="s">
        <v>23</v>
      </c>
    </row>
    <row r="468" spans="1:7" x14ac:dyDescent="0.25">
      <c r="A468" s="24">
        <v>10026</v>
      </c>
      <c r="B468" s="25">
        <v>43355</v>
      </c>
      <c r="C468" s="26" t="s">
        <v>29</v>
      </c>
      <c r="D468" s="24">
        <v>14.7</v>
      </c>
      <c r="E468" s="24">
        <v>60</v>
      </c>
      <c r="F468" s="27">
        <v>882</v>
      </c>
      <c r="G468" s="26" t="s">
        <v>23</v>
      </c>
    </row>
    <row r="469" spans="1:7" x14ac:dyDescent="0.25">
      <c r="A469" s="24">
        <v>10026</v>
      </c>
      <c r="B469" s="25">
        <v>43355</v>
      </c>
      <c r="C469" s="26" t="s">
        <v>29</v>
      </c>
      <c r="D469" s="24">
        <v>2</v>
      </c>
      <c r="E469" s="24">
        <v>20</v>
      </c>
      <c r="F469" s="27">
        <v>40</v>
      </c>
      <c r="G469" s="26" t="s">
        <v>23</v>
      </c>
    </row>
    <row r="470" spans="1:7" x14ac:dyDescent="0.25">
      <c r="A470" s="24">
        <v>10026</v>
      </c>
      <c r="B470" s="25">
        <v>43355</v>
      </c>
      <c r="C470" s="26" t="s">
        <v>29</v>
      </c>
      <c r="D470" s="24">
        <v>24.8</v>
      </c>
      <c r="E470" s="24">
        <v>24</v>
      </c>
      <c r="F470" s="27">
        <v>595.20000000000005</v>
      </c>
      <c r="G470" s="26" t="s">
        <v>23</v>
      </c>
    </row>
    <row r="471" spans="1:7" x14ac:dyDescent="0.25">
      <c r="A471" s="24">
        <v>10027</v>
      </c>
      <c r="B471" s="25">
        <v>43357</v>
      </c>
      <c r="C471" s="26" t="s">
        <v>29</v>
      </c>
      <c r="D471" s="24">
        <v>17.2</v>
      </c>
      <c r="E471" s="24">
        <v>20</v>
      </c>
      <c r="F471" s="27">
        <v>344</v>
      </c>
      <c r="G471" s="26" t="s">
        <v>22</v>
      </c>
    </row>
    <row r="472" spans="1:7" x14ac:dyDescent="0.25">
      <c r="A472" s="24">
        <v>10027</v>
      </c>
      <c r="B472" s="25">
        <v>43357</v>
      </c>
      <c r="C472" s="26" t="s">
        <v>29</v>
      </c>
      <c r="D472" s="24">
        <v>27.8</v>
      </c>
      <c r="E472" s="24">
        <v>7</v>
      </c>
      <c r="F472" s="27">
        <v>194.6</v>
      </c>
      <c r="G472" s="26" t="s">
        <v>22</v>
      </c>
    </row>
    <row r="473" spans="1:7" x14ac:dyDescent="0.25">
      <c r="A473" s="24">
        <v>10028</v>
      </c>
      <c r="B473" s="25">
        <v>43359</v>
      </c>
      <c r="C473" s="26" t="s">
        <v>29</v>
      </c>
      <c r="D473" s="24">
        <v>3.6</v>
      </c>
      <c r="E473" s="24">
        <v>12</v>
      </c>
      <c r="F473" s="27">
        <v>43.2</v>
      </c>
      <c r="G473" s="26" t="s">
        <v>22</v>
      </c>
    </row>
    <row r="474" spans="1:7" x14ac:dyDescent="0.25">
      <c r="A474" s="24">
        <v>10031</v>
      </c>
      <c r="B474" s="25">
        <v>43369</v>
      </c>
      <c r="C474" s="26" t="s">
        <v>29</v>
      </c>
      <c r="D474" s="24">
        <v>15.5</v>
      </c>
      <c r="E474" s="24">
        <v>16</v>
      </c>
      <c r="F474" s="27">
        <v>248</v>
      </c>
      <c r="G474" s="26" t="s">
        <v>23</v>
      </c>
    </row>
    <row r="475" spans="1:7" x14ac:dyDescent="0.25">
      <c r="A475" s="24">
        <v>10031</v>
      </c>
      <c r="B475" s="25">
        <v>43369</v>
      </c>
      <c r="C475" s="26" t="s">
        <v>29</v>
      </c>
      <c r="D475" s="24">
        <v>12</v>
      </c>
      <c r="E475" s="24">
        <v>25</v>
      </c>
      <c r="F475" s="27">
        <v>300</v>
      </c>
      <c r="G475" s="26" t="s">
        <v>23</v>
      </c>
    </row>
    <row r="476" spans="1:7" x14ac:dyDescent="0.25">
      <c r="A476" s="24">
        <v>10033</v>
      </c>
      <c r="B476" s="25">
        <v>43373</v>
      </c>
      <c r="C476" s="26" t="s">
        <v>29</v>
      </c>
      <c r="D476" s="24">
        <v>19.2</v>
      </c>
      <c r="E476" s="24">
        <v>20</v>
      </c>
      <c r="F476" s="27">
        <v>384</v>
      </c>
      <c r="G476" s="26" t="s">
        <v>23</v>
      </c>
    </row>
    <row r="477" spans="1:7" x14ac:dyDescent="0.25">
      <c r="A477" s="24">
        <v>10033</v>
      </c>
      <c r="B477" s="25">
        <v>43373</v>
      </c>
      <c r="C477" s="26" t="s">
        <v>29</v>
      </c>
      <c r="D477" s="24">
        <v>6.2</v>
      </c>
      <c r="E477" s="24">
        <v>30</v>
      </c>
      <c r="F477" s="27">
        <v>186</v>
      </c>
      <c r="G477" s="26" t="s">
        <v>23</v>
      </c>
    </row>
    <row r="478" spans="1:7" x14ac:dyDescent="0.25">
      <c r="A478" s="24">
        <v>10033</v>
      </c>
      <c r="B478" s="25">
        <v>43373</v>
      </c>
      <c r="C478" s="26" t="s">
        <v>29</v>
      </c>
      <c r="D478" s="24">
        <v>3.6</v>
      </c>
      <c r="E478" s="24">
        <v>12</v>
      </c>
      <c r="F478" s="27">
        <v>43.2</v>
      </c>
      <c r="G478" s="26" t="s">
        <v>23</v>
      </c>
    </row>
    <row r="479" spans="1:7" x14ac:dyDescent="0.25">
      <c r="A479" s="24">
        <v>10034</v>
      </c>
      <c r="B479" s="25">
        <v>43373</v>
      </c>
      <c r="C479" s="26" t="s">
        <v>29</v>
      </c>
      <c r="D479" s="24">
        <v>14.4</v>
      </c>
      <c r="E479" s="24">
        <v>4</v>
      </c>
      <c r="F479" s="27">
        <v>57.6</v>
      </c>
      <c r="G479" s="26" t="s">
        <v>23</v>
      </c>
    </row>
    <row r="480" spans="1:7" x14ac:dyDescent="0.25">
      <c r="A480" s="24">
        <v>10034</v>
      </c>
      <c r="B480" s="25">
        <v>43373</v>
      </c>
      <c r="C480" s="26" t="s">
        <v>29</v>
      </c>
      <c r="D480" s="24">
        <v>7.3</v>
      </c>
      <c r="E480" s="24">
        <v>1</v>
      </c>
      <c r="F480" s="27">
        <v>7.3</v>
      </c>
      <c r="G480" s="26" t="s">
        <v>23</v>
      </c>
    </row>
    <row r="481" spans="1:7" x14ac:dyDescent="0.25">
      <c r="A481" s="24">
        <v>10034</v>
      </c>
      <c r="B481" s="25">
        <v>43373</v>
      </c>
      <c r="C481" s="26" t="s">
        <v>29</v>
      </c>
      <c r="D481" s="24">
        <v>3.6</v>
      </c>
      <c r="E481" s="24">
        <v>6</v>
      </c>
      <c r="F481" s="27">
        <v>21.6</v>
      </c>
      <c r="G481" s="26" t="s">
        <v>23</v>
      </c>
    </row>
    <row r="482" spans="1:7" x14ac:dyDescent="0.25">
      <c r="A482" s="24">
        <v>10035</v>
      </c>
      <c r="B482" s="25">
        <v>43375</v>
      </c>
      <c r="C482" s="26" t="s">
        <v>29</v>
      </c>
      <c r="D482" s="24">
        <v>20.7</v>
      </c>
      <c r="E482" s="24">
        <v>6</v>
      </c>
      <c r="F482" s="27">
        <v>124.2</v>
      </c>
      <c r="G482" s="26" t="s">
        <v>23</v>
      </c>
    </row>
    <row r="483" spans="1:7" x14ac:dyDescent="0.25">
      <c r="A483" s="24">
        <v>10035</v>
      </c>
      <c r="B483" s="25">
        <v>43375</v>
      </c>
      <c r="C483" s="26" t="s">
        <v>29</v>
      </c>
      <c r="D483" s="24">
        <v>15.6</v>
      </c>
      <c r="E483" s="24">
        <v>2</v>
      </c>
      <c r="F483" s="27">
        <v>31.2</v>
      </c>
      <c r="G483" s="26" t="s">
        <v>23</v>
      </c>
    </row>
    <row r="484" spans="1:7" x14ac:dyDescent="0.25">
      <c r="A484" s="24">
        <v>10037</v>
      </c>
      <c r="B484" s="25">
        <v>43383</v>
      </c>
      <c r="C484" s="26" t="s">
        <v>29</v>
      </c>
      <c r="D484" s="24">
        <v>11.2</v>
      </c>
      <c r="E484" s="24">
        <v>5</v>
      </c>
      <c r="F484" s="27">
        <v>56</v>
      </c>
      <c r="G484" s="26" t="s">
        <v>23</v>
      </c>
    </row>
    <row r="485" spans="1:7" x14ac:dyDescent="0.25">
      <c r="A485" s="24">
        <v>10038</v>
      </c>
      <c r="B485" s="25">
        <v>43385</v>
      </c>
      <c r="C485" s="26" t="s">
        <v>29</v>
      </c>
      <c r="D485" s="24">
        <v>26.2</v>
      </c>
      <c r="E485" s="24">
        <v>36</v>
      </c>
      <c r="F485" s="27">
        <v>943.2</v>
      </c>
      <c r="G485" s="26" t="s">
        <v>23</v>
      </c>
    </row>
    <row r="486" spans="1:7" x14ac:dyDescent="0.25">
      <c r="A486" s="24">
        <v>10038</v>
      </c>
      <c r="B486" s="25">
        <v>43385</v>
      </c>
      <c r="C486" s="26" t="s">
        <v>29</v>
      </c>
      <c r="D486" s="24">
        <v>14.4</v>
      </c>
      <c r="E486" s="24">
        <v>45</v>
      </c>
      <c r="F486" s="27">
        <v>648</v>
      </c>
      <c r="G486" s="26" t="s">
        <v>23</v>
      </c>
    </row>
    <row r="487" spans="1:7" x14ac:dyDescent="0.25">
      <c r="A487" s="24">
        <v>10038</v>
      </c>
      <c r="B487" s="25">
        <v>43385</v>
      </c>
      <c r="C487" s="26" t="s">
        <v>29</v>
      </c>
      <c r="D487" s="24">
        <v>14.7</v>
      </c>
      <c r="E487" s="24">
        <v>40</v>
      </c>
      <c r="F487" s="27">
        <v>588</v>
      </c>
      <c r="G487" s="26" t="s">
        <v>23</v>
      </c>
    </row>
    <row r="488" spans="1:7" x14ac:dyDescent="0.25">
      <c r="A488" s="24">
        <v>10039</v>
      </c>
      <c r="B488" s="25">
        <v>43387</v>
      </c>
      <c r="C488" s="26" t="s">
        <v>29</v>
      </c>
      <c r="D488" s="24">
        <v>14.4</v>
      </c>
      <c r="E488" s="24">
        <v>100</v>
      </c>
      <c r="F488" s="27">
        <v>1440</v>
      </c>
      <c r="G488" s="26" t="s">
        <v>23</v>
      </c>
    </row>
    <row r="489" spans="1:7" x14ac:dyDescent="0.25">
      <c r="A489" s="24">
        <v>10039</v>
      </c>
      <c r="B489" s="25">
        <v>43387</v>
      </c>
      <c r="C489" s="26" t="s">
        <v>29</v>
      </c>
      <c r="D489" s="24">
        <v>39.4</v>
      </c>
      <c r="E489" s="24">
        <v>40</v>
      </c>
      <c r="F489" s="27">
        <v>1576</v>
      </c>
      <c r="G489" s="26" t="s">
        <v>23</v>
      </c>
    </row>
    <row r="490" spans="1:7" x14ac:dyDescent="0.25">
      <c r="A490" s="24">
        <v>10040</v>
      </c>
      <c r="B490" s="25">
        <v>43389</v>
      </c>
      <c r="C490" s="26" t="s">
        <v>29</v>
      </c>
      <c r="D490" s="24">
        <v>13.9</v>
      </c>
      <c r="E490" s="24">
        <v>40</v>
      </c>
      <c r="F490" s="27">
        <v>556</v>
      </c>
      <c r="G490" s="26" t="s">
        <v>25</v>
      </c>
    </row>
    <row r="491" spans="1:7" x14ac:dyDescent="0.25">
      <c r="A491" s="24">
        <v>10043</v>
      </c>
      <c r="B491" s="25">
        <v>43399</v>
      </c>
      <c r="C491" s="26" t="s">
        <v>29</v>
      </c>
      <c r="D491" s="24">
        <v>17</v>
      </c>
      <c r="E491" s="24">
        <v>20</v>
      </c>
      <c r="F491" s="27">
        <v>340</v>
      </c>
      <c r="G491" s="26" t="s">
        <v>27</v>
      </c>
    </row>
    <row r="492" spans="1:7" x14ac:dyDescent="0.25">
      <c r="A492" s="24">
        <v>10043</v>
      </c>
      <c r="B492" s="25">
        <v>43399</v>
      </c>
      <c r="C492" s="26" t="s">
        <v>29</v>
      </c>
      <c r="D492" s="24">
        <v>10.4</v>
      </c>
      <c r="E492" s="24">
        <v>10</v>
      </c>
      <c r="F492" s="27">
        <v>104</v>
      </c>
      <c r="G492" s="26" t="s">
        <v>27</v>
      </c>
    </row>
    <row r="493" spans="1:7" x14ac:dyDescent="0.25">
      <c r="A493" s="24">
        <v>10043</v>
      </c>
      <c r="B493" s="25">
        <v>43399</v>
      </c>
      <c r="C493" s="26" t="s">
        <v>29</v>
      </c>
      <c r="D493" s="24">
        <v>99</v>
      </c>
      <c r="E493" s="24">
        <v>15</v>
      </c>
      <c r="F493" s="27">
        <v>1485</v>
      </c>
      <c r="G493" s="26" t="s">
        <v>27</v>
      </c>
    </row>
    <row r="494" spans="1:7" x14ac:dyDescent="0.25">
      <c r="A494" s="24">
        <v>10044</v>
      </c>
      <c r="B494" s="25">
        <v>43399</v>
      </c>
      <c r="C494" s="26" t="s">
        <v>29</v>
      </c>
      <c r="D494" s="24">
        <v>4.8</v>
      </c>
      <c r="E494" s="24">
        <v>20</v>
      </c>
      <c r="F494" s="27">
        <v>96</v>
      </c>
      <c r="G494" s="26" t="s">
        <v>23</v>
      </c>
    </row>
    <row r="495" spans="1:7" x14ac:dyDescent="0.25">
      <c r="A495" s="24">
        <v>10047</v>
      </c>
      <c r="B495" s="25">
        <v>43405</v>
      </c>
      <c r="C495" s="26" t="s">
        <v>29</v>
      </c>
      <c r="D495" s="24">
        <v>36.799999999999997</v>
      </c>
      <c r="E495" s="24">
        <v>15</v>
      </c>
      <c r="F495" s="27">
        <v>552</v>
      </c>
      <c r="G495" s="26" t="s">
        <v>22</v>
      </c>
    </row>
    <row r="496" spans="1:7" x14ac:dyDescent="0.25">
      <c r="A496" s="24">
        <v>10047</v>
      </c>
      <c r="B496" s="25">
        <v>43405</v>
      </c>
      <c r="C496" s="26" t="s">
        <v>29</v>
      </c>
      <c r="D496" s="24">
        <v>14.4</v>
      </c>
      <c r="E496" s="24">
        <v>18</v>
      </c>
      <c r="F496" s="27">
        <v>259.2</v>
      </c>
      <c r="G496" s="26" t="s">
        <v>22</v>
      </c>
    </row>
    <row r="497" spans="1:7" x14ac:dyDescent="0.25">
      <c r="A497" s="24">
        <v>10047</v>
      </c>
      <c r="B497" s="25">
        <v>43405</v>
      </c>
      <c r="C497" s="26" t="s">
        <v>29</v>
      </c>
      <c r="D497" s="24">
        <v>27.2</v>
      </c>
      <c r="E497" s="24">
        <v>21</v>
      </c>
      <c r="F497" s="27">
        <v>571.20000000000005</v>
      </c>
      <c r="G497" s="26" t="s">
        <v>22</v>
      </c>
    </row>
    <row r="498" spans="1:7" x14ac:dyDescent="0.25">
      <c r="A498" s="24">
        <v>10047</v>
      </c>
      <c r="B498" s="25">
        <v>43405</v>
      </c>
      <c r="C498" s="26" t="s">
        <v>29</v>
      </c>
      <c r="D498" s="24">
        <v>6.2</v>
      </c>
      <c r="E498" s="24">
        <v>6</v>
      </c>
      <c r="F498" s="27">
        <v>37.200000000000003</v>
      </c>
      <c r="G498" s="26" t="s">
        <v>22</v>
      </c>
    </row>
    <row r="499" spans="1:7" x14ac:dyDescent="0.25">
      <c r="A499" s="24">
        <v>10051</v>
      </c>
      <c r="B499" s="25">
        <v>43417</v>
      </c>
      <c r="C499" s="26" t="s">
        <v>29</v>
      </c>
      <c r="D499" s="24">
        <v>39.4</v>
      </c>
      <c r="E499" s="24">
        <v>15</v>
      </c>
      <c r="F499" s="27">
        <v>591</v>
      </c>
      <c r="G499" s="26" t="s">
        <v>22</v>
      </c>
    </row>
    <row r="500" spans="1:7" x14ac:dyDescent="0.25">
      <c r="A500" s="24">
        <v>10051</v>
      </c>
      <c r="B500" s="25">
        <v>43417</v>
      </c>
      <c r="C500" s="26" t="s">
        <v>29</v>
      </c>
      <c r="D500" s="24">
        <v>44</v>
      </c>
      <c r="E500" s="24">
        <v>30</v>
      </c>
      <c r="F500" s="27">
        <v>1320</v>
      </c>
      <c r="G500" s="26" t="s">
        <v>22</v>
      </c>
    </row>
    <row r="501" spans="1:7" x14ac:dyDescent="0.25">
      <c r="A501" s="24">
        <v>10051</v>
      </c>
      <c r="B501" s="25">
        <v>43417</v>
      </c>
      <c r="C501" s="26" t="s">
        <v>29</v>
      </c>
      <c r="D501" s="24">
        <v>15.2</v>
      </c>
      <c r="E501" s="24">
        <v>40</v>
      </c>
      <c r="F501" s="27">
        <v>608</v>
      </c>
      <c r="G501" s="26" t="s">
        <v>22</v>
      </c>
    </row>
    <row r="502" spans="1:7" x14ac:dyDescent="0.25">
      <c r="A502" s="24">
        <v>10052</v>
      </c>
      <c r="B502" s="25">
        <v>43419</v>
      </c>
      <c r="C502" s="26" t="s">
        <v>29</v>
      </c>
      <c r="D502" s="24">
        <v>7.3</v>
      </c>
      <c r="E502" s="24">
        <v>15</v>
      </c>
      <c r="F502" s="27">
        <v>109.5</v>
      </c>
      <c r="G502" s="26" t="s">
        <v>23</v>
      </c>
    </row>
    <row r="503" spans="1:7" x14ac:dyDescent="0.25">
      <c r="A503" s="24">
        <v>10052</v>
      </c>
      <c r="B503" s="25">
        <v>43419</v>
      </c>
      <c r="C503" s="26" t="s">
        <v>29</v>
      </c>
      <c r="D503" s="24">
        <v>12</v>
      </c>
      <c r="E503" s="24">
        <v>20</v>
      </c>
      <c r="F503" s="27">
        <v>240</v>
      </c>
      <c r="G503" s="26" t="s">
        <v>23</v>
      </c>
    </row>
    <row r="504" spans="1:7" x14ac:dyDescent="0.25">
      <c r="A504" s="24">
        <v>10053</v>
      </c>
      <c r="B504" s="25">
        <v>43425</v>
      </c>
      <c r="C504" s="26" t="s">
        <v>29</v>
      </c>
      <c r="D504" s="24">
        <v>10</v>
      </c>
      <c r="E504" s="24">
        <v>20</v>
      </c>
      <c r="F504" s="27">
        <v>200</v>
      </c>
      <c r="G504" s="26" t="s">
        <v>25</v>
      </c>
    </row>
    <row r="505" spans="1:7" x14ac:dyDescent="0.25">
      <c r="A505" s="24">
        <v>10053</v>
      </c>
      <c r="B505" s="25">
        <v>43425</v>
      </c>
      <c r="C505" s="26" t="s">
        <v>29</v>
      </c>
      <c r="D505" s="24">
        <v>13.6</v>
      </c>
      <c r="E505" s="24">
        <v>30</v>
      </c>
      <c r="F505" s="27">
        <v>408</v>
      </c>
      <c r="G505" s="26" t="s">
        <v>25</v>
      </c>
    </row>
    <row r="506" spans="1:7" x14ac:dyDescent="0.25">
      <c r="A506" s="24">
        <v>10056</v>
      </c>
      <c r="B506" s="25">
        <v>43429</v>
      </c>
      <c r="C506" s="26" t="s">
        <v>29</v>
      </c>
      <c r="D506" s="24">
        <v>10</v>
      </c>
      <c r="E506" s="24">
        <v>15</v>
      </c>
      <c r="F506" s="27">
        <v>150</v>
      </c>
      <c r="G506" s="26" t="s">
        <v>23</v>
      </c>
    </row>
    <row r="507" spans="1:7" x14ac:dyDescent="0.25">
      <c r="A507" s="24">
        <v>10057</v>
      </c>
      <c r="B507" s="25">
        <v>43431</v>
      </c>
      <c r="C507" s="26" t="s">
        <v>29</v>
      </c>
      <c r="D507" s="24">
        <v>16</v>
      </c>
      <c r="E507" s="24">
        <v>30</v>
      </c>
      <c r="F507" s="27">
        <v>480</v>
      </c>
      <c r="G507" s="26" t="s">
        <v>23</v>
      </c>
    </row>
    <row r="508" spans="1:7" x14ac:dyDescent="0.25">
      <c r="A508" s="24">
        <v>10057</v>
      </c>
      <c r="B508" s="25">
        <v>43431</v>
      </c>
      <c r="C508" s="26" t="s">
        <v>29</v>
      </c>
      <c r="D508" s="24">
        <v>44</v>
      </c>
      <c r="E508" s="24">
        <v>10</v>
      </c>
      <c r="F508" s="27">
        <v>440</v>
      </c>
      <c r="G508" s="26" t="s">
        <v>23</v>
      </c>
    </row>
    <row r="509" spans="1:7" x14ac:dyDescent="0.25">
      <c r="A509" s="24">
        <v>10057</v>
      </c>
      <c r="B509" s="25">
        <v>43431</v>
      </c>
      <c r="C509" s="26" t="s">
        <v>29</v>
      </c>
      <c r="D509" s="24">
        <v>17.2</v>
      </c>
      <c r="E509" s="24">
        <v>2</v>
      </c>
      <c r="F509" s="27">
        <v>34.4</v>
      </c>
      <c r="G509" s="26" t="s">
        <v>23</v>
      </c>
    </row>
    <row r="510" spans="1:7" x14ac:dyDescent="0.25">
      <c r="A510" s="24">
        <v>10058</v>
      </c>
      <c r="B510" s="25">
        <v>43433</v>
      </c>
      <c r="C510" s="26" t="s">
        <v>29</v>
      </c>
      <c r="D510" s="24">
        <v>99</v>
      </c>
      <c r="E510" s="24">
        <v>25</v>
      </c>
      <c r="F510" s="27">
        <v>2475</v>
      </c>
      <c r="G510" s="26" t="s">
        <v>22</v>
      </c>
    </row>
    <row r="511" spans="1:7" x14ac:dyDescent="0.25">
      <c r="A511" s="24">
        <v>10061</v>
      </c>
      <c r="B511" s="25">
        <v>43443</v>
      </c>
      <c r="C511" s="26" t="s">
        <v>29</v>
      </c>
      <c r="D511" s="24">
        <v>12</v>
      </c>
      <c r="E511" s="24">
        <v>5</v>
      </c>
      <c r="F511" s="27">
        <v>60</v>
      </c>
      <c r="G511" s="26" t="s">
        <v>25</v>
      </c>
    </row>
    <row r="512" spans="1:7" x14ac:dyDescent="0.25">
      <c r="A512" s="24">
        <v>10061</v>
      </c>
      <c r="B512" s="25">
        <v>43443</v>
      </c>
      <c r="C512" s="26" t="s">
        <v>29</v>
      </c>
      <c r="D512" s="24">
        <v>28.8</v>
      </c>
      <c r="E512" s="24">
        <v>1</v>
      </c>
      <c r="F512" s="27">
        <v>28.8</v>
      </c>
      <c r="G512" s="26" t="s">
        <v>25</v>
      </c>
    </row>
    <row r="513" spans="1:7" x14ac:dyDescent="0.25">
      <c r="A513" s="24">
        <v>10062</v>
      </c>
      <c r="B513" s="25">
        <v>43445</v>
      </c>
      <c r="C513" s="26" t="s">
        <v>29</v>
      </c>
      <c r="D513" s="24">
        <v>17.600000000000001</v>
      </c>
      <c r="E513" s="24">
        <v>20</v>
      </c>
      <c r="F513" s="27">
        <v>352</v>
      </c>
      <c r="G513" s="26" t="s">
        <v>26</v>
      </c>
    </row>
    <row r="514" spans="1:7" x14ac:dyDescent="0.25">
      <c r="A514" s="24">
        <v>10062</v>
      </c>
      <c r="B514" s="25">
        <v>43445</v>
      </c>
      <c r="C514" s="26" t="s">
        <v>29</v>
      </c>
      <c r="D514" s="24">
        <v>36.799999999999997</v>
      </c>
      <c r="E514" s="24">
        <v>20</v>
      </c>
      <c r="F514" s="27">
        <v>736</v>
      </c>
      <c r="G514" s="26" t="s">
        <v>26</v>
      </c>
    </row>
    <row r="515" spans="1:7" x14ac:dyDescent="0.25">
      <c r="A515" s="24">
        <v>10062</v>
      </c>
      <c r="B515" s="25">
        <v>43445</v>
      </c>
      <c r="C515" s="26" t="s">
        <v>29</v>
      </c>
      <c r="D515" s="24">
        <v>20</v>
      </c>
      <c r="E515" s="24">
        <v>30</v>
      </c>
      <c r="F515" s="27">
        <v>600</v>
      </c>
      <c r="G515" s="26" t="s">
        <v>26</v>
      </c>
    </row>
    <row r="516" spans="1:7" x14ac:dyDescent="0.25">
      <c r="A516" s="24">
        <v>10062</v>
      </c>
      <c r="B516" s="25">
        <v>43445</v>
      </c>
      <c r="C516" s="26" t="s">
        <v>29</v>
      </c>
      <c r="D516" s="24">
        <v>17.2</v>
      </c>
      <c r="E516" s="24">
        <v>3</v>
      </c>
      <c r="F516" s="27">
        <v>51.6</v>
      </c>
      <c r="G516" s="26" t="s">
        <v>26</v>
      </c>
    </row>
    <row r="517" spans="1:7" x14ac:dyDescent="0.25">
      <c r="A517" s="24">
        <v>10062</v>
      </c>
      <c r="B517" s="25">
        <v>43445</v>
      </c>
      <c r="C517" s="26" t="s">
        <v>29</v>
      </c>
      <c r="D517" s="24">
        <v>11.2</v>
      </c>
      <c r="E517" s="24">
        <v>2</v>
      </c>
      <c r="F517" s="27">
        <v>22.4</v>
      </c>
      <c r="G517" s="26" t="s">
        <v>26</v>
      </c>
    </row>
    <row r="518" spans="1:7" x14ac:dyDescent="0.25">
      <c r="A518" s="24">
        <v>10063</v>
      </c>
      <c r="B518" s="25">
        <v>43447</v>
      </c>
      <c r="C518" s="26" t="s">
        <v>29</v>
      </c>
      <c r="D518" s="24">
        <v>39.4</v>
      </c>
      <c r="E518" s="24">
        <v>5</v>
      </c>
      <c r="F518" s="27">
        <v>197</v>
      </c>
      <c r="G518" s="26" t="s">
        <v>22</v>
      </c>
    </row>
    <row r="519" spans="1:7" x14ac:dyDescent="0.25">
      <c r="A519" s="24">
        <v>10063</v>
      </c>
      <c r="B519" s="25">
        <v>43447</v>
      </c>
      <c r="C519" s="26" t="s">
        <v>29</v>
      </c>
      <c r="D519" s="24">
        <v>13.9</v>
      </c>
      <c r="E519" s="24">
        <v>10</v>
      </c>
      <c r="F519" s="27">
        <v>139</v>
      </c>
      <c r="G519" s="26" t="s">
        <v>22</v>
      </c>
    </row>
    <row r="520" spans="1:7" x14ac:dyDescent="0.25">
      <c r="A520" s="24">
        <v>10064</v>
      </c>
      <c r="B520" s="25">
        <v>43447</v>
      </c>
      <c r="C520" s="26" t="s">
        <v>29</v>
      </c>
      <c r="D520" s="24">
        <v>11.2</v>
      </c>
      <c r="E520" s="24">
        <v>6</v>
      </c>
      <c r="F520" s="27">
        <v>67.2</v>
      </c>
      <c r="G520" s="26" t="s">
        <v>27</v>
      </c>
    </row>
    <row r="521" spans="1:7" x14ac:dyDescent="0.25">
      <c r="A521" s="24">
        <v>10064</v>
      </c>
      <c r="B521" s="25">
        <v>43447</v>
      </c>
      <c r="C521" s="26" t="s">
        <v>29</v>
      </c>
      <c r="D521" s="24">
        <v>28.8</v>
      </c>
      <c r="E521" s="24">
        <v>7</v>
      </c>
      <c r="F521" s="27">
        <v>201.6</v>
      </c>
      <c r="G521" s="26" t="s">
        <v>27</v>
      </c>
    </row>
    <row r="522" spans="1:7" x14ac:dyDescent="0.25">
      <c r="A522" s="24">
        <v>10065</v>
      </c>
      <c r="B522" s="25">
        <v>43453</v>
      </c>
      <c r="C522" s="26" t="s">
        <v>29</v>
      </c>
      <c r="D522" s="24">
        <v>36.799999999999997</v>
      </c>
      <c r="E522" s="24">
        <v>24</v>
      </c>
      <c r="F522" s="27">
        <v>883.2</v>
      </c>
      <c r="G522" s="26" t="s">
        <v>22</v>
      </c>
    </row>
    <row r="523" spans="1:7" x14ac:dyDescent="0.25">
      <c r="A523" s="24">
        <v>10065</v>
      </c>
      <c r="B523" s="25">
        <v>43453</v>
      </c>
      <c r="C523" s="26" t="s">
        <v>29</v>
      </c>
      <c r="D523" s="24">
        <v>26.2</v>
      </c>
      <c r="E523" s="24">
        <v>20</v>
      </c>
      <c r="F523" s="27">
        <v>524</v>
      </c>
      <c r="G523" s="26" t="s">
        <v>22</v>
      </c>
    </row>
    <row r="524" spans="1:7" x14ac:dyDescent="0.25">
      <c r="A524" s="24">
        <v>10065</v>
      </c>
      <c r="B524" s="25">
        <v>43453</v>
      </c>
      <c r="C524" s="26" t="s">
        <v>29</v>
      </c>
      <c r="D524" s="24">
        <v>36.4</v>
      </c>
      <c r="E524" s="24">
        <v>4</v>
      </c>
      <c r="F524" s="27">
        <v>145.6</v>
      </c>
      <c r="G524" s="26" t="s">
        <v>22</v>
      </c>
    </row>
    <row r="525" spans="1:7" x14ac:dyDescent="0.25">
      <c r="A525" s="24">
        <v>10065</v>
      </c>
      <c r="B525" s="25">
        <v>43453</v>
      </c>
      <c r="C525" s="26" t="s">
        <v>29</v>
      </c>
      <c r="D525" s="24">
        <v>6.2</v>
      </c>
      <c r="E525" s="24">
        <v>10</v>
      </c>
      <c r="F525" s="27">
        <v>62</v>
      </c>
      <c r="G525" s="26" t="s">
        <v>22</v>
      </c>
    </row>
    <row r="526" spans="1:7" x14ac:dyDescent="0.25">
      <c r="A526" s="24">
        <v>10066</v>
      </c>
      <c r="B526" s="25">
        <v>43455</v>
      </c>
      <c r="C526" s="26" t="s">
        <v>29</v>
      </c>
      <c r="D526" s="24">
        <v>15.2</v>
      </c>
      <c r="E526" s="24">
        <v>12</v>
      </c>
      <c r="F526" s="27">
        <v>182.4</v>
      </c>
      <c r="G526" s="26" t="s">
        <v>22</v>
      </c>
    </row>
    <row r="527" spans="1:7" x14ac:dyDescent="0.25">
      <c r="A527" s="24">
        <v>10067</v>
      </c>
      <c r="B527" s="25">
        <v>43457</v>
      </c>
      <c r="C527" s="26" t="s">
        <v>29</v>
      </c>
      <c r="D527" s="24">
        <v>10.6</v>
      </c>
      <c r="E527" s="24">
        <v>30</v>
      </c>
      <c r="F527" s="27">
        <v>318</v>
      </c>
      <c r="G527" s="26" t="s">
        <v>22</v>
      </c>
    </row>
    <row r="528" spans="1:7" x14ac:dyDescent="0.25">
      <c r="A528" s="24">
        <v>10067</v>
      </c>
      <c r="B528" s="25">
        <v>43457</v>
      </c>
      <c r="C528" s="26" t="s">
        <v>29</v>
      </c>
      <c r="D528" s="24">
        <v>39.4</v>
      </c>
      <c r="E528" s="24">
        <v>25</v>
      </c>
      <c r="F528" s="27">
        <v>985</v>
      </c>
      <c r="G528" s="26" t="s">
        <v>22</v>
      </c>
    </row>
    <row r="529" spans="1:7" x14ac:dyDescent="0.25">
      <c r="A529" s="24">
        <v>10067</v>
      </c>
      <c r="B529" s="25">
        <v>43457</v>
      </c>
      <c r="C529" s="26" t="s">
        <v>29</v>
      </c>
      <c r="D529" s="24">
        <v>25.6</v>
      </c>
      <c r="E529" s="24">
        <v>40</v>
      </c>
      <c r="F529" s="27">
        <v>1024</v>
      </c>
      <c r="G529" s="26" t="s">
        <v>22</v>
      </c>
    </row>
    <row r="530" spans="1:7" x14ac:dyDescent="0.25">
      <c r="A530" s="24">
        <v>10068</v>
      </c>
      <c r="B530" s="25">
        <v>43459</v>
      </c>
      <c r="C530" s="26" t="s">
        <v>29</v>
      </c>
      <c r="D530" s="24">
        <v>12</v>
      </c>
      <c r="E530" s="24">
        <v>30</v>
      </c>
      <c r="F530" s="27">
        <v>360</v>
      </c>
      <c r="G530" s="26" t="s">
        <v>26</v>
      </c>
    </row>
    <row r="531" spans="1:7" x14ac:dyDescent="0.25">
      <c r="A531" s="24">
        <v>10068</v>
      </c>
      <c r="B531" s="25">
        <v>43459</v>
      </c>
      <c r="C531" s="26" t="s">
        <v>29</v>
      </c>
      <c r="D531" s="24">
        <v>11.2</v>
      </c>
      <c r="E531" s="24">
        <v>14</v>
      </c>
      <c r="F531" s="27">
        <v>156.80000000000001</v>
      </c>
      <c r="G531" s="26" t="s">
        <v>26</v>
      </c>
    </row>
    <row r="532" spans="1:7" x14ac:dyDescent="0.25">
      <c r="A532" s="24">
        <v>10069</v>
      </c>
      <c r="B532" s="25">
        <v>43461</v>
      </c>
      <c r="C532" s="26" t="s">
        <v>29</v>
      </c>
      <c r="D532" s="24">
        <v>39.4</v>
      </c>
      <c r="E532" s="24">
        <v>70</v>
      </c>
      <c r="F532" s="27">
        <v>2758</v>
      </c>
      <c r="G532" s="26" t="s">
        <v>22</v>
      </c>
    </row>
    <row r="533" spans="1:7" x14ac:dyDescent="0.25">
      <c r="A533" s="24">
        <v>10069</v>
      </c>
      <c r="B533" s="25">
        <v>43461</v>
      </c>
      <c r="C533" s="26" t="s">
        <v>29</v>
      </c>
      <c r="D533" s="24">
        <v>7.7</v>
      </c>
      <c r="E533" s="24">
        <v>10</v>
      </c>
      <c r="F533" s="27">
        <v>77</v>
      </c>
      <c r="G533" s="26" t="s">
        <v>22</v>
      </c>
    </row>
    <row r="534" spans="1:7" x14ac:dyDescent="0.25">
      <c r="A534" s="24">
        <v>10070</v>
      </c>
      <c r="B534" s="25">
        <v>43467</v>
      </c>
      <c r="C534" s="26" t="s">
        <v>29</v>
      </c>
      <c r="D534" s="24">
        <v>14.4</v>
      </c>
      <c r="E534" s="24">
        <v>20</v>
      </c>
      <c r="F534" s="27">
        <v>288</v>
      </c>
      <c r="G534" s="26" t="s">
        <v>23</v>
      </c>
    </row>
    <row r="535" spans="1:7" x14ac:dyDescent="0.25">
      <c r="A535" s="24">
        <v>10071</v>
      </c>
      <c r="B535" s="25">
        <v>43469</v>
      </c>
      <c r="C535" s="26" t="s">
        <v>29</v>
      </c>
      <c r="D535" s="24">
        <v>14.4</v>
      </c>
      <c r="E535" s="24">
        <v>6</v>
      </c>
      <c r="F535" s="27">
        <v>86.4</v>
      </c>
      <c r="G535" s="26" t="s">
        <v>26</v>
      </c>
    </row>
    <row r="536" spans="1:7" x14ac:dyDescent="0.25">
      <c r="A536" s="24">
        <v>10071</v>
      </c>
      <c r="B536" s="25">
        <v>43469</v>
      </c>
      <c r="C536" s="26" t="s">
        <v>29</v>
      </c>
      <c r="D536" s="24">
        <v>7.7</v>
      </c>
      <c r="E536" s="24">
        <v>20</v>
      </c>
      <c r="F536" s="27">
        <v>154</v>
      </c>
      <c r="G536" s="26" t="s">
        <v>26</v>
      </c>
    </row>
    <row r="537" spans="1:7" x14ac:dyDescent="0.25">
      <c r="A537" s="24">
        <v>10072</v>
      </c>
      <c r="B537" s="25">
        <v>43471</v>
      </c>
      <c r="C537" s="26" t="s">
        <v>29</v>
      </c>
      <c r="D537" s="24">
        <v>14.4</v>
      </c>
      <c r="E537" s="24">
        <v>30</v>
      </c>
      <c r="F537" s="27">
        <v>432</v>
      </c>
      <c r="G537" s="26" t="s">
        <v>25</v>
      </c>
    </row>
    <row r="538" spans="1:7" x14ac:dyDescent="0.25">
      <c r="A538" s="24">
        <v>10072</v>
      </c>
      <c r="B538" s="25">
        <v>43471</v>
      </c>
      <c r="C538" s="26" t="s">
        <v>29</v>
      </c>
      <c r="D538" s="24">
        <v>36.4</v>
      </c>
      <c r="E538" s="24">
        <v>14</v>
      </c>
      <c r="F538" s="27">
        <v>509.6</v>
      </c>
      <c r="G538" s="26" t="s">
        <v>25</v>
      </c>
    </row>
    <row r="539" spans="1:7" x14ac:dyDescent="0.25">
      <c r="A539" s="24">
        <v>10077</v>
      </c>
      <c r="B539" s="25">
        <v>43483</v>
      </c>
      <c r="C539" s="26" t="s">
        <v>29</v>
      </c>
      <c r="D539" s="24">
        <v>14.4</v>
      </c>
      <c r="E539" s="24">
        <v>70</v>
      </c>
      <c r="F539" s="27">
        <v>1008</v>
      </c>
      <c r="G539" s="26" t="s">
        <v>27</v>
      </c>
    </row>
    <row r="540" spans="1:7" x14ac:dyDescent="0.25">
      <c r="A540" s="24">
        <v>10077</v>
      </c>
      <c r="B540" s="25">
        <v>43483</v>
      </c>
      <c r="C540" s="26" t="s">
        <v>29</v>
      </c>
      <c r="D540" s="24">
        <v>44</v>
      </c>
      <c r="E540" s="24">
        <v>40</v>
      </c>
      <c r="F540" s="27">
        <v>1760</v>
      </c>
      <c r="G540" s="26" t="s">
        <v>27</v>
      </c>
    </row>
    <row r="541" spans="1:7" x14ac:dyDescent="0.25">
      <c r="A541" s="24">
        <v>10077</v>
      </c>
      <c r="B541" s="25">
        <v>43483</v>
      </c>
      <c r="C541" s="26" t="s">
        <v>29</v>
      </c>
      <c r="D541" s="24">
        <v>13.9</v>
      </c>
      <c r="E541" s="24">
        <v>21</v>
      </c>
      <c r="F541" s="27">
        <v>291.89999999999998</v>
      </c>
      <c r="G541" s="26" t="s">
        <v>27</v>
      </c>
    </row>
    <row r="542" spans="1:7" x14ac:dyDescent="0.25">
      <c r="A542" s="24">
        <v>10077</v>
      </c>
      <c r="B542" s="25">
        <v>43483</v>
      </c>
      <c r="C542" s="26" t="s">
        <v>29</v>
      </c>
      <c r="D542" s="24">
        <v>9.6</v>
      </c>
      <c r="E542" s="24">
        <v>30</v>
      </c>
      <c r="F542" s="27">
        <v>288</v>
      </c>
      <c r="G542" s="26" t="s">
        <v>27</v>
      </c>
    </row>
    <row r="543" spans="1:7" x14ac:dyDescent="0.25">
      <c r="A543" s="24">
        <v>10078</v>
      </c>
      <c r="B543" s="25">
        <v>43485</v>
      </c>
      <c r="C543" s="26" t="s">
        <v>29</v>
      </c>
      <c r="D543" s="24">
        <v>27.8</v>
      </c>
      <c r="E543" s="24">
        <v>40</v>
      </c>
      <c r="F543" s="27">
        <v>1112</v>
      </c>
      <c r="G543" s="26" t="s">
        <v>25</v>
      </c>
    </row>
    <row r="544" spans="1:7" x14ac:dyDescent="0.25">
      <c r="A544" s="24">
        <v>10078</v>
      </c>
      <c r="B544" s="25">
        <v>43485</v>
      </c>
      <c r="C544" s="26" t="s">
        <v>29</v>
      </c>
      <c r="D544" s="24">
        <v>20</v>
      </c>
      <c r="E544" s="24">
        <v>6</v>
      </c>
      <c r="F544" s="27">
        <v>120</v>
      </c>
      <c r="G544" s="26" t="s">
        <v>25</v>
      </c>
    </row>
    <row r="545" spans="1:7" x14ac:dyDescent="0.25">
      <c r="A545" s="24">
        <v>10078</v>
      </c>
      <c r="B545" s="25">
        <v>43485</v>
      </c>
      <c r="C545" s="26" t="s">
        <v>29</v>
      </c>
      <c r="D545" s="24">
        <v>10</v>
      </c>
      <c r="E545" s="24">
        <v>4</v>
      </c>
      <c r="F545" s="27">
        <v>40</v>
      </c>
      <c r="G545" s="26" t="s">
        <v>25</v>
      </c>
    </row>
    <row r="546" spans="1:7" x14ac:dyDescent="0.25">
      <c r="A546" s="24">
        <v>10078</v>
      </c>
      <c r="B546" s="25">
        <v>43485</v>
      </c>
      <c r="C546" s="26" t="s">
        <v>29</v>
      </c>
      <c r="D546" s="24">
        <v>18.600000000000001</v>
      </c>
      <c r="E546" s="24">
        <v>9</v>
      </c>
      <c r="F546" s="27">
        <v>167.4</v>
      </c>
      <c r="G546" s="26" t="s">
        <v>25</v>
      </c>
    </row>
    <row r="547" spans="1:7" x14ac:dyDescent="0.25">
      <c r="A547" s="24">
        <v>10078</v>
      </c>
      <c r="B547" s="25">
        <v>43485</v>
      </c>
      <c r="C547" s="26" t="s">
        <v>29</v>
      </c>
      <c r="D547" s="24">
        <v>4.8</v>
      </c>
      <c r="E547" s="24">
        <v>12</v>
      </c>
      <c r="F547" s="27">
        <v>57.6</v>
      </c>
      <c r="G547" s="26" t="s">
        <v>25</v>
      </c>
    </row>
    <row r="548" spans="1:7" x14ac:dyDescent="0.25">
      <c r="A548" s="24">
        <v>10079</v>
      </c>
      <c r="B548" s="25">
        <v>43487</v>
      </c>
      <c r="C548" s="26" t="s">
        <v>29</v>
      </c>
      <c r="D548" s="24">
        <v>6.2</v>
      </c>
      <c r="E548" s="24">
        <v>50</v>
      </c>
      <c r="F548" s="27">
        <v>310</v>
      </c>
      <c r="G548" s="26" t="s">
        <v>25</v>
      </c>
    </row>
    <row r="549" spans="1:7" x14ac:dyDescent="0.25">
      <c r="A549" s="24">
        <v>10079</v>
      </c>
      <c r="B549" s="25">
        <v>43487</v>
      </c>
      <c r="C549" s="26" t="s">
        <v>29</v>
      </c>
      <c r="D549" s="24">
        <v>15.6</v>
      </c>
      <c r="E549" s="24">
        <v>16</v>
      </c>
      <c r="F549" s="27">
        <v>249.6</v>
      </c>
      <c r="G549" s="26" t="s">
        <v>25</v>
      </c>
    </row>
    <row r="550" spans="1:7" x14ac:dyDescent="0.25">
      <c r="A550" s="24">
        <v>10079</v>
      </c>
      <c r="B550" s="25">
        <v>43487</v>
      </c>
      <c r="C550" s="26" t="s">
        <v>29</v>
      </c>
      <c r="D550" s="24">
        <v>17.600000000000001</v>
      </c>
      <c r="E550" s="24">
        <v>24</v>
      </c>
      <c r="F550" s="27">
        <v>422.4</v>
      </c>
      <c r="G550" s="26" t="s">
        <v>25</v>
      </c>
    </row>
    <row r="551" spans="1:7" x14ac:dyDescent="0.25">
      <c r="A551" s="24">
        <v>10082</v>
      </c>
      <c r="B551" s="25">
        <v>43497</v>
      </c>
      <c r="C551" s="26" t="s">
        <v>29</v>
      </c>
      <c r="D551" s="24">
        <v>30.4</v>
      </c>
      <c r="E551" s="24">
        <v>12</v>
      </c>
      <c r="F551" s="27">
        <v>364.8</v>
      </c>
      <c r="G551" s="26" t="s">
        <v>22</v>
      </c>
    </row>
    <row r="552" spans="1:7" x14ac:dyDescent="0.25">
      <c r="A552" s="24">
        <v>10082</v>
      </c>
      <c r="B552" s="25">
        <v>43497</v>
      </c>
      <c r="C552" s="26" t="s">
        <v>29</v>
      </c>
      <c r="D552" s="24">
        <v>210.8</v>
      </c>
      <c r="E552" s="24">
        <v>20</v>
      </c>
      <c r="F552" s="27">
        <v>4216</v>
      </c>
      <c r="G552" s="26" t="s">
        <v>22</v>
      </c>
    </row>
    <row r="553" spans="1:7" x14ac:dyDescent="0.25">
      <c r="A553" s="24">
        <v>10082</v>
      </c>
      <c r="B553" s="25">
        <v>43497</v>
      </c>
      <c r="C553" s="26" t="s">
        <v>29</v>
      </c>
      <c r="D553" s="24">
        <v>20.7</v>
      </c>
      <c r="E553" s="24">
        <v>8</v>
      </c>
      <c r="F553" s="27">
        <v>165.6</v>
      </c>
      <c r="G553" s="26" t="s">
        <v>22</v>
      </c>
    </row>
    <row r="554" spans="1:7" x14ac:dyDescent="0.25">
      <c r="A554" s="24">
        <v>10082</v>
      </c>
      <c r="B554" s="25">
        <v>43497</v>
      </c>
      <c r="C554" s="26" t="s">
        <v>29</v>
      </c>
      <c r="D554" s="24">
        <v>7.3</v>
      </c>
      <c r="E554" s="24">
        <v>10</v>
      </c>
      <c r="F554" s="27">
        <v>73</v>
      </c>
      <c r="G554" s="26" t="s">
        <v>22</v>
      </c>
    </row>
    <row r="555" spans="1:7" x14ac:dyDescent="0.25">
      <c r="A555" s="24">
        <v>10083</v>
      </c>
      <c r="B555" s="25">
        <v>43499</v>
      </c>
      <c r="C555" s="26" t="s">
        <v>29</v>
      </c>
      <c r="D555" s="24">
        <v>24.9</v>
      </c>
      <c r="E555" s="24">
        <v>50</v>
      </c>
      <c r="F555" s="27">
        <v>1245</v>
      </c>
      <c r="G555" s="26" t="s">
        <v>23</v>
      </c>
    </row>
    <row r="556" spans="1:7" x14ac:dyDescent="0.25">
      <c r="A556" s="24">
        <v>10083</v>
      </c>
      <c r="B556" s="25">
        <v>43499</v>
      </c>
      <c r="C556" s="26" t="s">
        <v>29</v>
      </c>
      <c r="D556" s="24">
        <v>27.8</v>
      </c>
      <c r="E556" s="24">
        <v>25</v>
      </c>
      <c r="F556" s="27">
        <v>695</v>
      </c>
      <c r="G556" s="26" t="s">
        <v>23</v>
      </c>
    </row>
    <row r="557" spans="1:7" x14ac:dyDescent="0.25">
      <c r="A557" s="24">
        <v>10084</v>
      </c>
      <c r="B557" s="25">
        <v>43499</v>
      </c>
      <c r="C557" s="26" t="s">
        <v>29</v>
      </c>
      <c r="D557" s="24">
        <v>5.9</v>
      </c>
      <c r="E557" s="24">
        <v>15</v>
      </c>
      <c r="F557" s="27">
        <v>88.5</v>
      </c>
      <c r="G557" s="26" t="s">
        <v>27</v>
      </c>
    </row>
    <row r="558" spans="1:7" x14ac:dyDescent="0.25">
      <c r="A558" s="24">
        <v>10085</v>
      </c>
      <c r="B558" s="25">
        <v>43501</v>
      </c>
      <c r="C558" s="26" t="s">
        <v>29</v>
      </c>
      <c r="D558" s="24">
        <v>50</v>
      </c>
      <c r="E558" s="24">
        <v>40</v>
      </c>
      <c r="F558" s="27">
        <v>2000</v>
      </c>
      <c r="G558" s="26" t="s">
        <v>26</v>
      </c>
    </row>
    <row r="559" spans="1:7" x14ac:dyDescent="0.25">
      <c r="A559" s="24">
        <v>10085</v>
      </c>
      <c r="B559" s="25">
        <v>43501</v>
      </c>
      <c r="C559" s="26" t="s">
        <v>29</v>
      </c>
      <c r="D559" s="24">
        <v>7.6</v>
      </c>
      <c r="E559" s="24">
        <v>16</v>
      </c>
      <c r="F559" s="27">
        <v>121.6</v>
      </c>
      <c r="G559" s="26" t="s">
        <v>26</v>
      </c>
    </row>
    <row r="560" spans="1:7" x14ac:dyDescent="0.25">
      <c r="A560" s="24">
        <v>10085</v>
      </c>
      <c r="B560" s="25">
        <v>43501</v>
      </c>
      <c r="C560" s="26" t="s">
        <v>29</v>
      </c>
      <c r="D560" s="24">
        <v>11.2</v>
      </c>
      <c r="E560" s="24">
        <v>10</v>
      </c>
      <c r="F560" s="27">
        <v>112</v>
      </c>
      <c r="G560" s="26" t="s">
        <v>26</v>
      </c>
    </row>
    <row r="561" spans="1:7" x14ac:dyDescent="0.25">
      <c r="A561" s="24">
        <v>10086</v>
      </c>
      <c r="B561" s="25">
        <v>43503</v>
      </c>
      <c r="C561" s="26" t="s">
        <v>29</v>
      </c>
      <c r="D561" s="24">
        <v>8</v>
      </c>
      <c r="E561" s="24">
        <v>10</v>
      </c>
      <c r="F561" s="27">
        <v>80</v>
      </c>
      <c r="G561" s="26" t="s">
        <v>22</v>
      </c>
    </row>
    <row r="562" spans="1:7" x14ac:dyDescent="0.25">
      <c r="A562" s="24">
        <v>10086</v>
      </c>
      <c r="B562" s="25">
        <v>43503</v>
      </c>
      <c r="C562" s="26" t="s">
        <v>29</v>
      </c>
      <c r="D562" s="24">
        <v>17.2</v>
      </c>
      <c r="E562" s="24">
        <v>40</v>
      </c>
      <c r="F562" s="27">
        <v>688</v>
      </c>
      <c r="G562" s="26" t="s">
        <v>22</v>
      </c>
    </row>
    <row r="563" spans="1:7" x14ac:dyDescent="0.25">
      <c r="A563" s="24">
        <v>10086</v>
      </c>
      <c r="B563" s="25">
        <v>43503</v>
      </c>
      <c r="C563" s="26" t="s">
        <v>29</v>
      </c>
      <c r="D563" s="24">
        <v>18.600000000000001</v>
      </c>
      <c r="E563" s="24">
        <v>10</v>
      </c>
      <c r="F563" s="27">
        <v>186</v>
      </c>
      <c r="G563" s="26" t="s">
        <v>22</v>
      </c>
    </row>
    <row r="564" spans="1:7" x14ac:dyDescent="0.25">
      <c r="A564" s="24">
        <v>10087</v>
      </c>
      <c r="B564" s="25">
        <v>43509</v>
      </c>
      <c r="C564" s="26" t="s">
        <v>29</v>
      </c>
      <c r="D564" s="24">
        <v>10</v>
      </c>
      <c r="E564" s="24">
        <v>10</v>
      </c>
      <c r="F564" s="27">
        <v>100</v>
      </c>
      <c r="G564" s="26" t="s">
        <v>22</v>
      </c>
    </row>
    <row r="565" spans="1:7" x14ac:dyDescent="0.25">
      <c r="A565" s="24">
        <v>10087</v>
      </c>
      <c r="B565" s="25">
        <v>43509</v>
      </c>
      <c r="C565" s="26" t="s">
        <v>29</v>
      </c>
      <c r="D565" s="24">
        <v>5.6</v>
      </c>
      <c r="E565" s="24">
        <v>8</v>
      </c>
      <c r="F565" s="27">
        <v>44.8</v>
      </c>
      <c r="G565" s="26" t="s">
        <v>22</v>
      </c>
    </row>
    <row r="566" spans="1:7" x14ac:dyDescent="0.25">
      <c r="A566" s="24">
        <v>10088</v>
      </c>
      <c r="B566" s="25">
        <v>43511</v>
      </c>
      <c r="C566" s="26" t="s">
        <v>29</v>
      </c>
      <c r="D566" s="24">
        <v>25.6</v>
      </c>
      <c r="E566" s="24">
        <v>6</v>
      </c>
      <c r="F566" s="27">
        <v>153.6</v>
      </c>
      <c r="G566" s="26" t="s">
        <v>26</v>
      </c>
    </row>
    <row r="567" spans="1:7" x14ac:dyDescent="0.25">
      <c r="A567" s="24">
        <v>10088</v>
      </c>
      <c r="B567" s="25">
        <v>43511</v>
      </c>
      <c r="C567" s="26" t="s">
        <v>29</v>
      </c>
      <c r="D567" s="24">
        <v>15.2</v>
      </c>
      <c r="E567" s="24">
        <v>7</v>
      </c>
      <c r="F567" s="27">
        <v>106.4</v>
      </c>
      <c r="G567" s="26" t="s">
        <v>26</v>
      </c>
    </row>
    <row r="568" spans="1:7" x14ac:dyDescent="0.25">
      <c r="A568" s="24">
        <v>10088</v>
      </c>
      <c r="B568" s="25">
        <v>43511</v>
      </c>
      <c r="C568" s="26" t="s">
        <v>29</v>
      </c>
      <c r="D568" s="24">
        <v>10</v>
      </c>
      <c r="E568" s="24">
        <v>25</v>
      </c>
      <c r="F568" s="27">
        <v>250</v>
      </c>
      <c r="G568" s="26" t="s">
        <v>26</v>
      </c>
    </row>
    <row r="569" spans="1:7" x14ac:dyDescent="0.25">
      <c r="A569" s="24">
        <v>10089</v>
      </c>
      <c r="B569" s="25">
        <v>43513</v>
      </c>
      <c r="C569" s="26" t="s">
        <v>29</v>
      </c>
      <c r="D569" s="24">
        <v>17.600000000000001</v>
      </c>
      <c r="E569" s="24">
        <v>18</v>
      </c>
      <c r="F569" s="27">
        <v>316.8</v>
      </c>
      <c r="G569" s="26" t="s">
        <v>22</v>
      </c>
    </row>
    <row r="570" spans="1:7" x14ac:dyDescent="0.25">
      <c r="A570" s="24">
        <v>10090</v>
      </c>
      <c r="B570" s="25">
        <v>43515</v>
      </c>
      <c r="C570" s="26" t="s">
        <v>29</v>
      </c>
      <c r="D570" s="24">
        <v>15.2</v>
      </c>
      <c r="E570" s="24">
        <v>20</v>
      </c>
      <c r="F570" s="27">
        <v>304</v>
      </c>
      <c r="G570" s="26" t="s">
        <v>22</v>
      </c>
    </row>
    <row r="571" spans="1:7" x14ac:dyDescent="0.25">
      <c r="A571" s="24">
        <v>10090</v>
      </c>
      <c r="B571" s="25">
        <v>43515</v>
      </c>
      <c r="C571" s="26" t="s">
        <v>29</v>
      </c>
      <c r="D571" s="24">
        <v>20.8</v>
      </c>
      <c r="E571" s="24">
        <v>28</v>
      </c>
      <c r="F571" s="27">
        <v>582.4</v>
      </c>
      <c r="G571" s="26" t="s">
        <v>22</v>
      </c>
    </row>
    <row r="572" spans="1:7" x14ac:dyDescent="0.25">
      <c r="A572" s="24">
        <v>10092</v>
      </c>
      <c r="B572" s="25">
        <v>43523</v>
      </c>
      <c r="C572" s="26" t="s">
        <v>29</v>
      </c>
      <c r="D572" s="24">
        <v>17.600000000000001</v>
      </c>
      <c r="E572" s="24">
        <v>10</v>
      </c>
      <c r="F572" s="27">
        <v>176</v>
      </c>
      <c r="G572" s="26" t="s">
        <v>22</v>
      </c>
    </row>
    <row r="573" spans="1:7" x14ac:dyDescent="0.25">
      <c r="A573" s="24">
        <v>10093</v>
      </c>
      <c r="B573" s="25">
        <v>43525</v>
      </c>
      <c r="C573" s="26" t="s">
        <v>29</v>
      </c>
      <c r="D573" s="24">
        <v>36.799999999999997</v>
      </c>
      <c r="E573" s="24">
        <v>40</v>
      </c>
      <c r="F573" s="27">
        <v>1472</v>
      </c>
      <c r="G573" s="26" t="s">
        <v>27</v>
      </c>
    </row>
    <row r="574" spans="1:7" x14ac:dyDescent="0.25">
      <c r="A574" s="24">
        <v>10093</v>
      </c>
      <c r="B574" s="25">
        <v>43525</v>
      </c>
      <c r="C574" s="26" t="s">
        <v>29</v>
      </c>
      <c r="D574" s="24">
        <v>50</v>
      </c>
      <c r="E574" s="24">
        <v>20</v>
      </c>
      <c r="F574" s="27">
        <v>1000</v>
      </c>
      <c r="G574" s="26" t="s">
        <v>27</v>
      </c>
    </row>
    <row r="575" spans="1:7" x14ac:dyDescent="0.25">
      <c r="A575" s="24">
        <v>10093</v>
      </c>
      <c r="B575" s="25">
        <v>43525</v>
      </c>
      <c r="C575" s="26" t="s">
        <v>29</v>
      </c>
      <c r="D575" s="24">
        <v>7.7</v>
      </c>
      <c r="E575" s="24">
        <v>12</v>
      </c>
      <c r="F575" s="27">
        <v>92.4</v>
      </c>
      <c r="G575" s="26" t="s">
        <v>27</v>
      </c>
    </row>
    <row r="576" spans="1:7" x14ac:dyDescent="0.25">
      <c r="A576" s="24">
        <v>10094</v>
      </c>
      <c r="B576" s="25">
        <v>43525</v>
      </c>
      <c r="C576" s="26" t="s">
        <v>29</v>
      </c>
      <c r="D576" s="24">
        <v>44</v>
      </c>
      <c r="E576" s="24">
        <v>9</v>
      </c>
      <c r="F576" s="27">
        <v>396</v>
      </c>
      <c r="G576" s="26" t="s">
        <v>26</v>
      </c>
    </row>
    <row r="577" spans="1:7" x14ac:dyDescent="0.25">
      <c r="A577" s="24">
        <v>10094</v>
      </c>
      <c r="B577" s="25">
        <v>43525</v>
      </c>
      <c r="C577" s="26" t="s">
        <v>29</v>
      </c>
      <c r="D577" s="24">
        <v>2</v>
      </c>
      <c r="E577" s="24">
        <v>8</v>
      </c>
      <c r="F577" s="27">
        <v>16</v>
      </c>
      <c r="G577" s="26" t="s">
        <v>26</v>
      </c>
    </row>
    <row r="578" spans="1:7" x14ac:dyDescent="0.25">
      <c r="A578" s="24">
        <v>10095</v>
      </c>
      <c r="B578" s="25">
        <v>43527</v>
      </c>
      <c r="C578" s="26" t="s">
        <v>29</v>
      </c>
      <c r="D578" s="24">
        <v>15.2</v>
      </c>
      <c r="E578" s="24">
        <v>24</v>
      </c>
      <c r="F578" s="27">
        <v>364.8</v>
      </c>
      <c r="G578" s="26" t="s">
        <v>27</v>
      </c>
    </row>
    <row r="579" spans="1:7" x14ac:dyDescent="0.25">
      <c r="A579" s="24">
        <v>10095</v>
      </c>
      <c r="B579" s="25">
        <v>43527</v>
      </c>
      <c r="C579" s="26" t="s">
        <v>29</v>
      </c>
      <c r="D579" s="24">
        <v>15.2</v>
      </c>
      <c r="E579" s="24">
        <v>40</v>
      </c>
      <c r="F579" s="27">
        <v>608</v>
      </c>
      <c r="G579" s="26" t="s">
        <v>27</v>
      </c>
    </row>
    <row r="580" spans="1:7" x14ac:dyDescent="0.25">
      <c r="A580" s="24">
        <v>10098</v>
      </c>
      <c r="B580" s="25">
        <v>43537</v>
      </c>
      <c r="C580" s="26" t="s">
        <v>29</v>
      </c>
      <c r="D580" s="24">
        <v>7.3</v>
      </c>
      <c r="E580" s="24">
        <v>80</v>
      </c>
      <c r="F580" s="27">
        <v>584</v>
      </c>
      <c r="G580" s="26" t="s">
        <v>26</v>
      </c>
    </row>
    <row r="581" spans="1:7" x14ac:dyDescent="0.25">
      <c r="A581" s="24">
        <v>10098</v>
      </c>
      <c r="B581" s="25">
        <v>43537</v>
      </c>
      <c r="C581" s="26" t="s">
        <v>29</v>
      </c>
      <c r="D581" s="24">
        <v>11.2</v>
      </c>
      <c r="E581" s="24">
        <v>9</v>
      </c>
      <c r="F581" s="27">
        <v>100.8</v>
      </c>
      <c r="G581" s="26" t="s">
        <v>26</v>
      </c>
    </row>
    <row r="582" spans="1:7" x14ac:dyDescent="0.25">
      <c r="A582" s="24">
        <v>10098</v>
      </c>
      <c r="B582" s="25">
        <v>43537</v>
      </c>
      <c r="C582" s="26" t="s">
        <v>29</v>
      </c>
      <c r="D582" s="24">
        <v>32</v>
      </c>
      <c r="E582" s="24">
        <v>70</v>
      </c>
      <c r="F582" s="27">
        <v>2240</v>
      </c>
      <c r="G582" s="26" t="s">
        <v>26</v>
      </c>
    </row>
    <row r="583" spans="1:7" x14ac:dyDescent="0.25">
      <c r="A583" s="24">
        <v>10099</v>
      </c>
      <c r="B583" s="25">
        <v>43539</v>
      </c>
      <c r="C583" s="26" t="s">
        <v>29</v>
      </c>
      <c r="D583" s="24">
        <v>30.4</v>
      </c>
      <c r="E583" s="24">
        <v>20</v>
      </c>
      <c r="F583" s="27">
        <v>608</v>
      </c>
      <c r="G583" s="26" t="s">
        <v>22</v>
      </c>
    </row>
    <row r="584" spans="1:7" x14ac:dyDescent="0.25">
      <c r="A584" s="24">
        <v>10100</v>
      </c>
      <c r="B584" s="25">
        <v>43541</v>
      </c>
      <c r="C584" s="26" t="s">
        <v>29</v>
      </c>
      <c r="D584" s="24">
        <v>6.2</v>
      </c>
      <c r="E584" s="24">
        <v>6</v>
      </c>
      <c r="F584" s="27">
        <v>37.200000000000003</v>
      </c>
      <c r="G584" s="26" t="s">
        <v>22</v>
      </c>
    </row>
    <row r="585" spans="1:7" x14ac:dyDescent="0.25">
      <c r="A585" s="24">
        <v>10100</v>
      </c>
      <c r="B585" s="25">
        <v>43541</v>
      </c>
      <c r="C585" s="26" t="s">
        <v>29</v>
      </c>
      <c r="D585" s="24">
        <v>14.4</v>
      </c>
      <c r="E585" s="24">
        <v>50</v>
      </c>
      <c r="F585" s="27">
        <v>720</v>
      </c>
      <c r="G585" s="26" t="s">
        <v>22</v>
      </c>
    </row>
    <row r="586" spans="1:7" x14ac:dyDescent="0.25">
      <c r="A586" s="24">
        <v>10100</v>
      </c>
      <c r="B586" s="25">
        <v>43541</v>
      </c>
      <c r="C586" s="26" t="s">
        <v>29</v>
      </c>
      <c r="D586" s="24">
        <v>11.2</v>
      </c>
      <c r="E586" s="24">
        <v>10</v>
      </c>
      <c r="F586" s="27">
        <v>112</v>
      </c>
      <c r="G586" s="26" t="s">
        <v>22</v>
      </c>
    </row>
    <row r="587" spans="1:7" x14ac:dyDescent="0.25">
      <c r="A587" s="24">
        <v>10100</v>
      </c>
      <c r="B587" s="25">
        <v>43541</v>
      </c>
      <c r="C587" s="26" t="s">
        <v>29</v>
      </c>
      <c r="D587" s="24">
        <v>14.7</v>
      </c>
      <c r="E587" s="24">
        <v>4</v>
      </c>
      <c r="F587" s="27">
        <v>58.8</v>
      </c>
      <c r="G587" s="26" t="s">
        <v>22</v>
      </c>
    </row>
    <row r="588" spans="1:7" x14ac:dyDescent="0.25">
      <c r="A588" s="24">
        <v>10101</v>
      </c>
      <c r="B588" s="25">
        <v>43543</v>
      </c>
      <c r="C588" s="26" t="s">
        <v>29</v>
      </c>
      <c r="D588" s="24">
        <v>14.4</v>
      </c>
      <c r="E588" s="24">
        <v>15</v>
      </c>
      <c r="F588" s="27">
        <v>216</v>
      </c>
      <c r="G588" s="26" t="s">
        <v>22</v>
      </c>
    </row>
    <row r="589" spans="1:7" x14ac:dyDescent="0.25">
      <c r="A589" s="24">
        <v>10101</v>
      </c>
      <c r="B589" s="25">
        <v>43543</v>
      </c>
      <c r="C589" s="26" t="s">
        <v>29</v>
      </c>
      <c r="D589" s="24">
        <v>7.2</v>
      </c>
      <c r="E589" s="24">
        <v>25</v>
      </c>
      <c r="F589" s="27">
        <v>180</v>
      </c>
      <c r="G589" s="26" t="s">
        <v>22</v>
      </c>
    </row>
    <row r="590" spans="1:7" x14ac:dyDescent="0.25">
      <c r="A590" s="24">
        <v>10105</v>
      </c>
      <c r="B590" s="25">
        <v>43553</v>
      </c>
      <c r="C590" s="26" t="s">
        <v>29</v>
      </c>
      <c r="D590" s="24">
        <v>5.9</v>
      </c>
      <c r="E590" s="24">
        <v>20</v>
      </c>
      <c r="F590" s="27">
        <v>118</v>
      </c>
      <c r="G590" s="26" t="s">
        <v>22</v>
      </c>
    </row>
    <row r="591" spans="1:7" x14ac:dyDescent="0.25">
      <c r="A591" s="24">
        <v>10105</v>
      </c>
      <c r="B591" s="25">
        <v>43553</v>
      </c>
      <c r="C591" s="26" t="s">
        <v>29</v>
      </c>
      <c r="D591" s="24">
        <v>3.6</v>
      </c>
      <c r="E591" s="24">
        <v>10</v>
      </c>
      <c r="F591" s="27">
        <v>36</v>
      </c>
      <c r="G591" s="26" t="s">
        <v>22</v>
      </c>
    </row>
    <row r="592" spans="1:7" x14ac:dyDescent="0.25">
      <c r="A592" s="24">
        <v>10106</v>
      </c>
      <c r="B592" s="25">
        <v>43555</v>
      </c>
      <c r="C592" s="26" t="s">
        <v>29</v>
      </c>
      <c r="D592" s="24">
        <v>210.8</v>
      </c>
      <c r="E592" s="24">
        <v>50</v>
      </c>
      <c r="F592" s="27">
        <v>10540</v>
      </c>
      <c r="G592" s="26" t="s">
        <v>22</v>
      </c>
    </row>
    <row r="593" spans="1:7" x14ac:dyDescent="0.25">
      <c r="A593" s="24">
        <v>10106</v>
      </c>
      <c r="B593" s="25">
        <v>43555</v>
      </c>
      <c r="C593" s="26" t="s">
        <v>29</v>
      </c>
      <c r="D593" s="24">
        <v>16.8</v>
      </c>
      <c r="E593" s="24">
        <v>12</v>
      </c>
      <c r="F593" s="27">
        <v>201.6</v>
      </c>
      <c r="G593" s="26" t="s">
        <v>22</v>
      </c>
    </row>
    <row r="594" spans="1:7" x14ac:dyDescent="0.25">
      <c r="A594" s="24">
        <v>10107</v>
      </c>
      <c r="B594" s="25">
        <v>43557</v>
      </c>
      <c r="C594" s="26" t="s">
        <v>29</v>
      </c>
      <c r="D594" s="24">
        <v>14.4</v>
      </c>
      <c r="E594" s="24">
        <v>12</v>
      </c>
      <c r="F594" s="27">
        <v>172.8</v>
      </c>
      <c r="G594" s="26" t="s">
        <v>27</v>
      </c>
    </row>
    <row r="595" spans="1:7" x14ac:dyDescent="0.25">
      <c r="A595" s="24">
        <v>10107</v>
      </c>
      <c r="B595" s="25">
        <v>43557</v>
      </c>
      <c r="C595" s="26" t="s">
        <v>29</v>
      </c>
      <c r="D595" s="24">
        <v>99</v>
      </c>
      <c r="E595" s="24">
        <v>4</v>
      </c>
      <c r="F595" s="27">
        <v>396</v>
      </c>
      <c r="G595" s="26" t="s">
        <v>27</v>
      </c>
    </row>
    <row r="596" spans="1:7" x14ac:dyDescent="0.25">
      <c r="A596" s="24">
        <v>10108</v>
      </c>
      <c r="B596" s="25">
        <v>43559</v>
      </c>
      <c r="C596" s="26" t="s">
        <v>29</v>
      </c>
      <c r="D596" s="24">
        <v>3.6</v>
      </c>
      <c r="E596" s="24">
        <v>25</v>
      </c>
      <c r="F596" s="27">
        <v>90</v>
      </c>
      <c r="G596" s="26" t="s">
        <v>23</v>
      </c>
    </row>
    <row r="597" spans="1:7" x14ac:dyDescent="0.25">
      <c r="A597" s="24">
        <v>10108</v>
      </c>
      <c r="B597" s="25">
        <v>43559</v>
      </c>
      <c r="C597" s="26" t="s">
        <v>29</v>
      </c>
      <c r="D597" s="24">
        <v>15.6</v>
      </c>
      <c r="E597" s="24">
        <v>25</v>
      </c>
      <c r="F597" s="27">
        <v>390</v>
      </c>
      <c r="G597" s="26" t="s">
        <v>23</v>
      </c>
    </row>
    <row r="598" spans="1:7" x14ac:dyDescent="0.25">
      <c r="A598" s="24">
        <v>10109</v>
      </c>
      <c r="B598" s="25">
        <v>43565</v>
      </c>
      <c r="C598" s="26" t="s">
        <v>29</v>
      </c>
      <c r="D598" s="24">
        <v>19.2</v>
      </c>
      <c r="E598" s="24">
        <v>12</v>
      </c>
      <c r="F598" s="27">
        <v>230.4</v>
      </c>
      <c r="G598" s="26" t="s">
        <v>25</v>
      </c>
    </row>
    <row r="599" spans="1:7" x14ac:dyDescent="0.25">
      <c r="A599" s="24">
        <v>10109</v>
      </c>
      <c r="B599" s="25">
        <v>43565</v>
      </c>
      <c r="C599" s="26" t="s">
        <v>29</v>
      </c>
      <c r="D599" s="24">
        <v>28.8</v>
      </c>
      <c r="E599" s="24">
        <v>20</v>
      </c>
      <c r="F599" s="27">
        <v>576</v>
      </c>
      <c r="G599" s="26" t="s">
        <v>25</v>
      </c>
    </row>
    <row r="600" spans="1:7" x14ac:dyDescent="0.25">
      <c r="A600" s="24">
        <v>10109</v>
      </c>
      <c r="B600" s="25">
        <v>43565</v>
      </c>
      <c r="C600" s="26" t="s">
        <v>29</v>
      </c>
      <c r="D600" s="24">
        <v>10</v>
      </c>
      <c r="E600" s="24">
        <v>30</v>
      </c>
      <c r="F600" s="27">
        <v>300</v>
      </c>
      <c r="G600" s="26" t="s">
        <v>25</v>
      </c>
    </row>
    <row r="601" spans="1:7" x14ac:dyDescent="0.25">
      <c r="A601" s="24">
        <v>10110</v>
      </c>
      <c r="B601" s="25">
        <v>43567</v>
      </c>
      <c r="C601" s="26" t="s">
        <v>29</v>
      </c>
      <c r="D601" s="24">
        <v>27.2</v>
      </c>
      <c r="E601" s="24">
        <v>8</v>
      </c>
      <c r="F601" s="27">
        <v>217.6</v>
      </c>
      <c r="G601" s="26" t="s">
        <v>23</v>
      </c>
    </row>
    <row r="602" spans="1:7" x14ac:dyDescent="0.25">
      <c r="A602" s="24">
        <v>10110</v>
      </c>
      <c r="B602" s="25">
        <v>43567</v>
      </c>
      <c r="C602" s="26" t="s">
        <v>29</v>
      </c>
      <c r="D602" s="24">
        <v>24.9</v>
      </c>
      <c r="E602" s="24">
        <v>16</v>
      </c>
      <c r="F602" s="27">
        <v>398.4</v>
      </c>
      <c r="G602" s="26" t="s">
        <v>23</v>
      </c>
    </row>
    <row r="603" spans="1:7" x14ac:dyDescent="0.25">
      <c r="A603" s="24">
        <v>10110</v>
      </c>
      <c r="B603" s="25">
        <v>43567</v>
      </c>
      <c r="C603" s="26" t="s">
        <v>29</v>
      </c>
      <c r="D603" s="24">
        <v>24.8</v>
      </c>
      <c r="E603" s="24">
        <v>30</v>
      </c>
      <c r="F603" s="27">
        <v>744</v>
      </c>
      <c r="G603" s="26" t="s">
        <v>23</v>
      </c>
    </row>
    <row r="604" spans="1:7" x14ac:dyDescent="0.25">
      <c r="A604" s="24">
        <v>10111</v>
      </c>
      <c r="B604" s="25">
        <v>43569</v>
      </c>
      <c r="C604" s="26" t="s">
        <v>29</v>
      </c>
      <c r="D604" s="24">
        <v>11.2</v>
      </c>
      <c r="E604" s="24">
        <v>10</v>
      </c>
      <c r="F604" s="27">
        <v>112</v>
      </c>
      <c r="G604" s="26" t="s">
        <v>22</v>
      </c>
    </row>
    <row r="605" spans="1:7" x14ac:dyDescent="0.25">
      <c r="A605" s="24">
        <v>10111</v>
      </c>
      <c r="B605" s="25">
        <v>43569</v>
      </c>
      <c r="C605" s="26" t="s">
        <v>29</v>
      </c>
      <c r="D605" s="24">
        <v>3.6</v>
      </c>
      <c r="E605" s="24">
        <v>10</v>
      </c>
      <c r="F605" s="27">
        <v>36</v>
      </c>
      <c r="G605" s="26" t="s">
        <v>22</v>
      </c>
    </row>
    <row r="606" spans="1:7" x14ac:dyDescent="0.25">
      <c r="A606" s="24">
        <v>10111</v>
      </c>
      <c r="B606" s="25">
        <v>43569</v>
      </c>
      <c r="C606" s="26" t="s">
        <v>29</v>
      </c>
      <c r="D606" s="24">
        <v>15.2</v>
      </c>
      <c r="E606" s="24">
        <v>20</v>
      </c>
      <c r="F606" s="27">
        <v>304</v>
      </c>
      <c r="G606" s="26" t="s">
        <v>22</v>
      </c>
    </row>
    <row r="607" spans="1:7" x14ac:dyDescent="0.25">
      <c r="A607" s="24">
        <v>10112</v>
      </c>
      <c r="B607" s="25">
        <v>43571</v>
      </c>
      <c r="C607" s="26" t="s">
        <v>29</v>
      </c>
      <c r="D607" s="24">
        <v>10</v>
      </c>
      <c r="E607" s="24">
        <v>70</v>
      </c>
      <c r="F607" s="27">
        <v>700</v>
      </c>
      <c r="G607" s="26" t="s">
        <v>23</v>
      </c>
    </row>
    <row r="608" spans="1:7" x14ac:dyDescent="0.25">
      <c r="A608" s="24">
        <v>10112</v>
      </c>
      <c r="B608" s="25">
        <v>43571</v>
      </c>
      <c r="C608" s="26" t="s">
        <v>29</v>
      </c>
      <c r="D608" s="24">
        <v>27.2</v>
      </c>
      <c r="E608" s="24">
        <v>80</v>
      </c>
      <c r="F608" s="27">
        <v>2176</v>
      </c>
      <c r="G608" s="26" t="s">
        <v>23</v>
      </c>
    </row>
    <row r="609" spans="1:7" x14ac:dyDescent="0.25">
      <c r="A609" s="24">
        <v>10112</v>
      </c>
      <c r="B609" s="25">
        <v>43571</v>
      </c>
      <c r="C609" s="26" t="s">
        <v>29</v>
      </c>
      <c r="D609" s="24">
        <v>13.9</v>
      </c>
      <c r="E609" s="24">
        <v>56</v>
      </c>
      <c r="F609" s="27">
        <v>778.4</v>
      </c>
      <c r="G609" s="26" t="s">
        <v>23</v>
      </c>
    </row>
    <row r="610" spans="1:7" x14ac:dyDescent="0.25">
      <c r="A610" s="24">
        <v>10115</v>
      </c>
      <c r="B610" s="25">
        <v>43579</v>
      </c>
      <c r="C610" s="26" t="s">
        <v>29</v>
      </c>
      <c r="D610" s="24">
        <v>5.9</v>
      </c>
      <c r="E610" s="24">
        <v>24</v>
      </c>
      <c r="F610" s="27">
        <v>141.6</v>
      </c>
      <c r="G610" s="26" t="s">
        <v>22</v>
      </c>
    </row>
    <row r="611" spans="1:7" x14ac:dyDescent="0.25">
      <c r="A611" s="24">
        <v>10115</v>
      </c>
      <c r="B611" s="25">
        <v>43579</v>
      </c>
      <c r="C611" s="26" t="s">
        <v>29</v>
      </c>
      <c r="D611" s="24">
        <v>11.2</v>
      </c>
      <c r="E611" s="24">
        <v>50</v>
      </c>
      <c r="F611" s="27">
        <v>560</v>
      </c>
      <c r="G611" s="26" t="s">
        <v>22</v>
      </c>
    </row>
    <row r="612" spans="1:7" x14ac:dyDescent="0.25">
      <c r="A612" s="24">
        <v>10116</v>
      </c>
      <c r="B612" s="25">
        <v>43581</v>
      </c>
      <c r="C612" s="26" t="s">
        <v>29</v>
      </c>
      <c r="D612" s="24">
        <v>14.4</v>
      </c>
      <c r="E612" s="24">
        <v>12</v>
      </c>
      <c r="F612" s="27">
        <v>172.8</v>
      </c>
      <c r="G612" s="26" t="s">
        <v>22</v>
      </c>
    </row>
    <row r="613" spans="1:7" x14ac:dyDescent="0.25">
      <c r="A613" s="24">
        <v>10116</v>
      </c>
      <c r="B613" s="25">
        <v>43581</v>
      </c>
      <c r="C613" s="26" t="s">
        <v>29</v>
      </c>
      <c r="D613" s="24">
        <v>6.2</v>
      </c>
      <c r="E613" s="24">
        <v>12</v>
      </c>
      <c r="F613" s="27">
        <v>74.400000000000006</v>
      </c>
      <c r="G613" s="26" t="s">
        <v>22</v>
      </c>
    </row>
    <row r="614" spans="1:7" x14ac:dyDescent="0.25">
      <c r="A614" s="24">
        <v>10116</v>
      </c>
      <c r="B614" s="25">
        <v>43581</v>
      </c>
      <c r="C614" s="26" t="s">
        <v>29</v>
      </c>
      <c r="D614" s="24">
        <v>10</v>
      </c>
      <c r="E614" s="24">
        <v>20</v>
      </c>
      <c r="F614" s="27">
        <v>200</v>
      </c>
      <c r="G614" s="26" t="s">
        <v>22</v>
      </c>
    </row>
    <row r="615" spans="1:7" x14ac:dyDescent="0.25">
      <c r="A615" s="24">
        <v>10117</v>
      </c>
      <c r="B615" s="25">
        <v>43581</v>
      </c>
      <c r="C615" s="26" t="s">
        <v>29</v>
      </c>
      <c r="D615" s="24">
        <v>17.2</v>
      </c>
      <c r="E615" s="24">
        <v>5</v>
      </c>
      <c r="F615" s="27">
        <v>86</v>
      </c>
      <c r="G615" s="26" t="s">
        <v>23</v>
      </c>
    </row>
    <row r="616" spans="1:7" x14ac:dyDescent="0.25">
      <c r="A616" s="24">
        <v>10117</v>
      </c>
      <c r="B616" s="25">
        <v>43581</v>
      </c>
      <c r="C616" s="26" t="s">
        <v>29</v>
      </c>
      <c r="D616" s="24">
        <v>28.8</v>
      </c>
      <c r="E616" s="24">
        <v>30</v>
      </c>
      <c r="F616" s="27">
        <v>864</v>
      </c>
      <c r="G616" s="26" t="s">
        <v>23</v>
      </c>
    </row>
    <row r="617" spans="1:7" x14ac:dyDescent="0.25">
      <c r="A617" s="24">
        <v>10118</v>
      </c>
      <c r="B617" s="25">
        <v>43583</v>
      </c>
      <c r="C617" s="26" t="s">
        <v>29</v>
      </c>
      <c r="D617" s="24">
        <v>16.8</v>
      </c>
      <c r="E617" s="24">
        <v>24</v>
      </c>
      <c r="F617" s="27">
        <v>403.2</v>
      </c>
      <c r="G617" s="26" t="s">
        <v>22</v>
      </c>
    </row>
    <row r="618" spans="1:7" x14ac:dyDescent="0.25">
      <c r="A618" s="24">
        <v>10119</v>
      </c>
      <c r="B618" s="25">
        <v>43585</v>
      </c>
      <c r="C618" s="26" t="s">
        <v>29</v>
      </c>
      <c r="D618" s="24">
        <v>16.8</v>
      </c>
      <c r="E618" s="24">
        <v>5</v>
      </c>
      <c r="F618" s="27">
        <v>84</v>
      </c>
      <c r="G618" s="26" t="s">
        <v>25</v>
      </c>
    </row>
    <row r="619" spans="1:7" x14ac:dyDescent="0.25">
      <c r="A619" s="24">
        <v>10119</v>
      </c>
      <c r="B619" s="25">
        <v>43585</v>
      </c>
      <c r="C619" s="26" t="s">
        <v>29</v>
      </c>
      <c r="D619" s="24">
        <v>10.4</v>
      </c>
      <c r="E619" s="24">
        <v>5</v>
      </c>
      <c r="F619" s="27">
        <v>52</v>
      </c>
      <c r="G619" s="26" t="s">
        <v>25</v>
      </c>
    </row>
    <row r="620" spans="1:7" x14ac:dyDescent="0.25">
      <c r="A620" s="24">
        <v>10120</v>
      </c>
      <c r="B620" s="25">
        <v>43585</v>
      </c>
      <c r="C620" s="26" t="s">
        <v>29</v>
      </c>
      <c r="D620" s="24">
        <v>5.9</v>
      </c>
      <c r="E620" s="24">
        <v>18</v>
      </c>
      <c r="F620" s="27">
        <v>106.2</v>
      </c>
      <c r="G620" s="26" t="s">
        <v>22</v>
      </c>
    </row>
    <row r="621" spans="1:7" x14ac:dyDescent="0.25">
      <c r="A621" s="24">
        <v>10120</v>
      </c>
      <c r="B621" s="25">
        <v>43585</v>
      </c>
      <c r="C621" s="26" t="s">
        <v>29</v>
      </c>
      <c r="D621" s="24">
        <v>16.8</v>
      </c>
      <c r="E621" s="24">
        <v>15</v>
      </c>
      <c r="F621" s="27">
        <v>252</v>
      </c>
      <c r="G621" s="26" t="s">
        <v>22</v>
      </c>
    </row>
    <row r="622" spans="1:7" x14ac:dyDescent="0.25">
      <c r="A622" s="24">
        <v>10120</v>
      </c>
      <c r="B622" s="25">
        <v>43585</v>
      </c>
      <c r="C622" s="26" t="s">
        <v>29</v>
      </c>
      <c r="D622" s="24">
        <v>10.4</v>
      </c>
      <c r="E622" s="24">
        <v>7</v>
      </c>
      <c r="F622" s="27">
        <v>72.8</v>
      </c>
      <c r="G622" s="26" t="s">
        <v>22</v>
      </c>
    </row>
    <row r="623" spans="1:7" x14ac:dyDescent="0.25">
      <c r="A623" s="24">
        <v>10120</v>
      </c>
      <c r="B623" s="25">
        <v>43585</v>
      </c>
      <c r="C623" s="26" t="s">
        <v>29</v>
      </c>
      <c r="D623" s="24">
        <v>11.2</v>
      </c>
      <c r="E623" s="24">
        <v>36</v>
      </c>
      <c r="F623" s="27">
        <v>403.2</v>
      </c>
      <c r="G623" s="26" t="s">
        <v>22</v>
      </c>
    </row>
    <row r="624" spans="1:7" x14ac:dyDescent="0.25">
      <c r="A624" s="24">
        <v>10121</v>
      </c>
      <c r="B624" s="25">
        <v>43587</v>
      </c>
      <c r="C624" s="26" t="s">
        <v>29</v>
      </c>
      <c r="D624" s="24">
        <v>15.6</v>
      </c>
      <c r="E624" s="24">
        <v>25</v>
      </c>
      <c r="F624" s="27">
        <v>390</v>
      </c>
      <c r="G624" s="26" t="s">
        <v>26</v>
      </c>
    </row>
    <row r="625" spans="1:7" x14ac:dyDescent="0.25">
      <c r="A625" s="24">
        <v>10121</v>
      </c>
      <c r="B625" s="25">
        <v>43587</v>
      </c>
      <c r="C625" s="26" t="s">
        <v>29</v>
      </c>
      <c r="D625" s="24">
        <v>26.6</v>
      </c>
      <c r="E625" s="24">
        <v>35</v>
      </c>
      <c r="F625" s="27">
        <v>931</v>
      </c>
      <c r="G625" s="26" t="s">
        <v>26</v>
      </c>
    </row>
    <row r="626" spans="1:7" x14ac:dyDescent="0.25">
      <c r="A626" s="24">
        <v>10121</v>
      </c>
      <c r="B626" s="25">
        <v>43587</v>
      </c>
      <c r="C626" s="26" t="s">
        <v>29</v>
      </c>
      <c r="D626" s="24">
        <v>8</v>
      </c>
      <c r="E626" s="24">
        <v>5</v>
      </c>
      <c r="F626" s="27">
        <v>40</v>
      </c>
      <c r="G626" s="26" t="s">
        <v>26</v>
      </c>
    </row>
    <row r="627" spans="1:7" x14ac:dyDescent="0.25">
      <c r="A627" s="24">
        <v>10121</v>
      </c>
      <c r="B627" s="25">
        <v>43587</v>
      </c>
      <c r="C627" s="26" t="s">
        <v>29</v>
      </c>
      <c r="D627" s="24">
        <v>36.4</v>
      </c>
      <c r="E627" s="24">
        <v>13</v>
      </c>
      <c r="F627" s="27">
        <v>473.2</v>
      </c>
      <c r="G627" s="26" t="s">
        <v>26</v>
      </c>
    </row>
    <row r="628" spans="1:7" x14ac:dyDescent="0.25">
      <c r="A628" s="24">
        <v>10122</v>
      </c>
      <c r="B628" s="25">
        <v>43593</v>
      </c>
      <c r="C628" s="26" t="s">
        <v>29</v>
      </c>
      <c r="D628" s="24">
        <v>99</v>
      </c>
      <c r="E628" s="24">
        <v>20</v>
      </c>
      <c r="F628" s="27">
        <v>1980</v>
      </c>
      <c r="G628" s="26" t="s">
        <v>22</v>
      </c>
    </row>
    <row r="629" spans="1:7" x14ac:dyDescent="0.25">
      <c r="A629" s="24">
        <v>10122</v>
      </c>
      <c r="B629" s="25">
        <v>43593</v>
      </c>
      <c r="C629" s="26" t="s">
        <v>29</v>
      </c>
      <c r="D629" s="24">
        <v>30.4</v>
      </c>
      <c r="E629" s="24">
        <v>18</v>
      </c>
      <c r="F629" s="27">
        <v>547.20000000000005</v>
      </c>
      <c r="G629" s="26" t="s">
        <v>22</v>
      </c>
    </row>
    <row r="630" spans="1:7" x14ac:dyDescent="0.25">
      <c r="A630" s="24">
        <v>10123</v>
      </c>
      <c r="B630" s="25">
        <v>43595</v>
      </c>
      <c r="C630" s="26" t="s">
        <v>29</v>
      </c>
      <c r="D630" s="24">
        <v>14.4</v>
      </c>
      <c r="E630" s="24">
        <v>15</v>
      </c>
      <c r="F630" s="27">
        <v>216</v>
      </c>
      <c r="G630" s="26" t="s">
        <v>26</v>
      </c>
    </row>
    <row r="631" spans="1:7" x14ac:dyDescent="0.25">
      <c r="A631" s="24">
        <v>10123</v>
      </c>
      <c r="B631" s="25">
        <v>43595</v>
      </c>
      <c r="C631" s="26" t="s">
        <v>29</v>
      </c>
      <c r="D631" s="24">
        <v>26.6</v>
      </c>
      <c r="E631" s="24">
        <v>30</v>
      </c>
      <c r="F631" s="27">
        <v>798</v>
      </c>
      <c r="G631" s="26" t="s">
        <v>26</v>
      </c>
    </row>
    <row r="632" spans="1:7" x14ac:dyDescent="0.25">
      <c r="A632" s="24">
        <v>10123</v>
      </c>
      <c r="B632" s="25">
        <v>43595</v>
      </c>
      <c r="C632" s="26" t="s">
        <v>29</v>
      </c>
      <c r="D632" s="24">
        <v>8</v>
      </c>
      <c r="E632" s="24">
        <v>20</v>
      </c>
      <c r="F632" s="27">
        <v>160</v>
      </c>
      <c r="G632" s="26" t="s">
        <v>26</v>
      </c>
    </row>
    <row r="633" spans="1:7" x14ac:dyDescent="0.25">
      <c r="A633" s="24">
        <v>10124</v>
      </c>
      <c r="B633" s="25">
        <v>43595</v>
      </c>
      <c r="C633" s="26" t="s">
        <v>29</v>
      </c>
      <c r="D633" s="24">
        <v>15.2</v>
      </c>
      <c r="E633" s="24">
        <v>6</v>
      </c>
      <c r="F633" s="27">
        <v>91.2</v>
      </c>
      <c r="G633" s="26" t="s">
        <v>27</v>
      </c>
    </row>
    <row r="634" spans="1:7" x14ac:dyDescent="0.25">
      <c r="A634" s="24">
        <v>10125</v>
      </c>
      <c r="B634" s="25">
        <v>43597</v>
      </c>
      <c r="C634" s="26" t="s">
        <v>29</v>
      </c>
      <c r="D634" s="24">
        <v>64.8</v>
      </c>
      <c r="E634" s="24">
        <v>12</v>
      </c>
      <c r="F634" s="27">
        <v>777.6</v>
      </c>
      <c r="G634" s="26" t="s">
        <v>22</v>
      </c>
    </row>
    <row r="635" spans="1:7" x14ac:dyDescent="0.25">
      <c r="A635" s="24">
        <v>10125</v>
      </c>
      <c r="B635" s="25">
        <v>43597</v>
      </c>
      <c r="C635" s="26" t="s">
        <v>29</v>
      </c>
      <c r="D635" s="24">
        <v>210.8</v>
      </c>
      <c r="E635" s="24">
        <v>40</v>
      </c>
      <c r="F635" s="27">
        <v>8432</v>
      </c>
      <c r="G635" s="26" t="s">
        <v>22</v>
      </c>
    </row>
    <row r="636" spans="1:7" x14ac:dyDescent="0.25">
      <c r="A636" s="24">
        <v>10125</v>
      </c>
      <c r="B636" s="25">
        <v>43597</v>
      </c>
      <c r="C636" s="26" t="s">
        <v>29</v>
      </c>
      <c r="D636" s="24">
        <v>27.8</v>
      </c>
      <c r="E636" s="24">
        <v>42</v>
      </c>
      <c r="F636" s="27">
        <v>1167.5999999999999</v>
      </c>
      <c r="G636" s="26" t="s">
        <v>22</v>
      </c>
    </row>
    <row r="637" spans="1:7" x14ac:dyDescent="0.25">
      <c r="A637" s="24">
        <v>10125</v>
      </c>
      <c r="B637" s="25">
        <v>43597</v>
      </c>
      <c r="C637" s="26" t="s">
        <v>29</v>
      </c>
      <c r="D637" s="24">
        <v>27.2</v>
      </c>
      <c r="E637" s="24">
        <v>70</v>
      </c>
      <c r="F637" s="27">
        <v>1904</v>
      </c>
      <c r="G637" s="26" t="s">
        <v>22</v>
      </c>
    </row>
    <row r="638" spans="1:7" x14ac:dyDescent="0.25">
      <c r="A638" s="24">
        <v>10130</v>
      </c>
      <c r="B638" s="25">
        <v>43607</v>
      </c>
      <c r="C638" s="26" t="s">
        <v>29</v>
      </c>
      <c r="D638" s="24">
        <v>36.4</v>
      </c>
      <c r="E638" s="24">
        <v>20</v>
      </c>
      <c r="F638" s="27">
        <v>728</v>
      </c>
      <c r="G638" s="26" t="s">
        <v>23</v>
      </c>
    </row>
    <row r="639" spans="1:7" x14ac:dyDescent="0.25">
      <c r="A639" s="24">
        <v>10130</v>
      </c>
      <c r="B639" s="25">
        <v>43607</v>
      </c>
      <c r="C639" s="26" t="s">
        <v>29</v>
      </c>
      <c r="D639" s="24">
        <v>14.4</v>
      </c>
      <c r="E639" s="24">
        <v>20</v>
      </c>
      <c r="F639" s="27">
        <v>288</v>
      </c>
      <c r="G639" s="26" t="s">
        <v>23</v>
      </c>
    </row>
    <row r="640" spans="1:7" x14ac:dyDescent="0.25">
      <c r="A640" s="24">
        <v>10131</v>
      </c>
      <c r="B640" s="25">
        <v>43609</v>
      </c>
      <c r="C640" s="26" t="s">
        <v>29</v>
      </c>
      <c r="D640" s="24">
        <v>17.2</v>
      </c>
      <c r="E640" s="24">
        <v>6</v>
      </c>
      <c r="F640" s="27">
        <v>103.2</v>
      </c>
      <c r="G640" s="26" t="s">
        <v>23</v>
      </c>
    </row>
    <row r="641" spans="1:7" x14ac:dyDescent="0.25">
      <c r="A641" s="24">
        <v>10132</v>
      </c>
      <c r="B641" s="25">
        <v>43611</v>
      </c>
      <c r="C641" s="26" t="s">
        <v>29</v>
      </c>
      <c r="D641" s="24">
        <v>16.8</v>
      </c>
      <c r="E641" s="24">
        <v>20</v>
      </c>
      <c r="F641" s="27">
        <v>336</v>
      </c>
      <c r="G641" s="26" t="s">
        <v>27</v>
      </c>
    </row>
    <row r="642" spans="1:7" x14ac:dyDescent="0.25">
      <c r="A642" s="24">
        <v>10132</v>
      </c>
      <c r="B642" s="25">
        <v>43611</v>
      </c>
      <c r="C642" s="26" t="s">
        <v>29</v>
      </c>
      <c r="D642" s="24">
        <v>35.1</v>
      </c>
      <c r="E642" s="24">
        <v>16</v>
      </c>
      <c r="F642" s="27">
        <v>561.6</v>
      </c>
      <c r="G642" s="26" t="s">
        <v>27</v>
      </c>
    </row>
    <row r="643" spans="1:7" x14ac:dyDescent="0.25">
      <c r="A643" s="24">
        <v>10132</v>
      </c>
      <c r="B643" s="25">
        <v>43611</v>
      </c>
      <c r="C643" s="26" t="s">
        <v>29</v>
      </c>
      <c r="D643" s="24">
        <v>7.7</v>
      </c>
      <c r="E643" s="24">
        <v>8</v>
      </c>
      <c r="F643" s="27">
        <v>61.6</v>
      </c>
      <c r="G643" s="26" t="s">
        <v>27</v>
      </c>
    </row>
    <row r="644" spans="1:7" x14ac:dyDescent="0.25">
      <c r="A644" s="24">
        <v>10133</v>
      </c>
      <c r="B644" s="25">
        <v>43613</v>
      </c>
      <c r="C644" s="26" t="s">
        <v>29</v>
      </c>
      <c r="D644" s="24">
        <v>26.2</v>
      </c>
      <c r="E644" s="24">
        <v>20</v>
      </c>
      <c r="F644" s="27">
        <v>524</v>
      </c>
      <c r="G644" s="26" t="s">
        <v>26</v>
      </c>
    </row>
    <row r="645" spans="1:7" x14ac:dyDescent="0.25">
      <c r="A645" s="24">
        <v>10133</v>
      </c>
      <c r="B645" s="25">
        <v>43613</v>
      </c>
      <c r="C645" s="26" t="s">
        <v>29</v>
      </c>
      <c r="D645" s="24">
        <v>27.2</v>
      </c>
      <c r="E645" s="24">
        <v>6</v>
      </c>
      <c r="F645" s="27">
        <v>163.19999999999999</v>
      </c>
      <c r="G645" s="26" t="s">
        <v>26</v>
      </c>
    </row>
    <row r="646" spans="1:7" x14ac:dyDescent="0.25">
      <c r="A646" s="24">
        <v>10133</v>
      </c>
      <c r="B646" s="25">
        <v>43613</v>
      </c>
      <c r="C646" s="26" t="s">
        <v>29</v>
      </c>
      <c r="D646" s="24">
        <v>12</v>
      </c>
      <c r="E646" s="24">
        <v>30</v>
      </c>
      <c r="F646" s="27">
        <v>360</v>
      </c>
      <c r="G646" s="26" t="s">
        <v>26</v>
      </c>
    </row>
    <row r="647" spans="1:7" x14ac:dyDescent="0.25">
      <c r="A647" s="24">
        <v>10133</v>
      </c>
      <c r="B647" s="25">
        <v>43613</v>
      </c>
      <c r="C647" s="26" t="s">
        <v>29</v>
      </c>
      <c r="D647" s="24">
        <v>20.7</v>
      </c>
      <c r="E647" s="24">
        <v>18</v>
      </c>
      <c r="F647" s="27">
        <v>372.6</v>
      </c>
      <c r="G647" s="26" t="s">
        <v>26</v>
      </c>
    </row>
    <row r="648" spans="1:7" x14ac:dyDescent="0.25">
      <c r="A648" s="24">
        <v>10134</v>
      </c>
      <c r="B648" s="25">
        <v>43613</v>
      </c>
      <c r="C648" s="26" t="s">
        <v>29</v>
      </c>
      <c r="D648" s="24">
        <v>8</v>
      </c>
      <c r="E648" s="24">
        <v>14</v>
      </c>
      <c r="F648" s="27">
        <v>112</v>
      </c>
      <c r="G648" s="26" t="s">
        <v>23</v>
      </c>
    </row>
    <row r="649" spans="1:7" x14ac:dyDescent="0.25">
      <c r="A649" s="24">
        <v>10135</v>
      </c>
      <c r="B649" s="25">
        <v>43615</v>
      </c>
      <c r="C649" s="26" t="s">
        <v>29</v>
      </c>
      <c r="D649" s="24">
        <v>50</v>
      </c>
      <c r="E649" s="24">
        <v>9</v>
      </c>
      <c r="F649" s="27">
        <v>450</v>
      </c>
      <c r="G649" s="26" t="s">
        <v>22</v>
      </c>
    </row>
    <row r="650" spans="1:7" x14ac:dyDescent="0.25">
      <c r="A650" s="24">
        <v>10135</v>
      </c>
      <c r="B650" s="25">
        <v>43615</v>
      </c>
      <c r="C650" s="26" t="s">
        <v>29</v>
      </c>
      <c r="D650" s="24">
        <v>2</v>
      </c>
      <c r="E650" s="24">
        <v>60</v>
      </c>
      <c r="F650" s="27">
        <v>120</v>
      </c>
      <c r="G650" s="26" t="s">
        <v>22</v>
      </c>
    </row>
    <row r="651" spans="1:7" x14ac:dyDescent="0.25">
      <c r="A651" s="24">
        <v>10135</v>
      </c>
      <c r="B651" s="25">
        <v>43615</v>
      </c>
      <c r="C651" s="26" t="s">
        <v>29</v>
      </c>
      <c r="D651" s="24">
        <v>17</v>
      </c>
      <c r="E651" s="24">
        <v>32</v>
      </c>
      <c r="F651" s="27">
        <v>544</v>
      </c>
      <c r="G651" s="26" t="s">
        <v>22</v>
      </c>
    </row>
    <row r="652" spans="1:7" x14ac:dyDescent="0.25">
      <c r="A652" s="24">
        <v>10135</v>
      </c>
      <c r="B652" s="25">
        <v>43615</v>
      </c>
      <c r="C652" s="26" t="s">
        <v>29</v>
      </c>
      <c r="D652" s="24">
        <v>99</v>
      </c>
      <c r="E652" s="24">
        <v>14</v>
      </c>
      <c r="F652" s="27">
        <v>1386</v>
      </c>
      <c r="G652" s="26" t="s">
        <v>22</v>
      </c>
    </row>
    <row r="653" spans="1:7" x14ac:dyDescent="0.25">
      <c r="A653" s="24">
        <v>10135</v>
      </c>
      <c r="B653" s="25">
        <v>43615</v>
      </c>
      <c r="C653" s="26" t="s">
        <v>29</v>
      </c>
      <c r="D653" s="24">
        <v>8</v>
      </c>
      <c r="E653" s="24">
        <v>50</v>
      </c>
      <c r="F653" s="27">
        <v>400</v>
      </c>
      <c r="G653" s="26" t="s">
        <v>22</v>
      </c>
    </row>
    <row r="654" spans="1:7" x14ac:dyDescent="0.25">
      <c r="A654" s="24">
        <v>10136</v>
      </c>
      <c r="B654" s="25">
        <v>43621</v>
      </c>
      <c r="C654" s="26" t="s">
        <v>29</v>
      </c>
      <c r="D654" s="24">
        <v>13</v>
      </c>
      <c r="E654" s="24">
        <v>15</v>
      </c>
      <c r="F654" s="27">
        <v>195</v>
      </c>
      <c r="G654" s="26" t="s">
        <v>26</v>
      </c>
    </row>
    <row r="655" spans="1:7" x14ac:dyDescent="0.25">
      <c r="A655" s="24">
        <v>10136</v>
      </c>
      <c r="B655" s="25">
        <v>43621</v>
      </c>
      <c r="C655" s="26" t="s">
        <v>29</v>
      </c>
      <c r="D655" s="24">
        <v>30.4</v>
      </c>
      <c r="E655" s="24">
        <v>20</v>
      </c>
      <c r="F655" s="27">
        <v>608</v>
      </c>
      <c r="G655" s="26" t="s">
        <v>26</v>
      </c>
    </row>
    <row r="656" spans="1:7" x14ac:dyDescent="0.25">
      <c r="A656" s="24">
        <v>10136</v>
      </c>
      <c r="B656" s="25">
        <v>43621</v>
      </c>
      <c r="C656" s="26" t="s">
        <v>29</v>
      </c>
      <c r="D656" s="24">
        <v>4.8</v>
      </c>
      <c r="E656" s="24">
        <v>20</v>
      </c>
      <c r="F656" s="27">
        <v>96</v>
      </c>
      <c r="G656" s="26" t="s">
        <v>26</v>
      </c>
    </row>
    <row r="657" spans="1:7" x14ac:dyDescent="0.25">
      <c r="A657" s="24">
        <v>10137</v>
      </c>
      <c r="B657" s="25">
        <v>43621</v>
      </c>
      <c r="C657" s="26" t="s">
        <v>29</v>
      </c>
      <c r="D657" s="24">
        <v>64.8</v>
      </c>
      <c r="E657" s="24">
        <v>28</v>
      </c>
      <c r="F657" s="27">
        <v>1814.4</v>
      </c>
      <c r="G657" s="26" t="s">
        <v>25</v>
      </c>
    </row>
    <row r="658" spans="1:7" x14ac:dyDescent="0.25">
      <c r="A658" s="24">
        <v>10137</v>
      </c>
      <c r="B658" s="25">
        <v>43621</v>
      </c>
      <c r="C658" s="26" t="s">
        <v>29</v>
      </c>
      <c r="D658" s="24">
        <v>27.2</v>
      </c>
      <c r="E658" s="24">
        <v>15</v>
      </c>
      <c r="F658" s="27">
        <v>408</v>
      </c>
      <c r="G658" s="26" t="s">
        <v>25</v>
      </c>
    </row>
    <row r="659" spans="1:7" x14ac:dyDescent="0.25">
      <c r="A659" s="24">
        <v>10138</v>
      </c>
      <c r="B659" s="25">
        <v>43623</v>
      </c>
      <c r="C659" s="26" t="s">
        <v>29</v>
      </c>
      <c r="D659" s="24">
        <v>10</v>
      </c>
      <c r="E659" s="24">
        <v>8</v>
      </c>
      <c r="F659" s="27">
        <v>80</v>
      </c>
      <c r="G659" s="26" t="s">
        <v>27</v>
      </c>
    </row>
    <row r="660" spans="1:7" x14ac:dyDescent="0.25">
      <c r="A660" s="24">
        <v>10138</v>
      </c>
      <c r="B660" s="25">
        <v>43623</v>
      </c>
      <c r="C660" s="26" t="s">
        <v>29</v>
      </c>
      <c r="D660" s="24">
        <v>24</v>
      </c>
      <c r="E660" s="24">
        <v>10</v>
      </c>
      <c r="F660" s="27">
        <v>240</v>
      </c>
      <c r="G660" s="26" t="s">
        <v>27</v>
      </c>
    </row>
    <row r="661" spans="1:7" x14ac:dyDescent="0.25">
      <c r="A661" s="24">
        <v>10138</v>
      </c>
      <c r="B661" s="25">
        <v>43623</v>
      </c>
      <c r="C661" s="26" t="s">
        <v>29</v>
      </c>
      <c r="D661" s="24">
        <v>27.2</v>
      </c>
      <c r="E661" s="24">
        <v>20</v>
      </c>
      <c r="F661" s="27">
        <v>544</v>
      </c>
      <c r="G661" s="26" t="s">
        <v>27</v>
      </c>
    </row>
    <row r="662" spans="1:7" x14ac:dyDescent="0.25">
      <c r="A662" s="24">
        <v>10139</v>
      </c>
      <c r="B662" s="25">
        <v>43625</v>
      </c>
      <c r="C662" s="26" t="s">
        <v>29</v>
      </c>
      <c r="D662" s="24">
        <v>3.6</v>
      </c>
      <c r="E662" s="24">
        <v>15</v>
      </c>
      <c r="F662" s="27">
        <v>54</v>
      </c>
      <c r="G662" s="26" t="s">
        <v>23</v>
      </c>
    </row>
    <row r="663" spans="1:7" x14ac:dyDescent="0.25">
      <c r="A663" s="24">
        <v>10139</v>
      </c>
      <c r="B663" s="25">
        <v>43625</v>
      </c>
      <c r="C663" s="26" t="s">
        <v>29</v>
      </c>
      <c r="D663" s="24">
        <v>11.2</v>
      </c>
      <c r="E663" s="24">
        <v>10</v>
      </c>
      <c r="F663" s="27">
        <v>112</v>
      </c>
      <c r="G663" s="26" t="s">
        <v>23</v>
      </c>
    </row>
    <row r="664" spans="1:7" x14ac:dyDescent="0.25">
      <c r="A664" s="24">
        <v>10142</v>
      </c>
      <c r="B664" s="25">
        <v>43629</v>
      </c>
      <c r="C664" s="26" t="s">
        <v>29</v>
      </c>
      <c r="D664" s="24">
        <v>12</v>
      </c>
      <c r="E664" s="24">
        <v>30</v>
      </c>
      <c r="F664" s="27">
        <v>360</v>
      </c>
      <c r="G664" s="26" t="s">
        <v>23</v>
      </c>
    </row>
    <row r="665" spans="1:7" x14ac:dyDescent="0.25">
      <c r="A665" s="24">
        <v>10142</v>
      </c>
      <c r="B665" s="25">
        <v>43629</v>
      </c>
      <c r="C665" s="26" t="s">
        <v>29</v>
      </c>
      <c r="D665" s="24">
        <v>19.2</v>
      </c>
      <c r="E665" s="24">
        <v>15</v>
      </c>
      <c r="F665" s="27">
        <v>288</v>
      </c>
      <c r="G665" s="26" t="s">
        <v>23</v>
      </c>
    </row>
    <row r="666" spans="1:7" x14ac:dyDescent="0.25">
      <c r="A666" s="24">
        <v>10142</v>
      </c>
      <c r="B666" s="25">
        <v>43629</v>
      </c>
      <c r="C666" s="26" t="s">
        <v>29</v>
      </c>
      <c r="D666" s="24">
        <v>24.8</v>
      </c>
      <c r="E666" s="24">
        <v>16</v>
      </c>
      <c r="F666" s="27">
        <v>396.8</v>
      </c>
      <c r="G666" s="26" t="s">
        <v>23</v>
      </c>
    </row>
    <row r="667" spans="1:7" x14ac:dyDescent="0.25">
      <c r="A667" s="24">
        <v>10142</v>
      </c>
      <c r="B667" s="25">
        <v>43629</v>
      </c>
      <c r="C667" s="26" t="s">
        <v>29</v>
      </c>
      <c r="D667" s="24">
        <v>39.4</v>
      </c>
      <c r="E667" s="24">
        <v>20</v>
      </c>
      <c r="F667" s="27">
        <v>788</v>
      </c>
      <c r="G667" s="26" t="s">
        <v>23</v>
      </c>
    </row>
    <row r="668" spans="1:7" x14ac:dyDescent="0.25">
      <c r="A668" s="24">
        <v>10143</v>
      </c>
      <c r="B668" s="25">
        <v>43635</v>
      </c>
      <c r="C668" s="26" t="s">
        <v>29</v>
      </c>
      <c r="D668" s="24">
        <v>9.6</v>
      </c>
      <c r="E668" s="24">
        <v>45</v>
      </c>
      <c r="F668" s="27">
        <v>432</v>
      </c>
      <c r="G668" s="26" t="s">
        <v>27</v>
      </c>
    </row>
    <row r="669" spans="1:7" x14ac:dyDescent="0.25">
      <c r="A669" s="24">
        <v>10143</v>
      </c>
      <c r="B669" s="25">
        <v>43635</v>
      </c>
      <c r="C669" s="26" t="s">
        <v>29</v>
      </c>
      <c r="D669" s="24">
        <v>10</v>
      </c>
      <c r="E669" s="24">
        <v>60</v>
      </c>
      <c r="F669" s="27">
        <v>600</v>
      </c>
      <c r="G669" s="26" t="s">
        <v>27</v>
      </c>
    </row>
    <row r="670" spans="1:7" x14ac:dyDescent="0.25">
      <c r="A670" s="24">
        <v>10143</v>
      </c>
      <c r="B670" s="25">
        <v>43635</v>
      </c>
      <c r="C670" s="26" t="s">
        <v>29</v>
      </c>
      <c r="D670" s="24">
        <v>27.8</v>
      </c>
      <c r="E670" s="24">
        <v>24</v>
      </c>
      <c r="F670" s="27">
        <v>667.2</v>
      </c>
      <c r="G670" s="26" t="s">
        <v>27</v>
      </c>
    </row>
    <row r="671" spans="1:7" x14ac:dyDescent="0.25">
      <c r="A671" s="24">
        <v>10143</v>
      </c>
      <c r="B671" s="25">
        <v>43635</v>
      </c>
      <c r="C671" s="26" t="s">
        <v>29</v>
      </c>
      <c r="D671" s="24">
        <v>14.4</v>
      </c>
      <c r="E671" s="24">
        <v>40</v>
      </c>
      <c r="F671" s="27">
        <v>576</v>
      </c>
      <c r="G671" s="26" t="s">
        <v>27</v>
      </c>
    </row>
    <row r="672" spans="1:7" x14ac:dyDescent="0.25">
      <c r="A672" s="24">
        <v>10144</v>
      </c>
      <c r="B672" s="25">
        <v>43635</v>
      </c>
      <c r="C672" s="26" t="s">
        <v>29</v>
      </c>
      <c r="D672" s="24">
        <v>4.8</v>
      </c>
      <c r="E672" s="24">
        <v>18</v>
      </c>
      <c r="F672" s="27">
        <v>86.4</v>
      </c>
      <c r="G672" s="26" t="s">
        <v>22</v>
      </c>
    </row>
    <row r="673" spans="1:7" x14ac:dyDescent="0.25">
      <c r="A673" s="24">
        <v>10145</v>
      </c>
      <c r="B673" s="25">
        <v>43637</v>
      </c>
      <c r="C673" s="26" t="s">
        <v>29</v>
      </c>
      <c r="D673" s="24">
        <v>28.8</v>
      </c>
      <c r="E673" s="24">
        <v>50</v>
      </c>
      <c r="F673" s="27">
        <v>1440</v>
      </c>
      <c r="G673" s="26" t="s">
        <v>22</v>
      </c>
    </row>
    <row r="674" spans="1:7" x14ac:dyDescent="0.25">
      <c r="A674" s="24">
        <v>10146</v>
      </c>
      <c r="B674" s="25">
        <v>43639</v>
      </c>
      <c r="C674" s="26" t="s">
        <v>29</v>
      </c>
      <c r="D674" s="24">
        <v>10</v>
      </c>
      <c r="E674" s="24">
        <v>32</v>
      </c>
      <c r="F674" s="27">
        <v>320</v>
      </c>
      <c r="G674" s="26" t="s">
        <v>22</v>
      </c>
    </row>
    <row r="675" spans="1:7" x14ac:dyDescent="0.25">
      <c r="A675" s="24">
        <v>10146</v>
      </c>
      <c r="B675" s="25">
        <v>43639</v>
      </c>
      <c r="C675" s="26" t="s">
        <v>29</v>
      </c>
      <c r="D675" s="24">
        <v>11.2</v>
      </c>
      <c r="E675" s="24">
        <v>7</v>
      </c>
      <c r="F675" s="27">
        <v>78.400000000000006</v>
      </c>
      <c r="G675" s="26" t="s">
        <v>22</v>
      </c>
    </row>
    <row r="676" spans="1:7" x14ac:dyDescent="0.25">
      <c r="A676" s="24">
        <v>10146</v>
      </c>
      <c r="B676" s="25">
        <v>43639</v>
      </c>
      <c r="C676" s="26" t="s">
        <v>29</v>
      </c>
      <c r="D676" s="24">
        <v>24.9</v>
      </c>
      <c r="E676" s="24">
        <v>70</v>
      </c>
      <c r="F676" s="27">
        <v>1743</v>
      </c>
      <c r="G676" s="26" t="s">
        <v>22</v>
      </c>
    </row>
    <row r="677" spans="1:7" x14ac:dyDescent="0.25">
      <c r="A677" s="24">
        <v>10146</v>
      </c>
      <c r="B677" s="25">
        <v>43639</v>
      </c>
      <c r="C677" s="26" t="s">
        <v>29</v>
      </c>
      <c r="D677" s="24">
        <v>18.600000000000001</v>
      </c>
      <c r="E677" s="24">
        <v>42</v>
      </c>
      <c r="F677" s="27">
        <v>781.2</v>
      </c>
      <c r="G677" s="26" t="s">
        <v>22</v>
      </c>
    </row>
    <row r="678" spans="1:7" x14ac:dyDescent="0.25">
      <c r="A678" s="24">
        <v>10146</v>
      </c>
      <c r="B678" s="25">
        <v>43639</v>
      </c>
      <c r="C678" s="26" t="s">
        <v>29</v>
      </c>
      <c r="D678" s="24">
        <v>15.2</v>
      </c>
      <c r="E678" s="24">
        <v>25</v>
      </c>
      <c r="F678" s="27">
        <v>380</v>
      </c>
      <c r="G678" s="26" t="s">
        <v>22</v>
      </c>
    </row>
    <row r="679" spans="1:7" x14ac:dyDescent="0.25">
      <c r="A679" s="24">
        <v>10147</v>
      </c>
      <c r="B679" s="25">
        <v>43639</v>
      </c>
      <c r="C679" s="26" t="s">
        <v>29</v>
      </c>
      <c r="D679" s="24">
        <v>39.4</v>
      </c>
      <c r="E679" s="24">
        <v>10</v>
      </c>
      <c r="F679" s="27">
        <v>394</v>
      </c>
      <c r="G679" s="26" t="s">
        <v>22</v>
      </c>
    </row>
    <row r="680" spans="1:7" x14ac:dyDescent="0.25">
      <c r="A680" s="24">
        <v>10147</v>
      </c>
      <c r="B680" s="25">
        <v>43639</v>
      </c>
      <c r="C680" s="26" t="s">
        <v>29</v>
      </c>
      <c r="D680" s="24">
        <v>4.8</v>
      </c>
      <c r="E680" s="24">
        <v>10</v>
      </c>
      <c r="F680" s="27">
        <v>48</v>
      </c>
      <c r="G680" s="26" t="s">
        <v>22</v>
      </c>
    </row>
    <row r="681" spans="1:7" x14ac:dyDescent="0.25">
      <c r="A681" s="24">
        <v>10148</v>
      </c>
      <c r="B681" s="25">
        <v>43641</v>
      </c>
      <c r="C681" s="26" t="s">
        <v>29</v>
      </c>
      <c r="D681" s="24">
        <v>28.8</v>
      </c>
      <c r="E681" s="24">
        <v>8</v>
      </c>
      <c r="F681" s="27">
        <v>230.4</v>
      </c>
      <c r="G681" s="26" t="s">
        <v>26</v>
      </c>
    </row>
    <row r="682" spans="1:7" x14ac:dyDescent="0.25">
      <c r="A682" s="24">
        <v>10148</v>
      </c>
      <c r="B682" s="25">
        <v>43641</v>
      </c>
      <c r="C682" s="26" t="s">
        <v>29</v>
      </c>
      <c r="D682" s="24">
        <v>26.2</v>
      </c>
      <c r="E682" s="24">
        <v>70</v>
      </c>
      <c r="F682" s="27">
        <v>1834</v>
      </c>
      <c r="G682" s="26" t="s">
        <v>26</v>
      </c>
    </row>
    <row r="683" spans="1:7" x14ac:dyDescent="0.25">
      <c r="A683" s="24">
        <v>10148</v>
      </c>
      <c r="B683" s="25">
        <v>43641</v>
      </c>
      <c r="C683" s="26" t="s">
        <v>29</v>
      </c>
      <c r="D683" s="24">
        <v>9.6</v>
      </c>
      <c r="E683" s="24">
        <v>28</v>
      </c>
      <c r="F683" s="27">
        <v>268.8</v>
      </c>
      <c r="G683" s="26" t="s">
        <v>26</v>
      </c>
    </row>
    <row r="684" spans="1:7" x14ac:dyDescent="0.25">
      <c r="A684" s="24">
        <v>10149</v>
      </c>
      <c r="B684" s="25">
        <v>43643</v>
      </c>
      <c r="C684" s="26" t="s">
        <v>29</v>
      </c>
      <c r="D684" s="24">
        <v>17.2</v>
      </c>
      <c r="E684" s="24">
        <v>60</v>
      </c>
      <c r="F684" s="27">
        <v>1032</v>
      </c>
      <c r="G684" s="26" t="s">
        <v>25</v>
      </c>
    </row>
    <row r="685" spans="1:7" x14ac:dyDescent="0.25">
      <c r="A685" s="24">
        <v>10149</v>
      </c>
      <c r="B685" s="25">
        <v>43643</v>
      </c>
      <c r="C685" s="26" t="s">
        <v>29</v>
      </c>
      <c r="D685" s="24">
        <v>7.2</v>
      </c>
      <c r="E685" s="24">
        <v>40</v>
      </c>
      <c r="F685" s="27">
        <v>288</v>
      </c>
      <c r="G685" s="26" t="s">
        <v>25</v>
      </c>
    </row>
    <row r="686" spans="1:7" x14ac:dyDescent="0.25">
      <c r="A686" s="24">
        <v>10149</v>
      </c>
      <c r="B686" s="25">
        <v>43643</v>
      </c>
      <c r="C686" s="26" t="s">
        <v>29</v>
      </c>
      <c r="D686" s="24">
        <v>27.8</v>
      </c>
      <c r="E686" s="24">
        <v>21</v>
      </c>
      <c r="F686" s="27">
        <v>583.79999999999995</v>
      </c>
      <c r="G686" s="26" t="s">
        <v>25</v>
      </c>
    </row>
    <row r="687" spans="1:7" x14ac:dyDescent="0.25">
      <c r="A687" s="24">
        <v>10150</v>
      </c>
      <c r="B687" s="25">
        <v>43643</v>
      </c>
      <c r="C687" s="26" t="s">
        <v>29</v>
      </c>
      <c r="D687" s="24">
        <v>8</v>
      </c>
      <c r="E687" s="24">
        <v>10</v>
      </c>
      <c r="F687" s="27">
        <v>80</v>
      </c>
      <c r="G687" s="26" t="s">
        <v>22</v>
      </c>
    </row>
    <row r="688" spans="1:7" x14ac:dyDescent="0.25">
      <c r="A688" s="24">
        <v>10151</v>
      </c>
      <c r="B688" s="25">
        <v>43649</v>
      </c>
      <c r="C688" s="26" t="s">
        <v>29</v>
      </c>
      <c r="D688" s="24">
        <v>14.4</v>
      </c>
      <c r="E688" s="24">
        <v>30</v>
      </c>
      <c r="F688" s="27">
        <v>432</v>
      </c>
      <c r="G688" s="26" t="s">
        <v>27</v>
      </c>
    </row>
    <row r="689" spans="1:7" x14ac:dyDescent="0.25">
      <c r="A689" s="24">
        <v>10151</v>
      </c>
      <c r="B689" s="25">
        <v>43649</v>
      </c>
      <c r="C689" s="26" t="s">
        <v>29</v>
      </c>
      <c r="D689" s="24">
        <v>19.2</v>
      </c>
      <c r="E689" s="24">
        <v>120</v>
      </c>
      <c r="F689" s="27">
        <v>2304</v>
      </c>
      <c r="G689" s="26" t="s">
        <v>27</v>
      </c>
    </row>
    <row r="690" spans="1:7" x14ac:dyDescent="0.25">
      <c r="A690" s="24">
        <v>10152</v>
      </c>
      <c r="B690" s="25">
        <v>43651</v>
      </c>
      <c r="C690" s="26" t="s">
        <v>29</v>
      </c>
      <c r="D690" s="24">
        <v>14.4</v>
      </c>
      <c r="E690" s="24">
        <v>35</v>
      </c>
      <c r="F690" s="27">
        <v>504</v>
      </c>
      <c r="G690" s="26" t="s">
        <v>26</v>
      </c>
    </row>
    <row r="691" spans="1:7" x14ac:dyDescent="0.25">
      <c r="A691" s="24">
        <v>10152</v>
      </c>
      <c r="B691" s="25">
        <v>43651</v>
      </c>
      <c r="C691" s="26" t="s">
        <v>29</v>
      </c>
      <c r="D691" s="24">
        <v>10.4</v>
      </c>
      <c r="E691" s="24">
        <v>14</v>
      </c>
      <c r="F691" s="27">
        <v>145.6</v>
      </c>
      <c r="G691" s="26" t="s">
        <v>26</v>
      </c>
    </row>
    <row r="692" spans="1:7" x14ac:dyDescent="0.25">
      <c r="A692" s="24">
        <v>10154</v>
      </c>
      <c r="B692" s="25">
        <v>43653</v>
      </c>
      <c r="C692" s="26" t="s">
        <v>29</v>
      </c>
      <c r="D692" s="24">
        <v>16.8</v>
      </c>
      <c r="E692" s="24">
        <v>20</v>
      </c>
      <c r="F692" s="27">
        <v>336</v>
      </c>
      <c r="G692" s="26" t="s">
        <v>26</v>
      </c>
    </row>
    <row r="693" spans="1:7" x14ac:dyDescent="0.25">
      <c r="A693" s="24">
        <v>10154</v>
      </c>
      <c r="B693" s="25">
        <v>43653</v>
      </c>
      <c r="C693" s="26" t="s">
        <v>29</v>
      </c>
      <c r="D693" s="24">
        <v>17.2</v>
      </c>
      <c r="E693" s="24">
        <v>60</v>
      </c>
      <c r="F693" s="27">
        <v>1032</v>
      </c>
      <c r="G693" s="26" t="s">
        <v>26</v>
      </c>
    </row>
    <row r="694" spans="1:7" x14ac:dyDescent="0.25">
      <c r="A694" s="24">
        <v>10155</v>
      </c>
      <c r="B694" s="25">
        <v>43655</v>
      </c>
      <c r="C694" s="26" t="s">
        <v>29</v>
      </c>
      <c r="D694" s="24">
        <v>35.1</v>
      </c>
      <c r="E694" s="24">
        <v>65</v>
      </c>
      <c r="F694" s="27">
        <v>2281.5</v>
      </c>
      <c r="G694" s="26" t="s">
        <v>22</v>
      </c>
    </row>
    <row r="695" spans="1:7" x14ac:dyDescent="0.25">
      <c r="A695" s="24">
        <v>10155</v>
      </c>
      <c r="B695" s="25">
        <v>43655</v>
      </c>
      <c r="C695" s="26" t="s">
        <v>29</v>
      </c>
      <c r="D695" s="24">
        <v>7.2</v>
      </c>
      <c r="E695" s="24">
        <v>60</v>
      </c>
      <c r="F695" s="27">
        <v>432</v>
      </c>
      <c r="G695" s="26" t="s">
        <v>22</v>
      </c>
    </row>
    <row r="696" spans="1:7" x14ac:dyDescent="0.25">
      <c r="A696" s="24">
        <v>10156</v>
      </c>
      <c r="B696" s="25">
        <v>43657</v>
      </c>
      <c r="C696" s="26" t="s">
        <v>29</v>
      </c>
      <c r="D696" s="24">
        <v>13.9</v>
      </c>
      <c r="E696" s="24">
        <v>21</v>
      </c>
      <c r="F696" s="27">
        <v>291.89999999999998</v>
      </c>
      <c r="G696" s="26" t="s">
        <v>22</v>
      </c>
    </row>
    <row r="697" spans="1:7" x14ac:dyDescent="0.25">
      <c r="A697" s="24">
        <v>10156</v>
      </c>
      <c r="B697" s="25">
        <v>43657</v>
      </c>
      <c r="C697" s="26" t="s">
        <v>29</v>
      </c>
      <c r="D697" s="24">
        <v>10.199999999999999</v>
      </c>
      <c r="E697" s="24">
        <v>70</v>
      </c>
      <c r="F697" s="27">
        <v>714</v>
      </c>
      <c r="G697" s="26" t="s">
        <v>22</v>
      </c>
    </row>
    <row r="698" spans="1:7" x14ac:dyDescent="0.25">
      <c r="A698" s="24">
        <v>10157</v>
      </c>
      <c r="B698" s="25">
        <v>43657</v>
      </c>
      <c r="C698" s="26" t="s">
        <v>29</v>
      </c>
      <c r="D698" s="24">
        <v>11.2</v>
      </c>
      <c r="E698" s="24">
        <v>40</v>
      </c>
      <c r="F698" s="27">
        <v>448</v>
      </c>
      <c r="G698" s="26" t="s">
        <v>22</v>
      </c>
    </row>
    <row r="699" spans="1:7" x14ac:dyDescent="0.25">
      <c r="A699" s="24">
        <v>10157</v>
      </c>
      <c r="B699" s="25">
        <v>43657</v>
      </c>
      <c r="C699" s="26" t="s">
        <v>29</v>
      </c>
      <c r="D699" s="24">
        <v>24.9</v>
      </c>
      <c r="E699" s="24">
        <v>30</v>
      </c>
      <c r="F699" s="27">
        <v>747</v>
      </c>
      <c r="G699" s="26" t="s">
        <v>22</v>
      </c>
    </row>
    <row r="700" spans="1:7" x14ac:dyDescent="0.25">
      <c r="A700" s="24">
        <v>10157</v>
      </c>
      <c r="B700" s="25">
        <v>43657</v>
      </c>
      <c r="C700" s="26" t="s">
        <v>29</v>
      </c>
      <c r="D700" s="24">
        <v>16</v>
      </c>
      <c r="E700" s="24">
        <v>30</v>
      </c>
      <c r="F700" s="27">
        <v>480</v>
      </c>
      <c r="G700" s="26" t="s">
        <v>22</v>
      </c>
    </row>
    <row r="701" spans="1:7" x14ac:dyDescent="0.25">
      <c r="A701" s="24">
        <v>10158</v>
      </c>
      <c r="B701" s="25">
        <v>43663</v>
      </c>
      <c r="C701" s="26" t="s">
        <v>29</v>
      </c>
      <c r="D701" s="24">
        <v>8</v>
      </c>
      <c r="E701" s="24">
        <v>50</v>
      </c>
      <c r="F701" s="27">
        <v>400</v>
      </c>
      <c r="G701" s="26" t="s">
        <v>23</v>
      </c>
    </row>
    <row r="702" spans="1:7" x14ac:dyDescent="0.25">
      <c r="A702" s="24">
        <v>10159</v>
      </c>
      <c r="B702" s="25">
        <v>43665</v>
      </c>
      <c r="C702" s="26" t="s">
        <v>29</v>
      </c>
      <c r="D702" s="24">
        <v>14.7</v>
      </c>
      <c r="E702" s="24">
        <v>2</v>
      </c>
      <c r="F702" s="27">
        <v>29.4</v>
      </c>
      <c r="G702" s="26" t="s">
        <v>23</v>
      </c>
    </row>
    <row r="703" spans="1:7" x14ac:dyDescent="0.25">
      <c r="A703" s="24">
        <v>10159</v>
      </c>
      <c r="B703" s="25">
        <v>43665</v>
      </c>
      <c r="C703" s="26" t="s">
        <v>29</v>
      </c>
      <c r="D703" s="24">
        <v>8</v>
      </c>
      <c r="E703" s="24">
        <v>30</v>
      </c>
      <c r="F703" s="27">
        <v>240</v>
      </c>
      <c r="G703" s="26" t="s">
        <v>23</v>
      </c>
    </row>
    <row r="704" spans="1:7" x14ac:dyDescent="0.25">
      <c r="A704" s="24">
        <v>10159</v>
      </c>
      <c r="B704" s="25">
        <v>43665</v>
      </c>
      <c r="C704" s="26" t="s">
        <v>29</v>
      </c>
      <c r="D704" s="24">
        <v>36.4</v>
      </c>
      <c r="E704" s="24">
        <v>42</v>
      </c>
      <c r="F704" s="27">
        <v>1528.8</v>
      </c>
      <c r="G704" s="26" t="s">
        <v>23</v>
      </c>
    </row>
    <row r="705" spans="1:7" x14ac:dyDescent="0.25">
      <c r="A705" s="24">
        <v>10159</v>
      </c>
      <c r="B705" s="25">
        <v>43665</v>
      </c>
      <c r="C705" s="26" t="s">
        <v>29</v>
      </c>
      <c r="D705" s="24">
        <v>14.4</v>
      </c>
      <c r="E705" s="24">
        <v>10</v>
      </c>
      <c r="F705" s="27">
        <v>144</v>
      </c>
      <c r="G705" s="26" t="s">
        <v>23</v>
      </c>
    </row>
    <row r="706" spans="1:7" x14ac:dyDescent="0.25">
      <c r="A706" s="24">
        <v>10159</v>
      </c>
      <c r="B706" s="25">
        <v>43665</v>
      </c>
      <c r="C706" s="26" t="s">
        <v>29</v>
      </c>
      <c r="D706" s="24">
        <v>15.2</v>
      </c>
      <c r="E706" s="24">
        <v>5</v>
      </c>
      <c r="F706" s="27">
        <v>76</v>
      </c>
      <c r="G706" s="26" t="s">
        <v>23</v>
      </c>
    </row>
    <row r="707" spans="1:7" x14ac:dyDescent="0.25">
      <c r="A707" s="24">
        <v>10160</v>
      </c>
      <c r="B707" s="25">
        <v>43665</v>
      </c>
      <c r="C707" s="26" t="s">
        <v>29</v>
      </c>
      <c r="D707" s="24">
        <v>28.8</v>
      </c>
      <c r="E707" s="24">
        <v>15</v>
      </c>
      <c r="F707" s="27">
        <v>432</v>
      </c>
      <c r="G707" s="26" t="s">
        <v>22</v>
      </c>
    </row>
    <row r="708" spans="1:7" x14ac:dyDescent="0.25">
      <c r="A708" s="24">
        <v>10160</v>
      </c>
      <c r="B708" s="25">
        <v>43665</v>
      </c>
      <c r="C708" s="26" t="s">
        <v>29</v>
      </c>
      <c r="D708" s="24">
        <v>16.8</v>
      </c>
      <c r="E708" s="24">
        <v>30</v>
      </c>
      <c r="F708" s="27">
        <v>504</v>
      </c>
      <c r="G708" s="26" t="s">
        <v>22</v>
      </c>
    </row>
    <row r="709" spans="1:7" x14ac:dyDescent="0.25">
      <c r="A709" s="24">
        <v>10160</v>
      </c>
      <c r="B709" s="25">
        <v>43665</v>
      </c>
      <c r="C709" s="26" t="s">
        <v>29</v>
      </c>
      <c r="D709" s="24">
        <v>17.2</v>
      </c>
      <c r="E709" s="24">
        <v>15</v>
      </c>
      <c r="F709" s="27">
        <v>258</v>
      </c>
      <c r="G709" s="26" t="s">
        <v>22</v>
      </c>
    </row>
    <row r="710" spans="1:7" x14ac:dyDescent="0.25">
      <c r="A710" s="24">
        <v>10161</v>
      </c>
      <c r="B710" s="25">
        <v>43667</v>
      </c>
      <c r="C710" s="26" t="s">
        <v>29</v>
      </c>
      <c r="D710" s="24">
        <v>20.8</v>
      </c>
      <c r="E710" s="24">
        <v>10</v>
      </c>
      <c r="F710" s="27">
        <v>208</v>
      </c>
      <c r="G710" s="26" t="s">
        <v>27</v>
      </c>
    </row>
    <row r="711" spans="1:7" x14ac:dyDescent="0.25">
      <c r="A711" s="24">
        <v>10161</v>
      </c>
      <c r="B711" s="25">
        <v>43667</v>
      </c>
      <c r="C711" s="26" t="s">
        <v>29</v>
      </c>
      <c r="D711" s="24">
        <v>39.4</v>
      </c>
      <c r="E711" s="24">
        <v>35</v>
      </c>
      <c r="F711" s="27">
        <v>1379</v>
      </c>
      <c r="G711" s="26" t="s">
        <v>27</v>
      </c>
    </row>
    <row r="712" spans="1:7" x14ac:dyDescent="0.25">
      <c r="A712" s="24">
        <v>10161</v>
      </c>
      <c r="B712" s="25">
        <v>43667</v>
      </c>
      <c r="C712" s="26" t="s">
        <v>29</v>
      </c>
      <c r="D712" s="24">
        <v>5.9</v>
      </c>
      <c r="E712" s="24">
        <v>6</v>
      </c>
      <c r="F712" s="27">
        <v>35.4</v>
      </c>
      <c r="G712" s="26" t="s">
        <v>27</v>
      </c>
    </row>
    <row r="713" spans="1:7" x14ac:dyDescent="0.25">
      <c r="A713" s="24">
        <v>10162</v>
      </c>
      <c r="B713" s="25">
        <v>43669</v>
      </c>
      <c r="C713" s="26" t="s">
        <v>29</v>
      </c>
      <c r="D713" s="24">
        <v>8</v>
      </c>
      <c r="E713" s="24">
        <v>12</v>
      </c>
      <c r="F713" s="27">
        <v>96</v>
      </c>
      <c r="G713" s="26" t="s">
        <v>23</v>
      </c>
    </row>
    <row r="714" spans="1:7" x14ac:dyDescent="0.25">
      <c r="A714" s="24">
        <v>10162</v>
      </c>
      <c r="B714" s="25">
        <v>43669</v>
      </c>
      <c r="C714" s="26" t="s">
        <v>29</v>
      </c>
      <c r="D714" s="24">
        <v>18.600000000000001</v>
      </c>
      <c r="E714" s="24">
        <v>12</v>
      </c>
      <c r="F714" s="27">
        <v>223.2</v>
      </c>
      <c r="G714" s="26" t="s">
        <v>23</v>
      </c>
    </row>
    <row r="715" spans="1:7" x14ac:dyDescent="0.25">
      <c r="A715" s="24">
        <v>10163</v>
      </c>
      <c r="B715" s="25">
        <v>43671</v>
      </c>
      <c r="C715" s="26" t="s">
        <v>29</v>
      </c>
      <c r="D715" s="24">
        <v>44</v>
      </c>
      <c r="E715" s="24">
        <v>16</v>
      </c>
      <c r="F715" s="27">
        <v>704</v>
      </c>
      <c r="G715" s="26" t="s">
        <v>23</v>
      </c>
    </row>
    <row r="716" spans="1:7" x14ac:dyDescent="0.25">
      <c r="A716" s="24">
        <v>10163</v>
      </c>
      <c r="B716" s="25">
        <v>43671</v>
      </c>
      <c r="C716" s="26" t="s">
        <v>29</v>
      </c>
      <c r="D716" s="24">
        <v>2</v>
      </c>
      <c r="E716" s="24">
        <v>49</v>
      </c>
      <c r="F716" s="27">
        <v>98</v>
      </c>
      <c r="G716" s="26" t="s">
        <v>23</v>
      </c>
    </row>
    <row r="717" spans="1:7" x14ac:dyDescent="0.25">
      <c r="A717" s="24">
        <v>10164</v>
      </c>
      <c r="B717" s="25">
        <v>43671</v>
      </c>
      <c r="C717" s="26" t="s">
        <v>29</v>
      </c>
      <c r="D717" s="24">
        <v>7.7</v>
      </c>
      <c r="E717" s="24">
        <v>25</v>
      </c>
      <c r="F717" s="27">
        <v>192.5</v>
      </c>
      <c r="G717" s="26" t="s">
        <v>22</v>
      </c>
    </row>
    <row r="718" spans="1:7" x14ac:dyDescent="0.25">
      <c r="A718" s="24">
        <v>10167</v>
      </c>
      <c r="B718" s="25">
        <v>43679</v>
      </c>
      <c r="C718" s="26" t="s">
        <v>29</v>
      </c>
      <c r="D718" s="24">
        <v>7.3</v>
      </c>
      <c r="E718" s="24">
        <v>18</v>
      </c>
      <c r="F718" s="27">
        <v>131.4</v>
      </c>
      <c r="G718" s="26" t="s">
        <v>25</v>
      </c>
    </row>
    <row r="719" spans="1:7" x14ac:dyDescent="0.25">
      <c r="A719" s="24">
        <v>10168</v>
      </c>
      <c r="B719" s="25">
        <v>43681</v>
      </c>
      <c r="C719" s="26" t="s">
        <v>29</v>
      </c>
      <c r="D719" s="24">
        <v>2</v>
      </c>
      <c r="E719" s="24">
        <v>20</v>
      </c>
      <c r="F719" s="27">
        <v>40</v>
      </c>
      <c r="G719" s="26" t="s">
        <v>23</v>
      </c>
    </row>
    <row r="720" spans="1:7" x14ac:dyDescent="0.25">
      <c r="A720" s="24">
        <v>10169</v>
      </c>
      <c r="B720" s="25">
        <v>43683</v>
      </c>
      <c r="C720" s="26" t="s">
        <v>29</v>
      </c>
      <c r="D720" s="24">
        <v>15.6</v>
      </c>
      <c r="E720" s="24">
        <v>20</v>
      </c>
      <c r="F720" s="27">
        <v>312</v>
      </c>
      <c r="G720" s="26" t="s">
        <v>22</v>
      </c>
    </row>
    <row r="721" spans="1:7" x14ac:dyDescent="0.25">
      <c r="A721" s="24">
        <v>10169</v>
      </c>
      <c r="B721" s="25">
        <v>43683</v>
      </c>
      <c r="C721" s="26" t="s">
        <v>29</v>
      </c>
      <c r="D721" s="24">
        <v>26.2</v>
      </c>
      <c r="E721" s="24">
        <v>10</v>
      </c>
      <c r="F721" s="27">
        <v>262</v>
      </c>
      <c r="G721" s="26" t="s">
        <v>22</v>
      </c>
    </row>
    <row r="722" spans="1:7" x14ac:dyDescent="0.25">
      <c r="A722" s="24">
        <v>10169</v>
      </c>
      <c r="B722" s="25">
        <v>43683</v>
      </c>
      <c r="C722" s="26" t="s">
        <v>29</v>
      </c>
      <c r="D722" s="24">
        <v>7.3</v>
      </c>
      <c r="E722" s="24">
        <v>20</v>
      </c>
      <c r="F722" s="27">
        <v>146</v>
      </c>
      <c r="G722" s="26" t="s">
        <v>22</v>
      </c>
    </row>
    <row r="723" spans="1:7" x14ac:dyDescent="0.25">
      <c r="A723" s="24">
        <v>10170</v>
      </c>
      <c r="B723" s="25">
        <v>43683</v>
      </c>
      <c r="C723" s="26" t="s">
        <v>29</v>
      </c>
      <c r="D723" s="24">
        <v>9.6</v>
      </c>
      <c r="E723" s="24">
        <v>2</v>
      </c>
      <c r="F723" s="27">
        <v>19.2</v>
      </c>
      <c r="G723" s="26" t="s">
        <v>27</v>
      </c>
    </row>
    <row r="724" spans="1:7" x14ac:dyDescent="0.25">
      <c r="A724" s="24">
        <v>10170</v>
      </c>
      <c r="B724" s="25">
        <v>43683</v>
      </c>
      <c r="C724" s="26" t="s">
        <v>29</v>
      </c>
      <c r="D724" s="24">
        <v>210.8</v>
      </c>
      <c r="E724" s="24">
        <v>50</v>
      </c>
      <c r="F724" s="27">
        <v>10540</v>
      </c>
      <c r="G724" s="26" t="s">
        <v>27</v>
      </c>
    </row>
    <row r="725" spans="1:7" x14ac:dyDescent="0.25">
      <c r="A725" s="24">
        <v>10170</v>
      </c>
      <c r="B725" s="25">
        <v>43683</v>
      </c>
      <c r="C725" s="26" t="s">
        <v>29</v>
      </c>
      <c r="D725" s="24">
        <v>10</v>
      </c>
      <c r="E725" s="24">
        <v>36</v>
      </c>
      <c r="F725" s="27">
        <v>360</v>
      </c>
      <c r="G725" s="26" t="s">
        <v>27</v>
      </c>
    </row>
    <row r="726" spans="1:7" x14ac:dyDescent="0.25">
      <c r="A726" s="24">
        <v>10170</v>
      </c>
      <c r="B726" s="25">
        <v>43683</v>
      </c>
      <c r="C726" s="26" t="s">
        <v>29</v>
      </c>
      <c r="D726" s="24">
        <v>10.4</v>
      </c>
      <c r="E726" s="24">
        <v>35</v>
      </c>
      <c r="F726" s="27">
        <v>364</v>
      </c>
      <c r="G726" s="26" t="s">
        <v>27</v>
      </c>
    </row>
    <row r="727" spans="1:7" x14ac:dyDescent="0.25">
      <c r="A727" s="24">
        <v>10171</v>
      </c>
      <c r="B727" s="25">
        <v>43685</v>
      </c>
      <c r="C727" s="26" t="s">
        <v>29</v>
      </c>
      <c r="D727" s="24">
        <v>7.6</v>
      </c>
      <c r="E727" s="24">
        <v>55</v>
      </c>
      <c r="F727" s="27">
        <v>418</v>
      </c>
      <c r="G727" s="26" t="s">
        <v>26</v>
      </c>
    </row>
    <row r="728" spans="1:7" x14ac:dyDescent="0.25">
      <c r="A728" s="24">
        <v>10171</v>
      </c>
      <c r="B728" s="25">
        <v>43685</v>
      </c>
      <c r="C728" s="26" t="s">
        <v>29</v>
      </c>
      <c r="D728" s="24">
        <v>8</v>
      </c>
      <c r="E728" s="24">
        <v>15</v>
      </c>
      <c r="F728" s="27">
        <v>120</v>
      </c>
      <c r="G728" s="26" t="s">
        <v>26</v>
      </c>
    </row>
    <row r="729" spans="1:7" x14ac:dyDescent="0.25">
      <c r="A729" s="24">
        <v>10171</v>
      </c>
      <c r="B729" s="25">
        <v>43685</v>
      </c>
      <c r="C729" s="26" t="s">
        <v>29</v>
      </c>
      <c r="D729" s="24">
        <v>22.8</v>
      </c>
      <c r="E729" s="24">
        <v>16</v>
      </c>
      <c r="F729" s="27">
        <v>364.8</v>
      </c>
      <c r="G729" s="26" t="s">
        <v>26</v>
      </c>
    </row>
    <row r="730" spans="1:7" x14ac:dyDescent="0.25">
      <c r="A730" s="24">
        <v>10171</v>
      </c>
      <c r="B730" s="25">
        <v>43685</v>
      </c>
      <c r="C730" s="26" t="s">
        <v>29</v>
      </c>
      <c r="D730" s="24">
        <v>15.2</v>
      </c>
      <c r="E730" s="24">
        <v>60</v>
      </c>
      <c r="F730" s="27">
        <v>912</v>
      </c>
      <c r="G730" s="26" t="s">
        <v>26</v>
      </c>
    </row>
    <row r="731" spans="1:7" x14ac:dyDescent="0.25">
      <c r="A731" s="24">
        <v>10172</v>
      </c>
      <c r="B731" s="25">
        <v>43691</v>
      </c>
      <c r="C731" s="26" t="s">
        <v>29</v>
      </c>
      <c r="D731" s="24">
        <v>27.2</v>
      </c>
      <c r="E731" s="24">
        <v>60</v>
      </c>
      <c r="F731" s="27">
        <v>1632</v>
      </c>
      <c r="G731" s="26" t="s">
        <v>27</v>
      </c>
    </row>
    <row r="732" spans="1:7" x14ac:dyDescent="0.25">
      <c r="A732" s="24">
        <v>10172</v>
      </c>
      <c r="B732" s="25">
        <v>43691</v>
      </c>
      <c r="C732" s="26" t="s">
        <v>29</v>
      </c>
      <c r="D732" s="24">
        <v>28.8</v>
      </c>
      <c r="E732" s="24">
        <v>20</v>
      </c>
      <c r="F732" s="27">
        <v>576</v>
      </c>
      <c r="G732" s="26" t="s">
        <v>27</v>
      </c>
    </row>
    <row r="733" spans="1:7" x14ac:dyDescent="0.25">
      <c r="A733" s="24">
        <v>10173</v>
      </c>
      <c r="B733" s="25">
        <v>43693</v>
      </c>
      <c r="C733" s="26" t="s">
        <v>29</v>
      </c>
      <c r="D733" s="24">
        <v>77.599999999999994</v>
      </c>
      <c r="E733" s="24">
        <v>20</v>
      </c>
      <c r="F733" s="27">
        <v>1552</v>
      </c>
      <c r="G733" s="26" t="s">
        <v>22</v>
      </c>
    </row>
    <row r="734" spans="1:7" x14ac:dyDescent="0.25">
      <c r="A734" s="24">
        <v>10173</v>
      </c>
      <c r="B734" s="25">
        <v>43693</v>
      </c>
      <c r="C734" s="26" t="s">
        <v>29</v>
      </c>
      <c r="D734" s="24">
        <v>4.8</v>
      </c>
      <c r="E734" s="24">
        <v>2</v>
      </c>
      <c r="F734" s="27">
        <v>9.6</v>
      </c>
      <c r="G734" s="26" t="s">
        <v>22</v>
      </c>
    </row>
    <row r="735" spans="1:7" x14ac:dyDescent="0.25">
      <c r="A735" s="24">
        <v>10173</v>
      </c>
      <c r="B735" s="25">
        <v>43693</v>
      </c>
      <c r="C735" s="26" t="s">
        <v>29</v>
      </c>
      <c r="D735" s="24">
        <v>12</v>
      </c>
      <c r="E735" s="24">
        <v>8</v>
      </c>
      <c r="F735" s="27">
        <v>96</v>
      </c>
      <c r="G735" s="26" t="s">
        <v>22</v>
      </c>
    </row>
    <row r="736" spans="1:7" x14ac:dyDescent="0.25">
      <c r="A736" s="24">
        <v>10173</v>
      </c>
      <c r="B736" s="25">
        <v>43693</v>
      </c>
      <c r="C736" s="26" t="s">
        <v>29</v>
      </c>
      <c r="D736" s="24">
        <v>12</v>
      </c>
      <c r="E736" s="24">
        <v>20</v>
      </c>
      <c r="F736" s="27">
        <v>240</v>
      </c>
      <c r="G736" s="26" t="s">
        <v>22</v>
      </c>
    </row>
    <row r="737" spans="1:7" x14ac:dyDescent="0.25">
      <c r="A737" s="24">
        <v>10174</v>
      </c>
      <c r="B737" s="25">
        <v>43693</v>
      </c>
      <c r="C737" s="26" t="s">
        <v>29</v>
      </c>
      <c r="D737" s="24">
        <v>7.3</v>
      </c>
      <c r="E737" s="24">
        <v>4</v>
      </c>
      <c r="F737" s="27">
        <v>29.2</v>
      </c>
      <c r="G737" s="26" t="s">
        <v>22</v>
      </c>
    </row>
    <row r="738" spans="1:7" x14ac:dyDescent="0.25">
      <c r="A738" s="24">
        <v>10174</v>
      </c>
      <c r="B738" s="25">
        <v>43693</v>
      </c>
      <c r="C738" s="26" t="s">
        <v>29</v>
      </c>
      <c r="D738" s="24">
        <v>26.2</v>
      </c>
      <c r="E738" s="24">
        <v>15</v>
      </c>
      <c r="F738" s="27">
        <v>393</v>
      </c>
      <c r="G738" s="26" t="s">
        <v>22</v>
      </c>
    </row>
    <row r="739" spans="1:7" x14ac:dyDescent="0.25">
      <c r="A739" s="24">
        <v>10174</v>
      </c>
      <c r="B739" s="25">
        <v>43693</v>
      </c>
      <c r="C739" s="26" t="s">
        <v>29</v>
      </c>
      <c r="D739" s="24">
        <v>24.9</v>
      </c>
      <c r="E739" s="24">
        <v>30</v>
      </c>
      <c r="F739" s="27">
        <v>747</v>
      </c>
      <c r="G739" s="26" t="s">
        <v>22</v>
      </c>
    </row>
    <row r="740" spans="1:7" x14ac:dyDescent="0.25">
      <c r="A740" s="24">
        <v>10174</v>
      </c>
      <c r="B740" s="25">
        <v>43693</v>
      </c>
      <c r="C740" s="26" t="s">
        <v>29</v>
      </c>
      <c r="D740" s="24">
        <v>10.4</v>
      </c>
      <c r="E740" s="24">
        <v>10</v>
      </c>
      <c r="F740" s="27">
        <v>104</v>
      </c>
      <c r="G740" s="26" t="s">
        <v>22</v>
      </c>
    </row>
    <row r="741" spans="1:7" x14ac:dyDescent="0.25">
      <c r="A741" s="24">
        <v>10175</v>
      </c>
      <c r="B741" s="25">
        <v>43695</v>
      </c>
      <c r="C741" s="26" t="s">
        <v>29</v>
      </c>
      <c r="D741" s="24">
        <v>24.9</v>
      </c>
      <c r="E741" s="24">
        <v>2</v>
      </c>
      <c r="F741" s="27">
        <v>49.8</v>
      </c>
      <c r="G741" s="26" t="s">
        <v>22</v>
      </c>
    </row>
    <row r="742" spans="1:7" x14ac:dyDescent="0.25">
      <c r="A742" s="24">
        <v>10176</v>
      </c>
      <c r="B742" s="25">
        <v>43697</v>
      </c>
      <c r="C742" s="26" t="s">
        <v>29</v>
      </c>
      <c r="D742" s="24">
        <v>10</v>
      </c>
      <c r="E742" s="24">
        <v>14</v>
      </c>
      <c r="F742" s="27">
        <v>140</v>
      </c>
      <c r="G742" s="26" t="s">
        <v>26</v>
      </c>
    </row>
    <row r="743" spans="1:7" x14ac:dyDescent="0.25">
      <c r="A743" s="24">
        <v>10179</v>
      </c>
      <c r="B743" s="25">
        <v>43705</v>
      </c>
      <c r="C743" s="26" t="s">
        <v>29</v>
      </c>
      <c r="D743" s="24">
        <v>26.6</v>
      </c>
      <c r="E743" s="24">
        <v>7</v>
      </c>
      <c r="F743" s="27">
        <v>186.2</v>
      </c>
      <c r="G743" s="26" t="s">
        <v>25</v>
      </c>
    </row>
    <row r="744" spans="1:7" x14ac:dyDescent="0.25">
      <c r="A744" s="24">
        <v>10180</v>
      </c>
      <c r="B744" s="25">
        <v>43705</v>
      </c>
      <c r="C744" s="26" t="s">
        <v>29</v>
      </c>
      <c r="D744" s="24">
        <v>18.600000000000001</v>
      </c>
      <c r="E744" s="24">
        <v>35</v>
      </c>
      <c r="F744" s="27">
        <v>651</v>
      </c>
      <c r="G744" s="26" t="s">
        <v>22</v>
      </c>
    </row>
    <row r="745" spans="1:7" x14ac:dyDescent="0.25">
      <c r="A745" s="24">
        <v>10181</v>
      </c>
      <c r="B745" s="25">
        <v>43707</v>
      </c>
      <c r="C745" s="26" t="s">
        <v>29</v>
      </c>
      <c r="D745" s="24">
        <v>9.6</v>
      </c>
      <c r="E745" s="24">
        <v>20</v>
      </c>
      <c r="F745" s="27">
        <v>192</v>
      </c>
      <c r="G745" s="26" t="s">
        <v>26</v>
      </c>
    </row>
    <row r="746" spans="1:7" x14ac:dyDescent="0.25">
      <c r="A746" s="24">
        <v>10182</v>
      </c>
      <c r="B746" s="25">
        <v>43709</v>
      </c>
      <c r="C746" s="26" t="s">
        <v>29</v>
      </c>
      <c r="D746" s="24">
        <v>35.1</v>
      </c>
      <c r="E746" s="24">
        <v>35</v>
      </c>
      <c r="F746" s="27">
        <v>1228.5</v>
      </c>
      <c r="G746" s="26" t="s">
        <v>26</v>
      </c>
    </row>
    <row r="747" spans="1:7" x14ac:dyDescent="0.25">
      <c r="A747" s="24">
        <v>10182</v>
      </c>
      <c r="B747" s="25">
        <v>43709</v>
      </c>
      <c r="C747" s="26" t="s">
        <v>29</v>
      </c>
      <c r="D747" s="24">
        <v>13</v>
      </c>
      <c r="E747" s="24">
        <v>40</v>
      </c>
      <c r="F747" s="27">
        <v>520</v>
      </c>
      <c r="G747" s="26" t="s">
        <v>26</v>
      </c>
    </row>
    <row r="748" spans="1:7" x14ac:dyDescent="0.25">
      <c r="A748" s="24">
        <v>10183</v>
      </c>
      <c r="B748" s="25">
        <v>43711</v>
      </c>
      <c r="C748" s="26" t="s">
        <v>29</v>
      </c>
      <c r="D748" s="24">
        <v>44</v>
      </c>
      <c r="E748" s="24">
        <v>70</v>
      </c>
      <c r="F748" s="27">
        <v>3080</v>
      </c>
      <c r="G748" s="26" t="s">
        <v>27</v>
      </c>
    </row>
    <row r="749" spans="1:7" x14ac:dyDescent="0.25">
      <c r="A749" s="24">
        <v>10183</v>
      </c>
      <c r="B749" s="25">
        <v>43711</v>
      </c>
      <c r="C749" s="26" t="s">
        <v>29</v>
      </c>
      <c r="D749" s="24">
        <v>30.4</v>
      </c>
      <c r="E749" s="24">
        <v>30</v>
      </c>
      <c r="F749" s="27">
        <v>912</v>
      </c>
      <c r="G749" s="26" t="s">
        <v>27</v>
      </c>
    </row>
    <row r="750" spans="1:7" x14ac:dyDescent="0.25">
      <c r="A750" s="24">
        <v>10183</v>
      </c>
      <c r="B750" s="25">
        <v>43711</v>
      </c>
      <c r="C750" s="26" t="s">
        <v>29</v>
      </c>
      <c r="D750" s="24">
        <v>8</v>
      </c>
      <c r="E750" s="24">
        <v>50</v>
      </c>
      <c r="F750" s="27">
        <v>400</v>
      </c>
      <c r="G750" s="26" t="s">
        <v>27</v>
      </c>
    </row>
    <row r="751" spans="1:7" x14ac:dyDescent="0.25">
      <c r="A751" s="24">
        <v>10184</v>
      </c>
      <c r="B751" s="25">
        <v>43711</v>
      </c>
      <c r="C751" s="26" t="s">
        <v>29</v>
      </c>
      <c r="D751" s="24">
        <v>14.7</v>
      </c>
      <c r="E751" s="24">
        <v>50</v>
      </c>
      <c r="F751" s="27">
        <v>735</v>
      </c>
      <c r="G751" s="26" t="s">
        <v>26</v>
      </c>
    </row>
    <row r="752" spans="1:7" x14ac:dyDescent="0.25">
      <c r="A752" s="24">
        <v>10184</v>
      </c>
      <c r="B752" s="25">
        <v>43711</v>
      </c>
      <c r="C752" s="26" t="s">
        <v>29</v>
      </c>
      <c r="D752" s="24">
        <v>7.6</v>
      </c>
      <c r="E752" s="24">
        <v>30</v>
      </c>
      <c r="F752" s="27">
        <v>228</v>
      </c>
      <c r="G752" s="26" t="s">
        <v>26</v>
      </c>
    </row>
    <row r="753" spans="1:7" x14ac:dyDescent="0.25">
      <c r="A753" s="24">
        <v>10185</v>
      </c>
      <c r="B753" s="25">
        <v>43713</v>
      </c>
      <c r="C753" s="26" t="s">
        <v>29</v>
      </c>
      <c r="D753" s="24">
        <v>5.9</v>
      </c>
      <c r="E753" s="24">
        <v>40</v>
      </c>
      <c r="F753" s="27">
        <v>236</v>
      </c>
      <c r="G753" s="26" t="s">
        <v>23</v>
      </c>
    </row>
    <row r="754" spans="1:7" x14ac:dyDescent="0.25">
      <c r="A754" s="24">
        <v>10185</v>
      </c>
      <c r="B754" s="25">
        <v>43713</v>
      </c>
      <c r="C754" s="26" t="s">
        <v>29</v>
      </c>
      <c r="D754" s="24">
        <v>24.9</v>
      </c>
      <c r="E754" s="24">
        <v>10</v>
      </c>
      <c r="F754" s="27">
        <v>249</v>
      </c>
      <c r="G754" s="26" t="s">
        <v>23</v>
      </c>
    </row>
    <row r="755" spans="1:7" x14ac:dyDescent="0.25">
      <c r="A755" s="24">
        <v>10186</v>
      </c>
      <c r="B755" s="25">
        <v>43719</v>
      </c>
      <c r="C755" s="26" t="s">
        <v>29</v>
      </c>
      <c r="D755" s="24">
        <v>30.4</v>
      </c>
      <c r="E755" s="24">
        <v>28</v>
      </c>
      <c r="F755" s="27">
        <v>851.2</v>
      </c>
      <c r="G755" s="26" t="s">
        <v>23</v>
      </c>
    </row>
    <row r="756" spans="1:7" x14ac:dyDescent="0.25">
      <c r="A756" s="24">
        <v>10187</v>
      </c>
      <c r="B756" s="25">
        <v>43719</v>
      </c>
      <c r="C756" s="26" t="s">
        <v>29</v>
      </c>
      <c r="D756" s="24">
        <v>14.4</v>
      </c>
      <c r="E756" s="24">
        <v>18</v>
      </c>
      <c r="F756" s="27">
        <v>259.2</v>
      </c>
      <c r="G756" s="26" t="s">
        <v>23</v>
      </c>
    </row>
    <row r="757" spans="1:7" x14ac:dyDescent="0.25">
      <c r="A757" s="24">
        <v>10187</v>
      </c>
      <c r="B757" s="25">
        <v>43719</v>
      </c>
      <c r="C757" s="26" t="s">
        <v>29</v>
      </c>
      <c r="D757" s="24">
        <v>16.8</v>
      </c>
      <c r="E757" s="24">
        <v>6</v>
      </c>
      <c r="F757" s="27">
        <v>100.8</v>
      </c>
      <c r="G757" s="26" t="s">
        <v>23</v>
      </c>
    </row>
    <row r="758" spans="1:7" x14ac:dyDescent="0.25">
      <c r="A758" s="24">
        <v>10188</v>
      </c>
      <c r="B758" s="25">
        <v>43721</v>
      </c>
      <c r="C758" s="26" t="s">
        <v>29</v>
      </c>
      <c r="D758" s="24">
        <v>27.8</v>
      </c>
      <c r="E758" s="24">
        <v>10</v>
      </c>
      <c r="F758" s="27">
        <v>278</v>
      </c>
      <c r="G758" s="26" t="s">
        <v>23</v>
      </c>
    </row>
    <row r="759" spans="1:7" x14ac:dyDescent="0.25">
      <c r="A759" s="24">
        <v>10188</v>
      </c>
      <c r="B759" s="25">
        <v>43721</v>
      </c>
      <c r="C759" s="26" t="s">
        <v>29</v>
      </c>
      <c r="D759" s="24">
        <v>16.8</v>
      </c>
      <c r="E759" s="24">
        <v>12</v>
      </c>
      <c r="F759" s="27">
        <v>201.6</v>
      </c>
      <c r="G759" s="26" t="s">
        <v>23</v>
      </c>
    </row>
    <row r="760" spans="1:7" x14ac:dyDescent="0.25">
      <c r="A760" s="24">
        <v>10188</v>
      </c>
      <c r="B760" s="25">
        <v>43721</v>
      </c>
      <c r="C760" s="26" t="s">
        <v>29</v>
      </c>
      <c r="D760" s="24">
        <v>15.2</v>
      </c>
      <c r="E760" s="24">
        <v>10</v>
      </c>
      <c r="F760" s="27">
        <v>152</v>
      </c>
      <c r="G760" s="26" t="s">
        <v>23</v>
      </c>
    </row>
    <row r="761" spans="1:7" x14ac:dyDescent="0.25">
      <c r="A761" s="24">
        <v>10189</v>
      </c>
      <c r="B761" s="25">
        <v>43723</v>
      </c>
      <c r="C761" s="26" t="s">
        <v>29</v>
      </c>
      <c r="D761" s="24">
        <v>6.2</v>
      </c>
      <c r="E761" s="24">
        <v>24</v>
      </c>
      <c r="F761" s="27">
        <v>148.80000000000001</v>
      </c>
      <c r="G761" s="26" t="s">
        <v>27</v>
      </c>
    </row>
    <row r="762" spans="1:7" x14ac:dyDescent="0.25">
      <c r="A762" s="24">
        <v>10189</v>
      </c>
      <c r="B762" s="25">
        <v>43723</v>
      </c>
      <c r="C762" s="26" t="s">
        <v>29</v>
      </c>
      <c r="D762" s="24">
        <v>26.6</v>
      </c>
      <c r="E762" s="24">
        <v>30</v>
      </c>
      <c r="F762" s="27">
        <v>798</v>
      </c>
      <c r="G762" s="26" t="s">
        <v>27</v>
      </c>
    </row>
    <row r="763" spans="1:7" x14ac:dyDescent="0.25">
      <c r="A763" s="24">
        <v>10189</v>
      </c>
      <c r="B763" s="25">
        <v>43723</v>
      </c>
      <c r="C763" s="26" t="s">
        <v>29</v>
      </c>
      <c r="D763" s="24">
        <v>30.4</v>
      </c>
      <c r="E763" s="24">
        <v>40</v>
      </c>
      <c r="F763" s="27">
        <v>1216</v>
      </c>
      <c r="G763" s="26" t="s">
        <v>27</v>
      </c>
    </row>
    <row r="764" spans="1:7" x14ac:dyDescent="0.25">
      <c r="A764" s="24">
        <v>10189</v>
      </c>
      <c r="B764" s="25">
        <v>43723</v>
      </c>
      <c r="C764" s="26" t="s">
        <v>29</v>
      </c>
      <c r="D764" s="24">
        <v>9.6</v>
      </c>
      <c r="E764" s="24">
        <v>5</v>
      </c>
      <c r="F764" s="27">
        <v>48</v>
      </c>
      <c r="G764" s="26" t="s">
        <v>27</v>
      </c>
    </row>
    <row r="765" spans="1:7" x14ac:dyDescent="0.25">
      <c r="A765" s="24">
        <v>10190</v>
      </c>
      <c r="B765" s="25">
        <v>43723</v>
      </c>
      <c r="C765" s="26" t="s">
        <v>29</v>
      </c>
      <c r="D765" s="24">
        <v>26.2</v>
      </c>
      <c r="E765" s="24">
        <v>15</v>
      </c>
      <c r="F765" s="27">
        <v>393</v>
      </c>
      <c r="G765" s="26" t="s">
        <v>27</v>
      </c>
    </row>
    <row r="766" spans="1:7" x14ac:dyDescent="0.25">
      <c r="A766" s="24">
        <v>10191</v>
      </c>
      <c r="B766" s="25">
        <v>43725</v>
      </c>
      <c r="C766" s="26" t="s">
        <v>29</v>
      </c>
      <c r="D766" s="24">
        <v>11.2</v>
      </c>
      <c r="E766" s="24">
        <v>20</v>
      </c>
      <c r="F766" s="27">
        <v>224</v>
      </c>
      <c r="G766" s="26" t="s">
        <v>22</v>
      </c>
    </row>
    <row r="767" spans="1:7" x14ac:dyDescent="0.25">
      <c r="A767" s="24">
        <v>10191</v>
      </c>
      <c r="B767" s="25">
        <v>43725</v>
      </c>
      <c r="C767" s="26" t="s">
        <v>29</v>
      </c>
      <c r="D767" s="24">
        <v>15.6</v>
      </c>
      <c r="E767" s="24">
        <v>15</v>
      </c>
      <c r="F767" s="27">
        <v>234</v>
      </c>
      <c r="G767" s="26" t="s">
        <v>22</v>
      </c>
    </row>
    <row r="768" spans="1:7" x14ac:dyDescent="0.25">
      <c r="A768" s="24">
        <v>10191</v>
      </c>
      <c r="B768" s="25">
        <v>43725</v>
      </c>
      <c r="C768" s="26" t="s">
        <v>29</v>
      </c>
      <c r="D768" s="24">
        <v>7.3</v>
      </c>
      <c r="E768" s="24">
        <v>15</v>
      </c>
      <c r="F768" s="27">
        <v>109.5</v>
      </c>
      <c r="G768" s="26" t="s">
        <v>22</v>
      </c>
    </row>
    <row r="769" spans="1:7" x14ac:dyDescent="0.25">
      <c r="A769" s="24">
        <v>10192</v>
      </c>
      <c r="B769" s="25">
        <v>43727</v>
      </c>
      <c r="C769" s="26" t="s">
        <v>29</v>
      </c>
      <c r="D769" s="24">
        <v>8</v>
      </c>
      <c r="E769" s="24">
        <v>30</v>
      </c>
      <c r="F769" s="27">
        <v>240</v>
      </c>
      <c r="G769" s="26" t="s">
        <v>23</v>
      </c>
    </row>
    <row r="770" spans="1:7" x14ac:dyDescent="0.25">
      <c r="A770" s="24">
        <v>10192</v>
      </c>
      <c r="B770" s="25">
        <v>43727</v>
      </c>
      <c r="C770" s="26" t="s">
        <v>29</v>
      </c>
      <c r="D770" s="24">
        <v>13.9</v>
      </c>
      <c r="E770" s="24">
        <v>16</v>
      </c>
      <c r="F770" s="27">
        <v>222.4</v>
      </c>
      <c r="G770" s="26" t="s">
        <v>23</v>
      </c>
    </row>
    <row r="771" spans="1:7" x14ac:dyDescent="0.25">
      <c r="A771" s="24">
        <v>10192</v>
      </c>
      <c r="B771" s="25">
        <v>43727</v>
      </c>
      <c r="C771" s="26" t="s">
        <v>29</v>
      </c>
      <c r="D771" s="24">
        <v>30.4</v>
      </c>
      <c r="E771" s="24">
        <v>15</v>
      </c>
      <c r="F771" s="27">
        <v>456</v>
      </c>
      <c r="G771" s="26" t="s">
        <v>23</v>
      </c>
    </row>
    <row r="772" spans="1:7" x14ac:dyDescent="0.25">
      <c r="A772" s="24">
        <v>10192</v>
      </c>
      <c r="B772" s="25">
        <v>43727</v>
      </c>
      <c r="C772" s="26" t="s">
        <v>29</v>
      </c>
      <c r="D772" s="24">
        <v>26.6</v>
      </c>
      <c r="E772" s="24">
        <v>6</v>
      </c>
      <c r="F772" s="27">
        <v>159.6</v>
      </c>
      <c r="G772" s="26" t="s">
        <v>23</v>
      </c>
    </row>
    <row r="773" spans="1:7" x14ac:dyDescent="0.25">
      <c r="A773" s="24">
        <v>10193</v>
      </c>
      <c r="B773" s="25">
        <v>43733</v>
      </c>
      <c r="C773" s="26" t="s">
        <v>29</v>
      </c>
      <c r="D773" s="24">
        <v>99</v>
      </c>
      <c r="E773" s="24">
        <v>24</v>
      </c>
      <c r="F773" s="27">
        <v>2376</v>
      </c>
      <c r="G773" s="26" t="s">
        <v>22</v>
      </c>
    </row>
    <row r="774" spans="1:7" x14ac:dyDescent="0.25">
      <c r="A774" s="24">
        <v>10193</v>
      </c>
      <c r="B774" s="25">
        <v>43733</v>
      </c>
      <c r="C774" s="26" t="s">
        <v>29</v>
      </c>
      <c r="D774" s="24">
        <v>22.8</v>
      </c>
      <c r="E774" s="24">
        <v>90</v>
      </c>
      <c r="F774" s="27">
        <v>2052</v>
      </c>
      <c r="G774" s="26" t="s">
        <v>22</v>
      </c>
    </row>
    <row r="775" spans="1:7" x14ac:dyDescent="0.25">
      <c r="A775" s="24">
        <v>10193</v>
      </c>
      <c r="B775" s="25">
        <v>43733</v>
      </c>
      <c r="C775" s="26" t="s">
        <v>29</v>
      </c>
      <c r="D775" s="24">
        <v>13.9</v>
      </c>
      <c r="E775" s="24">
        <v>49</v>
      </c>
      <c r="F775" s="27">
        <v>681.1</v>
      </c>
      <c r="G775" s="26" t="s">
        <v>22</v>
      </c>
    </row>
    <row r="776" spans="1:7" x14ac:dyDescent="0.25">
      <c r="A776" s="24">
        <v>10193</v>
      </c>
      <c r="B776" s="25">
        <v>43733</v>
      </c>
      <c r="C776" s="26" t="s">
        <v>29</v>
      </c>
      <c r="D776" s="24">
        <v>15.2</v>
      </c>
      <c r="E776" s="24">
        <v>45</v>
      </c>
      <c r="F776" s="27">
        <v>684</v>
      </c>
      <c r="G776" s="26" t="s">
        <v>22</v>
      </c>
    </row>
    <row r="777" spans="1:7" x14ac:dyDescent="0.25">
      <c r="A777" s="24">
        <v>10194</v>
      </c>
      <c r="B777" s="25">
        <v>43733</v>
      </c>
      <c r="C777" s="26" t="s">
        <v>29</v>
      </c>
      <c r="D777" s="24">
        <v>35.1</v>
      </c>
      <c r="E777" s="24">
        <v>50</v>
      </c>
      <c r="F777" s="27">
        <v>1755</v>
      </c>
      <c r="G777" s="26" t="s">
        <v>23</v>
      </c>
    </row>
    <row r="778" spans="1:7" x14ac:dyDescent="0.25">
      <c r="A778" s="24">
        <v>10195</v>
      </c>
      <c r="B778" s="25">
        <v>43735</v>
      </c>
      <c r="C778" s="26" t="s">
        <v>29</v>
      </c>
      <c r="D778" s="24">
        <v>16.8</v>
      </c>
      <c r="E778" s="24">
        <v>30</v>
      </c>
      <c r="F778" s="27">
        <v>504</v>
      </c>
      <c r="G778" s="26" t="s">
        <v>25</v>
      </c>
    </row>
    <row r="779" spans="1:7" x14ac:dyDescent="0.25">
      <c r="A779" s="24">
        <v>10197</v>
      </c>
      <c r="B779" s="25">
        <v>43737</v>
      </c>
      <c r="C779" s="26" t="s">
        <v>29</v>
      </c>
      <c r="D779" s="24">
        <v>14.4</v>
      </c>
      <c r="E779" s="24">
        <v>8</v>
      </c>
      <c r="F779" s="27">
        <v>115.2</v>
      </c>
      <c r="G779" s="26" t="s">
        <v>23</v>
      </c>
    </row>
    <row r="780" spans="1:7" x14ac:dyDescent="0.25">
      <c r="A780" s="24">
        <v>10198</v>
      </c>
      <c r="B780" s="25">
        <v>43739</v>
      </c>
      <c r="C780" s="26" t="s">
        <v>29</v>
      </c>
      <c r="D780" s="24">
        <v>5.9</v>
      </c>
      <c r="E780" s="24">
        <v>15</v>
      </c>
      <c r="F780" s="27">
        <v>88.5</v>
      </c>
      <c r="G780" s="26" t="s">
        <v>23</v>
      </c>
    </row>
    <row r="781" spans="1:7" x14ac:dyDescent="0.25">
      <c r="A781" s="24">
        <v>10198</v>
      </c>
      <c r="B781" s="25">
        <v>43739</v>
      </c>
      <c r="C781" s="26" t="s">
        <v>29</v>
      </c>
      <c r="D781" s="24">
        <v>14.4</v>
      </c>
      <c r="E781" s="24">
        <v>6</v>
      </c>
      <c r="F781" s="27">
        <v>86.4</v>
      </c>
      <c r="G781" s="26" t="s">
        <v>23</v>
      </c>
    </row>
    <row r="782" spans="1:7" x14ac:dyDescent="0.25">
      <c r="A782" s="24">
        <v>10199</v>
      </c>
      <c r="B782" s="25">
        <v>43741</v>
      </c>
      <c r="C782" s="26" t="s">
        <v>29</v>
      </c>
      <c r="D782" s="24">
        <v>5.6</v>
      </c>
      <c r="E782" s="24">
        <v>15</v>
      </c>
      <c r="F782" s="27">
        <v>84</v>
      </c>
      <c r="G782" s="26" t="s">
        <v>27</v>
      </c>
    </row>
    <row r="783" spans="1:7" x14ac:dyDescent="0.25">
      <c r="A783" s="24">
        <v>10199</v>
      </c>
      <c r="B783" s="25">
        <v>43741</v>
      </c>
      <c r="C783" s="26" t="s">
        <v>29</v>
      </c>
      <c r="D783" s="24">
        <v>7.3</v>
      </c>
      <c r="E783" s="24">
        <v>12</v>
      </c>
      <c r="F783" s="27">
        <v>87.6</v>
      </c>
      <c r="G783" s="26" t="s">
        <v>27</v>
      </c>
    </row>
    <row r="784" spans="1:7" x14ac:dyDescent="0.25">
      <c r="A784" s="24">
        <v>10199</v>
      </c>
      <c r="B784" s="25">
        <v>43741</v>
      </c>
      <c r="C784" s="26" t="s">
        <v>29</v>
      </c>
      <c r="D784" s="24">
        <v>10</v>
      </c>
      <c r="E784" s="24">
        <v>3</v>
      </c>
      <c r="F784" s="27">
        <v>30</v>
      </c>
      <c r="G784" s="26" t="s">
        <v>27</v>
      </c>
    </row>
    <row r="785" spans="1:7" x14ac:dyDescent="0.25">
      <c r="A785" s="24">
        <v>10199</v>
      </c>
      <c r="B785" s="25">
        <v>43741</v>
      </c>
      <c r="C785" s="26" t="s">
        <v>29</v>
      </c>
      <c r="D785" s="24">
        <v>3.6</v>
      </c>
      <c r="E785" s="24">
        <v>20</v>
      </c>
      <c r="F785" s="27">
        <v>72</v>
      </c>
      <c r="G785" s="26" t="s">
        <v>27</v>
      </c>
    </row>
    <row r="786" spans="1:7" x14ac:dyDescent="0.25">
      <c r="A786" s="24">
        <v>10200</v>
      </c>
      <c r="B786" s="25">
        <v>43741</v>
      </c>
      <c r="C786" s="26" t="s">
        <v>29</v>
      </c>
      <c r="D786" s="24">
        <v>17.2</v>
      </c>
      <c r="E786" s="24">
        <v>2</v>
      </c>
      <c r="F786" s="27">
        <v>34.4</v>
      </c>
      <c r="G786" s="26" t="s">
        <v>23</v>
      </c>
    </row>
    <row r="787" spans="1:7" x14ac:dyDescent="0.25">
      <c r="A787" s="24">
        <v>10200</v>
      </c>
      <c r="B787" s="25">
        <v>43741</v>
      </c>
      <c r="C787" s="26" t="s">
        <v>29</v>
      </c>
      <c r="D787" s="24">
        <v>7.3</v>
      </c>
      <c r="E787" s="24">
        <v>40</v>
      </c>
      <c r="F787" s="27">
        <v>292</v>
      </c>
      <c r="G787" s="26" t="s">
        <v>23</v>
      </c>
    </row>
    <row r="788" spans="1:7" x14ac:dyDescent="0.25">
      <c r="A788" s="24">
        <v>10200</v>
      </c>
      <c r="B788" s="25">
        <v>43741</v>
      </c>
      <c r="C788" s="26" t="s">
        <v>29</v>
      </c>
      <c r="D788" s="24">
        <v>16.8</v>
      </c>
      <c r="E788" s="24">
        <v>35</v>
      </c>
      <c r="F788" s="27">
        <v>588</v>
      </c>
      <c r="G788" s="26" t="s">
        <v>23</v>
      </c>
    </row>
    <row r="789" spans="1:7" x14ac:dyDescent="0.25">
      <c r="A789" s="24">
        <v>10201</v>
      </c>
      <c r="B789" s="25">
        <v>43747</v>
      </c>
      <c r="C789" s="26" t="s">
        <v>29</v>
      </c>
      <c r="D789" s="24">
        <v>14.7</v>
      </c>
      <c r="E789" s="24">
        <v>20</v>
      </c>
      <c r="F789" s="27">
        <v>294</v>
      </c>
      <c r="G789" s="26" t="s">
        <v>22</v>
      </c>
    </row>
    <row r="790" spans="1:7" x14ac:dyDescent="0.25">
      <c r="A790" s="24">
        <v>10201</v>
      </c>
      <c r="B790" s="25">
        <v>43747</v>
      </c>
      <c r="C790" s="26" t="s">
        <v>29</v>
      </c>
      <c r="D790" s="24">
        <v>24.9</v>
      </c>
      <c r="E790" s="24">
        <v>6</v>
      </c>
      <c r="F790" s="27">
        <v>149.4</v>
      </c>
      <c r="G790" s="26" t="s">
        <v>22</v>
      </c>
    </row>
    <row r="791" spans="1:7" x14ac:dyDescent="0.25">
      <c r="A791" s="24">
        <v>10202</v>
      </c>
      <c r="B791" s="25">
        <v>43749</v>
      </c>
      <c r="C791" s="26" t="s">
        <v>29</v>
      </c>
      <c r="D791" s="24">
        <v>39.4</v>
      </c>
      <c r="E791" s="24">
        <v>35</v>
      </c>
      <c r="F791" s="27">
        <v>1379</v>
      </c>
      <c r="G791" s="26" t="s">
        <v>27</v>
      </c>
    </row>
    <row r="792" spans="1:7" x14ac:dyDescent="0.25">
      <c r="A792" s="24">
        <v>10202</v>
      </c>
      <c r="B792" s="25">
        <v>43749</v>
      </c>
      <c r="C792" s="26" t="s">
        <v>29</v>
      </c>
      <c r="D792" s="24">
        <v>24.8</v>
      </c>
      <c r="E792" s="24">
        <v>14</v>
      </c>
      <c r="F792" s="27">
        <v>347.2</v>
      </c>
      <c r="G792" s="26" t="s">
        <v>27</v>
      </c>
    </row>
    <row r="793" spans="1:7" x14ac:dyDescent="0.25">
      <c r="A793" s="24">
        <v>10205</v>
      </c>
      <c r="B793" s="25">
        <v>43753</v>
      </c>
      <c r="C793" s="26" t="s">
        <v>29</v>
      </c>
      <c r="D793" s="24">
        <v>36.4</v>
      </c>
      <c r="E793" s="24">
        <v>15</v>
      </c>
      <c r="F793" s="27">
        <v>546</v>
      </c>
      <c r="G793" s="26" t="s">
        <v>22</v>
      </c>
    </row>
    <row r="794" spans="1:7" x14ac:dyDescent="0.25">
      <c r="A794" s="24">
        <v>10205</v>
      </c>
      <c r="B794" s="25">
        <v>43753</v>
      </c>
      <c r="C794" s="26" t="s">
        <v>29</v>
      </c>
      <c r="D794" s="24">
        <v>15.5</v>
      </c>
      <c r="E794" s="24">
        <v>100</v>
      </c>
      <c r="F794" s="27">
        <v>1550</v>
      </c>
      <c r="G794" s="26" t="s">
        <v>22</v>
      </c>
    </row>
    <row r="795" spans="1:7" x14ac:dyDescent="0.25">
      <c r="A795" s="24">
        <v>10206</v>
      </c>
      <c r="B795" s="25">
        <v>43755</v>
      </c>
      <c r="C795" s="26" t="s">
        <v>29</v>
      </c>
      <c r="D795" s="24">
        <v>12</v>
      </c>
      <c r="E795" s="24">
        <v>25</v>
      </c>
      <c r="F795" s="27">
        <v>300</v>
      </c>
      <c r="G795" s="26" t="s">
        <v>22</v>
      </c>
    </row>
    <row r="796" spans="1:7" x14ac:dyDescent="0.25">
      <c r="A796" s="24">
        <v>10206</v>
      </c>
      <c r="B796" s="25">
        <v>43755</v>
      </c>
      <c r="C796" s="26" t="s">
        <v>29</v>
      </c>
      <c r="D796" s="24">
        <v>10.199999999999999</v>
      </c>
      <c r="E796" s="24">
        <v>15</v>
      </c>
      <c r="F796" s="27">
        <v>153</v>
      </c>
      <c r="G796" s="26" t="s">
        <v>22</v>
      </c>
    </row>
    <row r="797" spans="1:7" x14ac:dyDescent="0.25">
      <c r="A797" s="24">
        <v>10207</v>
      </c>
      <c r="B797" s="25">
        <v>43755</v>
      </c>
      <c r="C797" s="26" t="s">
        <v>29</v>
      </c>
      <c r="D797" s="24">
        <v>13.9</v>
      </c>
      <c r="E797" s="24">
        <v>20</v>
      </c>
      <c r="F797" s="27">
        <v>278</v>
      </c>
      <c r="G797" s="26" t="s">
        <v>22</v>
      </c>
    </row>
    <row r="798" spans="1:7" x14ac:dyDescent="0.25">
      <c r="A798" s="24">
        <v>10207</v>
      </c>
      <c r="B798" s="25">
        <v>43755</v>
      </c>
      <c r="C798" s="26" t="s">
        <v>29</v>
      </c>
      <c r="D798" s="24">
        <v>2</v>
      </c>
      <c r="E798" s="24">
        <v>20</v>
      </c>
      <c r="F798" s="27">
        <v>40</v>
      </c>
      <c r="G798" s="26" t="s">
        <v>22</v>
      </c>
    </row>
    <row r="799" spans="1:7" x14ac:dyDescent="0.25">
      <c r="A799" s="24">
        <v>10207</v>
      </c>
      <c r="B799" s="25">
        <v>43755</v>
      </c>
      <c r="C799" s="26" t="s">
        <v>29</v>
      </c>
      <c r="D799" s="24">
        <v>9.6</v>
      </c>
      <c r="E799" s="24">
        <v>10</v>
      </c>
      <c r="F799" s="27">
        <v>96</v>
      </c>
      <c r="G799" s="26" t="s">
        <v>22</v>
      </c>
    </row>
    <row r="800" spans="1:7" x14ac:dyDescent="0.25">
      <c r="A800" s="24">
        <v>10208</v>
      </c>
      <c r="B800" s="25">
        <v>43761</v>
      </c>
      <c r="C800" s="26" t="s">
        <v>29</v>
      </c>
      <c r="D800" s="24">
        <v>26.2</v>
      </c>
      <c r="E800" s="24">
        <v>50</v>
      </c>
      <c r="F800" s="27">
        <v>1310</v>
      </c>
      <c r="G800" s="26" t="s">
        <v>22</v>
      </c>
    </row>
    <row r="801" spans="1:7" x14ac:dyDescent="0.25">
      <c r="A801" s="24">
        <v>10208</v>
      </c>
      <c r="B801" s="25">
        <v>43761</v>
      </c>
      <c r="C801" s="26" t="s">
        <v>29</v>
      </c>
      <c r="D801" s="24">
        <v>17.2</v>
      </c>
      <c r="E801" s="24">
        <v>30</v>
      </c>
      <c r="F801" s="27">
        <v>516</v>
      </c>
      <c r="G801" s="26" t="s">
        <v>22</v>
      </c>
    </row>
    <row r="802" spans="1:7" x14ac:dyDescent="0.25">
      <c r="A802" s="24">
        <v>10208</v>
      </c>
      <c r="B802" s="25">
        <v>43761</v>
      </c>
      <c r="C802" s="26" t="s">
        <v>29</v>
      </c>
      <c r="D802" s="24">
        <v>22.8</v>
      </c>
      <c r="E802" s="24">
        <v>25</v>
      </c>
      <c r="F802" s="27">
        <v>570</v>
      </c>
      <c r="G802" s="26" t="s">
        <v>22</v>
      </c>
    </row>
    <row r="803" spans="1:7" x14ac:dyDescent="0.25">
      <c r="A803" s="24">
        <v>10208</v>
      </c>
      <c r="B803" s="25">
        <v>43761</v>
      </c>
      <c r="C803" s="26" t="s">
        <v>29</v>
      </c>
      <c r="D803" s="24">
        <v>14.4</v>
      </c>
      <c r="E803" s="24">
        <v>20</v>
      </c>
      <c r="F803" s="27">
        <v>288</v>
      </c>
      <c r="G803" s="26" t="s">
        <v>22</v>
      </c>
    </row>
    <row r="804" spans="1:7" x14ac:dyDescent="0.25">
      <c r="A804" s="24">
        <v>10209</v>
      </c>
      <c r="B804" s="25">
        <v>43763</v>
      </c>
      <c r="C804" s="26" t="s">
        <v>29</v>
      </c>
      <c r="D804" s="24">
        <v>8</v>
      </c>
      <c r="E804" s="24">
        <v>40</v>
      </c>
      <c r="F804" s="27">
        <v>320</v>
      </c>
      <c r="G804" s="26" t="s">
        <v>25</v>
      </c>
    </row>
    <row r="805" spans="1:7" x14ac:dyDescent="0.25">
      <c r="A805" s="24">
        <v>10209</v>
      </c>
      <c r="B805" s="25">
        <v>43763</v>
      </c>
      <c r="C805" s="26" t="s">
        <v>29</v>
      </c>
      <c r="D805" s="24">
        <v>16</v>
      </c>
      <c r="E805" s="24">
        <v>21</v>
      </c>
      <c r="F805" s="27">
        <v>336</v>
      </c>
      <c r="G805" s="26" t="s">
        <v>25</v>
      </c>
    </row>
    <row r="806" spans="1:7" x14ac:dyDescent="0.25">
      <c r="A806" s="24">
        <v>10210</v>
      </c>
      <c r="B806" s="25">
        <v>43763</v>
      </c>
      <c r="C806" s="26" t="s">
        <v>29</v>
      </c>
      <c r="D806" s="24">
        <v>44</v>
      </c>
      <c r="E806" s="24">
        <v>36</v>
      </c>
      <c r="F806" s="27">
        <v>1584</v>
      </c>
      <c r="G806" s="26" t="s">
        <v>26</v>
      </c>
    </row>
    <row r="807" spans="1:7" x14ac:dyDescent="0.25">
      <c r="A807" s="24">
        <v>10211</v>
      </c>
      <c r="B807" s="25">
        <v>43765</v>
      </c>
      <c r="C807" s="26" t="s">
        <v>29</v>
      </c>
      <c r="D807" s="24">
        <v>24.9</v>
      </c>
      <c r="E807" s="24">
        <v>30</v>
      </c>
      <c r="F807" s="27">
        <v>747</v>
      </c>
      <c r="G807" s="26" t="s">
        <v>26</v>
      </c>
    </row>
    <row r="808" spans="1:7" x14ac:dyDescent="0.25">
      <c r="A808" s="24">
        <v>10211</v>
      </c>
      <c r="B808" s="25">
        <v>43765</v>
      </c>
      <c r="C808" s="26" t="s">
        <v>29</v>
      </c>
      <c r="D808" s="24">
        <v>36.799999999999997</v>
      </c>
      <c r="E808" s="24">
        <v>20</v>
      </c>
      <c r="F808" s="27">
        <v>736</v>
      </c>
      <c r="G808" s="26" t="s">
        <v>26</v>
      </c>
    </row>
    <row r="809" spans="1:7" x14ac:dyDescent="0.25">
      <c r="A809" s="24">
        <v>10211</v>
      </c>
      <c r="B809" s="25">
        <v>43765</v>
      </c>
      <c r="C809" s="26" t="s">
        <v>29</v>
      </c>
      <c r="D809" s="24">
        <v>36.4</v>
      </c>
      <c r="E809" s="24">
        <v>30</v>
      </c>
      <c r="F809" s="27">
        <v>1092</v>
      </c>
      <c r="G809" s="26" t="s">
        <v>26</v>
      </c>
    </row>
    <row r="810" spans="1:7" x14ac:dyDescent="0.25">
      <c r="A810" s="24">
        <v>10211</v>
      </c>
      <c r="B810" s="25">
        <v>43765</v>
      </c>
      <c r="C810" s="26" t="s">
        <v>29</v>
      </c>
      <c r="D810" s="24">
        <v>30.4</v>
      </c>
      <c r="E810" s="24">
        <v>15</v>
      </c>
      <c r="F810" s="27">
        <v>456</v>
      </c>
      <c r="G810" s="26" t="s">
        <v>26</v>
      </c>
    </row>
    <row r="811" spans="1:7" x14ac:dyDescent="0.25">
      <c r="A811" s="24">
        <v>10211</v>
      </c>
      <c r="B811" s="25">
        <v>43765</v>
      </c>
      <c r="C811" s="26" t="s">
        <v>29</v>
      </c>
      <c r="D811" s="24">
        <v>17.2</v>
      </c>
      <c r="E811" s="24">
        <v>50</v>
      </c>
      <c r="F811" s="27">
        <v>860</v>
      </c>
      <c r="G811" s="26" t="s">
        <v>26</v>
      </c>
    </row>
    <row r="812" spans="1:7" x14ac:dyDescent="0.25">
      <c r="A812" s="24">
        <v>10212</v>
      </c>
      <c r="B812" s="25">
        <v>43767</v>
      </c>
      <c r="C812" s="26" t="s">
        <v>29</v>
      </c>
      <c r="D812" s="24">
        <v>27.8</v>
      </c>
      <c r="E812" s="24">
        <v>40</v>
      </c>
      <c r="F812" s="27">
        <v>1112</v>
      </c>
      <c r="G812" s="26" t="s">
        <v>23</v>
      </c>
    </row>
    <row r="813" spans="1:7" x14ac:dyDescent="0.25">
      <c r="A813" s="24">
        <v>10212</v>
      </c>
      <c r="B813" s="25">
        <v>43767</v>
      </c>
      <c r="C813" s="26" t="s">
        <v>29</v>
      </c>
      <c r="D813" s="24">
        <v>9.6</v>
      </c>
      <c r="E813" s="24">
        <v>20</v>
      </c>
      <c r="F813" s="27">
        <v>192</v>
      </c>
      <c r="G813" s="26" t="s">
        <v>23</v>
      </c>
    </row>
    <row r="814" spans="1:7" x14ac:dyDescent="0.25">
      <c r="A814" s="24">
        <v>10212</v>
      </c>
      <c r="B814" s="25">
        <v>43767</v>
      </c>
      <c r="C814" s="26" t="s">
        <v>29</v>
      </c>
      <c r="D814" s="24">
        <v>24</v>
      </c>
      <c r="E814" s="24">
        <v>16</v>
      </c>
      <c r="F814" s="27">
        <v>384</v>
      </c>
      <c r="G814" s="26" t="s">
        <v>23</v>
      </c>
    </row>
    <row r="815" spans="1:7" x14ac:dyDescent="0.25">
      <c r="A815" s="24">
        <v>10213</v>
      </c>
      <c r="B815" s="25">
        <v>43769</v>
      </c>
      <c r="C815" s="26" t="s">
        <v>29</v>
      </c>
      <c r="D815" s="24">
        <v>10</v>
      </c>
      <c r="E815" s="24">
        <v>21</v>
      </c>
      <c r="F815" s="27">
        <v>210</v>
      </c>
      <c r="G815" s="26" t="s">
        <v>26</v>
      </c>
    </row>
    <row r="816" spans="1:7" x14ac:dyDescent="0.25">
      <c r="A816" s="24">
        <v>10213</v>
      </c>
      <c r="B816" s="25">
        <v>43769</v>
      </c>
      <c r="C816" s="26" t="s">
        <v>29</v>
      </c>
      <c r="D816" s="24">
        <v>6.2</v>
      </c>
      <c r="E816" s="24">
        <v>4</v>
      </c>
      <c r="F816" s="27">
        <v>24.8</v>
      </c>
      <c r="G816" s="26" t="s">
        <v>26</v>
      </c>
    </row>
    <row r="817" spans="1:7" x14ac:dyDescent="0.25">
      <c r="A817" s="24">
        <v>10214</v>
      </c>
      <c r="B817" s="25">
        <v>43769</v>
      </c>
      <c r="C817" s="26" t="s">
        <v>29</v>
      </c>
      <c r="D817" s="24">
        <v>20.7</v>
      </c>
      <c r="E817" s="24">
        <v>28</v>
      </c>
      <c r="F817" s="27">
        <v>579.6</v>
      </c>
      <c r="G817" s="26" t="s">
        <v>23</v>
      </c>
    </row>
    <row r="818" spans="1:7" x14ac:dyDescent="0.25">
      <c r="A818" s="24">
        <v>10214</v>
      </c>
      <c r="B818" s="25">
        <v>43769</v>
      </c>
      <c r="C818" s="26" t="s">
        <v>29</v>
      </c>
      <c r="D818" s="24">
        <v>19.2</v>
      </c>
      <c r="E818" s="24">
        <v>60</v>
      </c>
      <c r="F818" s="27">
        <v>1152</v>
      </c>
      <c r="G818" s="26" t="s">
        <v>23</v>
      </c>
    </row>
    <row r="819" spans="1:7" x14ac:dyDescent="0.25">
      <c r="A819" s="24">
        <v>10217</v>
      </c>
      <c r="B819" s="25">
        <v>43777</v>
      </c>
      <c r="C819" s="26" t="s">
        <v>29</v>
      </c>
      <c r="D819" s="24">
        <v>27.2</v>
      </c>
      <c r="E819" s="24">
        <v>20</v>
      </c>
      <c r="F819" s="27">
        <v>544</v>
      </c>
      <c r="G819" s="26" t="s">
        <v>23</v>
      </c>
    </row>
    <row r="820" spans="1:7" x14ac:dyDescent="0.25">
      <c r="A820" s="24">
        <v>10217</v>
      </c>
      <c r="B820" s="25">
        <v>43777</v>
      </c>
      <c r="C820" s="26" t="s">
        <v>29</v>
      </c>
      <c r="D820" s="24">
        <v>30.4</v>
      </c>
      <c r="E820" s="24">
        <v>30</v>
      </c>
      <c r="F820" s="27">
        <v>912</v>
      </c>
      <c r="G820" s="26" t="s">
        <v>23</v>
      </c>
    </row>
    <row r="821" spans="1:7" x14ac:dyDescent="0.25">
      <c r="A821" s="24">
        <v>10218</v>
      </c>
      <c r="B821" s="25">
        <v>43779</v>
      </c>
      <c r="C821" s="26" t="s">
        <v>29</v>
      </c>
      <c r="D821" s="24">
        <v>99</v>
      </c>
      <c r="E821" s="24">
        <v>18</v>
      </c>
      <c r="F821" s="27">
        <v>1782</v>
      </c>
      <c r="G821" s="26" t="s">
        <v>23</v>
      </c>
    </row>
    <row r="822" spans="1:7" x14ac:dyDescent="0.25">
      <c r="A822" s="24">
        <v>10218</v>
      </c>
      <c r="B822" s="25">
        <v>43779</v>
      </c>
      <c r="C822" s="26" t="s">
        <v>29</v>
      </c>
      <c r="D822" s="24">
        <v>7.6</v>
      </c>
      <c r="E822" s="24">
        <v>30</v>
      </c>
      <c r="F822" s="27">
        <v>228</v>
      </c>
      <c r="G822" s="26" t="s">
        <v>23</v>
      </c>
    </row>
    <row r="823" spans="1:7" x14ac:dyDescent="0.25">
      <c r="A823" s="24">
        <v>10218</v>
      </c>
      <c r="B823" s="25">
        <v>43779</v>
      </c>
      <c r="C823" s="26" t="s">
        <v>29</v>
      </c>
      <c r="D823" s="24">
        <v>3.6</v>
      </c>
      <c r="E823" s="24">
        <v>25</v>
      </c>
      <c r="F823" s="27">
        <v>90</v>
      </c>
      <c r="G823" s="26" t="s">
        <v>23</v>
      </c>
    </row>
    <row r="824" spans="1:7" x14ac:dyDescent="0.25">
      <c r="A824" s="24">
        <v>10218</v>
      </c>
      <c r="B824" s="25">
        <v>43779</v>
      </c>
      <c r="C824" s="26" t="s">
        <v>29</v>
      </c>
      <c r="D824" s="24">
        <v>14.7</v>
      </c>
      <c r="E824" s="24">
        <v>20</v>
      </c>
      <c r="F824" s="27">
        <v>294</v>
      </c>
      <c r="G824" s="26" t="s">
        <v>23</v>
      </c>
    </row>
    <row r="825" spans="1:7" x14ac:dyDescent="0.25">
      <c r="A825" s="24">
        <v>10218</v>
      </c>
      <c r="B825" s="25">
        <v>43779</v>
      </c>
      <c r="C825" s="26" t="s">
        <v>29</v>
      </c>
      <c r="D825" s="24">
        <v>13</v>
      </c>
      <c r="E825" s="24">
        <v>25</v>
      </c>
      <c r="F825" s="27">
        <v>325</v>
      </c>
      <c r="G825" s="26" t="s">
        <v>23</v>
      </c>
    </row>
    <row r="826" spans="1:7" x14ac:dyDescent="0.25">
      <c r="A826" s="24">
        <v>10219</v>
      </c>
      <c r="B826" s="25">
        <v>43781</v>
      </c>
      <c r="C826" s="26" t="s">
        <v>29</v>
      </c>
      <c r="D826" s="24">
        <v>9.6</v>
      </c>
      <c r="E826" s="24">
        <v>5</v>
      </c>
      <c r="F826" s="27">
        <v>48</v>
      </c>
      <c r="G826" s="26" t="s">
        <v>27</v>
      </c>
    </row>
    <row r="827" spans="1:7" x14ac:dyDescent="0.25">
      <c r="A827" s="24">
        <v>10219</v>
      </c>
      <c r="B827" s="25">
        <v>43781</v>
      </c>
      <c r="C827" s="26" t="s">
        <v>29</v>
      </c>
      <c r="D827" s="24">
        <v>16.8</v>
      </c>
      <c r="E827" s="24">
        <v>10</v>
      </c>
      <c r="F827" s="27">
        <v>168</v>
      </c>
      <c r="G827" s="26" t="s">
        <v>27</v>
      </c>
    </row>
    <row r="828" spans="1:7" x14ac:dyDescent="0.25">
      <c r="A828" s="24">
        <v>10220</v>
      </c>
      <c r="B828" s="25">
        <v>43781</v>
      </c>
      <c r="C828" s="26" t="s">
        <v>29</v>
      </c>
      <c r="D828" s="24">
        <v>3.6</v>
      </c>
      <c r="E828" s="24">
        <v>28</v>
      </c>
      <c r="F828" s="27">
        <v>100.8</v>
      </c>
      <c r="G828" s="26" t="s">
        <v>22</v>
      </c>
    </row>
    <row r="829" spans="1:7" x14ac:dyDescent="0.25">
      <c r="A829" s="24">
        <v>10220</v>
      </c>
      <c r="B829" s="25">
        <v>43781</v>
      </c>
      <c r="C829" s="26" t="s">
        <v>29</v>
      </c>
      <c r="D829" s="24">
        <v>11.2</v>
      </c>
      <c r="E829" s="24">
        <v>12</v>
      </c>
      <c r="F829" s="27">
        <v>134.4</v>
      </c>
      <c r="G829" s="26" t="s">
        <v>22</v>
      </c>
    </row>
    <row r="830" spans="1:7" x14ac:dyDescent="0.25">
      <c r="A830" s="24">
        <v>10221</v>
      </c>
      <c r="B830" s="25">
        <v>43783</v>
      </c>
      <c r="C830" s="26" t="s">
        <v>29</v>
      </c>
      <c r="D830" s="24">
        <v>36.799999999999997</v>
      </c>
      <c r="E830" s="24">
        <v>15</v>
      </c>
      <c r="F830" s="27">
        <v>552</v>
      </c>
      <c r="G830" s="26" t="s">
        <v>22</v>
      </c>
    </row>
    <row r="831" spans="1:7" x14ac:dyDescent="0.25">
      <c r="A831" s="24">
        <v>10224</v>
      </c>
      <c r="B831" s="25">
        <v>43791</v>
      </c>
      <c r="C831" s="26" t="s">
        <v>29</v>
      </c>
      <c r="D831" s="24">
        <v>30.4</v>
      </c>
      <c r="E831" s="24">
        <v>20</v>
      </c>
      <c r="F831" s="27">
        <v>608</v>
      </c>
      <c r="G831" s="26" t="s">
        <v>23</v>
      </c>
    </row>
    <row r="832" spans="1:7" x14ac:dyDescent="0.25">
      <c r="A832" s="24">
        <v>10224</v>
      </c>
      <c r="B832" s="25">
        <v>43791</v>
      </c>
      <c r="C832" s="26" t="s">
        <v>29</v>
      </c>
      <c r="D832" s="24">
        <v>24</v>
      </c>
      <c r="E832" s="24">
        <v>30</v>
      </c>
      <c r="F832" s="27">
        <v>720</v>
      </c>
      <c r="G832" s="26" t="s">
        <v>23</v>
      </c>
    </row>
    <row r="833" spans="1:7" x14ac:dyDescent="0.25">
      <c r="A833" s="24">
        <v>10225</v>
      </c>
      <c r="B833" s="25">
        <v>43793</v>
      </c>
      <c r="C833" s="26" t="s">
        <v>29</v>
      </c>
      <c r="D833" s="24">
        <v>3.6</v>
      </c>
      <c r="E833" s="24">
        <v>80</v>
      </c>
      <c r="F833" s="27">
        <v>288</v>
      </c>
      <c r="G833" s="26" t="s">
        <v>23</v>
      </c>
    </row>
    <row r="834" spans="1:7" x14ac:dyDescent="0.25">
      <c r="A834" s="24">
        <v>10226</v>
      </c>
      <c r="B834" s="25">
        <v>43795</v>
      </c>
      <c r="C834" s="26" t="s">
        <v>29</v>
      </c>
      <c r="D834" s="24">
        <v>2</v>
      </c>
      <c r="E834" s="24">
        <v>12</v>
      </c>
      <c r="F834" s="27">
        <v>24</v>
      </c>
      <c r="G834" s="26" t="s">
        <v>25</v>
      </c>
    </row>
    <row r="835" spans="1:7" x14ac:dyDescent="0.25">
      <c r="A835" s="24">
        <v>10226</v>
      </c>
      <c r="B835" s="25">
        <v>43795</v>
      </c>
      <c r="C835" s="26" t="s">
        <v>29</v>
      </c>
      <c r="D835" s="24">
        <v>17.2</v>
      </c>
      <c r="E835" s="24">
        <v>12</v>
      </c>
      <c r="F835" s="27">
        <v>206.4</v>
      </c>
      <c r="G835" s="26" t="s">
        <v>25</v>
      </c>
    </row>
    <row r="836" spans="1:7" x14ac:dyDescent="0.25">
      <c r="A836" s="24">
        <v>10227</v>
      </c>
      <c r="B836" s="25">
        <v>43795</v>
      </c>
      <c r="C836" s="26" t="s">
        <v>29</v>
      </c>
      <c r="D836" s="24">
        <v>14.7</v>
      </c>
      <c r="E836" s="24">
        <v>21</v>
      </c>
      <c r="F836" s="27">
        <v>308.7</v>
      </c>
      <c r="G836" s="26" t="s">
        <v>23</v>
      </c>
    </row>
    <row r="837" spans="1:7" x14ac:dyDescent="0.25">
      <c r="A837" s="24">
        <v>10227</v>
      </c>
      <c r="B837" s="25">
        <v>43795</v>
      </c>
      <c r="C837" s="26" t="s">
        <v>29</v>
      </c>
      <c r="D837" s="24">
        <v>18.600000000000001</v>
      </c>
      <c r="E837" s="24">
        <v>12</v>
      </c>
      <c r="F837" s="27">
        <v>223.2</v>
      </c>
      <c r="G837" s="26" t="s">
        <v>23</v>
      </c>
    </row>
    <row r="838" spans="1:7" x14ac:dyDescent="0.25">
      <c r="A838" s="24">
        <v>10227</v>
      </c>
      <c r="B838" s="25">
        <v>43795</v>
      </c>
      <c r="C838" s="26" t="s">
        <v>29</v>
      </c>
      <c r="D838" s="24">
        <v>36.4</v>
      </c>
      <c r="E838" s="24">
        <v>18</v>
      </c>
      <c r="F838" s="27">
        <v>655.20000000000005</v>
      </c>
      <c r="G838" s="26" t="s">
        <v>23</v>
      </c>
    </row>
    <row r="839" spans="1:7" x14ac:dyDescent="0.25">
      <c r="A839" s="24">
        <v>10230</v>
      </c>
      <c r="B839" s="25">
        <v>43803</v>
      </c>
      <c r="C839" s="26" t="s">
        <v>29</v>
      </c>
      <c r="D839" s="24">
        <v>14.4</v>
      </c>
      <c r="E839" s="24">
        <v>15</v>
      </c>
      <c r="F839" s="27">
        <v>216</v>
      </c>
      <c r="G839" s="26" t="s">
        <v>23</v>
      </c>
    </row>
    <row r="840" spans="1:7" x14ac:dyDescent="0.25">
      <c r="A840" s="24">
        <v>10230</v>
      </c>
      <c r="B840" s="25">
        <v>43803</v>
      </c>
      <c r="C840" s="26" t="s">
        <v>29</v>
      </c>
      <c r="D840" s="24">
        <v>8</v>
      </c>
      <c r="E840" s="24">
        <v>21</v>
      </c>
      <c r="F840" s="27">
        <v>168</v>
      </c>
      <c r="G840" s="26" t="s">
        <v>23</v>
      </c>
    </row>
    <row r="841" spans="1:7" x14ac:dyDescent="0.25">
      <c r="A841" s="24">
        <v>10231</v>
      </c>
      <c r="B841" s="25">
        <v>43805</v>
      </c>
      <c r="C841" s="26" t="s">
        <v>29</v>
      </c>
      <c r="D841" s="24">
        <v>24.8</v>
      </c>
      <c r="E841" s="24">
        <v>20</v>
      </c>
      <c r="F841" s="27">
        <v>496</v>
      </c>
      <c r="G841" s="26" t="s">
        <v>23</v>
      </c>
    </row>
    <row r="842" spans="1:7" x14ac:dyDescent="0.25">
      <c r="A842" s="24">
        <v>10232</v>
      </c>
      <c r="B842" s="25">
        <v>43807</v>
      </c>
      <c r="C842" s="26" t="s">
        <v>29</v>
      </c>
      <c r="D842" s="24">
        <v>26.6</v>
      </c>
      <c r="E842" s="24">
        <v>30</v>
      </c>
      <c r="F842" s="27">
        <v>798</v>
      </c>
      <c r="G842" s="26" t="s">
        <v>22</v>
      </c>
    </row>
    <row r="843" spans="1:7" x14ac:dyDescent="0.25">
      <c r="A843" s="24">
        <v>10232</v>
      </c>
      <c r="B843" s="25">
        <v>43807</v>
      </c>
      <c r="C843" s="26" t="s">
        <v>29</v>
      </c>
      <c r="D843" s="24">
        <v>26.2</v>
      </c>
      <c r="E843" s="24">
        <v>28</v>
      </c>
      <c r="F843" s="27">
        <v>733.6</v>
      </c>
      <c r="G843" s="26" t="s">
        <v>22</v>
      </c>
    </row>
    <row r="844" spans="1:7" x14ac:dyDescent="0.25">
      <c r="A844" s="24">
        <v>10232</v>
      </c>
      <c r="B844" s="25">
        <v>43807</v>
      </c>
      <c r="C844" s="26" t="s">
        <v>29</v>
      </c>
      <c r="D844" s="24">
        <v>210.8</v>
      </c>
      <c r="E844" s="24">
        <v>30</v>
      </c>
      <c r="F844" s="27">
        <v>6324</v>
      </c>
      <c r="G844" s="26" t="s">
        <v>22</v>
      </c>
    </row>
    <row r="845" spans="1:7" x14ac:dyDescent="0.25">
      <c r="A845" s="24">
        <v>10232</v>
      </c>
      <c r="B845" s="25">
        <v>43807</v>
      </c>
      <c r="C845" s="26" t="s">
        <v>29</v>
      </c>
      <c r="D845" s="24">
        <v>44</v>
      </c>
      <c r="E845" s="24">
        <v>60</v>
      </c>
      <c r="F845" s="27">
        <v>2640</v>
      </c>
      <c r="G845" s="26" t="s">
        <v>22</v>
      </c>
    </row>
    <row r="846" spans="1:7" x14ac:dyDescent="0.25">
      <c r="A846" s="24">
        <v>10233</v>
      </c>
      <c r="B846" s="25">
        <v>43809</v>
      </c>
      <c r="C846" s="26" t="s">
        <v>29</v>
      </c>
      <c r="D846" s="24">
        <v>7.6</v>
      </c>
      <c r="E846" s="24">
        <v>30</v>
      </c>
      <c r="F846" s="27">
        <v>228</v>
      </c>
      <c r="G846" s="26" t="s">
        <v>23</v>
      </c>
    </row>
    <row r="847" spans="1:7" x14ac:dyDescent="0.25">
      <c r="A847" s="24">
        <v>10233</v>
      </c>
      <c r="B847" s="25">
        <v>43809</v>
      </c>
      <c r="C847" s="26" t="s">
        <v>29</v>
      </c>
      <c r="D847" s="24">
        <v>44</v>
      </c>
      <c r="E847" s="24">
        <v>12</v>
      </c>
      <c r="F847" s="27">
        <v>528</v>
      </c>
      <c r="G847" s="26" t="s">
        <v>23</v>
      </c>
    </row>
    <row r="848" spans="1:7" x14ac:dyDescent="0.25">
      <c r="A848" s="24">
        <v>10234</v>
      </c>
      <c r="B848" s="25">
        <v>43809</v>
      </c>
      <c r="C848" s="26" t="s">
        <v>29</v>
      </c>
      <c r="D848" s="24">
        <v>27.2</v>
      </c>
      <c r="E848" s="24">
        <v>40</v>
      </c>
      <c r="F848" s="27">
        <v>1088</v>
      </c>
      <c r="G848" s="26" t="s">
        <v>22</v>
      </c>
    </row>
    <row r="849" spans="1:7" x14ac:dyDescent="0.25">
      <c r="A849" s="24">
        <v>10234</v>
      </c>
      <c r="B849" s="25">
        <v>43809</v>
      </c>
      <c r="C849" s="26" t="s">
        <v>29</v>
      </c>
      <c r="D849" s="24">
        <v>16</v>
      </c>
      <c r="E849" s="24">
        <v>24</v>
      </c>
      <c r="F849" s="27">
        <v>384</v>
      </c>
      <c r="G849" s="26" t="s">
        <v>22</v>
      </c>
    </row>
    <row r="850" spans="1:7" x14ac:dyDescent="0.25">
      <c r="A850" s="24">
        <v>10238</v>
      </c>
      <c r="B850" s="25">
        <v>43819</v>
      </c>
      <c r="C850" s="26" t="s">
        <v>29</v>
      </c>
      <c r="D850" s="24">
        <v>8</v>
      </c>
      <c r="E850" s="24">
        <v>20</v>
      </c>
      <c r="F850" s="27">
        <v>160</v>
      </c>
      <c r="G850" s="26" t="s">
        <v>22</v>
      </c>
    </row>
    <row r="851" spans="1:7" x14ac:dyDescent="0.25">
      <c r="A851" s="24">
        <v>10238</v>
      </c>
      <c r="B851" s="25">
        <v>43819</v>
      </c>
      <c r="C851" s="26" t="s">
        <v>29</v>
      </c>
      <c r="D851" s="24">
        <v>15.2</v>
      </c>
      <c r="E851" s="24">
        <v>20</v>
      </c>
      <c r="F851" s="27">
        <v>304</v>
      </c>
      <c r="G851" s="26" t="s">
        <v>22</v>
      </c>
    </row>
    <row r="852" spans="1:7" x14ac:dyDescent="0.25">
      <c r="A852" s="24">
        <v>10238</v>
      </c>
      <c r="B852" s="25">
        <v>43819</v>
      </c>
      <c r="C852" s="26" t="s">
        <v>29</v>
      </c>
      <c r="D852" s="24">
        <v>19.2</v>
      </c>
      <c r="E852" s="24">
        <v>30</v>
      </c>
      <c r="F852" s="27">
        <v>576</v>
      </c>
      <c r="G852" s="26" t="s">
        <v>22</v>
      </c>
    </row>
    <row r="853" spans="1:7" x14ac:dyDescent="0.25">
      <c r="A853" s="24">
        <v>10239</v>
      </c>
      <c r="B853" s="25">
        <v>43821</v>
      </c>
      <c r="C853" s="26" t="s">
        <v>29</v>
      </c>
      <c r="D853" s="24">
        <v>8</v>
      </c>
      <c r="E853" s="24">
        <v>16</v>
      </c>
      <c r="F853" s="27">
        <v>128</v>
      </c>
      <c r="G853" s="26" t="s">
        <v>26</v>
      </c>
    </row>
    <row r="854" spans="1:7" x14ac:dyDescent="0.25">
      <c r="A854" s="24">
        <v>10239</v>
      </c>
      <c r="B854" s="25">
        <v>43821</v>
      </c>
      <c r="C854" s="26" t="s">
        <v>29</v>
      </c>
      <c r="D854" s="24">
        <v>16.8</v>
      </c>
      <c r="E854" s="24">
        <v>5</v>
      </c>
      <c r="F854" s="27">
        <v>84</v>
      </c>
      <c r="G854" s="26" t="s">
        <v>26</v>
      </c>
    </row>
    <row r="855" spans="1:7" x14ac:dyDescent="0.25">
      <c r="A855" s="24">
        <v>10240</v>
      </c>
      <c r="B855" s="25">
        <v>43821</v>
      </c>
      <c r="C855" s="26" t="s">
        <v>29</v>
      </c>
      <c r="D855" s="24">
        <v>5.9</v>
      </c>
      <c r="E855" s="24">
        <v>24</v>
      </c>
      <c r="F855" s="27">
        <v>141.6</v>
      </c>
      <c r="G855" s="26" t="s">
        <v>26</v>
      </c>
    </row>
    <row r="856" spans="1:7" x14ac:dyDescent="0.25">
      <c r="A856" s="24">
        <v>10240</v>
      </c>
      <c r="B856" s="25">
        <v>43821</v>
      </c>
      <c r="C856" s="26" t="s">
        <v>29</v>
      </c>
      <c r="D856" s="24">
        <v>24.9</v>
      </c>
      <c r="E856" s="24">
        <v>30</v>
      </c>
      <c r="F856" s="27">
        <v>747</v>
      </c>
      <c r="G856" s="26" t="s">
        <v>26</v>
      </c>
    </row>
    <row r="857" spans="1:7" x14ac:dyDescent="0.25">
      <c r="A857" s="24">
        <v>10240</v>
      </c>
      <c r="B857" s="25">
        <v>43821</v>
      </c>
      <c r="C857" s="26" t="s">
        <v>29</v>
      </c>
      <c r="D857" s="24">
        <v>7.3</v>
      </c>
      <c r="E857" s="24">
        <v>5</v>
      </c>
      <c r="F857" s="27">
        <v>36.5</v>
      </c>
      <c r="G857" s="26" t="s">
        <v>26</v>
      </c>
    </row>
    <row r="858" spans="1:7" x14ac:dyDescent="0.25">
      <c r="A858" s="24">
        <v>10241</v>
      </c>
      <c r="B858" s="25">
        <v>43823</v>
      </c>
      <c r="C858" s="26" t="s">
        <v>29</v>
      </c>
      <c r="D858" s="24">
        <v>12</v>
      </c>
      <c r="E858" s="24">
        <v>20</v>
      </c>
      <c r="F858" s="27">
        <v>240</v>
      </c>
      <c r="G858" s="26" t="s">
        <v>26</v>
      </c>
    </row>
    <row r="859" spans="1:7" x14ac:dyDescent="0.25">
      <c r="A859" s="24">
        <v>10241</v>
      </c>
      <c r="B859" s="25">
        <v>43823</v>
      </c>
      <c r="C859" s="26" t="s">
        <v>29</v>
      </c>
      <c r="D859" s="24">
        <v>44</v>
      </c>
      <c r="E859" s="24">
        <v>30</v>
      </c>
      <c r="F859" s="27">
        <v>1320</v>
      </c>
      <c r="G859" s="26" t="s">
        <v>26</v>
      </c>
    </row>
    <row r="860" spans="1:7" x14ac:dyDescent="0.25">
      <c r="A860" s="24">
        <v>10242</v>
      </c>
      <c r="B860" s="25">
        <v>43825</v>
      </c>
      <c r="C860" s="26" t="s">
        <v>29</v>
      </c>
      <c r="D860" s="24">
        <v>16.8</v>
      </c>
      <c r="E860" s="24">
        <v>15</v>
      </c>
      <c r="F860" s="27">
        <v>252</v>
      </c>
      <c r="G860" s="26" t="s">
        <v>23</v>
      </c>
    </row>
    <row r="861" spans="1:7" x14ac:dyDescent="0.25">
      <c r="A861" s="24">
        <v>10245</v>
      </c>
      <c r="B861" s="25">
        <v>43833</v>
      </c>
      <c r="C861" s="26" t="s">
        <v>29</v>
      </c>
      <c r="D861" s="24">
        <v>11.2</v>
      </c>
      <c r="E861" s="24">
        <v>20</v>
      </c>
      <c r="F861" s="27">
        <v>224</v>
      </c>
      <c r="G861" s="26" t="s">
        <v>22</v>
      </c>
    </row>
    <row r="862" spans="1:7" x14ac:dyDescent="0.25">
      <c r="A862" s="24">
        <v>10246</v>
      </c>
      <c r="B862" s="25">
        <v>43835</v>
      </c>
      <c r="C862" s="26" t="s">
        <v>29</v>
      </c>
      <c r="D862" s="24">
        <v>13.6</v>
      </c>
      <c r="E862" s="24">
        <v>10</v>
      </c>
      <c r="F862" s="27">
        <v>136</v>
      </c>
      <c r="G862" s="26" t="s">
        <v>22</v>
      </c>
    </row>
    <row r="863" spans="1:7" x14ac:dyDescent="0.25">
      <c r="A863" s="24">
        <v>10246</v>
      </c>
      <c r="B863" s="25">
        <v>43835</v>
      </c>
      <c r="C863" s="26" t="s">
        <v>29</v>
      </c>
      <c r="D863" s="24">
        <v>28.8</v>
      </c>
      <c r="E863" s="24">
        <v>10</v>
      </c>
      <c r="F863" s="27">
        <v>288</v>
      </c>
      <c r="G863" s="26" t="s">
        <v>22</v>
      </c>
    </row>
    <row r="864" spans="1:7" x14ac:dyDescent="0.25">
      <c r="A864" s="24">
        <v>10246</v>
      </c>
      <c r="B864" s="25">
        <v>43835</v>
      </c>
      <c r="C864" s="26" t="s">
        <v>29</v>
      </c>
      <c r="D864" s="24">
        <v>16.8</v>
      </c>
      <c r="E864" s="24">
        <v>15</v>
      </c>
      <c r="F864" s="27">
        <v>252</v>
      </c>
      <c r="G864" s="26" t="s">
        <v>22</v>
      </c>
    </row>
    <row r="865" spans="1:7" x14ac:dyDescent="0.25">
      <c r="A865" s="24">
        <v>10247</v>
      </c>
      <c r="B865" s="25">
        <v>43835</v>
      </c>
      <c r="C865" s="26" t="s">
        <v>29</v>
      </c>
      <c r="D865" s="24">
        <v>30.4</v>
      </c>
      <c r="E865" s="24">
        <v>30</v>
      </c>
      <c r="F865" s="27">
        <v>912</v>
      </c>
      <c r="G865" s="26" t="s">
        <v>22</v>
      </c>
    </row>
    <row r="866" spans="1:7" x14ac:dyDescent="0.25">
      <c r="A866" s="24">
        <v>10248</v>
      </c>
      <c r="B866" s="25">
        <v>43837</v>
      </c>
      <c r="C866" s="26" t="s">
        <v>29</v>
      </c>
      <c r="D866" s="24">
        <v>10.4</v>
      </c>
      <c r="E866" s="24">
        <v>5</v>
      </c>
      <c r="F866" s="27">
        <v>52</v>
      </c>
      <c r="G866" s="26" t="s">
        <v>27</v>
      </c>
    </row>
    <row r="867" spans="1:7" x14ac:dyDescent="0.25">
      <c r="A867" s="24">
        <v>10248</v>
      </c>
      <c r="B867" s="25">
        <v>43837</v>
      </c>
      <c r="C867" s="26" t="s">
        <v>29</v>
      </c>
      <c r="D867" s="24">
        <v>7.2</v>
      </c>
      <c r="E867" s="24">
        <v>10</v>
      </c>
      <c r="F867" s="27">
        <v>72</v>
      </c>
      <c r="G867" s="26" t="s">
        <v>27</v>
      </c>
    </row>
    <row r="868" spans="1:7" x14ac:dyDescent="0.25">
      <c r="A868" s="24">
        <v>10248</v>
      </c>
      <c r="B868" s="25">
        <v>43837</v>
      </c>
      <c r="C868" s="26" t="s">
        <v>29</v>
      </c>
      <c r="D868" s="24">
        <v>7.7</v>
      </c>
      <c r="E868" s="24">
        <v>20</v>
      </c>
      <c r="F868" s="27">
        <v>154</v>
      </c>
      <c r="G868" s="26" t="s">
        <v>27</v>
      </c>
    </row>
    <row r="869" spans="1:7" x14ac:dyDescent="0.25">
      <c r="A869" s="24">
        <v>10249</v>
      </c>
      <c r="B869" s="25">
        <v>43839</v>
      </c>
      <c r="C869" s="26" t="s">
        <v>29</v>
      </c>
      <c r="D869" s="24">
        <v>10</v>
      </c>
      <c r="E869" s="24">
        <v>20</v>
      </c>
      <c r="F869" s="27">
        <v>200</v>
      </c>
      <c r="G869" s="26" t="s">
        <v>22</v>
      </c>
    </row>
    <row r="870" spans="1:7" x14ac:dyDescent="0.25">
      <c r="A870" s="24">
        <v>10250</v>
      </c>
      <c r="B870" s="25">
        <v>43839</v>
      </c>
      <c r="C870" s="26" t="s">
        <v>29</v>
      </c>
      <c r="D870" s="24">
        <v>10.4</v>
      </c>
      <c r="E870" s="24">
        <v>25</v>
      </c>
      <c r="F870" s="27">
        <v>260</v>
      </c>
      <c r="G870" s="26" t="s">
        <v>22</v>
      </c>
    </row>
    <row r="871" spans="1:7" x14ac:dyDescent="0.25">
      <c r="A871" s="24">
        <v>10250</v>
      </c>
      <c r="B871" s="25">
        <v>43839</v>
      </c>
      <c r="C871" s="26" t="s">
        <v>29</v>
      </c>
      <c r="D871" s="24">
        <v>30.4</v>
      </c>
      <c r="E871" s="24">
        <v>14</v>
      </c>
      <c r="F871" s="27">
        <v>425.6</v>
      </c>
      <c r="G871" s="26" t="s">
        <v>22</v>
      </c>
    </row>
    <row r="872" spans="1:7" x14ac:dyDescent="0.25">
      <c r="A872" s="24">
        <v>10253</v>
      </c>
      <c r="B872" s="25">
        <v>43849</v>
      </c>
      <c r="C872" s="26" t="s">
        <v>29</v>
      </c>
      <c r="D872" s="24">
        <v>15.5</v>
      </c>
      <c r="E872" s="24">
        <v>12</v>
      </c>
      <c r="F872" s="27">
        <v>186</v>
      </c>
      <c r="G872" s="26" t="s">
        <v>25</v>
      </c>
    </row>
    <row r="873" spans="1:7" x14ac:dyDescent="0.25">
      <c r="A873" s="24">
        <v>10254</v>
      </c>
      <c r="B873" s="25">
        <v>43849</v>
      </c>
      <c r="C873" s="26" t="s">
        <v>29</v>
      </c>
      <c r="D873" s="24">
        <v>7.45</v>
      </c>
      <c r="E873" s="24">
        <v>20</v>
      </c>
      <c r="F873" s="27">
        <v>149</v>
      </c>
      <c r="G873" s="26" t="s">
        <v>22</v>
      </c>
    </row>
    <row r="874" spans="1:7" x14ac:dyDescent="0.25">
      <c r="A874" s="24">
        <v>10255</v>
      </c>
      <c r="B874" s="25">
        <v>43851</v>
      </c>
      <c r="C874" s="26" t="s">
        <v>29</v>
      </c>
      <c r="D874" s="24">
        <v>9.5</v>
      </c>
      <c r="E874" s="24">
        <v>21</v>
      </c>
      <c r="F874" s="27">
        <v>199.5</v>
      </c>
      <c r="G874" s="26" t="s">
        <v>23</v>
      </c>
    </row>
    <row r="875" spans="1:7" x14ac:dyDescent="0.25">
      <c r="A875" s="24">
        <v>10255</v>
      </c>
      <c r="B875" s="25">
        <v>43851</v>
      </c>
      <c r="C875" s="26" t="s">
        <v>29</v>
      </c>
      <c r="D875" s="24">
        <v>14</v>
      </c>
      <c r="E875" s="24">
        <v>30</v>
      </c>
      <c r="F875" s="27">
        <v>420</v>
      </c>
      <c r="G875" s="26" t="s">
        <v>23</v>
      </c>
    </row>
    <row r="876" spans="1:7" x14ac:dyDescent="0.25">
      <c r="A876" s="24">
        <v>10255</v>
      </c>
      <c r="B876" s="25">
        <v>43851</v>
      </c>
      <c r="C876" s="26" t="s">
        <v>29</v>
      </c>
      <c r="D876" s="24">
        <v>32.799999999999997</v>
      </c>
      <c r="E876" s="24">
        <v>6</v>
      </c>
      <c r="F876" s="27">
        <v>196.8</v>
      </c>
      <c r="G876" s="26" t="s">
        <v>23</v>
      </c>
    </row>
    <row r="877" spans="1:7" x14ac:dyDescent="0.25">
      <c r="A877" s="24">
        <v>10259</v>
      </c>
      <c r="B877" s="25">
        <v>43861</v>
      </c>
      <c r="C877" s="26" t="s">
        <v>29</v>
      </c>
      <c r="D877" s="24">
        <v>15</v>
      </c>
      <c r="E877" s="24">
        <v>14</v>
      </c>
      <c r="F877" s="27">
        <v>210</v>
      </c>
      <c r="G877" s="26" t="s">
        <v>22</v>
      </c>
    </row>
    <row r="878" spans="1:7" x14ac:dyDescent="0.25">
      <c r="A878" s="24">
        <v>10259</v>
      </c>
      <c r="B878" s="25">
        <v>43861</v>
      </c>
      <c r="C878" s="26" t="s">
        <v>29</v>
      </c>
      <c r="D878" s="24">
        <v>14</v>
      </c>
      <c r="E878" s="24">
        <v>18</v>
      </c>
      <c r="F878" s="27">
        <v>252</v>
      </c>
      <c r="G878" s="26" t="s">
        <v>22</v>
      </c>
    </row>
    <row r="879" spans="1:7" x14ac:dyDescent="0.25">
      <c r="A879" s="24">
        <v>10260</v>
      </c>
      <c r="B879" s="25">
        <v>43861</v>
      </c>
      <c r="C879" s="26" t="s">
        <v>29</v>
      </c>
      <c r="D879" s="24">
        <v>46</v>
      </c>
      <c r="E879" s="24">
        <v>15</v>
      </c>
      <c r="F879" s="27">
        <v>690</v>
      </c>
      <c r="G879" s="26" t="s">
        <v>27</v>
      </c>
    </row>
    <row r="880" spans="1:7" x14ac:dyDescent="0.25">
      <c r="A880" s="24">
        <v>10260</v>
      </c>
      <c r="B880" s="25">
        <v>43861</v>
      </c>
      <c r="C880" s="26" t="s">
        <v>29</v>
      </c>
      <c r="D880" s="24">
        <v>12.75</v>
      </c>
      <c r="E880" s="24">
        <v>15</v>
      </c>
      <c r="F880" s="27">
        <v>191.25</v>
      </c>
      <c r="G880" s="26" t="s">
        <v>27</v>
      </c>
    </row>
    <row r="881" spans="1:7" x14ac:dyDescent="0.25">
      <c r="A881" s="24">
        <v>10261</v>
      </c>
      <c r="B881" s="25">
        <v>43863</v>
      </c>
      <c r="C881" s="26" t="s">
        <v>29</v>
      </c>
      <c r="D881" s="24">
        <v>6</v>
      </c>
      <c r="E881" s="24">
        <v>10</v>
      </c>
      <c r="F881" s="27">
        <v>60</v>
      </c>
      <c r="G881" s="26" t="s">
        <v>22</v>
      </c>
    </row>
    <row r="882" spans="1:7" x14ac:dyDescent="0.25">
      <c r="A882" s="24">
        <v>10261</v>
      </c>
      <c r="B882" s="25">
        <v>43863</v>
      </c>
      <c r="C882" s="26" t="s">
        <v>29</v>
      </c>
      <c r="D882" s="24">
        <v>18</v>
      </c>
      <c r="E882" s="24">
        <v>10</v>
      </c>
      <c r="F882" s="27">
        <v>180</v>
      </c>
      <c r="G882" s="26" t="s">
        <v>22</v>
      </c>
    </row>
    <row r="883" spans="1:7" x14ac:dyDescent="0.25">
      <c r="A883" s="24">
        <v>10262</v>
      </c>
      <c r="B883" s="25">
        <v>43865</v>
      </c>
      <c r="C883" s="26" t="s">
        <v>29</v>
      </c>
      <c r="D883" s="24">
        <v>45.6</v>
      </c>
      <c r="E883" s="24">
        <v>3</v>
      </c>
      <c r="F883" s="27">
        <v>136.80000000000001</v>
      </c>
      <c r="G883" s="26" t="s">
        <v>22</v>
      </c>
    </row>
    <row r="884" spans="1:7" x14ac:dyDescent="0.25">
      <c r="A884" s="24">
        <v>10263</v>
      </c>
      <c r="B884" s="25">
        <v>43867</v>
      </c>
      <c r="C884" s="26" t="s">
        <v>29</v>
      </c>
      <c r="D884" s="24">
        <v>123.79</v>
      </c>
      <c r="E884" s="24">
        <v>36</v>
      </c>
      <c r="F884" s="27">
        <v>4456.4399999999996</v>
      </c>
      <c r="G884" s="26" t="s">
        <v>26</v>
      </c>
    </row>
    <row r="885" spans="1:7" x14ac:dyDescent="0.25">
      <c r="A885" s="24">
        <v>10263</v>
      </c>
      <c r="B885" s="25">
        <v>43867</v>
      </c>
      <c r="C885" s="26" t="s">
        <v>29</v>
      </c>
      <c r="D885" s="24">
        <v>7.75</v>
      </c>
      <c r="E885" s="24">
        <v>36</v>
      </c>
      <c r="F885" s="27">
        <v>279</v>
      </c>
      <c r="G885" s="26" t="s">
        <v>26</v>
      </c>
    </row>
    <row r="886" spans="1:7" x14ac:dyDescent="0.25">
      <c r="A886" s="24">
        <v>10266</v>
      </c>
      <c r="B886" s="25">
        <v>43875</v>
      </c>
      <c r="C886" s="26" t="s">
        <v>29</v>
      </c>
      <c r="D886" s="24">
        <v>10</v>
      </c>
      <c r="E886" s="24">
        <v>40</v>
      </c>
      <c r="F886" s="27">
        <v>400</v>
      </c>
      <c r="G886" s="26" t="s">
        <v>22</v>
      </c>
    </row>
    <row r="887" spans="1:7" x14ac:dyDescent="0.25">
      <c r="A887" s="24">
        <v>10266</v>
      </c>
      <c r="B887" s="25">
        <v>43875</v>
      </c>
      <c r="C887" s="26" t="s">
        <v>29</v>
      </c>
      <c r="D887" s="24">
        <v>28.5</v>
      </c>
      <c r="E887" s="24">
        <v>15</v>
      </c>
      <c r="F887" s="27">
        <v>427.5</v>
      </c>
      <c r="G887" s="26" t="s">
        <v>22</v>
      </c>
    </row>
    <row r="888" spans="1:7" x14ac:dyDescent="0.25">
      <c r="A888" s="24">
        <v>10266</v>
      </c>
      <c r="B888" s="25">
        <v>43875</v>
      </c>
      <c r="C888" s="26" t="s">
        <v>29</v>
      </c>
      <c r="D888" s="24">
        <v>32</v>
      </c>
      <c r="E888" s="24">
        <v>50</v>
      </c>
      <c r="F888" s="27">
        <v>1600</v>
      </c>
      <c r="G888" s="26" t="s">
        <v>22</v>
      </c>
    </row>
    <row r="889" spans="1:7" x14ac:dyDescent="0.25">
      <c r="A889" s="24">
        <v>10267</v>
      </c>
      <c r="B889" s="25">
        <v>43875</v>
      </c>
      <c r="C889" s="26" t="s">
        <v>29</v>
      </c>
      <c r="D889" s="24">
        <v>81</v>
      </c>
      <c r="E889" s="24">
        <v>39</v>
      </c>
      <c r="F889" s="27">
        <v>3159</v>
      </c>
      <c r="G889" s="26" t="s">
        <v>22</v>
      </c>
    </row>
    <row r="890" spans="1:7" x14ac:dyDescent="0.25">
      <c r="A890" s="24">
        <v>10267</v>
      </c>
      <c r="B890" s="25">
        <v>43875</v>
      </c>
      <c r="C890" s="26" t="s">
        <v>29</v>
      </c>
      <c r="D890" s="24">
        <v>38</v>
      </c>
      <c r="E890" s="24">
        <v>70</v>
      </c>
      <c r="F890" s="27">
        <v>2660</v>
      </c>
      <c r="G890" s="26" t="s">
        <v>22</v>
      </c>
    </row>
    <row r="891" spans="1:7" x14ac:dyDescent="0.25">
      <c r="A891" s="24">
        <v>10267</v>
      </c>
      <c r="B891" s="25">
        <v>43875</v>
      </c>
      <c r="C891" s="26" t="s">
        <v>29</v>
      </c>
      <c r="D891" s="24">
        <v>7.75</v>
      </c>
      <c r="E891" s="24">
        <v>50</v>
      </c>
      <c r="F891" s="27">
        <v>387.5</v>
      </c>
      <c r="G891" s="26" t="s">
        <v>22</v>
      </c>
    </row>
    <row r="892" spans="1:7" x14ac:dyDescent="0.25">
      <c r="A892" s="24">
        <v>10267</v>
      </c>
      <c r="B892" s="25">
        <v>43875</v>
      </c>
      <c r="C892" s="26" t="s">
        <v>29</v>
      </c>
      <c r="D892" s="24">
        <v>21.05</v>
      </c>
      <c r="E892" s="24">
        <v>39</v>
      </c>
      <c r="F892" s="27">
        <v>820.95</v>
      </c>
      <c r="G892" s="26" t="s">
        <v>22</v>
      </c>
    </row>
    <row r="893" spans="1:7" x14ac:dyDescent="0.25">
      <c r="A893" s="24">
        <v>10269</v>
      </c>
      <c r="B893" s="25">
        <v>43879</v>
      </c>
      <c r="C893" s="26" t="s">
        <v>29</v>
      </c>
      <c r="D893" s="24">
        <v>62.5</v>
      </c>
      <c r="E893" s="24">
        <v>25</v>
      </c>
      <c r="F893" s="27">
        <v>1562.5</v>
      </c>
      <c r="G893" s="26" t="s">
        <v>25</v>
      </c>
    </row>
    <row r="894" spans="1:7" x14ac:dyDescent="0.25">
      <c r="A894" s="24">
        <v>10269</v>
      </c>
      <c r="B894" s="25">
        <v>43879</v>
      </c>
      <c r="C894" s="26" t="s">
        <v>29</v>
      </c>
      <c r="D894" s="24">
        <v>9.65</v>
      </c>
      <c r="E894" s="24">
        <v>80</v>
      </c>
      <c r="F894" s="27">
        <v>772</v>
      </c>
      <c r="G894" s="26" t="s">
        <v>25</v>
      </c>
    </row>
    <row r="895" spans="1:7" x14ac:dyDescent="0.25">
      <c r="A895" s="24">
        <v>10270</v>
      </c>
      <c r="B895" s="25">
        <v>43879</v>
      </c>
      <c r="C895" s="26" t="s">
        <v>29</v>
      </c>
      <c r="D895" s="24">
        <v>7</v>
      </c>
      <c r="E895" s="24">
        <v>6</v>
      </c>
      <c r="F895" s="27">
        <v>42</v>
      </c>
      <c r="G895" s="26" t="s">
        <v>23</v>
      </c>
    </row>
    <row r="896" spans="1:7" x14ac:dyDescent="0.25">
      <c r="A896" s="24">
        <v>10270</v>
      </c>
      <c r="B896" s="25">
        <v>43879</v>
      </c>
      <c r="C896" s="26" t="s">
        <v>29</v>
      </c>
      <c r="D896" s="24">
        <v>55</v>
      </c>
      <c r="E896" s="24">
        <v>4</v>
      </c>
      <c r="F896" s="27">
        <v>220</v>
      </c>
      <c r="G896" s="26" t="s">
        <v>23</v>
      </c>
    </row>
    <row r="897" spans="1:7" x14ac:dyDescent="0.25">
      <c r="A897" s="24">
        <v>10270</v>
      </c>
      <c r="B897" s="25">
        <v>43879</v>
      </c>
      <c r="C897" s="26" t="s">
        <v>29</v>
      </c>
      <c r="D897" s="24">
        <v>15</v>
      </c>
      <c r="E897" s="24">
        <v>6</v>
      </c>
      <c r="F897" s="27">
        <v>90</v>
      </c>
      <c r="G897" s="26" t="s">
        <v>23</v>
      </c>
    </row>
    <row r="898" spans="1:7" x14ac:dyDescent="0.25">
      <c r="A898" s="24">
        <v>10271</v>
      </c>
      <c r="B898" s="25">
        <v>43881</v>
      </c>
      <c r="C898" s="26" t="s">
        <v>29</v>
      </c>
      <c r="D898" s="24">
        <v>263.5</v>
      </c>
      <c r="E898" s="24">
        <v>15</v>
      </c>
      <c r="F898" s="27">
        <v>3952.5</v>
      </c>
      <c r="G898" s="26" t="s">
        <v>23</v>
      </c>
    </row>
    <row r="899" spans="1:7" x14ac:dyDescent="0.25">
      <c r="A899" s="24">
        <v>10271</v>
      </c>
      <c r="B899" s="25">
        <v>43881</v>
      </c>
      <c r="C899" s="26" t="s">
        <v>29</v>
      </c>
      <c r="D899" s="24">
        <v>19.45</v>
      </c>
      <c r="E899" s="24">
        <v>9</v>
      </c>
      <c r="F899" s="27">
        <v>175.05</v>
      </c>
      <c r="G899" s="26" t="s">
        <v>23</v>
      </c>
    </row>
    <row r="900" spans="1:7" x14ac:dyDescent="0.25">
      <c r="A900" s="24">
        <v>10271</v>
      </c>
      <c r="B900" s="25">
        <v>43881</v>
      </c>
      <c r="C900" s="26" t="s">
        <v>29</v>
      </c>
      <c r="D900" s="24">
        <v>4.5</v>
      </c>
      <c r="E900" s="24">
        <v>5</v>
      </c>
      <c r="F900" s="27">
        <v>22.5</v>
      </c>
      <c r="G900" s="26" t="s">
        <v>23</v>
      </c>
    </row>
    <row r="901" spans="1:7" x14ac:dyDescent="0.25">
      <c r="A901" s="24">
        <v>10274</v>
      </c>
      <c r="B901" s="25">
        <v>43889</v>
      </c>
      <c r="C901" s="26" t="s">
        <v>29</v>
      </c>
      <c r="D901" s="24">
        <v>12.5</v>
      </c>
      <c r="E901" s="24">
        <v>6</v>
      </c>
      <c r="F901" s="27">
        <v>75</v>
      </c>
      <c r="G901" s="26" t="s">
        <v>22</v>
      </c>
    </row>
    <row r="902" spans="1:7" x14ac:dyDescent="0.25">
      <c r="A902" s="24">
        <v>10275</v>
      </c>
      <c r="B902" s="25">
        <v>43891</v>
      </c>
      <c r="C902" s="26" t="s">
        <v>29</v>
      </c>
      <c r="D902" s="24">
        <v>40</v>
      </c>
      <c r="E902" s="24">
        <v>24</v>
      </c>
      <c r="F902" s="27">
        <v>960</v>
      </c>
      <c r="G902" s="26" t="s">
        <v>22</v>
      </c>
    </row>
    <row r="903" spans="1:7" x14ac:dyDescent="0.25">
      <c r="A903" s="24">
        <v>10275</v>
      </c>
      <c r="B903" s="25">
        <v>43891</v>
      </c>
      <c r="C903" s="26" t="s">
        <v>29</v>
      </c>
      <c r="D903" s="24">
        <v>25.89</v>
      </c>
      <c r="E903" s="24">
        <v>20</v>
      </c>
      <c r="F903" s="27">
        <v>517.79999999999995</v>
      </c>
      <c r="G903" s="26" t="s">
        <v>22</v>
      </c>
    </row>
    <row r="904" spans="1:7" x14ac:dyDescent="0.25">
      <c r="A904" s="24">
        <v>10275</v>
      </c>
      <c r="B904" s="25">
        <v>43891</v>
      </c>
      <c r="C904" s="26" t="s">
        <v>29</v>
      </c>
      <c r="D904" s="24">
        <v>18.399999999999999</v>
      </c>
      <c r="E904" s="24">
        <v>25</v>
      </c>
      <c r="F904" s="27">
        <v>460</v>
      </c>
      <c r="G904" s="26" t="s">
        <v>22</v>
      </c>
    </row>
    <row r="905" spans="1:7" x14ac:dyDescent="0.25">
      <c r="A905" s="24">
        <v>10275</v>
      </c>
      <c r="B905" s="25">
        <v>43891</v>
      </c>
      <c r="C905" s="26" t="s">
        <v>29</v>
      </c>
      <c r="D905" s="24">
        <v>18</v>
      </c>
      <c r="E905" s="24">
        <v>40</v>
      </c>
      <c r="F905" s="27">
        <v>720</v>
      </c>
      <c r="G905" s="26" t="s">
        <v>22</v>
      </c>
    </row>
    <row r="906" spans="1:7" x14ac:dyDescent="0.25">
      <c r="A906" s="24">
        <v>10276</v>
      </c>
      <c r="B906" s="25">
        <v>43893</v>
      </c>
      <c r="C906" s="26" t="s">
        <v>29</v>
      </c>
      <c r="D906" s="24">
        <v>9.65</v>
      </c>
      <c r="E906" s="24">
        <v>6</v>
      </c>
      <c r="F906" s="27">
        <v>57.9</v>
      </c>
      <c r="G906" s="26" t="s">
        <v>23</v>
      </c>
    </row>
    <row r="907" spans="1:7" x14ac:dyDescent="0.25">
      <c r="A907" s="24">
        <v>10276</v>
      </c>
      <c r="B907" s="25">
        <v>43893</v>
      </c>
      <c r="C907" s="26" t="s">
        <v>29</v>
      </c>
      <c r="D907" s="24">
        <v>81</v>
      </c>
      <c r="E907" s="24">
        <v>15</v>
      </c>
      <c r="F907" s="27">
        <v>1215</v>
      </c>
      <c r="G907" s="26" t="s">
        <v>23</v>
      </c>
    </row>
    <row r="908" spans="1:7" x14ac:dyDescent="0.25">
      <c r="A908" s="24">
        <v>10276</v>
      </c>
      <c r="B908" s="25">
        <v>43893</v>
      </c>
      <c r="C908" s="26" t="s">
        <v>29</v>
      </c>
      <c r="D908" s="24">
        <v>26</v>
      </c>
      <c r="E908" s="24">
        <v>18</v>
      </c>
      <c r="F908" s="27">
        <v>468</v>
      </c>
      <c r="G908" s="26" t="s">
        <v>23</v>
      </c>
    </row>
    <row r="909" spans="1:7" x14ac:dyDescent="0.25">
      <c r="A909" s="24">
        <v>10277</v>
      </c>
      <c r="B909" s="25">
        <v>43893</v>
      </c>
      <c r="C909" s="26" t="s">
        <v>29</v>
      </c>
      <c r="D909" s="24">
        <v>31</v>
      </c>
      <c r="E909" s="24">
        <v>2</v>
      </c>
      <c r="F909" s="27">
        <v>62</v>
      </c>
      <c r="G909" s="26" t="s">
        <v>27</v>
      </c>
    </row>
    <row r="910" spans="1:7" x14ac:dyDescent="0.25">
      <c r="A910" s="24">
        <v>10277</v>
      </c>
      <c r="B910" s="25">
        <v>43893</v>
      </c>
      <c r="C910" s="26" t="s">
        <v>29</v>
      </c>
      <c r="D910" s="24">
        <v>25.89</v>
      </c>
      <c r="E910" s="24">
        <v>10</v>
      </c>
      <c r="F910" s="27">
        <v>258.89999999999998</v>
      </c>
      <c r="G910" s="26" t="s">
        <v>27</v>
      </c>
    </row>
    <row r="911" spans="1:7" x14ac:dyDescent="0.25">
      <c r="A911" s="24">
        <v>10280</v>
      </c>
      <c r="B911" s="25">
        <v>43901</v>
      </c>
      <c r="C911" s="26" t="s">
        <v>29</v>
      </c>
      <c r="D911" s="24">
        <v>19</v>
      </c>
      <c r="E911" s="24">
        <v>30</v>
      </c>
      <c r="F911" s="27">
        <v>570</v>
      </c>
      <c r="G911" s="26" t="s">
        <v>22</v>
      </c>
    </row>
    <row r="912" spans="1:7" x14ac:dyDescent="0.25">
      <c r="A912" s="24">
        <v>10280</v>
      </c>
      <c r="B912" s="25">
        <v>43901</v>
      </c>
      <c r="C912" s="26" t="s">
        <v>29</v>
      </c>
      <c r="D912" s="24">
        <v>22</v>
      </c>
      <c r="E912" s="24">
        <v>50</v>
      </c>
      <c r="F912" s="27">
        <v>1100</v>
      </c>
      <c r="G912" s="26" t="s">
        <v>22</v>
      </c>
    </row>
    <row r="913" spans="1:7" x14ac:dyDescent="0.25">
      <c r="A913" s="24">
        <v>10281</v>
      </c>
      <c r="B913" s="25">
        <v>43903</v>
      </c>
      <c r="C913" s="26" t="s">
        <v>29</v>
      </c>
      <c r="D913" s="24">
        <v>2.5</v>
      </c>
      <c r="E913" s="24">
        <v>8</v>
      </c>
      <c r="F913" s="27">
        <v>20</v>
      </c>
      <c r="G913" s="26" t="s">
        <v>22</v>
      </c>
    </row>
    <row r="914" spans="1:7" x14ac:dyDescent="0.25">
      <c r="A914" s="24">
        <v>10281</v>
      </c>
      <c r="B914" s="25">
        <v>43903</v>
      </c>
      <c r="C914" s="26" t="s">
        <v>29</v>
      </c>
      <c r="D914" s="24">
        <v>34.799999999999997</v>
      </c>
      <c r="E914" s="24">
        <v>9</v>
      </c>
      <c r="F914" s="27">
        <v>313.2</v>
      </c>
      <c r="G914" s="26" t="s">
        <v>22</v>
      </c>
    </row>
    <row r="915" spans="1:7" x14ac:dyDescent="0.25">
      <c r="A915" s="24">
        <v>10281</v>
      </c>
      <c r="B915" s="25">
        <v>43903</v>
      </c>
      <c r="C915" s="26" t="s">
        <v>29</v>
      </c>
      <c r="D915" s="24">
        <v>21</v>
      </c>
      <c r="E915" s="24">
        <v>3</v>
      </c>
      <c r="F915" s="27">
        <v>63</v>
      </c>
      <c r="G915" s="26" t="s">
        <v>22</v>
      </c>
    </row>
    <row r="916" spans="1:7" x14ac:dyDescent="0.25">
      <c r="A916" s="24">
        <v>10282</v>
      </c>
      <c r="B916" s="25">
        <v>43905</v>
      </c>
      <c r="C916" s="26" t="s">
        <v>29</v>
      </c>
      <c r="D916" s="24">
        <v>12.5</v>
      </c>
      <c r="E916" s="24">
        <v>20</v>
      </c>
      <c r="F916" s="27">
        <v>250</v>
      </c>
      <c r="G916" s="26" t="s">
        <v>25</v>
      </c>
    </row>
    <row r="917" spans="1:7" x14ac:dyDescent="0.25">
      <c r="A917" s="24">
        <v>10282</v>
      </c>
      <c r="B917" s="25">
        <v>43905</v>
      </c>
      <c r="C917" s="26" t="s">
        <v>29</v>
      </c>
      <c r="D917" s="24">
        <v>36</v>
      </c>
      <c r="E917" s="24">
        <v>10</v>
      </c>
      <c r="F917" s="27">
        <v>360</v>
      </c>
      <c r="G917" s="26" t="s">
        <v>25</v>
      </c>
    </row>
    <row r="918" spans="1:7" x14ac:dyDescent="0.25">
      <c r="A918" s="24">
        <v>10282</v>
      </c>
      <c r="B918" s="25">
        <v>43905</v>
      </c>
      <c r="C918" s="26" t="s">
        <v>29</v>
      </c>
      <c r="D918" s="24">
        <v>24</v>
      </c>
      <c r="E918" s="24">
        <v>14</v>
      </c>
      <c r="F918" s="27">
        <v>336</v>
      </c>
      <c r="G918" s="26" t="s">
        <v>25</v>
      </c>
    </row>
    <row r="919" spans="1:7" x14ac:dyDescent="0.25">
      <c r="A919" s="24">
        <v>10283</v>
      </c>
      <c r="B919" s="25">
        <v>43907</v>
      </c>
      <c r="C919" s="26" t="s">
        <v>29</v>
      </c>
      <c r="D919" s="24">
        <v>46</v>
      </c>
      <c r="E919" s="24">
        <v>25</v>
      </c>
      <c r="F919" s="27">
        <v>1150</v>
      </c>
      <c r="G919" s="26" t="s">
        <v>22</v>
      </c>
    </row>
    <row r="920" spans="1:7" x14ac:dyDescent="0.25">
      <c r="A920" s="24">
        <v>10283</v>
      </c>
      <c r="B920" s="25">
        <v>43907</v>
      </c>
      <c r="C920" s="26" t="s">
        <v>29</v>
      </c>
      <c r="D920" s="24">
        <v>18</v>
      </c>
      <c r="E920" s="24">
        <v>50</v>
      </c>
      <c r="F920" s="27">
        <v>900</v>
      </c>
      <c r="G920" s="26" t="s">
        <v>22</v>
      </c>
    </row>
    <row r="921" spans="1:7" x14ac:dyDescent="0.25">
      <c r="A921" s="24">
        <v>10287</v>
      </c>
      <c r="B921" s="25">
        <v>43915</v>
      </c>
      <c r="C921" s="26" t="s">
        <v>29</v>
      </c>
      <c r="D921" s="24">
        <v>18.399999999999999</v>
      </c>
      <c r="E921" s="24">
        <v>10</v>
      </c>
      <c r="F921" s="27">
        <v>184</v>
      </c>
      <c r="G921" s="26" t="s">
        <v>27</v>
      </c>
    </row>
    <row r="922" spans="1:7" x14ac:dyDescent="0.25">
      <c r="A922" s="24">
        <v>10287</v>
      </c>
      <c r="B922" s="25">
        <v>43915</v>
      </c>
      <c r="C922" s="26" t="s">
        <v>29</v>
      </c>
      <c r="D922" s="24">
        <v>7.45</v>
      </c>
      <c r="E922" s="24">
        <v>10</v>
      </c>
      <c r="F922" s="27">
        <v>74.5</v>
      </c>
      <c r="G922" s="26" t="s">
        <v>27</v>
      </c>
    </row>
    <row r="923" spans="1:7" x14ac:dyDescent="0.25">
      <c r="A923" s="24">
        <v>10287</v>
      </c>
      <c r="B923" s="25">
        <v>43915</v>
      </c>
      <c r="C923" s="26" t="s">
        <v>29</v>
      </c>
      <c r="D923" s="24">
        <v>25.89</v>
      </c>
      <c r="E923" s="24">
        <v>10</v>
      </c>
      <c r="F923" s="27">
        <v>258.89999999999998</v>
      </c>
      <c r="G923" s="26" t="s">
        <v>27</v>
      </c>
    </row>
    <row r="924" spans="1:7" x14ac:dyDescent="0.25">
      <c r="A924" s="24">
        <v>10288</v>
      </c>
      <c r="B924" s="25">
        <v>43917</v>
      </c>
      <c r="C924" s="26" t="s">
        <v>29</v>
      </c>
      <c r="D924" s="24">
        <v>55</v>
      </c>
      <c r="E924" s="24">
        <v>15</v>
      </c>
      <c r="F924" s="27">
        <v>825</v>
      </c>
      <c r="G924" s="26" t="s">
        <v>23</v>
      </c>
    </row>
    <row r="925" spans="1:7" x14ac:dyDescent="0.25">
      <c r="A925" s="24">
        <v>10288</v>
      </c>
      <c r="B925" s="25">
        <v>43917</v>
      </c>
      <c r="C925" s="26" t="s">
        <v>29</v>
      </c>
      <c r="D925" s="24">
        <v>21</v>
      </c>
      <c r="E925" s="24">
        <v>50</v>
      </c>
      <c r="F925" s="27">
        <v>1050</v>
      </c>
      <c r="G925" s="26" t="s">
        <v>23</v>
      </c>
    </row>
    <row r="926" spans="1:7" x14ac:dyDescent="0.25">
      <c r="A926" s="24">
        <v>10288</v>
      </c>
      <c r="B926" s="25">
        <v>43917</v>
      </c>
      <c r="C926" s="26" t="s">
        <v>29</v>
      </c>
      <c r="D926" s="24">
        <v>19.5</v>
      </c>
      <c r="E926" s="24">
        <v>5</v>
      </c>
      <c r="F926" s="27">
        <v>97.5</v>
      </c>
      <c r="G926" s="26" t="s">
        <v>23</v>
      </c>
    </row>
    <row r="927" spans="1:7" x14ac:dyDescent="0.25">
      <c r="A927" s="24">
        <v>10288</v>
      </c>
      <c r="B927" s="25">
        <v>43917</v>
      </c>
      <c r="C927" s="26" t="s">
        <v>29</v>
      </c>
      <c r="D927" s="24">
        <v>18.399999999999999</v>
      </c>
      <c r="E927" s="24">
        <v>10</v>
      </c>
      <c r="F927" s="27">
        <v>184</v>
      </c>
      <c r="G927" s="26" t="s">
        <v>23</v>
      </c>
    </row>
    <row r="928" spans="1:7" x14ac:dyDescent="0.25">
      <c r="A928" s="24">
        <v>10289</v>
      </c>
      <c r="B928" s="25">
        <v>43919</v>
      </c>
      <c r="C928" s="26" t="s">
        <v>29</v>
      </c>
      <c r="D928" s="24">
        <v>34</v>
      </c>
      <c r="E928" s="24">
        <v>35</v>
      </c>
      <c r="F928" s="27">
        <v>1190</v>
      </c>
      <c r="G928" s="26" t="s">
        <v>22</v>
      </c>
    </row>
    <row r="929" spans="1:7" x14ac:dyDescent="0.25">
      <c r="A929" s="24">
        <v>10289</v>
      </c>
      <c r="B929" s="25">
        <v>43919</v>
      </c>
      <c r="C929" s="26" t="s">
        <v>29</v>
      </c>
      <c r="D929" s="24">
        <v>12.5</v>
      </c>
      <c r="E929" s="24">
        <v>20</v>
      </c>
      <c r="F929" s="27">
        <v>250</v>
      </c>
      <c r="G929" s="26" t="s">
        <v>22</v>
      </c>
    </row>
    <row r="930" spans="1:7" x14ac:dyDescent="0.25">
      <c r="A930" s="24">
        <v>10289</v>
      </c>
      <c r="B930" s="25">
        <v>43919</v>
      </c>
      <c r="C930" s="26" t="s">
        <v>29</v>
      </c>
      <c r="D930" s="24">
        <v>2.5</v>
      </c>
      <c r="E930" s="24">
        <v>30</v>
      </c>
      <c r="F930" s="27">
        <v>75</v>
      </c>
      <c r="G930" s="26" t="s">
        <v>22</v>
      </c>
    </row>
    <row r="931" spans="1:7" x14ac:dyDescent="0.25">
      <c r="A931" s="24">
        <v>10289</v>
      </c>
      <c r="B931" s="25">
        <v>43919</v>
      </c>
      <c r="C931" s="26" t="s">
        <v>29</v>
      </c>
      <c r="D931" s="24">
        <v>38</v>
      </c>
      <c r="E931" s="24">
        <v>15</v>
      </c>
      <c r="F931" s="27">
        <v>570</v>
      </c>
      <c r="G931" s="26" t="s">
        <v>22</v>
      </c>
    </row>
    <row r="932" spans="1:7" x14ac:dyDescent="0.25">
      <c r="A932" s="24">
        <v>10292</v>
      </c>
      <c r="B932" s="25">
        <v>43923</v>
      </c>
      <c r="C932" s="26" t="s">
        <v>29</v>
      </c>
      <c r="D932" s="24">
        <v>6</v>
      </c>
      <c r="E932" s="24">
        <v>8</v>
      </c>
      <c r="F932" s="27">
        <v>48</v>
      </c>
      <c r="G932" s="26" t="s">
        <v>23</v>
      </c>
    </row>
    <row r="933" spans="1:7" x14ac:dyDescent="0.25">
      <c r="A933" s="24">
        <v>10292</v>
      </c>
      <c r="B933" s="25">
        <v>43923</v>
      </c>
      <c r="C933" s="26" t="s">
        <v>29</v>
      </c>
      <c r="D933" s="24">
        <v>10</v>
      </c>
      <c r="E933" s="24">
        <v>15</v>
      </c>
      <c r="F933" s="27">
        <v>150</v>
      </c>
      <c r="G933" s="26" t="s">
        <v>23</v>
      </c>
    </row>
    <row r="934" spans="1:7" x14ac:dyDescent="0.25">
      <c r="A934" s="24">
        <v>10292</v>
      </c>
      <c r="B934" s="25">
        <v>43923</v>
      </c>
      <c r="C934" s="26" t="s">
        <v>29</v>
      </c>
      <c r="D934" s="24">
        <v>20</v>
      </c>
      <c r="E934" s="24">
        <v>6</v>
      </c>
      <c r="F934" s="27">
        <v>120</v>
      </c>
      <c r="G934" s="26" t="s">
        <v>23</v>
      </c>
    </row>
    <row r="935" spans="1:7" x14ac:dyDescent="0.25">
      <c r="A935" s="24">
        <v>10292</v>
      </c>
      <c r="B935" s="25">
        <v>43923</v>
      </c>
      <c r="C935" s="26" t="s">
        <v>29</v>
      </c>
      <c r="D935" s="24">
        <v>2.5</v>
      </c>
      <c r="E935" s="24">
        <v>15</v>
      </c>
      <c r="F935" s="27">
        <v>37.5</v>
      </c>
      <c r="G935" s="26" t="s">
        <v>23</v>
      </c>
    </row>
    <row r="936" spans="1:7" x14ac:dyDescent="0.25">
      <c r="A936" s="24">
        <v>10293</v>
      </c>
      <c r="B936" s="25">
        <v>43929</v>
      </c>
      <c r="C936" s="26" t="s">
        <v>29</v>
      </c>
      <c r="D936" s="24">
        <v>31.23</v>
      </c>
      <c r="E936" s="24">
        <v>40</v>
      </c>
      <c r="F936" s="27">
        <v>1249.2</v>
      </c>
      <c r="G936" s="26" t="s">
        <v>22</v>
      </c>
    </row>
    <row r="937" spans="1:7" x14ac:dyDescent="0.25">
      <c r="A937" s="24">
        <v>10293</v>
      </c>
      <c r="B937" s="25">
        <v>43929</v>
      </c>
      <c r="C937" s="26" t="s">
        <v>29</v>
      </c>
      <c r="D937" s="24">
        <v>12.5</v>
      </c>
      <c r="E937" s="24">
        <v>35</v>
      </c>
      <c r="F937" s="27">
        <v>437.5</v>
      </c>
      <c r="G937" s="26" t="s">
        <v>22</v>
      </c>
    </row>
    <row r="938" spans="1:7" x14ac:dyDescent="0.25">
      <c r="A938" s="24">
        <v>10293</v>
      </c>
      <c r="B938" s="25">
        <v>43929</v>
      </c>
      <c r="C938" s="26" t="s">
        <v>29</v>
      </c>
      <c r="D938" s="24">
        <v>10</v>
      </c>
      <c r="E938" s="24">
        <v>60</v>
      </c>
      <c r="F938" s="27">
        <v>600</v>
      </c>
      <c r="G938" s="26" t="s">
        <v>22</v>
      </c>
    </row>
    <row r="939" spans="1:7" x14ac:dyDescent="0.25">
      <c r="A939" s="24">
        <v>10293</v>
      </c>
      <c r="B939" s="25">
        <v>43929</v>
      </c>
      <c r="C939" s="26" t="s">
        <v>29</v>
      </c>
      <c r="D939" s="24">
        <v>263.5</v>
      </c>
      <c r="E939" s="24">
        <v>30</v>
      </c>
      <c r="F939" s="27">
        <v>7905</v>
      </c>
      <c r="G939" s="26" t="s">
        <v>22</v>
      </c>
    </row>
    <row r="940" spans="1:7" x14ac:dyDescent="0.25">
      <c r="A940" s="24">
        <v>10296</v>
      </c>
      <c r="B940" s="25">
        <v>43933</v>
      </c>
      <c r="C940" s="26" t="s">
        <v>29</v>
      </c>
      <c r="D940" s="24">
        <v>9</v>
      </c>
      <c r="E940" s="24">
        <v>70</v>
      </c>
      <c r="F940" s="27">
        <v>630</v>
      </c>
      <c r="G940" s="26" t="s">
        <v>26</v>
      </c>
    </row>
    <row r="941" spans="1:7" x14ac:dyDescent="0.25">
      <c r="A941" s="24">
        <v>10297</v>
      </c>
      <c r="B941" s="25">
        <v>43933</v>
      </c>
      <c r="C941" s="26" t="s">
        <v>29</v>
      </c>
      <c r="D941" s="24">
        <v>45.6</v>
      </c>
      <c r="E941" s="24">
        <v>7</v>
      </c>
      <c r="F941" s="27">
        <v>319.2</v>
      </c>
      <c r="G941" s="26" t="s">
        <v>26</v>
      </c>
    </row>
    <row r="942" spans="1:7" x14ac:dyDescent="0.25">
      <c r="A942" s="24">
        <v>10297</v>
      </c>
      <c r="B942" s="25">
        <v>43933</v>
      </c>
      <c r="C942" s="26" t="s">
        <v>29</v>
      </c>
      <c r="D942" s="24">
        <v>14</v>
      </c>
      <c r="E942" s="24">
        <v>7</v>
      </c>
      <c r="F942" s="27">
        <v>98</v>
      </c>
      <c r="G942" s="26" t="s">
        <v>26</v>
      </c>
    </row>
    <row r="943" spans="1:7" x14ac:dyDescent="0.25">
      <c r="A943" s="24">
        <v>10298</v>
      </c>
      <c r="B943" s="25">
        <v>43935</v>
      </c>
      <c r="C943" s="26" t="s">
        <v>29</v>
      </c>
      <c r="D943" s="24">
        <v>21</v>
      </c>
      <c r="E943" s="24">
        <v>10</v>
      </c>
      <c r="F943" s="27">
        <v>210</v>
      </c>
      <c r="G943" s="26" t="s">
        <v>22</v>
      </c>
    </row>
    <row r="944" spans="1:7" x14ac:dyDescent="0.25">
      <c r="A944" s="24">
        <v>10299</v>
      </c>
      <c r="B944" s="25">
        <v>43937</v>
      </c>
      <c r="C944" s="26" t="s">
        <v>29</v>
      </c>
      <c r="D944" s="24">
        <v>18</v>
      </c>
      <c r="E944" s="24">
        <v>30</v>
      </c>
      <c r="F944" s="27">
        <v>540</v>
      </c>
      <c r="G944" s="26" t="s">
        <v>23</v>
      </c>
    </row>
    <row r="945" spans="1:7" x14ac:dyDescent="0.25">
      <c r="A945" s="24">
        <v>10299</v>
      </c>
      <c r="B945" s="25">
        <v>43937</v>
      </c>
      <c r="C945" s="26" t="s">
        <v>29</v>
      </c>
      <c r="D945" s="24">
        <v>30</v>
      </c>
      <c r="E945" s="24">
        <v>10</v>
      </c>
      <c r="F945" s="27">
        <v>300</v>
      </c>
      <c r="G945" s="26" t="s">
        <v>23</v>
      </c>
    </row>
    <row r="946" spans="1:7" x14ac:dyDescent="0.25">
      <c r="A946" s="24">
        <v>10302</v>
      </c>
      <c r="B946" s="25">
        <v>43945</v>
      </c>
      <c r="C946" s="26" t="s">
        <v>29</v>
      </c>
      <c r="D946" s="24">
        <v>9.5</v>
      </c>
      <c r="E946" s="24">
        <v>100</v>
      </c>
      <c r="F946" s="27">
        <v>950</v>
      </c>
      <c r="G946" s="26" t="s">
        <v>22</v>
      </c>
    </row>
    <row r="947" spans="1:7" x14ac:dyDescent="0.25">
      <c r="A947" s="24">
        <v>10303</v>
      </c>
      <c r="B947" s="25">
        <v>43947</v>
      </c>
      <c r="C947" s="26" t="s">
        <v>29</v>
      </c>
      <c r="D947" s="24">
        <v>28.5</v>
      </c>
      <c r="E947" s="24">
        <v>10</v>
      </c>
      <c r="F947" s="27">
        <v>285</v>
      </c>
      <c r="G947" s="26" t="s">
        <v>26</v>
      </c>
    </row>
    <row r="948" spans="1:7" x14ac:dyDescent="0.25">
      <c r="A948" s="24">
        <v>10303</v>
      </c>
      <c r="B948" s="25">
        <v>43947</v>
      </c>
      <c r="C948" s="26" t="s">
        <v>29</v>
      </c>
      <c r="D948" s="24">
        <v>10</v>
      </c>
      <c r="E948" s="24">
        <v>6</v>
      </c>
      <c r="F948" s="27">
        <v>60</v>
      </c>
      <c r="G948" s="26" t="s">
        <v>26</v>
      </c>
    </row>
    <row r="949" spans="1:7" x14ac:dyDescent="0.25">
      <c r="A949" s="24">
        <v>10303</v>
      </c>
      <c r="B949" s="25">
        <v>43947</v>
      </c>
      <c r="C949" s="26" t="s">
        <v>29</v>
      </c>
      <c r="D949" s="24">
        <v>9.1999999999999993</v>
      </c>
      <c r="E949" s="24">
        <v>10</v>
      </c>
      <c r="F949" s="27">
        <v>92</v>
      </c>
      <c r="G949" s="26" t="s">
        <v>26</v>
      </c>
    </row>
    <row r="950" spans="1:7" x14ac:dyDescent="0.25">
      <c r="A950" s="24">
        <v>10304</v>
      </c>
      <c r="B950" s="25">
        <v>43947</v>
      </c>
      <c r="C950" s="26" t="s">
        <v>29</v>
      </c>
      <c r="D950" s="24">
        <v>18</v>
      </c>
      <c r="E950" s="24">
        <v>20</v>
      </c>
      <c r="F950" s="27">
        <v>360</v>
      </c>
      <c r="G950" s="26" t="s">
        <v>23</v>
      </c>
    </row>
    <row r="951" spans="1:7" x14ac:dyDescent="0.25">
      <c r="A951" s="24">
        <v>10304</v>
      </c>
      <c r="B951" s="25">
        <v>43947</v>
      </c>
      <c r="C951" s="26" t="s">
        <v>29</v>
      </c>
      <c r="D951" s="24">
        <v>19.45</v>
      </c>
      <c r="E951" s="24">
        <v>40</v>
      </c>
      <c r="F951" s="27">
        <v>778</v>
      </c>
      <c r="G951" s="26" t="s">
        <v>23</v>
      </c>
    </row>
    <row r="952" spans="1:7" x14ac:dyDescent="0.25">
      <c r="A952" s="24">
        <v>10304</v>
      </c>
      <c r="B952" s="25">
        <v>43947</v>
      </c>
      <c r="C952" s="26" t="s">
        <v>29</v>
      </c>
      <c r="D952" s="24">
        <v>17.45</v>
      </c>
      <c r="E952" s="24">
        <v>40</v>
      </c>
      <c r="F952" s="27">
        <v>698</v>
      </c>
      <c r="G952" s="26" t="s">
        <v>23</v>
      </c>
    </row>
    <row r="953" spans="1:7" x14ac:dyDescent="0.25">
      <c r="A953" s="24">
        <v>10305</v>
      </c>
      <c r="B953" s="25">
        <v>43949</v>
      </c>
      <c r="C953" s="26" t="s">
        <v>29</v>
      </c>
      <c r="D953" s="24">
        <v>7.75</v>
      </c>
      <c r="E953" s="24">
        <v>30</v>
      </c>
      <c r="F953" s="27">
        <v>232.5</v>
      </c>
      <c r="G953" s="26" t="s">
        <v>22</v>
      </c>
    </row>
    <row r="954" spans="1:7" x14ac:dyDescent="0.25">
      <c r="A954" s="24">
        <v>10305</v>
      </c>
      <c r="B954" s="25">
        <v>43949</v>
      </c>
      <c r="C954" s="26" t="s">
        <v>29</v>
      </c>
      <c r="D954" s="24">
        <v>36</v>
      </c>
      <c r="E954" s="24">
        <v>18</v>
      </c>
      <c r="F954" s="27">
        <v>648</v>
      </c>
      <c r="G954" s="26" t="s">
        <v>22</v>
      </c>
    </row>
    <row r="955" spans="1:7" x14ac:dyDescent="0.25">
      <c r="A955" s="24">
        <v>10306</v>
      </c>
      <c r="B955" s="25">
        <v>43951</v>
      </c>
      <c r="C955" s="26" t="s">
        <v>29</v>
      </c>
      <c r="D955" s="24">
        <v>12.5</v>
      </c>
      <c r="E955" s="24">
        <v>30</v>
      </c>
      <c r="F955" s="27">
        <v>375</v>
      </c>
      <c r="G955" s="26" t="s">
        <v>27</v>
      </c>
    </row>
    <row r="956" spans="1:7" x14ac:dyDescent="0.25">
      <c r="A956" s="24">
        <v>10307</v>
      </c>
      <c r="B956" s="25">
        <v>43951</v>
      </c>
      <c r="C956" s="26" t="s">
        <v>29</v>
      </c>
      <c r="D956" s="24">
        <v>17.45</v>
      </c>
      <c r="E956" s="24">
        <v>30</v>
      </c>
      <c r="F956" s="27">
        <v>523.5</v>
      </c>
      <c r="G956" s="26" t="s">
        <v>22</v>
      </c>
    </row>
    <row r="957" spans="1:7" x14ac:dyDescent="0.25">
      <c r="A957" s="24">
        <v>10308</v>
      </c>
      <c r="B957" s="25">
        <v>43957</v>
      </c>
      <c r="C957" s="26" t="s">
        <v>29</v>
      </c>
      <c r="D957" s="24">
        <v>9.1999999999999993</v>
      </c>
      <c r="E957" s="24">
        <v>35</v>
      </c>
      <c r="F957" s="27">
        <v>322</v>
      </c>
      <c r="G957" s="26" t="s">
        <v>23</v>
      </c>
    </row>
    <row r="958" spans="1:7" x14ac:dyDescent="0.25">
      <c r="A958" s="24">
        <v>10308</v>
      </c>
      <c r="B958" s="25">
        <v>43957</v>
      </c>
      <c r="C958" s="26" t="s">
        <v>29</v>
      </c>
      <c r="D958" s="24">
        <v>38</v>
      </c>
      <c r="E958" s="24">
        <v>40</v>
      </c>
      <c r="F958" s="27">
        <v>1520</v>
      </c>
      <c r="G958" s="26" t="s">
        <v>23</v>
      </c>
    </row>
    <row r="959" spans="1:7" x14ac:dyDescent="0.25">
      <c r="A959" s="24">
        <v>10308</v>
      </c>
      <c r="B959" s="25">
        <v>43957</v>
      </c>
      <c r="C959" s="26" t="s">
        <v>29</v>
      </c>
      <c r="D959" s="24">
        <v>23.25</v>
      </c>
      <c r="E959" s="24">
        <v>30</v>
      </c>
      <c r="F959" s="27">
        <v>697.5</v>
      </c>
      <c r="G959" s="26" t="s">
        <v>23</v>
      </c>
    </row>
    <row r="960" spans="1:7" x14ac:dyDescent="0.25">
      <c r="A960" s="24">
        <v>10308</v>
      </c>
      <c r="B960" s="25">
        <v>43957</v>
      </c>
      <c r="C960" s="26" t="s">
        <v>29</v>
      </c>
      <c r="D960" s="24">
        <v>4.5</v>
      </c>
      <c r="E960" s="24">
        <v>18</v>
      </c>
      <c r="F960" s="27">
        <v>81</v>
      </c>
      <c r="G960" s="26" t="s">
        <v>23</v>
      </c>
    </row>
    <row r="961" spans="1:7" x14ac:dyDescent="0.25">
      <c r="A961" s="24">
        <v>10311</v>
      </c>
      <c r="B961" s="25">
        <v>43961</v>
      </c>
      <c r="C961" s="26" t="s">
        <v>29</v>
      </c>
      <c r="D961" s="24">
        <v>7</v>
      </c>
      <c r="E961" s="24">
        <v>30</v>
      </c>
      <c r="F961" s="27">
        <v>210</v>
      </c>
      <c r="G961" s="26" t="s">
        <v>25</v>
      </c>
    </row>
    <row r="962" spans="1:7" x14ac:dyDescent="0.25">
      <c r="A962" s="24">
        <v>10311</v>
      </c>
      <c r="B962" s="25">
        <v>43961</v>
      </c>
      <c r="C962" s="26" t="s">
        <v>29</v>
      </c>
      <c r="D962" s="24">
        <v>15</v>
      </c>
      <c r="E962" s="24">
        <v>3</v>
      </c>
      <c r="F962" s="27">
        <v>45</v>
      </c>
      <c r="G962" s="26" t="s">
        <v>25</v>
      </c>
    </row>
    <row r="963" spans="1:7" x14ac:dyDescent="0.25">
      <c r="A963" s="24">
        <v>10312</v>
      </c>
      <c r="B963" s="25">
        <v>43963</v>
      </c>
      <c r="C963" s="26" t="s">
        <v>29</v>
      </c>
      <c r="D963" s="24">
        <v>9.65</v>
      </c>
      <c r="E963" s="24">
        <v>12</v>
      </c>
      <c r="F963" s="27">
        <v>115.8</v>
      </c>
      <c r="G963" s="26" t="s">
        <v>23</v>
      </c>
    </row>
    <row r="964" spans="1:7" x14ac:dyDescent="0.25">
      <c r="A964" s="24">
        <v>10312</v>
      </c>
      <c r="B964" s="25">
        <v>43963</v>
      </c>
      <c r="C964" s="26" t="s">
        <v>29</v>
      </c>
      <c r="D964" s="24">
        <v>24</v>
      </c>
      <c r="E964" s="24">
        <v>18</v>
      </c>
      <c r="F964" s="27">
        <v>432</v>
      </c>
      <c r="G964" s="26" t="s">
        <v>23</v>
      </c>
    </row>
    <row r="965" spans="1:7" x14ac:dyDescent="0.25">
      <c r="A965" s="24">
        <v>10313</v>
      </c>
      <c r="B965" s="25">
        <v>43965</v>
      </c>
      <c r="C965" s="26" t="s">
        <v>29</v>
      </c>
      <c r="D965" s="24">
        <v>25.89</v>
      </c>
      <c r="E965" s="24">
        <v>20</v>
      </c>
      <c r="F965" s="27">
        <v>517.79999999999995</v>
      </c>
      <c r="G965" s="26" t="s">
        <v>23</v>
      </c>
    </row>
    <row r="966" spans="1:7" x14ac:dyDescent="0.25">
      <c r="A966" s="24">
        <v>10313</v>
      </c>
      <c r="B966" s="25">
        <v>43965</v>
      </c>
      <c r="C966" s="26" t="s">
        <v>29</v>
      </c>
      <c r="D966" s="24">
        <v>49.3</v>
      </c>
      <c r="E966" s="24">
        <v>15</v>
      </c>
      <c r="F966" s="27">
        <v>739.5</v>
      </c>
      <c r="G966" s="26" t="s">
        <v>23</v>
      </c>
    </row>
    <row r="967" spans="1:7" x14ac:dyDescent="0.25">
      <c r="A967" s="24">
        <v>10314</v>
      </c>
      <c r="B967" s="25">
        <v>43965</v>
      </c>
      <c r="C967" s="26" t="s">
        <v>29</v>
      </c>
      <c r="D967" s="24">
        <v>19.45</v>
      </c>
      <c r="E967" s="24">
        <v>10</v>
      </c>
      <c r="F967" s="27">
        <v>194.5</v>
      </c>
      <c r="G967" s="26" t="s">
        <v>22</v>
      </c>
    </row>
    <row r="968" spans="1:7" x14ac:dyDescent="0.25">
      <c r="A968" s="24">
        <v>10315</v>
      </c>
      <c r="B968" s="25">
        <v>43971</v>
      </c>
      <c r="C968" s="26" t="s">
        <v>29</v>
      </c>
      <c r="D968" s="24">
        <v>2.5</v>
      </c>
      <c r="E968" s="24">
        <v>20</v>
      </c>
      <c r="F968" s="27">
        <v>50</v>
      </c>
      <c r="G968" s="26" t="s">
        <v>27</v>
      </c>
    </row>
    <row r="969" spans="1:7" x14ac:dyDescent="0.25">
      <c r="A969" s="24">
        <v>10315</v>
      </c>
      <c r="B969" s="25">
        <v>43971</v>
      </c>
      <c r="C969" s="26" t="s">
        <v>29</v>
      </c>
      <c r="D969" s="24">
        <v>49.3</v>
      </c>
      <c r="E969" s="24">
        <v>10</v>
      </c>
      <c r="F969" s="27">
        <v>493</v>
      </c>
      <c r="G969" s="26" t="s">
        <v>27</v>
      </c>
    </row>
    <row r="970" spans="1:7" x14ac:dyDescent="0.25">
      <c r="A970" s="24">
        <v>10316</v>
      </c>
      <c r="B970" s="25">
        <v>43973</v>
      </c>
      <c r="C970" s="26" t="s">
        <v>29</v>
      </c>
      <c r="D970" s="24">
        <v>7</v>
      </c>
      <c r="E970" s="24">
        <v>70</v>
      </c>
      <c r="F970" s="27">
        <v>490</v>
      </c>
      <c r="G970" s="26" t="s">
        <v>23</v>
      </c>
    </row>
    <row r="971" spans="1:7" x14ac:dyDescent="0.25">
      <c r="A971" s="24">
        <v>10316</v>
      </c>
      <c r="B971" s="25">
        <v>43973</v>
      </c>
      <c r="C971" s="26" t="s">
        <v>29</v>
      </c>
      <c r="D971" s="24">
        <v>19</v>
      </c>
      <c r="E971" s="24">
        <v>25</v>
      </c>
      <c r="F971" s="27">
        <v>475</v>
      </c>
      <c r="G971" s="26" t="s">
        <v>23</v>
      </c>
    </row>
    <row r="972" spans="1:7" x14ac:dyDescent="0.25">
      <c r="A972" s="24">
        <v>10317</v>
      </c>
      <c r="B972" s="25">
        <v>43973</v>
      </c>
      <c r="C972" s="26" t="s">
        <v>29</v>
      </c>
      <c r="D972" s="24">
        <v>12.5</v>
      </c>
      <c r="E972" s="24">
        <v>6</v>
      </c>
      <c r="F972" s="27">
        <v>75</v>
      </c>
      <c r="G972" s="26" t="s">
        <v>27</v>
      </c>
    </row>
    <row r="973" spans="1:7" x14ac:dyDescent="0.25">
      <c r="A973" s="24">
        <v>10317</v>
      </c>
      <c r="B973" s="25">
        <v>43973</v>
      </c>
      <c r="C973" s="26" t="s">
        <v>29</v>
      </c>
      <c r="D973" s="24">
        <v>24</v>
      </c>
      <c r="E973" s="24">
        <v>25</v>
      </c>
      <c r="F973" s="27">
        <v>600</v>
      </c>
      <c r="G973" s="26" t="s">
        <v>27</v>
      </c>
    </row>
    <row r="974" spans="1:7" x14ac:dyDescent="0.25">
      <c r="A974" s="24">
        <v>10318</v>
      </c>
      <c r="B974" s="25">
        <v>43975</v>
      </c>
      <c r="C974" s="26" t="s">
        <v>29</v>
      </c>
      <c r="D974" s="24">
        <v>4.5</v>
      </c>
      <c r="E974" s="24">
        <v>25</v>
      </c>
      <c r="F974" s="27">
        <v>112.5</v>
      </c>
      <c r="G974" s="26" t="s">
        <v>27</v>
      </c>
    </row>
    <row r="975" spans="1:7" x14ac:dyDescent="0.25">
      <c r="A975" s="24">
        <v>10318</v>
      </c>
      <c r="B975" s="25">
        <v>43975</v>
      </c>
      <c r="C975" s="26" t="s">
        <v>29</v>
      </c>
      <c r="D975" s="24">
        <v>33.25</v>
      </c>
      <c r="E975" s="24">
        <v>18</v>
      </c>
      <c r="F975" s="27">
        <v>598.5</v>
      </c>
      <c r="G975" s="26" t="s">
        <v>27</v>
      </c>
    </row>
    <row r="976" spans="1:7" x14ac:dyDescent="0.25">
      <c r="A976" s="24">
        <v>10319</v>
      </c>
      <c r="B976" s="25">
        <v>43977</v>
      </c>
      <c r="C976" s="26" t="s">
        <v>29</v>
      </c>
      <c r="D976" s="24">
        <v>62.5</v>
      </c>
      <c r="E976" s="24">
        <v>18</v>
      </c>
      <c r="F976" s="27">
        <v>1125</v>
      </c>
      <c r="G976" s="26" t="s">
        <v>22</v>
      </c>
    </row>
    <row r="977" spans="1:7" x14ac:dyDescent="0.25">
      <c r="A977" s="24">
        <v>10319</v>
      </c>
      <c r="B977" s="25">
        <v>43977</v>
      </c>
      <c r="C977" s="26" t="s">
        <v>29</v>
      </c>
      <c r="D977" s="24">
        <v>18</v>
      </c>
      <c r="E977" s="24">
        <v>10</v>
      </c>
      <c r="F977" s="27">
        <v>180</v>
      </c>
      <c r="G977" s="26" t="s">
        <v>22</v>
      </c>
    </row>
    <row r="978" spans="1:7" x14ac:dyDescent="0.25">
      <c r="A978" s="24">
        <v>10319</v>
      </c>
      <c r="B978" s="25">
        <v>43977</v>
      </c>
      <c r="C978" s="26" t="s">
        <v>29</v>
      </c>
      <c r="D978" s="24">
        <v>21</v>
      </c>
      <c r="E978" s="24">
        <v>35</v>
      </c>
      <c r="F978" s="27">
        <v>735</v>
      </c>
      <c r="G978" s="26" t="s">
        <v>22</v>
      </c>
    </row>
    <row r="979" spans="1:7" x14ac:dyDescent="0.25">
      <c r="A979" s="24">
        <v>10320</v>
      </c>
      <c r="B979" s="25">
        <v>43977</v>
      </c>
      <c r="C979" s="26" t="s">
        <v>29</v>
      </c>
      <c r="D979" s="24">
        <v>12.5</v>
      </c>
      <c r="E979" s="24">
        <v>60</v>
      </c>
      <c r="F979" s="27">
        <v>750</v>
      </c>
      <c r="G979" s="26" t="s">
        <v>22</v>
      </c>
    </row>
    <row r="980" spans="1:7" x14ac:dyDescent="0.25">
      <c r="A980" s="24">
        <v>10324</v>
      </c>
      <c r="B980" s="25">
        <v>43987</v>
      </c>
      <c r="C980" s="26" t="s">
        <v>29</v>
      </c>
      <c r="D980" s="24">
        <v>23.25</v>
      </c>
      <c r="E980" s="24">
        <v>11</v>
      </c>
      <c r="F980" s="27">
        <v>255.75</v>
      </c>
      <c r="G980" s="26" t="s">
        <v>22</v>
      </c>
    </row>
    <row r="981" spans="1:7" x14ac:dyDescent="0.25">
      <c r="A981" s="24">
        <v>10325</v>
      </c>
      <c r="B981" s="25">
        <v>43989</v>
      </c>
      <c r="C981" s="26" t="s">
        <v>29</v>
      </c>
      <c r="D981" s="24">
        <v>18.399999999999999</v>
      </c>
      <c r="E981" s="24">
        <v>50</v>
      </c>
      <c r="F981" s="27">
        <v>920</v>
      </c>
      <c r="G981" s="26" t="s">
        <v>23</v>
      </c>
    </row>
    <row r="982" spans="1:7" x14ac:dyDescent="0.25">
      <c r="A982" s="24">
        <v>10325</v>
      </c>
      <c r="B982" s="25">
        <v>43989</v>
      </c>
      <c r="C982" s="26" t="s">
        <v>29</v>
      </c>
      <c r="D982" s="24">
        <v>32</v>
      </c>
      <c r="E982" s="24">
        <v>10</v>
      </c>
      <c r="F982" s="27">
        <v>320</v>
      </c>
      <c r="G982" s="26" t="s">
        <v>23</v>
      </c>
    </row>
    <row r="983" spans="1:7" x14ac:dyDescent="0.25">
      <c r="A983" s="24">
        <v>10325</v>
      </c>
      <c r="B983" s="25">
        <v>43989</v>
      </c>
      <c r="C983" s="26" t="s">
        <v>29</v>
      </c>
      <c r="D983" s="24">
        <v>17.45</v>
      </c>
      <c r="E983" s="24">
        <v>12</v>
      </c>
      <c r="F983" s="27">
        <v>209.4</v>
      </c>
      <c r="G983" s="26" t="s">
        <v>23</v>
      </c>
    </row>
    <row r="984" spans="1:7" x14ac:dyDescent="0.25">
      <c r="A984" s="24">
        <v>10325</v>
      </c>
      <c r="B984" s="25">
        <v>43989</v>
      </c>
      <c r="C984" s="26" t="s">
        <v>29</v>
      </c>
      <c r="D984" s="24">
        <v>7.75</v>
      </c>
      <c r="E984" s="24">
        <v>15</v>
      </c>
      <c r="F984" s="27">
        <v>116.25</v>
      </c>
      <c r="G984" s="26" t="s">
        <v>23</v>
      </c>
    </row>
    <row r="985" spans="1:7" x14ac:dyDescent="0.25">
      <c r="A985" s="24">
        <v>10326</v>
      </c>
      <c r="B985" s="25">
        <v>43991</v>
      </c>
      <c r="C985" s="26" t="s">
        <v>29</v>
      </c>
      <c r="D985" s="24">
        <v>14</v>
      </c>
      <c r="E985" s="24">
        <v>40</v>
      </c>
      <c r="F985" s="27">
        <v>560</v>
      </c>
      <c r="G985" s="26" t="s">
        <v>26</v>
      </c>
    </row>
    <row r="986" spans="1:7" x14ac:dyDescent="0.25">
      <c r="A986" s="24">
        <v>10326</v>
      </c>
      <c r="B986" s="25">
        <v>43991</v>
      </c>
      <c r="C986" s="26" t="s">
        <v>29</v>
      </c>
      <c r="D986" s="24">
        <v>32.799999999999997</v>
      </c>
      <c r="E986" s="24">
        <v>25</v>
      </c>
      <c r="F986" s="27">
        <v>820</v>
      </c>
      <c r="G986" s="26" t="s">
        <v>26</v>
      </c>
    </row>
    <row r="987" spans="1:7" x14ac:dyDescent="0.25">
      <c r="A987" s="24">
        <v>10327</v>
      </c>
      <c r="B987" s="25">
        <v>43991</v>
      </c>
      <c r="C987" s="26" t="s">
        <v>29</v>
      </c>
      <c r="D987" s="24">
        <v>33.25</v>
      </c>
      <c r="E987" s="24">
        <v>6</v>
      </c>
      <c r="F987" s="27">
        <v>199.5</v>
      </c>
      <c r="G987" s="26" t="s">
        <v>22</v>
      </c>
    </row>
    <row r="988" spans="1:7" x14ac:dyDescent="0.25">
      <c r="A988" s="24">
        <v>10327</v>
      </c>
      <c r="B988" s="25">
        <v>43991</v>
      </c>
      <c r="C988" s="26" t="s">
        <v>29</v>
      </c>
      <c r="D988" s="24">
        <v>2.5</v>
      </c>
      <c r="E988" s="24">
        <v>14</v>
      </c>
      <c r="F988" s="27">
        <v>35</v>
      </c>
      <c r="G988" s="26" t="s">
        <v>22</v>
      </c>
    </row>
    <row r="989" spans="1:7" x14ac:dyDescent="0.25">
      <c r="A989" s="24">
        <v>10327</v>
      </c>
      <c r="B989" s="25">
        <v>43991</v>
      </c>
      <c r="C989" s="26" t="s">
        <v>29</v>
      </c>
      <c r="D989" s="24">
        <v>18.399999999999999</v>
      </c>
      <c r="E989" s="24">
        <v>2</v>
      </c>
      <c r="F989" s="27">
        <v>36.799999999999997</v>
      </c>
      <c r="G989" s="26" t="s">
        <v>22</v>
      </c>
    </row>
    <row r="990" spans="1:7" x14ac:dyDescent="0.25">
      <c r="A990" s="24">
        <v>10329</v>
      </c>
      <c r="B990" s="25">
        <v>43999</v>
      </c>
      <c r="C990" s="26" t="s">
        <v>29</v>
      </c>
      <c r="D990" s="24">
        <v>12.5</v>
      </c>
      <c r="E990" s="24">
        <v>20</v>
      </c>
      <c r="F990" s="27">
        <v>250</v>
      </c>
      <c r="G990" s="26" t="s">
        <v>23</v>
      </c>
    </row>
    <row r="991" spans="1:7" x14ac:dyDescent="0.25">
      <c r="A991" s="24">
        <v>10330</v>
      </c>
      <c r="B991" s="25">
        <v>43999</v>
      </c>
      <c r="C991" s="26" t="s">
        <v>29</v>
      </c>
      <c r="D991" s="24">
        <v>7.75</v>
      </c>
      <c r="E991" s="24">
        <v>20</v>
      </c>
      <c r="F991" s="27">
        <v>155</v>
      </c>
      <c r="G991" s="26" t="s">
        <v>22</v>
      </c>
    </row>
    <row r="992" spans="1:7" x14ac:dyDescent="0.25">
      <c r="A992" s="24">
        <v>10330</v>
      </c>
      <c r="B992" s="25">
        <v>43999</v>
      </c>
      <c r="C992" s="26" t="s">
        <v>29</v>
      </c>
      <c r="D992" s="24">
        <v>13</v>
      </c>
      <c r="E992" s="24">
        <v>18</v>
      </c>
      <c r="F992" s="27">
        <v>234</v>
      </c>
      <c r="G992" s="26" t="s">
        <v>22</v>
      </c>
    </row>
    <row r="993" spans="1:7" x14ac:dyDescent="0.25">
      <c r="A993" s="24">
        <v>10330</v>
      </c>
      <c r="B993" s="25">
        <v>43999</v>
      </c>
      <c r="C993" s="26" t="s">
        <v>29</v>
      </c>
      <c r="D993" s="24">
        <v>18</v>
      </c>
      <c r="E993" s="24">
        <v>10</v>
      </c>
      <c r="F993" s="27">
        <v>180</v>
      </c>
      <c r="G993" s="26" t="s">
        <v>22</v>
      </c>
    </row>
    <row r="994" spans="1:7" x14ac:dyDescent="0.25">
      <c r="A994" s="24">
        <v>10331</v>
      </c>
      <c r="B994" s="25">
        <v>44001</v>
      </c>
      <c r="C994" s="26" t="s">
        <v>29</v>
      </c>
      <c r="D994" s="24">
        <v>19.5</v>
      </c>
      <c r="E994" s="24">
        <v>6</v>
      </c>
      <c r="F994" s="27">
        <v>117</v>
      </c>
      <c r="G994" s="26" t="s">
        <v>23</v>
      </c>
    </row>
    <row r="995" spans="1:7" x14ac:dyDescent="0.25">
      <c r="A995" s="24">
        <v>10331</v>
      </c>
      <c r="B995" s="25">
        <v>44001</v>
      </c>
      <c r="C995" s="26" t="s">
        <v>29</v>
      </c>
      <c r="D995" s="24">
        <v>18</v>
      </c>
      <c r="E995" s="24">
        <v>20</v>
      </c>
      <c r="F995" s="27">
        <v>360</v>
      </c>
      <c r="G995" s="26" t="s">
        <v>23</v>
      </c>
    </row>
    <row r="996" spans="1:7" x14ac:dyDescent="0.25">
      <c r="A996" s="24">
        <v>10332</v>
      </c>
      <c r="B996" s="25">
        <v>44003</v>
      </c>
      <c r="C996" s="26" t="s">
        <v>29</v>
      </c>
      <c r="D996" s="24">
        <v>15.5</v>
      </c>
      <c r="E996" s="24">
        <v>10</v>
      </c>
      <c r="F996" s="27">
        <v>155</v>
      </c>
      <c r="G996" s="26" t="s">
        <v>22</v>
      </c>
    </row>
    <row r="997" spans="1:7" x14ac:dyDescent="0.25">
      <c r="A997" s="24">
        <v>10332</v>
      </c>
      <c r="B997" s="25">
        <v>44003</v>
      </c>
      <c r="C997" s="26" t="s">
        <v>29</v>
      </c>
      <c r="D997" s="24">
        <v>7.75</v>
      </c>
      <c r="E997" s="24">
        <v>21</v>
      </c>
      <c r="F997" s="27">
        <v>162.75</v>
      </c>
      <c r="G997" s="26" t="s">
        <v>22</v>
      </c>
    </row>
    <row r="998" spans="1:7" x14ac:dyDescent="0.25">
      <c r="A998" s="24">
        <v>10333</v>
      </c>
      <c r="B998" s="25">
        <v>44005</v>
      </c>
      <c r="C998" s="26" t="s">
        <v>29</v>
      </c>
      <c r="D998" s="24">
        <v>9.65</v>
      </c>
      <c r="E998" s="24">
        <v>9</v>
      </c>
      <c r="F998" s="27">
        <v>86.85</v>
      </c>
      <c r="G998" s="26" t="s">
        <v>26</v>
      </c>
    </row>
    <row r="999" spans="1:7" x14ac:dyDescent="0.25">
      <c r="A999" s="24">
        <v>10333</v>
      </c>
      <c r="B999" s="25">
        <v>44005</v>
      </c>
      <c r="C999" s="26" t="s">
        <v>29</v>
      </c>
      <c r="D999" s="24">
        <v>21.05</v>
      </c>
      <c r="E999" s="24">
        <v>30</v>
      </c>
      <c r="F999" s="27">
        <v>631.5</v>
      </c>
      <c r="G999" s="26" t="s">
        <v>26</v>
      </c>
    </row>
    <row r="1000" spans="1:7" x14ac:dyDescent="0.25">
      <c r="A1000" s="24">
        <v>10333</v>
      </c>
      <c r="B1000" s="25">
        <v>44005</v>
      </c>
      <c r="C1000" s="26" t="s">
        <v>29</v>
      </c>
      <c r="D1000" s="24">
        <v>23.25</v>
      </c>
      <c r="E1000" s="24">
        <v>15</v>
      </c>
      <c r="F1000" s="27">
        <v>348.75</v>
      </c>
      <c r="G1000" s="26" t="s">
        <v>26</v>
      </c>
    </row>
    <row r="1001" spans="1:7" x14ac:dyDescent="0.25">
      <c r="A1001" s="24">
        <v>10338</v>
      </c>
      <c r="B1001" s="25">
        <v>44015</v>
      </c>
      <c r="C1001" s="26" t="s">
        <v>29</v>
      </c>
      <c r="D1001" s="24">
        <v>9.5</v>
      </c>
      <c r="E1001" s="24">
        <v>15</v>
      </c>
      <c r="F1001" s="27">
        <v>142.5</v>
      </c>
      <c r="G1001" s="26" t="s">
        <v>23</v>
      </c>
    </row>
    <row r="1002" spans="1:7" x14ac:dyDescent="0.25">
      <c r="A1002" s="24">
        <v>10339</v>
      </c>
      <c r="B1002" s="25">
        <v>44017</v>
      </c>
      <c r="C1002" s="26" t="s">
        <v>29</v>
      </c>
      <c r="D1002" s="24">
        <v>7</v>
      </c>
      <c r="E1002" s="24">
        <v>4</v>
      </c>
      <c r="F1002" s="27">
        <v>28</v>
      </c>
      <c r="G1002" s="26" t="s">
        <v>22</v>
      </c>
    </row>
    <row r="1003" spans="1:7" x14ac:dyDescent="0.25">
      <c r="A1003" s="24">
        <v>10340</v>
      </c>
      <c r="B1003" s="25">
        <v>44017</v>
      </c>
      <c r="C1003" s="26" t="s">
        <v>29</v>
      </c>
      <c r="D1003" s="24">
        <v>31.23</v>
      </c>
      <c r="E1003" s="24">
        <v>6</v>
      </c>
      <c r="F1003" s="27">
        <v>187.38</v>
      </c>
      <c r="G1003" s="26" t="s">
        <v>25</v>
      </c>
    </row>
    <row r="1004" spans="1:7" x14ac:dyDescent="0.25">
      <c r="A1004" s="24">
        <v>10340</v>
      </c>
      <c r="B1004" s="25">
        <v>44017</v>
      </c>
      <c r="C1004" s="26" t="s">
        <v>29</v>
      </c>
      <c r="D1004" s="24">
        <v>13</v>
      </c>
      <c r="E1004" s="24">
        <v>20</v>
      </c>
      <c r="F1004" s="27">
        <v>260</v>
      </c>
      <c r="G1004" s="26" t="s">
        <v>25</v>
      </c>
    </row>
    <row r="1005" spans="1:7" x14ac:dyDescent="0.25">
      <c r="A1005" s="24">
        <v>10340</v>
      </c>
      <c r="B1005" s="25">
        <v>44017</v>
      </c>
      <c r="C1005" s="26" t="s">
        <v>29</v>
      </c>
      <c r="D1005" s="24">
        <v>18</v>
      </c>
      <c r="E1005" s="24">
        <v>20</v>
      </c>
      <c r="F1005" s="27">
        <v>360</v>
      </c>
      <c r="G1005" s="26" t="s">
        <v>25</v>
      </c>
    </row>
    <row r="1006" spans="1:7" x14ac:dyDescent="0.25">
      <c r="A1006" s="24">
        <v>10341</v>
      </c>
      <c r="B1006" s="25">
        <v>44019</v>
      </c>
      <c r="C1006" s="26" t="s">
        <v>29</v>
      </c>
      <c r="D1006" s="24">
        <v>62.5</v>
      </c>
      <c r="E1006" s="24">
        <v>40</v>
      </c>
      <c r="F1006" s="27">
        <v>2500</v>
      </c>
      <c r="G1006" s="26" t="s">
        <v>22</v>
      </c>
    </row>
    <row r="1007" spans="1:7" x14ac:dyDescent="0.25">
      <c r="A1007" s="24">
        <v>10341</v>
      </c>
      <c r="B1007" s="25">
        <v>44019</v>
      </c>
      <c r="C1007" s="26" t="s">
        <v>29</v>
      </c>
      <c r="D1007" s="24">
        <v>14</v>
      </c>
      <c r="E1007" s="24">
        <v>100</v>
      </c>
      <c r="F1007" s="27">
        <v>1400</v>
      </c>
      <c r="G1007" s="26" t="s">
        <v>22</v>
      </c>
    </row>
    <row r="1008" spans="1:7" x14ac:dyDescent="0.25">
      <c r="A1008" s="24">
        <v>10342</v>
      </c>
      <c r="B1008" s="25">
        <v>44021</v>
      </c>
      <c r="C1008" s="26" t="s">
        <v>29</v>
      </c>
      <c r="D1008" s="24">
        <v>18</v>
      </c>
      <c r="E1008" s="24">
        <v>4</v>
      </c>
      <c r="F1008" s="27">
        <v>72</v>
      </c>
      <c r="G1008" s="26" t="s">
        <v>23</v>
      </c>
    </row>
    <row r="1009" spans="1:7" x14ac:dyDescent="0.25">
      <c r="A1009" s="24">
        <v>10343</v>
      </c>
      <c r="B1009" s="25">
        <v>44027</v>
      </c>
      <c r="C1009" s="26" t="s">
        <v>29</v>
      </c>
      <c r="D1009" s="24">
        <v>18</v>
      </c>
      <c r="E1009" s="24">
        <v>20</v>
      </c>
      <c r="F1009" s="27">
        <v>360</v>
      </c>
      <c r="G1009" s="26" t="s">
        <v>22</v>
      </c>
    </row>
    <row r="1010" spans="1:7" x14ac:dyDescent="0.25">
      <c r="A1010" s="24">
        <v>10343</v>
      </c>
      <c r="B1010" s="25">
        <v>44027</v>
      </c>
      <c r="C1010" s="26" t="s">
        <v>29</v>
      </c>
      <c r="D1010" s="24">
        <v>13</v>
      </c>
      <c r="E1010" s="24">
        <v>60</v>
      </c>
      <c r="F1010" s="27">
        <v>780</v>
      </c>
      <c r="G1010" s="26" t="s">
        <v>22</v>
      </c>
    </row>
    <row r="1011" spans="1:7" x14ac:dyDescent="0.25">
      <c r="A1011" s="24">
        <v>10344</v>
      </c>
      <c r="B1011" s="25">
        <v>44027</v>
      </c>
      <c r="C1011" s="26" t="s">
        <v>29</v>
      </c>
      <c r="D1011" s="24">
        <v>7.45</v>
      </c>
      <c r="E1011" s="24">
        <v>50</v>
      </c>
      <c r="F1011" s="27">
        <v>372.5</v>
      </c>
      <c r="G1011" s="26" t="s">
        <v>27</v>
      </c>
    </row>
    <row r="1012" spans="1:7" x14ac:dyDescent="0.25">
      <c r="A1012" s="24">
        <v>10347</v>
      </c>
      <c r="B1012" s="25">
        <v>44031</v>
      </c>
      <c r="C1012" s="26" t="s">
        <v>29</v>
      </c>
      <c r="D1012" s="24">
        <v>7</v>
      </c>
      <c r="E1012" s="24">
        <v>24</v>
      </c>
      <c r="F1012" s="27">
        <v>168</v>
      </c>
      <c r="G1012" s="26" t="s">
        <v>27</v>
      </c>
    </row>
    <row r="1013" spans="1:7" x14ac:dyDescent="0.25">
      <c r="A1013" s="24">
        <v>10347</v>
      </c>
      <c r="B1013" s="25">
        <v>44031</v>
      </c>
      <c r="C1013" s="26" t="s">
        <v>29</v>
      </c>
      <c r="D1013" s="24">
        <v>13.25</v>
      </c>
      <c r="E1013" s="24">
        <v>30</v>
      </c>
      <c r="F1013" s="27">
        <v>397.5</v>
      </c>
      <c r="G1013" s="26" t="s">
        <v>27</v>
      </c>
    </row>
    <row r="1014" spans="1:7" x14ac:dyDescent="0.25">
      <c r="A1014" s="24">
        <v>10348</v>
      </c>
      <c r="B1014" s="25">
        <v>44033</v>
      </c>
      <c r="C1014" s="26" t="s">
        <v>29</v>
      </c>
      <c r="D1014" s="24">
        <v>28.5</v>
      </c>
      <c r="E1014" s="24">
        <v>120</v>
      </c>
      <c r="F1014" s="27">
        <v>3420</v>
      </c>
      <c r="G1014" s="26" t="s">
        <v>23</v>
      </c>
    </row>
    <row r="1015" spans="1:7" x14ac:dyDescent="0.25">
      <c r="A1015" s="24">
        <v>10348</v>
      </c>
      <c r="B1015" s="25">
        <v>44033</v>
      </c>
      <c r="C1015" s="26" t="s">
        <v>29</v>
      </c>
      <c r="D1015" s="24">
        <v>18</v>
      </c>
      <c r="E1015" s="24">
        <v>30</v>
      </c>
      <c r="F1015" s="27">
        <v>540</v>
      </c>
      <c r="G1015" s="26" t="s">
        <v>23</v>
      </c>
    </row>
    <row r="1016" spans="1:7" x14ac:dyDescent="0.25">
      <c r="A1016" s="24">
        <v>10348</v>
      </c>
      <c r="B1016" s="25">
        <v>44033</v>
      </c>
      <c r="C1016" s="26" t="s">
        <v>29</v>
      </c>
      <c r="D1016" s="24">
        <v>36</v>
      </c>
      <c r="E1016" s="24">
        <v>65</v>
      </c>
      <c r="F1016" s="27">
        <v>2340</v>
      </c>
      <c r="G1016" s="26" t="s">
        <v>23</v>
      </c>
    </row>
    <row r="1017" spans="1:7" x14ac:dyDescent="0.25">
      <c r="A1017" s="24">
        <v>10349</v>
      </c>
      <c r="B1017" s="25">
        <v>44035</v>
      </c>
      <c r="C1017" s="26" t="s">
        <v>29</v>
      </c>
      <c r="D1017" s="24">
        <v>7.75</v>
      </c>
      <c r="E1017" s="24">
        <v>30</v>
      </c>
      <c r="F1017" s="27">
        <v>232.5</v>
      </c>
      <c r="G1017" s="26" t="s">
        <v>22</v>
      </c>
    </row>
    <row r="1018" spans="1:7" x14ac:dyDescent="0.25">
      <c r="A1018" s="24">
        <v>10349</v>
      </c>
      <c r="B1018" s="25">
        <v>44035</v>
      </c>
      <c r="C1018" s="26" t="s">
        <v>29</v>
      </c>
      <c r="D1018" s="24">
        <v>38</v>
      </c>
      <c r="E1018" s="24">
        <v>5</v>
      </c>
      <c r="F1018" s="27">
        <v>190</v>
      </c>
      <c r="G1018" s="26" t="s">
        <v>22</v>
      </c>
    </row>
    <row r="1019" spans="1:7" x14ac:dyDescent="0.25">
      <c r="A1019" s="24">
        <v>10349</v>
      </c>
      <c r="B1019" s="25">
        <v>44035</v>
      </c>
      <c r="C1019" s="26" t="s">
        <v>29</v>
      </c>
      <c r="D1019" s="24">
        <v>43.9</v>
      </c>
      <c r="E1019" s="24">
        <v>24</v>
      </c>
      <c r="F1019" s="27">
        <v>1053.5999999999999</v>
      </c>
      <c r="G1019" s="26" t="s">
        <v>22</v>
      </c>
    </row>
    <row r="1020" spans="1:7" x14ac:dyDescent="0.25">
      <c r="A1020" s="24">
        <v>10353</v>
      </c>
      <c r="B1020" s="25">
        <v>44045</v>
      </c>
      <c r="C1020" s="26" t="s">
        <v>29</v>
      </c>
      <c r="D1020" s="24">
        <v>15</v>
      </c>
      <c r="E1020" s="24">
        <v>30</v>
      </c>
      <c r="F1020" s="27">
        <v>450</v>
      </c>
      <c r="G1020" s="26" t="s">
        <v>22</v>
      </c>
    </row>
    <row r="1021" spans="1:7" x14ac:dyDescent="0.25">
      <c r="A1021" s="24">
        <v>10354</v>
      </c>
      <c r="B1021" s="25">
        <v>44045</v>
      </c>
      <c r="C1021" s="26" t="s">
        <v>29</v>
      </c>
      <c r="D1021" s="24">
        <v>6</v>
      </c>
      <c r="E1021" s="24">
        <v>60</v>
      </c>
      <c r="F1021" s="27">
        <v>360</v>
      </c>
      <c r="G1021" s="26" t="s">
        <v>22</v>
      </c>
    </row>
    <row r="1022" spans="1:7" x14ac:dyDescent="0.25">
      <c r="A1022" s="24">
        <v>10354</v>
      </c>
      <c r="B1022" s="25">
        <v>44045</v>
      </c>
      <c r="C1022" s="26" t="s">
        <v>29</v>
      </c>
      <c r="D1022" s="24">
        <v>55</v>
      </c>
      <c r="E1022" s="24">
        <v>35</v>
      </c>
      <c r="F1022" s="27">
        <v>1925</v>
      </c>
      <c r="G1022" s="26" t="s">
        <v>22</v>
      </c>
    </row>
    <row r="1023" spans="1:7" x14ac:dyDescent="0.25">
      <c r="A1023" s="24">
        <v>10355</v>
      </c>
      <c r="B1023" s="25">
        <v>44047</v>
      </c>
      <c r="C1023" s="26" t="s">
        <v>29</v>
      </c>
      <c r="D1023" s="24">
        <v>13</v>
      </c>
      <c r="E1023" s="24">
        <v>5</v>
      </c>
      <c r="F1023" s="27">
        <v>65</v>
      </c>
      <c r="G1023" s="26" t="s">
        <v>26</v>
      </c>
    </row>
    <row r="1024" spans="1:7" x14ac:dyDescent="0.25">
      <c r="A1024" s="24">
        <v>10356</v>
      </c>
      <c r="B1024" s="25">
        <v>44049</v>
      </c>
      <c r="C1024" s="26" t="s">
        <v>29</v>
      </c>
      <c r="D1024" s="24">
        <v>21</v>
      </c>
      <c r="E1024" s="24">
        <v>48</v>
      </c>
      <c r="F1024" s="27">
        <v>1008</v>
      </c>
      <c r="G1024" s="26" t="s">
        <v>22</v>
      </c>
    </row>
    <row r="1025" spans="1:7" x14ac:dyDescent="0.25">
      <c r="A1025" s="24">
        <v>10356</v>
      </c>
      <c r="B1025" s="25">
        <v>44049</v>
      </c>
      <c r="C1025" s="26" t="s">
        <v>29</v>
      </c>
      <c r="D1025" s="24">
        <v>20</v>
      </c>
      <c r="E1025" s="24">
        <v>25</v>
      </c>
      <c r="F1025" s="27">
        <v>500</v>
      </c>
      <c r="G1025" s="26" t="s">
        <v>22</v>
      </c>
    </row>
    <row r="1026" spans="1:7" x14ac:dyDescent="0.25">
      <c r="A1026" s="24">
        <v>10357</v>
      </c>
      <c r="B1026" s="25">
        <v>44049</v>
      </c>
      <c r="C1026" s="26" t="s">
        <v>29</v>
      </c>
      <c r="D1026" s="24">
        <v>18</v>
      </c>
      <c r="E1026" s="24">
        <v>10</v>
      </c>
      <c r="F1026" s="27">
        <v>180</v>
      </c>
      <c r="G1026" s="26" t="s">
        <v>23</v>
      </c>
    </row>
    <row r="1027" spans="1:7" x14ac:dyDescent="0.25">
      <c r="A1027" s="24">
        <v>10357</v>
      </c>
      <c r="B1027" s="25">
        <v>44049</v>
      </c>
      <c r="C1027" s="26" t="s">
        <v>29</v>
      </c>
      <c r="D1027" s="24">
        <v>12.75</v>
      </c>
      <c r="E1027" s="24">
        <v>6</v>
      </c>
      <c r="F1027" s="27">
        <v>76.5</v>
      </c>
      <c r="G1027" s="26" t="s">
        <v>23</v>
      </c>
    </row>
    <row r="1028" spans="1:7" x14ac:dyDescent="0.25">
      <c r="A1028" s="24">
        <v>10358</v>
      </c>
      <c r="B1028" s="25">
        <v>44055</v>
      </c>
      <c r="C1028" s="26" t="s">
        <v>29</v>
      </c>
      <c r="D1028" s="24">
        <v>21.5</v>
      </c>
      <c r="E1028" s="24">
        <v>15</v>
      </c>
      <c r="F1028" s="27">
        <v>322.5</v>
      </c>
      <c r="G1028" s="26" t="s">
        <v>23</v>
      </c>
    </row>
    <row r="1029" spans="1:7" x14ac:dyDescent="0.25">
      <c r="A1029" s="24">
        <v>10358</v>
      </c>
      <c r="B1029" s="25">
        <v>44055</v>
      </c>
      <c r="C1029" s="26" t="s">
        <v>29</v>
      </c>
      <c r="D1029" s="24">
        <v>34</v>
      </c>
      <c r="E1029" s="24">
        <v>70</v>
      </c>
      <c r="F1029" s="27">
        <v>2380</v>
      </c>
      <c r="G1029" s="26" t="s">
        <v>23</v>
      </c>
    </row>
    <row r="1030" spans="1:7" x14ac:dyDescent="0.25">
      <c r="A1030" s="24">
        <v>10358</v>
      </c>
      <c r="B1030" s="25">
        <v>44055</v>
      </c>
      <c r="C1030" s="26" t="s">
        <v>29</v>
      </c>
      <c r="D1030" s="24">
        <v>55</v>
      </c>
      <c r="E1030" s="24">
        <v>20</v>
      </c>
      <c r="F1030" s="27">
        <v>1100</v>
      </c>
      <c r="G1030" s="26" t="s">
        <v>23</v>
      </c>
    </row>
    <row r="1031" spans="1:7" x14ac:dyDescent="0.25">
      <c r="A1031" s="24">
        <v>10360</v>
      </c>
      <c r="B1031" s="25">
        <v>44057</v>
      </c>
      <c r="C1031" s="26" t="s">
        <v>29</v>
      </c>
      <c r="D1031" s="24">
        <v>18.399999999999999</v>
      </c>
      <c r="E1031" s="24">
        <v>42</v>
      </c>
      <c r="F1031" s="27">
        <v>772.8</v>
      </c>
      <c r="G1031" s="26" t="s">
        <v>22</v>
      </c>
    </row>
    <row r="1032" spans="1:7" x14ac:dyDescent="0.25">
      <c r="A1032" s="24">
        <v>10360</v>
      </c>
      <c r="B1032" s="25">
        <v>44057</v>
      </c>
      <c r="C1032" s="26" t="s">
        <v>29</v>
      </c>
      <c r="D1032" s="24">
        <v>34.799999999999997</v>
      </c>
      <c r="E1032" s="24">
        <v>12</v>
      </c>
      <c r="F1032" s="27">
        <v>417.6</v>
      </c>
      <c r="G1032" s="26" t="s">
        <v>22</v>
      </c>
    </row>
    <row r="1033" spans="1:7" x14ac:dyDescent="0.25">
      <c r="A1033" s="24">
        <v>10361</v>
      </c>
      <c r="B1033" s="25">
        <v>44059</v>
      </c>
      <c r="C1033" s="26" t="s">
        <v>29</v>
      </c>
      <c r="D1033" s="24">
        <v>38</v>
      </c>
      <c r="E1033" s="24">
        <v>28</v>
      </c>
      <c r="F1033" s="27">
        <v>1064</v>
      </c>
      <c r="G1033" s="26" t="s">
        <v>22</v>
      </c>
    </row>
    <row r="1034" spans="1:7" x14ac:dyDescent="0.25">
      <c r="A1034" s="24">
        <v>10362</v>
      </c>
      <c r="B1034" s="25">
        <v>44061</v>
      </c>
      <c r="C1034" s="26" t="s">
        <v>29</v>
      </c>
      <c r="D1034" s="24">
        <v>31</v>
      </c>
      <c r="E1034" s="24">
        <v>10</v>
      </c>
      <c r="F1034" s="27">
        <v>310</v>
      </c>
      <c r="G1034" s="26" t="s">
        <v>22</v>
      </c>
    </row>
    <row r="1035" spans="1:7" x14ac:dyDescent="0.25">
      <c r="A1035" s="24">
        <v>10362</v>
      </c>
      <c r="B1035" s="25">
        <v>44061</v>
      </c>
      <c r="C1035" s="26" t="s">
        <v>29</v>
      </c>
      <c r="D1035" s="24">
        <v>18</v>
      </c>
      <c r="E1035" s="24">
        <v>3</v>
      </c>
      <c r="F1035" s="27">
        <v>54</v>
      </c>
      <c r="G1035" s="26" t="s">
        <v>22</v>
      </c>
    </row>
    <row r="1036" spans="1:7" x14ac:dyDescent="0.25">
      <c r="A1036" s="24">
        <v>10362</v>
      </c>
      <c r="B1036" s="25">
        <v>44061</v>
      </c>
      <c r="C1036" s="26" t="s">
        <v>29</v>
      </c>
      <c r="D1036" s="24">
        <v>10</v>
      </c>
      <c r="E1036" s="24">
        <v>6</v>
      </c>
      <c r="F1036" s="27">
        <v>60</v>
      </c>
      <c r="G1036" s="26" t="s">
        <v>22</v>
      </c>
    </row>
    <row r="1037" spans="1:7" x14ac:dyDescent="0.25">
      <c r="A1037" s="24">
        <v>10363</v>
      </c>
      <c r="B1037" s="25">
        <v>44063</v>
      </c>
      <c r="C1037" s="26" t="s">
        <v>29</v>
      </c>
      <c r="D1037" s="24">
        <v>19</v>
      </c>
      <c r="E1037" s="24">
        <v>21</v>
      </c>
      <c r="F1037" s="27">
        <v>399</v>
      </c>
      <c r="G1037" s="26" t="s">
        <v>26</v>
      </c>
    </row>
    <row r="1038" spans="1:7" x14ac:dyDescent="0.25">
      <c r="A1038" s="24">
        <v>10364</v>
      </c>
      <c r="B1038" s="25">
        <v>44063</v>
      </c>
      <c r="C1038" s="26" t="s">
        <v>29</v>
      </c>
      <c r="D1038" s="24">
        <v>19</v>
      </c>
      <c r="E1038" s="24">
        <v>10</v>
      </c>
      <c r="F1038" s="27">
        <v>190</v>
      </c>
      <c r="G1038" s="26" t="s">
        <v>27</v>
      </c>
    </row>
    <row r="1039" spans="1:7" x14ac:dyDescent="0.25">
      <c r="A1039" s="24">
        <v>10364</v>
      </c>
      <c r="B1039" s="25">
        <v>44063</v>
      </c>
      <c r="C1039" s="26" t="s">
        <v>29</v>
      </c>
      <c r="D1039" s="24">
        <v>34</v>
      </c>
      <c r="E1039" s="24">
        <v>15</v>
      </c>
      <c r="F1039" s="27">
        <v>510</v>
      </c>
      <c r="G1039" s="26" t="s">
        <v>27</v>
      </c>
    </row>
    <row r="1040" spans="1:7" x14ac:dyDescent="0.25">
      <c r="A1040" s="24">
        <v>10364</v>
      </c>
      <c r="B1040" s="25">
        <v>44063</v>
      </c>
      <c r="C1040" s="26" t="s">
        <v>29</v>
      </c>
      <c r="D1040" s="24">
        <v>18</v>
      </c>
      <c r="E1040" s="24">
        <v>6</v>
      </c>
      <c r="F1040" s="27">
        <v>108</v>
      </c>
      <c r="G1040" s="26" t="s">
        <v>27</v>
      </c>
    </row>
    <row r="1041" spans="1:7" x14ac:dyDescent="0.25">
      <c r="A1041" s="24">
        <v>10365</v>
      </c>
      <c r="B1041" s="25">
        <v>44069</v>
      </c>
      <c r="C1041" s="26" t="s">
        <v>29</v>
      </c>
      <c r="D1041" s="24">
        <v>34</v>
      </c>
      <c r="E1041" s="24">
        <v>40</v>
      </c>
      <c r="F1041" s="27">
        <v>1360</v>
      </c>
      <c r="G1041" s="26" t="s">
        <v>22</v>
      </c>
    </row>
    <row r="1042" spans="1:7" x14ac:dyDescent="0.25">
      <c r="A1042" s="24">
        <v>10367</v>
      </c>
      <c r="B1042" s="25">
        <v>44071</v>
      </c>
      <c r="C1042" s="26" t="s">
        <v>29</v>
      </c>
      <c r="D1042" s="24">
        <v>10</v>
      </c>
      <c r="E1042" s="24">
        <v>8</v>
      </c>
      <c r="F1042" s="27">
        <v>80</v>
      </c>
      <c r="G1042" s="26" t="s">
        <v>22</v>
      </c>
    </row>
    <row r="1043" spans="1:7" x14ac:dyDescent="0.25">
      <c r="A1043" s="24">
        <v>10367</v>
      </c>
      <c r="B1043" s="25">
        <v>44071</v>
      </c>
      <c r="C1043" s="26" t="s">
        <v>29</v>
      </c>
      <c r="D1043" s="24">
        <v>18</v>
      </c>
      <c r="E1043" s="24">
        <v>5</v>
      </c>
      <c r="F1043" s="27">
        <v>90</v>
      </c>
      <c r="G1043" s="26" t="s">
        <v>22</v>
      </c>
    </row>
    <row r="1044" spans="1:7" x14ac:dyDescent="0.25">
      <c r="A1044" s="24">
        <v>10368</v>
      </c>
      <c r="B1044" s="25">
        <v>44073</v>
      </c>
      <c r="C1044" s="26" t="s">
        <v>29</v>
      </c>
      <c r="D1044" s="24">
        <v>24</v>
      </c>
      <c r="E1044" s="24">
        <v>5</v>
      </c>
      <c r="F1044" s="27">
        <v>120</v>
      </c>
      <c r="G1044" s="26" t="s">
        <v>22</v>
      </c>
    </row>
    <row r="1045" spans="1:7" x14ac:dyDescent="0.25">
      <c r="A1045" s="24">
        <v>10369</v>
      </c>
      <c r="B1045" s="25">
        <v>44075</v>
      </c>
      <c r="C1045" s="26" t="s">
        <v>29</v>
      </c>
      <c r="D1045" s="24">
        <v>21.5</v>
      </c>
      <c r="E1045" s="24">
        <v>15</v>
      </c>
      <c r="F1045" s="27">
        <v>322.5</v>
      </c>
      <c r="G1045" s="26" t="s">
        <v>25</v>
      </c>
    </row>
    <row r="1046" spans="1:7" x14ac:dyDescent="0.25">
      <c r="A1046" s="24">
        <v>10369</v>
      </c>
      <c r="B1046" s="25">
        <v>44075</v>
      </c>
      <c r="C1046" s="26" t="s">
        <v>29</v>
      </c>
      <c r="D1046" s="24">
        <v>15</v>
      </c>
      <c r="E1046" s="24">
        <v>15</v>
      </c>
      <c r="F1046" s="27">
        <v>225</v>
      </c>
      <c r="G1046" s="26" t="s">
        <v>25</v>
      </c>
    </row>
    <row r="1047" spans="1:7" x14ac:dyDescent="0.25">
      <c r="A1047" s="24">
        <v>10369</v>
      </c>
      <c r="B1047" s="25">
        <v>44075</v>
      </c>
      <c r="C1047" s="26" t="s">
        <v>29</v>
      </c>
      <c r="D1047" s="24">
        <v>38</v>
      </c>
      <c r="E1047" s="24">
        <v>14</v>
      </c>
      <c r="F1047" s="27">
        <v>532</v>
      </c>
      <c r="G1047" s="26" t="s">
        <v>25</v>
      </c>
    </row>
    <row r="1048" spans="1:7" x14ac:dyDescent="0.25">
      <c r="A1048" s="24">
        <v>10369</v>
      </c>
      <c r="B1048" s="25">
        <v>44075</v>
      </c>
      <c r="C1048" s="26" t="s">
        <v>29</v>
      </c>
      <c r="D1048" s="24">
        <v>263.5</v>
      </c>
      <c r="E1048" s="24">
        <v>15</v>
      </c>
      <c r="F1048" s="27">
        <v>3952.5</v>
      </c>
      <c r="G1048" s="26" t="s">
        <v>25</v>
      </c>
    </row>
    <row r="1049" spans="1:7" x14ac:dyDescent="0.25">
      <c r="A1049" s="24">
        <v>10370</v>
      </c>
      <c r="B1049" s="25">
        <v>44075</v>
      </c>
      <c r="C1049" s="26" t="s">
        <v>29</v>
      </c>
      <c r="D1049" s="24">
        <v>55</v>
      </c>
      <c r="E1049" s="24">
        <v>30</v>
      </c>
      <c r="F1049" s="27">
        <v>1650</v>
      </c>
      <c r="G1049" s="26" t="s">
        <v>22</v>
      </c>
    </row>
    <row r="1050" spans="1:7" x14ac:dyDescent="0.25">
      <c r="A1050" s="24">
        <v>10374</v>
      </c>
      <c r="B1050" s="25">
        <v>44085</v>
      </c>
      <c r="C1050" s="26" t="s">
        <v>29</v>
      </c>
      <c r="D1050" s="24">
        <v>9</v>
      </c>
      <c r="E1050" s="24">
        <v>10</v>
      </c>
      <c r="F1050" s="27">
        <v>90</v>
      </c>
      <c r="G1050" s="26" t="s">
        <v>23</v>
      </c>
    </row>
    <row r="1051" spans="1:7" x14ac:dyDescent="0.25">
      <c r="A1051" s="24">
        <v>10374</v>
      </c>
      <c r="B1051" s="25">
        <v>44085</v>
      </c>
      <c r="C1051" s="26" t="s">
        <v>29</v>
      </c>
      <c r="D1051" s="24">
        <v>15</v>
      </c>
      <c r="E1051" s="24">
        <v>20</v>
      </c>
      <c r="F1051" s="27">
        <v>300</v>
      </c>
      <c r="G1051" s="26" t="s">
        <v>23</v>
      </c>
    </row>
    <row r="1052" spans="1:7" x14ac:dyDescent="0.25">
      <c r="A1052" s="24">
        <v>10374</v>
      </c>
      <c r="B1052" s="25">
        <v>44085</v>
      </c>
      <c r="C1052" s="26" t="s">
        <v>29</v>
      </c>
      <c r="D1052" s="24">
        <v>21.5</v>
      </c>
      <c r="E1052" s="24">
        <v>15</v>
      </c>
      <c r="F1052" s="27">
        <v>322.5</v>
      </c>
      <c r="G1052" s="26" t="s">
        <v>23</v>
      </c>
    </row>
    <row r="1053" spans="1:7" x14ac:dyDescent="0.25">
      <c r="A1053" s="24">
        <v>10374</v>
      </c>
      <c r="B1053" s="25">
        <v>44085</v>
      </c>
      <c r="C1053" s="26" t="s">
        <v>29</v>
      </c>
      <c r="D1053" s="24">
        <v>9.1999999999999993</v>
      </c>
      <c r="E1053" s="24">
        <v>5</v>
      </c>
      <c r="F1053" s="27">
        <v>46</v>
      </c>
      <c r="G1053" s="26" t="s">
        <v>23</v>
      </c>
    </row>
    <row r="1054" spans="1:7" x14ac:dyDescent="0.25">
      <c r="A1054" s="24">
        <v>10375</v>
      </c>
      <c r="B1054" s="25">
        <v>44087</v>
      </c>
      <c r="C1054" s="26" t="s">
        <v>29</v>
      </c>
      <c r="D1054" s="24">
        <v>12.5</v>
      </c>
      <c r="E1054" s="24">
        <v>18</v>
      </c>
      <c r="F1054" s="27">
        <v>225</v>
      </c>
      <c r="G1054" s="26" t="s">
        <v>22</v>
      </c>
    </row>
    <row r="1055" spans="1:7" x14ac:dyDescent="0.25">
      <c r="A1055" s="24">
        <v>10375</v>
      </c>
      <c r="B1055" s="25">
        <v>44087</v>
      </c>
      <c r="C1055" s="26" t="s">
        <v>29</v>
      </c>
      <c r="D1055" s="24">
        <v>19</v>
      </c>
      <c r="E1055" s="24">
        <v>20</v>
      </c>
      <c r="F1055" s="27">
        <v>380</v>
      </c>
      <c r="G1055" s="26" t="s">
        <v>22</v>
      </c>
    </row>
    <row r="1056" spans="1:7" x14ac:dyDescent="0.25">
      <c r="A1056" s="24">
        <v>10376</v>
      </c>
      <c r="B1056" s="25">
        <v>44089</v>
      </c>
      <c r="C1056" s="26" t="s">
        <v>29</v>
      </c>
      <c r="D1056" s="24">
        <v>4.5</v>
      </c>
      <c r="E1056" s="24">
        <v>3</v>
      </c>
      <c r="F1056" s="27">
        <v>13.5</v>
      </c>
      <c r="G1056" s="26" t="s">
        <v>22</v>
      </c>
    </row>
    <row r="1057" spans="1:7" x14ac:dyDescent="0.25">
      <c r="A1057" s="24">
        <v>10376</v>
      </c>
      <c r="B1057" s="25">
        <v>44089</v>
      </c>
      <c r="C1057" s="26" t="s">
        <v>29</v>
      </c>
      <c r="D1057" s="24">
        <v>18</v>
      </c>
      <c r="E1057" s="24">
        <v>30</v>
      </c>
      <c r="F1057" s="27">
        <v>540</v>
      </c>
      <c r="G1057" s="26" t="s">
        <v>22</v>
      </c>
    </row>
    <row r="1058" spans="1:7" x14ac:dyDescent="0.25">
      <c r="A1058" s="24">
        <v>10376</v>
      </c>
      <c r="B1058" s="25">
        <v>44089</v>
      </c>
      <c r="C1058" s="26" t="s">
        <v>29</v>
      </c>
      <c r="D1058" s="24">
        <v>23.25</v>
      </c>
      <c r="E1058" s="24">
        <v>21</v>
      </c>
      <c r="F1058" s="27">
        <v>488.25</v>
      </c>
      <c r="G1058" s="26" t="s">
        <v>22</v>
      </c>
    </row>
    <row r="1059" spans="1:7" x14ac:dyDescent="0.25">
      <c r="A1059" s="24">
        <v>10376</v>
      </c>
      <c r="B1059" s="25">
        <v>44089</v>
      </c>
      <c r="C1059" s="26" t="s">
        <v>29</v>
      </c>
      <c r="D1059" s="24">
        <v>9.1999999999999993</v>
      </c>
      <c r="E1059" s="24">
        <v>15</v>
      </c>
      <c r="F1059" s="27">
        <v>138</v>
      </c>
      <c r="G1059" s="26" t="s">
        <v>22</v>
      </c>
    </row>
    <row r="1060" spans="1:7" x14ac:dyDescent="0.25">
      <c r="A1060" s="24">
        <v>10376</v>
      </c>
      <c r="B1060" s="25">
        <v>44089</v>
      </c>
      <c r="C1060" s="26" t="s">
        <v>29</v>
      </c>
      <c r="D1060" s="24">
        <v>10</v>
      </c>
      <c r="E1060" s="24">
        <v>25</v>
      </c>
      <c r="F1060" s="27">
        <v>250</v>
      </c>
      <c r="G1060" s="26" t="s">
        <v>22</v>
      </c>
    </row>
    <row r="1061" spans="1:7" x14ac:dyDescent="0.25">
      <c r="A1061" s="24">
        <v>10379</v>
      </c>
      <c r="B1061" s="25">
        <v>44097</v>
      </c>
      <c r="C1061" s="26" t="s">
        <v>29</v>
      </c>
      <c r="D1061" s="24">
        <v>21.5</v>
      </c>
      <c r="E1061" s="24">
        <v>20</v>
      </c>
      <c r="F1061" s="27">
        <v>430</v>
      </c>
      <c r="G1061" s="26" t="s">
        <v>23</v>
      </c>
    </row>
    <row r="1062" spans="1:7" x14ac:dyDescent="0.25">
      <c r="A1062" s="24">
        <v>10379</v>
      </c>
      <c r="B1062" s="25">
        <v>44097</v>
      </c>
      <c r="C1062" s="26" t="s">
        <v>29</v>
      </c>
      <c r="D1062" s="24">
        <v>34</v>
      </c>
      <c r="E1062" s="24">
        <v>20</v>
      </c>
      <c r="F1062" s="27">
        <v>680</v>
      </c>
      <c r="G1062" s="26" t="s">
        <v>23</v>
      </c>
    </row>
    <row r="1063" spans="1:7" x14ac:dyDescent="0.25">
      <c r="A1063" s="24">
        <v>10380</v>
      </c>
      <c r="B1063" s="25">
        <v>44097</v>
      </c>
      <c r="C1063" s="26" t="s">
        <v>29</v>
      </c>
      <c r="D1063" s="24">
        <v>15</v>
      </c>
      <c r="E1063" s="24">
        <v>35</v>
      </c>
      <c r="F1063" s="27">
        <v>525</v>
      </c>
      <c r="G1063" s="26" t="s">
        <v>22</v>
      </c>
    </row>
    <row r="1064" spans="1:7" x14ac:dyDescent="0.25">
      <c r="A1064" s="24">
        <v>10380</v>
      </c>
      <c r="B1064" s="25">
        <v>44097</v>
      </c>
      <c r="C1064" s="26" t="s">
        <v>29</v>
      </c>
      <c r="D1064" s="24">
        <v>49.3</v>
      </c>
      <c r="E1064" s="24">
        <v>15</v>
      </c>
      <c r="F1064" s="27">
        <v>739.5</v>
      </c>
      <c r="G1064" s="26" t="s">
        <v>22</v>
      </c>
    </row>
    <row r="1065" spans="1:7" x14ac:dyDescent="0.25">
      <c r="A1065" s="24">
        <v>10381</v>
      </c>
      <c r="B1065" s="25">
        <v>44099</v>
      </c>
      <c r="C1065" s="26" t="s">
        <v>29</v>
      </c>
      <c r="D1065" s="24">
        <v>18</v>
      </c>
      <c r="E1065" s="24">
        <v>25</v>
      </c>
      <c r="F1065" s="27">
        <v>450</v>
      </c>
      <c r="G1065" s="26" t="s">
        <v>27</v>
      </c>
    </row>
    <row r="1066" spans="1:7" x14ac:dyDescent="0.25">
      <c r="A1066" s="24">
        <v>10382</v>
      </c>
      <c r="B1066" s="25">
        <v>44099</v>
      </c>
      <c r="C1066" s="26" t="s">
        <v>29</v>
      </c>
      <c r="D1066" s="24">
        <v>123.79</v>
      </c>
      <c r="E1066" s="24">
        <v>20</v>
      </c>
      <c r="F1066" s="27">
        <v>2475.8000000000002</v>
      </c>
      <c r="G1066" s="26" t="s">
        <v>22</v>
      </c>
    </row>
    <row r="1067" spans="1:7" x14ac:dyDescent="0.25">
      <c r="A1067" s="24">
        <v>10382</v>
      </c>
      <c r="B1067" s="25">
        <v>44099</v>
      </c>
      <c r="C1067" s="26" t="s">
        <v>29</v>
      </c>
      <c r="D1067" s="24">
        <v>33.25</v>
      </c>
      <c r="E1067" s="24">
        <v>9</v>
      </c>
      <c r="F1067" s="27">
        <v>299.25</v>
      </c>
      <c r="G1067" s="26" t="s">
        <v>22</v>
      </c>
    </row>
    <row r="1068" spans="1:7" x14ac:dyDescent="0.25">
      <c r="A1068" s="24">
        <v>10383</v>
      </c>
      <c r="B1068" s="25">
        <v>44101</v>
      </c>
      <c r="C1068" s="26" t="s">
        <v>29</v>
      </c>
      <c r="D1068" s="24">
        <v>18</v>
      </c>
      <c r="E1068" s="24">
        <v>35</v>
      </c>
      <c r="F1068" s="27">
        <v>630</v>
      </c>
      <c r="G1068" s="26" t="s">
        <v>22</v>
      </c>
    </row>
    <row r="1069" spans="1:7" x14ac:dyDescent="0.25">
      <c r="A1069" s="24">
        <v>10383</v>
      </c>
      <c r="B1069" s="25">
        <v>44101</v>
      </c>
      <c r="C1069" s="26" t="s">
        <v>29</v>
      </c>
      <c r="D1069" s="24">
        <v>24</v>
      </c>
      <c r="E1069" s="24">
        <v>12</v>
      </c>
      <c r="F1069" s="27">
        <v>288</v>
      </c>
      <c r="G1069" s="26" t="s">
        <v>22</v>
      </c>
    </row>
    <row r="1070" spans="1:7" x14ac:dyDescent="0.25">
      <c r="A1070" s="24">
        <v>10384</v>
      </c>
      <c r="B1070" s="25">
        <v>44103</v>
      </c>
      <c r="C1070" s="26" t="s">
        <v>29</v>
      </c>
      <c r="D1070" s="24">
        <v>7.75</v>
      </c>
      <c r="E1070" s="24">
        <v>8</v>
      </c>
      <c r="F1070" s="27">
        <v>62</v>
      </c>
      <c r="G1070" s="26" t="s">
        <v>22</v>
      </c>
    </row>
    <row r="1071" spans="1:7" x14ac:dyDescent="0.25">
      <c r="A1071" s="24">
        <v>10385</v>
      </c>
      <c r="B1071" s="25">
        <v>44103</v>
      </c>
      <c r="C1071" s="26" t="s">
        <v>29</v>
      </c>
      <c r="D1071" s="24">
        <v>2.5</v>
      </c>
      <c r="E1071" s="24">
        <v>20</v>
      </c>
      <c r="F1071" s="27">
        <v>50</v>
      </c>
      <c r="G1071" s="26" t="s">
        <v>22</v>
      </c>
    </row>
    <row r="1072" spans="1:7" x14ac:dyDescent="0.25">
      <c r="A1072" s="24">
        <v>10387</v>
      </c>
      <c r="B1072" s="25">
        <v>44105</v>
      </c>
      <c r="C1072" s="26" t="s">
        <v>29</v>
      </c>
      <c r="D1072" s="24">
        <v>62.5</v>
      </c>
      <c r="E1072" s="24">
        <v>50</v>
      </c>
      <c r="F1072" s="27">
        <v>3125</v>
      </c>
      <c r="G1072" s="26" t="s">
        <v>23</v>
      </c>
    </row>
    <row r="1073" spans="1:7" x14ac:dyDescent="0.25">
      <c r="A1073" s="24">
        <v>10387</v>
      </c>
      <c r="B1073" s="25">
        <v>44105</v>
      </c>
      <c r="C1073" s="26" t="s">
        <v>29</v>
      </c>
      <c r="D1073" s="24">
        <v>7.75</v>
      </c>
      <c r="E1073" s="24">
        <v>2</v>
      </c>
      <c r="F1073" s="27">
        <v>15.5</v>
      </c>
      <c r="G1073" s="26" t="s">
        <v>23</v>
      </c>
    </row>
    <row r="1074" spans="1:7" x14ac:dyDescent="0.25">
      <c r="A1074" s="24">
        <v>10388</v>
      </c>
      <c r="B1074" s="25">
        <v>44111</v>
      </c>
      <c r="C1074" s="26" t="s">
        <v>29</v>
      </c>
      <c r="D1074" s="24">
        <v>22</v>
      </c>
      <c r="E1074" s="24">
        <v>10</v>
      </c>
      <c r="F1074" s="27">
        <v>220</v>
      </c>
      <c r="G1074" s="26" t="s">
        <v>23</v>
      </c>
    </row>
    <row r="1075" spans="1:7" x14ac:dyDescent="0.25">
      <c r="A1075" s="24">
        <v>10388</v>
      </c>
      <c r="B1075" s="25">
        <v>44111</v>
      </c>
      <c r="C1075" s="26" t="s">
        <v>29</v>
      </c>
      <c r="D1075" s="24">
        <v>21.35</v>
      </c>
      <c r="E1075" s="24">
        <v>15</v>
      </c>
      <c r="F1075" s="27">
        <v>320.25</v>
      </c>
      <c r="G1075" s="26" t="s">
        <v>23</v>
      </c>
    </row>
    <row r="1076" spans="1:7" x14ac:dyDescent="0.25">
      <c r="A1076" s="24">
        <v>10388</v>
      </c>
      <c r="B1076" s="25">
        <v>44111</v>
      </c>
      <c r="C1076" s="26" t="s">
        <v>29</v>
      </c>
      <c r="D1076" s="24">
        <v>21</v>
      </c>
      <c r="E1076" s="24">
        <v>40</v>
      </c>
      <c r="F1076" s="27">
        <v>840</v>
      </c>
      <c r="G1076" s="26" t="s">
        <v>23</v>
      </c>
    </row>
    <row r="1077" spans="1:7" x14ac:dyDescent="0.25">
      <c r="A1077" s="24">
        <v>10389</v>
      </c>
      <c r="B1077" s="25">
        <v>44113</v>
      </c>
      <c r="C1077" s="26" t="s">
        <v>29</v>
      </c>
      <c r="D1077" s="24">
        <v>13.25</v>
      </c>
      <c r="E1077" s="24">
        <v>6</v>
      </c>
      <c r="F1077" s="27">
        <v>79.5</v>
      </c>
      <c r="G1077" s="26" t="s">
        <v>25</v>
      </c>
    </row>
    <row r="1078" spans="1:7" x14ac:dyDescent="0.25">
      <c r="A1078" s="24">
        <v>10389</v>
      </c>
      <c r="B1078" s="25">
        <v>44113</v>
      </c>
      <c r="C1078" s="26" t="s">
        <v>29</v>
      </c>
      <c r="D1078" s="24">
        <v>22</v>
      </c>
      <c r="E1078" s="24">
        <v>25</v>
      </c>
      <c r="F1078" s="27">
        <v>550</v>
      </c>
      <c r="G1078" s="26" t="s">
        <v>25</v>
      </c>
    </row>
    <row r="1079" spans="1:7" x14ac:dyDescent="0.25">
      <c r="A1079" s="24">
        <v>10390</v>
      </c>
      <c r="B1079" s="25">
        <v>44113</v>
      </c>
      <c r="C1079" s="26" t="s">
        <v>29</v>
      </c>
      <c r="D1079" s="24">
        <v>21</v>
      </c>
      <c r="E1079" s="24">
        <v>10</v>
      </c>
      <c r="F1079" s="27">
        <v>210</v>
      </c>
      <c r="G1079" s="26" t="s">
        <v>22</v>
      </c>
    </row>
    <row r="1080" spans="1:7" x14ac:dyDescent="0.25">
      <c r="A1080" s="24">
        <v>10390</v>
      </c>
      <c r="B1080" s="25">
        <v>44113</v>
      </c>
      <c r="C1080" s="26" t="s">
        <v>29</v>
      </c>
      <c r="D1080" s="24">
        <v>16.25</v>
      </c>
      <c r="E1080" s="24">
        <v>25</v>
      </c>
      <c r="F1080" s="27">
        <v>406.25</v>
      </c>
      <c r="G1080" s="26" t="s">
        <v>22</v>
      </c>
    </row>
    <row r="1081" spans="1:7" x14ac:dyDescent="0.25">
      <c r="A1081" s="24">
        <v>10390</v>
      </c>
      <c r="B1081" s="25">
        <v>44113</v>
      </c>
      <c r="C1081" s="26" t="s">
        <v>29</v>
      </c>
      <c r="D1081" s="24">
        <v>38</v>
      </c>
      <c r="E1081" s="24">
        <v>60</v>
      </c>
      <c r="F1081" s="27">
        <v>2280</v>
      </c>
      <c r="G1081" s="26" t="s">
        <v>22</v>
      </c>
    </row>
    <row r="1082" spans="1:7" x14ac:dyDescent="0.25">
      <c r="A1082" s="24">
        <v>10391</v>
      </c>
      <c r="B1082" s="25">
        <v>44115</v>
      </c>
      <c r="C1082" s="26" t="s">
        <v>29</v>
      </c>
      <c r="D1082" s="24">
        <v>21.05</v>
      </c>
      <c r="E1082" s="24">
        <v>21</v>
      </c>
      <c r="F1082" s="27">
        <v>442.05</v>
      </c>
      <c r="G1082" s="26" t="s">
        <v>22</v>
      </c>
    </row>
    <row r="1083" spans="1:7" x14ac:dyDescent="0.25">
      <c r="A1083" s="24">
        <v>10395</v>
      </c>
      <c r="B1083" s="25">
        <v>44119</v>
      </c>
      <c r="C1083" s="26" t="s">
        <v>29</v>
      </c>
      <c r="D1083" s="24">
        <v>28.5</v>
      </c>
      <c r="E1083" s="24">
        <v>20</v>
      </c>
      <c r="F1083" s="27">
        <v>570</v>
      </c>
      <c r="G1083" s="26" t="s">
        <v>23</v>
      </c>
    </row>
    <row r="1084" spans="1:7" x14ac:dyDescent="0.25">
      <c r="A1084" s="24">
        <v>10395</v>
      </c>
      <c r="B1084" s="25">
        <v>44119</v>
      </c>
      <c r="C1084" s="26" t="s">
        <v>29</v>
      </c>
      <c r="D1084" s="24">
        <v>10</v>
      </c>
      <c r="E1084" s="24">
        <v>30</v>
      </c>
      <c r="F1084" s="27">
        <v>300</v>
      </c>
      <c r="G1084" s="26" t="s">
        <v>23</v>
      </c>
    </row>
    <row r="1085" spans="1:7" x14ac:dyDescent="0.25">
      <c r="A1085" s="24">
        <v>10396</v>
      </c>
      <c r="B1085" s="25">
        <v>44125</v>
      </c>
      <c r="C1085" s="26" t="s">
        <v>29</v>
      </c>
      <c r="D1085" s="24">
        <v>12</v>
      </c>
      <c r="E1085" s="24">
        <v>2</v>
      </c>
      <c r="F1085" s="27">
        <v>24</v>
      </c>
      <c r="G1085" s="26" t="s">
        <v>23</v>
      </c>
    </row>
    <row r="1086" spans="1:7" x14ac:dyDescent="0.25">
      <c r="A1086" s="24">
        <v>10396</v>
      </c>
      <c r="B1086" s="25">
        <v>44125</v>
      </c>
      <c r="C1086" s="26" t="s">
        <v>29</v>
      </c>
      <c r="D1086" s="24">
        <v>45.6</v>
      </c>
      <c r="E1086" s="24">
        <v>15</v>
      </c>
      <c r="F1086" s="27">
        <v>684</v>
      </c>
      <c r="G1086" s="26" t="s">
        <v>23</v>
      </c>
    </row>
    <row r="1087" spans="1:7" x14ac:dyDescent="0.25">
      <c r="A1087" s="24">
        <v>10396</v>
      </c>
      <c r="B1087" s="25">
        <v>44125</v>
      </c>
      <c r="C1087" s="26" t="s">
        <v>29</v>
      </c>
      <c r="D1087" s="24">
        <v>18</v>
      </c>
      <c r="E1087" s="24">
        <v>21</v>
      </c>
      <c r="F1087" s="27">
        <v>378</v>
      </c>
      <c r="G1087" s="26" t="s">
        <v>23</v>
      </c>
    </row>
    <row r="1088" spans="1:7" x14ac:dyDescent="0.25">
      <c r="A1088" s="24">
        <v>10397</v>
      </c>
      <c r="B1088" s="25">
        <v>44125</v>
      </c>
      <c r="C1088" s="26" t="s">
        <v>29</v>
      </c>
      <c r="D1088" s="24">
        <v>62.5</v>
      </c>
      <c r="E1088" s="24">
        <v>4</v>
      </c>
      <c r="F1088" s="27">
        <v>250</v>
      </c>
      <c r="G1088" s="26" t="s">
        <v>22</v>
      </c>
    </row>
    <row r="1089" spans="1:7" x14ac:dyDescent="0.25">
      <c r="A1089" s="24">
        <v>10397</v>
      </c>
      <c r="B1089" s="25">
        <v>44125</v>
      </c>
      <c r="C1089" s="26" t="s">
        <v>29</v>
      </c>
      <c r="D1089" s="24">
        <v>12</v>
      </c>
      <c r="E1089" s="24">
        <v>21</v>
      </c>
      <c r="F1089" s="27">
        <v>252</v>
      </c>
      <c r="G1089" s="26" t="s">
        <v>22</v>
      </c>
    </row>
    <row r="1090" spans="1:7" x14ac:dyDescent="0.25">
      <c r="A1090" s="24">
        <v>10397</v>
      </c>
      <c r="B1090" s="25">
        <v>44125</v>
      </c>
      <c r="C1090" s="26" t="s">
        <v>29</v>
      </c>
      <c r="D1090" s="24">
        <v>46</v>
      </c>
      <c r="E1090" s="24">
        <v>20</v>
      </c>
      <c r="F1090" s="27">
        <v>920</v>
      </c>
      <c r="G1090" s="26" t="s">
        <v>22</v>
      </c>
    </row>
    <row r="1091" spans="1:7" x14ac:dyDescent="0.25">
      <c r="A1091" s="24">
        <v>10398</v>
      </c>
      <c r="B1091" s="25">
        <v>44127</v>
      </c>
      <c r="C1091" s="26" t="s">
        <v>29</v>
      </c>
      <c r="D1091" s="24">
        <v>19</v>
      </c>
      <c r="E1091" s="24">
        <v>15</v>
      </c>
      <c r="F1091" s="27">
        <v>285</v>
      </c>
      <c r="G1091" s="26" t="s">
        <v>25</v>
      </c>
    </row>
    <row r="1092" spans="1:7" x14ac:dyDescent="0.25">
      <c r="A1092" s="24">
        <v>10398</v>
      </c>
      <c r="B1092" s="25">
        <v>44127</v>
      </c>
      <c r="C1092" s="26" t="s">
        <v>29</v>
      </c>
      <c r="D1092" s="24">
        <v>62.5</v>
      </c>
      <c r="E1092" s="24">
        <v>20</v>
      </c>
      <c r="F1092" s="27">
        <v>1250</v>
      </c>
      <c r="G1092" s="26" t="s">
        <v>25</v>
      </c>
    </row>
    <row r="1093" spans="1:7" x14ac:dyDescent="0.25">
      <c r="A1093" s="24">
        <v>10399</v>
      </c>
      <c r="B1093" s="25">
        <v>44129</v>
      </c>
      <c r="C1093" s="26" t="s">
        <v>29</v>
      </c>
      <c r="D1093" s="24">
        <v>21.5</v>
      </c>
      <c r="E1093" s="24">
        <v>30</v>
      </c>
      <c r="F1093" s="27">
        <v>645</v>
      </c>
      <c r="G1093" s="26" t="s">
        <v>22</v>
      </c>
    </row>
    <row r="1094" spans="1:7" x14ac:dyDescent="0.25">
      <c r="A1094" s="24">
        <v>10402</v>
      </c>
      <c r="B1094" s="25">
        <v>44131</v>
      </c>
      <c r="C1094" s="26" t="s">
        <v>29</v>
      </c>
      <c r="D1094" s="24">
        <v>45.6</v>
      </c>
      <c r="E1094" s="24">
        <v>20</v>
      </c>
      <c r="F1094" s="27">
        <v>912</v>
      </c>
      <c r="G1094" s="26" t="s">
        <v>27</v>
      </c>
    </row>
    <row r="1095" spans="1:7" x14ac:dyDescent="0.25">
      <c r="A1095" s="24">
        <v>10402</v>
      </c>
      <c r="B1095" s="25">
        <v>44131</v>
      </c>
      <c r="C1095" s="26" t="s">
        <v>29</v>
      </c>
      <c r="D1095" s="24">
        <v>34.799999999999997</v>
      </c>
      <c r="E1095" s="24">
        <v>15</v>
      </c>
      <c r="F1095" s="27">
        <v>522</v>
      </c>
      <c r="G1095" s="26" t="s">
        <v>27</v>
      </c>
    </row>
    <row r="1096" spans="1:7" x14ac:dyDescent="0.25">
      <c r="A1096" s="24">
        <v>10403</v>
      </c>
      <c r="B1096" s="25">
        <v>44133</v>
      </c>
      <c r="C1096" s="26" t="s">
        <v>29</v>
      </c>
      <c r="D1096" s="24">
        <v>32.799999999999997</v>
      </c>
      <c r="E1096" s="24">
        <v>25</v>
      </c>
      <c r="F1096" s="27">
        <v>820</v>
      </c>
      <c r="G1096" s="26" t="s">
        <v>23</v>
      </c>
    </row>
    <row r="1097" spans="1:7" x14ac:dyDescent="0.25">
      <c r="A1097" s="24">
        <v>10403</v>
      </c>
      <c r="B1097" s="25">
        <v>44133</v>
      </c>
      <c r="C1097" s="26" t="s">
        <v>29</v>
      </c>
      <c r="D1097" s="24">
        <v>7.45</v>
      </c>
      <c r="E1097" s="24">
        <v>30</v>
      </c>
      <c r="F1097" s="27">
        <v>223.5</v>
      </c>
      <c r="G1097" s="26" t="s">
        <v>23</v>
      </c>
    </row>
    <row r="1098" spans="1:7" x14ac:dyDescent="0.25">
      <c r="A1098" s="24">
        <v>10403</v>
      </c>
      <c r="B1098" s="25">
        <v>44133</v>
      </c>
      <c r="C1098" s="26" t="s">
        <v>29</v>
      </c>
      <c r="D1098" s="24">
        <v>25.89</v>
      </c>
      <c r="E1098" s="24">
        <v>30</v>
      </c>
      <c r="F1098" s="27">
        <v>776.7</v>
      </c>
      <c r="G1098" s="26" t="s">
        <v>23</v>
      </c>
    </row>
    <row r="1099" spans="1:7" x14ac:dyDescent="0.25">
      <c r="A1099" s="24">
        <v>10404</v>
      </c>
      <c r="B1099" s="25">
        <v>44139</v>
      </c>
      <c r="C1099" s="26" t="s">
        <v>29</v>
      </c>
      <c r="D1099" s="24">
        <v>21</v>
      </c>
      <c r="E1099" s="24">
        <v>20</v>
      </c>
      <c r="F1099" s="27">
        <v>420</v>
      </c>
      <c r="G1099" s="26" t="s">
        <v>22</v>
      </c>
    </row>
    <row r="1100" spans="1:7" x14ac:dyDescent="0.25">
      <c r="A1100" s="24">
        <v>10404</v>
      </c>
      <c r="B1100" s="25">
        <v>44139</v>
      </c>
      <c r="C1100" s="26" t="s">
        <v>29</v>
      </c>
      <c r="D1100" s="24">
        <v>9.1999999999999993</v>
      </c>
      <c r="E1100" s="24">
        <v>12</v>
      </c>
      <c r="F1100" s="27">
        <v>110.4</v>
      </c>
      <c r="G1100" s="26" t="s">
        <v>22</v>
      </c>
    </row>
    <row r="1101" spans="1:7" x14ac:dyDescent="0.25">
      <c r="A1101" s="24">
        <v>10405</v>
      </c>
      <c r="B1101" s="25">
        <v>44139</v>
      </c>
      <c r="C1101" s="26" t="s">
        <v>29</v>
      </c>
      <c r="D1101" s="24">
        <v>25.89</v>
      </c>
      <c r="E1101" s="24">
        <v>2</v>
      </c>
      <c r="F1101" s="27">
        <v>51.78</v>
      </c>
      <c r="G1101" s="26" t="s">
        <v>22</v>
      </c>
    </row>
    <row r="1102" spans="1:7" x14ac:dyDescent="0.25">
      <c r="A1102" s="24">
        <v>10405</v>
      </c>
      <c r="B1102" s="25">
        <v>44139</v>
      </c>
      <c r="C1102" s="26" t="s">
        <v>29</v>
      </c>
      <c r="D1102" s="24">
        <v>14</v>
      </c>
      <c r="E1102" s="24">
        <v>20</v>
      </c>
      <c r="F1102" s="27">
        <v>280</v>
      </c>
      <c r="G1102" s="26" t="s">
        <v>22</v>
      </c>
    </row>
    <row r="1103" spans="1:7" x14ac:dyDescent="0.25">
      <c r="A1103" s="24">
        <v>10406</v>
      </c>
      <c r="B1103" s="25">
        <v>44141</v>
      </c>
      <c r="C1103" s="26" t="s">
        <v>29</v>
      </c>
      <c r="D1103" s="24">
        <v>34</v>
      </c>
      <c r="E1103" s="24">
        <v>20</v>
      </c>
      <c r="F1103" s="27">
        <v>680</v>
      </c>
      <c r="G1103" s="26" t="s">
        <v>22</v>
      </c>
    </row>
    <row r="1104" spans="1:7" x14ac:dyDescent="0.25">
      <c r="A1104" s="24">
        <v>10406</v>
      </c>
      <c r="B1104" s="25">
        <v>44141</v>
      </c>
      <c r="C1104" s="26" t="s">
        <v>29</v>
      </c>
      <c r="D1104" s="24">
        <v>17.45</v>
      </c>
      <c r="E1104" s="24">
        <v>30</v>
      </c>
      <c r="F1104" s="27">
        <v>523.5</v>
      </c>
      <c r="G1104" s="26" t="s">
        <v>22</v>
      </c>
    </row>
    <row r="1105" spans="1:7" x14ac:dyDescent="0.25">
      <c r="A1105" s="24">
        <v>10410</v>
      </c>
      <c r="B1105" s="25">
        <v>44145</v>
      </c>
      <c r="C1105" s="26" t="s">
        <v>29</v>
      </c>
      <c r="D1105" s="24">
        <v>38</v>
      </c>
      <c r="E1105" s="24">
        <v>45</v>
      </c>
      <c r="F1105" s="27">
        <v>1710</v>
      </c>
      <c r="G1105" s="26" t="s">
        <v>23</v>
      </c>
    </row>
    <row r="1106" spans="1:7" x14ac:dyDescent="0.25">
      <c r="A1106" s="24">
        <v>10410</v>
      </c>
      <c r="B1106" s="25">
        <v>44145</v>
      </c>
      <c r="C1106" s="26" t="s">
        <v>29</v>
      </c>
      <c r="D1106" s="24">
        <v>9.5</v>
      </c>
      <c r="E1106" s="24">
        <v>10</v>
      </c>
      <c r="F1106" s="27">
        <v>95</v>
      </c>
      <c r="G1106" s="26" t="s">
        <v>23</v>
      </c>
    </row>
    <row r="1107" spans="1:7" x14ac:dyDescent="0.25">
      <c r="A1107" s="24">
        <v>10410</v>
      </c>
      <c r="B1107" s="25">
        <v>44145</v>
      </c>
      <c r="C1107" s="26" t="s">
        <v>29</v>
      </c>
      <c r="D1107" s="24">
        <v>34</v>
      </c>
      <c r="E1107" s="24">
        <v>30</v>
      </c>
      <c r="F1107" s="27">
        <v>1020</v>
      </c>
      <c r="G1107" s="26" t="s">
        <v>23</v>
      </c>
    </row>
    <row r="1108" spans="1:7" x14ac:dyDescent="0.25">
      <c r="A1108" s="24">
        <v>10410</v>
      </c>
      <c r="B1108" s="25">
        <v>44145</v>
      </c>
      <c r="C1108" s="26" t="s">
        <v>29</v>
      </c>
      <c r="D1108" s="24">
        <v>15.5</v>
      </c>
      <c r="E1108" s="24">
        <v>50</v>
      </c>
      <c r="F1108" s="27">
        <v>775</v>
      </c>
      <c r="G1108" s="26" t="s">
        <v>23</v>
      </c>
    </row>
    <row r="1109" spans="1:7" x14ac:dyDescent="0.25">
      <c r="A1109" s="24">
        <v>10410</v>
      </c>
      <c r="B1109" s="25">
        <v>44145</v>
      </c>
      <c r="C1109" s="26" t="s">
        <v>29</v>
      </c>
      <c r="D1109" s="24">
        <v>12</v>
      </c>
      <c r="E1109" s="24">
        <v>45</v>
      </c>
      <c r="F1109" s="27">
        <v>540</v>
      </c>
      <c r="G1109" s="26" t="s">
        <v>23</v>
      </c>
    </row>
    <row r="1110" spans="1:7" x14ac:dyDescent="0.25">
      <c r="A1110" s="24">
        <v>10410</v>
      </c>
      <c r="B1110" s="25">
        <v>44145</v>
      </c>
      <c r="C1110" s="26" t="s">
        <v>29</v>
      </c>
      <c r="D1110" s="24">
        <v>9.65</v>
      </c>
      <c r="E1110" s="24">
        <v>24</v>
      </c>
      <c r="F1110" s="27">
        <v>231.6</v>
      </c>
      <c r="G1110" s="26" t="s">
        <v>23</v>
      </c>
    </row>
    <row r="1111" spans="1:7" x14ac:dyDescent="0.25">
      <c r="A1111" s="24">
        <v>10411</v>
      </c>
      <c r="B1111" s="25">
        <v>44147</v>
      </c>
      <c r="C1111" s="26" t="s">
        <v>29</v>
      </c>
      <c r="D1111" s="24">
        <v>13</v>
      </c>
      <c r="E1111" s="24">
        <v>70</v>
      </c>
      <c r="F1111" s="27">
        <v>910</v>
      </c>
      <c r="G1111" s="26" t="s">
        <v>27</v>
      </c>
    </row>
    <row r="1112" spans="1:7" x14ac:dyDescent="0.25">
      <c r="A1112" s="24">
        <v>10411</v>
      </c>
      <c r="B1112" s="25">
        <v>44147</v>
      </c>
      <c r="C1112" s="26" t="s">
        <v>29</v>
      </c>
      <c r="D1112" s="24">
        <v>34</v>
      </c>
      <c r="E1112" s="24">
        <v>55</v>
      </c>
      <c r="F1112" s="27">
        <v>1870</v>
      </c>
      <c r="G1112" s="26" t="s">
        <v>27</v>
      </c>
    </row>
    <row r="1113" spans="1:7" x14ac:dyDescent="0.25">
      <c r="A1113" s="24">
        <v>10411</v>
      </c>
      <c r="B1113" s="25">
        <v>44147</v>
      </c>
      <c r="C1113" s="26" t="s">
        <v>29</v>
      </c>
      <c r="D1113" s="24">
        <v>10</v>
      </c>
      <c r="E1113" s="24">
        <v>60</v>
      </c>
      <c r="F1113" s="27">
        <v>600</v>
      </c>
      <c r="G1113" s="26" t="s">
        <v>27</v>
      </c>
    </row>
    <row r="1114" spans="1:7" x14ac:dyDescent="0.25">
      <c r="A1114" s="24">
        <v>10411</v>
      </c>
      <c r="B1114" s="25">
        <v>44147</v>
      </c>
      <c r="C1114" s="26" t="s">
        <v>29</v>
      </c>
      <c r="D1114" s="24">
        <v>18.399999999999999</v>
      </c>
      <c r="E1114" s="24">
        <v>70</v>
      </c>
      <c r="F1114" s="27">
        <v>1288</v>
      </c>
      <c r="G1114" s="26" t="s">
        <v>27</v>
      </c>
    </row>
    <row r="1115" spans="1:7" x14ac:dyDescent="0.25">
      <c r="A1115" s="24">
        <v>10412</v>
      </c>
      <c r="B1115" s="25">
        <v>44147</v>
      </c>
      <c r="C1115" s="26" t="s">
        <v>29</v>
      </c>
      <c r="D1115" s="24">
        <v>18.399999999999999</v>
      </c>
      <c r="E1115" s="24">
        <v>24</v>
      </c>
      <c r="F1115" s="27">
        <v>441.6</v>
      </c>
      <c r="G1115" s="26" t="s">
        <v>22</v>
      </c>
    </row>
    <row r="1116" spans="1:7" x14ac:dyDescent="0.25">
      <c r="A1116" s="24">
        <v>10416</v>
      </c>
      <c r="B1116" s="25">
        <v>44157</v>
      </c>
      <c r="C1116" s="26" t="s">
        <v>29</v>
      </c>
      <c r="D1116" s="24">
        <v>18.399999999999999</v>
      </c>
      <c r="E1116" s="24">
        <v>30</v>
      </c>
      <c r="F1116" s="27">
        <v>552</v>
      </c>
      <c r="G1116" s="26" t="s">
        <v>23</v>
      </c>
    </row>
    <row r="1117" spans="1:7" x14ac:dyDescent="0.25">
      <c r="A1117" s="24">
        <v>10417</v>
      </c>
      <c r="B1117" s="25">
        <v>44157</v>
      </c>
      <c r="C1117" s="26" t="s">
        <v>29</v>
      </c>
      <c r="D1117" s="24">
        <v>31</v>
      </c>
      <c r="E1117" s="24">
        <v>24</v>
      </c>
      <c r="F1117" s="27">
        <v>744</v>
      </c>
      <c r="G1117" s="26" t="s">
        <v>23</v>
      </c>
    </row>
    <row r="1118" spans="1:7" x14ac:dyDescent="0.25">
      <c r="A1118" s="24">
        <v>10417</v>
      </c>
      <c r="B1118" s="25">
        <v>44157</v>
      </c>
      <c r="C1118" s="26" t="s">
        <v>29</v>
      </c>
      <c r="D1118" s="24">
        <v>38</v>
      </c>
      <c r="E1118" s="24">
        <v>12</v>
      </c>
      <c r="F1118" s="27">
        <v>456</v>
      </c>
      <c r="G1118" s="26" t="s">
        <v>23</v>
      </c>
    </row>
    <row r="1119" spans="1:7" x14ac:dyDescent="0.25">
      <c r="A1119" s="24">
        <v>10417</v>
      </c>
      <c r="B1119" s="25">
        <v>44157</v>
      </c>
      <c r="C1119" s="26" t="s">
        <v>29</v>
      </c>
      <c r="D1119" s="24">
        <v>21.05</v>
      </c>
      <c r="E1119" s="24">
        <v>15</v>
      </c>
      <c r="F1119" s="27">
        <v>315.75</v>
      </c>
      <c r="G1119" s="26" t="s">
        <v>23</v>
      </c>
    </row>
    <row r="1120" spans="1:7" x14ac:dyDescent="0.25">
      <c r="A1120" s="24">
        <v>10418</v>
      </c>
      <c r="B1120" s="25">
        <v>44159</v>
      </c>
      <c r="C1120" s="26" t="s">
        <v>29</v>
      </c>
      <c r="D1120" s="24">
        <v>18</v>
      </c>
      <c r="E1120" s="24">
        <v>10</v>
      </c>
      <c r="F1120" s="27">
        <v>180</v>
      </c>
      <c r="G1120" s="26" t="s">
        <v>22</v>
      </c>
    </row>
    <row r="1121" spans="1:7" x14ac:dyDescent="0.25">
      <c r="A1121" s="24">
        <v>10418</v>
      </c>
      <c r="B1121" s="25">
        <v>44159</v>
      </c>
      <c r="C1121" s="26" t="s">
        <v>29</v>
      </c>
      <c r="D1121" s="24">
        <v>55</v>
      </c>
      <c r="E1121" s="24">
        <v>1</v>
      </c>
      <c r="F1121" s="27">
        <v>55</v>
      </c>
      <c r="G1121" s="26" t="s">
        <v>22</v>
      </c>
    </row>
    <row r="1122" spans="1:7" x14ac:dyDescent="0.25">
      <c r="A1122" s="24">
        <v>10419</v>
      </c>
      <c r="B1122" s="25">
        <v>44161</v>
      </c>
      <c r="C1122" s="26" t="s">
        <v>29</v>
      </c>
      <c r="D1122" s="24">
        <v>123.79</v>
      </c>
      <c r="E1122" s="24">
        <v>36</v>
      </c>
      <c r="F1122" s="27">
        <v>4456.4399999999996</v>
      </c>
      <c r="G1122" s="26" t="s">
        <v>25</v>
      </c>
    </row>
    <row r="1123" spans="1:7" x14ac:dyDescent="0.25">
      <c r="A1123" s="24">
        <v>10419</v>
      </c>
      <c r="B1123" s="25">
        <v>44161</v>
      </c>
      <c r="C1123" s="26" t="s">
        <v>29</v>
      </c>
      <c r="D1123" s="24">
        <v>21.05</v>
      </c>
      <c r="E1123" s="24">
        <v>10</v>
      </c>
      <c r="F1123" s="27">
        <v>210.5</v>
      </c>
      <c r="G1123" s="26" t="s">
        <v>25</v>
      </c>
    </row>
    <row r="1124" spans="1:7" x14ac:dyDescent="0.25">
      <c r="A1124" s="24">
        <v>10420</v>
      </c>
      <c r="B1124" s="25">
        <v>44161</v>
      </c>
      <c r="C1124" s="26" t="s">
        <v>29</v>
      </c>
      <c r="D1124" s="24">
        <v>21.5</v>
      </c>
      <c r="E1124" s="24">
        <v>14</v>
      </c>
      <c r="F1124" s="27">
        <v>301</v>
      </c>
      <c r="G1124" s="26" t="s">
        <v>22</v>
      </c>
    </row>
    <row r="1125" spans="1:7" x14ac:dyDescent="0.25">
      <c r="A1125" s="24">
        <v>10423</v>
      </c>
      <c r="B1125" s="25">
        <v>44169</v>
      </c>
      <c r="C1125" s="26" t="s">
        <v>29</v>
      </c>
      <c r="D1125" s="24">
        <v>7.75</v>
      </c>
      <c r="E1125" s="24">
        <v>25</v>
      </c>
      <c r="F1125" s="27">
        <v>193.75</v>
      </c>
      <c r="G1125" s="26" t="s">
        <v>26</v>
      </c>
    </row>
    <row r="1126" spans="1:7" x14ac:dyDescent="0.25">
      <c r="A1126" s="24">
        <v>10423</v>
      </c>
      <c r="B1126" s="25">
        <v>44169</v>
      </c>
      <c r="C1126" s="26" t="s">
        <v>29</v>
      </c>
      <c r="D1126" s="24">
        <v>9</v>
      </c>
      <c r="E1126" s="24">
        <v>32</v>
      </c>
      <c r="F1126" s="27">
        <v>288</v>
      </c>
      <c r="G1126" s="26" t="s">
        <v>26</v>
      </c>
    </row>
    <row r="1127" spans="1:7" x14ac:dyDescent="0.25">
      <c r="A1127" s="24">
        <v>10423</v>
      </c>
      <c r="B1127" s="25">
        <v>44169</v>
      </c>
      <c r="C1127" s="26" t="s">
        <v>29</v>
      </c>
      <c r="D1127" s="24">
        <v>12</v>
      </c>
      <c r="E1127" s="24">
        <v>60</v>
      </c>
      <c r="F1127" s="27">
        <v>720</v>
      </c>
      <c r="G1127" s="26" t="s">
        <v>26</v>
      </c>
    </row>
    <row r="1128" spans="1:7" x14ac:dyDescent="0.25">
      <c r="A1128" s="24">
        <v>10424</v>
      </c>
      <c r="B1128" s="25">
        <v>44171</v>
      </c>
      <c r="C1128" s="26" t="s">
        <v>29</v>
      </c>
      <c r="D1128" s="24">
        <v>49.3</v>
      </c>
      <c r="E1128" s="24">
        <v>10</v>
      </c>
      <c r="F1128" s="27">
        <v>493</v>
      </c>
      <c r="G1128" s="26" t="s">
        <v>22</v>
      </c>
    </row>
    <row r="1129" spans="1:7" x14ac:dyDescent="0.25">
      <c r="A1129" s="24">
        <v>10424</v>
      </c>
      <c r="B1129" s="25">
        <v>44171</v>
      </c>
      <c r="C1129" s="26" t="s">
        <v>29</v>
      </c>
      <c r="D1129" s="24">
        <v>21.05</v>
      </c>
      <c r="E1129" s="24">
        <v>12</v>
      </c>
      <c r="F1129" s="27">
        <v>252.6</v>
      </c>
      <c r="G1129" s="26" t="s">
        <v>22</v>
      </c>
    </row>
    <row r="1130" spans="1:7" x14ac:dyDescent="0.25">
      <c r="A1130" s="24">
        <v>10424</v>
      </c>
      <c r="B1130" s="25">
        <v>44171</v>
      </c>
      <c r="C1130" s="26" t="s">
        <v>29</v>
      </c>
      <c r="D1130" s="24">
        <v>17.45</v>
      </c>
      <c r="E1130" s="24">
        <v>10</v>
      </c>
      <c r="F1130" s="27">
        <v>174.5</v>
      </c>
      <c r="G1130" s="26" t="s">
        <v>22</v>
      </c>
    </row>
    <row r="1131" spans="1:7" x14ac:dyDescent="0.25">
      <c r="A1131" s="24">
        <v>10425</v>
      </c>
      <c r="B1131" s="25">
        <v>44171</v>
      </c>
      <c r="C1131" s="26" t="s">
        <v>29</v>
      </c>
      <c r="D1131" s="24">
        <v>263.5</v>
      </c>
      <c r="E1131" s="24">
        <v>15</v>
      </c>
      <c r="F1131" s="27">
        <v>3952.5</v>
      </c>
      <c r="G1131" s="26" t="s">
        <v>23</v>
      </c>
    </row>
    <row r="1132" spans="1:7" x14ac:dyDescent="0.25">
      <c r="A1132" s="24">
        <v>10425</v>
      </c>
      <c r="B1132" s="25">
        <v>44171</v>
      </c>
      <c r="C1132" s="26" t="s">
        <v>29</v>
      </c>
      <c r="D1132" s="24">
        <v>21.5</v>
      </c>
      <c r="E1132" s="24">
        <v>12</v>
      </c>
      <c r="F1132" s="27">
        <v>258</v>
      </c>
      <c r="G1132" s="26" t="s">
        <v>23</v>
      </c>
    </row>
    <row r="1133" spans="1:7" x14ac:dyDescent="0.25">
      <c r="A1133" s="24">
        <v>10426</v>
      </c>
      <c r="B1133" s="25">
        <v>44173</v>
      </c>
      <c r="C1133" s="26" t="s">
        <v>29</v>
      </c>
      <c r="D1133" s="24">
        <v>46</v>
      </c>
      <c r="E1133" s="24">
        <v>6</v>
      </c>
      <c r="F1133" s="27">
        <v>276</v>
      </c>
      <c r="G1133" s="26" t="s">
        <v>22</v>
      </c>
    </row>
    <row r="1134" spans="1:7" x14ac:dyDescent="0.25">
      <c r="A1134" s="24">
        <v>10426</v>
      </c>
      <c r="B1134" s="25">
        <v>44173</v>
      </c>
      <c r="C1134" s="26" t="s">
        <v>29</v>
      </c>
      <c r="D1134" s="24">
        <v>17.45</v>
      </c>
      <c r="E1134" s="24">
        <v>3</v>
      </c>
      <c r="F1134" s="27">
        <v>52.35</v>
      </c>
      <c r="G1134" s="26" t="s">
        <v>22</v>
      </c>
    </row>
    <row r="1135" spans="1:7" x14ac:dyDescent="0.25">
      <c r="A1135" s="24">
        <v>10426</v>
      </c>
      <c r="B1135" s="25">
        <v>44173</v>
      </c>
      <c r="C1135" s="26" t="s">
        <v>29</v>
      </c>
      <c r="D1135" s="24">
        <v>14</v>
      </c>
      <c r="E1135" s="24">
        <v>6</v>
      </c>
      <c r="F1135" s="27">
        <v>84</v>
      </c>
      <c r="G1135" s="26" t="s">
        <v>22</v>
      </c>
    </row>
    <row r="1136" spans="1:7" x14ac:dyDescent="0.25">
      <c r="A1136" s="24">
        <v>10430</v>
      </c>
      <c r="B1136" s="25">
        <v>44181</v>
      </c>
      <c r="C1136" s="26" t="s">
        <v>29</v>
      </c>
      <c r="D1136" s="24">
        <v>2.5</v>
      </c>
      <c r="E1136" s="24">
        <v>8</v>
      </c>
      <c r="F1136" s="27">
        <v>20</v>
      </c>
      <c r="G1136" s="26" t="s">
        <v>22</v>
      </c>
    </row>
    <row r="1137" spans="1:7" x14ac:dyDescent="0.25">
      <c r="A1137" s="24">
        <v>10430</v>
      </c>
      <c r="B1137" s="25">
        <v>44181</v>
      </c>
      <c r="C1137" s="26" t="s">
        <v>29</v>
      </c>
      <c r="D1137" s="24">
        <v>31.23</v>
      </c>
      <c r="E1137" s="24">
        <v>30</v>
      </c>
      <c r="F1137" s="27">
        <v>936.9</v>
      </c>
      <c r="G1137" s="26" t="s">
        <v>22</v>
      </c>
    </row>
    <row r="1138" spans="1:7" x14ac:dyDescent="0.25">
      <c r="A1138" s="24">
        <v>10431</v>
      </c>
      <c r="B1138" s="25">
        <v>44183</v>
      </c>
      <c r="C1138" s="26" t="s">
        <v>29</v>
      </c>
      <c r="D1138" s="24">
        <v>38</v>
      </c>
      <c r="E1138" s="24">
        <v>100</v>
      </c>
      <c r="F1138" s="27">
        <v>3800</v>
      </c>
      <c r="G1138" s="26" t="s">
        <v>22</v>
      </c>
    </row>
    <row r="1139" spans="1:7" x14ac:dyDescent="0.25">
      <c r="A1139" s="24">
        <v>10431</v>
      </c>
      <c r="B1139" s="25">
        <v>44183</v>
      </c>
      <c r="C1139" s="26" t="s">
        <v>29</v>
      </c>
      <c r="D1139" s="24">
        <v>2.5</v>
      </c>
      <c r="E1139" s="24">
        <v>30</v>
      </c>
      <c r="F1139" s="27">
        <v>75</v>
      </c>
      <c r="G1139" s="26" t="s">
        <v>22</v>
      </c>
    </row>
    <row r="1140" spans="1:7" x14ac:dyDescent="0.25">
      <c r="A1140" s="24">
        <v>10431</v>
      </c>
      <c r="B1140" s="25">
        <v>44183</v>
      </c>
      <c r="C1140" s="26" t="s">
        <v>29</v>
      </c>
      <c r="D1140" s="24">
        <v>9.65</v>
      </c>
      <c r="E1140" s="24">
        <v>120</v>
      </c>
      <c r="F1140" s="27">
        <v>1158</v>
      </c>
      <c r="G1140" s="26" t="s">
        <v>22</v>
      </c>
    </row>
    <row r="1141" spans="1:7" x14ac:dyDescent="0.25">
      <c r="A1141" s="24">
        <v>10431</v>
      </c>
      <c r="B1141" s="25">
        <v>44183</v>
      </c>
      <c r="C1141" s="26" t="s">
        <v>29</v>
      </c>
      <c r="D1141" s="24">
        <v>7.45</v>
      </c>
      <c r="E1141" s="24">
        <v>30</v>
      </c>
      <c r="F1141" s="27">
        <v>223.5</v>
      </c>
      <c r="G1141" s="26" t="s">
        <v>22</v>
      </c>
    </row>
    <row r="1142" spans="1:7" x14ac:dyDescent="0.25">
      <c r="A1142" s="24">
        <v>10432</v>
      </c>
      <c r="B1142" s="25">
        <v>44183</v>
      </c>
      <c r="C1142" s="26" t="s">
        <v>29</v>
      </c>
      <c r="D1142" s="24">
        <v>55</v>
      </c>
      <c r="E1142" s="24">
        <v>12</v>
      </c>
      <c r="F1142" s="27">
        <v>660</v>
      </c>
      <c r="G1142" s="26" t="s">
        <v>23</v>
      </c>
    </row>
    <row r="1143" spans="1:7" x14ac:dyDescent="0.25">
      <c r="A1143" s="24">
        <v>10433</v>
      </c>
      <c r="B1143" s="25">
        <v>44185</v>
      </c>
      <c r="C1143" s="26" t="s">
        <v>29</v>
      </c>
      <c r="D1143" s="24">
        <v>12.5</v>
      </c>
      <c r="E1143" s="24">
        <v>20</v>
      </c>
      <c r="F1143" s="27">
        <v>250</v>
      </c>
      <c r="G1143" s="26" t="s">
        <v>22</v>
      </c>
    </row>
    <row r="1144" spans="1:7" x14ac:dyDescent="0.25">
      <c r="A1144" s="24">
        <v>10435</v>
      </c>
      <c r="B1144" s="25">
        <v>44187</v>
      </c>
      <c r="C1144" s="26" t="s">
        <v>29</v>
      </c>
      <c r="D1144" s="24">
        <v>17</v>
      </c>
      <c r="E1144" s="24">
        <v>4</v>
      </c>
      <c r="F1144" s="27">
        <v>68</v>
      </c>
      <c r="G1144" s="26" t="s">
        <v>22</v>
      </c>
    </row>
    <row r="1145" spans="1:7" x14ac:dyDescent="0.25">
      <c r="A1145" s="24">
        <v>10436</v>
      </c>
      <c r="B1145" s="25">
        <v>44189</v>
      </c>
      <c r="C1145" s="26" t="s">
        <v>29</v>
      </c>
      <c r="D1145" s="24">
        <v>7</v>
      </c>
      <c r="E1145" s="24">
        <v>9</v>
      </c>
      <c r="F1145" s="27">
        <v>63</v>
      </c>
      <c r="G1145" s="26" t="s">
        <v>22</v>
      </c>
    </row>
    <row r="1146" spans="1:7" x14ac:dyDescent="0.25">
      <c r="A1146" s="24">
        <v>10437</v>
      </c>
      <c r="B1146" s="25">
        <v>44189</v>
      </c>
      <c r="C1146" s="26" t="s">
        <v>29</v>
      </c>
      <c r="D1146" s="24">
        <v>9.5</v>
      </c>
      <c r="E1146" s="24">
        <v>40</v>
      </c>
      <c r="F1146" s="27">
        <v>380</v>
      </c>
      <c r="G1146" s="26" t="s">
        <v>27</v>
      </c>
    </row>
    <row r="1147" spans="1:7" x14ac:dyDescent="0.25">
      <c r="A1147" s="24">
        <v>10437</v>
      </c>
      <c r="B1147" s="25">
        <v>44189</v>
      </c>
      <c r="C1147" s="26" t="s">
        <v>29</v>
      </c>
      <c r="D1147" s="24">
        <v>18.399999999999999</v>
      </c>
      <c r="E1147" s="24">
        <v>20</v>
      </c>
      <c r="F1147" s="27">
        <v>368</v>
      </c>
      <c r="G1147" s="26" t="s">
        <v>27</v>
      </c>
    </row>
    <row r="1148" spans="1:7" x14ac:dyDescent="0.25">
      <c r="A1148" s="24">
        <v>10437</v>
      </c>
      <c r="B1148" s="25">
        <v>44189</v>
      </c>
      <c r="C1148" s="26" t="s">
        <v>29</v>
      </c>
      <c r="D1148" s="24">
        <v>34</v>
      </c>
      <c r="E1148" s="24">
        <v>30</v>
      </c>
      <c r="F1148" s="27">
        <v>1020</v>
      </c>
      <c r="G1148" s="26" t="s">
        <v>27</v>
      </c>
    </row>
    <row r="1149" spans="1:7" x14ac:dyDescent="0.25">
      <c r="A1149" s="24">
        <v>10438</v>
      </c>
      <c r="B1149" s="25">
        <v>44195</v>
      </c>
      <c r="C1149" s="26" t="s">
        <v>29</v>
      </c>
      <c r="D1149" s="24">
        <v>9.65</v>
      </c>
      <c r="E1149" s="24">
        <v>4</v>
      </c>
      <c r="F1149" s="27">
        <v>38.6</v>
      </c>
      <c r="G1149" s="26" t="s">
        <v>23</v>
      </c>
    </row>
    <row r="1150" spans="1:7" x14ac:dyDescent="0.25">
      <c r="A1150" s="24">
        <v>10438</v>
      </c>
      <c r="B1150" s="25">
        <v>44195</v>
      </c>
      <c r="C1150" s="26" t="s">
        <v>29</v>
      </c>
      <c r="D1150" s="24">
        <v>9.5</v>
      </c>
      <c r="E1150" s="24">
        <v>15</v>
      </c>
      <c r="F1150" s="27">
        <v>142.5</v>
      </c>
      <c r="G1150" s="26" t="s">
        <v>23</v>
      </c>
    </row>
    <row r="1151" spans="1:7" x14ac:dyDescent="0.25">
      <c r="A1151" s="24">
        <v>10438</v>
      </c>
      <c r="B1151" s="25">
        <v>44195</v>
      </c>
      <c r="C1151" s="26" t="s">
        <v>29</v>
      </c>
      <c r="D1151" s="24">
        <v>31</v>
      </c>
      <c r="E1151" s="24">
        <v>20</v>
      </c>
      <c r="F1151" s="27">
        <v>620</v>
      </c>
      <c r="G1151" s="26" t="s">
        <v>23</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E12" sqref="E12"/>
    </sheetView>
  </sheetViews>
  <sheetFormatPr defaultColWidth="9" defaultRowHeight="14.4" x14ac:dyDescent="0.25"/>
  <cols>
    <col min="1" max="2" width="7.19921875" style="1" bestFit="1" customWidth="1"/>
    <col min="3" max="3" width="11.09765625" style="1" bestFit="1" customWidth="1"/>
    <col min="4" max="4" width="17.3984375" style="1" bestFit="1" customWidth="1"/>
    <col min="5" max="16384" width="9" style="1"/>
  </cols>
  <sheetData>
    <row r="1" spans="1:3" x14ac:dyDescent="0.25">
      <c r="A1" s="53" t="s">
        <v>53</v>
      </c>
      <c r="B1" s="53" t="s">
        <v>54</v>
      </c>
      <c r="C1" s="53" t="s">
        <v>60</v>
      </c>
    </row>
    <row r="2" spans="1:3" x14ac:dyDescent="0.25">
      <c r="A2" s="1" t="s">
        <v>25</v>
      </c>
      <c r="B2" s="1" t="s">
        <v>55</v>
      </c>
      <c r="C2" s="53">
        <v>22</v>
      </c>
    </row>
    <row r="3" spans="1:3" x14ac:dyDescent="0.25">
      <c r="A3" s="1" t="s">
        <v>25</v>
      </c>
      <c r="B3" s="1" t="s">
        <v>56</v>
      </c>
      <c r="C3" s="53">
        <v>142</v>
      </c>
    </row>
    <row r="4" spans="1:3" x14ac:dyDescent="0.25">
      <c r="A4" s="1" t="s">
        <v>25</v>
      </c>
      <c r="B4" s="1" t="s">
        <v>57</v>
      </c>
      <c r="C4" s="53">
        <v>11</v>
      </c>
    </row>
    <row r="5" spans="1:3" x14ac:dyDescent="0.25">
      <c r="A5" s="1" t="s">
        <v>27</v>
      </c>
      <c r="B5" s="1" t="s">
        <v>58</v>
      </c>
      <c r="C5" s="53">
        <v>3</v>
      </c>
    </row>
    <row r="6" spans="1:3" x14ac:dyDescent="0.25">
      <c r="A6" s="1" t="s">
        <v>27</v>
      </c>
      <c r="B6" s="1" t="s">
        <v>59</v>
      </c>
      <c r="C6" s="53">
        <v>88</v>
      </c>
    </row>
  </sheetData>
  <phoneticPr fontId="18"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599"/>
  <sheetViews>
    <sheetView workbookViewId="0">
      <selection activeCell="H15" sqref="H15"/>
    </sheetView>
  </sheetViews>
  <sheetFormatPr defaultColWidth="9" defaultRowHeight="15" x14ac:dyDescent="0.25"/>
  <cols>
    <col min="1" max="1" width="14.796875" style="28" bestFit="1" customWidth="1"/>
    <col min="2" max="5" width="9.3984375" style="29" bestFit="1" customWidth="1"/>
    <col min="6" max="6" width="11.69921875" style="29" bestFit="1" customWidth="1"/>
    <col min="7" max="7" width="10.3984375" style="29" bestFit="1" customWidth="1"/>
    <col min="8" max="8" width="10.19921875" style="29" bestFit="1" customWidth="1"/>
    <col min="9" max="9" width="9.09765625" style="29" bestFit="1" customWidth="1"/>
    <col min="10" max="10" width="10.3984375" style="29" bestFit="1" customWidth="1"/>
    <col min="11" max="12" width="9.09765625" style="29" bestFit="1" customWidth="1"/>
    <col min="13" max="13" width="10.3984375" style="29" bestFit="1" customWidth="1"/>
    <col min="14" max="14" width="7.69921875" style="29" bestFit="1" customWidth="1"/>
    <col min="15" max="15" width="7.3984375" style="29" bestFit="1" customWidth="1"/>
    <col min="16" max="16" width="9.09765625" style="29" bestFit="1" customWidth="1"/>
    <col min="17" max="17" width="10.5" style="29" bestFit="1" customWidth="1"/>
    <col min="18" max="18" width="7.69921875" style="29" bestFit="1" customWidth="1"/>
    <col min="19" max="19" width="7.3984375" style="29" bestFit="1" customWidth="1"/>
    <col min="20" max="20" width="10.3984375" style="29" bestFit="1" customWidth="1"/>
    <col min="21" max="21" width="7.69921875" style="29" bestFit="1" customWidth="1"/>
    <col min="22" max="22" width="8" style="29" bestFit="1" customWidth="1"/>
    <col min="23" max="23" width="9.09765625" style="29" bestFit="1" customWidth="1"/>
    <col min="24" max="24" width="10.69921875" style="29" bestFit="1" customWidth="1"/>
    <col min="25" max="25" width="9.5" style="29" bestFit="1" customWidth="1"/>
    <col min="26" max="26" width="12.796875" style="29" bestFit="1" customWidth="1"/>
    <col min="27" max="27" width="10.19921875" style="29" bestFit="1" customWidth="1"/>
    <col min="28" max="16384" width="9" style="29"/>
  </cols>
  <sheetData>
    <row r="1" spans="1:27" ht="15.6" x14ac:dyDescent="0.25">
      <c r="A1" s="54" t="s">
        <v>30</v>
      </c>
      <c r="B1" t="s">
        <v>63</v>
      </c>
      <c r="C1"/>
    </row>
    <row r="2" spans="1:27" ht="15.6" x14ac:dyDescent="0.25">
      <c r="A2"/>
      <c r="B2"/>
      <c r="C2"/>
    </row>
    <row r="3" spans="1:27" ht="15.6" x14ac:dyDescent="0.25">
      <c r="A3" s="54" t="s">
        <v>65</v>
      </c>
      <c r="B3" s="54" t="s">
        <v>64</v>
      </c>
      <c r="C3" s="54" t="s">
        <v>66</v>
      </c>
      <c r="D3"/>
      <c r="E3"/>
      <c r="F3"/>
      <c r="G3"/>
      <c r="H3"/>
      <c r="I3"/>
      <c r="J3"/>
      <c r="K3"/>
      <c r="L3"/>
      <c r="M3"/>
      <c r="N3"/>
      <c r="O3"/>
      <c r="P3"/>
      <c r="Q3"/>
      <c r="R3"/>
      <c r="S3"/>
      <c r="T3"/>
      <c r="U3"/>
      <c r="V3"/>
      <c r="W3"/>
      <c r="X3"/>
      <c r="Y3"/>
      <c r="Z3"/>
      <c r="AA3"/>
    </row>
    <row r="4" spans="1:27" ht="15.6" x14ac:dyDescent="0.25">
      <c r="A4"/>
      <c r="B4" t="s">
        <v>22</v>
      </c>
      <c r="C4"/>
      <c r="D4" t="s">
        <v>23</v>
      </c>
      <c r="E4"/>
      <c r="F4"/>
      <c r="G4"/>
      <c r="H4"/>
      <c r="I4"/>
      <c r="J4"/>
      <c r="K4"/>
      <c r="L4"/>
      <c r="M4"/>
      <c r="N4"/>
      <c r="O4"/>
      <c r="P4"/>
      <c r="Q4"/>
      <c r="R4"/>
      <c r="S4"/>
      <c r="T4"/>
      <c r="U4"/>
      <c r="V4"/>
      <c r="W4"/>
      <c r="X4"/>
      <c r="Y4"/>
      <c r="Z4"/>
      <c r="AA4"/>
    </row>
    <row r="5" spans="1:27" ht="15.6" x14ac:dyDescent="0.25">
      <c r="A5" s="54" t="s">
        <v>61</v>
      </c>
      <c r="B5" t="s">
        <v>21</v>
      </c>
      <c r="C5" t="s">
        <v>29</v>
      </c>
      <c r="D5" t="s">
        <v>21</v>
      </c>
      <c r="E5" t="s">
        <v>29</v>
      </c>
      <c r="F5"/>
      <c r="G5"/>
      <c r="H5"/>
      <c r="I5"/>
      <c r="J5"/>
      <c r="K5"/>
      <c r="L5"/>
      <c r="M5"/>
      <c r="N5"/>
      <c r="O5"/>
      <c r="P5"/>
      <c r="Q5"/>
      <c r="R5"/>
      <c r="S5"/>
      <c r="T5"/>
      <c r="U5"/>
      <c r="V5"/>
      <c r="W5"/>
      <c r="X5"/>
      <c r="Y5"/>
      <c r="Z5"/>
      <c r="AA5"/>
    </row>
    <row r="6" spans="1:27" ht="15.6" x14ac:dyDescent="0.25">
      <c r="A6" t="s">
        <v>67</v>
      </c>
      <c r="B6" s="56">
        <v>8752.7000000000007</v>
      </c>
      <c r="C6" s="56">
        <v>42967.3</v>
      </c>
      <c r="D6" s="56">
        <v>7807.6</v>
      </c>
      <c r="E6" s="56">
        <v>31118.800000000003</v>
      </c>
      <c r="F6"/>
      <c r="G6"/>
      <c r="H6"/>
      <c r="I6"/>
      <c r="J6"/>
      <c r="K6"/>
      <c r="L6"/>
      <c r="M6"/>
      <c r="N6"/>
      <c r="O6"/>
      <c r="P6"/>
      <c r="Q6"/>
      <c r="R6"/>
      <c r="S6"/>
      <c r="T6"/>
      <c r="U6"/>
      <c r="V6"/>
      <c r="W6"/>
      <c r="X6"/>
      <c r="Y6"/>
      <c r="Z6"/>
      <c r="AA6"/>
    </row>
    <row r="7" spans="1:27" ht="15.6" x14ac:dyDescent="0.25">
      <c r="A7" t="s">
        <v>68</v>
      </c>
      <c r="B7" s="56">
        <v>10725.2</v>
      </c>
      <c r="C7" s="56">
        <v>40673.599999999999</v>
      </c>
      <c r="D7" s="56">
        <v>3465</v>
      </c>
      <c r="E7" s="56">
        <v>3014</v>
      </c>
      <c r="F7"/>
      <c r="G7"/>
      <c r="H7"/>
      <c r="I7"/>
      <c r="J7"/>
      <c r="K7"/>
      <c r="L7"/>
      <c r="M7"/>
      <c r="N7"/>
      <c r="O7"/>
      <c r="P7"/>
      <c r="Q7"/>
      <c r="R7"/>
      <c r="S7"/>
      <c r="T7"/>
      <c r="U7"/>
      <c r="V7"/>
      <c r="W7"/>
      <c r="X7"/>
      <c r="Y7"/>
      <c r="Z7"/>
      <c r="AA7"/>
    </row>
    <row r="8" spans="1:27" ht="15.6" x14ac:dyDescent="0.25">
      <c r="A8" t="s">
        <v>62</v>
      </c>
      <c r="B8" s="56">
        <v>19477.900000000001</v>
      </c>
      <c r="C8" s="56">
        <v>83640.899999999994</v>
      </c>
      <c r="D8" s="56">
        <v>11272.6</v>
      </c>
      <c r="E8" s="56">
        <v>34132.800000000003</v>
      </c>
      <c r="F8"/>
      <c r="G8"/>
      <c r="H8"/>
      <c r="I8"/>
      <c r="J8"/>
      <c r="K8"/>
      <c r="L8"/>
      <c r="M8"/>
      <c r="N8"/>
      <c r="O8"/>
      <c r="P8"/>
      <c r="Q8"/>
      <c r="R8"/>
      <c r="S8"/>
      <c r="T8"/>
      <c r="U8"/>
      <c r="V8"/>
      <c r="W8"/>
      <c r="X8"/>
      <c r="Y8"/>
      <c r="Z8"/>
      <c r="AA8"/>
    </row>
    <row r="9" spans="1:27" ht="15.6" x14ac:dyDescent="0.25">
      <c r="A9"/>
      <c r="B9"/>
      <c r="C9"/>
      <c r="D9"/>
      <c r="E9"/>
      <c r="F9"/>
      <c r="G9"/>
      <c r="H9"/>
      <c r="I9"/>
      <c r="J9"/>
      <c r="K9"/>
      <c r="L9"/>
      <c r="M9"/>
      <c r="N9"/>
      <c r="O9"/>
      <c r="P9"/>
      <c r="Q9"/>
      <c r="R9"/>
      <c r="S9"/>
      <c r="T9"/>
      <c r="U9"/>
      <c r="V9"/>
      <c r="W9"/>
      <c r="X9"/>
      <c r="Y9"/>
      <c r="Z9"/>
      <c r="AA9"/>
    </row>
    <row r="10" spans="1:27" ht="15.6" x14ac:dyDescent="0.25">
      <c r="A10"/>
      <c r="B10"/>
      <c r="C10"/>
      <c r="D10"/>
      <c r="E10"/>
      <c r="F10"/>
      <c r="G10"/>
      <c r="H10"/>
      <c r="I10"/>
      <c r="J10"/>
      <c r="K10"/>
      <c r="L10"/>
      <c r="M10"/>
      <c r="N10"/>
      <c r="O10"/>
      <c r="P10"/>
      <c r="Q10"/>
      <c r="R10"/>
      <c r="S10"/>
      <c r="T10"/>
      <c r="U10"/>
      <c r="V10"/>
      <c r="W10"/>
      <c r="X10"/>
      <c r="Y10"/>
      <c r="Z10"/>
      <c r="AA10"/>
    </row>
    <row r="11" spans="1:27" ht="15.6" x14ac:dyDescent="0.25">
      <c r="A11"/>
      <c r="B11"/>
      <c r="C11"/>
      <c r="D11"/>
      <c r="E11"/>
      <c r="F11"/>
      <c r="G11"/>
      <c r="H11"/>
      <c r="I11"/>
      <c r="J11"/>
      <c r="K11"/>
      <c r="L11"/>
      <c r="M11"/>
      <c r="N11"/>
      <c r="O11"/>
      <c r="P11"/>
      <c r="Q11"/>
      <c r="R11"/>
      <c r="S11"/>
      <c r="T11"/>
      <c r="U11"/>
      <c r="V11"/>
      <c r="W11"/>
      <c r="X11"/>
      <c r="Y11"/>
      <c r="Z11"/>
      <c r="AA11"/>
    </row>
    <row r="12" spans="1:27" ht="15.6" x14ac:dyDescent="0.25">
      <c r="A12"/>
      <c r="B12"/>
      <c r="C12"/>
      <c r="D12"/>
      <c r="E12"/>
      <c r="F12"/>
      <c r="G12"/>
      <c r="H12"/>
      <c r="I12"/>
      <c r="J12"/>
      <c r="K12"/>
      <c r="L12"/>
      <c r="M12"/>
      <c r="N12"/>
      <c r="O12"/>
      <c r="P12"/>
      <c r="Q12"/>
      <c r="R12"/>
      <c r="S12"/>
      <c r="T12"/>
      <c r="U12"/>
      <c r="V12"/>
      <c r="W12"/>
      <c r="X12"/>
      <c r="Y12"/>
      <c r="Z12"/>
      <c r="AA12"/>
    </row>
    <row r="13" spans="1:27" ht="15.6" x14ac:dyDescent="0.25">
      <c r="A13"/>
      <c r="B13"/>
      <c r="C13"/>
      <c r="D13"/>
      <c r="E13"/>
      <c r="F13"/>
      <c r="G13"/>
      <c r="H13"/>
      <c r="I13"/>
      <c r="J13"/>
      <c r="K13"/>
      <c r="L13"/>
      <c r="M13"/>
      <c r="N13"/>
      <c r="O13"/>
      <c r="P13"/>
      <c r="Q13"/>
      <c r="R13"/>
      <c r="S13"/>
      <c r="T13"/>
      <c r="U13"/>
      <c r="V13"/>
      <c r="W13"/>
      <c r="X13"/>
      <c r="Y13"/>
      <c r="Z13"/>
      <c r="AA13"/>
    </row>
    <row r="14" spans="1:27" ht="15.6" x14ac:dyDescent="0.25">
      <c r="A14"/>
      <c r="B14"/>
      <c r="C14"/>
      <c r="D14"/>
      <c r="E14"/>
      <c r="F14"/>
      <c r="G14"/>
      <c r="H14"/>
      <c r="I14"/>
      <c r="J14"/>
      <c r="K14"/>
      <c r="L14"/>
      <c r="M14"/>
      <c r="N14"/>
      <c r="O14"/>
      <c r="P14"/>
      <c r="Q14"/>
      <c r="R14"/>
      <c r="S14"/>
      <c r="T14"/>
      <c r="U14"/>
      <c r="V14"/>
      <c r="W14"/>
      <c r="X14"/>
      <c r="Y14"/>
      <c r="Z14"/>
      <c r="AA14"/>
    </row>
    <row r="15" spans="1:27" ht="15.6" x14ac:dyDescent="0.25">
      <c r="A15"/>
      <c r="B15"/>
      <c r="C15"/>
      <c r="D15"/>
      <c r="E15"/>
      <c r="F15"/>
      <c r="G15"/>
      <c r="H15"/>
      <c r="I15"/>
      <c r="J15"/>
      <c r="K15"/>
      <c r="L15"/>
      <c r="M15"/>
      <c r="N15"/>
      <c r="O15"/>
      <c r="P15"/>
      <c r="Q15"/>
      <c r="R15"/>
      <c r="S15"/>
      <c r="T15"/>
      <c r="U15"/>
      <c r="V15"/>
      <c r="W15"/>
      <c r="X15"/>
      <c r="Y15"/>
      <c r="Z15"/>
      <c r="AA15"/>
    </row>
    <row r="16" spans="1:27" ht="15.6" x14ac:dyDescent="0.25">
      <c r="A16"/>
      <c r="B16"/>
      <c r="C16"/>
      <c r="D16"/>
      <c r="E16"/>
      <c r="F16"/>
      <c r="G16"/>
      <c r="H16"/>
      <c r="I16"/>
      <c r="J16"/>
      <c r="K16"/>
      <c r="L16"/>
      <c r="M16"/>
      <c r="N16"/>
      <c r="O16"/>
      <c r="P16"/>
      <c r="Q16"/>
      <c r="R16"/>
      <c r="S16"/>
      <c r="T16"/>
      <c r="U16"/>
      <c r="V16"/>
      <c r="W16"/>
      <c r="X16"/>
      <c r="Y16"/>
      <c r="Z16"/>
      <c r="AA16"/>
    </row>
    <row r="17" spans="1:27" ht="15.6" x14ac:dyDescent="0.25">
      <c r="A17"/>
      <c r="B17"/>
      <c r="C17"/>
      <c r="D17"/>
      <c r="E17"/>
      <c r="F17"/>
      <c r="G17"/>
      <c r="H17"/>
      <c r="I17"/>
      <c r="J17"/>
      <c r="K17"/>
      <c r="L17"/>
      <c r="M17"/>
      <c r="N17"/>
      <c r="O17"/>
      <c r="P17"/>
      <c r="Q17"/>
      <c r="R17"/>
      <c r="S17"/>
      <c r="T17"/>
      <c r="U17"/>
      <c r="V17"/>
      <c r="W17"/>
      <c r="X17"/>
      <c r="Y17"/>
      <c r="Z17"/>
      <c r="AA17"/>
    </row>
    <row r="18" spans="1:27" ht="15.6" x14ac:dyDescent="0.25">
      <c r="A18"/>
      <c r="B18"/>
      <c r="C18"/>
      <c r="D18"/>
      <c r="E18"/>
      <c r="F18"/>
      <c r="G18"/>
      <c r="H18"/>
      <c r="I18"/>
      <c r="J18"/>
      <c r="K18"/>
      <c r="L18"/>
      <c r="M18"/>
      <c r="N18"/>
      <c r="O18"/>
      <c r="P18"/>
      <c r="Q18"/>
      <c r="R18"/>
      <c r="S18"/>
      <c r="T18"/>
      <c r="U18"/>
      <c r="V18"/>
      <c r="W18"/>
      <c r="X18"/>
      <c r="Y18"/>
      <c r="Z18"/>
      <c r="AA18"/>
    </row>
    <row r="19" spans="1:27" ht="15.6" x14ac:dyDescent="0.25">
      <c r="A19"/>
      <c r="B19"/>
      <c r="C19"/>
      <c r="D19"/>
      <c r="E19"/>
      <c r="F19"/>
      <c r="G19"/>
      <c r="H19"/>
      <c r="I19"/>
      <c r="J19"/>
      <c r="K19"/>
      <c r="L19"/>
      <c r="M19"/>
      <c r="N19"/>
      <c r="O19"/>
      <c r="P19"/>
      <c r="Q19"/>
      <c r="R19"/>
      <c r="S19"/>
      <c r="T19"/>
      <c r="U19"/>
      <c r="V19"/>
      <c r="W19"/>
      <c r="X19"/>
      <c r="Y19"/>
      <c r="Z19"/>
      <c r="AA19"/>
    </row>
    <row r="20" spans="1:27" ht="15.6" x14ac:dyDescent="0.25">
      <c r="A20"/>
      <c r="B20"/>
      <c r="C20"/>
      <c r="D20"/>
      <c r="E20"/>
      <c r="F20"/>
      <c r="G20"/>
      <c r="H20"/>
      <c r="I20"/>
      <c r="J20"/>
      <c r="K20"/>
      <c r="L20"/>
      <c r="M20"/>
      <c r="N20"/>
      <c r="O20"/>
      <c r="P20"/>
      <c r="Q20"/>
      <c r="R20"/>
      <c r="S20"/>
      <c r="T20"/>
      <c r="U20"/>
      <c r="V20"/>
      <c r="W20"/>
      <c r="X20"/>
      <c r="Y20"/>
      <c r="Z20"/>
      <c r="AA20"/>
    </row>
    <row r="21" spans="1:27" ht="15.6" x14ac:dyDescent="0.25">
      <c r="A21"/>
      <c r="B21"/>
      <c r="C21"/>
      <c r="D21"/>
      <c r="E21"/>
      <c r="F21"/>
      <c r="G21"/>
      <c r="H21"/>
      <c r="I21"/>
      <c r="J21"/>
      <c r="K21"/>
      <c r="L21"/>
      <c r="M21"/>
      <c r="N21"/>
      <c r="O21"/>
      <c r="P21"/>
      <c r="Q21"/>
      <c r="R21"/>
      <c r="S21"/>
      <c r="T21"/>
      <c r="U21"/>
      <c r="V21"/>
      <c r="W21"/>
      <c r="X21"/>
      <c r="Y21"/>
      <c r="Z21"/>
      <c r="AA21"/>
    </row>
    <row r="22" spans="1:27" ht="15.6" x14ac:dyDescent="0.25">
      <c r="A22"/>
      <c r="B22"/>
      <c r="C22"/>
      <c r="D22"/>
      <c r="E22"/>
      <c r="F22"/>
      <c r="G22"/>
      <c r="H22"/>
      <c r="I22"/>
      <c r="J22"/>
      <c r="K22"/>
      <c r="L22"/>
      <c r="M22"/>
      <c r="N22"/>
      <c r="O22"/>
      <c r="P22"/>
      <c r="Q22"/>
      <c r="R22"/>
      <c r="S22"/>
      <c r="T22"/>
      <c r="U22"/>
      <c r="V22"/>
      <c r="W22"/>
      <c r="X22"/>
      <c r="Y22"/>
      <c r="Z22"/>
      <c r="AA22"/>
    </row>
    <row r="23" spans="1:27" ht="15.6" x14ac:dyDescent="0.25">
      <c r="A23"/>
      <c r="B23"/>
      <c r="C23"/>
      <c r="D23"/>
      <c r="E23"/>
      <c r="F23"/>
      <c r="G23"/>
      <c r="H23"/>
      <c r="I23"/>
      <c r="J23"/>
      <c r="K23"/>
      <c r="L23"/>
      <c r="M23"/>
      <c r="N23"/>
      <c r="O23"/>
      <c r="P23"/>
      <c r="Q23"/>
      <c r="R23"/>
      <c r="S23"/>
      <c r="T23"/>
      <c r="U23"/>
      <c r="V23"/>
      <c r="W23"/>
      <c r="X23"/>
      <c r="Y23"/>
      <c r="Z23"/>
      <c r="AA23"/>
    </row>
    <row r="24" spans="1:27" ht="15.6" x14ac:dyDescent="0.25">
      <c r="A24"/>
      <c r="B24"/>
      <c r="C24"/>
      <c r="D24"/>
      <c r="E24"/>
      <c r="F24"/>
      <c r="G24"/>
      <c r="H24"/>
      <c r="I24"/>
      <c r="J24"/>
      <c r="K24"/>
      <c r="L24"/>
      <c r="M24"/>
      <c r="N24"/>
      <c r="O24"/>
      <c r="P24"/>
      <c r="Q24"/>
      <c r="R24"/>
      <c r="S24"/>
      <c r="T24"/>
      <c r="U24"/>
      <c r="V24"/>
      <c r="W24"/>
      <c r="X24"/>
      <c r="Y24"/>
      <c r="Z24"/>
      <c r="AA24"/>
    </row>
    <row r="25" spans="1:27" ht="15.6" x14ac:dyDescent="0.25">
      <c r="A25"/>
      <c r="B25"/>
      <c r="C25"/>
      <c r="D25"/>
      <c r="E25"/>
      <c r="F25"/>
      <c r="G25"/>
      <c r="H25"/>
      <c r="I25"/>
      <c r="J25"/>
      <c r="K25"/>
      <c r="L25"/>
      <c r="M25"/>
      <c r="N25"/>
      <c r="O25"/>
      <c r="P25"/>
      <c r="Q25"/>
      <c r="R25"/>
      <c r="S25"/>
      <c r="T25"/>
      <c r="U25"/>
      <c r="V25"/>
      <c r="W25"/>
      <c r="X25"/>
      <c r="Y25"/>
      <c r="Z25"/>
      <c r="AA25"/>
    </row>
    <row r="26" spans="1:27" ht="15.6" x14ac:dyDescent="0.25">
      <c r="A26"/>
      <c r="B26"/>
      <c r="C26"/>
      <c r="D26"/>
      <c r="E26"/>
      <c r="F26"/>
      <c r="G26"/>
      <c r="H26"/>
      <c r="I26"/>
      <c r="J26"/>
      <c r="K26"/>
      <c r="L26"/>
      <c r="M26"/>
      <c r="N26"/>
      <c r="O26"/>
      <c r="P26"/>
      <c r="Q26"/>
      <c r="R26"/>
      <c r="S26"/>
      <c r="T26"/>
      <c r="U26"/>
      <c r="V26"/>
      <c r="W26"/>
      <c r="X26"/>
      <c r="Y26"/>
      <c r="Z26"/>
      <c r="AA26"/>
    </row>
    <row r="27" spans="1:27" ht="15.6" x14ac:dyDescent="0.25">
      <c r="A27"/>
      <c r="B27"/>
      <c r="C27"/>
      <c r="D27"/>
      <c r="E27"/>
      <c r="F27"/>
      <c r="G27"/>
      <c r="H27"/>
      <c r="I27"/>
      <c r="J27"/>
      <c r="K27"/>
      <c r="L27"/>
      <c r="M27"/>
      <c r="N27"/>
      <c r="O27"/>
      <c r="P27"/>
      <c r="Q27"/>
      <c r="R27"/>
      <c r="S27"/>
      <c r="T27"/>
      <c r="U27"/>
      <c r="V27"/>
      <c r="W27"/>
      <c r="X27"/>
      <c r="Y27"/>
      <c r="Z27"/>
      <c r="AA27"/>
    </row>
    <row r="28" spans="1:27" ht="15.6" x14ac:dyDescent="0.25">
      <c r="A28"/>
      <c r="B28"/>
      <c r="C28"/>
      <c r="D28"/>
      <c r="E28"/>
      <c r="F28"/>
      <c r="G28"/>
      <c r="H28"/>
      <c r="I28"/>
      <c r="J28"/>
      <c r="K28"/>
      <c r="L28"/>
      <c r="M28"/>
      <c r="N28"/>
      <c r="O28"/>
      <c r="P28"/>
      <c r="Q28"/>
      <c r="R28"/>
      <c r="S28"/>
      <c r="T28"/>
      <c r="U28"/>
      <c r="V28"/>
      <c r="W28"/>
      <c r="X28"/>
      <c r="Y28"/>
      <c r="Z28"/>
      <c r="AA28"/>
    </row>
    <row r="29" spans="1:27" ht="15.6" x14ac:dyDescent="0.25">
      <c r="A29"/>
      <c r="B29"/>
      <c r="C29"/>
      <c r="D29"/>
      <c r="E29"/>
      <c r="F29"/>
      <c r="G29"/>
      <c r="H29"/>
      <c r="I29"/>
      <c r="J29"/>
      <c r="K29"/>
      <c r="L29"/>
      <c r="M29"/>
      <c r="N29"/>
      <c r="O29"/>
      <c r="P29"/>
      <c r="Q29"/>
      <c r="R29"/>
      <c r="S29"/>
      <c r="T29"/>
      <c r="U29"/>
      <c r="V29"/>
      <c r="W29"/>
      <c r="X29"/>
      <c r="Y29"/>
      <c r="Z29"/>
      <c r="AA29"/>
    </row>
    <row r="30" spans="1:27" ht="15.6" x14ac:dyDescent="0.25">
      <c r="A30"/>
      <c r="B30"/>
      <c r="C30"/>
      <c r="D30"/>
      <c r="E30"/>
      <c r="F30"/>
      <c r="G30"/>
      <c r="H30"/>
      <c r="I30"/>
      <c r="J30"/>
      <c r="K30"/>
      <c r="L30"/>
      <c r="M30"/>
      <c r="N30"/>
      <c r="O30"/>
      <c r="P30"/>
      <c r="Q30"/>
      <c r="R30"/>
      <c r="S30"/>
      <c r="T30"/>
      <c r="U30"/>
      <c r="V30"/>
      <c r="W30"/>
      <c r="X30"/>
      <c r="Y30"/>
      <c r="Z30"/>
      <c r="AA30"/>
    </row>
    <row r="31" spans="1:27" ht="15.6" x14ac:dyDescent="0.25">
      <c r="A31"/>
      <c r="B31"/>
      <c r="C31"/>
      <c r="D31"/>
      <c r="E31"/>
      <c r="F31"/>
      <c r="G31"/>
      <c r="H31"/>
      <c r="I31"/>
      <c r="J31"/>
      <c r="K31"/>
      <c r="L31"/>
      <c r="M31"/>
      <c r="N31"/>
      <c r="O31"/>
      <c r="P31"/>
      <c r="Q31"/>
      <c r="R31"/>
      <c r="S31"/>
      <c r="T31"/>
      <c r="U31"/>
      <c r="V31"/>
      <c r="W31"/>
      <c r="X31"/>
      <c r="Y31"/>
      <c r="Z31"/>
      <c r="AA31"/>
    </row>
    <row r="32" spans="1:27" ht="15.6" x14ac:dyDescent="0.25">
      <c r="A32"/>
      <c r="B32"/>
      <c r="C32"/>
      <c r="D32"/>
      <c r="E32"/>
      <c r="F32"/>
      <c r="G32"/>
      <c r="H32"/>
      <c r="I32"/>
      <c r="J32"/>
      <c r="K32"/>
      <c r="L32"/>
      <c r="M32"/>
      <c r="N32"/>
      <c r="O32"/>
      <c r="P32"/>
      <c r="Q32"/>
      <c r="R32"/>
      <c r="S32"/>
      <c r="T32"/>
      <c r="U32"/>
      <c r="V32"/>
      <c r="W32"/>
      <c r="X32"/>
      <c r="Y32"/>
      <c r="Z32"/>
      <c r="AA32"/>
    </row>
    <row r="33" spans="1:27" ht="15.6" x14ac:dyDescent="0.25">
      <c r="A33"/>
      <c r="B33"/>
      <c r="C33"/>
      <c r="D33"/>
      <c r="E33"/>
      <c r="F33"/>
      <c r="G33"/>
      <c r="H33"/>
      <c r="I33"/>
      <c r="J33"/>
      <c r="K33"/>
      <c r="L33"/>
      <c r="M33"/>
      <c r="N33"/>
      <c r="O33"/>
      <c r="P33"/>
      <c r="Q33"/>
      <c r="R33"/>
      <c r="S33"/>
      <c r="T33"/>
      <c r="U33"/>
      <c r="V33"/>
      <c r="W33"/>
      <c r="X33"/>
      <c r="Y33"/>
      <c r="Z33"/>
      <c r="AA33"/>
    </row>
    <row r="34" spans="1:27" ht="15.6" x14ac:dyDescent="0.25">
      <c r="A34"/>
      <c r="B34"/>
      <c r="C34"/>
      <c r="D34"/>
      <c r="E34"/>
      <c r="F34"/>
      <c r="G34"/>
      <c r="H34"/>
      <c r="I34"/>
      <c r="J34"/>
      <c r="K34"/>
      <c r="L34"/>
      <c r="M34"/>
      <c r="N34"/>
      <c r="O34"/>
      <c r="P34"/>
      <c r="Q34"/>
      <c r="R34"/>
      <c r="S34"/>
      <c r="T34"/>
      <c r="U34"/>
      <c r="V34"/>
      <c r="W34"/>
      <c r="X34"/>
      <c r="Y34"/>
      <c r="Z34"/>
      <c r="AA34"/>
    </row>
    <row r="35" spans="1:27" ht="15.6" x14ac:dyDescent="0.25">
      <c r="A35"/>
      <c r="B35"/>
      <c r="C35"/>
      <c r="D35"/>
      <c r="E35"/>
      <c r="F35"/>
      <c r="G35"/>
      <c r="H35"/>
      <c r="I35"/>
      <c r="J35"/>
      <c r="K35"/>
      <c r="L35"/>
      <c r="M35"/>
      <c r="N35"/>
      <c r="O35"/>
      <c r="P35"/>
      <c r="Q35"/>
      <c r="R35"/>
      <c r="S35"/>
      <c r="T35"/>
      <c r="U35"/>
      <c r="V35"/>
      <c r="W35"/>
      <c r="X35"/>
      <c r="Y35"/>
      <c r="Z35"/>
      <c r="AA35"/>
    </row>
    <row r="36" spans="1:27" ht="15.6" x14ac:dyDescent="0.25">
      <c r="A36"/>
      <c r="B36"/>
      <c r="C36"/>
      <c r="D36"/>
      <c r="E36"/>
      <c r="F36"/>
      <c r="G36"/>
      <c r="H36"/>
      <c r="I36"/>
      <c r="J36"/>
      <c r="K36"/>
      <c r="L36"/>
      <c r="M36"/>
      <c r="N36"/>
      <c r="O36"/>
      <c r="P36"/>
      <c r="Q36"/>
      <c r="R36"/>
      <c r="S36"/>
      <c r="T36"/>
      <c r="U36"/>
      <c r="V36"/>
      <c r="W36"/>
      <c r="X36"/>
      <c r="Y36"/>
      <c r="Z36"/>
      <c r="AA36"/>
    </row>
    <row r="37" spans="1:27" ht="15.6" x14ac:dyDescent="0.25">
      <c r="A37"/>
      <c r="B37"/>
      <c r="C37"/>
      <c r="D37"/>
      <c r="E37"/>
      <c r="F37"/>
      <c r="G37"/>
      <c r="H37"/>
      <c r="I37"/>
      <c r="J37"/>
      <c r="K37"/>
      <c r="L37"/>
      <c r="M37"/>
      <c r="N37"/>
      <c r="O37"/>
      <c r="P37"/>
      <c r="Q37"/>
      <c r="R37"/>
      <c r="S37"/>
      <c r="T37"/>
      <c r="U37"/>
      <c r="V37"/>
      <c r="W37"/>
      <c r="X37"/>
      <c r="Y37"/>
      <c r="Z37"/>
      <c r="AA37"/>
    </row>
    <row r="38" spans="1:27" ht="15.6" x14ac:dyDescent="0.25">
      <c r="A38"/>
      <c r="B38"/>
      <c r="C38"/>
      <c r="D38"/>
      <c r="E38"/>
      <c r="F38"/>
      <c r="G38"/>
      <c r="H38"/>
      <c r="I38"/>
      <c r="J38"/>
      <c r="K38"/>
      <c r="L38"/>
      <c r="M38"/>
      <c r="N38"/>
      <c r="O38"/>
      <c r="P38"/>
      <c r="Q38"/>
      <c r="R38"/>
      <c r="S38"/>
      <c r="T38"/>
      <c r="U38"/>
      <c r="V38"/>
      <c r="W38"/>
      <c r="X38"/>
      <c r="Y38"/>
      <c r="Z38"/>
      <c r="AA38"/>
    </row>
    <row r="39" spans="1:27" ht="15.6" x14ac:dyDescent="0.25">
      <c r="A39"/>
      <c r="B39"/>
      <c r="C39"/>
      <c r="D39"/>
      <c r="E39"/>
      <c r="F39"/>
      <c r="G39"/>
      <c r="H39"/>
      <c r="I39"/>
      <c r="J39"/>
      <c r="K39"/>
      <c r="L39"/>
      <c r="M39"/>
      <c r="N39"/>
      <c r="O39"/>
      <c r="P39"/>
      <c r="Q39"/>
      <c r="R39"/>
      <c r="S39"/>
      <c r="T39"/>
      <c r="U39"/>
      <c r="V39"/>
      <c r="W39"/>
      <c r="X39"/>
      <c r="Y39"/>
      <c r="Z39"/>
      <c r="AA39"/>
    </row>
    <row r="40" spans="1:27" ht="15.6" x14ac:dyDescent="0.25">
      <c r="A40"/>
      <c r="B40"/>
      <c r="C40"/>
      <c r="D40"/>
      <c r="E40"/>
      <c r="F40"/>
      <c r="G40"/>
      <c r="H40"/>
      <c r="I40"/>
      <c r="J40"/>
      <c r="K40"/>
      <c r="L40"/>
      <c r="M40"/>
      <c r="N40"/>
      <c r="O40"/>
      <c r="P40"/>
      <c r="Q40"/>
      <c r="R40"/>
      <c r="S40"/>
      <c r="T40"/>
      <c r="U40"/>
      <c r="V40"/>
      <c r="W40"/>
      <c r="X40"/>
      <c r="Y40"/>
      <c r="Z40"/>
      <c r="AA40"/>
    </row>
    <row r="41" spans="1:27" ht="15.6" x14ac:dyDescent="0.25">
      <c r="A41"/>
      <c r="B41"/>
      <c r="C41"/>
      <c r="D41"/>
      <c r="E41"/>
      <c r="F41"/>
      <c r="G41"/>
      <c r="H41"/>
      <c r="I41"/>
      <c r="J41"/>
      <c r="K41"/>
      <c r="L41"/>
      <c r="M41"/>
      <c r="N41"/>
      <c r="O41"/>
      <c r="P41"/>
      <c r="Q41"/>
      <c r="R41"/>
      <c r="S41"/>
      <c r="T41"/>
      <c r="U41"/>
      <c r="V41"/>
      <c r="W41"/>
      <c r="X41"/>
      <c r="Y41"/>
      <c r="Z41"/>
      <c r="AA41"/>
    </row>
    <row r="42" spans="1:27" ht="15.6" x14ac:dyDescent="0.25">
      <c r="A42"/>
      <c r="B42"/>
      <c r="C42"/>
      <c r="D42"/>
      <c r="E42"/>
      <c r="F42"/>
      <c r="G42"/>
      <c r="H42"/>
      <c r="I42"/>
      <c r="J42"/>
      <c r="K42"/>
      <c r="L42"/>
      <c r="M42"/>
      <c r="N42"/>
      <c r="O42"/>
      <c r="P42"/>
      <c r="Q42"/>
      <c r="R42"/>
      <c r="S42"/>
      <c r="T42"/>
      <c r="U42"/>
      <c r="V42"/>
      <c r="W42"/>
      <c r="X42"/>
      <c r="Y42"/>
      <c r="Z42"/>
      <c r="AA42"/>
    </row>
    <row r="43" spans="1:27" ht="15.6" x14ac:dyDescent="0.25">
      <c r="A43"/>
      <c r="B43"/>
      <c r="C43"/>
      <c r="D43"/>
      <c r="E43"/>
      <c r="F43"/>
      <c r="G43"/>
      <c r="H43"/>
      <c r="I43"/>
      <c r="J43"/>
      <c r="K43"/>
      <c r="L43"/>
      <c r="M43"/>
      <c r="N43"/>
      <c r="O43"/>
      <c r="P43"/>
      <c r="Q43"/>
      <c r="R43"/>
      <c r="S43"/>
      <c r="T43"/>
      <c r="U43"/>
      <c r="V43"/>
      <c r="W43"/>
      <c r="X43"/>
      <c r="Y43"/>
      <c r="Z43"/>
      <c r="AA43"/>
    </row>
    <row r="44" spans="1:27" ht="15.6" x14ac:dyDescent="0.25">
      <c r="A44"/>
      <c r="B44"/>
      <c r="C44"/>
      <c r="D44"/>
      <c r="E44"/>
      <c r="F44"/>
      <c r="G44"/>
      <c r="H44"/>
      <c r="I44"/>
      <c r="J44"/>
      <c r="K44"/>
      <c r="L44"/>
      <c r="M44"/>
      <c r="N44"/>
      <c r="O44"/>
      <c r="P44"/>
      <c r="Q44"/>
      <c r="R44"/>
      <c r="S44"/>
      <c r="T44"/>
      <c r="U44"/>
      <c r="V44"/>
      <c r="W44"/>
      <c r="X44"/>
      <c r="Y44"/>
      <c r="Z44"/>
      <c r="AA44"/>
    </row>
    <row r="45" spans="1:27" ht="15.6" x14ac:dyDescent="0.25">
      <c r="A45"/>
      <c r="B45"/>
      <c r="C45"/>
      <c r="D45"/>
      <c r="E45"/>
      <c r="F45"/>
      <c r="G45"/>
      <c r="H45"/>
      <c r="I45"/>
      <c r="J45"/>
      <c r="K45"/>
      <c r="L45"/>
      <c r="M45"/>
      <c r="N45"/>
      <c r="O45"/>
      <c r="P45"/>
      <c r="Q45"/>
      <c r="R45"/>
      <c r="S45"/>
      <c r="T45"/>
      <c r="U45"/>
      <c r="V45"/>
      <c r="W45"/>
      <c r="X45"/>
      <c r="Y45"/>
      <c r="Z45"/>
      <c r="AA45"/>
    </row>
    <row r="46" spans="1:27" ht="15.6" x14ac:dyDescent="0.25">
      <c r="A46"/>
      <c r="B46"/>
      <c r="C46"/>
      <c r="D46"/>
      <c r="E46"/>
      <c r="F46"/>
      <c r="G46"/>
      <c r="H46"/>
      <c r="I46"/>
      <c r="J46"/>
      <c r="K46"/>
      <c r="L46"/>
      <c r="M46"/>
      <c r="N46"/>
      <c r="O46"/>
      <c r="P46"/>
      <c r="Q46"/>
      <c r="R46"/>
      <c r="S46"/>
      <c r="T46"/>
      <c r="U46"/>
      <c r="V46"/>
      <c r="W46"/>
      <c r="X46"/>
      <c r="Y46"/>
      <c r="Z46"/>
      <c r="AA46"/>
    </row>
    <row r="47" spans="1:27" ht="15.6" x14ac:dyDescent="0.25">
      <c r="A47"/>
      <c r="B47"/>
      <c r="C47"/>
      <c r="D47"/>
      <c r="E47"/>
      <c r="F47"/>
      <c r="G47"/>
      <c r="H47"/>
      <c r="I47"/>
      <c r="J47"/>
      <c r="K47"/>
      <c r="L47"/>
      <c r="M47"/>
      <c r="N47"/>
      <c r="O47"/>
      <c r="P47"/>
      <c r="Q47"/>
      <c r="R47"/>
      <c r="S47"/>
      <c r="T47"/>
      <c r="U47"/>
      <c r="V47"/>
      <c r="W47"/>
      <c r="X47"/>
      <c r="Y47"/>
      <c r="Z47"/>
      <c r="AA47"/>
    </row>
    <row r="48" spans="1:27" ht="15.6" x14ac:dyDescent="0.25">
      <c r="A48"/>
      <c r="B48"/>
      <c r="C48"/>
      <c r="D48"/>
      <c r="E48"/>
      <c r="F48"/>
      <c r="G48"/>
      <c r="H48"/>
      <c r="I48"/>
      <c r="J48"/>
      <c r="K48"/>
      <c r="L48"/>
      <c r="M48"/>
      <c r="N48"/>
      <c r="O48"/>
      <c r="P48"/>
      <c r="Q48"/>
      <c r="R48"/>
      <c r="S48"/>
      <c r="T48"/>
      <c r="U48"/>
      <c r="V48"/>
      <c r="W48"/>
      <c r="X48"/>
      <c r="Y48"/>
      <c r="Z48"/>
      <c r="AA48"/>
    </row>
    <row r="49" spans="1:27" ht="15.6" x14ac:dyDescent="0.25">
      <c r="A49"/>
      <c r="B49"/>
      <c r="C49"/>
      <c r="D49"/>
      <c r="E49"/>
      <c r="F49"/>
      <c r="G49"/>
      <c r="H49"/>
      <c r="I49"/>
      <c r="J49"/>
      <c r="K49"/>
      <c r="L49"/>
      <c r="M49"/>
      <c r="N49"/>
      <c r="O49"/>
      <c r="P49"/>
      <c r="Q49"/>
      <c r="R49"/>
      <c r="S49"/>
      <c r="T49"/>
      <c r="U49"/>
      <c r="V49"/>
      <c r="W49"/>
      <c r="X49"/>
      <c r="Y49"/>
      <c r="Z49"/>
      <c r="AA49"/>
    </row>
    <row r="50" spans="1:27" ht="15.6" x14ac:dyDescent="0.25">
      <c r="A50"/>
      <c r="B50"/>
      <c r="C50"/>
      <c r="D50"/>
      <c r="E50"/>
      <c r="F50"/>
      <c r="G50"/>
      <c r="H50"/>
      <c r="I50"/>
      <c r="J50"/>
      <c r="K50"/>
      <c r="L50"/>
      <c r="M50"/>
      <c r="N50"/>
      <c r="O50"/>
      <c r="P50"/>
      <c r="Q50"/>
      <c r="R50"/>
      <c r="S50"/>
      <c r="T50"/>
      <c r="U50"/>
      <c r="V50"/>
      <c r="W50"/>
      <c r="X50"/>
      <c r="Y50"/>
      <c r="Z50"/>
      <c r="AA50"/>
    </row>
    <row r="51" spans="1:27" ht="15.6" x14ac:dyDescent="0.25">
      <c r="A51"/>
      <c r="B51"/>
      <c r="C51"/>
      <c r="D51"/>
      <c r="E51"/>
      <c r="F51"/>
      <c r="G51"/>
      <c r="H51"/>
      <c r="I51"/>
      <c r="J51"/>
      <c r="K51"/>
      <c r="L51"/>
      <c r="M51"/>
      <c r="N51"/>
      <c r="O51"/>
      <c r="P51"/>
      <c r="Q51"/>
      <c r="R51"/>
      <c r="S51"/>
      <c r="T51"/>
      <c r="U51"/>
      <c r="V51"/>
      <c r="W51"/>
      <c r="X51"/>
      <c r="Y51"/>
      <c r="Z51"/>
      <c r="AA51"/>
    </row>
    <row r="52" spans="1:27" ht="15.6" x14ac:dyDescent="0.25">
      <c r="A52"/>
      <c r="B52"/>
      <c r="C52"/>
      <c r="D52"/>
      <c r="E52"/>
      <c r="F52"/>
      <c r="G52"/>
      <c r="H52"/>
      <c r="I52"/>
      <c r="J52"/>
      <c r="K52"/>
      <c r="L52"/>
      <c r="M52"/>
      <c r="N52"/>
      <c r="O52"/>
      <c r="P52"/>
      <c r="Q52"/>
      <c r="R52"/>
      <c r="S52"/>
      <c r="T52"/>
      <c r="U52"/>
      <c r="V52"/>
      <c r="W52"/>
      <c r="X52"/>
      <c r="Y52"/>
      <c r="Z52"/>
      <c r="AA52"/>
    </row>
    <row r="53" spans="1:27" ht="15.6" x14ac:dyDescent="0.25">
      <c r="A53"/>
      <c r="B53"/>
      <c r="C53"/>
      <c r="D53"/>
      <c r="E53"/>
      <c r="F53"/>
      <c r="G53"/>
      <c r="H53"/>
      <c r="I53"/>
      <c r="J53"/>
      <c r="K53"/>
      <c r="L53"/>
      <c r="M53"/>
      <c r="N53"/>
      <c r="O53"/>
      <c r="P53"/>
      <c r="Q53"/>
      <c r="R53"/>
      <c r="S53"/>
      <c r="T53"/>
      <c r="U53"/>
      <c r="V53"/>
      <c r="W53"/>
      <c r="X53"/>
      <c r="Y53"/>
      <c r="Z53"/>
      <c r="AA53"/>
    </row>
    <row r="54" spans="1:27" ht="15.6" x14ac:dyDescent="0.25">
      <c r="A54"/>
      <c r="B54"/>
      <c r="C54"/>
      <c r="D54"/>
      <c r="E54"/>
      <c r="F54"/>
      <c r="G54"/>
      <c r="H54"/>
      <c r="I54"/>
      <c r="J54"/>
      <c r="K54"/>
      <c r="L54"/>
      <c r="M54"/>
      <c r="N54"/>
      <c r="O54"/>
      <c r="P54"/>
      <c r="Q54"/>
      <c r="R54"/>
      <c r="S54"/>
      <c r="T54"/>
      <c r="U54"/>
      <c r="V54"/>
      <c r="W54"/>
      <c r="X54"/>
      <c r="Y54"/>
      <c r="Z54"/>
      <c r="AA54"/>
    </row>
    <row r="55" spans="1:27" ht="15.6" x14ac:dyDescent="0.25">
      <c r="A55"/>
      <c r="B55"/>
      <c r="C55"/>
      <c r="D55"/>
      <c r="E55"/>
      <c r="F55"/>
      <c r="G55"/>
      <c r="H55"/>
      <c r="I55"/>
      <c r="J55"/>
      <c r="K55"/>
      <c r="L55"/>
      <c r="M55"/>
      <c r="N55"/>
      <c r="O55"/>
      <c r="P55"/>
      <c r="Q55"/>
      <c r="R55"/>
      <c r="S55"/>
      <c r="T55"/>
      <c r="U55"/>
      <c r="V55"/>
      <c r="W55"/>
      <c r="X55"/>
      <c r="Y55"/>
      <c r="Z55"/>
      <c r="AA55"/>
    </row>
    <row r="56" spans="1:27" ht="15.6" x14ac:dyDescent="0.25">
      <c r="A56"/>
      <c r="B56"/>
      <c r="C56"/>
      <c r="D56"/>
      <c r="E56"/>
      <c r="F56"/>
      <c r="G56"/>
      <c r="H56"/>
      <c r="I56"/>
      <c r="J56"/>
      <c r="K56"/>
      <c r="L56"/>
      <c r="M56"/>
      <c r="N56"/>
      <c r="O56"/>
      <c r="P56"/>
      <c r="Q56"/>
      <c r="R56"/>
      <c r="S56"/>
      <c r="T56"/>
      <c r="U56"/>
      <c r="V56"/>
      <c r="W56"/>
      <c r="X56"/>
      <c r="Y56"/>
      <c r="Z56"/>
      <c r="AA56"/>
    </row>
    <row r="57" spans="1:27" ht="15.6" x14ac:dyDescent="0.25">
      <c r="A57"/>
      <c r="B57"/>
      <c r="C57"/>
      <c r="D57"/>
      <c r="E57"/>
      <c r="F57"/>
      <c r="G57"/>
      <c r="H57"/>
      <c r="I57"/>
      <c r="J57"/>
      <c r="K57"/>
      <c r="L57"/>
      <c r="M57"/>
      <c r="N57"/>
      <c r="O57"/>
      <c r="P57"/>
      <c r="Q57"/>
      <c r="R57"/>
      <c r="S57"/>
      <c r="T57"/>
      <c r="U57"/>
      <c r="V57"/>
      <c r="W57"/>
      <c r="X57"/>
      <c r="Y57"/>
      <c r="Z57"/>
      <c r="AA57"/>
    </row>
    <row r="58" spans="1:27" ht="15.6" x14ac:dyDescent="0.25">
      <c r="A58"/>
      <c r="B58"/>
      <c r="C58"/>
      <c r="D58"/>
      <c r="E58"/>
      <c r="F58"/>
      <c r="G58"/>
      <c r="H58"/>
      <c r="I58"/>
      <c r="J58"/>
      <c r="K58"/>
      <c r="L58"/>
      <c r="M58"/>
      <c r="N58"/>
      <c r="O58"/>
      <c r="P58"/>
      <c r="Q58"/>
      <c r="R58"/>
      <c r="S58"/>
      <c r="T58"/>
      <c r="U58"/>
      <c r="V58"/>
      <c r="W58"/>
      <c r="X58"/>
      <c r="Y58"/>
      <c r="Z58"/>
      <c r="AA58"/>
    </row>
    <row r="59" spans="1:27" ht="15.6" x14ac:dyDescent="0.25">
      <c r="A59"/>
      <c r="B59"/>
      <c r="C59"/>
      <c r="D59"/>
      <c r="E59"/>
      <c r="F59"/>
      <c r="G59"/>
      <c r="H59"/>
      <c r="I59"/>
      <c r="J59"/>
      <c r="K59"/>
      <c r="L59"/>
      <c r="M59"/>
      <c r="N59"/>
      <c r="O59"/>
      <c r="P59"/>
      <c r="Q59"/>
      <c r="R59"/>
      <c r="S59"/>
      <c r="T59"/>
      <c r="U59"/>
      <c r="V59"/>
      <c r="W59"/>
      <c r="X59"/>
      <c r="Y59"/>
      <c r="Z59"/>
      <c r="AA59"/>
    </row>
    <row r="60" spans="1:27" ht="15.6" x14ac:dyDescent="0.25">
      <c r="A60"/>
      <c r="B60"/>
      <c r="C60"/>
      <c r="D60"/>
      <c r="E60"/>
      <c r="F60"/>
      <c r="G60"/>
      <c r="H60"/>
      <c r="I60"/>
      <c r="J60"/>
      <c r="K60"/>
      <c r="L60"/>
      <c r="M60"/>
      <c r="N60"/>
      <c r="O60"/>
      <c r="P60"/>
      <c r="Q60"/>
      <c r="R60"/>
      <c r="S60"/>
      <c r="T60"/>
      <c r="U60"/>
      <c r="V60"/>
      <c r="W60"/>
      <c r="X60"/>
      <c r="Y60"/>
      <c r="Z60"/>
      <c r="AA60"/>
    </row>
    <row r="61" spans="1:27" ht="15.6" x14ac:dyDescent="0.25">
      <c r="A61"/>
      <c r="B61"/>
      <c r="C61"/>
      <c r="D61"/>
      <c r="E61"/>
      <c r="F61"/>
      <c r="G61"/>
      <c r="H61"/>
      <c r="I61"/>
      <c r="J61"/>
      <c r="K61"/>
      <c r="L61"/>
      <c r="M61"/>
      <c r="N61"/>
      <c r="O61"/>
      <c r="P61"/>
      <c r="Q61"/>
      <c r="R61"/>
      <c r="S61"/>
      <c r="T61"/>
      <c r="U61"/>
      <c r="V61"/>
      <c r="W61"/>
      <c r="X61"/>
      <c r="Y61"/>
      <c r="Z61"/>
      <c r="AA61"/>
    </row>
    <row r="62" spans="1:27" ht="15.6" x14ac:dyDescent="0.25">
      <c r="A62"/>
      <c r="B62"/>
      <c r="C62"/>
      <c r="D62"/>
      <c r="E62"/>
      <c r="F62"/>
      <c r="G62"/>
      <c r="H62"/>
      <c r="I62"/>
      <c r="J62"/>
      <c r="K62"/>
      <c r="L62"/>
      <c r="M62"/>
      <c r="N62"/>
      <c r="O62"/>
      <c r="P62"/>
      <c r="Q62"/>
      <c r="R62"/>
      <c r="S62"/>
      <c r="T62"/>
      <c r="U62"/>
      <c r="V62"/>
      <c r="W62"/>
      <c r="X62"/>
      <c r="Y62"/>
      <c r="Z62"/>
      <c r="AA62"/>
    </row>
    <row r="63" spans="1:27" ht="15.6" x14ac:dyDescent="0.25">
      <c r="A63"/>
      <c r="B63"/>
      <c r="C63"/>
      <c r="D63"/>
      <c r="E63"/>
      <c r="F63"/>
      <c r="G63"/>
      <c r="H63"/>
      <c r="I63"/>
      <c r="J63"/>
      <c r="K63"/>
      <c r="L63"/>
      <c r="M63"/>
      <c r="N63"/>
      <c r="O63"/>
      <c r="P63"/>
      <c r="Q63"/>
      <c r="R63"/>
      <c r="S63"/>
      <c r="T63"/>
      <c r="U63"/>
      <c r="V63"/>
      <c r="W63"/>
      <c r="X63"/>
      <c r="Y63"/>
      <c r="Z63"/>
      <c r="AA63"/>
    </row>
    <row r="64" spans="1:27" ht="15.6" x14ac:dyDescent="0.25">
      <c r="A64"/>
      <c r="B64"/>
      <c r="C64"/>
      <c r="D64"/>
      <c r="E64"/>
      <c r="F64"/>
      <c r="G64"/>
      <c r="H64"/>
      <c r="I64"/>
      <c r="J64"/>
      <c r="K64"/>
      <c r="L64"/>
      <c r="M64"/>
      <c r="N64"/>
      <c r="O64"/>
      <c r="P64"/>
      <c r="Q64"/>
      <c r="R64"/>
      <c r="S64"/>
      <c r="T64"/>
      <c r="U64"/>
      <c r="V64"/>
      <c r="W64"/>
      <c r="X64"/>
      <c r="Y64"/>
      <c r="Z64"/>
      <c r="AA64"/>
    </row>
    <row r="65" spans="1:27" ht="15.6" x14ac:dyDescent="0.25">
      <c r="A65"/>
      <c r="B65"/>
      <c r="C65"/>
      <c r="D65"/>
      <c r="E65"/>
      <c r="F65"/>
      <c r="G65"/>
      <c r="H65"/>
      <c r="I65"/>
      <c r="J65"/>
      <c r="K65"/>
      <c r="L65"/>
      <c r="M65"/>
      <c r="N65"/>
      <c r="O65"/>
      <c r="P65"/>
      <c r="Q65"/>
      <c r="R65"/>
      <c r="S65"/>
      <c r="T65"/>
      <c r="U65"/>
      <c r="V65"/>
      <c r="W65"/>
      <c r="X65"/>
      <c r="Y65"/>
      <c r="Z65"/>
      <c r="AA65"/>
    </row>
    <row r="66" spans="1:27" ht="15.6" x14ac:dyDescent="0.25">
      <c r="A66"/>
      <c r="B66"/>
      <c r="C66"/>
      <c r="D66"/>
      <c r="E66"/>
      <c r="F66"/>
      <c r="G66"/>
      <c r="H66"/>
      <c r="I66"/>
      <c r="J66"/>
      <c r="K66"/>
      <c r="L66"/>
      <c r="M66"/>
      <c r="N66"/>
      <c r="O66"/>
      <c r="P66"/>
      <c r="Q66"/>
      <c r="R66"/>
      <c r="S66"/>
      <c r="T66"/>
      <c r="U66"/>
      <c r="V66"/>
      <c r="W66"/>
      <c r="X66"/>
      <c r="Y66"/>
      <c r="Z66"/>
      <c r="AA66"/>
    </row>
    <row r="67" spans="1:27" ht="15.6" x14ac:dyDescent="0.25">
      <c r="A67"/>
      <c r="B67"/>
      <c r="C67"/>
      <c r="D67"/>
      <c r="E67"/>
      <c r="F67"/>
      <c r="G67"/>
      <c r="H67"/>
      <c r="I67"/>
      <c r="J67"/>
      <c r="K67"/>
      <c r="L67"/>
      <c r="M67"/>
      <c r="N67"/>
      <c r="O67"/>
      <c r="P67"/>
      <c r="Q67"/>
      <c r="R67"/>
      <c r="S67"/>
      <c r="T67"/>
      <c r="U67"/>
      <c r="V67"/>
      <c r="W67"/>
      <c r="X67"/>
      <c r="Y67"/>
      <c r="Z67"/>
      <c r="AA67"/>
    </row>
    <row r="68" spans="1:27" ht="15.6" x14ac:dyDescent="0.25">
      <c r="A68"/>
      <c r="B68"/>
      <c r="C68"/>
      <c r="D68"/>
      <c r="E68"/>
      <c r="F68"/>
      <c r="G68"/>
      <c r="H68"/>
      <c r="I68"/>
      <c r="J68"/>
      <c r="K68"/>
      <c r="L68"/>
      <c r="M68"/>
      <c r="N68"/>
      <c r="O68"/>
      <c r="P68"/>
      <c r="Q68"/>
      <c r="R68"/>
      <c r="S68"/>
      <c r="T68"/>
      <c r="U68"/>
      <c r="V68"/>
      <c r="W68"/>
      <c r="X68"/>
      <c r="Y68"/>
      <c r="Z68"/>
      <c r="AA68"/>
    </row>
    <row r="69" spans="1:27" ht="15.6" x14ac:dyDescent="0.25">
      <c r="A69"/>
      <c r="B69"/>
      <c r="C69"/>
      <c r="D69"/>
      <c r="E69"/>
      <c r="F69"/>
      <c r="G69"/>
      <c r="H69"/>
      <c r="I69"/>
      <c r="J69"/>
      <c r="K69"/>
      <c r="L69"/>
      <c r="M69"/>
      <c r="N69"/>
      <c r="O69"/>
      <c r="P69"/>
      <c r="Q69"/>
      <c r="R69"/>
      <c r="S69"/>
      <c r="T69"/>
      <c r="U69"/>
      <c r="V69"/>
      <c r="W69"/>
      <c r="X69"/>
      <c r="Y69"/>
      <c r="Z69"/>
      <c r="AA69"/>
    </row>
    <row r="70" spans="1:27" ht="15.6" x14ac:dyDescent="0.25">
      <c r="A70"/>
      <c r="B70"/>
      <c r="C70"/>
      <c r="D70"/>
      <c r="E70"/>
      <c r="F70"/>
      <c r="G70"/>
      <c r="H70"/>
      <c r="I70"/>
      <c r="J70"/>
      <c r="K70"/>
      <c r="L70"/>
      <c r="M70"/>
      <c r="N70"/>
      <c r="O70"/>
      <c r="P70"/>
      <c r="Q70"/>
      <c r="R70"/>
      <c r="S70"/>
      <c r="T70"/>
      <c r="U70"/>
      <c r="V70"/>
      <c r="W70"/>
      <c r="X70"/>
      <c r="Y70"/>
      <c r="Z70"/>
      <c r="AA70"/>
    </row>
    <row r="71" spans="1:27" ht="15.6" x14ac:dyDescent="0.25">
      <c r="A71"/>
      <c r="B71"/>
      <c r="C71"/>
      <c r="D71"/>
      <c r="E71"/>
      <c r="F71"/>
      <c r="G71"/>
      <c r="H71"/>
      <c r="I71"/>
      <c r="J71"/>
      <c r="K71"/>
      <c r="L71"/>
      <c r="M71"/>
      <c r="N71"/>
      <c r="O71"/>
      <c r="P71"/>
      <c r="Q71"/>
      <c r="R71"/>
      <c r="S71"/>
      <c r="T71"/>
      <c r="U71"/>
      <c r="V71"/>
      <c r="W71"/>
      <c r="X71"/>
      <c r="Y71"/>
      <c r="Z71"/>
      <c r="AA71"/>
    </row>
    <row r="72" spans="1:27" ht="15.6" x14ac:dyDescent="0.25">
      <c r="A72"/>
      <c r="B72"/>
      <c r="C72"/>
      <c r="D72"/>
      <c r="E72"/>
      <c r="F72"/>
      <c r="G72"/>
      <c r="H72"/>
      <c r="I72"/>
      <c r="J72"/>
      <c r="K72"/>
      <c r="L72"/>
      <c r="M72"/>
      <c r="N72"/>
      <c r="O72"/>
      <c r="P72"/>
      <c r="Q72"/>
      <c r="R72"/>
      <c r="S72"/>
      <c r="T72"/>
      <c r="U72"/>
      <c r="V72"/>
      <c r="W72"/>
      <c r="X72"/>
      <c r="Y72"/>
      <c r="Z72"/>
      <c r="AA72"/>
    </row>
    <row r="73" spans="1:27" ht="15.6" x14ac:dyDescent="0.25">
      <c r="A73"/>
      <c r="B73"/>
      <c r="C73"/>
      <c r="D73"/>
      <c r="E73"/>
      <c r="F73"/>
      <c r="G73"/>
      <c r="H73"/>
      <c r="I73"/>
      <c r="J73"/>
      <c r="K73"/>
      <c r="L73"/>
      <c r="M73"/>
      <c r="N73"/>
      <c r="O73"/>
      <c r="P73"/>
      <c r="Q73"/>
      <c r="R73"/>
      <c r="S73"/>
      <c r="T73"/>
      <c r="U73"/>
      <c r="V73"/>
      <c r="W73"/>
      <c r="X73"/>
      <c r="Y73"/>
      <c r="Z73"/>
      <c r="AA73"/>
    </row>
    <row r="74" spans="1:27" ht="15.6" x14ac:dyDescent="0.25">
      <c r="A74"/>
      <c r="B74"/>
      <c r="C74"/>
      <c r="D74"/>
      <c r="E74"/>
      <c r="F74"/>
      <c r="G74"/>
      <c r="H74"/>
      <c r="I74"/>
      <c r="J74"/>
      <c r="K74"/>
      <c r="L74"/>
      <c r="M74"/>
      <c r="N74"/>
      <c r="O74"/>
      <c r="P74"/>
      <c r="Q74"/>
      <c r="R74"/>
      <c r="S74"/>
      <c r="T74"/>
      <c r="U74"/>
      <c r="V74"/>
      <c r="W74"/>
      <c r="X74"/>
      <c r="Y74"/>
      <c r="Z74"/>
      <c r="AA74"/>
    </row>
    <row r="75" spans="1:27" ht="15.6" x14ac:dyDescent="0.25">
      <c r="A75"/>
      <c r="B75"/>
      <c r="C75"/>
      <c r="D75"/>
      <c r="E75"/>
      <c r="F75"/>
      <c r="G75"/>
      <c r="H75"/>
      <c r="I75"/>
      <c r="J75"/>
      <c r="K75"/>
      <c r="L75"/>
      <c r="M75"/>
      <c r="N75"/>
      <c r="O75"/>
      <c r="P75"/>
      <c r="Q75"/>
      <c r="R75"/>
      <c r="S75"/>
      <c r="T75"/>
      <c r="U75"/>
      <c r="V75"/>
      <c r="W75"/>
      <c r="X75"/>
      <c r="Y75"/>
      <c r="Z75"/>
      <c r="AA75"/>
    </row>
    <row r="76" spans="1:27" ht="15.6" x14ac:dyDescent="0.25">
      <c r="A76"/>
      <c r="B76"/>
      <c r="C76"/>
      <c r="D76"/>
      <c r="E76"/>
      <c r="F76"/>
      <c r="G76"/>
      <c r="H76"/>
      <c r="I76"/>
      <c r="J76"/>
      <c r="K76"/>
      <c r="L76"/>
      <c r="M76"/>
      <c r="N76"/>
      <c r="O76"/>
      <c r="P76"/>
      <c r="Q76"/>
      <c r="R76"/>
      <c r="S76"/>
      <c r="T76"/>
      <c r="U76"/>
      <c r="V76"/>
      <c r="W76"/>
      <c r="X76"/>
      <c r="Y76"/>
      <c r="Z76"/>
      <c r="AA76"/>
    </row>
    <row r="77" spans="1:27" ht="15.6" x14ac:dyDescent="0.25">
      <c r="A77"/>
      <c r="B77"/>
      <c r="C77"/>
      <c r="D77"/>
      <c r="E77"/>
      <c r="F77"/>
      <c r="G77"/>
      <c r="H77"/>
      <c r="I77"/>
      <c r="J77"/>
      <c r="K77"/>
      <c r="L77"/>
      <c r="M77"/>
      <c r="N77"/>
      <c r="O77"/>
      <c r="P77"/>
      <c r="Q77"/>
      <c r="R77"/>
      <c r="S77"/>
      <c r="T77"/>
      <c r="U77"/>
      <c r="V77"/>
      <c r="W77"/>
      <c r="X77"/>
      <c r="Y77"/>
      <c r="Z77"/>
      <c r="AA77"/>
    </row>
    <row r="78" spans="1:27" ht="15.6" x14ac:dyDescent="0.25">
      <c r="A78"/>
      <c r="B78"/>
      <c r="C78"/>
      <c r="D78"/>
      <c r="E78"/>
      <c r="F78"/>
      <c r="G78"/>
      <c r="H78"/>
      <c r="I78"/>
      <c r="J78"/>
      <c r="K78"/>
      <c r="L78"/>
      <c r="M78"/>
      <c r="N78"/>
      <c r="O78"/>
      <c r="P78"/>
      <c r="Q78"/>
      <c r="R78"/>
      <c r="S78"/>
      <c r="T78"/>
      <c r="U78"/>
      <c r="V78"/>
      <c r="W78"/>
      <c r="X78"/>
      <c r="Y78"/>
      <c r="Z78"/>
      <c r="AA78"/>
    </row>
    <row r="79" spans="1:27" ht="15.6" x14ac:dyDescent="0.25">
      <c r="A79"/>
      <c r="B79"/>
      <c r="C79"/>
      <c r="D79"/>
      <c r="E79"/>
      <c r="F79"/>
      <c r="G79"/>
      <c r="H79"/>
      <c r="I79"/>
      <c r="J79"/>
      <c r="K79"/>
      <c r="L79"/>
      <c r="M79"/>
      <c r="N79"/>
      <c r="O79"/>
      <c r="P79"/>
      <c r="Q79"/>
      <c r="R79"/>
      <c r="S79"/>
      <c r="T79"/>
      <c r="U79"/>
      <c r="V79"/>
      <c r="W79"/>
      <c r="X79"/>
      <c r="Y79"/>
      <c r="Z79"/>
      <c r="AA79"/>
    </row>
    <row r="80" spans="1:27" ht="15.6" x14ac:dyDescent="0.25">
      <c r="A80"/>
      <c r="B80"/>
      <c r="C80"/>
      <c r="D80"/>
      <c r="E80"/>
      <c r="F80"/>
      <c r="G80"/>
      <c r="H80"/>
      <c r="I80"/>
      <c r="J80"/>
      <c r="K80"/>
      <c r="L80"/>
      <c r="M80"/>
      <c r="N80"/>
      <c r="O80"/>
      <c r="P80"/>
      <c r="Q80"/>
      <c r="R80"/>
      <c r="S80"/>
      <c r="T80"/>
      <c r="U80"/>
      <c r="V80"/>
      <c r="W80"/>
      <c r="X80"/>
      <c r="Y80"/>
      <c r="Z80"/>
      <c r="AA80"/>
    </row>
    <row r="81" spans="1:27" ht="15.6" x14ac:dyDescent="0.25">
      <c r="A81"/>
      <c r="B81"/>
      <c r="C81"/>
      <c r="D81"/>
      <c r="E81"/>
      <c r="F81"/>
      <c r="G81"/>
      <c r="H81"/>
      <c r="I81"/>
      <c r="J81"/>
      <c r="K81"/>
      <c r="L81"/>
      <c r="M81"/>
      <c r="N81"/>
      <c r="O81"/>
      <c r="P81"/>
      <c r="Q81"/>
      <c r="R81"/>
      <c r="S81"/>
      <c r="T81"/>
      <c r="U81"/>
      <c r="V81"/>
      <c r="W81"/>
      <c r="X81"/>
      <c r="Y81"/>
      <c r="Z81"/>
      <c r="AA81"/>
    </row>
    <row r="82" spans="1:27" ht="15.6" x14ac:dyDescent="0.25">
      <c r="A82"/>
      <c r="B82"/>
      <c r="C82"/>
      <c r="D82"/>
      <c r="E82"/>
      <c r="F82"/>
      <c r="G82"/>
      <c r="H82"/>
      <c r="I82"/>
      <c r="J82"/>
      <c r="K82"/>
      <c r="L82"/>
      <c r="M82"/>
      <c r="N82"/>
      <c r="O82"/>
      <c r="P82"/>
      <c r="Q82"/>
      <c r="R82"/>
      <c r="S82"/>
      <c r="T82"/>
      <c r="U82"/>
      <c r="V82"/>
      <c r="W82"/>
      <c r="X82"/>
      <c r="Y82"/>
      <c r="Z82"/>
      <c r="AA82"/>
    </row>
    <row r="83" spans="1:27" ht="15.6" x14ac:dyDescent="0.25">
      <c r="A83"/>
      <c r="B83"/>
      <c r="C83"/>
      <c r="D83"/>
      <c r="E83"/>
      <c r="F83"/>
      <c r="G83"/>
      <c r="H83"/>
      <c r="I83"/>
      <c r="J83"/>
      <c r="K83"/>
      <c r="L83"/>
      <c r="M83"/>
      <c r="N83"/>
      <c r="O83"/>
      <c r="P83"/>
      <c r="Q83"/>
      <c r="R83"/>
      <c r="S83"/>
      <c r="T83"/>
      <c r="U83"/>
      <c r="V83"/>
      <c r="W83"/>
      <c r="X83"/>
      <c r="Y83"/>
      <c r="Z83"/>
      <c r="AA83"/>
    </row>
    <row r="84" spans="1:27" ht="15.6" x14ac:dyDescent="0.25">
      <c r="A84"/>
      <c r="B84"/>
      <c r="C84"/>
      <c r="D84"/>
      <c r="E84"/>
      <c r="F84"/>
      <c r="G84"/>
      <c r="H84"/>
      <c r="I84"/>
      <c r="J84"/>
      <c r="K84"/>
      <c r="L84"/>
      <c r="M84"/>
      <c r="N84"/>
      <c r="O84"/>
      <c r="P84"/>
      <c r="Q84"/>
      <c r="R84"/>
      <c r="S84"/>
      <c r="T84"/>
      <c r="U84"/>
      <c r="V84"/>
      <c r="W84"/>
      <c r="X84"/>
      <c r="Y84"/>
      <c r="Z84"/>
      <c r="AA84"/>
    </row>
    <row r="85" spans="1:27" ht="15.6" x14ac:dyDescent="0.25">
      <c r="A85"/>
      <c r="B85"/>
      <c r="C85"/>
      <c r="D85"/>
      <c r="E85"/>
      <c r="F85"/>
      <c r="G85"/>
      <c r="H85"/>
      <c r="I85"/>
      <c r="J85"/>
      <c r="K85"/>
      <c r="L85"/>
      <c r="M85"/>
      <c r="N85"/>
      <c r="O85"/>
      <c r="P85"/>
      <c r="Q85"/>
      <c r="R85"/>
      <c r="S85"/>
      <c r="T85"/>
      <c r="U85"/>
      <c r="V85"/>
      <c r="W85"/>
      <c r="X85"/>
      <c r="Y85"/>
      <c r="Z85"/>
      <c r="AA85"/>
    </row>
    <row r="86" spans="1:27" ht="15.6" x14ac:dyDescent="0.25">
      <c r="A86"/>
      <c r="B86"/>
      <c r="C86"/>
      <c r="D86"/>
      <c r="E86"/>
      <c r="F86"/>
      <c r="G86"/>
      <c r="H86"/>
      <c r="I86"/>
      <c r="J86"/>
      <c r="K86"/>
      <c r="L86"/>
      <c r="M86"/>
      <c r="N86"/>
      <c r="O86"/>
      <c r="P86"/>
      <c r="Q86"/>
      <c r="R86"/>
      <c r="S86"/>
      <c r="T86"/>
      <c r="U86"/>
      <c r="V86"/>
      <c r="W86"/>
      <c r="X86"/>
      <c r="Y86"/>
      <c r="Z86"/>
      <c r="AA86"/>
    </row>
    <row r="87" spans="1:27" ht="15.6" x14ac:dyDescent="0.25">
      <c r="A87"/>
      <c r="B87"/>
      <c r="C87"/>
      <c r="D87"/>
      <c r="E87"/>
      <c r="F87"/>
      <c r="G87"/>
      <c r="H87"/>
      <c r="I87"/>
      <c r="J87"/>
      <c r="K87"/>
      <c r="L87"/>
      <c r="M87"/>
      <c r="N87"/>
      <c r="O87"/>
      <c r="P87"/>
      <c r="Q87"/>
      <c r="R87"/>
      <c r="S87"/>
      <c r="T87"/>
      <c r="U87"/>
      <c r="V87"/>
      <c r="W87"/>
      <c r="X87"/>
      <c r="Y87"/>
      <c r="Z87"/>
      <c r="AA87"/>
    </row>
    <row r="88" spans="1:27" ht="15.6" x14ac:dyDescent="0.25">
      <c r="A88"/>
      <c r="B88"/>
      <c r="C88"/>
      <c r="D88"/>
      <c r="E88"/>
      <c r="F88"/>
      <c r="G88"/>
      <c r="H88"/>
      <c r="I88"/>
      <c r="J88"/>
      <c r="K88"/>
      <c r="L88"/>
      <c r="M88"/>
      <c r="N88"/>
      <c r="O88"/>
      <c r="P88"/>
      <c r="Q88"/>
      <c r="R88"/>
      <c r="S88"/>
      <c r="T88"/>
      <c r="U88"/>
      <c r="V88"/>
      <c r="W88"/>
      <c r="X88"/>
      <c r="Y88"/>
      <c r="Z88"/>
      <c r="AA88"/>
    </row>
    <row r="89" spans="1:27" ht="15.6" x14ac:dyDescent="0.25">
      <c r="A89"/>
      <c r="B89"/>
      <c r="C89"/>
      <c r="D89"/>
      <c r="E89"/>
      <c r="F89"/>
      <c r="G89"/>
      <c r="H89"/>
      <c r="I89"/>
      <c r="J89"/>
      <c r="K89"/>
      <c r="L89"/>
      <c r="M89"/>
      <c r="N89"/>
      <c r="O89"/>
      <c r="P89"/>
      <c r="Q89"/>
      <c r="R89"/>
      <c r="S89"/>
      <c r="T89"/>
      <c r="U89"/>
      <c r="V89"/>
      <c r="W89"/>
      <c r="X89"/>
      <c r="Y89"/>
      <c r="Z89"/>
      <c r="AA89"/>
    </row>
    <row r="90" spans="1:27" ht="15.6" x14ac:dyDescent="0.25">
      <c r="A90"/>
      <c r="B90"/>
      <c r="C90"/>
      <c r="D90"/>
      <c r="E90"/>
      <c r="F90"/>
      <c r="G90"/>
      <c r="H90"/>
      <c r="I90"/>
      <c r="J90"/>
      <c r="K90"/>
      <c r="L90"/>
      <c r="M90"/>
      <c r="N90"/>
      <c r="O90"/>
      <c r="P90"/>
      <c r="Q90"/>
      <c r="R90"/>
      <c r="S90"/>
      <c r="T90"/>
      <c r="U90"/>
      <c r="V90"/>
      <c r="W90"/>
      <c r="X90"/>
      <c r="Y90"/>
      <c r="Z90"/>
      <c r="AA90"/>
    </row>
    <row r="91" spans="1:27" ht="15.6" x14ac:dyDescent="0.25">
      <c r="A91"/>
      <c r="B91"/>
      <c r="C91"/>
      <c r="D91"/>
      <c r="E91"/>
      <c r="F91"/>
      <c r="G91"/>
      <c r="H91"/>
      <c r="I91"/>
      <c r="J91"/>
      <c r="K91"/>
      <c r="L91"/>
      <c r="M91"/>
      <c r="N91"/>
      <c r="O91"/>
      <c r="P91"/>
      <c r="Q91"/>
      <c r="R91"/>
      <c r="S91"/>
      <c r="T91"/>
      <c r="U91"/>
      <c r="V91"/>
      <c r="W91"/>
      <c r="X91"/>
      <c r="Y91"/>
      <c r="Z91"/>
      <c r="AA91"/>
    </row>
    <row r="92" spans="1:27" ht="15.6" x14ac:dyDescent="0.25">
      <c r="A92"/>
      <c r="B92"/>
      <c r="C92"/>
      <c r="D92"/>
      <c r="E92"/>
      <c r="F92"/>
      <c r="G92"/>
      <c r="H92"/>
      <c r="I92"/>
      <c r="J92"/>
      <c r="K92"/>
      <c r="L92"/>
      <c r="M92"/>
      <c r="N92"/>
      <c r="O92"/>
      <c r="P92"/>
      <c r="Q92"/>
      <c r="R92"/>
      <c r="S92"/>
      <c r="T92"/>
      <c r="U92"/>
      <c r="V92"/>
      <c r="W92"/>
      <c r="X92"/>
      <c r="Y92"/>
      <c r="Z92"/>
      <c r="AA92"/>
    </row>
    <row r="93" spans="1:27" ht="15.6" x14ac:dyDescent="0.25">
      <c r="A93"/>
      <c r="B93"/>
      <c r="C93"/>
      <c r="D93"/>
      <c r="E93"/>
      <c r="F93"/>
      <c r="G93"/>
      <c r="H93"/>
      <c r="I93"/>
      <c r="J93"/>
      <c r="K93"/>
      <c r="L93"/>
      <c r="M93"/>
      <c r="N93"/>
      <c r="O93"/>
      <c r="P93"/>
      <c r="Q93"/>
      <c r="R93"/>
      <c r="S93"/>
      <c r="T93"/>
      <c r="U93"/>
      <c r="V93"/>
      <c r="W93"/>
      <c r="X93"/>
      <c r="Y93"/>
      <c r="Z93"/>
      <c r="AA93"/>
    </row>
    <row r="94" spans="1:27" ht="15.6" x14ac:dyDescent="0.25">
      <c r="A94"/>
      <c r="B94"/>
      <c r="C94"/>
      <c r="D94"/>
      <c r="E94"/>
      <c r="F94"/>
      <c r="G94"/>
      <c r="H94"/>
      <c r="I94"/>
      <c r="J94"/>
      <c r="K94"/>
      <c r="L94"/>
      <c r="M94"/>
      <c r="N94"/>
      <c r="O94"/>
      <c r="P94"/>
      <c r="Q94"/>
      <c r="R94"/>
      <c r="S94"/>
      <c r="T94"/>
      <c r="U94"/>
      <c r="V94"/>
      <c r="W94"/>
      <c r="X94"/>
      <c r="Y94"/>
      <c r="Z94"/>
      <c r="AA94"/>
    </row>
    <row r="95" spans="1:27" ht="15.6" x14ac:dyDescent="0.25">
      <c r="A95"/>
      <c r="B95"/>
      <c r="C95"/>
      <c r="D95"/>
      <c r="E95"/>
      <c r="F95"/>
      <c r="G95"/>
      <c r="H95"/>
      <c r="I95"/>
      <c r="J95"/>
      <c r="K95"/>
      <c r="L95"/>
      <c r="M95"/>
      <c r="N95"/>
      <c r="O95"/>
      <c r="P95"/>
      <c r="Q95"/>
      <c r="R95"/>
      <c r="S95"/>
      <c r="T95"/>
      <c r="U95"/>
      <c r="V95"/>
      <c r="W95"/>
      <c r="X95"/>
      <c r="Y95"/>
      <c r="Z95"/>
      <c r="AA95"/>
    </row>
    <row r="96" spans="1:27" ht="15.6" x14ac:dyDescent="0.25">
      <c r="A96"/>
      <c r="B96"/>
      <c r="C96"/>
      <c r="D96"/>
      <c r="E96"/>
      <c r="F96"/>
      <c r="G96"/>
      <c r="H96"/>
      <c r="I96"/>
      <c r="J96"/>
      <c r="K96"/>
      <c r="L96"/>
      <c r="M96"/>
      <c r="N96"/>
      <c r="O96"/>
      <c r="P96"/>
      <c r="Q96"/>
      <c r="R96"/>
      <c r="S96"/>
      <c r="T96"/>
      <c r="U96"/>
      <c r="V96"/>
      <c r="W96"/>
      <c r="X96"/>
      <c r="Y96"/>
      <c r="Z96"/>
      <c r="AA96"/>
    </row>
    <row r="97" spans="1:27" ht="15.6" x14ac:dyDescent="0.25">
      <c r="A97"/>
      <c r="B97"/>
      <c r="C97"/>
      <c r="D97"/>
      <c r="E97"/>
      <c r="F97"/>
      <c r="G97"/>
      <c r="H97"/>
      <c r="I97"/>
      <c r="J97"/>
      <c r="K97"/>
      <c r="L97"/>
      <c r="M97"/>
      <c r="N97"/>
      <c r="O97"/>
      <c r="P97"/>
      <c r="Q97"/>
      <c r="R97"/>
      <c r="S97"/>
      <c r="T97"/>
      <c r="U97"/>
      <c r="V97"/>
      <c r="W97"/>
      <c r="X97"/>
      <c r="Y97"/>
      <c r="Z97"/>
      <c r="AA97"/>
    </row>
    <row r="98" spans="1:27" ht="15.6" x14ac:dyDescent="0.25">
      <c r="A98"/>
      <c r="B98"/>
      <c r="C98"/>
      <c r="D98"/>
      <c r="E98"/>
      <c r="F98"/>
      <c r="G98"/>
      <c r="H98"/>
      <c r="I98"/>
      <c r="J98"/>
      <c r="K98"/>
      <c r="L98"/>
      <c r="M98"/>
      <c r="N98"/>
      <c r="O98"/>
      <c r="P98"/>
      <c r="Q98"/>
      <c r="R98"/>
      <c r="S98"/>
      <c r="T98"/>
      <c r="U98"/>
      <c r="V98"/>
      <c r="W98"/>
      <c r="X98"/>
      <c r="Y98"/>
      <c r="Z98"/>
      <c r="AA98"/>
    </row>
    <row r="99" spans="1:27" ht="15.6" x14ac:dyDescent="0.25">
      <c r="A99"/>
      <c r="B99"/>
      <c r="C99"/>
      <c r="D99"/>
      <c r="E99"/>
      <c r="F99"/>
      <c r="G99"/>
      <c r="H99"/>
      <c r="I99"/>
      <c r="J99"/>
      <c r="K99"/>
      <c r="L99"/>
      <c r="M99"/>
      <c r="N99"/>
      <c r="O99"/>
      <c r="P99"/>
      <c r="Q99"/>
      <c r="R99"/>
      <c r="S99"/>
      <c r="T99"/>
      <c r="U99"/>
      <c r="V99"/>
      <c r="W99"/>
      <c r="X99"/>
      <c r="Y99"/>
      <c r="Z99"/>
      <c r="AA99"/>
    </row>
    <row r="100" spans="1:27" ht="15.6" x14ac:dyDescent="0.25">
      <c r="A100"/>
      <c r="B100"/>
      <c r="C100"/>
      <c r="D100"/>
      <c r="E100"/>
      <c r="F100"/>
      <c r="G100"/>
      <c r="H100"/>
      <c r="I100"/>
      <c r="J100"/>
      <c r="K100"/>
      <c r="L100"/>
      <c r="M100"/>
      <c r="N100"/>
      <c r="O100"/>
      <c r="P100"/>
      <c r="Q100"/>
      <c r="R100"/>
      <c r="S100"/>
      <c r="T100"/>
      <c r="U100"/>
      <c r="V100"/>
      <c r="W100"/>
      <c r="X100"/>
      <c r="Y100"/>
      <c r="Z100"/>
      <c r="AA100"/>
    </row>
    <row r="101" spans="1:27" ht="15.6" x14ac:dyDescent="0.25">
      <c r="A101"/>
      <c r="B101"/>
      <c r="C101"/>
      <c r="D101"/>
      <c r="E101"/>
      <c r="F101"/>
      <c r="G101"/>
      <c r="H101"/>
      <c r="I101"/>
      <c r="J101"/>
      <c r="K101"/>
      <c r="L101"/>
      <c r="M101"/>
      <c r="N101"/>
      <c r="O101"/>
      <c r="P101"/>
      <c r="Q101"/>
      <c r="R101"/>
      <c r="S101"/>
      <c r="T101"/>
      <c r="U101"/>
      <c r="V101"/>
      <c r="W101"/>
      <c r="X101"/>
      <c r="Y101"/>
      <c r="Z101"/>
      <c r="AA101"/>
    </row>
    <row r="102" spans="1:27" ht="15.6" x14ac:dyDescent="0.25">
      <c r="A102"/>
      <c r="B102"/>
      <c r="C102"/>
      <c r="D102"/>
      <c r="E102"/>
      <c r="F102"/>
      <c r="G102"/>
      <c r="H102"/>
      <c r="I102"/>
      <c r="J102"/>
      <c r="K102"/>
      <c r="L102"/>
      <c r="M102"/>
      <c r="N102"/>
      <c r="O102"/>
      <c r="P102"/>
      <c r="Q102"/>
      <c r="R102"/>
      <c r="S102"/>
      <c r="T102"/>
      <c r="U102"/>
      <c r="V102"/>
      <c r="W102"/>
      <c r="X102"/>
      <c r="Y102"/>
      <c r="Z102"/>
      <c r="AA102"/>
    </row>
    <row r="103" spans="1:27" ht="15.6" x14ac:dyDescent="0.25">
      <c r="A103"/>
      <c r="B103"/>
      <c r="C103"/>
      <c r="D103"/>
      <c r="E103"/>
      <c r="F103"/>
      <c r="G103"/>
      <c r="H103"/>
      <c r="I103"/>
      <c r="J103"/>
      <c r="K103"/>
      <c r="L103"/>
      <c r="M103"/>
      <c r="N103"/>
      <c r="O103"/>
      <c r="P103"/>
      <c r="Q103"/>
      <c r="R103"/>
      <c r="S103"/>
      <c r="T103"/>
      <c r="U103"/>
      <c r="V103"/>
      <c r="W103"/>
      <c r="X103"/>
      <c r="Y103"/>
      <c r="Z103"/>
      <c r="AA103"/>
    </row>
    <row r="104" spans="1:27" ht="15.6" x14ac:dyDescent="0.25">
      <c r="A104"/>
      <c r="B104"/>
      <c r="C104"/>
      <c r="D104"/>
      <c r="E104"/>
      <c r="F104"/>
      <c r="G104"/>
      <c r="H104"/>
      <c r="I104"/>
      <c r="J104"/>
      <c r="K104"/>
      <c r="L104"/>
      <c r="M104"/>
      <c r="N104"/>
      <c r="O104"/>
      <c r="P104"/>
      <c r="Q104"/>
      <c r="R104"/>
      <c r="S104"/>
      <c r="T104"/>
      <c r="U104"/>
      <c r="V104"/>
      <c r="W104"/>
      <c r="X104"/>
      <c r="Y104"/>
      <c r="Z104"/>
      <c r="AA104"/>
    </row>
    <row r="105" spans="1:27" ht="15.6" x14ac:dyDescent="0.25">
      <c r="A105"/>
      <c r="B105"/>
      <c r="C105"/>
      <c r="D105"/>
      <c r="E105"/>
      <c r="F105"/>
      <c r="G105"/>
      <c r="H105"/>
      <c r="I105"/>
      <c r="J105"/>
      <c r="K105"/>
      <c r="L105"/>
      <c r="M105"/>
      <c r="N105"/>
      <c r="O105"/>
      <c r="P105"/>
      <c r="Q105"/>
      <c r="R105"/>
      <c r="S105"/>
      <c r="T105"/>
      <c r="U105"/>
      <c r="V105"/>
      <c r="W105"/>
      <c r="X105"/>
      <c r="Y105"/>
      <c r="Z105"/>
      <c r="AA105"/>
    </row>
    <row r="106" spans="1:27" ht="15.6" x14ac:dyDescent="0.25">
      <c r="A106"/>
      <c r="B106"/>
      <c r="C106"/>
      <c r="D106"/>
      <c r="E106"/>
      <c r="F106"/>
      <c r="G106"/>
      <c r="H106"/>
      <c r="I106"/>
      <c r="J106"/>
      <c r="K106"/>
      <c r="L106"/>
      <c r="M106"/>
      <c r="N106"/>
      <c r="O106"/>
      <c r="P106"/>
      <c r="Q106"/>
      <c r="R106"/>
      <c r="S106"/>
      <c r="T106"/>
      <c r="U106"/>
      <c r="V106"/>
      <c r="W106"/>
      <c r="X106"/>
      <c r="Y106"/>
      <c r="Z106"/>
      <c r="AA106"/>
    </row>
    <row r="107" spans="1:27" ht="15.6" x14ac:dyDescent="0.25">
      <c r="A107"/>
      <c r="B107"/>
      <c r="C107"/>
      <c r="D107"/>
      <c r="E107"/>
      <c r="F107"/>
      <c r="G107"/>
      <c r="H107"/>
      <c r="I107"/>
      <c r="J107"/>
      <c r="K107"/>
      <c r="L107"/>
      <c r="M107"/>
      <c r="N107"/>
      <c r="O107"/>
      <c r="P107"/>
      <c r="Q107"/>
      <c r="R107"/>
      <c r="S107"/>
      <c r="T107"/>
      <c r="U107"/>
      <c r="V107"/>
      <c r="W107"/>
      <c r="X107"/>
      <c r="Y107"/>
      <c r="Z107"/>
      <c r="AA107"/>
    </row>
    <row r="108" spans="1:27" ht="15.6" x14ac:dyDescent="0.25">
      <c r="A108"/>
      <c r="B108"/>
      <c r="C108"/>
      <c r="D108"/>
      <c r="E108"/>
      <c r="F108"/>
      <c r="G108"/>
      <c r="H108"/>
      <c r="I108"/>
      <c r="J108"/>
      <c r="K108"/>
      <c r="L108"/>
      <c r="M108"/>
      <c r="N108"/>
      <c r="O108"/>
      <c r="P108"/>
      <c r="Q108"/>
      <c r="R108"/>
      <c r="S108"/>
      <c r="T108"/>
      <c r="U108"/>
      <c r="V108"/>
      <c r="W108"/>
      <c r="X108"/>
      <c r="Y108"/>
      <c r="Z108"/>
      <c r="AA108"/>
    </row>
    <row r="109" spans="1:27" ht="15.6" x14ac:dyDescent="0.25">
      <c r="A109"/>
      <c r="B109"/>
      <c r="C109"/>
      <c r="D109"/>
      <c r="E109"/>
      <c r="F109"/>
      <c r="G109"/>
      <c r="H109"/>
      <c r="I109"/>
      <c r="J109"/>
      <c r="K109"/>
      <c r="L109"/>
      <c r="M109"/>
      <c r="N109"/>
      <c r="O109"/>
      <c r="P109"/>
      <c r="Q109"/>
      <c r="R109"/>
      <c r="S109"/>
      <c r="T109"/>
      <c r="U109"/>
      <c r="V109"/>
      <c r="W109"/>
      <c r="X109"/>
      <c r="Y109"/>
      <c r="Z109"/>
      <c r="AA109"/>
    </row>
    <row r="110" spans="1:27" ht="15.6" x14ac:dyDescent="0.25">
      <c r="A110"/>
      <c r="B110"/>
      <c r="C110"/>
      <c r="D110"/>
      <c r="E110"/>
      <c r="F110"/>
      <c r="G110"/>
      <c r="H110"/>
      <c r="I110"/>
      <c r="J110"/>
      <c r="K110"/>
      <c r="L110"/>
      <c r="M110"/>
      <c r="N110"/>
      <c r="O110"/>
      <c r="P110"/>
      <c r="Q110"/>
      <c r="R110"/>
      <c r="S110"/>
      <c r="T110"/>
      <c r="U110"/>
      <c r="V110"/>
      <c r="W110"/>
      <c r="X110"/>
      <c r="Y110"/>
      <c r="Z110"/>
      <c r="AA110"/>
    </row>
    <row r="111" spans="1:27" ht="15.6" x14ac:dyDescent="0.25">
      <c r="A111"/>
      <c r="B111"/>
      <c r="C111"/>
      <c r="D111"/>
      <c r="E111"/>
      <c r="F111"/>
      <c r="G111"/>
      <c r="H111"/>
      <c r="I111"/>
      <c r="J111"/>
      <c r="K111"/>
      <c r="L111"/>
      <c r="M111"/>
      <c r="N111"/>
      <c r="O111"/>
      <c r="P111"/>
      <c r="Q111"/>
      <c r="R111"/>
      <c r="S111"/>
      <c r="T111"/>
      <c r="U111"/>
      <c r="V111"/>
      <c r="W111"/>
      <c r="X111"/>
      <c r="Y111"/>
      <c r="Z111"/>
      <c r="AA111"/>
    </row>
    <row r="112" spans="1:27" ht="15.6" x14ac:dyDescent="0.25">
      <c r="A112"/>
      <c r="B112"/>
      <c r="C112"/>
      <c r="D112"/>
      <c r="E112"/>
      <c r="F112"/>
      <c r="G112"/>
      <c r="H112"/>
      <c r="I112"/>
      <c r="J112"/>
      <c r="K112"/>
      <c r="L112"/>
      <c r="M112"/>
      <c r="N112"/>
      <c r="O112"/>
      <c r="P112"/>
      <c r="Q112"/>
      <c r="R112"/>
      <c r="S112"/>
      <c r="T112"/>
      <c r="U112"/>
      <c r="V112"/>
      <c r="W112"/>
      <c r="X112"/>
      <c r="Y112"/>
      <c r="Z112"/>
      <c r="AA112"/>
    </row>
    <row r="113" spans="1:27" ht="15.6" x14ac:dyDescent="0.25">
      <c r="A113"/>
      <c r="B113"/>
      <c r="C113"/>
      <c r="D113"/>
      <c r="E113"/>
      <c r="F113"/>
      <c r="G113"/>
      <c r="H113"/>
      <c r="I113"/>
      <c r="J113"/>
      <c r="K113"/>
      <c r="L113"/>
      <c r="M113"/>
      <c r="N113"/>
      <c r="O113"/>
      <c r="P113"/>
      <c r="Q113"/>
      <c r="R113"/>
      <c r="S113"/>
      <c r="T113"/>
      <c r="U113"/>
      <c r="V113"/>
      <c r="W113"/>
      <c r="X113"/>
      <c r="Y113"/>
      <c r="Z113"/>
      <c r="AA113"/>
    </row>
    <row r="114" spans="1:27" ht="15.6" x14ac:dyDescent="0.25">
      <c r="A114"/>
      <c r="B114"/>
      <c r="C114"/>
      <c r="D114"/>
      <c r="E114"/>
      <c r="F114"/>
      <c r="G114"/>
      <c r="H114"/>
      <c r="I114"/>
      <c r="J114"/>
      <c r="K114"/>
      <c r="L114"/>
      <c r="M114"/>
      <c r="N114"/>
      <c r="O114"/>
      <c r="P114"/>
      <c r="Q114"/>
      <c r="R114"/>
      <c r="S114"/>
      <c r="T114"/>
      <c r="U114"/>
      <c r="V114"/>
      <c r="W114"/>
      <c r="X114"/>
      <c r="Y114"/>
      <c r="Z114"/>
      <c r="AA114"/>
    </row>
    <row r="115" spans="1:27" ht="15.6" x14ac:dyDescent="0.25">
      <c r="A115"/>
      <c r="B115"/>
      <c r="C115"/>
      <c r="D115"/>
      <c r="E115"/>
      <c r="F115"/>
      <c r="G115"/>
      <c r="H115"/>
      <c r="I115"/>
      <c r="J115"/>
      <c r="K115"/>
      <c r="L115"/>
      <c r="M115"/>
      <c r="N115"/>
      <c r="O115"/>
      <c r="P115"/>
      <c r="Q115"/>
      <c r="R115"/>
      <c r="S115"/>
      <c r="T115"/>
      <c r="U115"/>
      <c r="V115"/>
      <c r="W115"/>
      <c r="X115"/>
      <c r="Y115"/>
      <c r="Z115"/>
      <c r="AA115"/>
    </row>
    <row r="116" spans="1:27" ht="15.6" x14ac:dyDescent="0.25">
      <c r="A116"/>
      <c r="B116"/>
      <c r="C116"/>
      <c r="D116"/>
      <c r="E116"/>
      <c r="F116"/>
      <c r="G116"/>
      <c r="H116"/>
      <c r="I116"/>
      <c r="J116"/>
      <c r="K116"/>
      <c r="L116"/>
      <c r="M116"/>
      <c r="N116"/>
      <c r="O116"/>
      <c r="P116"/>
      <c r="Q116"/>
      <c r="R116"/>
      <c r="S116"/>
      <c r="T116"/>
      <c r="U116"/>
      <c r="V116"/>
      <c r="W116"/>
      <c r="X116"/>
      <c r="Y116"/>
      <c r="Z116"/>
      <c r="AA116"/>
    </row>
    <row r="117" spans="1:27" ht="15.6" x14ac:dyDescent="0.25">
      <c r="A117"/>
      <c r="B117"/>
      <c r="C117"/>
      <c r="D117"/>
      <c r="E117"/>
      <c r="F117"/>
      <c r="G117"/>
      <c r="H117"/>
      <c r="I117"/>
      <c r="J117"/>
      <c r="K117"/>
      <c r="L117"/>
      <c r="M117"/>
      <c r="N117"/>
      <c r="O117"/>
      <c r="P117"/>
      <c r="Q117"/>
      <c r="R117"/>
      <c r="S117"/>
      <c r="T117"/>
      <c r="U117"/>
      <c r="V117"/>
      <c r="W117"/>
      <c r="X117"/>
      <c r="Y117"/>
      <c r="Z117"/>
      <c r="AA117"/>
    </row>
    <row r="118" spans="1:27" ht="15.6" x14ac:dyDescent="0.25">
      <c r="A118"/>
      <c r="B118"/>
      <c r="C118"/>
      <c r="D118"/>
      <c r="E118"/>
      <c r="F118"/>
      <c r="G118"/>
      <c r="H118"/>
      <c r="I118"/>
      <c r="J118"/>
      <c r="K118"/>
      <c r="L118"/>
      <c r="M118"/>
      <c r="N118"/>
      <c r="O118"/>
      <c r="P118"/>
      <c r="Q118"/>
      <c r="R118"/>
      <c r="S118"/>
      <c r="T118"/>
      <c r="U118"/>
      <c r="V118"/>
      <c r="W118"/>
      <c r="X118"/>
      <c r="Y118"/>
      <c r="Z118"/>
      <c r="AA118"/>
    </row>
    <row r="119" spans="1:27" ht="15.6" x14ac:dyDescent="0.25">
      <c r="A119"/>
      <c r="B119"/>
      <c r="C119"/>
      <c r="D119"/>
      <c r="E119"/>
      <c r="F119"/>
      <c r="G119"/>
      <c r="H119"/>
      <c r="I119"/>
      <c r="J119"/>
      <c r="K119"/>
      <c r="L119"/>
      <c r="M119"/>
      <c r="N119"/>
      <c r="O119"/>
      <c r="P119"/>
      <c r="Q119"/>
      <c r="R119"/>
      <c r="S119"/>
      <c r="T119"/>
      <c r="U119"/>
      <c r="V119"/>
      <c r="W119"/>
      <c r="X119"/>
      <c r="Y119"/>
      <c r="Z119"/>
      <c r="AA119"/>
    </row>
    <row r="120" spans="1:27" ht="15.6" x14ac:dyDescent="0.25">
      <c r="A120"/>
      <c r="B120"/>
      <c r="C120"/>
      <c r="D120"/>
      <c r="E120"/>
      <c r="F120"/>
      <c r="G120"/>
      <c r="H120"/>
      <c r="I120"/>
      <c r="J120"/>
      <c r="K120"/>
      <c r="L120"/>
      <c r="M120"/>
      <c r="N120"/>
      <c r="O120"/>
      <c r="P120"/>
      <c r="Q120"/>
      <c r="R120"/>
      <c r="S120"/>
      <c r="T120"/>
      <c r="U120"/>
      <c r="V120"/>
      <c r="W120"/>
      <c r="X120"/>
      <c r="Y120"/>
      <c r="Z120"/>
      <c r="AA120"/>
    </row>
    <row r="121" spans="1:27" ht="15.6" x14ac:dyDescent="0.25">
      <c r="A121"/>
      <c r="B121"/>
      <c r="C121"/>
      <c r="D121"/>
      <c r="E121"/>
      <c r="F121"/>
      <c r="G121"/>
      <c r="H121"/>
      <c r="I121"/>
      <c r="J121"/>
      <c r="K121"/>
      <c r="L121"/>
      <c r="M121"/>
      <c r="N121"/>
      <c r="O121"/>
      <c r="P121"/>
      <c r="Q121"/>
      <c r="R121"/>
      <c r="S121"/>
      <c r="T121"/>
      <c r="U121"/>
      <c r="V121"/>
      <c r="W121"/>
      <c r="X121"/>
      <c r="Y121"/>
      <c r="Z121"/>
      <c r="AA121"/>
    </row>
    <row r="122" spans="1:27" ht="15.6" x14ac:dyDescent="0.25">
      <c r="A122"/>
      <c r="B122"/>
      <c r="C122"/>
      <c r="D122"/>
      <c r="E122"/>
      <c r="F122"/>
      <c r="G122"/>
      <c r="H122"/>
      <c r="I122"/>
      <c r="J122"/>
      <c r="K122"/>
      <c r="L122"/>
      <c r="M122"/>
      <c r="N122"/>
      <c r="O122"/>
      <c r="P122"/>
      <c r="Q122"/>
      <c r="R122"/>
      <c r="S122"/>
      <c r="T122"/>
      <c r="U122"/>
      <c r="V122"/>
      <c r="W122"/>
      <c r="X122"/>
      <c r="Y122"/>
      <c r="Z122"/>
      <c r="AA122"/>
    </row>
    <row r="123" spans="1:27" ht="15.6" x14ac:dyDescent="0.25">
      <c r="A123"/>
      <c r="B123"/>
      <c r="C123"/>
      <c r="D123"/>
      <c r="E123"/>
      <c r="F123"/>
      <c r="G123"/>
      <c r="H123"/>
      <c r="I123"/>
      <c r="J123"/>
      <c r="K123"/>
      <c r="L123"/>
      <c r="M123"/>
      <c r="N123"/>
      <c r="O123"/>
      <c r="P123"/>
      <c r="Q123"/>
      <c r="R123"/>
      <c r="S123"/>
      <c r="T123"/>
      <c r="U123"/>
      <c r="V123"/>
      <c r="W123"/>
      <c r="X123"/>
      <c r="Y123"/>
      <c r="Z123"/>
      <c r="AA123"/>
    </row>
    <row r="124" spans="1:27" ht="15.6" x14ac:dyDescent="0.25">
      <c r="A124"/>
    </row>
    <row r="125" spans="1:27" ht="15.6" x14ac:dyDescent="0.25">
      <c r="A125"/>
    </row>
    <row r="126" spans="1:27" ht="15.6" x14ac:dyDescent="0.25">
      <c r="A126"/>
    </row>
    <row r="127" spans="1:27" ht="15.6" x14ac:dyDescent="0.25">
      <c r="A127"/>
    </row>
    <row r="128" spans="1:27" ht="15.6" x14ac:dyDescent="0.25">
      <c r="A128"/>
    </row>
    <row r="129" spans="1:1" ht="15.6" x14ac:dyDescent="0.25">
      <c r="A129"/>
    </row>
    <row r="130" spans="1:1" ht="15.6" x14ac:dyDescent="0.25">
      <c r="A130"/>
    </row>
    <row r="131" spans="1:1" ht="15.6" x14ac:dyDescent="0.25">
      <c r="A131"/>
    </row>
    <row r="132" spans="1:1" ht="15.6" x14ac:dyDescent="0.25">
      <c r="A132"/>
    </row>
    <row r="133" spans="1:1" ht="15.6" x14ac:dyDescent="0.25">
      <c r="A133"/>
    </row>
    <row r="134" spans="1:1" ht="15.6" x14ac:dyDescent="0.25">
      <c r="A134"/>
    </row>
    <row r="135" spans="1:1" ht="15.6" x14ac:dyDescent="0.25">
      <c r="A135"/>
    </row>
    <row r="136" spans="1:1" ht="15.6" x14ac:dyDescent="0.25">
      <c r="A136"/>
    </row>
    <row r="137" spans="1:1" ht="15.6" x14ac:dyDescent="0.25">
      <c r="A137"/>
    </row>
    <row r="138" spans="1:1" ht="15.6" x14ac:dyDescent="0.25">
      <c r="A138"/>
    </row>
    <row r="139" spans="1:1" ht="15.6" x14ac:dyDescent="0.25">
      <c r="A139"/>
    </row>
    <row r="140" spans="1:1" ht="15.6" x14ac:dyDescent="0.25">
      <c r="A140"/>
    </row>
    <row r="141" spans="1:1" ht="15.6" x14ac:dyDescent="0.25">
      <c r="A141"/>
    </row>
    <row r="142" spans="1:1" ht="15.6" x14ac:dyDescent="0.25">
      <c r="A142"/>
    </row>
    <row r="143" spans="1:1" ht="15.6" x14ac:dyDescent="0.25">
      <c r="A143"/>
    </row>
    <row r="144" spans="1:1" ht="15.6" x14ac:dyDescent="0.25">
      <c r="A144"/>
    </row>
    <row r="145" spans="1:1" ht="15.6" x14ac:dyDescent="0.25">
      <c r="A145"/>
    </row>
    <row r="146" spans="1:1" ht="15.6" x14ac:dyDescent="0.25">
      <c r="A146"/>
    </row>
    <row r="147" spans="1:1" ht="15.6" x14ac:dyDescent="0.25">
      <c r="A147"/>
    </row>
    <row r="148" spans="1:1" ht="15.6" x14ac:dyDescent="0.25">
      <c r="A148"/>
    </row>
    <row r="149" spans="1:1" ht="15.6" x14ac:dyDescent="0.25">
      <c r="A149"/>
    </row>
    <row r="150" spans="1:1" ht="15.6" x14ac:dyDescent="0.25">
      <c r="A150"/>
    </row>
    <row r="151" spans="1:1" ht="15.6" x14ac:dyDescent="0.25">
      <c r="A151"/>
    </row>
    <row r="152" spans="1:1" ht="15.6" x14ac:dyDescent="0.25">
      <c r="A152"/>
    </row>
    <row r="153" spans="1:1" ht="15.6" x14ac:dyDescent="0.25">
      <c r="A153"/>
    </row>
    <row r="154" spans="1:1" ht="15.6" x14ac:dyDescent="0.25">
      <c r="A154"/>
    </row>
    <row r="155" spans="1:1" ht="15.6" x14ac:dyDescent="0.25">
      <c r="A155"/>
    </row>
    <row r="156" spans="1:1" ht="15.6" x14ac:dyDescent="0.25">
      <c r="A156"/>
    </row>
    <row r="157" spans="1:1" ht="15.6" x14ac:dyDescent="0.25">
      <c r="A157"/>
    </row>
    <row r="158" spans="1:1" ht="15.6" x14ac:dyDescent="0.25">
      <c r="A158"/>
    </row>
    <row r="159" spans="1:1" ht="15.6" x14ac:dyDescent="0.25">
      <c r="A159"/>
    </row>
    <row r="160" spans="1:1" ht="15.6" x14ac:dyDescent="0.25">
      <c r="A160"/>
    </row>
    <row r="161" spans="1:1" ht="15.6" x14ac:dyDescent="0.25">
      <c r="A161"/>
    </row>
    <row r="162" spans="1:1" ht="15.6" x14ac:dyDescent="0.25">
      <c r="A162"/>
    </row>
    <row r="163" spans="1:1" ht="15.6" x14ac:dyDescent="0.25">
      <c r="A163"/>
    </row>
    <row r="164" spans="1:1" ht="15.6" x14ac:dyDescent="0.25">
      <c r="A164"/>
    </row>
    <row r="165" spans="1:1" ht="15.6" x14ac:dyDescent="0.25">
      <c r="A165"/>
    </row>
    <row r="166" spans="1:1" ht="15.6" x14ac:dyDescent="0.25">
      <c r="A166"/>
    </row>
    <row r="167" spans="1:1" ht="15.6" x14ac:dyDescent="0.25">
      <c r="A167"/>
    </row>
    <row r="168" spans="1:1" ht="15.6" x14ac:dyDescent="0.25">
      <c r="A168"/>
    </row>
    <row r="169" spans="1:1" ht="15.6" x14ac:dyDescent="0.25">
      <c r="A169"/>
    </row>
    <row r="170" spans="1:1" ht="15.6" x14ac:dyDescent="0.25">
      <c r="A170"/>
    </row>
    <row r="171" spans="1:1" ht="15.6" x14ac:dyDescent="0.25">
      <c r="A171"/>
    </row>
    <row r="172" spans="1:1" ht="15.6" x14ac:dyDescent="0.25">
      <c r="A172"/>
    </row>
    <row r="173" spans="1:1" ht="15.6" x14ac:dyDescent="0.25">
      <c r="A173"/>
    </row>
    <row r="174" spans="1:1" ht="15.6" x14ac:dyDescent="0.25">
      <c r="A174"/>
    </row>
    <row r="175" spans="1:1" ht="15.6" x14ac:dyDescent="0.25">
      <c r="A175"/>
    </row>
    <row r="176" spans="1:1" ht="15.6" x14ac:dyDescent="0.25">
      <c r="A176"/>
    </row>
    <row r="177" spans="1:1" ht="15.6" x14ac:dyDescent="0.25">
      <c r="A177"/>
    </row>
    <row r="178" spans="1:1" ht="15.6" x14ac:dyDescent="0.25">
      <c r="A178"/>
    </row>
    <row r="179" spans="1:1" ht="15.6" x14ac:dyDescent="0.25">
      <c r="A179"/>
    </row>
    <row r="180" spans="1:1" ht="15.6" x14ac:dyDescent="0.25">
      <c r="A180"/>
    </row>
    <row r="181" spans="1:1" ht="15.6" x14ac:dyDescent="0.25">
      <c r="A181"/>
    </row>
    <row r="182" spans="1:1" ht="15.6" x14ac:dyDescent="0.25">
      <c r="A182"/>
    </row>
    <row r="183" spans="1:1" ht="15.6" x14ac:dyDescent="0.25">
      <c r="A183"/>
    </row>
    <row r="184" spans="1:1" ht="15.6" x14ac:dyDescent="0.25">
      <c r="A184"/>
    </row>
    <row r="185" spans="1:1" ht="15.6" x14ac:dyDescent="0.25">
      <c r="A185"/>
    </row>
    <row r="186" spans="1:1" ht="15.6" x14ac:dyDescent="0.25">
      <c r="A186"/>
    </row>
    <row r="187" spans="1:1" ht="15.6" x14ac:dyDescent="0.25">
      <c r="A187"/>
    </row>
    <row r="188" spans="1:1" ht="15.6" x14ac:dyDescent="0.25">
      <c r="A188"/>
    </row>
    <row r="189" spans="1:1" ht="15.6" x14ac:dyDescent="0.25">
      <c r="A189"/>
    </row>
    <row r="190" spans="1:1" ht="15.6" x14ac:dyDescent="0.25">
      <c r="A190"/>
    </row>
    <row r="191" spans="1:1" ht="15.6" x14ac:dyDescent="0.25">
      <c r="A191"/>
    </row>
    <row r="192" spans="1:1" ht="15.6" x14ac:dyDescent="0.25">
      <c r="A192"/>
    </row>
    <row r="193" spans="1:1" ht="15.6" x14ac:dyDescent="0.25">
      <c r="A193"/>
    </row>
    <row r="194" spans="1:1" ht="15.6" x14ac:dyDescent="0.25">
      <c r="A194"/>
    </row>
    <row r="195" spans="1:1" ht="15.6" x14ac:dyDescent="0.25">
      <c r="A195"/>
    </row>
    <row r="196" spans="1:1" ht="15.6" x14ac:dyDescent="0.25">
      <c r="A196"/>
    </row>
    <row r="197" spans="1:1" ht="15.6" x14ac:dyDescent="0.25">
      <c r="A197"/>
    </row>
    <row r="198" spans="1:1" ht="15.6" x14ac:dyDescent="0.25">
      <c r="A198"/>
    </row>
    <row r="199" spans="1:1" ht="15.6" x14ac:dyDescent="0.25">
      <c r="A199"/>
    </row>
    <row r="200" spans="1:1" ht="15.6" x14ac:dyDescent="0.25">
      <c r="A200"/>
    </row>
    <row r="201" spans="1:1" ht="15.6" x14ac:dyDescent="0.25">
      <c r="A201"/>
    </row>
    <row r="202" spans="1:1" ht="15.6" x14ac:dyDescent="0.25">
      <c r="A202"/>
    </row>
    <row r="203" spans="1:1" ht="15.6" x14ac:dyDescent="0.25">
      <c r="A203"/>
    </row>
    <row r="204" spans="1:1" ht="15.6" x14ac:dyDescent="0.25">
      <c r="A204"/>
    </row>
    <row r="205" spans="1:1" ht="15.6" x14ac:dyDescent="0.25">
      <c r="A205"/>
    </row>
    <row r="206" spans="1:1" ht="15.6" x14ac:dyDescent="0.25">
      <c r="A206"/>
    </row>
    <row r="207" spans="1:1" ht="15.6" x14ac:dyDescent="0.25">
      <c r="A207"/>
    </row>
    <row r="208" spans="1:1" ht="15.6" x14ac:dyDescent="0.25">
      <c r="A208"/>
    </row>
    <row r="209" spans="1:1" ht="15.6" x14ac:dyDescent="0.25">
      <c r="A209"/>
    </row>
    <row r="210" spans="1:1" ht="15.6" x14ac:dyDescent="0.25">
      <c r="A210"/>
    </row>
    <row r="211" spans="1:1" ht="15.6" x14ac:dyDescent="0.25">
      <c r="A211"/>
    </row>
    <row r="212" spans="1:1" ht="15.6" x14ac:dyDescent="0.25">
      <c r="A212"/>
    </row>
    <row r="213" spans="1:1" ht="15.6" x14ac:dyDescent="0.25">
      <c r="A213"/>
    </row>
    <row r="214" spans="1:1" ht="15.6" x14ac:dyDescent="0.25">
      <c r="A214"/>
    </row>
    <row r="215" spans="1:1" ht="15.6" x14ac:dyDescent="0.25">
      <c r="A215"/>
    </row>
    <row r="216" spans="1:1" ht="15.6" x14ac:dyDescent="0.25">
      <c r="A216"/>
    </row>
    <row r="217" spans="1:1" ht="15.6" x14ac:dyDescent="0.25">
      <c r="A217"/>
    </row>
    <row r="218" spans="1:1" ht="15.6" x14ac:dyDescent="0.25">
      <c r="A218"/>
    </row>
    <row r="219" spans="1:1" ht="15.6" x14ac:dyDescent="0.25">
      <c r="A219"/>
    </row>
    <row r="220" spans="1:1" ht="15.6" x14ac:dyDescent="0.25">
      <c r="A220"/>
    </row>
    <row r="221" spans="1:1" ht="15.6" x14ac:dyDescent="0.25">
      <c r="A221"/>
    </row>
    <row r="222" spans="1:1" ht="15.6" x14ac:dyDescent="0.25">
      <c r="A222"/>
    </row>
    <row r="223" spans="1:1" ht="15.6" x14ac:dyDescent="0.25">
      <c r="A223"/>
    </row>
    <row r="224" spans="1:1" ht="15.6" x14ac:dyDescent="0.25">
      <c r="A224"/>
    </row>
    <row r="225" spans="1:1" ht="15.6" x14ac:dyDescent="0.25">
      <c r="A225"/>
    </row>
    <row r="226" spans="1:1" ht="15.6" x14ac:dyDescent="0.25">
      <c r="A226"/>
    </row>
    <row r="227" spans="1:1" ht="15.6" x14ac:dyDescent="0.25">
      <c r="A227"/>
    </row>
    <row r="228" spans="1:1" ht="15.6" x14ac:dyDescent="0.25">
      <c r="A228"/>
    </row>
    <row r="229" spans="1:1" ht="15.6" x14ac:dyDescent="0.25">
      <c r="A229"/>
    </row>
    <row r="230" spans="1:1" ht="15.6" x14ac:dyDescent="0.25">
      <c r="A230"/>
    </row>
    <row r="231" spans="1:1" ht="15.6" x14ac:dyDescent="0.25">
      <c r="A231"/>
    </row>
    <row r="232" spans="1:1" ht="15.6" x14ac:dyDescent="0.25">
      <c r="A232"/>
    </row>
    <row r="233" spans="1:1" ht="15.6" x14ac:dyDescent="0.25">
      <c r="A233"/>
    </row>
    <row r="234" spans="1:1" ht="15.6" x14ac:dyDescent="0.25">
      <c r="A234"/>
    </row>
    <row r="235" spans="1:1" ht="15.6" x14ac:dyDescent="0.25">
      <c r="A235"/>
    </row>
    <row r="236" spans="1:1" ht="15.6" x14ac:dyDescent="0.25">
      <c r="A236"/>
    </row>
    <row r="237" spans="1:1" ht="15.6" x14ac:dyDescent="0.25">
      <c r="A237"/>
    </row>
    <row r="238" spans="1:1" ht="15.6" x14ac:dyDescent="0.25">
      <c r="A238"/>
    </row>
    <row r="239" spans="1:1" ht="15.6" x14ac:dyDescent="0.25">
      <c r="A239"/>
    </row>
    <row r="240" spans="1:1" ht="15.6" x14ac:dyDescent="0.25">
      <c r="A240"/>
    </row>
    <row r="241" spans="1:1" ht="15.6" x14ac:dyDescent="0.25">
      <c r="A241"/>
    </row>
    <row r="242" spans="1:1" ht="15.6" x14ac:dyDescent="0.25">
      <c r="A242"/>
    </row>
    <row r="243" spans="1:1" ht="15.6" x14ac:dyDescent="0.25">
      <c r="A243"/>
    </row>
    <row r="244" spans="1:1" ht="15.6" x14ac:dyDescent="0.25">
      <c r="A244"/>
    </row>
    <row r="245" spans="1:1" ht="15.6" x14ac:dyDescent="0.25">
      <c r="A245"/>
    </row>
    <row r="246" spans="1:1" ht="15.6" x14ac:dyDescent="0.25">
      <c r="A246"/>
    </row>
    <row r="247" spans="1:1" ht="15.6" x14ac:dyDescent="0.25">
      <c r="A247"/>
    </row>
    <row r="248" spans="1:1" ht="15.6" x14ac:dyDescent="0.25">
      <c r="A248"/>
    </row>
    <row r="249" spans="1:1" ht="15.6" x14ac:dyDescent="0.25">
      <c r="A249"/>
    </row>
    <row r="250" spans="1:1" ht="15.6" x14ac:dyDescent="0.25">
      <c r="A250"/>
    </row>
    <row r="251" spans="1:1" ht="15.6" x14ac:dyDescent="0.25">
      <c r="A251"/>
    </row>
    <row r="252" spans="1:1" ht="15.6" x14ac:dyDescent="0.25">
      <c r="A252"/>
    </row>
    <row r="253" spans="1:1" ht="15.6" x14ac:dyDescent="0.25">
      <c r="A253"/>
    </row>
    <row r="254" spans="1:1" ht="15.6" x14ac:dyDescent="0.25">
      <c r="A254"/>
    </row>
    <row r="255" spans="1:1" ht="15.6" x14ac:dyDescent="0.25">
      <c r="A255"/>
    </row>
    <row r="256" spans="1:1" ht="15.6" x14ac:dyDescent="0.25">
      <c r="A256"/>
    </row>
    <row r="257" spans="1:1" ht="15.6" x14ac:dyDescent="0.25">
      <c r="A257"/>
    </row>
    <row r="258" spans="1:1" ht="15.6" x14ac:dyDescent="0.25">
      <c r="A258"/>
    </row>
    <row r="259" spans="1:1" ht="15.6" x14ac:dyDescent="0.25">
      <c r="A259"/>
    </row>
    <row r="260" spans="1:1" ht="15.6" x14ac:dyDescent="0.25">
      <c r="A260"/>
    </row>
    <row r="261" spans="1:1" ht="15.6" x14ac:dyDescent="0.25">
      <c r="A261"/>
    </row>
    <row r="262" spans="1:1" ht="15.6" x14ac:dyDescent="0.25">
      <c r="A262"/>
    </row>
    <row r="263" spans="1:1" ht="15.6" x14ac:dyDescent="0.25">
      <c r="A263"/>
    </row>
    <row r="264" spans="1:1" ht="15.6" x14ac:dyDescent="0.25">
      <c r="A264"/>
    </row>
    <row r="265" spans="1:1" ht="15.6" x14ac:dyDescent="0.25">
      <c r="A265"/>
    </row>
    <row r="266" spans="1:1" ht="15.6" x14ac:dyDescent="0.25">
      <c r="A266"/>
    </row>
    <row r="267" spans="1:1" ht="15.6" x14ac:dyDescent="0.25">
      <c r="A267"/>
    </row>
    <row r="268" spans="1:1" ht="15.6" x14ac:dyDescent="0.25">
      <c r="A268"/>
    </row>
    <row r="269" spans="1:1" ht="15.6" x14ac:dyDescent="0.25">
      <c r="A269"/>
    </row>
    <row r="270" spans="1:1" ht="15.6" x14ac:dyDescent="0.25">
      <c r="A270"/>
    </row>
    <row r="271" spans="1:1" ht="15.6" x14ac:dyDescent="0.25">
      <c r="A271"/>
    </row>
    <row r="272" spans="1:1" ht="15.6" x14ac:dyDescent="0.25">
      <c r="A272"/>
    </row>
    <row r="273" spans="1:1" ht="15.6" x14ac:dyDescent="0.25">
      <c r="A273"/>
    </row>
    <row r="274" spans="1:1" ht="15.6" x14ac:dyDescent="0.25">
      <c r="A274"/>
    </row>
    <row r="275" spans="1:1" ht="15.6" x14ac:dyDescent="0.25">
      <c r="A275"/>
    </row>
    <row r="276" spans="1:1" ht="15.6" x14ac:dyDescent="0.25">
      <c r="A276"/>
    </row>
    <row r="277" spans="1:1" ht="15.6" x14ac:dyDescent="0.25">
      <c r="A277"/>
    </row>
    <row r="278" spans="1:1" ht="15.6" x14ac:dyDescent="0.25">
      <c r="A278"/>
    </row>
    <row r="279" spans="1:1" ht="15.6" x14ac:dyDescent="0.25">
      <c r="A279"/>
    </row>
    <row r="280" spans="1:1" ht="15.6" x14ac:dyDescent="0.25">
      <c r="A280"/>
    </row>
    <row r="281" spans="1:1" ht="15.6" x14ac:dyDescent="0.25">
      <c r="A281"/>
    </row>
    <row r="282" spans="1:1" ht="15.6" x14ac:dyDescent="0.25">
      <c r="A282"/>
    </row>
    <row r="283" spans="1:1" ht="15.6" x14ac:dyDescent="0.25">
      <c r="A283"/>
    </row>
    <row r="284" spans="1:1" ht="15.6" x14ac:dyDescent="0.25">
      <c r="A284"/>
    </row>
    <row r="285" spans="1:1" ht="15.6" x14ac:dyDescent="0.25">
      <c r="A285"/>
    </row>
    <row r="286" spans="1:1" ht="15.6" x14ac:dyDescent="0.25">
      <c r="A286"/>
    </row>
    <row r="287" spans="1:1" ht="15.6" x14ac:dyDescent="0.25">
      <c r="A287"/>
    </row>
    <row r="288" spans="1:1" ht="15.6" x14ac:dyDescent="0.25">
      <c r="A288"/>
    </row>
    <row r="289" spans="1:1" ht="15.6" x14ac:dyDescent="0.25">
      <c r="A289"/>
    </row>
    <row r="290" spans="1:1" ht="15.6" x14ac:dyDescent="0.25">
      <c r="A290"/>
    </row>
    <row r="291" spans="1:1" ht="15.6" x14ac:dyDescent="0.25">
      <c r="A291"/>
    </row>
    <row r="292" spans="1:1" ht="15.6" x14ac:dyDescent="0.25">
      <c r="A292"/>
    </row>
    <row r="293" spans="1:1" ht="15.6" x14ac:dyDescent="0.25">
      <c r="A293"/>
    </row>
    <row r="294" spans="1:1" ht="15.6" x14ac:dyDescent="0.25">
      <c r="A294"/>
    </row>
    <row r="295" spans="1:1" ht="15.6" x14ac:dyDescent="0.25">
      <c r="A295"/>
    </row>
    <row r="296" spans="1:1" ht="15.6" x14ac:dyDescent="0.25">
      <c r="A296"/>
    </row>
    <row r="297" spans="1:1" ht="15.6" x14ac:dyDescent="0.25">
      <c r="A297"/>
    </row>
    <row r="298" spans="1:1" ht="15.6" x14ac:dyDescent="0.25">
      <c r="A298"/>
    </row>
    <row r="299" spans="1:1" ht="15.6" x14ac:dyDescent="0.25">
      <c r="A299"/>
    </row>
    <row r="300" spans="1:1" ht="15.6" x14ac:dyDescent="0.25">
      <c r="A300"/>
    </row>
    <row r="301" spans="1:1" ht="15.6" x14ac:dyDescent="0.25">
      <c r="A301"/>
    </row>
    <row r="302" spans="1:1" ht="15.6" x14ac:dyDescent="0.25">
      <c r="A302"/>
    </row>
    <row r="303" spans="1:1" ht="15.6" x14ac:dyDescent="0.25">
      <c r="A303"/>
    </row>
    <row r="304" spans="1:1" ht="15.6" x14ac:dyDescent="0.25">
      <c r="A304"/>
    </row>
    <row r="305" spans="1:1" ht="15.6" x14ac:dyDescent="0.25">
      <c r="A305"/>
    </row>
    <row r="306" spans="1:1" ht="15.6" x14ac:dyDescent="0.25">
      <c r="A306"/>
    </row>
    <row r="307" spans="1:1" ht="15.6" x14ac:dyDescent="0.25">
      <c r="A307"/>
    </row>
    <row r="308" spans="1:1" ht="15.6" x14ac:dyDescent="0.25">
      <c r="A308"/>
    </row>
    <row r="309" spans="1:1" ht="15.6" x14ac:dyDescent="0.25">
      <c r="A309"/>
    </row>
    <row r="310" spans="1:1" ht="15.6" x14ac:dyDescent="0.25">
      <c r="A310"/>
    </row>
    <row r="311" spans="1:1" ht="15.6" x14ac:dyDescent="0.25">
      <c r="A311"/>
    </row>
    <row r="312" spans="1:1" ht="15.6" x14ac:dyDescent="0.25">
      <c r="A312"/>
    </row>
    <row r="313" spans="1:1" ht="15.6" x14ac:dyDescent="0.25">
      <c r="A313"/>
    </row>
    <row r="314" spans="1:1" ht="15.6" x14ac:dyDescent="0.25">
      <c r="A314"/>
    </row>
    <row r="315" spans="1:1" ht="15.6" x14ac:dyDescent="0.25">
      <c r="A315"/>
    </row>
    <row r="316" spans="1:1" ht="15.6" x14ac:dyDescent="0.25">
      <c r="A316"/>
    </row>
    <row r="317" spans="1:1" ht="15.6" x14ac:dyDescent="0.25">
      <c r="A317"/>
    </row>
    <row r="318" spans="1:1" ht="15.6" x14ac:dyDescent="0.25">
      <c r="A318"/>
    </row>
    <row r="319" spans="1:1" ht="15.6" x14ac:dyDescent="0.25">
      <c r="A319"/>
    </row>
    <row r="320" spans="1:1" ht="15.6" x14ac:dyDescent="0.25">
      <c r="A320"/>
    </row>
    <row r="321" spans="1:1" ht="15.6" x14ac:dyDescent="0.25">
      <c r="A321"/>
    </row>
    <row r="322" spans="1:1" ht="15.6" x14ac:dyDescent="0.25">
      <c r="A322"/>
    </row>
    <row r="323" spans="1:1" ht="15.6" x14ac:dyDescent="0.25">
      <c r="A323"/>
    </row>
    <row r="324" spans="1:1" ht="15.6" x14ac:dyDescent="0.25">
      <c r="A324"/>
    </row>
    <row r="325" spans="1:1" ht="15.6" x14ac:dyDescent="0.25">
      <c r="A325"/>
    </row>
    <row r="326" spans="1:1" ht="15.6" x14ac:dyDescent="0.25">
      <c r="A326"/>
    </row>
    <row r="327" spans="1:1" ht="15.6" x14ac:dyDescent="0.25">
      <c r="A327"/>
    </row>
    <row r="328" spans="1:1" ht="15.6" x14ac:dyDescent="0.25">
      <c r="A328"/>
    </row>
    <row r="329" spans="1:1" ht="15.6" x14ac:dyDescent="0.25">
      <c r="A329"/>
    </row>
    <row r="330" spans="1:1" ht="15.6" x14ac:dyDescent="0.25">
      <c r="A330"/>
    </row>
    <row r="331" spans="1:1" ht="15.6" x14ac:dyDescent="0.25">
      <c r="A331"/>
    </row>
    <row r="332" spans="1:1" ht="15.6" x14ac:dyDescent="0.25">
      <c r="A332"/>
    </row>
    <row r="333" spans="1:1" ht="15.6" x14ac:dyDescent="0.25">
      <c r="A333"/>
    </row>
    <row r="334" spans="1:1" ht="15.6" x14ac:dyDescent="0.25">
      <c r="A334"/>
    </row>
    <row r="335" spans="1:1" ht="15.6" x14ac:dyDescent="0.25">
      <c r="A335"/>
    </row>
    <row r="336" spans="1:1" ht="15.6" x14ac:dyDescent="0.25">
      <c r="A336"/>
    </row>
    <row r="337" spans="1:1" ht="15.6" x14ac:dyDescent="0.25">
      <c r="A337"/>
    </row>
    <row r="338" spans="1:1" ht="15.6" x14ac:dyDescent="0.25">
      <c r="A338"/>
    </row>
    <row r="339" spans="1:1" ht="15.6" x14ac:dyDescent="0.25">
      <c r="A339"/>
    </row>
    <row r="340" spans="1:1" ht="15.6" x14ac:dyDescent="0.25">
      <c r="A340"/>
    </row>
    <row r="341" spans="1:1" ht="15.6" x14ac:dyDescent="0.25">
      <c r="A341"/>
    </row>
    <row r="342" spans="1:1" ht="15.6" x14ac:dyDescent="0.25">
      <c r="A342"/>
    </row>
    <row r="343" spans="1:1" ht="15.6" x14ac:dyDescent="0.25">
      <c r="A343"/>
    </row>
    <row r="344" spans="1:1" ht="15.6" x14ac:dyDescent="0.25">
      <c r="A344"/>
    </row>
    <row r="345" spans="1:1" ht="15.6" x14ac:dyDescent="0.25">
      <c r="A345"/>
    </row>
    <row r="346" spans="1:1" ht="15.6" x14ac:dyDescent="0.25">
      <c r="A346"/>
    </row>
    <row r="347" spans="1:1" ht="15.6" x14ac:dyDescent="0.25">
      <c r="A347"/>
    </row>
    <row r="348" spans="1:1" ht="15.6" x14ac:dyDescent="0.25">
      <c r="A348"/>
    </row>
    <row r="349" spans="1:1" ht="15.6" x14ac:dyDescent="0.25">
      <c r="A349"/>
    </row>
    <row r="350" spans="1:1" ht="15.6" x14ac:dyDescent="0.25">
      <c r="A350"/>
    </row>
    <row r="351" spans="1:1" ht="15.6" x14ac:dyDescent="0.25">
      <c r="A351"/>
    </row>
    <row r="352" spans="1:1" ht="15.6" x14ac:dyDescent="0.25">
      <c r="A352"/>
    </row>
    <row r="353" spans="1:1" ht="15.6" x14ac:dyDescent="0.25">
      <c r="A353"/>
    </row>
    <row r="354" spans="1:1" ht="15.6" x14ac:dyDescent="0.25">
      <c r="A354"/>
    </row>
    <row r="355" spans="1:1" ht="15.6" x14ac:dyDescent="0.25">
      <c r="A355"/>
    </row>
    <row r="356" spans="1:1" ht="15.6" x14ac:dyDescent="0.25">
      <c r="A356"/>
    </row>
    <row r="357" spans="1:1" ht="15.6" x14ac:dyDescent="0.25">
      <c r="A357"/>
    </row>
    <row r="358" spans="1:1" ht="15.6" x14ac:dyDescent="0.25">
      <c r="A358"/>
    </row>
    <row r="359" spans="1:1" ht="15.6" x14ac:dyDescent="0.25">
      <c r="A359"/>
    </row>
    <row r="360" spans="1:1" ht="15.6" x14ac:dyDescent="0.25">
      <c r="A360"/>
    </row>
    <row r="361" spans="1:1" ht="15.6" x14ac:dyDescent="0.25">
      <c r="A361"/>
    </row>
    <row r="362" spans="1:1" ht="15.6" x14ac:dyDescent="0.25">
      <c r="A362"/>
    </row>
    <row r="363" spans="1:1" ht="15.6" x14ac:dyDescent="0.25">
      <c r="A363"/>
    </row>
    <row r="364" spans="1:1" ht="15.6" x14ac:dyDescent="0.25">
      <c r="A364"/>
    </row>
    <row r="365" spans="1:1" ht="15.6" x14ac:dyDescent="0.25">
      <c r="A365"/>
    </row>
    <row r="366" spans="1:1" ht="15.6" x14ac:dyDescent="0.25">
      <c r="A366"/>
    </row>
    <row r="367" spans="1:1" ht="15.6" x14ac:dyDescent="0.25">
      <c r="A367"/>
    </row>
    <row r="368" spans="1:1" ht="15.6" x14ac:dyDescent="0.25">
      <c r="A368"/>
    </row>
    <row r="369" spans="1:1" ht="15.6" x14ac:dyDescent="0.25">
      <c r="A369"/>
    </row>
    <row r="370" spans="1:1" ht="15.6" x14ac:dyDescent="0.25">
      <c r="A370"/>
    </row>
    <row r="371" spans="1:1" ht="15.6" x14ac:dyDescent="0.25">
      <c r="A371"/>
    </row>
    <row r="372" spans="1:1" ht="15.6" x14ac:dyDescent="0.25">
      <c r="A372"/>
    </row>
    <row r="373" spans="1:1" ht="15.6" x14ac:dyDescent="0.25">
      <c r="A373"/>
    </row>
    <row r="374" spans="1:1" ht="15.6" x14ac:dyDescent="0.25">
      <c r="A374"/>
    </row>
    <row r="375" spans="1:1" ht="15.6" x14ac:dyDescent="0.25">
      <c r="A375"/>
    </row>
    <row r="376" spans="1:1" ht="15.6" x14ac:dyDescent="0.25">
      <c r="A376"/>
    </row>
    <row r="377" spans="1:1" ht="15.6" x14ac:dyDescent="0.25">
      <c r="A377"/>
    </row>
    <row r="378" spans="1:1" ht="15.6" x14ac:dyDescent="0.25">
      <c r="A378"/>
    </row>
    <row r="379" spans="1:1" ht="15.6" x14ac:dyDescent="0.25">
      <c r="A379"/>
    </row>
    <row r="380" spans="1:1" ht="15.6" x14ac:dyDescent="0.25">
      <c r="A380"/>
    </row>
    <row r="381" spans="1:1" ht="15.6" x14ac:dyDescent="0.25">
      <c r="A381"/>
    </row>
    <row r="382" spans="1:1" ht="15.6" x14ac:dyDescent="0.25">
      <c r="A382"/>
    </row>
    <row r="383" spans="1:1" ht="15.6" x14ac:dyDescent="0.25">
      <c r="A383"/>
    </row>
    <row r="384" spans="1:1" ht="15.6" x14ac:dyDescent="0.25">
      <c r="A384"/>
    </row>
    <row r="385" spans="1:1" ht="15.6" x14ac:dyDescent="0.25">
      <c r="A385"/>
    </row>
    <row r="386" spans="1:1" ht="15.6" x14ac:dyDescent="0.25">
      <c r="A386"/>
    </row>
    <row r="387" spans="1:1" ht="15.6" x14ac:dyDescent="0.25">
      <c r="A387"/>
    </row>
    <row r="388" spans="1:1" ht="15.6" x14ac:dyDescent="0.25">
      <c r="A388"/>
    </row>
    <row r="389" spans="1:1" ht="15.6" x14ac:dyDescent="0.25">
      <c r="A389"/>
    </row>
    <row r="390" spans="1:1" ht="15.6" x14ac:dyDescent="0.25">
      <c r="A390"/>
    </row>
    <row r="391" spans="1:1" ht="15.6" x14ac:dyDescent="0.25">
      <c r="A391"/>
    </row>
    <row r="392" spans="1:1" ht="15.6" x14ac:dyDescent="0.25">
      <c r="A392"/>
    </row>
    <row r="393" spans="1:1" ht="15.6" x14ac:dyDescent="0.25">
      <c r="A393"/>
    </row>
    <row r="394" spans="1:1" ht="15.6" x14ac:dyDescent="0.25">
      <c r="A394"/>
    </row>
    <row r="395" spans="1:1" ht="15.6" x14ac:dyDescent="0.25">
      <c r="A395"/>
    </row>
    <row r="396" spans="1:1" ht="15.6" x14ac:dyDescent="0.25">
      <c r="A396"/>
    </row>
    <row r="397" spans="1:1" ht="15.6" x14ac:dyDescent="0.25">
      <c r="A397"/>
    </row>
    <row r="398" spans="1:1" ht="15.6" x14ac:dyDescent="0.25">
      <c r="A398"/>
    </row>
    <row r="399" spans="1:1" ht="15.6" x14ac:dyDescent="0.25">
      <c r="A399"/>
    </row>
    <row r="400" spans="1:1" ht="15.6" x14ac:dyDescent="0.25">
      <c r="A400"/>
    </row>
    <row r="401" spans="1:1" ht="15.6" x14ac:dyDescent="0.25">
      <c r="A401"/>
    </row>
    <row r="402" spans="1:1" ht="15.6" x14ac:dyDescent="0.25">
      <c r="A402"/>
    </row>
    <row r="403" spans="1:1" ht="15.6" x14ac:dyDescent="0.25">
      <c r="A403"/>
    </row>
    <row r="404" spans="1:1" ht="15.6" x14ac:dyDescent="0.25">
      <c r="A404"/>
    </row>
    <row r="405" spans="1:1" ht="15.6" x14ac:dyDescent="0.25">
      <c r="A405"/>
    </row>
    <row r="406" spans="1:1" ht="15.6" x14ac:dyDescent="0.25">
      <c r="A406"/>
    </row>
    <row r="407" spans="1:1" ht="15.6" x14ac:dyDescent="0.25">
      <c r="A407"/>
    </row>
    <row r="408" spans="1:1" ht="15.6" x14ac:dyDescent="0.25">
      <c r="A408"/>
    </row>
    <row r="409" spans="1:1" ht="15.6" x14ac:dyDescent="0.25">
      <c r="A409"/>
    </row>
    <row r="410" spans="1:1" ht="15.6" x14ac:dyDescent="0.25">
      <c r="A410"/>
    </row>
    <row r="411" spans="1:1" ht="15.6" x14ac:dyDescent="0.25">
      <c r="A411"/>
    </row>
    <row r="412" spans="1:1" ht="15.6" x14ac:dyDescent="0.25">
      <c r="A412"/>
    </row>
    <row r="413" spans="1:1" ht="15.6" x14ac:dyDescent="0.25">
      <c r="A413"/>
    </row>
    <row r="414" spans="1:1" ht="15.6" x14ac:dyDescent="0.25">
      <c r="A414"/>
    </row>
    <row r="415" spans="1:1" ht="15.6" x14ac:dyDescent="0.25">
      <c r="A415"/>
    </row>
    <row r="416" spans="1:1" ht="15.6" x14ac:dyDescent="0.25">
      <c r="A416"/>
    </row>
    <row r="417" spans="1:1" ht="15.6" x14ac:dyDescent="0.25">
      <c r="A417"/>
    </row>
    <row r="418" spans="1:1" ht="15.6" x14ac:dyDescent="0.25">
      <c r="A418"/>
    </row>
    <row r="419" spans="1:1" ht="15.6" x14ac:dyDescent="0.25">
      <c r="A419"/>
    </row>
    <row r="420" spans="1:1" ht="15.6" x14ac:dyDescent="0.25">
      <c r="A420"/>
    </row>
    <row r="421" spans="1:1" ht="15.6" x14ac:dyDescent="0.25">
      <c r="A421"/>
    </row>
    <row r="422" spans="1:1" ht="15.6" x14ac:dyDescent="0.25">
      <c r="A422"/>
    </row>
    <row r="423" spans="1:1" ht="15.6" x14ac:dyDescent="0.25">
      <c r="A423"/>
    </row>
    <row r="424" spans="1:1" ht="15.6" x14ac:dyDescent="0.25">
      <c r="A424"/>
    </row>
    <row r="425" spans="1:1" ht="15.6" x14ac:dyDescent="0.25">
      <c r="A425"/>
    </row>
    <row r="426" spans="1:1" ht="15.6" x14ac:dyDescent="0.25">
      <c r="A426"/>
    </row>
    <row r="427" spans="1:1" ht="15.6" x14ac:dyDescent="0.25">
      <c r="A427"/>
    </row>
    <row r="428" spans="1:1" ht="15.6" x14ac:dyDescent="0.25">
      <c r="A428"/>
    </row>
    <row r="429" spans="1:1" ht="15.6" x14ac:dyDescent="0.25">
      <c r="A429"/>
    </row>
    <row r="430" spans="1:1" ht="15.6" x14ac:dyDescent="0.25">
      <c r="A430"/>
    </row>
    <row r="431" spans="1:1" ht="15.6" x14ac:dyDescent="0.25">
      <c r="A431"/>
    </row>
    <row r="432" spans="1:1" ht="15.6" x14ac:dyDescent="0.25">
      <c r="A432"/>
    </row>
    <row r="433" spans="1:1" ht="15.6" x14ac:dyDescent="0.25">
      <c r="A433"/>
    </row>
    <row r="434" spans="1:1" ht="15.6" x14ac:dyDescent="0.25">
      <c r="A434"/>
    </row>
    <row r="435" spans="1:1" ht="15.6" x14ac:dyDescent="0.25">
      <c r="A435"/>
    </row>
    <row r="436" spans="1:1" ht="15.6" x14ac:dyDescent="0.25">
      <c r="A436"/>
    </row>
    <row r="437" spans="1:1" ht="15.6" x14ac:dyDescent="0.25">
      <c r="A437"/>
    </row>
    <row r="438" spans="1:1" ht="15.6" x14ac:dyDescent="0.25">
      <c r="A438"/>
    </row>
    <row r="439" spans="1:1" ht="15.6" x14ac:dyDescent="0.25">
      <c r="A439"/>
    </row>
    <row r="440" spans="1:1" ht="15.6" x14ac:dyDescent="0.25">
      <c r="A440"/>
    </row>
    <row r="441" spans="1:1" ht="15.6" x14ac:dyDescent="0.25">
      <c r="A441"/>
    </row>
    <row r="442" spans="1:1" ht="15.6" x14ac:dyDescent="0.25">
      <c r="A442"/>
    </row>
    <row r="443" spans="1:1" ht="15.6" x14ac:dyDescent="0.25">
      <c r="A443"/>
    </row>
    <row r="444" spans="1:1" ht="15.6" x14ac:dyDescent="0.25">
      <c r="A444"/>
    </row>
    <row r="445" spans="1:1" ht="15.6" x14ac:dyDescent="0.25">
      <c r="A445"/>
    </row>
    <row r="446" spans="1:1" ht="15.6" x14ac:dyDescent="0.25">
      <c r="A446"/>
    </row>
    <row r="447" spans="1:1" ht="15.6" x14ac:dyDescent="0.25">
      <c r="A447"/>
    </row>
    <row r="448" spans="1:1" ht="15.6" x14ac:dyDescent="0.25">
      <c r="A448"/>
    </row>
    <row r="449" spans="1:1" ht="15.6" x14ac:dyDescent="0.25">
      <c r="A449"/>
    </row>
    <row r="450" spans="1:1" ht="15.6" x14ac:dyDescent="0.25">
      <c r="A450"/>
    </row>
    <row r="451" spans="1:1" ht="15.6" x14ac:dyDescent="0.25">
      <c r="A451"/>
    </row>
    <row r="452" spans="1:1" ht="15.6" x14ac:dyDescent="0.25">
      <c r="A452"/>
    </row>
    <row r="453" spans="1:1" ht="15.6" x14ac:dyDescent="0.25">
      <c r="A453"/>
    </row>
    <row r="454" spans="1:1" ht="15.6" x14ac:dyDescent="0.25">
      <c r="A454"/>
    </row>
    <row r="455" spans="1:1" ht="15.6" x14ac:dyDescent="0.25">
      <c r="A455"/>
    </row>
    <row r="456" spans="1:1" ht="15.6" x14ac:dyDescent="0.25">
      <c r="A456"/>
    </row>
    <row r="457" spans="1:1" ht="15.6" x14ac:dyDescent="0.25">
      <c r="A457"/>
    </row>
    <row r="458" spans="1:1" ht="15.6" x14ac:dyDescent="0.25">
      <c r="A458"/>
    </row>
    <row r="459" spans="1:1" ht="15.6" x14ac:dyDescent="0.25">
      <c r="A459"/>
    </row>
    <row r="460" spans="1:1" ht="15.6" x14ac:dyDescent="0.25">
      <c r="A460"/>
    </row>
    <row r="461" spans="1:1" ht="15.6" x14ac:dyDescent="0.25">
      <c r="A461"/>
    </row>
    <row r="462" spans="1:1" ht="15.6" x14ac:dyDescent="0.25">
      <c r="A462"/>
    </row>
    <row r="463" spans="1:1" ht="15.6" x14ac:dyDescent="0.25">
      <c r="A463"/>
    </row>
    <row r="464" spans="1:1" ht="15.6" x14ac:dyDescent="0.25">
      <c r="A464"/>
    </row>
    <row r="465" spans="1:1" ht="15.6" x14ac:dyDescent="0.25">
      <c r="A465"/>
    </row>
    <row r="466" spans="1:1" ht="15.6" x14ac:dyDescent="0.25">
      <c r="A466"/>
    </row>
    <row r="467" spans="1:1" ht="15.6" x14ac:dyDescent="0.25">
      <c r="A467"/>
    </row>
    <row r="468" spans="1:1" ht="15.6" x14ac:dyDescent="0.25">
      <c r="A468"/>
    </row>
    <row r="469" spans="1:1" ht="15.6" x14ac:dyDescent="0.25">
      <c r="A469"/>
    </row>
    <row r="470" spans="1:1" ht="15.6" x14ac:dyDescent="0.25">
      <c r="A470"/>
    </row>
    <row r="471" spans="1:1" ht="15.6" x14ac:dyDescent="0.25">
      <c r="A471"/>
    </row>
    <row r="472" spans="1:1" ht="15.6" x14ac:dyDescent="0.25">
      <c r="A472"/>
    </row>
    <row r="473" spans="1:1" ht="15.6" x14ac:dyDescent="0.25">
      <c r="A473"/>
    </row>
    <row r="474" spans="1:1" ht="15.6" x14ac:dyDescent="0.25">
      <c r="A474"/>
    </row>
    <row r="475" spans="1:1" ht="15.6" x14ac:dyDescent="0.25">
      <c r="A475"/>
    </row>
    <row r="476" spans="1:1" ht="15.6" x14ac:dyDescent="0.25">
      <c r="A476"/>
    </row>
    <row r="477" spans="1:1" ht="15.6" x14ac:dyDescent="0.25">
      <c r="A477"/>
    </row>
    <row r="478" spans="1:1" ht="15.6" x14ac:dyDescent="0.25">
      <c r="A478"/>
    </row>
    <row r="479" spans="1:1" ht="15.6" x14ac:dyDescent="0.25">
      <c r="A479"/>
    </row>
    <row r="480" spans="1:1" ht="15.6" x14ac:dyDescent="0.25">
      <c r="A480"/>
    </row>
    <row r="481" spans="1:1" ht="15.6" x14ac:dyDescent="0.25">
      <c r="A481"/>
    </row>
    <row r="482" spans="1:1" ht="15.6" x14ac:dyDescent="0.25">
      <c r="A482"/>
    </row>
    <row r="483" spans="1:1" ht="15.6" x14ac:dyDescent="0.25">
      <c r="A483"/>
    </row>
    <row r="484" spans="1:1" ht="15.6" x14ac:dyDescent="0.25">
      <c r="A484"/>
    </row>
    <row r="485" spans="1:1" ht="15.6" x14ac:dyDescent="0.25">
      <c r="A485"/>
    </row>
    <row r="486" spans="1:1" ht="15.6" x14ac:dyDescent="0.25">
      <c r="A486"/>
    </row>
    <row r="487" spans="1:1" ht="15.6" x14ac:dyDescent="0.25">
      <c r="A487"/>
    </row>
    <row r="488" spans="1:1" ht="15.6" x14ac:dyDescent="0.25">
      <c r="A488"/>
    </row>
    <row r="489" spans="1:1" ht="15.6" x14ac:dyDescent="0.25">
      <c r="A489"/>
    </row>
    <row r="490" spans="1:1" ht="15.6" x14ac:dyDescent="0.25">
      <c r="A490"/>
    </row>
    <row r="491" spans="1:1" ht="15.6" x14ac:dyDescent="0.25">
      <c r="A491"/>
    </row>
    <row r="492" spans="1:1" ht="15.6" x14ac:dyDescent="0.25">
      <c r="A492"/>
    </row>
    <row r="493" spans="1:1" ht="15.6" x14ac:dyDescent="0.25">
      <c r="A493"/>
    </row>
    <row r="494" spans="1:1" ht="15.6" x14ac:dyDescent="0.25">
      <c r="A494"/>
    </row>
    <row r="495" spans="1:1" ht="15.6" x14ac:dyDescent="0.25">
      <c r="A495"/>
    </row>
    <row r="496" spans="1:1" ht="15.6" x14ac:dyDescent="0.25">
      <c r="A496"/>
    </row>
    <row r="497" spans="1:1" ht="15.6" x14ac:dyDescent="0.25">
      <c r="A497"/>
    </row>
    <row r="498" spans="1:1" ht="15.6" x14ac:dyDescent="0.25">
      <c r="A498"/>
    </row>
    <row r="499" spans="1:1" ht="15.6" x14ac:dyDescent="0.25">
      <c r="A499"/>
    </row>
    <row r="500" spans="1:1" ht="15.6" x14ac:dyDescent="0.25">
      <c r="A500"/>
    </row>
    <row r="501" spans="1:1" ht="15.6" x14ac:dyDescent="0.25">
      <c r="A501"/>
    </row>
    <row r="502" spans="1:1" ht="15.6" x14ac:dyDescent="0.25">
      <c r="A502"/>
    </row>
    <row r="503" spans="1:1" ht="15.6" x14ac:dyDescent="0.25">
      <c r="A503"/>
    </row>
    <row r="504" spans="1:1" ht="15.6" x14ac:dyDescent="0.25">
      <c r="A504"/>
    </row>
    <row r="505" spans="1:1" ht="15.6" x14ac:dyDescent="0.25">
      <c r="A505"/>
    </row>
    <row r="506" spans="1:1" ht="15.6" x14ac:dyDescent="0.25">
      <c r="A506"/>
    </row>
    <row r="507" spans="1:1" ht="15.6" x14ac:dyDescent="0.25">
      <c r="A507"/>
    </row>
    <row r="508" spans="1:1" ht="15.6" x14ac:dyDescent="0.25">
      <c r="A508"/>
    </row>
    <row r="509" spans="1:1" ht="15.6" x14ac:dyDescent="0.25">
      <c r="A509"/>
    </row>
    <row r="510" spans="1:1" ht="15.6" x14ac:dyDescent="0.25">
      <c r="A510"/>
    </row>
    <row r="511" spans="1:1" ht="15.6" x14ac:dyDescent="0.25">
      <c r="A511"/>
    </row>
    <row r="512" spans="1:1" ht="15.6" x14ac:dyDescent="0.25">
      <c r="A512"/>
    </row>
    <row r="513" spans="1:1" ht="15.6" x14ac:dyDescent="0.25">
      <c r="A513"/>
    </row>
    <row r="514" spans="1:1" ht="15.6" x14ac:dyDescent="0.25">
      <c r="A514"/>
    </row>
    <row r="515" spans="1:1" ht="15.6" x14ac:dyDescent="0.25">
      <c r="A515"/>
    </row>
    <row r="516" spans="1:1" ht="15.6" x14ac:dyDescent="0.25">
      <c r="A516"/>
    </row>
    <row r="517" spans="1:1" ht="15.6" x14ac:dyDescent="0.25">
      <c r="A517"/>
    </row>
    <row r="518" spans="1:1" ht="15.6" x14ac:dyDescent="0.25">
      <c r="A518"/>
    </row>
    <row r="519" spans="1:1" ht="15.6" x14ac:dyDescent="0.25">
      <c r="A519"/>
    </row>
    <row r="520" spans="1:1" ht="15.6" x14ac:dyDescent="0.25">
      <c r="A520"/>
    </row>
    <row r="521" spans="1:1" ht="15.6" x14ac:dyDescent="0.25">
      <c r="A521"/>
    </row>
    <row r="522" spans="1:1" ht="15.6" x14ac:dyDescent="0.25">
      <c r="A522"/>
    </row>
    <row r="523" spans="1:1" ht="15.6" x14ac:dyDescent="0.25">
      <c r="A523"/>
    </row>
    <row r="524" spans="1:1" ht="15.6" x14ac:dyDescent="0.25">
      <c r="A524"/>
    </row>
    <row r="525" spans="1:1" ht="15.6" x14ac:dyDescent="0.25">
      <c r="A525"/>
    </row>
    <row r="526" spans="1:1" ht="15.6" x14ac:dyDescent="0.25">
      <c r="A526"/>
    </row>
    <row r="527" spans="1:1" ht="15.6" x14ac:dyDescent="0.25">
      <c r="A527"/>
    </row>
    <row r="528" spans="1:1" ht="15.6" x14ac:dyDescent="0.25">
      <c r="A528"/>
    </row>
    <row r="529" spans="1:1" ht="15.6" x14ac:dyDescent="0.25">
      <c r="A529"/>
    </row>
    <row r="530" spans="1:1" ht="15.6" x14ac:dyDescent="0.25">
      <c r="A530"/>
    </row>
    <row r="531" spans="1:1" ht="15.6" x14ac:dyDescent="0.25">
      <c r="A531"/>
    </row>
    <row r="532" spans="1:1" ht="15.6" x14ac:dyDescent="0.25">
      <c r="A532"/>
    </row>
    <row r="533" spans="1:1" ht="15.6" x14ac:dyDescent="0.25">
      <c r="A533"/>
    </row>
    <row r="534" spans="1:1" ht="15.6" x14ac:dyDescent="0.25">
      <c r="A534"/>
    </row>
    <row r="535" spans="1:1" ht="15.6" x14ac:dyDescent="0.25">
      <c r="A535"/>
    </row>
    <row r="536" spans="1:1" ht="15.6" x14ac:dyDescent="0.25">
      <c r="A536"/>
    </row>
    <row r="537" spans="1:1" ht="15.6" x14ac:dyDescent="0.25">
      <c r="A537"/>
    </row>
    <row r="538" spans="1:1" ht="15.6" x14ac:dyDescent="0.25">
      <c r="A538"/>
    </row>
    <row r="539" spans="1:1" ht="15.6" x14ac:dyDescent="0.25">
      <c r="A539"/>
    </row>
    <row r="540" spans="1:1" ht="15.6" x14ac:dyDescent="0.25">
      <c r="A540"/>
    </row>
    <row r="541" spans="1:1" ht="15.6" x14ac:dyDescent="0.25">
      <c r="A541"/>
    </row>
    <row r="542" spans="1:1" ht="15.6" x14ac:dyDescent="0.25">
      <c r="A542"/>
    </row>
    <row r="543" spans="1:1" ht="15.6" x14ac:dyDescent="0.25">
      <c r="A543"/>
    </row>
    <row r="544" spans="1:1" ht="15.6" x14ac:dyDescent="0.25">
      <c r="A544"/>
    </row>
    <row r="545" spans="1:1" ht="15.6" x14ac:dyDescent="0.25">
      <c r="A545"/>
    </row>
    <row r="546" spans="1:1" ht="15.6" x14ac:dyDescent="0.25">
      <c r="A546"/>
    </row>
    <row r="547" spans="1:1" ht="15.6" x14ac:dyDescent="0.25">
      <c r="A547"/>
    </row>
    <row r="548" spans="1:1" ht="15.6" x14ac:dyDescent="0.25">
      <c r="A548"/>
    </row>
    <row r="549" spans="1:1" ht="15.6" x14ac:dyDescent="0.25">
      <c r="A549"/>
    </row>
    <row r="550" spans="1:1" ht="15.6" x14ac:dyDescent="0.25">
      <c r="A550"/>
    </row>
    <row r="551" spans="1:1" ht="15.6" x14ac:dyDescent="0.25">
      <c r="A551"/>
    </row>
    <row r="552" spans="1:1" ht="15.6" x14ac:dyDescent="0.25">
      <c r="A552"/>
    </row>
    <row r="553" spans="1:1" ht="15.6" x14ac:dyDescent="0.25">
      <c r="A553"/>
    </row>
    <row r="554" spans="1:1" ht="15.6" x14ac:dyDescent="0.25">
      <c r="A554"/>
    </row>
    <row r="555" spans="1:1" ht="15.6" x14ac:dyDescent="0.25">
      <c r="A555"/>
    </row>
    <row r="556" spans="1:1" ht="15.6" x14ac:dyDescent="0.25">
      <c r="A556"/>
    </row>
    <row r="557" spans="1:1" ht="15.6" x14ac:dyDescent="0.25">
      <c r="A557"/>
    </row>
    <row r="558" spans="1:1" ht="15.6" x14ac:dyDescent="0.25">
      <c r="A558"/>
    </row>
    <row r="559" spans="1:1" ht="15.6" x14ac:dyDescent="0.25">
      <c r="A559"/>
    </row>
    <row r="560" spans="1:1" ht="15.6" x14ac:dyDescent="0.25">
      <c r="A560"/>
    </row>
    <row r="561" spans="1:1" ht="15.6" x14ac:dyDescent="0.25">
      <c r="A561"/>
    </row>
    <row r="562" spans="1:1" ht="15.6" x14ac:dyDescent="0.25">
      <c r="A562"/>
    </row>
    <row r="563" spans="1:1" ht="15.6" x14ac:dyDescent="0.25">
      <c r="A563"/>
    </row>
    <row r="564" spans="1:1" ht="15.6" x14ac:dyDescent="0.25">
      <c r="A564"/>
    </row>
    <row r="565" spans="1:1" ht="15.6" x14ac:dyDescent="0.25">
      <c r="A565"/>
    </row>
    <row r="566" spans="1:1" ht="15.6" x14ac:dyDescent="0.25">
      <c r="A566"/>
    </row>
    <row r="567" spans="1:1" ht="15.6" x14ac:dyDescent="0.25">
      <c r="A567"/>
    </row>
    <row r="568" spans="1:1" ht="15.6" x14ac:dyDescent="0.25">
      <c r="A568"/>
    </row>
    <row r="569" spans="1:1" ht="15.6" x14ac:dyDescent="0.25">
      <c r="A569"/>
    </row>
    <row r="570" spans="1:1" ht="15.6" x14ac:dyDescent="0.25">
      <c r="A570"/>
    </row>
    <row r="571" spans="1:1" ht="15.6" x14ac:dyDescent="0.25">
      <c r="A571"/>
    </row>
    <row r="572" spans="1:1" ht="15.6" x14ac:dyDescent="0.25">
      <c r="A572"/>
    </row>
    <row r="573" spans="1:1" ht="15.6" x14ac:dyDescent="0.25">
      <c r="A573"/>
    </row>
    <row r="574" spans="1:1" ht="15.6" x14ac:dyDescent="0.25">
      <c r="A574"/>
    </row>
    <row r="575" spans="1:1" ht="15.6" x14ac:dyDescent="0.25">
      <c r="A575"/>
    </row>
    <row r="576" spans="1:1" ht="15.6" x14ac:dyDescent="0.25">
      <c r="A576"/>
    </row>
    <row r="577" spans="1:1" ht="15.6" x14ac:dyDescent="0.25">
      <c r="A577"/>
    </row>
    <row r="578" spans="1:1" ht="15.6" x14ac:dyDescent="0.25">
      <c r="A578"/>
    </row>
    <row r="579" spans="1:1" ht="15.6" x14ac:dyDescent="0.25">
      <c r="A579"/>
    </row>
    <row r="580" spans="1:1" ht="15.6" x14ac:dyDescent="0.25">
      <c r="A580"/>
    </row>
    <row r="581" spans="1:1" ht="15.6" x14ac:dyDescent="0.25">
      <c r="A581"/>
    </row>
    <row r="582" spans="1:1" ht="15.6" x14ac:dyDescent="0.25">
      <c r="A582"/>
    </row>
    <row r="583" spans="1:1" ht="15.6" x14ac:dyDescent="0.25">
      <c r="A583"/>
    </row>
    <row r="584" spans="1:1" ht="15.6" x14ac:dyDescent="0.25">
      <c r="A584"/>
    </row>
    <row r="585" spans="1:1" ht="15.6" x14ac:dyDescent="0.25">
      <c r="A585"/>
    </row>
    <row r="586" spans="1:1" ht="15.6" x14ac:dyDescent="0.25">
      <c r="A586"/>
    </row>
    <row r="587" spans="1:1" ht="15.6" x14ac:dyDescent="0.25">
      <c r="A587"/>
    </row>
    <row r="588" spans="1:1" ht="15.6" x14ac:dyDescent="0.25">
      <c r="A588"/>
    </row>
    <row r="589" spans="1:1" ht="15.6" x14ac:dyDescent="0.25">
      <c r="A589"/>
    </row>
    <row r="590" spans="1:1" ht="15.6" x14ac:dyDescent="0.25">
      <c r="A590"/>
    </row>
    <row r="591" spans="1:1" ht="15.6" x14ac:dyDescent="0.25">
      <c r="A591"/>
    </row>
    <row r="592" spans="1:1" ht="15.6" x14ac:dyDescent="0.25">
      <c r="A592"/>
    </row>
    <row r="593" spans="1:1" ht="15.6" x14ac:dyDescent="0.25">
      <c r="A593"/>
    </row>
    <row r="594" spans="1:1" ht="15.6" x14ac:dyDescent="0.25">
      <c r="A594"/>
    </row>
    <row r="595" spans="1:1" ht="15.6" x14ac:dyDescent="0.25">
      <c r="A595"/>
    </row>
    <row r="596" spans="1:1" ht="15.6" x14ac:dyDescent="0.25">
      <c r="A596"/>
    </row>
    <row r="597" spans="1:1" ht="15.6" x14ac:dyDescent="0.25">
      <c r="A597"/>
    </row>
    <row r="598" spans="1:1" ht="15.6" x14ac:dyDescent="0.25">
      <c r="A598"/>
    </row>
    <row r="599" spans="1:1" ht="15.6" x14ac:dyDescent="0.25">
      <c r="A599"/>
    </row>
    <row r="600" spans="1:1" ht="15.6" x14ac:dyDescent="0.25">
      <c r="A600"/>
    </row>
    <row r="601" spans="1:1" ht="15.6" x14ac:dyDescent="0.25">
      <c r="A601"/>
    </row>
    <row r="602" spans="1:1" ht="15.6" x14ac:dyDescent="0.25">
      <c r="A602"/>
    </row>
    <row r="603" spans="1:1" ht="15.6" x14ac:dyDescent="0.25">
      <c r="A603"/>
    </row>
    <row r="604" spans="1:1" ht="15.6" x14ac:dyDescent="0.25">
      <c r="A604"/>
    </row>
    <row r="605" spans="1:1" ht="15.6" x14ac:dyDescent="0.25">
      <c r="A605"/>
    </row>
    <row r="606" spans="1:1" ht="15.6" x14ac:dyDescent="0.25">
      <c r="A606"/>
    </row>
    <row r="607" spans="1:1" ht="15.6" x14ac:dyDescent="0.25">
      <c r="A607"/>
    </row>
    <row r="608" spans="1:1" ht="15.6" x14ac:dyDescent="0.25">
      <c r="A608"/>
    </row>
    <row r="609" spans="1:1" ht="15.6" x14ac:dyDescent="0.25">
      <c r="A609"/>
    </row>
    <row r="610" spans="1:1" ht="15.6" x14ac:dyDescent="0.25">
      <c r="A610"/>
    </row>
    <row r="611" spans="1:1" ht="15.6" x14ac:dyDescent="0.25">
      <c r="A611"/>
    </row>
    <row r="612" spans="1:1" ht="15.6" x14ac:dyDescent="0.25">
      <c r="A612"/>
    </row>
    <row r="613" spans="1:1" ht="15.6" x14ac:dyDescent="0.25">
      <c r="A613"/>
    </row>
    <row r="614" spans="1:1" ht="15.6" x14ac:dyDescent="0.25">
      <c r="A614"/>
    </row>
    <row r="615" spans="1:1" ht="15.6" x14ac:dyDescent="0.25">
      <c r="A615"/>
    </row>
    <row r="616" spans="1:1" ht="15.6" x14ac:dyDescent="0.25">
      <c r="A616"/>
    </row>
    <row r="617" spans="1:1" ht="15.6" x14ac:dyDescent="0.25">
      <c r="A617"/>
    </row>
    <row r="618" spans="1:1" ht="15.6" x14ac:dyDescent="0.25">
      <c r="A618"/>
    </row>
    <row r="619" spans="1:1" ht="15.6" x14ac:dyDescent="0.25">
      <c r="A619"/>
    </row>
    <row r="620" spans="1:1" ht="15.6" x14ac:dyDescent="0.25">
      <c r="A620"/>
    </row>
    <row r="621" spans="1:1" ht="15.6" x14ac:dyDescent="0.25">
      <c r="A621"/>
    </row>
    <row r="622" spans="1:1" ht="15.6" x14ac:dyDescent="0.25">
      <c r="A622"/>
    </row>
    <row r="623" spans="1:1" ht="15.6" x14ac:dyDescent="0.25">
      <c r="A623"/>
    </row>
    <row r="624" spans="1:1" ht="15.6" x14ac:dyDescent="0.25">
      <c r="A624"/>
    </row>
    <row r="625" spans="1:1" ht="15.6" x14ac:dyDescent="0.25">
      <c r="A625"/>
    </row>
    <row r="626" spans="1:1" ht="15.6" x14ac:dyDescent="0.25">
      <c r="A626"/>
    </row>
    <row r="627" spans="1:1" ht="15.6" x14ac:dyDescent="0.25">
      <c r="A627"/>
    </row>
    <row r="628" spans="1:1" ht="15.6" x14ac:dyDescent="0.25">
      <c r="A628"/>
    </row>
    <row r="629" spans="1:1" ht="15.6" x14ac:dyDescent="0.25">
      <c r="A629"/>
    </row>
    <row r="630" spans="1:1" ht="15.6" x14ac:dyDescent="0.25">
      <c r="A630"/>
    </row>
    <row r="631" spans="1:1" ht="15.6" x14ac:dyDescent="0.25">
      <c r="A631"/>
    </row>
    <row r="632" spans="1:1" ht="15.6" x14ac:dyDescent="0.25">
      <c r="A632"/>
    </row>
    <row r="633" spans="1:1" ht="15.6" x14ac:dyDescent="0.25">
      <c r="A633"/>
    </row>
    <row r="634" spans="1:1" ht="15.6" x14ac:dyDescent="0.25">
      <c r="A634"/>
    </row>
    <row r="635" spans="1:1" ht="15.6" x14ac:dyDescent="0.25">
      <c r="A635"/>
    </row>
    <row r="636" spans="1:1" ht="15.6" x14ac:dyDescent="0.25">
      <c r="A636"/>
    </row>
    <row r="637" spans="1:1" ht="15.6" x14ac:dyDescent="0.25">
      <c r="A637"/>
    </row>
    <row r="638" spans="1:1" ht="15.6" x14ac:dyDescent="0.25">
      <c r="A638"/>
    </row>
    <row r="639" spans="1:1" ht="15.6" x14ac:dyDescent="0.25">
      <c r="A639"/>
    </row>
    <row r="640" spans="1:1" ht="15.6" x14ac:dyDescent="0.25">
      <c r="A640"/>
    </row>
    <row r="641" spans="1:1" ht="15.6" x14ac:dyDescent="0.25">
      <c r="A641"/>
    </row>
    <row r="642" spans="1:1" ht="15.6" x14ac:dyDescent="0.25">
      <c r="A642"/>
    </row>
    <row r="643" spans="1:1" ht="15.6" x14ac:dyDescent="0.25">
      <c r="A643"/>
    </row>
    <row r="644" spans="1:1" ht="15.6" x14ac:dyDescent="0.25">
      <c r="A644"/>
    </row>
    <row r="645" spans="1:1" ht="15.6" x14ac:dyDescent="0.25">
      <c r="A645"/>
    </row>
    <row r="646" spans="1:1" ht="15.6" x14ac:dyDescent="0.25">
      <c r="A646"/>
    </row>
    <row r="647" spans="1:1" ht="15.6" x14ac:dyDescent="0.25">
      <c r="A647"/>
    </row>
    <row r="648" spans="1:1" ht="15.6" x14ac:dyDescent="0.25">
      <c r="A648"/>
    </row>
    <row r="649" spans="1:1" ht="15.6" x14ac:dyDescent="0.25">
      <c r="A649"/>
    </row>
    <row r="650" spans="1:1" ht="15.6" x14ac:dyDescent="0.25">
      <c r="A650"/>
    </row>
    <row r="651" spans="1:1" ht="15.6" x14ac:dyDescent="0.25">
      <c r="A651"/>
    </row>
    <row r="652" spans="1:1" ht="15.6" x14ac:dyDescent="0.25">
      <c r="A652"/>
    </row>
    <row r="653" spans="1:1" ht="15.6" x14ac:dyDescent="0.25">
      <c r="A653"/>
    </row>
    <row r="654" spans="1:1" ht="15.6" x14ac:dyDescent="0.25">
      <c r="A654"/>
    </row>
    <row r="655" spans="1:1" ht="15.6" x14ac:dyDescent="0.25">
      <c r="A655"/>
    </row>
    <row r="656" spans="1:1" ht="15.6" x14ac:dyDescent="0.25">
      <c r="A656"/>
    </row>
    <row r="657" spans="1:1" ht="15.6" x14ac:dyDescent="0.25">
      <c r="A657"/>
    </row>
    <row r="658" spans="1:1" ht="15.6" x14ac:dyDescent="0.25">
      <c r="A658"/>
    </row>
    <row r="659" spans="1:1" ht="15.6" x14ac:dyDescent="0.25">
      <c r="A659"/>
    </row>
    <row r="660" spans="1:1" ht="15.6" x14ac:dyDescent="0.25">
      <c r="A660"/>
    </row>
    <row r="661" spans="1:1" ht="15.6" x14ac:dyDescent="0.25">
      <c r="A661"/>
    </row>
    <row r="662" spans="1:1" ht="15.6" x14ac:dyDescent="0.25">
      <c r="A662"/>
    </row>
    <row r="663" spans="1:1" ht="15.6" x14ac:dyDescent="0.25">
      <c r="A663"/>
    </row>
    <row r="664" spans="1:1" ht="15.6" x14ac:dyDescent="0.25">
      <c r="A664"/>
    </row>
    <row r="665" spans="1:1" ht="15.6" x14ac:dyDescent="0.25">
      <c r="A665"/>
    </row>
    <row r="666" spans="1:1" ht="15.6" x14ac:dyDescent="0.25">
      <c r="A666"/>
    </row>
    <row r="667" spans="1:1" ht="15.6" x14ac:dyDescent="0.25">
      <c r="A667"/>
    </row>
    <row r="668" spans="1:1" ht="15.6" x14ac:dyDescent="0.25">
      <c r="A668"/>
    </row>
    <row r="669" spans="1:1" ht="15.6" x14ac:dyDescent="0.25">
      <c r="A669"/>
    </row>
    <row r="670" spans="1:1" ht="15.6" x14ac:dyDescent="0.25">
      <c r="A670"/>
    </row>
    <row r="671" spans="1:1" ht="15.6" x14ac:dyDescent="0.25">
      <c r="A671"/>
    </row>
    <row r="672" spans="1:1" ht="15.6" x14ac:dyDescent="0.25">
      <c r="A672"/>
    </row>
    <row r="673" spans="1:1" ht="15.6" x14ac:dyDescent="0.25">
      <c r="A673"/>
    </row>
    <row r="674" spans="1:1" ht="15.6" x14ac:dyDescent="0.25">
      <c r="A674"/>
    </row>
    <row r="675" spans="1:1" ht="15.6" x14ac:dyDescent="0.25">
      <c r="A675"/>
    </row>
    <row r="676" spans="1:1" ht="15.6" x14ac:dyDescent="0.25">
      <c r="A676"/>
    </row>
    <row r="677" spans="1:1" ht="15.6" x14ac:dyDescent="0.25">
      <c r="A677"/>
    </row>
    <row r="678" spans="1:1" ht="15.6" x14ac:dyDescent="0.25">
      <c r="A678"/>
    </row>
    <row r="679" spans="1:1" ht="15.6" x14ac:dyDescent="0.25">
      <c r="A679"/>
    </row>
    <row r="680" spans="1:1" ht="15.6" x14ac:dyDescent="0.25">
      <c r="A680"/>
    </row>
    <row r="681" spans="1:1" ht="15.6" x14ac:dyDescent="0.25">
      <c r="A681"/>
    </row>
    <row r="682" spans="1:1" ht="15.6" x14ac:dyDescent="0.25">
      <c r="A682"/>
    </row>
    <row r="683" spans="1:1" ht="15.6" x14ac:dyDescent="0.25">
      <c r="A683"/>
    </row>
    <row r="684" spans="1:1" ht="15.6" x14ac:dyDescent="0.25">
      <c r="A684"/>
    </row>
    <row r="685" spans="1:1" ht="15.6" x14ac:dyDescent="0.25">
      <c r="A685"/>
    </row>
    <row r="686" spans="1:1" ht="15.6" x14ac:dyDescent="0.25">
      <c r="A686"/>
    </row>
    <row r="687" spans="1:1" ht="15.6" x14ac:dyDescent="0.25">
      <c r="A687"/>
    </row>
    <row r="688" spans="1:1" ht="15.6" x14ac:dyDescent="0.25">
      <c r="A688"/>
    </row>
    <row r="689" spans="1:1" ht="15.6" x14ac:dyDescent="0.25">
      <c r="A689"/>
    </row>
    <row r="690" spans="1:1" ht="15.6" x14ac:dyDescent="0.25">
      <c r="A690"/>
    </row>
    <row r="691" spans="1:1" ht="15.6" x14ac:dyDescent="0.25">
      <c r="A691"/>
    </row>
    <row r="692" spans="1:1" ht="15.6" x14ac:dyDescent="0.25">
      <c r="A692"/>
    </row>
    <row r="693" spans="1:1" ht="15.6" x14ac:dyDescent="0.25">
      <c r="A693"/>
    </row>
    <row r="694" spans="1:1" ht="15.6" x14ac:dyDescent="0.25">
      <c r="A694"/>
    </row>
    <row r="695" spans="1:1" ht="15.6" x14ac:dyDescent="0.25">
      <c r="A695"/>
    </row>
    <row r="696" spans="1:1" ht="15.6" x14ac:dyDescent="0.25">
      <c r="A696"/>
    </row>
    <row r="697" spans="1:1" ht="15.6" x14ac:dyDescent="0.25">
      <c r="A697"/>
    </row>
    <row r="698" spans="1:1" ht="15.6" x14ac:dyDescent="0.25">
      <c r="A698"/>
    </row>
    <row r="699" spans="1:1" ht="15.6" x14ac:dyDescent="0.25">
      <c r="A699"/>
    </row>
    <row r="700" spans="1:1" ht="15.6" x14ac:dyDescent="0.25">
      <c r="A700"/>
    </row>
    <row r="701" spans="1:1" ht="15.6" x14ac:dyDescent="0.25">
      <c r="A701"/>
    </row>
    <row r="702" spans="1:1" ht="15.6" x14ac:dyDescent="0.25">
      <c r="A702"/>
    </row>
    <row r="703" spans="1:1" ht="15.6" x14ac:dyDescent="0.25">
      <c r="A703"/>
    </row>
    <row r="704" spans="1:1" ht="15.6" x14ac:dyDescent="0.25">
      <c r="A704"/>
    </row>
    <row r="705" spans="1:1" ht="15.6" x14ac:dyDescent="0.25">
      <c r="A705"/>
    </row>
    <row r="706" spans="1:1" ht="15.6" x14ac:dyDescent="0.25">
      <c r="A706"/>
    </row>
    <row r="707" spans="1:1" ht="15.6" x14ac:dyDescent="0.25">
      <c r="A707"/>
    </row>
    <row r="708" spans="1:1" ht="15.6" x14ac:dyDescent="0.25">
      <c r="A708"/>
    </row>
    <row r="709" spans="1:1" ht="15.6" x14ac:dyDescent="0.25">
      <c r="A709"/>
    </row>
    <row r="710" spans="1:1" ht="15.6" x14ac:dyDescent="0.25">
      <c r="A710"/>
    </row>
    <row r="711" spans="1:1" ht="15.6" x14ac:dyDescent="0.25">
      <c r="A711"/>
    </row>
    <row r="712" spans="1:1" ht="15.6" x14ac:dyDescent="0.25">
      <c r="A712"/>
    </row>
    <row r="713" spans="1:1" ht="15.6" x14ac:dyDescent="0.25">
      <c r="A713"/>
    </row>
    <row r="714" spans="1:1" ht="15.6" x14ac:dyDescent="0.25">
      <c r="A714"/>
    </row>
    <row r="715" spans="1:1" ht="15.6" x14ac:dyDescent="0.25">
      <c r="A715"/>
    </row>
    <row r="716" spans="1:1" ht="15.6" x14ac:dyDescent="0.25">
      <c r="A716"/>
    </row>
    <row r="717" spans="1:1" ht="15.6" x14ac:dyDescent="0.25">
      <c r="A717"/>
    </row>
    <row r="718" spans="1:1" ht="15.6" x14ac:dyDescent="0.25">
      <c r="A718"/>
    </row>
    <row r="719" spans="1:1" ht="15.6" x14ac:dyDescent="0.25">
      <c r="A719"/>
    </row>
    <row r="720" spans="1:1" ht="15.6" x14ac:dyDescent="0.25">
      <c r="A720"/>
    </row>
    <row r="721" spans="1:1" ht="15.6" x14ac:dyDescent="0.25">
      <c r="A721"/>
    </row>
    <row r="722" spans="1:1" ht="15.6" x14ac:dyDescent="0.25">
      <c r="A722"/>
    </row>
    <row r="723" spans="1:1" ht="15.6" x14ac:dyDescent="0.25">
      <c r="A723"/>
    </row>
    <row r="724" spans="1:1" ht="15.6" x14ac:dyDescent="0.25">
      <c r="A724"/>
    </row>
    <row r="725" spans="1:1" ht="15.6" x14ac:dyDescent="0.25">
      <c r="A725"/>
    </row>
    <row r="726" spans="1:1" ht="15.6" x14ac:dyDescent="0.25">
      <c r="A726"/>
    </row>
    <row r="727" spans="1:1" ht="15.6" x14ac:dyDescent="0.25">
      <c r="A727"/>
    </row>
    <row r="728" spans="1:1" ht="15.6" x14ac:dyDescent="0.25">
      <c r="A728"/>
    </row>
    <row r="729" spans="1:1" ht="15.6" x14ac:dyDescent="0.25">
      <c r="A729"/>
    </row>
    <row r="730" spans="1:1" ht="15.6" x14ac:dyDescent="0.25">
      <c r="A730"/>
    </row>
    <row r="731" spans="1:1" ht="15.6" x14ac:dyDescent="0.25">
      <c r="A731"/>
    </row>
    <row r="732" spans="1:1" ht="15.6" x14ac:dyDescent="0.25">
      <c r="A732"/>
    </row>
    <row r="733" spans="1:1" ht="15.6" x14ac:dyDescent="0.25">
      <c r="A733"/>
    </row>
    <row r="734" spans="1:1" ht="15.6" x14ac:dyDescent="0.25">
      <c r="A734"/>
    </row>
    <row r="735" spans="1:1" ht="15.6" x14ac:dyDescent="0.25">
      <c r="A735"/>
    </row>
    <row r="736" spans="1:1" ht="15.6" x14ac:dyDescent="0.25">
      <c r="A736"/>
    </row>
    <row r="737" spans="1:1" ht="15.6" x14ac:dyDescent="0.25">
      <c r="A737"/>
    </row>
    <row r="738" spans="1:1" ht="15.6" x14ac:dyDescent="0.25">
      <c r="A738"/>
    </row>
    <row r="739" spans="1:1" ht="15.6" x14ac:dyDescent="0.25">
      <c r="A739"/>
    </row>
    <row r="740" spans="1:1" ht="15.6" x14ac:dyDescent="0.25">
      <c r="A740"/>
    </row>
    <row r="741" spans="1:1" ht="15.6" x14ac:dyDescent="0.25">
      <c r="A741"/>
    </row>
    <row r="742" spans="1:1" ht="15.6" x14ac:dyDescent="0.25">
      <c r="A742"/>
    </row>
    <row r="743" spans="1:1" ht="15.6" x14ac:dyDescent="0.25">
      <c r="A743"/>
    </row>
    <row r="744" spans="1:1" ht="15.6" x14ac:dyDescent="0.25">
      <c r="A744"/>
    </row>
    <row r="745" spans="1:1" ht="15.6" x14ac:dyDescent="0.25">
      <c r="A745"/>
    </row>
    <row r="746" spans="1:1" ht="15.6" x14ac:dyDescent="0.25">
      <c r="A746"/>
    </row>
    <row r="747" spans="1:1" ht="15.6" x14ac:dyDescent="0.25">
      <c r="A747"/>
    </row>
    <row r="748" spans="1:1" ht="15.6" x14ac:dyDescent="0.25">
      <c r="A748"/>
    </row>
    <row r="749" spans="1:1" ht="15.6" x14ac:dyDescent="0.25">
      <c r="A749"/>
    </row>
    <row r="750" spans="1:1" ht="15.6" x14ac:dyDescent="0.25">
      <c r="A750"/>
    </row>
    <row r="751" spans="1:1" ht="15.6" x14ac:dyDescent="0.25">
      <c r="A751"/>
    </row>
    <row r="752" spans="1:1" ht="15.6" x14ac:dyDescent="0.25">
      <c r="A752"/>
    </row>
    <row r="753" spans="1:1" ht="15.6" x14ac:dyDescent="0.25">
      <c r="A753"/>
    </row>
    <row r="754" spans="1:1" ht="15.6" x14ac:dyDescent="0.25">
      <c r="A754"/>
    </row>
    <row r="755" spans="1:1" ht="15.6" x14ac:dyDescent="0.25">
      <c r="A755"/>
    </row>
    <row r="756" spans="1:1" ht="15.6" x14ac:dyDescent="0.25">
      <c r="A756"/>
    </row>
    <row r="757" spans="1:1" ht="15.6" x14ac:dyDescent="0.25">
      <c r="A757"/>
    </row>
    <row r="758" spans="1:1" ht="15.6" x14ac:dyDescent="0.25">
      <c r="A758"/>
    </row>
    <row r="759" spans="1:1" ht="15.6" x14ac:dyDescent="0.25">
      <c r="A759"/>
    </row>
    <row r="760" spans="1:1" ht="15.6" x14ac:dyDescent="0.25">
      <c r="A760"/>
    </row>
    <row r="761" spans="1:1" ht="15.6" x14ac:dyDescent="0.25">
      <c r="A761"/>
    </row>
    <row r="762" spans="1:1" ht="15.6" x14ac:dyDescent="0.25">
      <c r="A762"/>
    </row>
    <row r="763" spans="1:1" ht="15.6" x14ac:dyDescent="0.25">
      <c r="A763"/>
    </row>
    <row r="764" spans="1:1" ht="15.6" x14ac:dyDescent="0.25">
      <c r="A764"/>
    </row>
    <row r="765" spans="1:1" ht="15.6" x14ac:dyDescent="0.25">
      <c r="A765"/>
    </row>
    <row r="766" spans="1:1" ht="15.6" x14ac:dyDescent="0.25">
      <c r="A766"/>
    </row>
    <row r="767" spans="1:1" ht="15.6" x14ac:dyDescent="0.25">
      <c r="A767"/>
    </row>
    <row r="768" spans="1:1" ht="15.6" x14ac:dyDescent="0.25">
      <c r="A768"/>
    </row>
    <row r="769" spans="1:1" ht="15.6" x14ac:dyDescent="0.25">
      <c r="A769"/>
    </row>
    <row r="770" spans="1:1" ht="15.6" x14ac:dyDescent="0.25">
      <c r="A770"/>
    </row>
    <row r="771" spans="1:1" ht="15.6" x14ac:dyDescent="0.25">
      <c r="A771"/>
    </row>
    <row r="772" spans="1:1" ht="15.6" x14ac:dyDescent="0.25">
      <c r="A772"/>
    </row>
    <row r="773" spans="1:1" ht="15.6" x14ac:dyDescent="0.25">
      <c r="A773"/>
    </row>
    <row r="774" spans="1:1" ht="15.6" x14ac:dyDescent="0.25">
      <c r="A774"/>
    </row>
    <row r="775" spans="1:1" ht="15.6" x14ac:dyDescent="0.25">
      <c r="A775"/>
    </row>
    <row r="776" spans="1:1" ht="15.6" x14ac:dyDescent="0.25">
      <c r="A776"/>
    </row>
    <row r="777" spans="1:1" ht="15.6" x14ac:dyDescent="0.25">
      <c r="A777"/>
    </row>
    <row r="778" spans="1:1" ht="15.6" x14ac:dyDescent="0.25">
      <c r="A778"/>
    </row>
    <row r="779" spans="1:1" ht="15.6" x14ac:dyDescent="0.25">
      <c r="A779"/>
    </row>
    <row r="780" spans="1:1" ht="15.6" x14ac:dyDescent="0.25">
      <c r="A780"/>
    </row>
    <row r="781" spans="1:1" ht="15.6" x14ac:dyDescent="0.25">
      <c r="A781"/>
    </row>
    <row r="782" spans="1:1" ht="15.6" x14ac:dyDescent="0.25">
      <c r="A782"/>
    </row>
    <row r="783" spans="1:1" ht="15.6" x14ac:dyDescent="0.25">
      <c r="A783"/>
    </row>
    <row r="784" spans="1:1" ht="15.6" x14ac:dyDescent="0.25">
      <c r="A784"/>
    </row>
    <row r="785" spans="1:1" ht="15.6" x14ac:dyDescent="0.25">
      <c r="A785"/>
    </row>
    <row r="786" spans="1:1" ht="15.6" x14ac:dyDescent="0.25">
      <c r="A786"/>
    </row>
    <row r="787" spans="1:1" ht="15.6" x14ac:dyDescent="0.25">
      <c r="A787"/>
    </row>
    <row r="788" spans="1:1" ht="15.6" x14ac:dyDescent="0.25">
      <c r="A788"/>
    </row>
    <row r="789" spans="1:1" ht="15.6" x14ac:dyDescent="0.25">
      <c r="A789"/>
    </row>
    <row r="790" spans="1:1" ht="15.6" x14ac:dyDescent="0.25">
      <c r="A790"/>
    </row>
    <row r="791" spans="1:1" ht="15.6" x14ac:dyDescent="0.25">
      <c r="A791"/>
    </row>
    <row r="792" spans="1:1" ht="15.6" x14ac:dyDescent="0.25">
      <c r="A792"/>
    </row>
    <row r="793" spans="1:1" ht="15.6" x14ac:dyDescent="0.25">
      <c r="A793"/>
    </row>
    <row r="794" spans="1:1" ht="15.6" x14ac:dyDescent="0.25">
      <c r="A794"/>
    </row>
    <row r="795" spans="1:1" ht="15.6" x14ac:dyDescent="0.25">
      <c r="A795"/>
    </row>
    <row r="796" spans="1:1" ht="15.6" x14ac:dyDescent="0.25">
      <c r="A796"/>
    </row>
    <row r="797" spans="1:1" ht="15.6" x14ac:dyDescent="0.25">
      <c r="A797"/>
    </row>
    <row r="798" spans="1:1" ht="15.6" x14ac:dyDescent="0.25">
      <c r="A798"/>
    </row>
    <row r="799" spans="1:1" ht="15.6" x14ac:dyDescent="0.25">
      <c r="A799"/>
    </row>
    <row r="800" spans="1:1" ht="15.6" x14ac:dyDescent="0.25">
      <c r="A800"/>
    </row>
    <row r="801" spans="1:1" ht="15.6" x14ac:dyDescent="0.25">
      <c r="A801"/>
    </row>
    <row r="802" spans="1:1" ht="15.6" x14ac:dyDescent="0.25">
      <c r="A802"/>
    </row>
    <row r="803" spans="1:1" ht="15.6" x14ac:dyDescent="0.25">
      <c r="A803"/>
    </row>
    <row r="804" spans="1:1" ht="15.6" x14ac:dyDescent="0.25">
      <c r="A804"/>
    </row>
    <row r="805" spans="1:1" ht="15.6" x14ac:dyDescent="0.25">
      <c r="A805"/>
    </row>
    <row r="806" spans="1:1" ht="15.6" x14ac:dyDescent="0.25">
      <c r="A806"/>
    </row>
    <row r="807" spans="1:1" ht="15.6" x14ac:dyDescent="0.25">
      <c r="A807"/>
    </row>
    <row r="808" spans="1:1" ht="15.6" x14ac:dyDescent="0.25">
      <c r="A808"/>
    </row>
    <row r="809" spans="1:1" ht="15.6" x14ac:dyDescent="0.25">
      <c r="A809"/>
    </row>
    <row r="810" spans="1:1" ht="15.6" x14ac:dyDescent="0.25">
      <c r="A810"/>
    </row>
    <row r="811" spans="1:1" ht="15.6" x14ac:dyDescent="0.25">
      <c r="A811"/>
    </row>
    <row r="812" spans="1:1" ht="15.6" x14ac:dyDescent="0.25">
      <c r="A812"/>
    </row>
    <row r="813" spans="1:1" ht="15.6" x14ac:dyDescent="0.25">
      <c r="A813"/>
    </row>
    <row r="814" spans="1:1" ht="15.6" x14ac:dyDescent="0.25">
      <c r="A814"/>
    </row>
    <row r="815" spans="1:1" ht="15.6" x14ac:dyDescent="0.25">
      <c r="A815"/>
    </row>
    <row r="816" spans="1:1" ht="15.6" x14ac:dyDescent="0.25">
      <c r="A816"/>
    </row>
    <row r="817" spans="1:1" ht="15.6" x14ac:dyDescent="0.25">
      <c r="A817"/>
    </row>
    <row r="818" spans="1:1" ht="15.6" x14ac:dyDescent="0.25">
      <c r="A818"/>
    </row>
    <row r="819" spans="1:1" ht="15.6" x14ac:dyDescent="0.25">
      <c r="A819"/>
    </row>
    <row r="820" spans="1:1" ht="15.6" x14ac:dyDescent="0.25">
      <c r="A820"/>
    </row>
    <row r="821" spans="1:1" ht="15.6" x14ac:dyDescent="0.25">
      <c r="A821"/>
    </row>
    <row r="822" spans="1:1" ht="15.6" x14ac:dyDescent="0.25">
      <c r="A822"/>
    </row>
    <row r="823" spans="1:1" ht="15.6" x14ac:dyDescent="0.25">
      <c r="A823"/>
    </row>
    <row r="824" spans="1:1" ht="15.6" x14ac:dyDescent="0.25">
      <c r="A824"/>
    </row>
    <row r="825" spans="1:1" ht="15.6" x14ac:dyDescent="0.25">
      <c r="A825"/>
    </row>
    <row r="826" spans="1:1" ht="15.6" x14ac:dyDescent="0.25">
      <c r="A826"/>
    </row>
    <row r="827" spans="1:1" ht="15.6" x14ac:dyDescent="0.25">
      <c r="A827"/>
    </row>
    <row r="828" spans="1:1" ht="15.6" x14ac:dyDescent="0.25">
      <c r="A828"/>
    </row>
    <row r="829" spans="1:1" ht="15.6" x14ac:dyDescent="0.25">
      <c r="A829"/>
    </row>
    <row r="830" spans="1:1" ht="15.6" x14ac:dyDescent="0.25">
      <c r="A830"/>
    </row>
    <row r="831" spans="1:1" ht="15.6" x14ac:dyDescent="0.25">
      <c r="A831"/>
    </row>
    <row r="832" spans="1:1" ht="15.6" x14ac:dyDescent="0.25">
      <c r="A832"/>
    </row>
    <row r="833" spans="1:1" ht="15.6" x14ac:dyDescent="0.25">
      <c r="A833"/>
    </row>
    <row r="834" spans="1:1" ht="15.6" x14ac:dyDescent="0.25">
      <c r="A834"/>
    </row>
    <row r="835" spans="1:1" ht="15.6" x14ac:dyDescent="0.25">
      <c r="A835"/>
    </row>
    <row r="836" spans="1:1" ht="15.6" x14ac:dyDescent="0.25">
      <c r="A836"/>
    </row>
    <row r="837" spans="1:1" ht="15.6" x14ac:dyDescent="0.25">
      <c r="A837"/>
    </row>
    <row r="838" spans="1:1" ht="15.6" x14ac:dyDescent="0.25">
      <c r="A838"/>
    </row>
    <row r="839" spans="1:1" ht="15.6" x14ac:dyDescent="0.25">
      <c r="A839"/>
    </row>
    <row r="840" spans="1:1" ht="15.6" x14ac:dyDescent="0.25">
      <c r="A840"/>
    </row>
    <row r="841" spans="1:1" ht="15.6" x14ac:dyDescent="0.25">
      <c r="A841"/>
    </row>
    <row r="842" spans="1:1" ht="15.6" x14ac:dyDescent="0.25">
      <c r="A842"/>
    </row>
    <row r="843" spans="1:1" ht="15.6" x14ac:dyDescent="0.25">
      <c r="A843"/>
    </row>
    <row r="844" spans="1:1" ht="15.6" x14ac:dyDescent="0.25">
      <c r="A844"/>
    </row>
    <row r="845" spans="1:1" ht="15.6" x14ac:dyDescent="0.25">
      <c r="A845"/>
    </row>
    <row r="846" spans="1:1" ht="15.6" x14ac:dyDescent="0.25">
      <c r="A846"/>
    </row>
    <row r="847" spans="1:1" ht="15.6" x14ac:dyDescent="0.25">
      <c r="A847"/>
    </row>
    <row r="848" spans="1:1" ht="15.6" x14ac:dyDescent="0.25">
      <c r="A848"/>
    </row>
    <row r="849" spans="1:1" ht="15.6" x14ac:dyDescent="0.25">
      <c r="A849"/>
    </row>
    <row r="850" spans="1:1" ht="15.6" x14ac:dyDescent="0.25">
      <c r="A850"/>
    </row>
    <row r="851" spans="1:1" ht="15.6" x14ac:dyDescent="0.25">
      <c r="A851"/>
    </row>
    <row r="852" spans="1:1" ht="15.6" x14ac:dyDescent="0.25">
      <c r="A852"/>
    </row>
    <row r="853" spans="1:1" ht="15.6" x14ac:dyDescent="0.25">
      <c r="A853"/>
    </row>
    <row r="854" spans="1:1" ht="15.6" x14ac:dyDescent="0.25">
      <c r="A854"/>
    </row>
    <row r="855" spans="1:1" ht="15.6" x14ac:dyDescent="0.25">
      <c r="A855"/>
    </row>
    <row r="856" spans="1:1" ht="15.6" x14ac:dyDescent="0.25">
      <c r="A856"/>
    </row>
    <row r="857" spans="1:1" ht="15.6" x14ac:dyDescent="0.25">
      <c r="A857"/>
    </row>
    <row r="858" spans="1:1" ht="15.6" x14ac:dyDescent="0.25">
      <c r="A858"/>
    </row>
    <row r="859" spans="1:1" ht="15.6" x14ac:dyDescent="0.25">
      <c r="A859"/>
    </row>
    <row r="860" spans="1:1" ht="15.6" x14ac:dyDescent="0.25">
      <c r="A860"/>
    </row>
    <row r="861" spans="1:1" ht="15.6" x14ac:dyDescent="0.25">
      <c r="A861"/>
    </row>
    <row r="862" spans="1:1" ht="15.6" x14ac:dyDescent="0.25">
      <c r="A862"/>
    </row>
    <row r="863" spans="1:1" ht="15.6" x14ac:dyDescent="0.25">
      <c r="A863"/>
    </row>
    <row r="864" spans="1:1" ht="15.6" x14ac:dyDescent="0.25">
      <c r="A864"/>
    </row>
    <row r="865" spans="1:1" ht="15.6" x14ac:dyDescent="0.25">
      <c r="A865"/>
    </row>
    <row r="866" spans="1:1" ht="15.6" x14ac:dyDescent="0.25">
      <c r="A866"/>
    </row>
    <row r="867" spans="1:1" ht="15.6" x14ac:dyDescent="0.25">
      <c r="A867"/>
    </row>
    <row r="868" spans="1:1" ht="15.6" x14ac:dyDescent="0.25">
      <c r="A868"/>
    </row>
    <row r="869" spans="1:1" ht="15.6" x14ac:dyDescent="0.25">
      <c r="A869"/>
    </row>
    <row r="870" spans="1:1" ht="15.6" x14ac:dyDescent="0.25">
      <c r="A870"/>
    </row>
    <row r="871" spans="1:1" ht="15.6" x14ac:dyDescent="0.25">
      <c r="A871"/>
    </row>
    <row r="872" spans="1:1" ht="15.6" x14ac:dyDescent="0.25">
      <c r="A872"/>
    </row>
    <row r="873" spans="1:1" ht="15.6" x14ac:dyDescent="0.25">
      <c r="A873"/>
    </row>
    <row r="874" spans="1:1" ht="15.6" x14ac:dyDescent="0.25">
      <c r="A874"/>
    </row>
    <row r="875" spans="1:1" ht="15.6" x14ac:dyDescent="0.25">
      <c r="A875"/>
    </row>
    <row r="876" spans="1:1" ht="15.6" x14ac:dyDescent="0.25">
      <c r="A876"/>
    </row>
    <row r="877" spans="1:1" ht="15.6" x14ac:dyDescent="0.25">
      <c r="A877"/>
    </row>
    <row r="878" spans="1:1" ht="15.6" x14ac:dyDescent="0.25">
      <c r="A878"/>
    </row>
    <row r="879" spans="1:1" ht="15.6" x14ac:dyDescent="0.25">
      <c r="A879"/>
    </row>
    <row r="880" spans="1:1" ht="15.6" x14ac:dyDescent="0.25">
      <c r="A880"/>
    </row>
    <row r="881" spans="1:1" ht="15.6" x14ac:dyDescent="0.25">
      <c r="A881"/>
    </row>
    <row r="882" spans="1:1" ht="15.6" x14ac:dyDescent="0.25">
      <c r="A882"/>
    </row>
    <row r="883" spans="1:1" ht="15.6" x14ac:dyDescent="0.25">
      <c r="A883"/>
    </row>
    <row r="884" spans="1:1" ht="15.6" x14ac:dyDescent="0.25">
      <c r="A884"/>
    </row>
    <row r="885" spans="1:1" ht="15.6" x14ac:dyDescent="0.25">
      <c r="A885"/>
    </row>
    <row r="886" spans="1:1" ht="15.6" x14ac:dyDescent="0.25">
      <c r="A886"/>
    </row>
    <row r="887" spans="1:1" ht="15.6" x14ac:dyDescent="0.25">
      <c r="A887"/>
    </row>
    <row r="888" spans="1:1" ht="15.6" x14ac:dyDescent="0.25">
      <c r="A888"/>
    </row>
    <row r="889" spans="1:1" ht="15.6" x14ac:dyDescent="0.25">
      <c r="A889"/>
    </row>
    <row r="890" spans="1:1" ht="15.6" x14ac:dyDescent="0.25">
      <c r="A890"/>
    </row>
    <row r="891" spans="1:1" ht="15.6" x14ac:dyDescent="0.25">
      <c r="A891"/>
    </row>
    <row r="892" spans="1:1" ht="15.6" x14ac:dyDescent="0.25">
      <c r="A892"/>
    </row>
    <row r="893" spans="1:1" ht="15.6" x14ac:dyDescent="0.25">
      <c r="A893"/>
    </row>
    <row r="894" spans="1:1" ht="15.6" x14ac:dyDescent="0.25">
      <c r="A894"/>
    </row>
    <row r="895" spans="1:1" ht="15.6" x14ac:dyDescent="0.25">
      <c r="A895"/>
    </row>
    <row r="896" spans="1:1" ht="15.6" x14ac:dyDescent="0.25">
      <c r="A896"/>
    </row>
    <row r="897" spans="1:1" ht="15.6" x14ac:dyDescent="0.25">
      <c r="A897"/>
    </row>
    <row r="898" spans="1:1" ht="15.6" x14ac:dyDescent="0.25">
      <c r="A898"/>
    </row>
    <row r="899" spans="1:1" ht="15.6" x14ac:dyDescent="0.25">
      <c r="A899"/>
    </row>
    <row r="900" spans="1:1" ht="15.6" x14ac:dyDescent="0.25">
      <c r="A900"/>
    </row>
    <row r="901" spans="1:1" ht="15.6" x14ac:dyDescent="0.25">
      <c r="A901"/>
    </row>
    <row r="902" spans="1:1" ht="15.6" x14ac:dyDescent="0.25">
      <c r="A902"/>
    </row>
    <row r="903" spans="1:1" ht="15.6" x14ac:dyDescent="0.25">
      <c r="A903"/>
    </row>
    <row r="904" spans="1:1" ht="15.6" x14ac:dyDescent="0.25">
      <c r="A904"/>
    </row>
    <row r="905" spans="1:1" ht="15.6" x14ac:dyDescent="0.25">
      <c r="A905"/>
    </row>
    <row r="906" spans="1:1" ht="15.6" x14ac:dyDescent="0.25">
      <c r="A906"/>
    </row>
    <row r="907" spans="1:1" ht="15.6" x14ac:dyDescent="0.25">
      <c r="A907"/>
    </row>
    <row r="908" spans="1:1" ht="15.6" x14ac:dyDescent="0.25">
      <c r="A908"/>
    </row>
    <row r="909" spans="1:1" ht="15.6" x14ac:dyDescent="0.25">
      <c r="A909"/>
    </row>
    <row r="910" spans="1:1" ht="15.6" x14ac:dyDescent="0.25">
      <c r="A910"/>
    </row>
    <row r="911" spans="1:1" ht="15.6" x14ac:dyDescent="0.25">
      <c r="A911"/>
    </row>
    <row r="912" spans="1:1" ht="15.6" x14ac:dyDescent="0.25">
      <c r="A912"/>
    </row>
    <row r="913" spans="1:1" ht="15.6" x14ac:dyDescent="0.25">
      <c r="A913"/>
    </row>
    <row r="914" spans="1:1" ht="15.6" x14ac:dyDescent="0.25">
      <c r="A914"/>
    </row>
    <row r="915" spans="1:1" ht="15.6" x14ac:dyDescent="0.25">
      <c r="A915"/>
    </row>
    <row r="916" spans="1:1" ht="15.6" x14ac:dyDescent="0.25">
      <c r="A916"/>
    </row>
    <row r="917" spans="1:1" ht="15.6" x14ac:dyDescent="0.25">
      <c r="A917"/>
    </row>
    <row r="918" spans="1:1" ht="15.6" x14ac:dyDescent="0.25">
      <c r="A918"/>
    </row>
    <row r="919" spans="1:1" ht="15.6" x14ac:dyDescent="0.25">
      <c r="A919"/>
    </row>
    <row r="920" spans="1:1" ht="15.6" x14ac:dyDescent="0.25">
      <c r="A920"/>
    </row>
    <row r="921" spans="1:1" ht="15.6" x14ac:dyDescent="0.25">
      <c r="A921"/>
    </row>
    <row r="922" spans="1:1" ht="15.6" x14ac:dyDescent="0.25">
      <c r="A922"/>
    </row>
    <row r="923" spans="1:1" ht="15.6" x14ac:dyDescent="0.25">
      <c r="A923"/>
    </row>
    <row r="924" spans="1:1" ht="15.6" x14ac:dyDescent="0.25">
      <c r="A924"/>
    </row>
    <row r="925" spans="1:1" ht="15.6" x14ac:dyDescent="0.25">
      <c r="A925"/>
    </row>
    <row r="926" spans="1:1" ht="15.6" x14ac:dyDescent="0.25">
      <c r="A926"/>
    </row>
    <row r="927" spans="1:1" ht="15.6" x14ac:dyDescent="0.25">
      <c r="A927"/>
    </row>
    <row r="928" spans="1:1" ht="15.6" x14ac:dyDescent="0.25">
      <c r="A928"/>
    </row>
    <row r="929" spans="1:1" ht="15.6" x14ac:dyDescent="0.25">
      <c r="A929"/>
    </row>
    <row r="930" spans="1:1" ht="15.6" x14ac:dyDescent="0.25">
      <c r="A930"/>
    </row>
    <row r="931" spans="1:1" ht="15.6" x14ac:dyDescent="0.25">
      <c r="A931"/>
    </row>
    <row r="932" spans="1:1" ht="15.6" x14ac:dyDescent="0.25">
      <c r="A932"/>
    </row>
    <row r="933" spans="1:1" ht="15.6" x14ac:dyDescent="0.25">
      <c r="A933"/>
    </row>
    <row r="934" spans="1:1" ht="15.6" x14ac:dyDescent="0.25">
      <c r="A934"/>
    </row>
    <row r="935" spans="1:1" ht="15.6" x14ac:dyDescent="0.25">
      <c r="A935"/>
    </row>
    <row r="936" spans="1:1" ht="15.6" x14ac:dyDescent="0.25">
      <c r="A936"/>
    </row>
    <row r="937" spans="1:1" ht="15.6" x14ac:dyDescent="0.25">
      <c r="A937"/>
    </row>
    <row r="938" spans="1:1" ht="15.6" x14ac:dyDescent="0.25">
      <c r="A938"/>
    </row>
    <row r="939" spans="1:1" ht="15.6" x14ac:dyDescent="0.25">
      <c r="A939"/>
    </row>
    <row r="940" spans="1:1" ht="15.6" x14ac:dyDescent="0.25">
      <c r="A940"/>
    </row>
    <row r="941" spans="1:1" ht="15.6" x14ac:dyDescent="0.25">
      <c r="A941"/>
    </row>
    <row r="942" spans="1:1" ht="15.6" x14ac:dyDescent="0.25">
      <c r="A942"/>
    </row>
    <row r="943" spans="1:1" ht="15.6" x14ac:dyDescent="0.25">
      <c r="A943"/>
    </row>
    <row r="944" spans="1:1" ht="15.6" x14ac:dyDescent="0.25">
      <c r="A944"/>
    </row>
    <row r="945" spans="1:1" ht="15.6" x14ac:dyDescent="0.25">
      <c r="A945"/>
    </row>
    <row r="946" spans="1:1" ht="15.6" x14ac:dyDescent="0.25">
      <c r="A946"/>
    </row>
    <row r="947" spans="1:1" ht="15.6" x14ac:dyDescent="0.25">
      <c r="A947"/>
    </row>
    <row r="948" spans="1:1" ht="15.6" x14ac:dyDescent="0.25">
      <c r="A948"/>
    </row>
    <row r="949" spans="1:1" ht="15.6" x14ac:dyDescent="0.25">
      <c r="A949"/>
    </row>
    <row r="950" spans="1:1" ht="15.6" x14ac:dyDescent="0.25">
      <c r="A950"/>
    </row>
    <row r="951" spans="1:1" ht="15.6" x14ac:dyDescent="0.25">
      <c r="A951"/>
    </row>
    <row r="952" spans="1:1" ht="15.6" x14ac:dyDescent="0.25">
      <c r="A952"/>
    </row>
    <row r="953" spans="1:1" ht="15.6" x14ac:dyDescent="0.25">
      <c r="A953"/>
    </row>
    <row r="954" spans="1:1" ht="15.6" x14ac:dyDescent="0.25">
      <c r="A954"/>
    </row>
    <row r="955" spans="1:1" ht="15.6" x14ac:dyDescent="0.25">
      <c r="A955"/>
    </row>
    <row r="956" spans="1:1" ht="15.6" x14ac:dyDescent="0.25">
      <c r="A956"/>
    </row>
    <row r="957" spans="1:1" ht="15.6" x14ac:dyDescent="0.25">
      <c r="A957"/>
    </row>
    <row r="958" spans="1:1" ht="15.6" x14ac:dyDescent="0.25">
      <c r="A958"/>
    </row>
    <row r="959" spans="1:1" ht="15.6" x14ac:dyDescent="0.25">
      <c r="A959"/>
    </row>
    <row r="960" spans="1:1" ht="15.6" x14ac:dyDescent="0.25">
      <c r="A960"/>
    </row>
    <row r="961" spans="1:1" ht="15.6" x14ac:dyDescent="0.25">
      <c r="A961"/>
    </row>
    <row r="962" spans="1:1" ht="15.6" x14ac:dyDescent="0.25">
      <c r="A962"/>
    </row>
    <row r="963" spans="1:1" ht="15.6" x14ac:dyDescent="0.25">
      <c r="A963"/>
    </row>
    <row r="964" spans="1:1" ht="15.6" x14ac:dyDescent="0.25">
      <c r="A964"/>
    </row>
    <row r="965" spans="1:1" ht="15.6" x14ac:dyDescent="0.25">
      <c r="A965"/>
    </row>
    <row r="966" spans="1:1" ht="15.6" x14ac:dyDescent="0.25">
      <c r="A966"/>
    </row>
    <row r="967" spans="1:1" ht="15.6" x14ac:dyDescent="0.25">
      <c r="A967"/>
    </row>
    <row r="968" spans="1:1" ht="15.6" x14ac:dyDescent="0.25">
      <c r="A968"/>
    </row>
    <row r="969" spans="1:1" ht="15.6" x14ac:dyDescent="0.25">
      <c r="A969"/>
    </row>
    <row r="970" spans="1:1" ht="15.6" x14ac:dyDescent="0.25">
      <c r="A970"/>
    </row>
    <row r="971" spans="1:1" ht="15.6" x14ac:dyDescent="0.25">
      <c r="A971"/>
    </row>
    <row r="972" spans="1:1" ht="15.6" x14ac:dyDescent="0.25">
      <c r="A972"/>
    </row>
    <row r="973" spans="1:1" ht="15.6" x14ac:dyDescent="0.25">
      <c r="A973"/>
    </row>
    <row r="974" spans="1:1" ht="15.6" x14ac:dyDescent="0.25">
      <c r="A974"/>
    </row>
    <row r="975" spans="1:1" ht="15.6" x14ac:dyDescent="0.25">
      <c r="A975"/>
    </row>
    <row r="976" spans="1:1" ht="15.6" x14ac:dyDescent="0.25">
      <c r="A976"/>
    </row>
    <row r="977" spans="1:1" ht="15.6" x14ac:dyDescent="0.25">
      <c r="A977"/>
    </row>
    <row r="978" spans="1:1" ht="15.6" x14ac:dyDescent="0.25">
      <c r="A978"/>
    </row>
    <row r="979" spans="1:1" ht="15.6" x14ac:dyDescent="0.25">
      <c r="A979"/>
    </row>
    <row r="980" spans="1:1" ht="15.6" x14ac:dyDescent="0.25">
      <c r="A980"/>
    </row>
    <row r="981" spans="1:1" ht="15.6" x14ac:dyDescent="0.25">
      <c r="A981"/>
    </row>
    <row r="982" spans="1:1" ht="15.6" x14ac:dyDescent="0.25">
      <c r="A982"/>
    </row>
    <row r="983" spans="1:1" ht="15.6" x14ac:dyDescent="0.25">
      <c r="A983"/>
    </row>
    <row r="984" spans="1:1" ht="15.6" x14ac:dyDescent="0.25">
      <c r="A984"/>
    </row>
    <row r="985" spans="1:1" ht="15.6" x14ac:dyDescent="0.25">
      <c r="A985"/>
    </row>
    <row r="986" spans="1:1" ht="15.6" x14ac:dyDescent="0.25">
      <c r="A986"/>
    </row>
    <row r="987" spans="1:1" ht="15.6" x14ac:dyDescent="0.25">
      <c r="A987"/>
    </row>
    <row r="988" spans="1:1" ht="15.6" x14ac:dyDescent="0.25">
      <c r="A988"/>
    </row>
    <row r="989" spans="1:1" ht="15.6" x14ac:dyDescent="0.25">
      <c r="A989"/>
    </row>
    <row r="990" spans="1:1" ht="15.6" x14ac:dyDescent="0.25">
      <c r="A990"/>
    </row>
    <row r="991" spans="1:1" ht="15.6" x14ac:dyDescent="0.25">
      <c r="A991"/>
    </row>
    <row r="992" spans="1:1" ht="15.6" x14ac:dyDescent="0.25">
      <c r="A992"/>
    </row>
    <row r="993" spans="1:1" ht="15.6" x14ac:dyDescent="0.25">
      <c r="A993"/>
    </row>
    <row r="994" spans="1:1" ht="15.6" x14ac:dyDescent="0.25">
      <c r="A994"/>
    </row>
    <row r="995" spans="1:1" ht="15.6" x14ac:dyDescent="0.25">
      <c r="A995"/>
    </row>
    <row r="996" spans="1:1" ht="15.6" x14ac:dyDescent="0.25">
      <c r="A996"/>
    </row>
    <row r="997" spans="1:1" ht="15.6" x14ac:dyDescent="0.25">
      <c r="A997"/>
    </row>
    <row r="998" spans="1:1" ht="15.6" x14ac:dyDescent="0.25">
      <c r="A998"/>
    </row>
    <row r="999" spans="1:1" ht="15.6" x14ac:dyDescent="0.25">
      <c r="A999"/>
    </row>
    <row r="1000" spans="1:1" ht="15.6" x14ac:dyDescent="0.25">
      <c r="A1000"/>
    </row>
    <row r="1001" spans="1:1" ht="15.6" x14ac:dyDescent="0.25">
      <c r="A1001"/>
    </row>
    <row r="1002" spans="1:1" ht="15.6" x14ac:dyDescent="0.25">
      <c r="A1002"/>
    </row>
    <row r="1003" spans="1:1" ht="15.6" x14ac:dyDescent="0.25">
      <c r="A1003"/>
    </row>
    <row r="1004" spans="1:1" ht="15.6" x14ac:dyDescent="0.25">
      <c r="A1004"/>
    </row>
    <row r="1005" spans="1:1" ht="15.6" x14ac:dyDescent="0.25">
      <c r="A1005"/>
    </row>
    <row r="1006" spans="1:1" ht="15.6" x14ac:dyDescent="0.25">
      <c r="A1006"/>
    </row>
    <row r="1007" spans="1:1" ht="15.6" x14ac:dyDescent="0.25">
      <c r="A1007"/>
    </row>
    <row r="1008" spans="1:1" ht="15.6" x14ac:dyDescent="0.25">
      <c r="A1008"/>
    </row>
    <row r="1009" spans="1:1" ht="15.6" x14ac:dyDescent="0.25">
      <c r="A1009"/>
    </row>
    <row r="1010" spans="1:1" ht="15.6" x14ac:dyDescent="0.25">
      <c r="A1010"/>
    </row>
    <row r="1011" spans="1:1" ht="15.6" x14ac:dyDescent="0.25">
      <c r="A1011"/>
    </row>
    <row r="1012" spans="1:1" ht="15.6" x14ac:dyDescent="0.25">
      <c r="A1012"/>
    </row>
    <row r="1013" spans="1:1" ht="15.6" x14ac:dyDescent="0.25">
      <c r="A1013"/>
    </row>
    <row r="1014" spans="1:1" ht="15.6" x14ac:dyDescent="0.25">
      <c r="A1014"/>
    </row>
    <row r="1015" spans="1:1" ht="15.6" x14ac:dyDescent="0.25">
      <c r="A1015"/>
    </row>
    <row r="1016" spans="1:1" ht="15.6" x14ac:dyDescent="0.25">
      <c r="A1016"/>
    </row>
    <row r="1017" spans="1:1" ht="15.6" x14ac:dyDescent="0.25">
      <c r="A1017"/>
    </row>
    <row r="1018" spans="1:1" ht="15.6" x14ac:dyDescent="0.25">
      <c r="A1018"/>
    </row>
    <row r="1019" spans="1:1" ht="15.6" x14ac:dyDescent="0.25">
      <c r="A1019"/>
    </row>
    <row r="1020" spans="1:1" ht="15.6" x14ac:dyDescent="0.25">
      <c r="A1020"/>
    </row>
    <row r="1021" spans="1:1" ht="15.6" x14ac:dyDescent="0.25">
      <c r="A1021"/>
    </row>
    <row r="1022" spans="1:1" ht="15.6" x14ac:dyDescent="0.25">
      <c r="A1022"/>
    </row>
    <row r="1023" spans="1:1" ht="15.6" x14ac:dyDescent="0.25">
      <c r="A1023"/>
    </row>
    <row r="1024" spans="1:1" ht="15.6" x14ac:dyDescent="0.25">
      <c r="A1024"/>
    </row>
    <row r="1025" spans="1:1" ht="15.6" x14ac:dyDescent="0.25">
      <c r="A1025"/>
    </row>
    <row r="1026" spans="1:1" ht="15.6" x14ac:dyDescent="0.25">
      <c r="A1026"/>
    </row>
    <row r="1027" spans="1:1" ht="15.6" x14ac:dyDescent="0.25">
      <c r="A1027"/>
    </row>
    <row r="1028" spans="1:1" ht="15.6" x14ac:dyDescent="0.25">
      <c r="A1028"/>
    </row>
    <row r="1029" spans="1:1" ht="15.6" x14ac:dyDescent="0.25">
      <c r="A1029"/>
    </row>
    <row r="1030" spans="1:1" ht="15.6" x14ac:dyDescent="0.25">
      <c r="A1030"/>
    </row>
    <row r="1031" spans="1:1" ht="15.6" x14ac:dyDescent="0.25">
      <c r="A1031"/>
    </row>
    <row r="1032" spans="1:1" ht="15.6" x14ac:dyDescent="0.25">
      <c r="A1032"/>
    </row>
    <row r="1033" spans="1:1" ht="15.6" x14ac:dyDescent="0.25">
      <c r="A1033"/>
    </row>
    <row r="1034" spans="1:1" ht="15.6" x14ac:dyDescent="0.25">
      <c r="A1034"/>
    </row>
    <row r="1035" spans="1:1" ht="15.6" x14ac:dyDescent="0.25">
      <c r="A1035"/>
    </row>
    <row r="1036" spans="1:1" ht="15.6" x14ac:dyDescent="0.25">
      <c r="A1036"/>
    </row>
    <row r="1037" spans="1:1" ht="15.6" x14ac:dyDescent="0.25">
      <c r="A1037"/>
    </row>
    <row r="1038" spans="1:1" ht="15.6" x14ac:dyDescent="0.25">
      <c r="A1038"/>
    </row>
    <row r="1039" spans="1:1" ht="15.6" x14ac:dyDescent="0.25">
      <c r="A1039"/>
    </row>
    <row r="1040" spans="1:1" ht="15.6" x14ac:dyDescent="0.25">
      <c r="A1040"/>
    </row>
    <row r="1041" spans="1:1" ht="15.6" x14ac:dyDescent="0.25">
      <c r="A1041"/>
    </row>
    <row r="1042" spans="1:1" ht="15.6" x14ac:dyDescent="0.25">
      <c r="A1042"/>
    </row>
    <row r="1043" spans="1:1" ht="15.6" x14ac:dyDescent="0.25">
      <c r="A1043"/>
    </row>
    <row r="1044" spans="1:1" ht="15.6" x14ac:dyDescent="0.25">
      <c r="A1044"/>
    </row>
    <row r="1045" spans="1:1" ht="15.6" x14ac:dyDescent="0.25">
      <c r="A1045"/>
    </row>
    <row r="1046" spans="1:1" ht="15.6" x14ac:dyDescent="0.25">
      <c r="A1046"/>
    </row>
    <row r="1047" spans="1:1" ht="15.6" x14ac:dyDescent="0.25">
      <c r="A1047"/>
    </row>
    <row r="1048" spans="1:1" ht="15.6" x14ac:dyDescent="0.25">
      <c r="A1048"/>
    </row>
    <row r="1049" spans="1:1" ht="15.6" x14ac:dyDescent="0.25">
      <c r="A1049"/>
    </row>
    <row r="1050" spans="1:1" ht="15.6" x14ac:dyDescent="0.25">
      <c r="A1050"/>
    </row>
    <row r="1051" spans="1:1" ht="15.6" x14ac:dyDescent="0.25">
      <c r="A1051"/>
    </row>
    <row r="1052" spans="1:1" ht="15.6" x14ac:dyDescent="0.25">
      <c r="A1052"/>
    </row>
    <row r="1053" spans="1:1" ht="15.6" x14ac:dyDescent="0.25">
      <c r="A1053"/>
    </row>
    <row r="1054" spans="1:1" ht="15.6" x14ac:dyDescent="0.25">
      <c r="A1054"/>
    </row>
    <row r="1055" spans="1:1" ht="15.6" x14ac:dyDescent="0.25">
      <c r="A1055"/>
    </row>
    <row r="1056" spans="1:1" ht="15.6" x14ac:dyDescent="0.25">
      <c r="A1056"/>
    </row>
    <row r="1057" spans="1:1" ht="15.6" x14ac:dyDescent="0.25">
      <c r="A1057"/>
    </row>
    <row r="1058" spans="1:1" ht="15.6" x14ac:dyDescent="0.25">
      <c r="A1058"/>
    </row>
    <row r="1059" spans="1:1" ht="15.6" x14ac:dyDescent="0.25">
      <c r="A1059"/>
    </row>
    <row r="1060" spans="1:1" ht="15.6" x14ac:dyDescent="0.25">
      <c r="A1060"/>
    </row>
    <row r="1061" spans="1:1" ht="15.6" x14ac:dyDescent="0.25">
      <c r="A1061"/>
    </row>
    <row r="1062" spans="1:1" ht="15.6" x14ac:dyDescent="0.25">
      <c r="A1062"/>
    </row>
    <row r="1063" spans="1:1" ht="15.6" x14ac:dyDescent="0.25">
      <c r="A1063"/>
    </row>
    <row r="1064" spans="1:1" ht="15.6" x14ac:dyDescent="0.25">
      <c r="A1064"/>
    </row>
    <row r="1065" spans="1:1" ht="15.6" x14ac:dyDescent="0.25">
      <c r="A1065"/>
    </row>
    <row r="1066" spans="1:1" ht="15.6" x14ac:dyDescent="0.25">
      <c r="A1066"/>
    </row>
    <row r="1067" spans="1:1" ht="15.6" x14ac:dyDescent="0.25">
      <c r="A1067"/>
    </row>
    <row r="1068" spans="1:1" ht="15.6" x14ac:dyDescent="0.25">
      <c r="A1068"/>
    </row>
    <row r="1069" spans="1:1" ht="15.6" x14ac:dyDescent="0.25">
      <c r="A1069"/>
    </row>
    <row r="1070" spans="1:1" ht="15.6" x14ac:dyDescent="0.25">
      <c r="A1070"/>
    </row>
    <row r="1071" spans="1:1" ht="15.6" x14ac:dyDescent="0.25">
      <c r="A1071"/>
    </row>
    <row r="1072" spans="1:1" ht="15.6" x14ac:dyDescent="0.25">
      <c r="A1072"/>
    </row>
    <row r="1073" spans="1:1" ht="15.6" x14ac:dyDescent="0.25">
      <c r="A1073"/>
    </row>
    <row r="1074" spans="1:1" ht="15.6" x14ac:dyDescent="0.25">
      <c r="A1074"/>
    </row>
    <row r="1075" spans="1:1" ht="15.6" x14ac:dyDescent="0.25">
      <c r="A1075"/>
    </row>
    <row r="1076" spans="1:1" ht="15.6" x14ac:dyDescent="0.25">
      <c r="A1076"/>
    </row>
    <row r="1077" spans="1:1" ht="15.6" x14ac:dyDescent="0.25">
      <c r="A1077"/>
    </row>
    <row r="1078" spans="1:1" ht="15.6" x14ac:dyDescent="0.25">
      <c r="A1078"/>
    </row>
    <row r="1079" spans="1:1" ht="15.6" x14ac:dyDescent="0.25">
      <c r="A1079"/>
    </row>
    <row r="1080" spans="1:1" ht="15.6" x14ac:dyDescent="0.25">
      <c r="A1080"/>
    </row>
    <row r="1081" spans="1:1" ht="15.6" x14ac:dyDescent="0.25">
      <c r="A1081"/>
    </row>
    <row r="1082" spans="1:1" ht="15.6" x14ac:dyDescent="0.25">
      <c r="A1082"/>
    </row>
    <row r="1083" spans="1:1" ht="15.6" x14ac:dyDescent="0.25">
      <c r="A1083"/>
    </row>
    <row r="1084" spans="1:1" ht="15.6" x14ac:dyDescent="0.25">
      <c r="A1084"/>
    </row>
    <row r="1085" spans="1:1" ht="15.6" x14ac:dyDescent="0.25">
      <c r="A1085"/>
    </row>
    <row r="1086" spans="1:1" ht="15.6" x14ac:dyDescent="0.25">
      <c r="A1086"/>
    </row>
    <row r="1087" spans="1:1" ht="15.6" x14ac:dyDescent="0.25">
      <c r="A1087"/>
    </row>
    <row r="1088" spans="1:1" ht="15.6" x14ac:dyDescent="0.25">
      <c r="A1088"/>
    </row>
    <row r="1089" spans="1:1" ht="15.6" x14ac:dyDescent="0.25">
      <c r="A1089"/>
    </row>
    <row r="1090" spans="1:1" ht="15.6" x14ac:dyDescent="0.25">
      <c r="A1090"/>
    </row>
    <row r="1091" spans="1:1" ht="15.6" x14ac:dyDescent="0.25">
      <c r="A1091"/>
    </row>
    <row r="1092" spans="1:1" ht="15.6" x14ac:dyDescent="0.25">
      <c r="A1092"/>
    </row>
    <row r="1093" spans="1:1" ht="15.6" x14ac:dyDescent="0.25">
      <c r="A1093"/>
    </row>
    <row r="1094" spans="1:1" ht="15.6" x14ac:dyDescent="0.25">
      <c r="A1094"/>
    </row>
    <row r="1095" spans="1:1" ht="15.6" x14ac:dyDescent="0.25">
      <c r="A1095"/>
    </row>
    <row r="1096" spans="1:1" ht="15.6" x14ac:dyDescent="0.25">
      <c r="A1096"/>
    </row>
    <row r="1097" spans="1:1" ht="15.6" x14ac:dyDescent="0.25">
      <c r="A1097"/>
    </row>
    <row r="1098" spans="1:1" ht="15.6" x14ac:dyDescent="0.25">
      <c r="A1098"/>
    </row>
    <row r="1099" spans="1:1" ht="15.6" x14ac:dyDescent="0.25">
      <c r="A1099"/>
    </row>
    <row r="1100" spans="1:1" ht="15.6" x14ac:dyDescent="0.25">
      <c r="A1100"/>
    </row>
    <row r="1101" spans="1:1" ht="15.6" x14ac:dyDescent="0.25">
      <c r="A1101"/>
    </row>
    <row r="1102" spans="1:1" ht="15.6" x14ac:dyDescent="0.25">
      <c r="A1102"/>
    </row>
    <row r="1103" spans="1:1" ht="15.6" x14ac:dyDescent="0.25">
      <c r="A1103"/>
    </row>
    <row r="1104" spans="1:1" ht="15.6" x14ac:dyDescent="0.25">
      <c r="A1104"/>
    </row>
    <row r="1105" spans="1:1" ht="15.6" x14ac:dyDescent="0.25">
      <c r="A1105"/>
    </row>
    <row r="1106" spans="1:1" ht="15.6" x14ac:dyDescent="0.25">
      <c r="A1106"/>
    </row>
    <row r="1107" spans="1:1" ht="15.6" x14ac:dyDescent="0.25">
      <c r="A1107"/>
    </row>
    <row r="1108" spans="1:1" ht="15.6" x14ac:dyDescent="0.25">
      <c r="A1108"/>
    </row>
    <row r="1109" spans="1:1" ht="15.6" x14ac:dyDescent="0.25">
      <c r="A1109"/>
    </row>
    <row r="1110" spans="1:1" ht="15.6" x14ac:dyDescent="0.25">
      <c r="A1110"/>
    </row>
    <row r="1111" spans="1:1" ht="15.6" x14ac:dyDescent="0.25">
      <c r="A1111"/>
    </row>
    <row r="1112" spans="1:1" ht="15.6" x14ac:dyDescent="0.25">
      <c r="A1112"/>
    </row>
    <row r="1113" spans="1:1" ht="15.6" x14ac:dyDescent="0.25">
      <c r="A1113"/>
    </row>
    <row r="1114" spans="1:1" ht="15.6" x14ac:dyDescent="0.25">
      <c r="A1114"/>
    </row>
    <row r="1115" spans="1:1" ht="15.6" x14ac:dyDescent="0.25">
      <c r="A1115"/>
    </row>
    <row r="1116" spans="1:1" ht="15.6" x14ac:dyDescent="0.25">
      <c r="A1116"/>
    </row>
    <row r="1117" spans="1:1" ht="15.6" x14ac:dyDescent="0.25">
      <c r="A1117"/>
    </row>
    <row r="1118" spans="1:1" ht="15.6" x14ac:dyDescent="0.25">
      <c r="A1118"/>
    </row>
    <row r="1119" spans="1:1" ht="15.6" x14ac:dyDescent="0.25">
      <c r="A1119"/>
    </row>
    <row r="1120" spans="1:1" ht="15.6" x14ac:dyDescent="0.25">
      <c r="A1120"/>
    </row>
    <row r="1121" spans="1:1" ht="15.6" x14ac:dyDescent="0.25">
      <c r="A1121"/>
    </row>
    <row r="1122" spans="1:1" ht="15.6" x14ac:dyDescent="0.25">
      <c r="A1122"/>
    </row>
    <row r="1123" spans="1:1" ht="15.6" x14ac:dyDescent="0.25">
      <c r="A1123"/>
    </row>
    <row r="1124" spans="1:1" ht="15.6" x14ac:dyDescent="0.25">
      <c r="A1124"/>
    </row>
    <row r="1125" spans="1:1" ht="15.6" x14ac:dyDescent="0.25">
      <c r="A1125"/>
    </row>
    <row r="1126" spans="1:1" ht="15.6" x14ac:dyDescent="0.25">
      <c r="A1126"/>
    </row>
    <row r="1127" spans="1:1" ht="15.6" x14ac:dyDescent="0.25">
      <c r="A1127"/>
    </row>
    <row r="1128" spans="1:1" ht="15.6" x14ac:dyDescent="0.25">
      <c r="A1128"/>
    </row>
    <row r="1129" spans="1:1" ht="15.6" x14ac:dyDescent="0.25">
      <c r="A1129"/>
    </row>
    <row r="1130" spans="1:1" ht="15.6" x14ac:dyDescent="0.25">
      <c r="A1130"/>
    </row>
    <row r="1131" spans="1:1" ht="15.6" x14ac:dyDescent="0.25">
      <c r="A1131"/>
    </row>
    <row r="1132" spans="1:1" ht="15.6" x14ac:dyDescent="0.25">
      <c r="A1132"/>
    </row>
    <row r="1133" spans="1:1" ht="15.6" x14ac:dyDescent="0.25">
      <c r="A1133"/>
    </row>
    <row r="1134" spans="1:1" ht="15.6" x14ac:dyDescent="0.25">
      <c r="A1134"/>
    </row>
    <row r="1135" spans="1:1" ht="15.6" x14ac:dyDescent="0.25">
      <c r="A1135"/>
    </row>
    <row r="1136" spans="1:1" ht="15.6" x14ac:dyDescent="0.25">
      <c r="A1136"/>
    </row>
    <row r="1137" spans="1:1" ht="15.6" x14ac:dyDescent="0.25">
      <c r="A1137"/>
    </row>
    <row r="1138" spans="1:1" ht="15.6" x14ac:dyDescent="0.25">
      <c r="A1138"/>
    </row>
    <row r="1139" spans="1:1" ht="15.6" x14ac:dyDescent="0.25">
      <c r="A1139"/>
    </row>
    <row r="1140" spans="1:1" ht="15.6" x14ac:dyDescent="0.25">
      <c r="A1140"/>
    </row>
    <row r="1141" spans="1:1" ht="15.6" x14ac:dyDescent="0.25">
      <c r="A1141"/>
    </row>
    <row r="1142" spans="1:1" ht="15.6" x14ac:dyDescent="0.25">
      <c r="A1142"/>
    </row>
    <row r="1143" spans="1:1" ht="15.6" x14ac:dyDescent="0.25">
      <c r="A1143"/>
    </row>
    <row r="1144" spans="1:1" ht="15.6" x14ac:dyDescent="0.25">
      <c r="A1144"/>
    </row>
    <row r="1145" spans="1:1" ht="15.6" x14ac:dyDescent="0.25">
      <c r="A1145"/>
    </row>
    <row r="1146" spans="1:1" ht="15.6" x14ac:dyDescent="0.25">
      <c r="A1146"/>
    </row>
    <row r="1147" spans="1:1" ht="15.6" x14ac:dyDescent="0.25">
      <c r="A1147"/>
    </row>
    <row r="1148" spans="1:1" ht="15.6" x14ac:dyDescent="0.25">
      <c r="A1148"/>
    </row>
    <row r="1149" spans="1:1" ht="15.6" x14ac:dyDescent="0.25">
      <c r="A1149"/>
    </row>
    <row r="1150" spans="1:1" ht="15.6" x14ac:dyDescent="0.25">
      <c r="A1150"/>
    </row>
    <row r="1151" spans="1:1" ht="15.6" x14ac:dyDescent="0.25">
      <c r="A1151"/>
    </row>
    <row r="1152" spans="1:1" ht="15.6" x14ac:dyDescent="0.25">
      <c r="A1152"/>
    </row>
    <row r="1153" spans="1:1" ht="15.6" x14ac:dyDescent="0.25">
      <c r="A1153"/>
    </row>
    <row r="1154" spans="1:1" ht="15.6" x14ac:dyDescent="0.25">
      <c r="A1154"/>
    </row>
    <row r="1155" spans="1:1" ht="15.6" x14ac:dyDescent="0.25">
      <c r="A1155"/>
    </row>
    <row r="1156" spans="1:1" ht="15.6" x14ac:dyDescent="0.25">
      <c r="A1156"/>
    </row>
    <row r="1157" spans="1:1" ht="15.6" x14ac:dyDescent="0.25">
      <c r="A1157"/>
    </row>
    <row r="1158" spans="1:1" ht="15.6" x14ac:dyDescent="0.25">
      <c r="A1158"/>
    </row>
    <row r="1159" spans="1:1" ht="15.6" x14ac:dyDescent="0.25">
      <c r="A1159"/>
    </row>
    <row r="1160" spans="1:1" ht="15.6" x14ac:dyDescent="0.25">
      <c r="A1160"/>
    </row>
    <row r="1161" spans="1:1" ht="15.6" x14ac:dyDescent="0.25">
      <c r="A1161"/>
    </row>
    <row r="1162" spans="1:1" ht="15.6" x14ac:dyDescent="0.25">
      <c r="A1162"/>
    </row>
    <row r="1163" spans="1:1" ht="15.6" x14ac:dyDescent="0.25">
      <c r="A1163"/>
    </row>
    <row r="1164" spans="1:1" ht="15.6" x14ac:dyDescent="0.25">
      <c r="A1164"/>
    </row>
    <row r="1165" spans="1:1" ht="15.6" x14ac:dyDescent="0.25">
      <c r="A1165"/>
    </row>
    <row r="1166" spans="1:1" ht="15.6" x14ac:dyDescent="0.25">
      <c r="A1166"/>
    </row>
    <row r="1167" spans="1:1" ht="15.6" x14ac:dyDescent="0.25">
      <c r="A1167"/>
    </row>
    <row r="1168" spans="1:1" ht="15.6" x14ac:dyDescent="0.25">
      <c r="A1168"/>
    </row>
    <row r="1169" spans="1:1" ht="15.6" x14ac:dyDescent="0.25">
      <c r="A1169"/>
    </row>
    <row r="1170" spans="1:1" ht="15.6" x14ac:dyDescent="0.25">
      <c r="A1170"/>
    </row>
    <row r="1171" spans="1:1" ht="15.6" x14ac:dyDescent="0.25">
      <c r="A1171"/>
    </row>
    <row r="1172" spans="1:1" ht="15.6" x14ac:dyDescent="0.25">
      <c r="A1172"/>
    </row>
    <row r="1173" spans="1:1" ht="15.6" x14ac:dyDescent="0.25">
      <c r="A1173"/>
    </row>
    <row r="1174" spans="1:1" ht="15.6" x14ac:dyDescent="0.25">
      <c r="A1174"/>
    </row>
    <row r="1175" spans="1:1" ht="15.6" x14ac:dyDescent="0.25">
      <c r="A1175"/>
    </row>
    <row r="1176" spans="1:1" ht="15.6" x14ac:dyDescent="0.25">
      <c r="A1176"/>
    </row>
    <row r="1177" spans="1:1" ht="15.6" x14ac:dyDescent="0.25">
      <c r="A1177"/>
    </row>
    <row r="1178" spans="1:1" ht="15.6" x14ac:dyDescent="0.25">
      <c r="A1178"/>
    </row>
    <row r="1179" spans="1:1" ht="15.6" x14ac:dyDescent="0.25">
      <c r="A1179"/>
    </row>
    <row r="1180" spans="1:1" ht="15.6" x14ac:dyDescent="0.25">
      <c r="A1180"/>
    </row>
    <row r="1181" spans="1:1" ht="15.6" x14ac:dyDescent="0.25">
      <c r="A1181"/>
    </row>
    <row r="1182" spans="1:1" ht="15.6" x14ac:dyDescent="0.25">
      <c r="A1182"/>
    </row>
    <row r="1183" spans="1:1" ht="15.6" x14ac:dyDescent="0.25">
      <c r="A1183"/>
    </row>
    <row r="1184" spans="1:1" ht="15.6" x14ac:dyDescent="0.25">
      <c r="A1184"/>
    </row>
    <row r="1185" spans="1:1" ht="15.6" x14ac:dyDescent="0.25">
      <c r="A1185"/>
    </row>
    <row r="1186" spans="1:1" ht="15.6" x14ac:dyDescent="0.25">
      <c r="A1186"/>
    </row>
    <row r="1187" spans="1:1" ht="15.6" x14ac:dyDescent="0.25">
      <c r="A1187"/>
    </row>
    <row r="1188" spans="1:1" ht="15.6" x14ac:dyDescent="0.25">
      <c r="A1188"/>
    </row>
    <row r="1189" spans="1:1" ht="15.6" x14ac:dyDescent="0.25">
      <c r="A1189"/>
    </row>
    <row r="1190" spans="1:1" ht="15.6" x14ac:dyDescent="0.25">
      <c r="A1190"/>
    </row>
    <row r="1191" spans="1:1" ht="15.6" x14ac:dyDescent="0.25">
      <c r="A1191"/>
    </row>
    <row r="1192" spans="1:1" ht="15.6" x14ac:dyDescent="0.25">
      <c r="A1192"/>
    </row>
    <row r="1193" spans="1:1" ht="15.6" x14ac:dyDescent="0.25">
      <c r="A1193"/>
    </row>
    <row r="1194" spans="1:1" ht="15.6" x14ac:dyDescent="0.25">
      <c r="A1194"/>
    </row>
    <row r="1195" spans="1:1" ht="15.6" x14ac:dyDescent="0.25">
      <c r="A1195"/>
    </row>
    <row r="1196" spans="1:1" ht="15.6" x14ac:dyDescent="0.25">
      <c r="A1196"/>
    </row>
    <row r="1197" spans="1:1" ht="15.6" x14ac:dyDescent="0.25">
      <c r="A1197"/>
    </row>
    <row r="1198" spans="1:1" ht="15.6" x14ac:dyDescent="0.25">
      <c r="A1198"/>
    </row>
    <row r="1199" spans="1:1" ht="15.6" x14ac:dyDescent="0.25">
      <c r="A1199"/>
    </row>
    <row r="1200" spans="1:1" ht="15.6" x14ac:dyDescent="0.25">
      <c r="A1200"/>
    </row>
    <row r="1201" spans="1:1" ht="15.6" x14ac:dyDescent="0.25">
      <c r="A1201"/>
    </row>
    <row r="1202" spans="1:1" ht="15.6" x14ac:dyDescent="0.25">
      <c r="A1202"/>
    </row>
    <row r="1203" spans="1:1" ht="15.6" x14ac:dyDescent="0.25">
      <c r="A1203"/>
    </row>
    <row r="1204" spans="1:1" ht="15.6" x14ac:dyDescent="0.25">
      <c r="A1204"/>
    </row>
    <row r="1205" spans="1:1" ht="15.6" x14ac:dyDescent="0.25">
      <c r="A1205"/>
    </row>
    <row r="1206" spans="1:1" ht="15.6" x14ac:dyDescent="0.25">
      <c r="A1206"/>
    </row>
    <row r="1207" spans="1:1" ht="15.6" x14ac:dyDescent="0.25">
      <c r="A1207"/>
    </row>
    <row r="1208" spans="1:1" ht="15.6" x14ac:dyDescent="0.25">
      <c r="A1208"/>
    </row>
    <row r="1209" spans="1:1" ht="15.6" x14ac:dyDescent="0.25">
      <c r="A1209"/>
    </row>
    <row r="1210" spans="1:1" ht="15.6" x14ac:dyDescent="0.25">
      <c r="A1210"/>
    </row>
    <row r="1211" spans="1:1" ht="15.6" x14ac:dyDescent="0.25">
      <c r="A1211"/>
    </row>
    <row r="1212" spans="1:1" ht="15.6" x14ac:dyDescent="0.25">
      <c r="A1212"/>
    </row>
    <row r="1213" spans="1:1" ht="15.6" x14ac:dyDescent="0.25">
      <c r="A1213"/>
    </row>
    <row r="1214" spans="1:1" ht="15.6" x14ac:dyDescent="0.25">
      <c r="A1214"/>
    </row>
    <row r="1215" spans="1:1" ht="15.6" x14ac:dyDescent="0.25">
      <c r="A1215"/>
    </row>
    <row r="1216" spans="1:1" ht="15.6" x14ac:dyDescent="0.25">
      <c r="A1216"/>
    </row>
    <row r="1217" spans="1:1" ht="15.6" x14ac:dyDescent="0.25">
      <c r="A1217"/>
    </row>
    <row r="1218" spans="1:1" ht="15.6" x14ac:dyDescent="0.25">
      <c r="A1218"/>
    </row>
    <row r="1219" spans="1:1" ht="15.6" x14ac:dyDescent="0.25">
      <c r="A1219"/>
    </row>
    <row r="1220" spans="1:1" ht="15.6" x14ac:dyDescent="0.25">
      <c r="A1220"/>
    </row>
    <row r="1221" spans="1:1" ht="15.6" x14ac:dyDescent="0.25">
      <c r="A1221"/>
    </row>
    <row r="1222" spans="1:1" ht="15.6" x14ac:dyDescent="0.25">
      <c r="A1222"/>
    </row>
    <row r="1223" spans="1:1" ht="15.6" x14ac:dyDescent="0.25">
      <c r="A1223"/>
    </row>
    <row r="1224" spans="1:1" ht="15.6" x14ac:dyDescent="0.25">
      <c r="A1224"/>
    </row>
    <row r="1225" spans="1:1" ht="15.6" x14ac:dyDescent="0.25">
      <c r="A1225"/>
    </row>
    <row r="1226" spans="1:1" ht="15.6" x14ac:dyDescent="0.25">
      <c r="A1226"/>
    </row>
    <row r="1227" spans="1:1" ht="15.6" x14ac:dyDescent="0.25">
      <c r="A1227"/>
    </row>
    <row r="1228" spans="1:1" ht="15.6" x14ac:dyDescent="0.25">
      <c r="A1228"/>
    </row>
    <row r="1229" spans="1:1" ht="15.6" x14ac:dyDescent="0.25">
      <c r="A1229"/>
    </row>
    <row r="1230" spans="1:1" ht="15.6" x14ac:dyDescent="0.25">
      <c r="A1230"/>
    </row>
    <row r="1231" spans="1:1" ht="15.6" x14ac:dyDescent="0.25">
      <c r="A1231"/>
    </row>
    <row r="1232" spans="1:1" ht="15.6" x14ac:dyDescent="0.25">
      <c r="A1232"/>
    </row>
    <row r="1233" spans="1:1" ht="15.6" x14ac:dyDescent="0.25">
      <c r="A1233"/>
    </row>
    <row r="1234" spans="1:1" ht="15.6" x14ac:dyDescent="0.25">
      <c r="A1234"/>
    </row>
    <row r="1235" spans="1:1" ht="15.6" x14ac:dyDescent="0.25">
      <c r="A1235"/>
    </row>
    <row r="1236" spans="1:1" ht="15.6" x14ac:dyDescent="0.25">
      <c r="A1236"/>
    </row>
    <row r="1237" spans="1:1" ht="15.6" x14ac:dyDescent="0.25">
      <c r="A1237"/>
    </row>
    <row r="1238" spans="1:1" ht="15.6" x14ac:dyDescent="0.25">
      <c r="A1238"/>
    </row>
    <row r="1239" spans="1:1" ht="15.6" x14ac:dyDescent="0.25">
      <c r="A1239"/>
    </row>
    <row r="1240" spans="1:1" ht="15.6" x14ac:dyDescent="0.25">
      <c r="A1240"/>
    </row>
    <row r="1241" spans="1:1" ht="15.6" x14ac:dyDescent="0.25">
      <c r="A1241"/>
    </row>
    <row r="1242" spans="1:1" ht="15.6" x14ac:dyDescent="0.25">
      <c r="A1242"/>
    </row>
    <row r="1243" spans="1:1" ht="15.6" x14ac:dyDescent="0.25">
      <c r="A1243"/>
    </row>
    <row r="1244" spans="1:1" ht="15.6" x14ac:dyDescent="0.25">
      <c r="A1244"/>
    </row>
    <row r="1245" spans="1:1" ht="15.6" x14ac:dyDescent="0.25">
      <c r="A1245"/>
    </row>
    <row r="1246" spans="1:1" ht="15.6" x14ac:dyDescent="0.25">
      <c r="A1246"/>
    </row>
    <row r="1247" spans="1:1" ht="15.6" x14ac:dyDescent="0.25">
      <c r="A1247"/>
    </row>
    <row r="1248" spans="1:1" ht="15.6" x14ac:dyDescent="0.25">
      <c r="A1248"/>
    </row>
    <row r="1249" spans="1:1" ht="15.6" x14ac:dyDescent="0.25">
      <c r="A1249"/>
    </row>
    <row r="1250" spans="1:1" ht="15.6" x14ac:dyDescent="0.25">
      <c r="A1250"/>
    </row>
    <row r="1251" spans="1:1" ht="15.6" x14ac:dyDescent="0.25">
      <c r="A1251"/>
    </row>
    <row r="1252" spans="1:1" ht="15.6" x14ac:dyDescent="0.25">
      <c r="A1252"/>
    </row>
    <row r="1253" spans="1:1" ht="15.6" x14ac:dyDescent="0.25">
      <c r="A1253"/>
    </row>
    <row r="1254" spans="1:1" ht="15.6" x14ac:dyDescent="0.25">
      <c r="A1254"/>
    </row>
    <row r="1255" spans="1:1" ht="15.6" x14ac:dyDescent="0.25">
      <c r="A1255"/>
    </row>
    <row r="1256" spans="1:1" ht="15.6" x14ac:dyDescent="0.25">
      <c r="A1256"/>
    </row>
    <row r="1257" spans="1:1" ht="15.6" x14ac:dyDescent="0.25">
      <c r="A1257"/>
    </row>
    <row r="1258" spans="1:1" ht="15.6" x14ac:dyDescent="0.25">
      <c r="A1258"/>
    </row>
    <row r="1259" spans="1:1" ht="15.6" x14ac:dyDescent="0.25">
      <c r="A1259"/>
    </row>
    <row r="1260" spans="1:1" ht="15.6" x14ac:dyDescent="0.25">
      <c r="A1260"/>
    </row>
    <row r="1261" spans="1:1" ht="15.6" x14ac:dyDescent="0.25">
      <c r="A1261"/>
    </row>
    <row r="1262" spans="1:1" ht="15.6" x14ac:dyDescent="0.25">
      <c r="A1262"/>
    </row>
    <row r="1263" spans="1:1" ht="15.6" x14ac:dyDescent="0.25">
      <c r="A1263"/>
    </row>
    <row r="1264" spans="1:1" ht="15.6" x14ac:dyDescent="0.25">
      <c r="A1264"/>
    </row>
    <row r="1265" spans="1:1" ht="15.6" x14ac:dyDescent="0.25">
      <c r="A1265"/>
    </row>
    <row r="1266" spans="1:1" ht="15.6" x14ac:dyDescent="0.25">
      <c r="A1266"/>
    </row>
    <row r="1267" spans="1:1" ht="15.6" x14ac:dyDescent="0.25">
      <c r="A1267"/>
    </row>
    <row r="1268" spans="1:1" ht="15.6" x14ac:dyDescent="0.25">
      <c r="A1268"/>
    </row>
    <row r="1269" spans="1:1" ht="15.6" x14ac:dyDescent="0.25">
      <c r="A1269"/>
    </row>
    <row r="1270" spans="1:1" ht="15.6" x14ac:dyDescent="0.25">
      <c r="A1270"/>
    </row>
    <row r="1271" spans="1:1" ht="15.6" x14ac:dyDescent="0.25">
      <c r="A1271"/>
    </row>
    <row r="1272" spans="1:1" ht="15.6" x14ac:dyDescent="0.25">
      <c r="A1272"/>
    </row>
    <row r="1273" spans="1:1" ht="15.6" x14ac:dyDescent="0.25">
      <c r="A1273"/>
    </row>
    <row r="1274" spans="1:1" ht="15.6" x14ac:dyDescent="0.25">
      <c r="A1274"/>
    </row>
    <row r="1275" spans="1:1" ht="15.6" x14ac:dyDescent="0.25">
      <c r="A1275"/>
    </row>
    <row r="1276" spans="1:1" ht="15.6" x14ac:dyDescent="0.25">
      <c r="A1276"/>
    </row>
    <row r="1277" spans="1:1" ht="15.6" x14ac:dyDescent="0.25">
      <c r="A1277"/>
    </row>
    <row r="1278" spans="1:1" ht="15.6" x14ac:dyDescent="0.25">
      <c r="A1278"/>
    </row>
    <row r="1279" spans="1:1" ht="15.6" x14ac:dyDescent="0.25">
      <c r="A1279"/>
    </row>
    <row r="1280" spans="1:1" ht="15.6" x14ac:dyDescent="0.25">
      <c r="A1280"/>
    </row>
    <row r="1281" spans="1:1" ht="15.6" x14ac:dyDescent="0.25">
      <c r="A1281"/>
    </row>
    <row r="1282" spans="1:1" ht="15.6" x14ac:dyDescent="0.25">
      <c r="A1282"/>
    </row>
    <row r="1283" spans="1:1" ht="15.6" x14ac:dyDescent="0.25">
      <c r="A1283"/>
    </row>
    <row r="1284" spans="1:1" ht="15.6" x14ac:dyDescent="0.25">
      <c r="A1284"/>
    </row>
    <row r="1285" spans="1:1" ht="15.6" x14ac:dyDescent="0.25">
      <c r="A1285"/>
    </row>
    <row r="1286" spans="1:1" ht="15.6" x14ac:dyDescent="0.25">
      <c r="A1286"/>
    </row>
    <row r="1287" spans="1:1" ht="15.6" x14ac:dyDescent="0.25">
      <c r="A1287"/>
    </row>
    <row r="1288" spans="1:1" ht="15.6" x14ac:dyDescent="0.25">
      <c r="A1288"/>
    </row>
    <row r="1289" spans="1:1" ht="15.6" x14ac:dyDescent="0.25">
      <c r="A1289"/>
    </row>
    <row r="1290" spans="1:1" ht="15.6" x14ac:dyDescent="0.25">
      <c r="A1290"/>
    </row>
    <row r="1291" spans="1:1" ht="15.6" x14ac:dyDescent="0.25">
      <c r="A1291"/>
    </row>
    <row r="1292" spans="1:1" ht="15.6" x14ac:dyDescent="0.25">
      <c r="A1292"/>
    </row>
    <row r="1293" spans="1:1" ht="15.6" x14ac:dyDescent="0.25">
      <c r="A1293"/>
    </row>
    <row r="1294" spans="1:1" ht="15.6" x14ac:dyDescent="0.25">
      <c r="A1294"/>
    </row>
    <row r="1295" spans="1:1" ht="15.6" x14ac:dyDescent="0.25">
      <c r="A1295"/>
    </row>
    <row r="1296" spans="1:1" ht="15.6" x14ac:dyDescent="0.25">
      <c r="A1296"/>
    </row>
    <row r="1297" spans="1:1" ht="15.6" x14ac:dyDescent="0.25">
      <c r="A1297"/>
    </row>
    <row r="1298" spans="1:1" ht="15.6" x14ac:dyDescent="0.25">
      <c r="A1298"/>
    </row>
    <row r="1299" spans="1:1" ht="15.6" x14ac:dyDescent="0.25">
      <c r="A1299"/>
    </row>
    <row r="1300" spans="1:1" ht="15.6" x14ac:dyDescent="0.25">
      <c r="A1300"/>
    </row>
    <row r="1301" spans="1:1" ht="15.6" x14ac:dyDescent="0.25">
      <c r="A1301"/>
    </row>
    <row r="1302" spans="1:1" ht="15.6" x14ac:dyDescent="0.25">
      <c r="A1302"/>
    </row>
    <row r="1303" spans="1:1" ht="15.6" x14ac:dyDescent="0.25">
      <c r="A1303"/>
    </row>
    <row r="1304" spans="1:1" ht="15.6" x14ac:dyDescent="0.25">
      <c r="A1304"/>
    </row>
    <row r="1305" spans="1:1" ht="15.6" x14ac:dyDescent="0.25">
      <c r="A1305"/>
    </row>
    <row r="1306" spans="1:1" ht="15.6" x14ac:dyDescent="0.25">
      <c r="A1306"/>
    </row>
    <row r="1307" spans="1:1" ht="15.6" x14ac:dyDescent="0.25">
      <c r="A1307"/>
    </row>
    <row r="1308" spans="1:1" ht="15.6" x14ac:dyDescent="0.25">
      <c r="A1308"/>
    </row>
    <row r="1309" spans="1:1" ht="15.6" x14ac:dyDescent="0.25">
      <c r="A1309"/>
    </row>
    <row r="1310" spans="1:1" ht="15.6" x14ac:dyDescent="0.25">
      <c r="A1310"/>
    </row>
    <row r="1311" spans="1:1" ht="15.6" x14ac:dyDescent="0.25">
      <c r="A1311"/>
    </row>
    <row r="1312" spans="1:1" ht="15.6" x14ac:dyDescent="0.25">
      <c r="A1312"/>
    </row>
    <row r="1313" spans="1:1" ht="15.6" x14ac:dyDescent="0.25">
      <c r="A1313"/>
    </row>
    <row r="1314" spans="1:1" ht="15.6" x14ac:dyDescent="0.25">
      <c r="A1314"/>
    </row>
    <row r="1315" spans="1:1" ht="15.6" x14ac:dyDescent="0.25">
      <c r="A1315"/>
    </row>
    <row r="1316" spans="1:1" ht="15.6" x14ac:dyDescent="0.25">
      <c r="A1316"/>
    </row>
    <row r="1317" spans="1:1" ht="15.6" x14ac:dyDescent="0.25">
      <c r="A1317"/>
    </row>
    <row r="1318" spans="1:1" ht="15.6" x14ac:dyDescent="0.25">
      <c r="A1318"/>
    </row>
    <row r="1319" spans="1:1" ht="15.6" x14ac:dyDescent="0.25">
      <c r="A1319"/>
    </row>
    <row r="1320" spans="1:1" ht="15.6" x14ac:dyDescent="0.25">
      <c r="A1320"/>
    </row>
    <row r="1321" spans="1:1" ht="15.6" x14ac:dyDescent="0.25">
      <c r="A1321"/>
    </row>
    <row r="1322" spans="1:1" ht="15.6" x14ac:dyDescent="0.25">
      <c r="A1322"/>
    </row>
    <row r="1323" spans="1:1" ht="15.6" x14ac:dyDescent="0.25">
      <c r="A1323"/>
    </row>
    <row r="1324" spans="1:1" ht="15.6" x14ac:dyDescent="0.25">
      <c r="A1324"/>
    </row>
    <row r="1325" spans="1:1" ht="15.6" x14ac:dyDescent="0.25">
      <c r="A1325"/>
    </row>
    <row r="1326" spans="1:1" ht="15.6" x14ac:dyDescent="0.25">
      <c r="A1326"/>
    </row>
    <row r="1327" spans="1:1" ht="15.6" x14ac:dyDescent="0.25">
      <c r="A1327"/>
    </row>
    <row r="1328" spans="1:1" ht="15.6" x14ac:dyDescent="0.25">
      <c r="A1328"/>
    </row>
    <row r="1329" spans="1:1" ht="15.6" x14ac:dyDescent="0.25">
      <c r="A1329"/>
    </row>
    <row r="1330" spans="1:1" ht="15.6" x14ac:dyDescent="0.25">
      <c r="A1330"/>
    </row>
    <row r="1331" spans="1:1" ht="15.6" x14ac:dyDescent="0.25">
      <c r="A1331"/>
    </row>
    <row r="1332" spans="1:1" ht="15.6" x14ac:dyDescent="0.25">
      <c r="A1332"/>
    </row>
    <row r="1333" spans="1:1" ht="15.6" x14ac:dyDescent="0.25">
      <c r="A1333"/>
    </row>
    <row r="1334" spans="1:1" ht="15.6" x14ac:dyDescent="0.25">
      <c r="A1334"/>
    </row>
    <row r="1335" spans="1:1" ht="15.6" x14ac:dyDescent="0.25">
      <c r="A1335"/>
    </row>
    <row r="1336" spans="1:1" ht="15.6" x14ac:dyDescent="0.25">
      <c r="A1336"/>
    </row>
    <row r="1337" spans="1:1" ht="15.6" x14ac:dyDescent="0.25">
      <c r="A1337"/>
    </row>
    <row r="1338" spans="1:1" ht="15.6" x14ac:dyDescent="0.25">
      <c r="A1338"/>
    </row>
    <row r="1339" spans="1:1" ht="15.6" x14ac:dyDescent="0.25">
      <c r="A1339"/>
    </row>
    <row r="1340" spans="1:1" ht="15.6" x14ac:dyDescent="0.25">
      <c r="A1340"/>
    </row>
    <row r="1341" spans="1:1" ht="15.6" x14ac:dyDescent="0.25">
      <c r="A1341"/>
    </row>
    <row r="1342" spans="1:1" ht="15.6" x14ac:dyDescent="0.25">
      <c r="A1342"/>
    </row>
    <row r="1343" spans="1:1" ht="15.6" x14ac:dyDescent="0.25">
      <c r="A1343"/>
    </row>
    <row r="1344" spans="1:1" ht="15.6" x14ac:dyDescent="0.25">
      <c r="A1344"/>
    </row>
    <row r="1345" spans="1:1" ht="15.6" x14ac:dyDescent="0.25">
      <c r="A1345"/>
    </row>
    <row r="1346" spans="1:1" ht="15.6" x14ac:dyDescent="0.25">
      <c r="A1346"/>
    </row>
    <row r="1347" spans="1:1" ht="15.6" x14ac:dyDescent="0.25">
      <c r="A1347"/>
    </row>
    <row r="1348" spans="1:1" ht="15.6" x14ac:dyDescent="0.25">
      <c r="A1348"/>
    </row>
    <row r="1349" spans="1:1" ht="15.6" x14ac:dyDescent="0.25">
      <c r="A1349"/>
    </row>
    <row r="1350" spans="1:1" ht="15.6" x14ac:dyDescent="0.25">
      <c r="A1350"/>
    </row>
    <row r="1351" spans="1:1" ht="15.6" x14ac:dyDescent="0.25">
      <c r="A1351"/>
    </row>
    <row r="1352" spans="1:1" ht="15.6" x14ac:dyDescent="0.25">
      <c r="A1352"/>
    </row>
    <row r="1353" spans="1:1" ht="15.6" x14ac:dyDescent="0.25">
      <c r="A1353"/>
    </row>
    <row r="1354" spans="1:1" ht="15.6" x14ac:dyDescent="0.25">
      <c r="A1354"/>
    </row>
    <row r="1355" spans="1:1" ht="15.6" x14ac:dyDescent="0.25">
      <c r="A1355"/>
    </row>
    <row r="1356" spans="1:1" ht="15.6" x14ac:dyDescent="0.25">
      <c r="A1356"/>
    </row>
    <row r="1357" spans="1:1" ht="15.6" x14ac:dyDescent="0.25">
      <c r="A1357"/>
    </row>
    <row r="1358" spans="1:1" ht="15.6" x14ac:dyDescent="0.25">
      <c r="A1358"/>
    </row>
    <row r="1359" spans="1:1" ht="15.6" x14ac:dyDescent="0.25">
      <c r="A1359"/>
    </row>
    <row r="1360" spans="1:1" ht="15.6" x14ac:dyDescent="0.25">
      <c r="A1360"/>
    </row>
    <row r="1361" spans="1:1" ht="15.6" x14ac:dyDescent="0.25">
      <c r="A1361"/>
    </row>
    <row r="1362" spans="1:1" ht="15.6" x14ac:dyDescent="0.25">
      <c r="A1362"/>
    </row>
    <row r="1363" spans="1:1" ht="15.6" x14ac:dyDescent="0.25">
      <c r="A1363"/>
    </row>
    <row r="1364" spans="1:1" ht="15.6" x14ac:dyDescent="0.25">
      <c r="A1364"/>
    </row>
    <row r="1365" spans="1:1" ht="15.6" x14ac:dyDescent="0.25">
      <c r="A1365"/>
    </row>
    <row r="1366" spans="1:1" ht="15.6" x14ac:dyDescent="0.25">
      <c r="A1366"/>
    </row>
    <row r="1367" spans="1:1" ht="15.6" x14ac:dyDescent="0.25">
      <c r="A1367"/>
    </row>
    <row r="1368" spans="1:1" ht="15.6" x14ac:dyDescent="0.25">
      <c r="A1368"/>
    </row>
    <row r="1369" spans="1:1" ht="15.6" x14ac:dyDescent="0.25">
      <c r="A1369"/>
    </row>
    <row r="1370" spans="1:1" ht="15.6" x14ac:dyDescent="0.25">
      <c r="A1370"/>
    </row>
    <row r="1371" spans="1:1" ht="15.6" x14ac:dyDescent="0.25">
      <c r="A1371"/>
    </row>
    <row r="1372" spans="1:1" ht="15.6" x14ac:dyDescent="0.25">
      <c r="A1372"/>
    </row>
    <row r="1373" spans="1:1" ht="15.6" x14ac:dyDescent="0.25">
      <c r="A1373"/>
    </row>
    <row r="1374" spans="1:1" ht="15.6" x14ac:dyDescent="0.25">
      <c r="A1374"/>
    </row>
    <row r="1375" spans="1:1" ht="15.6" x14ac:dyDescent="0.25">
      <c r="A1375"/>
    </row>
    <row r="1376" spans="1:1" ht="15.6" x14ac:dyDescent="0.25">
      <c r="A1376"/>
    </row>
    <row r="1377" spans="1:1" ht="15.6" x14ac:dyDescent="0.25">
      <c r="A1377"/>
    </row>
    <row r="1378" spans="1:1" ht="15.6" x14ac:dyDescent="0.25">
      <c r="A1378"/>
    </row>
    <row r="1379" spans="1:1" ht="15.6" x14ac:dyDescent="0.25">
      <c r="A1379"/>
    </row>
    <row r="1380" spans="1:1" ht="15.6" x14ac:dyDescent="0.25">
      <c r="A1380"/>
    </row>
    <row r="1381" spans="1:1" ht="15.6" x14ac:dyDescent="0.25">
      <c r="A1381"/>
    </row>
    <row r="1382" spans="1:1" ht="15.6" x14ac:dyDescent="0.25">
      <c r="A1382"/>
    </row>
    <row r="1383" spans="1:1" ht="15.6" x14ac:dyDescent="0.25">
      <c r="A1383"/>
    </row>
    <row r="1384" spans="1:1" ht="15.6" x14ac:dyDescent="0.25">
      <c r="A1384"/>
    </row>
    <row r="1385" spans="1:1" ht="15.6" x14ac:dyDescent="0.25">
      <c r="A1385"/>
    </row>
    <row r="1386" spans="1:1" ht="15.6" x14ac:dyDescent="0.25">
      <c r="A1386"/>
    </row>
    <row r="1387" spans="1:1" ht="15.6" x14ac:dyDescent="0.25">
      <c r="A1387"/>
    </row>
    <row r="1388" spans="1:1" ht="15.6" x14ac:dyDescent="0.25">
      <c r="A1388"/>
    </row>
    <row r="1389" spans="1:1" ht="15.6" x14ac:dyDescent="0.25">
      <c r="A1389"/>
    </row>
    <row r="1390" spans="1:1" ht="15.6" x14ac:dyDescent="0.25">
      <c r="A1390"/>
    </row>
    <row r="1391" spans="1:1" ht="15.6" x14ac:dyDescent="0.25">
      <c r="A1391"/>
    </row>
    <row r="1392" spans="1:1" ht="15.6" x14ac:dyDescent="0.25">
      <c r="A1392"/>
    </row>
    <row r="1393" spans="1:1" ht="15.6" x14ac:dyDescent="0.25">
      <c r="A1393"/>
    </row>
    <row r="1394" spans="1:1" ht="15.6" x14ac:dyDescent="0.25">
      <c r="A1394"/>
    </row>
    <row r="1395" spans="1:1" ht="15.6" x14ac:dyDescent="0.25">
      <c r="A1395"/>
    </row>
    <row r="1396" spans="1:1" ht="15.6" x14ac:dyDescent="0.25">
      <c r="A1396"/>
    </row>
    <row r="1397" spans="1:1" ht="15.6" x14ac:dyDescent="0.25">
      <c r="A1397"/>
    </row>
    <row r="1398" spans="1:1" ht="15.6" x14ac:dyDescent="0.25">
      <c r="A1398"/>
    </row>
    <row r="1399" spans="1:1" ht="15.6" x14ac:dyDescent="0.25">
      <c r="A1399"/>
    </row>
    <row r="1400" spans="1:1" ht="15.6" x14ac:dyDescent="0.25">
      <c r="A1400"/>
    </row>
    <row r="1401" spans="1:1" ht="15.6" x14ac:dyDescent="0.25">
      <c r="A1401"/>
    </row>
    <row r="1402" spans="1:1" ht="15.6" x14ac:dyDescent="0.25">
      <c r="A1402"/>
    </row>
    <row r="1403" spans="1:1" ht="15.6" x14ac:dyDescent="0.25">
      <c r="A1403"/>
    </row>
    <row r="1404" spans="1:1" ht="15.6" x14ac:dyDescent="0.25">
      <c r="A1404"/>
    </row>
    <row r="1405" spans="1:1" ht="15.6" x14ac:dyDescent="0.25">
      <c r="A1405"/>
    </row>
    <row r="1406" spans="1:1" ht="15.6" x14ac:dyDescent="0.25">
      <c r="A1406"/>
    </row>
    <row r="1407" spans="1:1" ht="15.6" x14ac:dyDescent="0.25">
      <c r="A1407"/>
    </row>
    <row r="1408" spans="1:1" ht="15.6" x14ac:dyDescent="0.25">
      <c r="A1408"/>
    </row>
    <row r="1409" spans="1:1" ht="15.6" x14ac:dyDescent="0.25">
      <c r="A1409"/>
    </row>
    <row r="1410" spans="1:1" ht="15.6" x14ac:dyDescent="0.25">
      <c r="A1410"/>
    </row>
    <row r="1411" spans="1:1" ht="15.6" x14ac:dyDescent="0.25">
      <c r="A1411"/>
    </row>
    <row r="1412" spans="1:1" ht="15.6" x14ac:dyDescent="0.25">
      <c r="A1412"/>
    </row>
    <row r="1413" spans="1:1" ht="15.6" x14ac:dyDescent="0.25">
      <c r="A1413"/>
    </row>
    <row r="1414" spans="1:1" ht="15.6" x14ac:dyDescent="0.25">
      <c r="A1414"/>
    </row>
    <row r="1415" spans="1:1" ht="15.6" x14ac:dyDescent="0.25">
      <c r="A1415"/>
    </row>
    <row r="1416" spans="1:1" ht="15.6" x14ac:dyDescent="0.25">
      <c r="A1416"/>
    </row>
    <row r="1417" spans="1:1" ht="15.6" x14ac:dyDescent="0.25">
      <c r="A1417"/>
    </row>
    <row r="1418" spans="1:1" ht="15.6" x14ac:dyDescent="0.25">
      <c r="A1418"/>
    </row>
    <row r="1419" spans="1:1" ht="15.6" x14ac:dyDescent="0.25">
      <c r="A1419"/>
    </row>
    <row r="1420" spans="1:1" ht="15.6" x14ac:dyDescent="0.25">
      <c r="A1420"/>
    </row>
    <row r="1421" spans="1:1" ht="15.6" x14ac:dyDescent="0.25">
      <c r="A1421"/>
    </row>
    <row r="1422" spans="1:1" ht="15.6" x14ac:dyDescent="0.25">
      <c r="A1422"/>
    </row>
    <row r="1423" spans="1:1" ht="15.6" x14ac:dyDescent="0.25">
      <c r="A1423"/>
    </row>
    <row r="1424" spans="1:1" ht="15.6" x14ac:dyDescent="0.25">
      <c r="A1424"/>
    </row>
    <row r="1425" spans="1:1" ht="15.6" x14ac:dyDescent="0.25">
      <c r="A1425"/>
    </row>
    <row r="1426" spans="1:1" ht="15.6" x14ac:dyDescent="0.25">
      <c r="A1426"/>
    </row>
    <row r="1427" spans="1:1" ht="15.6" x14ac:dyDescent="0.25">
      <c r="A1427"/>
    </row>
    <row r="1428" spans="1:1" ht="15.6" x14ac:dyDescent="0.25">
      <c r="A1428"/>
    </row>
    <row r="1429" spans="1:1" ht="15.6" x14ac:dyDescent="0.25">
      <c r="A1429"/>
    </row>
    <row r="1430" spans="1:1" ht="15.6" x14ac:dyDescent="0.25">
      <c r="A1430"/>
    </row>
    <row r="1431" spans="1:1" ht="15.6" x14ac:dyDescent="0.25">
      <c r="A1431"/>
    </row>
    <row r="1432" spans="1:1" ht="15.6" x14ac:dyDescent="0.25">
      <c r="A1432"/>
    </row>
    <row r="1433" spans="1:1" ht="15.6" x14ac:dyDescent="0.25">
      <c r="A1433"/>
    </row>
    <row r="1434" spans="1:1" ht="15.6" x14ac:dyDescent="0.25">
      <c r="A1434"/>
    </row>
    <row r="1435" spans="1:1" ht="15.6" x14ac:dyDescent="0.25">
      <c r="A1435"/>
    </row>
    <row r="1436" spans="1:1" ht="15.6" x14ac:dyDescent="0.25">
      <c r="A1436"/>
    </row>
    <row r="1437" spans="1:1" ht="15.6" x14ac:dyDescent="0.25">
      <c r="A1437"/>
    </row>
    <row r="1438" spans="1:1" ht="15.6" x14ac:dyDescent="0.25">
      <c r="A1438"/>
    </row>
    <row r="1439" spans="1:1" ht="15.6" x14ac:dyDescent="0.25">
      <c r="A1439"/>
    </row>
    <row r="1440" spans="1:1" ht="15.6" x14ac:dyDescent="0.25">
      <c r="A1440"/>
    </row>
    <row r="1441" spans="1:1" ht="15.6" x14ac:dyDescent="0.25">
      <c r="A1441"/>
    </row>
    <row r="1442" spans="1:1" ht="15.6" x14ac:dyDescent="0.25">
      <c r="A1442"/>
    </row>
    <row r="1443" spans="1:1" ht="15.6" x14ac:dyDescent="0.25">
      <c r="A1443"/>
    </row>
    <row r="1444" spans="1:1" ht="15.6" x14ac:dyDescent="0.25">
      <c r="A1444"/>
    </row>
    <row r="1445" spans="1:1" ht="15.6" x14ac:dyDescent="0.25">
      <c r="A1445"/>
    </row>
    <row r="1446" spans="1:1" ht="15.6" x14ac:dyDescent="0.25">
      <c r="A1446"/>
    </row>
    <row r="1447" spans="1:1" ht="15.6" x14ac:dyDescent="0.25">
      <c r="A1447"/>
    </row>
    <row r="1448" spans="1:1" ht="15.6" x14ac:dyDescent="0.25">
      <c r="A1448"/>
    </row>
    <row r="1449" spans="1:1" ht="15.6" x14ac:dyDescent="0.25">
      <c r="A1449"/>
    </row>
    <row r="1450" spans="1:1" ht="15.6" x14ac:dyDescent="0.25">
      <c r="A1450"/>
    </row>
    <row r="1451" spans="1:1" ht="15.6" x14ac:dyDescent="0.25">
      <c r="A1451"/>
    </row>
    <row r="1452" spans="1:1" ht="15.6" x14ac:dyDescent="0.25">
      <c r="A1452"/>
    </row>
    <row r="1453" spans="1:1" ht="15.6" x14ac:dyDescent="0.25">
      <c r="A1453"/>
    </row>
    <row r="1454" spans="1:1" ht="15.6" x14ac:dyDescent="0.25">
      <c r="A1454"/>
    </row>
    <row r="1455" spans="1:1" ht="15.6" x14ac:dyDescent="0.25">
      <c r="A1455"/>
    </row>
    <row r="1456" spans="1:1" ht="15.6" x14ac:dyDescent="0.25">
      <c r="A1456"/>
    </row>
    <row r="1457" spans="1:1" ht="15.6" x14ac:dyDescent="0.25">
      <c r="A1457"/>
    </row>
    <row r="1458" spans="1:1" ht="15.6" x14ac:dyDescent="0.25">
      <c r="A1458"/>
    </row>
    <row r="1459" spans="1:1" ht="15.6" x14ac:dyDescent="0.25">
      <c r="A1459"/>
    </row>
    <row r="1460" spans="1:1" ht="15.6" x14ac:dyDescent="0.25">
      <c r="A1460"/>
    </row>
    <row r="1461" spans="1:1" ht="15.6" x14ac:dyDescent="0.25">
      <c r="A1461"/>
    </row>
    <row r="1462" spans="1:1" ht="15.6" x14ac:dyDescent="0.25">
      <c r="A1462"/>
    </row>
    <row r="1463" spans="1:1" ht="15.6" x14ac:dyDescent="0.25">
      <c r="A1463"/>
    </row>
    <row r="1464" spans="1:1" ht="15.6" x14ac:dyDescent="0.25">
      <c r="A1464"/>
    </row>
    <row r="1465" spans="1:1" ht="15.6" x14ac:dyDescent="0.25">
      <c r="A1465"/>
    </row>
    <row r="1466" spans="1:1" ht="15.6" x14ac:dyDescent="0.25">
      <c r="A1466"/>
    </row>
    <row r="1467" spans="1:1" ht="15.6" x14ac:dyDescent="0.25">
      <c r="A1467"/>
    </row>
    <row r="1468" spans="1:1" ht="15.6" x14ac:dyDescent="0.25">
      <c r="A1468"/>
    </row>
    <row r="1469" spans="1:1" ht="15.6" x14ac:dyDescent="0.25">
      <c r="A1469"/>
    </row>
    <row r="1470" spans="1:1" ht="15.6" x14ac:dyDescent="0.25">
      <c r="A1470"/>
    </row>
    <row r="1471" spans="1:1" ht="15.6" x14ac:dyDescent="0.25">
      <c r="A1471"/>
    </row>
    <row r="1472" spans="1:1" ht="15.6" x14ac:dyDescent="0.25">
      <c r="A1472"/>
    </row>
    <row r="1473" spans="1:1" ht="15.6" x14ac:dyDescent="0.25">
      <c r="A1473"/>
    </row>
    <row r="1474" spans="1:1" ht="15.6" x14ac:dyDescent="0.25">
      <c r="A1474"/>
    </row>
    <row r="1475" spans="1:1" ht="15.6" x14ac:dyDescent="0.25">
      <c r="A1475"/>
    </row>
    <row r="1476" spans="1:1" ht="15.6" x14ac:dyDescent="0.25">
      <c r="A1476"/>
    </row>
    <row r="1477" spans="1:1" ht="15.6" x14ac:dyDescent="0.25">
      <c r="A1477"/>
    </row>
    <row r="1478" spans="1:1" ht="15.6" x14ac:dyDescent="0.25">
      <c r="A1478"/>
    </row>
    <row r="1479" spans="1:1" ht="15.6" x14ac:dyDescent="0.25">
      <c r="A1479"/>
    </row>
    <row r="1480" spans="1:1" ht="15.6" x14ac:dyDescent="0.25">
      <c r="A1480"/>
    </row>
    <row r="1481" spans="1:1" ht="15.6" x14ac:dyDescent="0.25">
      <c r="A1481"/>
    </row>
    <row r="1482" spans="1:1" ht="15.6" x14ac:dyDescent="0.25">
      <c r="A1482"/>
    </row>
    <row r="1483" spans="1:1" ht="15.6" x14ac:dyDescent="0.25">
      <c r="A1483"/>
    </row>
    <row r="1484" spans="1:1" ht="15.6" x14ac:dyDescent="0.25">
      <c r="A1484"/>
    </row>
    <row r="1485" spans="1:1" ht="15.6" x14ac:dyDescent="0.25">
      <c r="A1485"/>
    </row>
    <row r="1486" spans="1:1" ht="15.6" x14ac:dyDescent="0.25">
      <c r="A1486"/>
    </row>
    <row r="1487" spans="1:1" ht="15.6" x14ac:dyDescent="0.25">
      <c r="A1487"/>
    </row>
    <row r="1488" spans="1:1" ht="15.6" x14ac:dyDescent="0.25">
      <c r="A1488"/>
    </row>
    <row r="1489" spans="1:1" ht="15.6" x14ac:dyDescent="0.25">
      <c r="A1489"/>
    </row>
    <row r="1490" spans="1:1" ht="15.6" x14ac:dyDescent="0.25">
      <c r="A1490"/>
    </row>
    <row r="1491" spans="1:1" ht="15.6" x14ac:dyDescent="0.25">
      <c r="A1491"/>
    </row>
    <row r="1492" spans="1:1" ht="15.6" x14ac:dyDescent="0.25">
      <c r="A1492"/>
    </row>
    <row r="1493" spans="1:1" ht="15.6" x14ac:dyDescent="0.25">
      <c r="A1493"/>
    </row>
    <row r="1494" spans="1:1" ht="15.6" x14ac:dyDescent="0.25">
      <c r="A1494"/>
    </row>
    <row r="1495" spans="1:1" ht="15.6" x14ac:dyDescent="0.25">
      <c r="A1495"/>
    </row>
    <row r="1496" spans="1:1" ht="15.6" x14ac:dyDescent="0.25">
      <c r="A1496"/>
    </row>
    <row r="1497" spans="1:1" ht="15.6" x14ac:dyDescent="0.25">
      <c r="A1497"/>
    </row>
    <row r="1498" spans="1:1" ht="15.6" x14ac:dyDescent="0.25">
      <c r="A1498"/>
    </row>
    <row r="1499" spans="1:1" ht="15.6" x14ac:dyDescent="0.25">
      <c r="A1499"/>
    </row>
    <row r="1500" spans="1:1" ht="15.6" x14ac:dyDescent="0.25">
      <c r="A1500"/>
    </row>
    <row r="1501" spans="1:1" ht="15.6" x14ac:dyDescent="0.25">
      <c r="A1501"/>
    </row>
    <row r="1502" spans="1:1" ht="15.6" x14ac:dyDescent="0.25">
      <c r="A1502"/>
    </row>
    <row r="1503" spans="1:1" ht="15.6" x14ac:dyDescent="0.25">
      <c r="A1503"/>
    </row>
    <row r="1504" spans="1:1" ht="15.6" x14ac:dyDescent="0.25">
      <c r="A1504"/>
    </row>
    <row r="1505" spans="1:1" ht="15.6" x14ac:dyDescent="0.25">
      <c r="A1505"/>
    </row>
    <row r="1506" spans="1:1" ht="15.6" x14ac:dyDescent="0.25">
      <c r="A1506"/>
    </row>
    <row r="1507" spans="1:1" ht="15.6" x14ac:dyDescent="0.25">
      <c r="A1507"/>
    </row>
    <row r="1508" spans="1:1" ht="15.6" x14ac:dyDescent="0.25">
      <c r="A1508"/>
    </row>
    <row r="1509" spans="1:1" ht="15.6" x14ac:dyDescent="0.25">
      <c r="A1509"/>
    </row>
    <row r="1510" spans="1:1" ht="15.6" x14ac:dyDescent="0.25">
      <c r="A1510"/>
    </row>
    <row r="1511" spans="1:1" ht="15.6" x14ac:dyDescent="0.25">
      <c r="A1511"/>
    </row>
    <row r="1512" spans="1:1" ht="15.6" x14ac:dyDescent="0.25">
      <c r="A1512"/>
    </row>
    <row r="1513" spans="1:1" ht="15.6" x14ac:dyDescent="0.25">
      <c r="A1513"/>
    </row>
    <row r="1514" spans="1:1" ht="15.6" x14ac:dyDescent="0.25">
      <c r="A1514"/>
    </row>
    <row r="1515" spans="1:1" ht="15.6" x14ac:dyDescent="0.25">
      <c r="A1515"/>
    </row>
    <row r="1516" spans="1:1" ht="15.6" x14ac:dyDescent="0.25">
      <c r="A1516"/>
    </row>
    <row r="1517" spans="1:1" ht="15.6" x14ac:dyDescent="0.25">
      <c r="A1517"/>
    </row>
    <row r="1518" spans="1:1" ht="15.6" x14ac:dyDescent="0.25">
      <c r="A1518"/>
    </row>
    <row r="1519" spans="1:1" ht="15.6" x14ac:dyDescent="0.25">
      <c r="A1519"/>
    </row>
    <row r="1520" spans="1:1" ht="15.6" x14ac:dyDescent="0.25">
      <c r="A1520"/>
    </row>
    <row r="1521" spans="1:1" ht="15.6" x14ac:dyDescent="0.25">
      <c r="A1521"/>
    </row>
    <row r="1522" spans="1:1" ht="15.6" x14ac:dyDescent="0.25">
      <c r="A1522"/>
    </row>
    <row r="1523" spans="1:1" ht="15.6" x14ac:dyDescent="0.25">
      <c r="A1523"/>
    </row>
    <row r="1524" spans="1:1" ht="15.6" x14ac:dyDescent="0.25">
      <c r="A1524"/>
    </row>
    <row r="1525" spans="1:1" ht="15.6" x14ac:dyDescent="0.25">
      <c r="A1525"/>
    </row>
    <row r="1526" spans="1:1" ht="15.6" x14ac:dyDescent="0.25">
      <c r="A1526"/>
    </row>
    <row r="1527" spans="1:1" ht="15.6" x14ac:dyDescent="0.25">
      <c r="A1527"/>
    </row>
    <row r="1528" spans="1:1" ht="15.6" x14ac:dyDescent="0.25">
      <c r="A1528"/>
    </row>
    <row r="1529" spans="1:1" ht="15.6" x14ac:dyDescent="0.25">
      <c r="A1529"/>
    </row>
    <row r="1530" spans="1:1" ht="15.6" x14ac:dyDescent="0.25">
      <c r="A1530"/>
    </row>
    <row r="1531" spans="1:1" ht="15.6" x14ac:dyDescent="0.25">
      <c r="A1531"/>
    </row>
    <row r="1532" spans="1:1" ht="15.6" x14ac:dyDescent="0.25">
      <c r="A1532"/>
    </row>
    <row r="1533" spans="1:1" ht="15.6" x14ac:dyDescent="0.25">
      <c r="A1533"/>
    </row>
    <row r="1534" spans="1:1" ht="15.6" x14ac:dyDescent="0.25">
      <c r="A1534"/>
    </row>
    <row r="1535" spans="1:1" ht="15.6" x14ac:dyDescent="0.25">
      <c r="A1535"/>
    </row>
    <row r="1536" spans="1:1" ht="15.6" x14ac:dyDescent="0.25">
      <c r="A1536"/>
    </row>
    <row r="1537" spans="1:1" ht="15.6" x14ac:dyDescent="0.25">
      <c r="A1537"/>
    </row>
    <row r="1538" spans="1:1" ht="15.6" x14ac:dyDescent="0.25">
      <c r="A1538"/>
    </row>
    <row r="1539" spans="1:1" ht="15.6" x14ac:dyDescent="0.25">
      <c r="A1539"/>
    </row>
    <row r="1540" spans="1:1" ht="15.6" x14ac:dyDescent="0.25">
      <c r="A1540"/>
    </row>
    <row r="1541" spans="1:1" ht="15.6" x14ac:dyDescent="0.25">
      <c r="A1541"/>
    </row>
    <row r="1542" spans="1:1" ht="15.6" x14ac:dyDescent="0.25">
      <c r="A1542"/>
    </row>
    <row r="1543" spans="1:1" ht="15.6" x14ac:dyDescent="0.25">
      <c r="A1543"/>
    </row>
    <row r="1544" spans="1:1" ht="15.6" x14ac:dyDescent="0.25">
      <c r="A1544"/>
    </row>
    <row r="1545" spans="1:1" ht="15.6" x14ac:dyDescent="0.25">
      <c r="A1545"/>
    </row>
    <row r="1546" spans="1:1" ht="15.6" x14ac:dyDescent="0.25">
      <c r="A1546"/>
    </row>
    <row r="1547" spans="1:1" ht="15.6" x14ac:dyDescent="0.25">
      <c r="A1547"/>
    </row>
    <row r="1548" spans="1:1" ht="15.6" x14ac:dyDescent="0.25">
      <c r="A1548"/>
    </row>
    <row r="1549" spans="1:1" ht="15.6" x14ac:dyDescent="0.25">
      <c r="A1549"/>
    </row>
    <row r="1550" spans="1:1" ht="15.6" x14ac:dyDescent="0.25">
      <c r="A1550"/>
    </row>
    <row r="1551" spans="1:1" ht="15.6" x14ac:dyDescent="0.25">
      <c r="A1551"/>
    </row>
    <row r="1552" spans="1:1" ht="15.6" x14ac:dyDescent="0.25">
      <c r="A1552"/>
    </row>
    <row r="1553" spans="1:1" ht="15.6" x14ac:dyDescent="0.25">
      <c r="A1553"/>
    </row>
    <row r="1554" spans="1:1" ht="15.6" x14ac:dyDescent="0.25">
      <c r="A1554"/>
    </row>
    <row r="1555" spans="1:1" ht="15.6" x14ac:dyDescent="0.25">
      <c r="A1555"/>
    </row>
    <row r="1556" spans="1:1" ht="15.6" x14ac:dyDescent="0.25">
      <c r="A1556"/>
    </row>
    <row r="1557" spans="1:1" ht="15.6" x14ac:dyDescent="0.25">
      <c r="A1557"/>
    </row>
    <row r="1558" spans="1:1" ht="15.6" x14ac:dyDescent="0.25">
      <c r="A1558"/>
    </row>
    <row r="1559" spans="1:1" ht="15.6" x14ac:dyDescent="0.25">
      <c r="A1559"/>
    </row>
    <row r="1560" spans="1:1" ht="15.6" x14ac:dyDescent="0.25">
      <c r="A1560"/>
    </row>
    <row r="1561" spans="1:1" ht="15.6" x14ac:dyDescent="0.25">
      <c r="A1561"/>
    </row>
    <row r="1562" spans="1:1" ht="15.6" x14ac:dyDescent="0.25">
      <c r="A1562"/>
    </row>
    <row r="1563" spans="1:1" ht="15.6" x14ac:dyDescent="0.25">
      <c r="A1563"/>
    </row>
    <row r="1564" spans="1:1" ht="15.6" x14ac:dyDescent="0.25">
      <c r="A1564"/>
    </row>
    <row r="1565" spans="1:1" ht="15.6" x14ac:dyDescent="0.25">
      <c r="A1565"/>
    </row>
    <row r="1566" spans="1:1" ht="15.6" x14ac:dyDescent="0.25">
      <c r="A1566"/>
    </row>
    <row r="1567" spans="1:1" ht="15.6" x14ac:dyDescent="0.25">
      <c r="A1567"/>
    </row>
    <row r="1568" spans="1:1" ht="15.6" x14ac:dyDescent="0.25">
      <c r="A1568"/>
    </row>
    <row r="1569" spans="1:1" ht="15.6" x14ac:dyDescent="0.25">
      <c r="A1569"/>
    </row>
    <row r="1570" spans="1:1" ht="15.6" x14ac:dyDescent="0.25">
      <c r="A1570"/>
    </row>
    <row r="1571" spans="1:1" ht="15.6" x14ac:dyDescent="0.25">
      <c r="A1571"/>
    </row>
    <row r="1572" spans="1:1" ht="15.6" x14ac:dyDescent="0.25">
      <c r="A1572"/>
    </row>
    <row r="1573" spans="1:1" ht="15.6" x14ac:dyDescent="0.25">
      <c r="A1573"/>
    </row>
    <row r="1574" spans="1:1" ht="15.6" x14ac:dyDescent="0.25">
      <c r="A1574"/>
    </row>
    <row r="1575" spans="1:1" ht="15.6" x14ac:dyDescent="0.25">
      <c r="A1575"/>
    </row>
    <row r="1576" spans="1:1" ht="15.6" x14ac:dyDescent="0.25">
      <c r="A1576"/>
    </row>
    <row r="1577" spans="1:1" ht="15.6" x14ac:dyDescent="0.25">
      <c r="A1577"/>
    </row>
    <row r="1578" spans="1:1" ht="15.6" x14ac:dyDescent="0.25">
      <c r="A1578"/>
    </row>
    <row r="1579" spans="1:1" ht="15.6" x14ac:dyDescent="0.25">
      <c r="A1579"/>
    </row>
    <row r="1580" spans="1:1" ht="15.6" x14ac:dyDescent="0.25">
      <c r="A1580"/>
    </row>
    <row r="1581" spans="1:1" ht="15.6" x14ac:dyDescent="0.25">
      <c r="A1581"/>
    </row>
    <row r="1582" spans="1:1" ht="15.6" x14ac:dyDescent="0.25">
      <c r="A1582"/>
    </row>
    <row r="1583" spans="1:1" ht="15.6" x14ac:dyDescent="0.25">
      <c r="A1583"/>
    </row>
    <row r="1584" spans="1:1" ht="15.6" x14ac:dyDescent="0.25">
      <c r="A1584"/>
    </row>
    <row r="1585" spans="1:1" ht="15.6" x14ac:dyDescent="0.25">
      <c r="A1585"/>
    </row>
    <row r="1586" spans="1:1" ht="15.6" x14ac:dyDescent="0.25">
      <c r="A1586"/>
    </row>
    <row r="1587" spans="1:1" ht="15.6" x14ac:dyDescent="0.25">
      <c r="A1587"/>
    </row>
    <row r="1588" spans="1:1" ht="15.6" x14ac:dyDescent="0.25">
      <c r="A1588"/>
    </row>
    <row r="1589" spans="1:1" ht="15.6" x14ac:dyDescent="0.25">
      <c r="A1589"/>
    </row>
    <row r="1590" spans="1:1" ht="15.6" x14ac:dyDescent="0.25">
      <c r="A1590"/>
    </row>
    <row r="1591" spans="1:1" ht="15.6" x14ac:dyDescent="0.25">
      <c r="A1591"/>
    </row>
    <row r="1592" spans="1:1" ht="15.6" x14ac:dyDescent="0.25">
      <c r="A1592"/>
    </row>
    <row r="1593" spans="1:1" ht="15.6" x14ac:dyDescent="0.25">
      <c r="A1593"/>
    </row>
    <row r="1594" spans="1:1" ht="15.6" x14ac:dyDescent="0.25">
      <c r="A1594"/>
    </row>
    <row r="1595" spans="1:1" ht="15.6" x14ac:dyDescent="0.25">
      <c r="A1595"/>
    </row>
    <row r="1596" spans="1:1" ht="15.6" x14ac:dyDescent="0.25">
      <c r="A1596"/>
    </row>
    <row r="1597" spans="1:1" ht="15.6" x14ac:dyDescent="0.25">
      <c r="A1597"/>
    </row>
    <row r="1598" spans="1:1" ht="15.6" x14ac:dyDescent="0.25">
      <c r="A1598"/>
    </row>
    <row r="1599" spans="1:1" ht="15.6" x14ac:dyDescent="0.25">
      <c r="A1599"/>
    </row>
  </sheetData>
  <phoneticPr fontId="18" type="noConversion"/>
  <pageMargins left="0.75" right="0.75" top="1" bottom="1" header="0.5" footer="0.5"/>
  <pageSetup paperSize="9" orientation="portrait" horizontalDpi="300" verticalDpi="300"/>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Q2158"/>
  <sheetViews>
    <sheetView topLeftCell="A10" workbookViewId="0">
      <selection activeCell="Q24" sqref="Q24"/>
    </sheetView>
  </sheetViews>
  <sheetFormatPr defaultColWidth="9" defaultRowHeight="14.4" x14ac:dyDescent="0.25"/>
  <cols>
    <col min="1" max="1" width="11" style="1" bestFit="1" customWidth="1"/>
    <col min="2" max="2" width="11" style="60" bestFit="1" customWidth="1"/>
    <col min="3" max="3" width="5.8984375" style="58" customWidth="1"/>
    <col min="4" max="4" width="11.3984375" style="1" bestFit="1" customWidth="1"/>
    <col min="5" max="16384" width="9" style="1"/>
  </cols>
  <sheetData>
    <row r="1" spans="1:17" x14ac:dyDescent="0.25">
      <c r="A1" s="53" t="s">
        <v>69</v>
      </c>
      <c r="B1" s="59" t="s">
        <v>70</v>
      </c>
      <c r="C1" s="57" t="s">
        <v>148</v>
      </c>
      <c r="D1" s="53" t="s">
        <v>71</v>
      </c>
      <c r="G1" s="53" t="s">
        <v>69</v>
      </c>
      <c r="H1" s="57" t="s">
        <v>148</v>
      </c>
      <c r="K1" s="61" t="str">
        <f>G1</f>
        <v>产品名称</v>
      </c>
      <c r="L1" s="61" t="str">
        <f>_xlnm.Extract</f>
        <v>年份</v>
      </c>
    </row>
    <row r="2" spans="1:17" x14ac:dyDescent="0.25">
      <c r="A2" s="1" t="s">
        <v>72</v>
      </c>
      <c r="B2" s="59">
        <v>35297</v>
      </c>
      <c r="C2" s="57">
        <f>YEAR(表_查询来自_northwind3[[#This Row],[订购日期]])</f>
        <v>1996</v>
      </c>
      <c r="D2" s="1">
        <v>518.39999806880951</v>
      </c>
      <c r="G2" s="1" t="s">
        <v>72</v>
      </c>
      <c r="H2" s="57">
        <v>1996</v>
      </c>
      <c r="K2" s="61" t="str">
        <f>"="&amp;K3</f>
        <v>=</v>
      </c>
      <c r="L2" s="61" cm="1">
        <f t="array" ref="L2">INDEX(H2:H4,H5)</f>
        <v>1998</v>
      </c>
    </row>
    <row r="3" spans="1:17" x14ac:dyDescent="0.25">
      <c r="A3" s="1" t="s">
        <v>72</v>
      </c>
      <c r="B3" s="59">
        <v>35307</v>
      </c>
      <c r="C3" s="57">
        <f>YEAR(表_查询来自_northwind3[[#This Row],[订购日期]])</f>
        <v>1996</v>
      </c>
      <c r="D3" s="1">
        <v>259.2</v>
      </c>
      <c r="G3" s="1" t="s">
        <v>73</v>
      </c>
      <c r="H3" s="57">
        <v>1997</v>
      </c>
    </row>
    <row r="4" spans="1:17" x14ac:dyDescent="0.25">
      <c r="A4" s="1" t="s">
        <v>72</v>
      </c>
      <c r="B4" s="59">
        <v>35338</v>
      </c>
      <c r="C4" s="57">
        <f>YEAR(表_查询来自_northwind3[[#This Row],[订购日期]])</f>
        <v>1996</v>
      </c>
      <c r="D4" s="1">
        <v>288</v>
      </c>
      <c r="G4" s="1" t="s">
        <v>74</v>
      </c>
      <c r="H4" s="57">
        <v>1998</v>
      </c>
      <c r="L4" s="1">
        <f>DSUM(A:D,表_查询来自_northwind3[[#Headers],[''销售额'']],K1:L2)</f>
        <v>0</v>
      </c>
    </row>
    <row r="5" spans="1:17" x14ac:dyDescent="0.25">
      <c r="A5" s="1" t="s">
        <v>72</v>
      </c>
      <c r="B5" s="59">
        <v>35376</v>
      </c>
      <c r="C5" s="57">
        <f>YEAR(表_查询来自_northwind3[[#This Row],[订购日期]])</f>
        <v>1996</v>
      </c>
      <c r="D5" s="1">
        <v>183.59999871253967</v>
      </c>
      <c r="G5" s="1" t="s">
        <v>75</v>
      </c>
      <c r="H5" s="1">
        <v>3</v>
      </c>
      <c r="K5" s="1" t="s">
        <v>72</v>
      </c>
      <c r="L5" s="1">
        <f t="dataTable" ref="L5:L80" dt2D="0" dtr="0" r1="K2"/>
        <v>6295.4999887347221</v>
      </c>
      <c r="N5" s="1">
        <v>1</v>
      </c>
      <c r="O5" s="1" t="str">
        <f>_xlfn.XLOOKUP(P5,$L$5:$L$80,$K$5:$K$80)</f>
        <v>绿茶</v>
      </c>
      <c r="P5" s="1">
        <f>LARGE($L$5:$L$80,N5)</f>
        <v>67324.249982330948</v>
      </c>
      <c r="Q5" s="62">
        <f>P5/SUM($P$5:$P$9)</f>
        <v>0.39712344581792236</v>
      </c>
    </row>
    <row r="6" spans="1:17" x14ac:dyDescent="0.25">
      <c r="A6" s="1" t="s">
        <v>72</v>
      </c>
      <c r="B6" s="59">
        <v>35383</v>
      </c>
      <c r="C6" s="57">
        <f>YEAR(表_查询来自_northwind3[[#This Row],[订购日期]])</f>
        <v>1996</v>
      </c>
      <c r="D6" s="1">
        <v>172.8</v>
      </c>
      <c r="G6" s="1" t="s">
        <v>76</v>
      </c>
      <c r="K6" s="1" t="s">
        <v>73</v>
      </c>
      <c r="L6" s="1">
        <v>6299.4499882645905</v>
      </c>
      <c r="N6" s="1">
        <v>2</v>
      </c>
      <c r="O6" s="1" t="str">
        <f t="shared" ref="O6:O9" si="0">_xlfn.XLOOKUP(P6,$L$5:$L$80,$K$5:$K$80)</f>
        <v>鸭肉</v>
      </c>
      <c r="P6" s="1">
        <f>LARGE($L$5:$L$80,N6)</f>
        <v>39343.658983562294</v>
      </c>
      <c r="Q6" s="62">
        <f t="shared" ref="Q6:Q9" si="1">P6/SUM($P$5:$P$9)</f>
        <v>0.23207520961225805</v>
      </c>
    </row>
    <row r="7" spans="1:17" x14ac:dyDescent="0.25">
      <c r="A7" s="1" t="s">
        <v>72</v>
      </c>
      <c r="B7" s="59">
        <v>35402</v>
      </c>
      <c r="C7" s="57">
        <f>YEAR(表_查询来自_northwind3[[#This Row],[订购日期]])</f>
        <v>1996</v>
      </c>
      <c r="D7" s="1">
        <v>183.59999871253967</v>
      </c>
      <c r="G7" s="1" t="s">
        <v>77</v>
      </c>
      <c r="K7" s="1" t="s">
        <v>74</v>
      </c>
      <c r="L7" s="1">
        <v>1080</v>
      </c>
      <c r="N7" s="1">
        <v>3</v>
      </c>
      <c r="O7" s="1" t="str">
        <f t="shared" si="0"/>
        <v>光明奶酪</v>
      </c>
      <c r="P7" s="1">
        <f>LARGE($L$5:$L$80,N7)</f>
        <v>26344.999992623925</v>
      </c>
      <c r="Q7" s="62">
        <f t="shared" si="1"/>
        <v>0.15540042673909818</v>
      </c>
    </row>
    <row r="8" spans="1:17" x14ac:dyDescent="0.25">
      <c r="A8" s="1" t="s">
        <v>72</v>
      </c>
      <c r="B8" s="59">
        <v>35437</v>
      </c>
      <c r="C8" s="57">
        <f>YEAR(表_查询来自_northwind3[[#This Row],[订购日期]])</f>
        <v>1997</v>
      </c>
      <c r="D8" s="1">
        <v>144</v>
      </c>
      <c r="G8" s="1" t="s">
        <v>78</v>
      </c>
      <c r="K8" s="1" t="s">
        <v>75</v>
      </c>
      <c r="L8" s="1">
        <v>6309.9799939393997</v>
      </c>
      <c r="N8" s="1">
        <v>4</v>
      </c>
      <c r="O8" s="1" t="str">
        <f t="shared" si="0"/>
        <v>猪肉</v>
      </c>
      <c r="P8" s="1">
        <f>LARGE($L$5:$L$80,N8)</f>
        <v>19221.749994467944</v>
      </c>
      <c r="Q8" s="62">
        <f t="shared" si="1"/>
        <v>0.11338273496484708</v>
      </c>
    </row>
    <row r="9" spans="1:17" x14ac:dyDescent="0.25">
      <c r="A9" s="1" t="s">
        <v>72</v>
      </c>
      <c r="B9" s="59">
        <v>35444</v>
      </c>
      <c r="C9" s="57">
        <f>YEAR(表_查询来自_northwind3[[#This Row],[订购日期]])</f>
        <v>1997</v>
      </c>
      <c r="D9" s="1">
        <v>345.6</v>
      </c>
      <c r="G9" s="1" t="s">
        <v>79</v>
      </c>
      <c r="K9" s="1" t="s">
        <v>76</v>
      </c>
      <c r="L9" s="1">
        <v>3042.375</v>
      </c>
      <c r="N9" s="1">
        <v>5</v>
      </c>
      <c r="O9" s="1" t="str">
        <f t="shared" si="0"/>
        <v>花奶酪</v>
      </c>
      <c r="P9" s="1">
        <f>LARGE($L$5:$L$80,N9)</f>
        <v>17295.119989350438</v>
      </c>
      <c r="Q9" s="62">
        <f t="shared" si="1"/>
        <v>0.10201818286587433</v>
      </c>
    </row>
    <row r="10" spans="1:17" x14ac:dyDescent="0.25">
      <c r="A10" s="1" t="s">
        <v>72</v>
      </c>
      <c r="B10" s="59">
        <v>35506</v>
      </c>
      <c r="C10" s="57">
        <f>YEAR(表_查询来自_northwind3[[#This Row],[订购日期]])</f>
        <v>1997</v>
      </c>
      <c r="D10" s="1">
        <v>216</v>
      </c>
      <c r="G10" s="1" t="s">
        <v>80</v>
      </c>
      <c r="K10" s="1" t="s">
        <v>77</v>
      </c>
      <c r="L10" s="1">
        <v>3916.9999987818301</v>
      </c>
    </row>
    <row r="11" spans="1:17" x14ac:dyDescent="0.25">
      <c r="A11" s="1" t="s">
        <v>72</v>
      </c>
      <c r="B11" s="59">
        <v>35550</v>
      </c>
      <c r="C11" s="57">
        <f>YEAR(表_查询来自_northwind3[[#This Row],[订购日期]])</f>
        <v>1997</v>
      </c>
      <c r="D11" s="1">
        <v>575.99999785423279</v>
      </c>
      <c r="G11" s="1" t="s">
        <v>81</v>
      </c>
      <c r="K11" s="1" t="s">
        <v>78</v>
      </c>
      <c r="L11" s="1">
        <v>12305.999998301268</v>
      </c>
    </row>
    <row r="12" spans="1:17" x14ac:dyDescent="0.25">
      <c r="A12" s="1" t="s">
        <v>72</v>
      </c>
      <c r="B12" s="59">
        <v>35555</v>
      </c>
      <c r="C12" s="57">
        <f>YEAR(表_查询来自_northwind3[[#This Row],[订购日期]])</f>
        <v>1997</v>
      </c>
      <c r="D12" s="1">
        <v>122.39999914169312</v>
      </c>
      <c r="G12" s="1" t="s">
        <v>82</v>
      </c>
      <c r="K12" s="1" t="s">
        <v>79</v>
      </c>
      <c r="L12" s="1">
        <v>4591.9999951124191</v>
      </c>
    </row>
    <row r="13" spans="1:17" x14ac:dyDescent="0.25">
      <c r="A13" s="1" t="s">
        <v>72</v>
      </c>
      <c r="B13" s="59">
        <v>35604</v>
      </c>
      <c r="C13" s="57">
        <f>YEAR(表_查询来自_northwind3[[#This Row],[订购日期]])</f>
        <v>1997</v>
      </c>
      <c r="D13" s="1">
        <v>180</v>
      </c>
      <c r="G13" s="1" t="s">
        <v>83</v>
      </c>
      <c r="K13" s="1" t="s">
        <v>80</v>
      </c>
      <c r="L13" s="1">
        <v>1349.9524985790254</v>
      </c>
    </row>
    <row r="14" spans="1:17" x14ac:dyDescent="0.25">
      <c r="A14" s="1" t="s">
        <v>72</v>
      </c>
      <c r="B14" s="59">
        <v>35618</v>
      </c>
      <c r="C14" s="57">
        <f>YEAR(表_查询来自_northwind3[[#This Row],[订购日期]])</f>
        <v>1997</v>
      </c>
      <c r="D14" s="1">
        <v>360</v>
      </c>
      <c r="G14" s="1" t="s">
        <v>84</v>
      </c>
      <c r="K14" s="1" t="s">
        <v>81</v>
      </c>
      <c r="L14" s="1">
        <v>9002.3999761641026</v>
      </c>
    </row>
    <row r="15" spans="1:17" x14ac:dyDescent="0.25">
      <c r="A15" s="1" t="s">
        <v>72</v>
      </c>
      <c r="B15" s="59">
        <v>35635</v>
      </c>
      <c r="C15" s="57">
        <f>YEAR(表_查询来自_northwind3[[#This Row],[订购日期]])</f>
        <v>1997</v>
      </c>
      <c r="D15" s="1">
        <v>54</v>
      </c>
      <c r="G15" s="1" t="s">
        <v>85</v>
      </c>
      <c r="K15" s="1" t="s">
        <v>82</v>
      </c>
      <c r="L15" s="1">
        <v>4383.7499993741512</v>
      </c>
    </row>
    <row r="16" spans="1:17" x14ac:dyDescent="0.25">
      <c r="A16" s="1" t="s">
        <v>72</v>
      </c>
      <c r="B16" s="59">
        <v>35636</v>
      </c>
      <c r="C16" s="57">
        <f>YEAR(表_查询来自_northwind3[[#This Row],[订购日期]])</f>
        <v>1997</v>
      </c>
      <c r="D16" s="1">
        <v>108</v>
      </c>
      <c r="G16" s="1" t="s">
        <v>86</v>
      </c>
      <c r="K16" s="1" t="s">
        <v>83</v>
      </c>
      <c r="L16" s="1">
        <v>3575.7999989241362</v>
      </c>
    </row>
    <row r="17" spans="1:12" x14ac:dyDescent="0.25">
      <c r="A17" s="1" t="s">
        <v>72</v>
      </c>
      <c r="B17" s="59">
        <v>35654</v>
      </c>
      <c r="C17" s="57">
        <f>YEAR(表_查询来自_northwind3[[#This Row],[订购日期]])</f>
        <v>1997</v>
      </c>
      <c r="D17" s="1">
        <v>450</v>
      </c>
      <c r="G17" s="1" t="s">
        <v>87</v>
      </c>
      <c r="K17" s="1" t="s">
        <v>84</v>
      </c>
      <c r="L17" s="1">
        <v>3725.0999927669764</v>
      </c>
    </row>
    <row r="18" spans="1:12" x14ac:dyDescent="0.25">
      <c r="A18" s="1" t="s">
        <v>72</v>
      </c>
      <c r="B18" s="59">
        <v>35669</v>
      </c>
      <c r="C18" s="57">
        <f>YEAR(表_查询来自_northwind3[[#This Row],[订购日期]])</f>
        <v>1997</v>
      </c>
      <c r="D18" s="1">
        <v>202.5</v>
      </c>
      <c r="G18" s="1" t="s">
        <v>88</v>
      </c>
      <c r="K18" s="1" t="s">
        <v>85</v>
      </c>
      <c r="L18" s="1">
        <v>371.30250001559034</v>
      </c>
    </row>
    <row r="19" spans="1:12" x14ac:dyDescent="0.25">
      <c r="A19" s="1" t="s">
        <v>72</v>
      </c>
      <c r="B19" s="59">
        <v>35704</v>
      </c>
      <c r="C19" s="57">
        <f>YEAR(表_查询来自_northwind3[[#This Row],[订购日期]])</f>
        <v>1997</v>
      </c>
      <c r="D19" s="1">
        <v>472.5</v>
      </c>
      <c r="G19" s="1" t="s">
        <v>89</v>
      </c>
      <c r="K19" s="1" t="s">
        <v>86</v>
      </c>
      <c r="L19" s="1">
        <v>0</v>
      </c>
    </row>
    <row r="20" spans="1:12" x14ac:dyDescent="0.25">
      <c r="A20" s="1" t="s">
        <v>72</v>
      </c>
      <c r="B20" s="59">
        <v>35706</v>
      </c>
      <c r="C20" s="57">
        <f>YEAR(表_查询来自_northwind3[[#This Row],[订购日期]])</f>
        <v>1997</v>
      </c>
      <c r="D20" s="1">
        <v>540</v>
      </c>
      <c r="G20" s="1" t="s">
        <v>90</v>
      </c>
      <c r="K20" s="1" t="s">
        <v>87</v>
      </c>
      <c r="L20" s="1">
        <v>5424.1579919366168</v>
      </c>
    </row>
    <row r="21" spans="1:12" x14ac:dyDescent="0.25">
      <c r="A21" s="1" t="s">
        <v>72</v>
      </c>
      <c r="B21" s="59">
        <v>35713</v>
      </c>
      <c r="C21" s="57">
        <f>YEAR(表_查询来自_northwind3[[#This Row],[订购日期]])</f>
        <v>1997</v>
      </c>
      <c r="D21" s="1">
        <v>71.999999731779099</v>
      </c>
      <c r="G21" s="1" t="s">
        <v>91</v>
      </c>
      <c r="K21" s="1" t="s">
        <v>88</v>
      </c>
      <c r="L21" s="1">
        <v>19221.749994467944</v>
      </c>
    </row>
    <row r="22" spans="1:12" x14ac:dyDescent="0.25">
      <c r="A22" s="1" t="s">
        <v>72</v>
      </c>
      <c r="B22" s="59">
        <v>35738</v>
      </c>
      <c r="C22" s="57">
        <f>YEAR(表_查询来自_northwind3[[#This Row],[订购日期]])</f>
        <v>1997</v>
      </c>
      <c r="D22" s="1">
        <v>900</v>
      </c>
      <c r="G22" s="1" t="s">
        <v>92</v>
      </c>
      <c r="K22" s="1" t="s">
        <v>89</v>
      </c>
      <c r="L22" s="1">
        <v>8496.8749927356839</v>
      </c>
    </row>
    <row r="23" spans="1:12" x14ac:dyDescent="0.25">
      <c r="A23" s="1" t="s">
        <v>72</v>
      </c>
      <c r="B23" s="59">
        <v>35758</v>
      </c>
      <c r="C23" s="57">
        <f>YEAR(表_查询来自_northwind3[[#This Row],[订购日期]])</f>
        <v>1997</v>
      </c>
      <c r="D23" s="1">
        <v>144</v>
      </c>
      <c r="G23" s="1" t="s">
        <v>93</v>
      </c>
      <c r="K23" s="1" t="s">
        <v>90</v>
      </c>
      <c r="L23" s="1">
        <v>1974.3199993282556</v>
      </c>
    </row>
    <row r="24" spans="1:12" x14ac:dyDescent="0.25">
      <c r="A24" s="1" t="s">
        <v>72</v>
      </c>
      <c r="B24" s="59">
        <v>35814</v>
      </c>
      <c r="C24" s="57">
        <f>YEAR(表_查询来自_northwind3[[#This Row],[订购日期]])</f>
        <v>1998</v>
      </c>
      <c r="D24" s="1">
        <v>54</v>
      </c>
      <c r="G24" s="1" t="s">
        <v>94</v>
      </c>
      <c r="K24" s="1" t="s">
        <v>91</v>
      </c>
      <c r="L24" s="1">
        <v>8704.2599958479404</v>
      </c>
    </row>
    <row r="25" spans="1:12" x14ac:dyDescent="0.25">
      <c r="A25" s="1" t="s">
        <v>72</v>
      </c>
      <c r="B25" s="59">
        <v>35817</v>
      </c>
      <c r="C25" s="57">
        <f>YEAR(表_查询来自_northwind3[[#This Row],[订购日期]])</f>
        <v>1998</v>
      </c>
      <c r="D25" s="1">
        <v>1151.9999957084656</v>
      </c>
      <c r="G25" s="1" t="s">
        <v>95</v>
      </c>
      <c r="K25" s="1" t="s">
        <v>92</v>
      </c>
      <c r="L25" s="1">
        <v>3414.9999970942736</v>
      </c>
    </row>
    <row r="26" spans="1:12" x14ac:dyDescent="0.25">
      <c r="A26" s="1" t="s">
        <v>72</v>
      </c>
      <c r="B26" s="59">
        <v>35828</v>
      </c>
      <c r="C26" s="57">
        <f>YEAR(表_查询来自_northwind3[[#This Row],[订购日期]])</f>
        <v>1998</v>
      </c>
      <c r="D26" s="1">
        <v>305.99999785423279</v>
      </c>
      <c r="G26" s="1" t="s">
        <v>96</v>
      </c>
      <c r="K26" s="1" t="s">
        <v>93</v>
      </c>
      <c r="L26" s="1">
        <v>2793</v>
      </c>
    </row>
    <row r="27" spans="1:12" x14ac:dyDescent="0.25">
      <c r="A27" s="1" t="s">
        <v>72</v>
      </c>
      <c r="B27" s="59">
        <v>35830</v>
      </c>
      <c r="C27" s="57">
        <f>YEAR(表_查询来自_northwind3[[#This Row],[订购日期]])</f>
        <v>1998</v>
      </c>
      <c r="D27" s="1">
        <v>720</v>
      </c>
      <c r="G27" s="1" t="s">
        <v>97</v>
      </c>
      <c r="K27" s="1" t="s">
        <v>94</v>
      </c>
      <c r="L27" s="1">
        <v>1556.9999982565641</v>
      </c>
    </row>
    <row r="28" spans="1:12" x14ac:dyDescent="0.25">
      <c r="A28" s="1" t="s">
        <v>72</v>
      </c>
      <c r="B28" s="59">
        <v>35850</v>
      </c>
      <c r="C28" s="57">
        <f>YEAR(表_查询来自_northwind3[[#This Row],[订购日期]])</f>
        <v>1998</v>
      </c>
      <c r="D28" s="1">
        <v>341.9999997317791</v>
      </c>
      <c r="G28" s="1" t="s">
        <v>98</v>
      </c>
      <c r="K28" s="1" t="s">
        <v>95</v>
      </c>
      <c r="L28" s="1">
        <v>2317.4999998658895</v>
      </c>
    </row>
    <row r="29" spans="1:12" x14ac:dyDescent="0.25">
      <c r="A29" s="1" t="s">
        <v>72</v>
      </c>
      <c r="B29" s="59">
        <v>35852</v>
      </c>
      <c r="C29" s="57">
        <f>YEAR(表_查询来自_northwind3[[#This Row],[订购日期]])</f>
        <v>1998</v>
      </c>
      <c r="D29" s="1">
        <v>180</v>
      </c>
      <c r="G29" s="1" t="s">
        <v>99</v>
      </c>
      <c r="K29" s="1" t="s">
        <v>96</v>
      </c>
      <c r="L29" s="1">
        <v>1236.1999975591898</v>
      </c>
    </row>
    <row r="30" spans="1:12" x14ac:dyDescent="0.25">
      <c r="A30" s="1" t="s">
        <v>72</v>
      </c>
      <c r="B30" s="59">
        <v>35856</v>
      </c>
      <c r="C30" s="57">
        <f>YEAR(表_查询来自_northwind3[[#This Row],[订购日期]])</f>
        <v>1998</v>
      </c>
      <c r="D30" s="1">
        <v>810</v>
      </c>
      <c r="G30" s="1" t="s">
        <v>100</v>
      </c>
      <c r="K30" s="1" t="s">
        <v>97</v>
      </c>
      <c r="L30" s="1">
        <v>6044.566489203572</v>
      </c>
    </row>
    <row r="31" spans="1:12" x14ac:dyDescent="0.25">
      <c r="A31" s="1" t="s">
        <v>72</v>
      </c>
      <c r="B31" s="59">
        <v>35863</v>
      </c>
      <c r="C31" s="57">
        <f>YEAR(表_查询来自_northwind3[[#This Row],[订购日期]])</f>
        <v>1998</v>
      </c>
      <c r="D31" s="1">
        <v>378</v>
      </c>
      <c r="G31" s="1" t="s">
        <v>101</v>
      </c>
      <c r="K31" s="1" t="s">
        <v>98</v>
      </c>
      <c r="L31" s="1">
        <v>2853.5</v>
      </c>
    </row>
    <row r="32" spans="1:12" x14ac:dyDescent="0.25">
      <c r="A32" s="1" t="s">
        <v>72</v>
      </c>
      <c r="B32" s="59">
        <v>35891</v>
      </c>
      <c r="C32" s="57">
        <f>YEAR(表_查询来自_northwind3[[#This Row],[订购日期]])</f>
        <v>1998</v>
      </c>
      <c r="D32" s="1">
        <v>72</v>
      </c>
      <c r="G32" s="1" t="s">
        <v>102</v>
      </c>
      <c r="K32" s="1" t="s">
        <v>99</v>
      </c>
      <c r="L32" s="1">
        <v>6990.4799934089187</v>
      </c>
    </row>
    <row r="33" spans="1:12" x14ac:dyDescent="0.25">
      <c r="A33" s="1" t="s">
        <v>72</v>
      </c>
      <c r="B33" s="59">
        <v>35892</v>
      </c>
      <c r="C33" s="57">
        <f>YEAR(表_查询来自_northwind3[[#This Row],[订购日期]])</f>
        <v>1998</v>
      </c>
      <c r="D33" s="1">
        <v>36</v>
      </c>
      <c r="G33" s="1" t="s">
        <v>103</v>
      </c>
      <c r="K33" s="1" t="s">
        <v>100</v>
      </c>
      <c r="L33" s="1">
        <v>39343.658983562294</v>
      </c>
    </row>
    <row r="34" spans="1:12" x14ac:dyDescent="0.25">
      <c r="A34" s="1" t="s">
        <v>72</v>
      </c>
      <c r="B34" s="59">
        <v>35892</v>
      </c>
      <c r="C34" s="57">
        <f>YEAR(表_查询来自_northwind3[[#This Row],[订购日期]])</f>
        <v>1998</v>
      </c>
      <c r="D34" s="1">
        <v>144</v>
      </c>
      <c r="G34" s="1" t="s">
        <v>104</v>
      </c>
      <c r="K34" s="1" t="s">
        <v>101</v>
      </c>
      <c r="L34" s="1">
        <v>4744.3424993248655</v>
      </c>
    </row>
    <row r="35" spans="1:12" x14ac:dyDescent="0.25">
      <c r="A35" s="1" t="s">
        <v>72</v>
      </c>
      <c r="B35" s="59">
        <v>35900</v>
      </c>
      <c r="C35" s="57">
        <f>YEAR(表_查询来自_northwind3[[#This Row],[订购日期]])</f>
        <v>1998</v>
      </c>
      <c r="D35" s="1">
        <v>161.9999997317791</v>
      </c>
      <c r="G35" s="1" t="s">
        <v>105</v>
      </c>
      <c r="K35" s="1" t="s">
        <v>102</v>
      </c>
      <c r="L35" s="1">
        <v>3465.6249972060323</v>
      </c>
    </row>
    <row r="36" spans="1:12" x14ac:dyDescent="0.25">
      <c r="A36" s="1" t="s">
        <v>72</v>
      </c>
      <c r="B36" s="59">
        <v>35902</v>
      </c>
      <c r="C36" s="57">
        <f>YEAR(表_查询来自_northwind3[[#This Row],[订购日期]])</f>
        <v>1998</v>
      </c>
      <c r="D36" s="1">
        <v>810</v>
      </c>
      <c r="G36" s="1" t="s">
        <v>106</v>
      </c>
      <c r="K36" s="1" t="s">
        <v>103</v>
      </c>
      <c r="L36" s="1">
        <v>4567.9999979734421</v>
      </c>
    </row>
    <row r="37" spans="1:12" x14ac:dyDescent="0.25">
      <c r="A37" s="1" t="s">
        <v>72</v>
      </c>
      <c r="B37" s="59">
        <v>35905</v>
      </c>
      <c r="C37" s="57">
        <f>YEAR(表_查询来自_northwind3[[#This Row],[订购日期]])</f>
        <v>1998</v>
      </c>
      <c r="D37" s="1">
        <v>180</v>
      </c>
      <c r="G37" s="1" t="s">
        <v>107</v>
      </c>
      <c r="K37" s="1" t="s">
        <v>104</v>
      </c>
      <c r="L37" s="1">
        <v>476.62499991245568</v>
      </c>
    </row>
    <row r="38" spans="1:12" x14ac:dyDescent="0.25">
      <c r="A38" s="1" t="s">
        <v>72</v>
      </c>
      <c r="B38" s="59">
        <v>35909</v>
      </c>
      <c r="C38" s="57">
        <f>YEAR(表_查询来自_northwind3[[#This Row],[订购日期]])</f>
        <v>1998</v>
      </c>
      <c r="D38" s="1">
        <v>337.5</v>
      </c>
      <c r="G38" s="1" t="s">
        <v>108</v>
      </c>
      <c r="K38" s="1" t="s">
        <v>105</v>
      </c>
      <c r="L38" s="1">
        <v>3240.9999940544367</v>
      </c>
    </row>
    <row r="39" spans="1:12" x14ac:dyDescent="0.25">
      <c r="A39" s="1" t="s">
        <v>72</v>
      </c>
      <c r="B39" s="59">
        <v>35920</v>
      </c>
      <c r="C39" s="57">
        <f>YEAR(表_查询来自_northwind3[[#This Row],[订购日期]])</f>
        <v>1998</v>
      </c>
      <c r="D39" s="1">
        <v>611.99999570846558</v>
      </c>
      <c r="G39" s="1" t="s">
        <v>109</v>
      </c>
      <c r="K39" s="1" t="s">
        <v>106</v>
      </c>
      <c r="L39" s="1">
        <v>4632.2999974787235</v>
      </c>
    </row>
    <row r="40" spans="1:12" x14ac:dyDescent="0.25">
      <c r="A40" s="1" t="s">
        <v>73</v>
      </c>
      <c r="B40" s="59">
        <v>35258</v>
      </c>
      <c r="C40" s="57">
        <f>YEAR(表_查询来自_northwind3[[#This Row],[订购日期]])</f>
        <v>1996</v>
      </c>
      <c r="D40" s="1">
        <v>304</v>
      </c>
      <c r="G40" s="1" t="s">
        <v>110</v>
      </c>
      <c r="K40" s="1" t="s">
        <v>107</v>
      </c>
      <c r="L40" s="1">
        <v>3937.749995470047</v>
      </c>
    </row>
    <row r="41" spans="1:12" x14ac:dyDescent="0.25">
      <c r="A41" s="1" t="s">
        <v>73</v>
      </c>
      <c r="B41" s="59">
        <v>35263</v>
      </c>
      <c r="C41" s="57">
        <f>YEAR(表_查询来自_northwind3[[#This Row],[订购日期]])</f>
        <v>1996</v>
      </c>
      <c r="D41" s="1">
        <v>607.9999977350235</v>
      </c>
      <c r="G41" s="1" t="s">
        <v>111</v>
      </c>
      <c r="K41" s="1" t="s">
        <v>108</v>
      </c>
      <c r="L41" s="1">
        <v>1455.9999953508377</v>
      </c>
    </row>
    <row r="42" spans="1:12" x14ac:dyDescent="0.25">
      <c r="A42" s="1" t="s">
        <v>73</v>
      </c>
      <c r="B42" s="59">
        <v>35270</v>
      </c>
      <c r="C42" s="57">
        <f>YEAR(表_查询来自_northwind3[[#This Row],[订购日期]])</f>
        <v>1996</v>
      </c>
      <c r="D42" s="1">
        <v>532</v>
      </c>
      <c r="G42" s="1" t="s">
        <v>112</v>
      </c>
      <c r="K42" s="1" t="s">
        <v>109</v>
      </c>
      <c r="L42" s="1">
        <v>67324.249982330948</v>
      </c>
    </row>
    <row r="43" spans="1:12" x14ac:dyDescent="0.25">
      <c r="A43" s="1" t="s">
        <v>73</v>
      </c>
      <c r="B43" s="59">
        <v>35313</v>
      </c>
      <c r="C43" s="57">
        <f>YEAR(表_查询来自_northwind3[[#This Row],[订购日期]])</f>
        <v>1996</v>
      </c>
      <c r="D43" s="1">
        <v>608</v>
      </c>
      <c r="G43" s="1" t="s">
        <v>113</v>
      </c>
      <c r="K43" s="1" t="s">
        <v>110</v>
      </c>
      <c r="L43" s="1">
        <v>4260.5999975055456</v>
      </c>
    </row>
    <row r="44" spans="1:12" x14ac:dyDescent="0.25">
      <c r="A44" s="1" t="s">
        <v>73</v>
      </c>
      <c r="B44" s="59">
        <v>35349</v>
      </c>
      <c r="C44" s="57">
        <f>YEAR(表_查询来自_northwind3[[#This Row],[订购日期]])</f>
        <v>1996</v>
      </c>
      <c r="D44" s="1">
        <v>303.99999886751175</v>
      </c>
      <c r="G44" s="1" t="s">
        <v>114</v>
      </c>
      <c r="K44" s="1" t="s">
        <v>111</v>
      </c>
      <c r="L44" s="1">
        <v>5317.5999920487411</v>
      </c>
    </row>
    <row r="45" spans="1:12" x14ac:dyDescent="0.25">
      <c r="A45" s="1" t="s">
        <v>73</v>
      </c>
      <c r="B45" s="59">
        <v>35360</v>
      </c>
      <c r="C45" s="57">
        <f>YEAR(表_查询来自_northwind3[[#This Row],[订购日期]])</f>
        <v>1996</v>
      </c>
      <c r="D45" s="1">
        <v>85.119999682903298</v>
      </c>
      <c r="G45" s="1" t="s">
        <v>115</v>
      </c>
      <c r="K45" s="1" t="s">
        <v>112</v>
      </c>
      <c r="L45" s="1">
        <v>2915.7474989790467</v>
      </c>
    </row>
    <row r="46" spans="1:12" x14ac:dyDescent="0.25">
      <c r="A46" s="1" t="s">
        <v>73</v>
      </c>
      <c r="B46" s="59">
        <v>35368</v>
      </c>
      <c r="C46" s="57">
        <f>YEAR(表_查询来自_northwind3[[#This Row],[订购日期]])</f>
        <v>1996</v>
      </c>
      <c r="D46" s="1">
        <v>291.83999891281127</v>
      </c>
      <c r="G46" s="1" t="s">
        <v>116</v>
      </c>
      <c r="K46" s="1" t="s">
        <v>113</v>
      </c>
      <c r="L46" s="1">
        <v>2788.7999967038631</v>
      </c>
    </row>
    <row r="47" spans="1:12" x14ac:dyDescent="0.25">
      <c r="A47" s="1" t="s">
        <v>73</v>
      </c>
      <c r="B47" s="59">
        <v>35424</v>
      </c>
      <c r="C47" s="57">
        <f>YEAR(表_查询来自_northwind3[[#This Row],[订购日期]])</f>
        <v>1996</v>
      </c>
      <c r="D47" s="1">
        <v>285</v>
      </c>
      <c r="G47" s="1" t="s">
        <v>117</v>
      </c>
      <c r="K47" s="1" t="s">
        <v>114</v>
      </c>
      <c r="L47" s="1">
        <v>7525.5999791622162</v>
      </c>
    </row>
    <row r="48" spans="1:12" x14ac:dyDescent="0.25">
      <c r="A48" s="1" t="s">
        <v>73</v>
      </c>
      <c r="B48" s="59">
        <v>35447</v>
      </c>
      <c r="C48" s="57">
        <f>YEAR(表_查询来自_northwind3[[#This Row],[订购日期]])</f>
        <v>1997</v>
      </c>
      <c r="D48" s="1">
        <v>912</v>
      </c>
      <c r="G48" s="1" t="s">
        <v>118</v>
      </c>
      <c r="K48" s="1" t="s">
        <v>115</v>
      </c>
      <c r="L48" s="1">
        <v>1135.8799983769654</v>
      </c>
    </row>
    <row r="49" spans="1:12" x14ac:dyDescent="0.25">
      <c r="A49" s="1" t="s">
        <v>73</v>
      </c>
      <c r="B49" s="59">
        <v>35465</v>
      </c>
      <c r="C49" s="57">
        <f>YEAR(表_查询来自_northwind3[[#This Row],[订购日期]])</f>
        <v>1997</v>
      </c>
      <c r="D49" s="1">
        <v>152</v>
      </c>
      <c r="G49" s="1" t="s">
        <v>119</v>
      </c>
      <c r="K49" s="1" t="s">
        <v>116</v>
      </c>
      <c r="L49" s="1">
        <v>891.09999898076057</v>
      </c>
    </row>
    <row r="50" spans="1:12" x14ac:dyDescent="0.25">
      <c r="A50" s="1" t="s">
        <v>73</v>
      </c>
      <c r="B50" s="59">
        <v>35471</v>
      </c>
      <c r="C50" s="57">
        <f>YEAR(表_查询来自_northwind3[[#This Row],[订购日期]])</f>
        <v>1997</v>
      </c>
      <c r="D50" s="1">
        <v>581.3999959230423</v>
      </c>
      <c r="G50" s="1" t="s">
        <v>120</v>
      </c>
      <c r="K50" s="1" t="s">
        <v>117</v>
      </c>
      <c r="L50" s="1">
        <v>1817.279997870326</v>
      </c>
    </row>
    <row r="51" spans="1:12" x14ac:dyDescent="0.25">
      <c r="A51" s="1" t="s">
        <v>73</v>
      </c>
      <c r="B51" s="59">
        <v>35499</v>
      </c>
      <c r="C51" s="57">
        <f>YEAR(表_查询来自_northwind3[[#This Row],[订购日期]])</f>
        <v>1997</v>
      </c>
      <c r="D51" s="1">
        <v>516.7999963760376</v>
      </c>
      <c r="G51" s="1" t="s">
        <v>121</v>
      </c>
      <c r="K51" s="1" t="s">
        <v>118</v>
      </c>
      <c r="L51" s="1">
        <v>939.54999970272183</v>
      </c>
    </row>
    <row r="52" spans="1:12" x14ac:dyDescent="0.25">
      <c r="A52" s="1" t="s">
        <v>73</v>
      </c>
      <c r="B52" s="59">
        <v>35514</v>
      </c>
      <c r="C52" s="57">
        <f>YEAR(表_查询来自_northwind3[[#This Row],[订购日期]])</f>
        <v>1997</v>
      </c>
      <c r="D52" s="1">
        <v>273.5999995470047</v>
      </c>
      <c r="G52" s="1" t="s">
        <v>122</v>
      </c>
      <c r="K52" s="1" t="s">
        <v>119</v>
      </c>
      <c r="L52" s="1">
        <v>86.699999392032623</v>
      </c>
    </row>
    <row r="53" spans="1:12" x14ac:dyDescent="0.25">
      <c r="A53" s="1" t="s">
        <v>73</v>
      </c>
      <c r="B53" s="59">
        <v>35531</v>
      </c>
      <c r="C53" s="57">
        <f>YEAR(表_查询来自_northwind3[[#This Row],[订购日期]])</f>
        <v>1997</v>
      </c>
      <c r="D53" s="1">
        <v>228</v>
      </c>
      <c r="G53" s="1" t="s">
        <v>123</v>
      </c>
      <c r="K53" s="1" t="s">
        <v>120</v>
      </c>
      <c r="L53" s="1">
        <v>4195.9999963641167</v>
      </c>
    </row>
    <row r="54" spans="1:12" x14ac:dyDescent="0.25">
      <c r="A54" s="1" t="s">
        <v>73</v>
      </c>
      <c r="B54" s="59">
        <v>35636</v>
      </c>
      <c r="C54" s="57">
        <f>YEAR(表_查询来自_northwind3[[#This Row],[订购日期]])</f>
        <v>1997</v>
      </c>
      <c r="D54" s="1">
        <v>190</v>
      </c>
      <c r="G54" s="1" t="s">
        <v>124</v>
      </c>
      <c r="K54" s="1" t="s">
        <v>121</v>
      </c>
      <c r="L54" s="1">
        <v>893.75</v>
      </c>
    </row>
    <row r="55" spans="1:12" x14ac:dyDescent="0.25">
      <c r="A55" s="1" t="s">
        <v>73</v>
      </c>
      <c r="B55" s="59">
        <v>35648</v>
      </c>
      <c r="C55" s="57">
        <f>YEAR(表_查询来自_northwind3[[#This Row],[订购日期]])</f>
        <v>1997</v>
      </c>
      <c r="D55" s="1">
        <v>380</v>
      </c>
      <c r="G55" s="1" t="s">
        <v>125</v>
      </c>
      <c r="K55" s="1" t="s">
        <v>122</v>
      </c>
      <c r="L55" s="1">
        <v>11090.249999407679</v>
      </c>
    </row>
    <row r="56" spans="1:12" x14ac:dyDescent="0.25">
      <c r="A56" s="1" t="s">
        <v>73</v>
      </c>
      <c r="B56" s="59">
        <v>35656</v>
      </c>
      <c r="C56" s="57">
        <f>YEAR(表_查询来自_northwind3[[#This Row],[订购日期]])</f>
        <v>1997</v>
      </c>
      <c r="D56" s="1">
        <v>541.49999957531691</v>
      </c>
      <c r="G56" s="1" t="s">
        <v>126</v>
      </c>
      <c r="K56" s="1" t="s">
        <v>123</v>
      </c>
      <c r="L56" s="1">
        <v>862.39999856054783</v>
      </c>
    </row>
    <row r="57" spans="1:12" x14ac:dyDescent="0.25">
      <c r="A57" s="1" t="s">
        <v>73</v>
      </c>
      <c r="B57" s="59">
        <v>35664</v>
      </c>
      <c r="C57" s="57">
        <f>YEAR(表_查询来自_northwind3[[#This Row],[订购日期]])</f>
        <v>1997</v>
      </c>
      <c r="D57" s="1">
        <v>950</v>
      </c>
      <c r="G57" s="1" t="s">
        <v>127</v>
      </c>
      <c r="K57" s="1" t="s">
        <v>124</v>
      </c>
      <c r="L57" s="1">
        <v>4808.4799939393997</v>
      </c>
    </row>
    <row r="58" spans="1:12" x14ac:dyDescent="0.25">
      <c r="A58" s="1" t="s">
        <v>73</v>
      </c>
      <c r="B58" s="59">
        <v>35717</v>
      </c>
      <c r="C58" s="57">
        <f>YEAR(表_查询来自_northwind3[[#This Row],[订购日期]])</f>
        <v>1997</v>
      </c>
      <c r="D58" s="1">
        <v>95</v>
      </c>
      <c r="G58" s="1" t="s">
        <v>128</v>
      </c>
      <c r="K58" s="1" t="s">
        <v>125</v>
      </c>
      <c r="L58" s="1">
        <v>658.95249857902525</v>
      </c>
    </row>
    <row r="59" spans="1:12" x14ac:dyDescent="0.25">
      <c r="A59" s="1" t="s">
        <v>73</v>
      </c>
      <c r="B59" s="59">
        <v>35725</v>
      </c>
      <c r="C59" s="57">
        <f>YEAR(表_查询来自_northwind3[[#This Row],[订购日期]])</f>
        <v>1997</v>
      </c>
      <c r="D59" s="1">
        <v>427.5</v>
      </c>
      <c r="G59" s="1" t="s">
        <v>129</v>
      </c>
      <c r="K59" s="1" t="s">
        <v>126</v>
      </c>
      <c r="L59" s="1">
        <v>7263.6999921575189</v>
      </c>
    </row>
    <row r="60" spans="1:12" x14ac:dyDescent="0.25">
      <c r="A60" s="1" t="s">
        <v>73</v>
      </c>
      <c r="B60" s="59">
        <v>35732</v>
      </c>
      <c r="C60" s="57">
        <f>YEAR(表_查询来自_northwind3[[#This Row],[订购日期]])</f>
        <v>1997</v>
      </c>
      <c r="D60" s="1">
        <v>57</v>
      </c>
      <c r="G60" s="1" t="s">
        <v>130</v>
      </c>
      <c r="K60" s="1" t="s">
        <v>127</v>
      </c>
      <c r="L60" s="1">
        <v>3441.7499998547137</v>
      </c>
    </row>
    <row r="61" spans="1:12" x14ac:dyDescent="0.25">
      <c r="A61" s="1" t="s">
        <v>73</v>
      </c>
      <c r="B61" s="59">
        <v>35748</v>
      </c>
      <c r="C61" s="57">
        <f>YEAR(表_查询来自_northwind3[[#This Row],[订购日期]])</f>
        <v>1997</v>
      </c>
      <c r="D61" s="1">
        <v>227.99999915063381</v>
      </c>
      <c r="G61" s="1" t="s">
        <v>131</v>
      </c>
      <c r="K61" s="1" t="s">
        <v>128</v>
      </c>
      <c r="L61" s="1">
        <v>2427.3999956957996</v>
      </c>
    </row>
    <row r="62" spans="1:12" x14ac:dyDescent="0.25">
      <c r="A62" s="1" t="s">
        <v>73</v>
      </c>
      <c r="B62" s="59">
        <v>35769</v>
      </c>
      <c r="C62" s="57">
        <f>YEAR(表_查询来自_northwind3[[#This Row],[订购日期]])</f>
        <v>1997</v>
      </c>
      <c r="D62" s="1">
        <v>760</v>
      </c>
      <c r="G62" s="1" t="s">
        <v>132</v>
      </c>
      <c r="K62" s="1" t="s">
        <v>129</v>
      </c>
      <c r="L62" s="1">
        <v>26344.999992623925</v>
      </c>
    </row>
    <row r="63" spans="1:12" x14ac:dyDescent="0.25">
      <c r="A63" s="1" t="s">
        <v>73</v>
      </c>
      <c r="B63" s="59">
        <v>35783</v>
      </c>
      <c r="C63" s="57">
        <f>YEAR(表_查询来自_northwind3[[#This Row],[订购日期]])</f>
        <v>1997</v>
      </c>
      <c r="D63" s="1">
        <v>270.74999978765845</v>
      </c>
      <c r="G63" s="1" t="s">
        <v>133</v>
      </c>
      <c r="K63" s="1" t="s">
        <v>130</v>
      </c>
      <c r="L63" s="1">
        <v>17295.119989350438</v>
      </c>
    </row>
    <row r="64" spans="1:12" x14ac:dyDescent="0.25">
      <c r="A64" s="1" t="s">
        <v>73</v>
      </c>
      <c r="B64" s="59">
        <v>35787</v>
      </c>
      <c r="C64" s="57">
        <f>YEAR(表_查询来自_northwind3[[#This Row],[订购日期]])</f>
        <v>1997</v>
      </c>
      <c r="D64" s="1">
        <v>190</v>
      </c>
      <c r="G64" s="1" t="s">
        <v>134</v>
      </c>
      <c r="K64" s="1" t="s">
        <v>131</v>
      </c>
      <c r="L64" s="1">
        <v>5261.0999802947044</v>
      </c>
    </row>
    <row r="65" spans="1:12" x14ac:dyDescent="0.25">
      <c r="A65" s="1" t="s">
        <v>73</v>
      </c>
      <c r="B65" s="59">
        <v>35795</v>
      </c>
      <c r="C65" s="57">
        <f>YEAR(表_查询来自_northwind3[[#This Row],[订购日期]])</f>
        <v>1997</v>
      </c>
      <c r="D65" s="1">
        <v>285</v>
      </c>
      <c r="G65" s="1" t="s">
        <v>135</v>
      </c>
      <c r="K65" s="1" t="s">
        <v>132</v>
      </c>
      <c r="L65" s="1">
        <v>15992.919981928169</v>
      </c>
    </row>
    <row r="66" spans="1:12" x14ac:dyDescent="0.25">
      <c r="A66" s="1" t="s">
        <v>73</v>
      </c>
      <c r="B66" s="59">
        <v>35800</v>
      </c>
      <c r="C66" s="57">
        <f>YEAR(表_查询来自_northwind3[[#This Row],[订购日期]])</f>
        <v>1998</v>
      </c>
      <c r="D66" s="1">
        <v>182.39999932050705</v>
      </c>
      <c r="G66" s="1" t="s">
        <v>136</v>
      </c>
      <c r="K66" s="1" t="s">
        <v>133</v>
      </c>
      <c r="L66" s="1">
        <v>6453.3</v>
      </c>
    </row>
    <row r="67" spans="1:12" x14ac:dyDescent="0.25">
      <c r="A67" s="1" t="s">
        <v>73</v>
      </c>
      <c r="B67" s="59">
        <v>35808</v>
      </c>
      <c r="C67" s="57">
        <f>YEAR(表_查询来自_northwind3[[#This Row],[订购日期]])</f>
        <v>1998</v>
      </c>
      <c r="D67" s="1">
        <v>190</v>
      </c>
      <c r="G67" s="1" t="s">
        <v>137</v>
      </c>
      <c r="K67" s="1" t="s">
        <v>134</v>
      </c>
      <c r="L67" s="1">
        <v>10696.192497195676</v>
      </c>
    </row>
    <row r="68" spans="1:12" x14ac:dyDescent="0.25">
      <c r="A68" s="1" t="s">
        <v>73</v>
      </c>
      <c r="B68" s="59">
        <v>35821</v>
      </c>
      <c r="C68" s="57">
        <f>YEAR(表_查询来自_northwind3[[#This Row],[订购日期]])</f>
        <v>1998</v>
      </c>
      <c r="D68" s="1">
        <v>90.249999929219484</v>
      </c>
      <c r="G68" s="1" t="s">
        <v>138</v>
      </c>
      <c r="K68" s="1" t="s">
        <v>135</v>
      </c>
      <c r="L68" s="1">
        <v>2022.9049976004287</v>
      </c>
    </row>
    <row r="69" spans="1:12" x14ac:dyDescent="0.25">
      <c r="A69" s="1" t="s">
        <v>73</v>
      </c>
      <c r="B69" s="59">
        <v>35821</v>
      </c>
      <c r="C69" s="57">
        <f>YEAR(表_查询来自_northwind3[[#This Row],[订购日期]])</f>
        <v>1998</v>
      </c>
      <c r="D69" s="1">
        <v>285</v>
      </c>
      <c r="G69" s="1" t="s">
        <v>139</v>
      </c>
      <c r="K69" s="1" t="s">
        <v>136</v>
      </c>
      <c r="L69" s="1">
        <v>17</v>
      </c>
    </row>
    <row r="70" spans="1:12" x14ac:dyDescent="0.25">
      <c r="A70" s="1" t="s">
        <v>73</v>
      </c>
      <c r="B70" s="59">
        <v>35823</v>
      </c>
      <c r="C70" s="57">
        <f>YEAR(表_查询来自_northwind3[[#This Row],[订购日期]])</f>
        <v>1998</v>
      </c>
      <c r="D70" s="1">
        <v>380</v>
      </c>
      <c r="G70" s="1" t="s">
        <v>140</v>
      </c>
      <c r="K70" s="1" t="s">
        <v>137</v>
      </c>
      <c r="L70" s="1">
        <v>1444.7999956607819</v>
      </c>
    </row>
    <row r="71" spans="1:12" x14ac:dyDescent="0.25">
      <c r="A71" s="1" t="s">
        <v>73</v>
      </c>
      <c r="B71" s="59">
        <v>35829</v>
      </c>
      <c r="C71" s="57">
        <f>YEAR(表_查询来自_northwind3[[#This Row],[订购日期]])</f>
        <v>1998</v>
      </c>
      <c r="D71" s="1">
        <v>299.25</v>
      </c>
      <c r="G71" s="1" t="s">
        <v>141</v>
      </c>
      <c r="K71" s="1" t="s">
        <v>138</v>
      </c>
      <c r="L71" s="1">
        <v>3262.5</v>
      </c>
    </row>
    <row r="72" spans="1:12" x14ac:dyDescent="0.25">
      <c r="A72" s="1" t="s">
        <v>73</v>
      </c>
      <c r="B72" s="59">
        <v>35838</v>
      </c>
      <c r="C72" s="57">
        <f>YEAR(表_查询来自_northwind3[[#This Row],[订购日期]])</f>
        <v>1998</v>
      </c>
      <c r="D72" s="1">
        <v>380</v>
      </c>
      <c r="G72" s="1" t="s">
        <v>142</v>
      </c>
      <c r="K72" s="1" t="s">
        <v>139</v>
      </c>
      <c r="L72" s="1">
        <v>4640.399996727705</v>
      </c>
    </row>
    <row r="73" spans="1:12" x14ac:dyDescent="0.25">
      <c r="A73" s="1" t="s">
        <v>73</v>
      </c>
      <c r="B73" s="59">
        <v>35842</v>
      </c>
      <c r="C73" s="57">
        <f>YEAR(表_查询来自_northwind3[[#This Row],[订购日期]])</f>
        <v>1998</v>
      </c>
      <c r="D73" s="1">
        <v>380</v>
      </c>
      <c r="G73" s="1" t="s">
        <v>143</v>
      </c>
      <c r="K73" s="1" t="s">
        <v>140</v>
      </c>
      <c r="L73" s="1">
        <v>3419.2499935626984</v>
      </c>
    </row>
    <row r="74" spans="1:12" x14ac:dyDescent="0.25">
      <c r="A74" s="1" t="s">
        <v>73</v>
      </c>
      <c r="B74" s="59">
        <v>35864</v>
      </c>
      <c r="C74" s="57">
        <f>YEAR(表_查询来自_northwind3[[#This Row],[订购日期]])</f>
        <v>1998</v>
      </c>
      <c r="D74" s="1">
        <v>161.49999886751175</v>
      </c>
      <c r="G74" s="1" t="s">
        <v>144</v>
      </c>
      <c r="K74" s="1" t="s">
        <v>141</v>
      </c>
      <c r="L74" s="1">
        <v>6863.8749955147505</v>
      </c>
    </row>
    <row r="75" spans="1:12" x14ac:dyDescent="0.25">
      <c r="A75" s="1" t="s">
        <v>73</v>
      </c>
      <c r="B75" s="59">
        <v>35886</v>
      </c>
      <c r="C75" s="57">
        <f>YEAR(表_查询来自_northwind3[[#This Row],[订购日期]])</f>
        <v>1998</v>
      </c>
      <c r="D75" s="1">
        <v>759.99999716877937</v>
      </c>
      <c r="G75" s="1" t="s">
        <v>145</v>
      </c>
      <c r="K75" s="1" t="s">
        <v>142</v>
      </c>
      <c r="L75" s="1">
        <v>6524.9999971479183</v>
      </c>
    </row>
    <row r="76" spans="1:12" x14ac:dyDescent="0.25">
      <c r="A76" s="1" t="s">
        <v>73</v>
      </c>
      <c r="B76" s="59">
        <v>35899</v>
      </c>
      <c r="C76" s="57">
        <f>YEAR(表_查询来自_northwind3[[#This Row],[订购日期]])</f>
        <v>1998</v>
      </c>
      <c r="D76" s="1">
        <v>156.75</v>
      </c>
      <c r="G76" s="1" t="s">
        <v>146</v>
      </c>
      <c r="K76" s="1" t="s">
        <v>143</v>
      </c>
      <c r="L76" s="1">
        <v>179.70000000670552</v>
      </c>
    </row>
    <row r="77" spans="1:12" x14ac:dyDescent="0.25">
      <c r="A77" s="1" t="s">
        <v>73</v>
      </c>
      <c r="B77" s="59">
        <v>35902</v>
      </c>
      <c r="C77" s="57">
        <f>YEAR(表_查询来自_northwind3[[#This Row],[订购日期]])</f>
        <v>1998</v>
      </c>
      <c r="D77" s="1">
        <v>1425</v>
      </c>
      <c r="G77" s="1" t="s">
        <v>147</v>
      </c>
      <c r="K77" s="1" t="s">
        <v>144</v>
      </c>
      <c r="L77" s="1">
        <v>400</v>
      </c>
    </row>
    <row r="78" spans="1:12" x14ac:dyDescent="0.25">
      <c r="A78" s="1" t="s">
        <v>73</v>
      </c>
      <c r="B78" s="59">
        <v>35907</v>
      </c>
      <c r="C78" s="57">
        <f>YEAR(表_查询来自_northwind3[[#This Row],[订购日期]])</f>
        <v>1998</v>
      </c>
      <c r="D78" s="1">
        <v>455.99999830126762</v>
      </c>
      <c r="K78" s="1" t="s">
        <v>145</v>
      </c>
      <c r="L78" s="1">
        <v>2953.5249966625124</v>
      </c>
    </row>
    <row r="79" spans="1:12" x14ac:dyDescent="0.25">
      <c r="A79" s="1" t="s">
        <v>73</v>
      </c>
      <c r="B79" s="59">
        <v>35909</v>
      </c>
      <c r="C79" s="57">
        <f>YEAR(表_查询来自_northwind3[[#This Row],[订购日期]])</f>
        <v>1998</v>
      </c>
      <c r="D79" s="1">
        <v>151.99999943375587</v>
      </c>
      <c r="K79" s="1" t="s">
        <v>146</v>
      </c>
      <c r="L79" s="1">
        <v>6335.0999882519245</v>
      </c>
    </row>
    <row r="80" spans="1:12" x14ac:dyDescent="0.25">
      <c r="A80" s="1" t="s">
        <v>73</v>
      </c>
      <c r="B80" s="59">
        <v>35920</v>
      </c>
      <c r="C80" s="57">
        <f>YEAR(表_查询来自_northwind3[[#This Row],[订购日期]])</f>
        <v>1998</v>
      </c>
      <c r="D80" s="1">
        <v>322.9999977350235</v>
      </c>
      <c r="K80" s="1" t="s">
        <v>147</v>
      </c>
      <c r="L80" s="1">
        <v>3734.2499973364174</v>
      </c>
    </row>
    <row r="81" spans="1:4" x14ac:dyDescent="0.25">
      <c r="A81" s="1" t="s">
        <v>73</v>
      </c>
      <c r="B81" s="59">
        <v>35920</v>
      </c>
      <c r="C81" s="57">
        <f>YEAR(表_查询来自_northwind3[[#This Row],[订购日期]])</f>
        <v>1998</v>
      </c>
      <c r="D81" s="1">
        <v>152</v>
      </c>
    </row>
    <row r="82" spans="1:4" x14ac:dyDescent="0.25">
      <c r="A82" s="1" t="s">
        <v>73</v>
      </c>
      <c r="B82" s="59">
        <v>35921</v>
      </c>
      <c r="C82" s="57">
        <f>YEAR(表_查询来自_northwind3[[#This Row],[订购日期]])</f>
        <v>1998</v>
      </c>
      <c r="D82" s="1">
        <v>161.49999886751175</v>
      </c>
    </row>
    <row r="83" spans="1:4" x14ac:dyDescent="0.25">
      <c r="A83" s="1" t="s">
        <v>73</v>
      </c>
      <c r="B83" s="59">
        <v>35921</v>
      </c>
      <c r="C83" s="57">
        <f>YEAR(表_查询来自_northwind3[[#This Row],[订购日期]])</f>
        <v>1998</v>
      </c>
      <c r="D83" s="1">
        <v>364.7999986410141</v>
      </c>
    </row>
    <row r="84" spans="1:4" x14ac:dyDescent="0.25">
      <c r="A84" s="1" t="s">
        <v>74</v>
      </c>
      <c r="B84" s="59">
        <v>35303</v>
      </c>
      <c r="C84" s="57">
        <f>YEAR(表_查询来自_northwind3[[#This Row],[订购日期]])</f>
        <v>1996</v>
      </c>
      <c r="D84" s="1">
        <v>240</v>
      </c>
    </row>
    <row r="85" spans="1:4" x14ac:dyDescent="0.25">
      <c r="A85" s="1" t="s">
        <v>74</v>
      </c>
      <c r="B85" s="59">
        <v>35436</v>
      </c>
      <c r="C85" s="57">
        <f>YEAR(表_查询来自_northwind3[[#This Row],[订购日期]])</f>
        <v>1997</v>
      </c>
      <c r="D85" s="1">
        <v>400</v>
      </c>
    </row>
    <row r="86" spans="1:4" x14ac:dyDescent="0.25">
      <c r="A86" s="1" t="s">
        <v>74</v>
      </c>
      <c r="B86" s="59">
        <v>35514</v>
      </c>
      <c r="C86" s="57">
        <f>YEAR(表_查询来自_northwind3[[#This Row],[订购日期]])</f>
        <v>1997</v>
      </c>
      <c r="D86" s="1">
        <v>143.99999976158142</v>
      </c>
    </row>
    <row r="87" spans="1:4" x14ac:dyDescent="0.25">
      <c r="A87" s="1" t="s">
        <v>74</v>
      </c>
      <c r="B87" s="59">
        <v>35569</v>
      </c>
      <c r="C87" s="57">
        <f>YEAR(表_查询来自_northwind3[[#This Row],[订购日期]])</f>
        <v>1997</v>
      </c>
      <c r="D87" s="1">
        <v>600</v>
      </c>
    </row>
    <row r="88" spans="1:4" x14ac:dyDescent="0.25">
      <c r="A88" s="1" t="s">
        <v>74</v>
      </c>
      <c r="B88" s="59">
        <v>35618</v>
      </c>
      <c r="C88" s="57">
        <f>YEAR(表_查询来自_northwind3[[#This Row],[订购日期]])</f>
        <v>1997</v>
      </c>
      <c r="D88" s="1">
        <v>140</v>
      </c>
    </row>
    <row r="89" spans="1:4" x14ac:dyDescent="0.25">
      <c r="A89" s="1" t="s">
        <v>74</v>
      </c>
      <c r="B89" s="59">
        <v>35716</v>
      </c>
      <c r="C89" s="57">
        <f>YEAR(表_查询来自_northwind3[[#This Row],[订购日期]])</f>
        <v>1997</v>
      </c>
      <c r="D89" s="1">
        <v>60</v>
      </c>
    </row>
    <row r="90" spans="1:4" x14ac:dyDescent="0.25">
      <c r="A90" s="1" t="s">
        <v>74</v>
      </c>
      <c r="B90" s="59">
        <v>35748</v>
      </c>
      <c r="C90" s="57">
        <f>YEAR(表_查询来自_northwind3[[#This Row],[订购日期]])</f>
        <v>1997</v>
      </c>
      <c r="D90" s="1">
        <v>200</v>
      </c>
    </row>
    <row r="91" spans="1:4" x14ac:dyDescent="0.25">
      <c r="A91" s="1" t="s">
        <v>74</v>
      </c>
      <c r="B91" s="59">
        <v>35767</v>
      </c>
      <c r="C91" s="57">
        <f>YEAR(表_查询来自_northwind3[[#This Row],[订购日期]])</f>
        <v>1997</v>
      </c>
      <c r="D91" s="1">
        <v>179.99999970197678</v>
      </c>
    </row>
    <row r="92" spans="1:4" x14ac:dyDescent="0.25">
      <c r="A92" s="1" t="s">
        <v>74</v>
      </c>
      <c r="B92" s="59">
        <v>35818</v>
      </c>
      <c r="C92" s="57">
        <f>YEAR(表_查询来自_northwind3[[#This Row],[订购日期]])</f>
        <v>1998</v>
      </c>
      <c r="D92" s="1">
        <v>490</v>
      </c>
    </row>
    <row r="93" spans="1:4" x14ac:dyDescent="0.25">
      <c r="A93" s="1" t="s">
        <v>74</v>
      </c>
      <c r="B93" s="59">
        <v>35823</v>
      </c>
      <c r="C93" s="57">
        <f>YEAR(表_查询来自_northwind3[[#This Row],[订购日期]])</f>
        <v>1998</v>
      </c>
      <c r="D93" s="1">
        <v>300</v>
      </c>
    </row>
    <row r="94" spans="1:4" x14ac:dyDescent="0.25">
      <c r="A94" s="1" t="s">
        <v>74</v>
      </c>
      <c r="B94" s="59">
        <v>35898</v>
      </c>
      <c r="C94" s="57">
        <f>YEAR(表_查询来自_northwind3[[#This Row],[订购日期]])</f>
        <v>1998</v>
      </c>
      <c r="D94" s="1">
        <v>250</v>
      </c>
    </row>
    <row r="95" spans="1:4" x14ac:dyDescent="0.25">
      <c r="A95" s="1" t="s">
        <v>74</v>
      </c>
      <c r="B95" s="59">
        <v>35921</v>
      </c>
      <c r="C95" s="57">
        <f>YEAR(表_查询来自_northwind3[[#This Row],[订购日期]])</f>
        <v>1998</v>
      </c>
      <c r="D95" s="1">
        <v>40</v>
      </c>
    </row>
    <row r="96" spans="1:4" x14ac:dyDescent="0.25">
      <c r="A96" s="1" t="s">
        <v>75</v>
      </c>
      <c r="B96" s="59">
        <v>35327</v>
      </c>
      <c r="C96" s="57">
        <f>YEAR(表_查询来自_northwind3[[#This Row],[订购日期]])</f>
        <v>1996</v>
      </c>
      <c r="D96" s="1">
        <v>352</v>
      </c>
    </row>
    <row r="97" spans="1:4" x14ac:dyDescent="0.25">
      <c r="A97" s="1" t="s">
        <v>75</v>
      </c>
      <c r="B97" s="59">
        <v>35348</v>
      </c>
      <c r="C97" s="57">
        <f>YEAR(表_查询来自_northwind3[[#This Row],[订购日期]])</f>
        <v>1996</v>
      </c>
      <c r="D97" s="1">
        <v>422.4</v>
      </c>
    </row>
    <row r="98" spans="1:4" x14ac:dyDescent="0.25">
      <c r="A98" s="1" t="s">
        <v>75</v>
      </c>
      <c r="B98" s="59">
        <v>35361</v>
      </c>
      <c r="C98" s="57">
        <f>YEAR(表_查询来自_northwind3[[#This Row],[订购日期]])</f>
        <v>1996</v>
      </c>
      <c r="D98" s="1">
        <v>285.11999952793121</v>
      </c>
    </row>
    <row r="99" spans="1:4" x14ac:dyDescent="0.25">
      <c r="A99" s="1" t="s">
        <v>75</v>
      </c>
      <c r="B99" s="59">
        <v>35366</v>
      </c>
      <c r="C99" s="57">
        <f>YEAR(表_查询来自_northwind3[[#This Row],[订购日期]])</f>
        <v>1996</v>
      </c>
      <c r="D99" s="1">
        <v>176</v>
      </c>
    </row>
    <row r="100" spans="1:4" x14ac:dyDescent="0.25">
      <c r="A100" s="1" t="s">
        <v>75</v>
      </c>
      <c r="B100" s="59">
        <v>35370</v>
      </c>
      <c r="C100" s="57">
        <f>YEAR(表_查询来自_northwind3[[#This Row],[订购日期]])</f>
        <v>1996</v>
      </c>
      <c r="D100" s="1">
        <v>616</v>
      </c>
    </row>
    <row r="101" spans="1:4" x14ac:dyDescent="0.25">
      <c r="A101" s="1" t="s">
        <v>75</v>
      </c>
      <c r="B101" s="59">
        <v>35493</v>
      </c>
      <c r="C101" s="57">
        <f>YEAR(表_查询来自_northwind3[[#This Row],[订购日期]])</f>
        <v>1997</v>
      </c>
      <c r="D101" s="1">
        <v>225.27999916076661</v>
      </c>
    </row>
    <row r="102" spans="1:4" x14ac:dyDescent="0.25">
      <c r="A102" s="1" t="s">
        <v>75</v>
      </c>
      <c r="B102" s="59">
        <v>35538</v>
      </c>
      <c r="C102" s="57">
        <f>YEAR(表_查询来自_northwind3[[#This Row],[订购日期]])</f>
        <v>1997</v>
      </c>
      <c r="D102" s="1">
        <v>934.99999344348907</v>
      </c>
    </row>
    <row r="103" spans="1:4" x14ac:dyDescent="0.25">
      <c r="A103" s="1" t="s">
        <v>75</v>
      </c>
      <c r="B103" s="59">
        <v>35555</v>
      </c>
      <c r="C103" s="57">
        <f>YEAR(表_查询来自_northwind3[[#This Row],[订购日期]])</f>
        <v>1997</v>
      </c>
      <c r="D103" s="1">
        <v>989.99999836087227</v>
      </c>
    </row>
    <row r="104" spans="1:4" x14ac:dyDescent="0.25">
      <c r="A104" s="1" t="s">
        <v>75</v>
      </c>
      <c r="B104" s="59">
        <v>35562</v>
      </c>
      <c r="C104" s="57">
        <f>YEAR(表_查询来自_northwind3[[#This Row],[订购日期]])</f>
        <v>1997</v>
      </c>
      <c r="D104" s="1">
        <v>1044.9999991804361</v>
      </c>
    </row>
    <row r="105" spans="1:4" x14ac:dyDescent="0.25">
      <c r="A105" s="1" t="s">
        <v>75</v>
      </c>
      <c r="B105" s="59">
        <v>35633</v>
      </c>
      <c r="C105" s="57">
        <f>YEAR(表_查询来自_northwind3[[#This Row],[订购日期]])</f>
        <v>1997</v>
      </c>
      <c r="D105" s="1">
        <v>351.99999868869781</v>
      </c>
    </row>
    <row r="106" spans="1:4" x14ac:dyDescent="0.25">
      <c r="A106" s="1" t="s">
        <v>75</v>
      </c>
      <c r="B106" s="59">
        <v>35660</v>
      </c>
      <c r="C106" s="57">
        <f>YEAR(表_查询来自_northwind3[[#This Row],[订购日期]])</f>
        <v>1997</v>
      </c>
      <c r="D106" s="1">
        <v>197.99999967217445</v>
      </c>
    </row>
    <row r="107" spans="1:4" x14ac:dyDescent="0.25">
      <c r="A107" s="1" t="s">
        <v>75</v>
      </c>
      <c r="B107" s="59">
        <v>35661</v>
      </c>
      <c r="C107" s="57">
        <f>YEAR(表_查询来自_northwind3[[#This Row],[订购日期]])</f>
        <v>1997</v>
      </c>
      <c r="D107" s="1">
        <v>550</v>
      </c>
    </row>
    <row r="108" spans="1:4" x14ac:dyDescent="0.25">
      <c r="A108" s="1" t="s">
        <v>75</v>
      </c>
      <c r="B108" s="59">
        <v>35675</v>
      </c>
      <c r="C108" s="57">
        <f>YEAR(表_查询来自_northwind3[[#This Row],[订购日期]])</f>
        <v>1997</v>
      </c>
      <c r="D108" s="1">
        <v>237.59999960660934</v>
      </c>
    </row>
    <row r="109" spans="1:4" x14ac:dyDescent="0.25">
      <c r="A109" s="1" t="s">
        <v>75</v>
      </c>
      <c r="B109" s="59">
        <v>35717</v>
      </c>
      <c r="C109" s="57">
        <f>YEAR(表_查询来自_northwind3[[#This Row],[订购日期]])</f>
        <v>1997</v>
      </c>
      <c r="D109" s="1">
        <v>132</v>
      </c>
    </row>
    <row r="110" spans="1:4" x14ac:dyDescent="0.25">
      <c r="A110" s="1" t="s">
        <v>75</v>
      </c>
      <c r="B110" s="59">
        <v>35737</v>
      </c>
      <c r="C110" s="57">
        <f>YEAR(表_查询来自_northwind3[[#This Row],[订购日期]])</f>
        <v>1997</v>
      </c>
      <c r="D110" s="1">
        <v>550</v>
      </c>
    </row>
    <row r="111" spans="1:4" x14ac:dyDescent="0.25">
      <c r="A111" s="1" t="s">
        <v>75</v>
      </c>
      <c r="B111" s="59">
        <v>35817</v>
      </c>
      <c r="C111" s="57">
        <f>YEAR(表_查询来自_northwind3[[#This Row],[订购日期]])</f>
        <v>1998</v>
      </c>
      <c r="D111" s="1">
        <v>462</v>
      </c>
    </row>
    <row r="112" spans="1:4" x14ac:dyDescent="0.25">
      <c r="A112" s="1" t="s">
        <v>75</v>
      </c>
      <c r="B112" s="59">
        <v>35852</v>
      </c>
      <c r="C112" s="57">
        <f>YEAR(表_查询来自_northwind3[[#This Row],[订购日期]])</f>
        <v>1998</v>
      </c>
      <c r="D112" s="1">
        <v>495</v>
      </c>
    </row>
    <row r="113" spans="1:4" x14ac:dyDescent="0.25">
      <c r="A113" s="1" t="s">
        <v>75</v>
      </c>
      <c r="B113" s="59">
        <v>35870</v>
      </c>
      <c r="C113" s="57">
        <f>YEAR(表_查询来自_northwind3[[#This Row],[订购日期]])</f>
        <v>1998</v>
      </c>
      <c r="D113" s="1">
        <v>110</v>
      </c>
    </row>
    <row r="114" spans="1:4" x14ac:dyDescent="0.25">
      <c r="A114" s="1" t="s">
        <v>75</v>
      </c>
      <c r="B114" s="59">
        <v>35891</v>
      </c>
      <c r="C114" s="57">
        <f>YEAR(表_查询来自_northwind3[[#This Row],[订购日期]])</f>
        <v>1998</v>
      </c>
      <c r="D114" s="1">
        <v>412.5</v>
      </c>
    </row>
    <row r="115" spans="1:4" x14ac:dyDescent="0.25">
      <c r="A115" s="1" t="s">
        <v>75</v>
      </c>
      <c r="B115" s="59">
        <v>35921</v>
      </c>
      <c r="C115" s="57">
        <f>YEAR(表_查询来自_northwind3[[#This Row],[订购日期]])</f>
        <v>1998</v>
      </c>
      <c r="D115" s="1">
        <v>22</v>
      </c>
    </row>
    <row r="116" spans="1:4" x14ac:dyDescent="0.25">
      <c r="A116" s="1" t="s">
        <v>76</v>
      </c>
      <c r="B116" s="59">
        <v>35263</v>
      </c>
      <c r="C116" s="57">
        <f>YEAR(表_查询来自_northwind3[[#This Row],[订购日期]])</f>
        <v>1996</v>
      </c>
      <c r="D116" s="1">
        <v>883.99999670684338</v>
      </c>
    </row>
    <row r="117" spans="1:4" x14ac:dyDescent="0.25">
      <c r="A117" s="1" t="s">
        <v>76</v>
      </c>
      <c r="B117" s="59">
        <v>35268</v>
      </c>
      <c r="C117" s="57">
        <f>YEAR(表_查询来自_northwind3[[#This Row],[订购日期]])</f>
        <v>1996</v>
      </c>
      <c r="D117" s="1">
        <v>163.19999939203262</v>
      </c>
    </row>
    <row r="118" spans="1:4" x14ac:dyDescent="0.25">
      <c r="A118" s="1" t="s">
        <v>76</v>
      </c>
      <c r="B118" s="59">
        <v>35304</v>
      </c>
      <c r="C118" s="57">
        <f>YEAR(表_查询来自_northwind3[[#This Row],[订购日期]])</f>
        <v>1996</v>
      </c>
      <c r="D118" s="1">
        <v>340</v>
      </c>
    </row>
    <row r="119" spans="1:4" x14ac:dyDescent="0.25">
      <c r="A119" s="1" t="s">
        <v>76</v>
      </c>
      <c r="B119" s="59">
        <v>35412</v>
      </c>
      <c r="C119" s="57">
        <f>YEAR(表_查询来自_northwind3[[#This Row],[订购日期]])</f>
        <v>1996</v>
      </c>
      <c r="D119" s="1">
        <v>544</v>
      </c>
    </row>
    <row r="120" spans="1:4" x14ac:dyDescent="0.25">
      <c r="A120" s="1" t="s">
        <v>76</v>
      </c>
      <c r="B120" s="59">
        <v>35660</v>
      </c>
      <c r="C120" s="57">
        <f>YEAR(表_查询来自_northwind3[[#This Row],[订购日期]])</f>
        <v>1997</v>
      </c>
      <c r="D120" s="1">
        <v>288.22499952279031</v>
      </c>
    </row>
    <row r="121" spans="1:4" x14ac:dyDescent="0.25">
      <c r="A121" s="1" t="s">
        <v>76</v>
      </c>
      <c r="B121" s="59">
        <v>35720</v>
      </c>
      <c r="C121" s="57">
        <f>YEAR(表_查询来自_northwind3[[#This Row],[订购日期]])</f>
        <v>1997</v>
      </c>
      <c r="D121" s="1">
        <v>85.4</v>
      </c>
    </row>
    <row r="122" spans="1:4" x14ac:dyDescent="0.25">
      <c r="A122" s="1" t="s">
        <v>76</v>
      </c>
      <c r="B122" s="59">
        <v>35818</v>
      </c>
      <c r="C122" s="57">
        <f>YEAR(表_查询来自_northwind3[[#This Row],[订购日期]])</f>
        <v>1998</v>
      </c>
      <c r="D122" s="1">
        <v>640.5</v>
      </c>
    </row>
    <row r="123" spans="1:4" x14ac:dyDescent="0.25">
      <c r="A123" s="1" t="s">
        <v>76</v>
      </c>
      <c r="B123" s="59">
        <v>35872</v>
      </c>
      <c r="C123" s="57">
        <f>YEAR(表_查询来自_northwind3[[#This Row],[订购日期]])</f>
        <v>1998</v>
      </c>
      <c r="D123" s="1">
        <v>427</v>
      </c>
    </row>
    <row r="124" spans="1:4" x14ac:dyDescent="0.25">
      <c r="A124" s="1" t="s">
        <v>76</v>
      </c>
      <c r="B124" s="59">
        <v>35902</v>
      </c>
      <c r="C124" s="57">
        <f>YEAR(表_查询来自_northwind3[[#This Row],[订购日期]])</f>
        <v>1998</v>
      </c>
      <c r="D124" s="1">
        <v>1494.5</v>
      </c>
    </row>
    <row r="125" spans="1:4" x14ac:dyDescent="0.25">
      <c r="A125" s="1" t="s">
        <v>76</v>
      </c>
      <c r="B125" s="59">
        <v>35909</v>
      </c>
      <c r="C125" s="57">
        <f>YEAR(表_查询来自_northwind3[[#This Row],[订购日期]])</f>
        <v>1998</v>
      </c>
      <c r="D125" s="1">
        <v>480.375</v>
      </c>
    </row>
    <row r="126" spans="1:4" x14ac:dyDescent="0.25">
      <c r="A126" s="1" t="s">
        <v>77</v>
      </c>
      <c r="B126" s="59">
        <v>35327</v>
      </c>
      <c r="C126" s="57">
        <f>YEAR(表_查询来自_northwind3[[#This Row],[订购日期]])</f>
        <v>1996</v>
      </c>
      <c r="D126" s="1">
        <v>600</v>
      </c>
    </row>
    <row r="127" spans="1:4" x14ac:dyDescent="0.25">
      <c r="A127" s="1" t="s">
        <v>77</v>
      </c>
      <c r="B127" s="59">
        <v>35347</v>
      </c>
      <c r="C127" s="57">
        <f>YEAR(表_查询来自_northwind3[[#This Row],[订购日期]])</f>
        <v>1996</v>
      </c>
      <c r="D127" s="1">
        <v>120</v>
      </c>
    </row>
    <row r="128" spans="1:4" x14ac:dyDescent="0.25">
      <c r="A128" s="1" t="s">
        <v>77</v>
      </c>
      <c r="B128" s="59">
        <v>35643</v>
      </c>
      <c r="C128" s="57">
        <f>YEAR(表_查询来自_northwind3[[#This Row],[订购日期]])</f>
        <v>1997</v>
      </c>
      <c r="D128" s="1">
        <v>1750</v>
      </c>
    </row>
    <row r="129" spans="1:4" x14ac:dyDescent="0.25">
      <c r="A129" s="1" t="s">
        <v>77</v>
      </c>
      <c r="B129" s="59">
        <v>35741</v>
      </c>
      <c r="C129" s="57">
        <f>YEAR(表_查询来自_northwind3[[#This Row],[订购日期]])</f>
        <v>1997</v>
      </c>
      <c r="D129" s="1">
        <v>750</v>
      </c>
    </row>
    <row r="130" spans="1:4" x14ac:dyDescent="0.25">
      <c r="A130" s="1" t="s">
        <v>77</v>
      </c>
      <c r="B130" s="59">
        <v>35808</v>
      </c>
      <c r="C130" s="57">
        <f>YEAR(表_查询来自_northwind3[[#This Row],[订购日期]])</f>
        <v>1998</v>
      </c>
      <c r="D130" s="1">
        <v>150</v>
      </c>
    </row>
    <row r="131" spans="1:4" x14ac:dyDescent="0.25">
      <c r="A131" s="1" t="s">
        <v>77</v>
      </c>
      <c r="B131" s="59">
        <v>35831</v>
      </c>
      <c r="C131" s="57">
        <f>YEAR(表_查询来自_northwind3[[#This Row],[订购日期]])</f>
        <v>1998</v>
      </c>
      <c r="D131" s="1">
        <v>1187.4999990686774</v>
      </c>
    </row>
    <row r="132" spans="1:4" x14ac:dyDescent="0.25">
      <c r="A132" s="1" t="s">
        <v>77</v>
      </c>
      <c r="B132" s="59">
        <v>35863</v>
      </c>
      <c r="C132" s="57">
        <f>YEAR(表_查询来自_northwind3[[#This Row],[订购日期]])</f>
        <v>1998</v>
      </c>
      <c r="D132" s="1">
        <v>500</v>
      </c>
    </row>
    <row r="133" spans="1:4" x14ac:dyDescent="0.25">
      <c r="A133" s="1" t="s">
        <v>77</v>
      </c>
      <c r="B133" s="59">
        <v>35867</v>
      </c>
      <c r="C133" s="57">
        <f>YEAR(表_查询来自_northwind3[[#This Row],[订购日期]])</f>
        <v>1998</v>
      </c>
      <c r="D133" s="1">
        <v>300</v>
      </c>
    </row>
    <row r="134" spans="1:4" x14ac:dyDescent="0.25">
      <c r="A134" s="1" t="s">
        <v>77</v>
      </c>
      <c r="B134" s="59">
        <v>35870</v>
      </c>
      <c r="C134" s="57">
        <f>YEAR(表_查询来自_northwind3[[#This Row],[订购日期]])</f>
        <v>1998</v>
      </c>
      <c r="D134" s="1">
        <v>379.99999970197678</v>
      </c>
    </row>
    <row r="135" spans="1:4" x14ac:dyDescent="0.25">
      <c r="A135" s="1" t="s">
        <v>77</v>
      </c>
      <c r="B135" s="59">
        <v>35885</v>
      </c>
      <c r="C135" s="57">
        <f>YEAR(表_查询来自_northwind3[[#This Row],[订购日期]])</f>
        <v>1998</v>
      </c>
      <c r="D135" s="1">
        <v>1000</v>
      </c>
    </row>
    <row r="136" spans="1:4" x14ac:dyDescent="0.25">
      <c r="A136" s="1" t="s">
        <v>77</v>
      </c>
      <c r="B136" s="59">
        <v>35921</v>
      </c>
      <c r="C136" s="57">
        <f>YEAR(表_查询来自_northwind3[[#This Row],[订购日期]])</f>
        <v>1998</v>
      </c>
      <c r="D136" s="1">
        <v>375</v>
      </c>
    </row>
    <row r="137" spans="1:4" x14ac:dyDescent="0.25">
      <c r="A137" s="1" t="s">
        <v>77</v>
      </c>
      <c r="B137" s="59">
        <v>35921</v>
      </c>
      <c r="C137" s="57">
        <f>YEAR(表_查询来自_northwind3[[#This Row],[订购日期]])</f>
        <v>1998</v>
      </c>
      <c r="D137" s="1">
        <v>24.500000011175871</v>
      </c>
    </row>
    <row r="138" spans="1:4" x14ac:dyDescent="0.25">
      <c r="A138" s="1" t="s">
        <v>78</v>
      </c>
      <c r="B138" s="59">
        <v>35268</v>
      </c>
      <c r="C138" s="57">
        <f>YEAR(表_查询来自_northwind3[[#This Row],[订购日期]])</f>
        <v>1996</v>
      </c>
      <c r="D138" s="1">
        <v>360</v>
      </c>
    </row>
    <row r="139" spans="1:4" x14ac:dyDescent="0.25">
      <c r="A139" s="1" t="s">
        <v>78</v>
      </c>
      <c r="B139" s="59">
        <v>35416</v>
      </c>
      <c r="C139" s="57">
        <f>YEAR(表_查询来自_northwind3[[#This Row],[订购日期]])</f>
        <v>1996</v>
      </c>
      <c r="D139" s="1">
        <v>191.99999928474426</v>
      </c>
    </row>
    <row r="140" spans="1:4" x14ac:dyDescent="0.25">
      <c r="A140" s="1" t="s">
        <v>78</v>
      </c>
      <c r="B140" s="59">
        <v>35488</v>
      </c>
      <c r="C140" s="57">
        <f>YEAR(表_查询来自_northwind3[[#This Row],[订购日期]])</f>
        <v>1997</v>
      </c>
      <c r="D140" s="1">
        <v>364.79999971389771</v>
      </c>
    </row>
    <row r="141" spans="1:4" x14ac:dyDescent="0.25">
      <c r="A141" s="1" t="s">
        <v>78</v>
      </c>
      <c r="B141" s="59">
        <v>35500</v>
      </c>
      <c r="C141" s="57">
        <f>YEAR(表_查询来自_northwind3[[#This Row],[订购日期]])</f>
        <v>1997</v>
      </c>
      <c r="D141" s="1">
        <v>720</v>
      </c>
    </row>
    <row r="142" spans="1:4" x14ac:dyDescent="0.25">
      <c r="A142" s="1" t="s">
        <v>78</v>
      </c>
      <c r="B142" s="59">
        <v>35538</v>
      </c>
      <c r="C142" s="57">
        <f>YEAR(表_查询来自_northwind3[[#This Row],[订购日期]])</f>
        <v>1997</v>
      </c>
      <c r="D142" s="1">
        <v>1274.9999910593033</v>
      </c>
    </row>
    <row r="143" spans="1:4" x14ac:dyDescent="0.25">
      <c r="A143" s="1" t="s">
        <v>78</v>
      </c>
      <c r="B143" s="59">
        <v>35573</v>
      </c>
      <c r="C143" s="57">
        <f>YEAR(表_查询来自_northwind3[[#This Row],[订购日期]])</f>
        <v>1997</v>
      </c>
      <c r="D143" s="1">
        <v>300</v>
      </c>
    </row>
    <row r="144" spans="1:4" x14ac:dyDescent="0.25">
      <c r="A144" s="1" t="s">
        <v>78</v>
      </c>
      <c r="B144" s="59">
        <v>35618</v>
      </c>
      <c r="C144" s="57">
        <f>YEAR(表_查询来自_northwind3[[#This Row],[订购日期]])</f>
        <v>1997</v>
      </c>
      <c r="D144" s="1">
        <v>300</v>
      </c>
    </row>
    <row r="145" spans="1:4" x14ac:dyDescent="0.25">
      <c r="A145" s="1" t="s">
        <v>78</v>
      </c>
      <c r="B145" s="59">
        <v>35633</v>
      </c>
      <c r="C145" s="57">
        <f>YEAR(表_查询来自_northwind3[[#This Row],[订购日期]])</f>
        <v>1997</v>
      </c>
      <c r="D145" s="1">
        <v>1350</v>
      </c>
    </row>
    <row r="146" spans="1:4" x14ac:dyDescent="0.25">
      <c r="A146" s="1" t="s">
        <v>78</v>
      </c>
      <c r="B146" s="59">
        <v>35657</v>
      </c>
      <c r="C146" s="57">
        <f>YEAR(表_查询来自_northwind3[[#This Row],[订购日期]])</f>
        <v>1997</v>
      </c>
      <c r="D146" s="1">
        <v>1050</v>
      </c>
    </row>
    <row r="147" spans="1:4" x14ac:dyDescent="0.25">
      <c r="A147" s="1" t="s">
        <v>78</v>
      </c>
      <c r="B147" s="59">
        <v>35709</v>
      </c>
      <c r="C147" s="57">
        <f>YEAR(表_查询来自_northwind3[[#This Row],[订购日期]])</f>
        <v>1997</v>
      </c>
      <c r="D147" s="1">
        <v>2700</v>
      </c>
    </row>
    <row r="148" spans="1:4" x14ac:dyDescent="0.25">
      <c r="A148" s="1" t="s">
        <v>78</v>
      </c>
      <c r="B148" s="59">
        <v>35769</v>
      </c>
      <c r="C148" s="57">
        <f>YEAR(表_查询来自_northwind3[[#This Row],[订购日期]])</f>
        <v>1997</v>
      </c>
      <c r="D148" s="1">
        <v>1050</v>
      </c>
    </row>
    <row r="149" spans="1:4" x14ac:dyDescent="0.25">
      <c r="A149" s="1" t="s">
        <v>78</v>
      </c>
      <c r="B149" s="59">
        <v>35786</v>
      </c>
      <c r="C149" s="57">
        <f>YEAR(表_查询来自_northwind3[[#This Row],[订购日期]])</f>
        <v>1997</v>
      </c>
      <c r="D149" s="1">
        <v>76.499999463558197</v>
      </c>
    </row>
    <row r="150" spans="1:4" x14ac:dyDescent="0.25">
      <c r="A150" s="1" t="s">
        <v>78</v>
      </c>
      <c r="B150" s="59">
        <v>35810</v>
      </c>
      <c r="C150" s="57">
        <f>YEAR(表_查询来自_northwind3[[#This Row],[订购日期]])</f>
        <v>1998</v>
      </c>
      <c r="D150" s="1">
        <v>539.99999910593033</v>
      </c>
    </row>
    <row r="151" spans="1:4" x14ac:dyDescent="0.25">
      <c r="A151" s="1" t="s">
        <v>78</v>
      </c>
      <c r="B151" s="59">
        <v>35824</v>
      </c>
      <c r="C151" s="57">
        <f>YEAR(表_查询来自_northwind3[[#This Row],[订购日期]])</f>
        <v>1998</v>
      </c>
      <c r="D151" s="1">
        <v>150</v>
      </c>
    </row>
    <row r="152" spans="1:4" x14ac:dyDescent="0.25">
      <c r="A152" s="1" t="s">
        <v>78</v>
      </c>
      <c r="B152" s="59">
        <v>35852</v>
      </c>
      <c r="C152" s="57">
        <f>YEAR(表_查询来自_northwind3[[#This Row],[订购日期]])</f>
        <v>1998</v>
      </c>
      <c r="D152" s="1">
        <v>569.99999955296516</v>
      </c>
    </row>
    <row r="153" spans="1:4" x14ac:dyDescent="0.25">
      <c r="A153" s="1" t="s">
        <v>78</v>
      </c>
      <c r="B153" s="59">
        <v>35852</v>
      </c>
      <c r="C153" s="57">
        <f>YEAR(表_查询来自_northwind3[[#This Row],[订购日期]])</f>
        <v>1998</v>
      </c>
      <c r="D153" s="1">
        <v>360</v>
      </c>
    </row>
    <row r="154" spans="1:4" x14ac:dyDescent="0.25">
      <c r="A154" s="1" t="s">
        <v>78</v>
      </c>
      <c r="B154" s="59">
        <v>35865</v>
      </c>
      <c r="C154" s="57">
        <f>YEAR(表_查询来自_northwind3[[#This Row],[订购日期]])</f>
        <v>1998</v>
      </c>
      <c r="D154" s="1">
        <v>240</v>
      </c>
    </row>
    <row r="155" spans="1:4" x14ac:dyDescent="0.25">
      <c r="A155" s="1" t="s">
        <v>78</v>
      </c>
      <c r="B155" s="59">
        <v>35872</v>
      </c>
      <c r="C155" s="57">
        <f>YEAR(表_查询来自_northwind3[[#This Row],[订购日期]])</f>
        <v>1998</v>
      </c>
      <c r="D155" s="1">
        <v>180</v>
      </c>
    </row>
    <row r="156" spans="1:4" x14ac:dyDescent="0.25">
      <c r="A156" s="1" t="s">
        <v>78</v>
      </c>
      <c r="B156" s="59">
        <v>35873</v>
      </c>
      <c r="C156" s="57">
        <f>YEAR(表_查询来自_northwind3[[#This Row],[订购日期]])</f>
        <v>1998</v>
      </c>
      <c r="D156" s="1">
        <v>1350</v>
      </c>
    </row>
    <row r="157" spans="1:4" x14ac:dyDescent="0.25">
      <c r="A157" s="1" t="s">
        <v>78</v>
      </c>
      <c r="B157" s="59">
        <v>35880</v>
      </c>
      <c r="C157" s="57">
        <f>YEAR(表_查询来自_northwind3[[#This Row],[订购日期]])</f>
        <v>1998</v>
      </c>
      <c r="D157" s="1">
        <v>540</v>
      </c>
    </row>
    <row r="158" spans="1:4" x14ac:dyDescent="0.25">
      <c r="A158" s="1" t="s">
        <v>78</v>
      </c>
      <c r="B158" s="59">
        <v>35881</v>
      </c>
      <c r="C158" s="57">
        <f>YEAR(表_查询来自_northwind3[[#This Row],[订购日期]])</f>
        <v>1998</v>
      </c>
      <c r="D158" s="1">
        <v>600</v>
      </c>
    </row>
    <row r="159" spans="1:4" x14ac:dyDescent="0.25">
      <c r="A159" s="1" t="s">
        <v>78</v>
      </c>
      <c r="B159" s="59">
        <v>35885</v>
      </c>
      <c r="C159" s="57">
        <f>YEAR(表_查询来自_northwind3[[#This Row],[订购日期]])</f>
        <v>1998</v>
      </c>
      <c r="D159" s="1">
        <v>1800</v>
      </c>
    </row>
    <row r="160" spans="1:4" x14ac:dyDescent="0.25">
      <c r="A160" s="1" t="s">
        <v>78</v>
      </c>
      <c r="B160" s="59">
        <v>35885</v>
      </c>
      <c r="C160" s="57">
        <f>YEAR(表_查询来自_northwind3[[#This Row],[订购日期]])</f>
        <v>1998</v>
      </c>
      <c r="D160" s="1">
        <v>1800</v>
      </c>
    </row>
    <row r="161" spans="1:4" x14ac:dyDescent="0.25">
      <c r="A161" s="1" t="s">
        <v>78</v>
      </c>
      <c r="B161" s="59">
        <v>35891</v>
      </c>
      <c r="C161" s="57">
        <f>YEAR(表_查询来自_northwind3[[#This Row],[订购日期]])</f>
        <v>1998</v>
      </c>
      <c r="D161" s="1">
        <v>1800</v>
      </c>
    </row>
    <row r="162" spans="1:4" x14ac:dyDescent="0.25">
      <c r="A162" s="1" t="s">
        <v>78</v>
      </c>
      <c r="B162" s="59">
        <v>35894</v>
      </c>
      <c r="C162" s="57">
        <f>YEAR(表_查询来自_northwind3[[#This Row],[订购日期]])</f>
        <v>1998</v>
      </c>
      <c r="D162" s="1">
        <v>600</v>
      </c>
    </row>
    <row r="163" spans="1:4" x14ac:dyDescent="0.25">
      <c r="A163" s="1" t="s">
        <v>78</v>
      </c>
      <c r="B163" s="59">
        <v>35899</v>
      </c>
      <c r="C163" s="57">
        <f>YEAR(表_查询来自_northwind3[[#This Row],[订购日期]])</f>
        <v>1998</v>
      </c>
      <c r="D163" s="1">
        <v>120</v>
      </c>
    </row>
    <row r="164" spans="1:4" x14ac:dyDescent="0.25">
      <c r="A164" s="1" t="s">
        <v>78</v>
      </c>
      <c r="B164" s="59">
        <v>35913</v>
      </c>
      <c r="C164" s="57">
        <f>YEAR(表_查询来自_northwind3[[#This Row],[订购日期]])</f>
        <v>1998</v>
      </c>
      <c r="D164" s="1">
        <v>1200</v>
      </c>
    </row>
    <row r="165" spans="1:4" x14ac:dyDescent="0.25">
      <c r="A165" s="1" t="s">
        <v>78</v>
      </c>
      <c r="B165" s="59">
        <v>35920</v>
      </c>
      <c r="C165" s="57">
        <f>YEAR(表_查询来自_northwind3[[#This Row],[订购日期]])</f>
        <v>1998</v>
      </c>
      <c r="D165" s="1">
        <v>427.49999966472387</v>
      </c>
    </row>
    <row r="166" spans="1:4" x14ac:dyDescent="0.25">
      <c r="A166" s="1" t="s">
        <v>78</v>
      </c>
      <c r="B166" s="59">
        <v>35921</v>
      </c>
      <c r="C166" s="57">
        <f>YEAR(表_查询来自_northwind3[[#This Row],[订购日期]])</f>
        <v>1998</v>
      </c>
      <c r="D166" s="1">
        <v>28.499999977648258</v>
      </c>
    </row>
    <row r="167" spans="1:4" x14ac:dyDescent="0.25">
      <c r="A167" s="1" t="s">
        <v>79</v>
      </c>
      <c r="B167" s="59">
        <v>35370</v>
      </c>
      <c r="C167" s="57">
        <f>YEAR(表_查询来自_northwind3[[#This Row],[订购日期]])</f>
        <v>1996</v>
      </c>
      <c r="D167" s="1">
        <v>1680</v>
      </c>
    </row>
    <row r="168" spans="1:4" x14ac:dyDescent="0.25">
      <c r="A168" s="1" t="s">
        <v>79</v>
      </c>
      <c r="B168" s="59">
        <v>35373</v>
      </c>
      <c r="C168" s="57">
        <f>YEAR(表_查询来自_northwind3[[#This Row],[订购日期]])</f>
        <v>1996</v>
      </c>
      <c r="D168" s="1">
        <v>2240</v>
      </c>
    </row>
    <row r="169" spans="1:4" x14ac:dyDescent="0.25">
      <c r="A169" s="1" t="s">
        <v>79</v>
      </c>
      <c r="B169" s="59">
        <v>35538</v>
      </c>
      <c r="C169" s="57">
        <f>YEAR(表_查询来自_northwind3[[#This Row],[订购日期]])</f>
        <v>1997</v>
      </c>
      <c r="D169" s="1">
        <v>339.99999761581421</v>
      </c>
    </row>
    <row r="170" spans="1:4" x14ac:dyDescent="0.25">
      <c r="A170" s="1" t="s">
        <v>79</v>
      </c>
      <c r="B170" s="59">
        <v>35550</v>
      </c>
      <c r="C170" s="57">
        <f>YEAR(表_查询来自_northwind3[[#This Row],[订购日期]])</f>
        <v>1997</v>
      </c>
      <c r="D170" s="1">
        <v>960</v>
      </c>
    </row>
    <row r="171" spans="1:4" x14ac:dyDescent="0.25">
      <c r="A171" s="1" t="s">
        <v>79</v>
      </c>
      <c r="B171" s="59">
        <v>35710</v>
      </c>
      <c r="C171" s="57">
        <f>YEAR(表_查询来自_northwind3[[#This Row],[订购日期]])</f>
        <v>1997</v>
      </c>
      <c r="D171" s="1">
        <v>400</v>
      </c>
    </row>
    <row r="172" spans="1:4" x14ac:dyDescent="0.25">
      <c r="A172" s="1" t="s">
        <v>79</v>
      </c>
      <c r="B172" s="59">
        <v>35720</v>
      </c>
      <c r="C172" s="57">
        <f>YEAR(表_查询来自_northwind3[[#This Row],[订购日期]])</f>
        <v>1997</v>
      </c>
      <c r="D172" s="1">
        <v>1600</v>
      </c>
    </row>
    <row r="173" spans="1:4" x14ac:dyDescent="0.25">
      <c r="A173" s="1" t="s">
        <v>79</v>
      </c>
      <c r="B173" s="59">
        <v>35783</v>
      </c>
      <c r="C173" s="57">
        <f>YEAR(表_查询来自_northwind3[[#This Row],[订购日期]])</f>
        <v>1997</v>
      </c>
      <c r="D173" s="1">
        <v>959.99999642372131</v>
      </c>
    </row>
    <row r="174" spans="1:4" x14ac:dyDescent="0.25">
      <c r="A174" s="1" t="s">
        <v>79</v>
      </c>
      <c r="B174" s="59">
        <v>35808</v>
      </c>
      <c r="C174" s="57">
        <f>YEAR(表_查询来自_northwind3[[#This Row],[订购日期]])</f>
        <v>1998</v>
      </c>
      <c r="D174" s="1">
        <v>800</v>
      </c>
    </row>
    <row r="175" spans="1:4" x14ac:dyDescent="0.25">
      <c r="A175" s="1" t="s">
        <v>79</v>
      </c>
      <c r="B175" s="59">
        <v>35844</v>
      </c>
      <c r="C175" s="57">
        <f>YEAR(表_查询来自_northwind3[[#This Row],[订购日期]])</f>
        <v>1998</v>
      </c>
      <c r="D175" s="1">
        <v>1200</v>
      </c>
    </row>
    <row r="176" spans="1:4" x14ac:dyDescent="0.25">
      <c r="A176" s="1" t="s">
        <v>79</v>
      </c>
      <c r="B176" s="59">
        <v>35879</v>
      </c>
      <c r="C176" s="57">
        <f>YEAR(表_查询来自_northwind3[[#This Row],[订购日期]])</f>
        <v>1998</v>
      </c>
      <c r="D176" s="1">
        <v>640</v>
      </c>
    </row>
    <row r="177" spans="1:4" x14ac:dyDescent="0.25">
      <c r="A177" s="1" t="s">
        <v>79</v>
      </c>
      <c r="B177" s="59">
        <v>35880</v>
      </c>
      <c r="C177" s="57">
        <f>YEAR(表_查询来自_northwind3[[#This Row],[订购日期]])</f>
        <v>1998</v>
      </c>
      <c r="D177" s="1">
        <v>679.99999523162842</v>
      </c>
    </row>
    <row r="178" spans="1:4" x14ac:dyDescent="0.25">
      <c r="A178" s="1" t="s">
        <v>79</v>
      </c>
      <c r="B178" s="59">
        <v>35893</v>
      </c>
      <c r="C178" s="57">
        <f>YEAR(表_查询来自_northwind3[[#This Row],[订购日期]])</f>
        <v>1998</v>
      </c>
      <c r="D178" s="1">
        <v>1200</v>
      </c>
    </row>
    <row r="179" spans="1:4" x14ac:dyDescent="0.25">
      <c r="A179" s="1" t="s">
        <v>79</v>
      </c>
      <c r="B179" s="59">
        <v>35921</v>
      </c>
      <c r="C179" s="57">
        <f>YEAR(表_查询来自_northwind3[[#This Row],[订购日期]])</f>
        <v>1998</v>
      </c>
      <c r="D179" s="1">
        <v>71.99999988079071</v>
      </c>
    </row>
    <row r="180" spans="1:4" x14ac:dyDescent="0.25">
      <c r="A180" s="1" t="s">
        <v>80</v>
      </c>
      <c r="B180" s="59">
        <v>35451</v>
      </c>
      <c r="C180" s="57">
        <f>YEAR(表_查询来自_northwind3[[#This Row],[订购日期]])</f>
        <v>1997</v>
      </c>
      <c r="D180" s="1">
        <v>1396.7999976873398</v>
      </c>
    </row>
    <row r="181" spans="1:4" x14ac:dyDescent="0.25">
      <c r="A181" s="1" t="s">
        <v>80</v>
      </c>
      <c r="B181" s="59">
        <v>35543</v>
      </c>
      <c r="C181" s="57">
        <f>YEAR(表_查询来自_northwind3[[#This Row],[订购日期]])</f>
        <v>1997</v>
      </c>
      <c r="D181" s="1">
        <v>1319.1999907493591</v>
      </c>
    </row>
    <row r="182" spans="1:4" x14ac:dyDescent="0.25">
      <c r="A182" s="1" t="s">
        <v>80</v>
      </c>
      <c r="B182" s="59">
        <v>35703</v>
      </c>
      <c r="C182" s="57">
        <f>YEAR(表_查询来自_northwind3[[#This Row],[订购日期]])</f>
        <v>1997</v>
      </c>
      <c r="D182" s="1">
        <v>3637.5</v>
      </c>
    </row>
    <row r="183" spans="1:4" x14ac:dyDescent="0.25">
      <c r="A183" s="1" t="s">
        <v>80</v>
      </c>
      <c r="B183" s="59">
        <v>35709</v>
      </c>
      <c r="C183" s="57">
        <f>YEAR(表_查询来自_northwind3[[#This Row],[订购日期]])</f>
        <v>1997</v>
      </c>
      <c r="D183" s="1">
        <v>582</v>
      </c>
    </row>
    <row r="184" spans="1:4" x14ac:dyDescent="0.25">
      <c r="A184" s="1" t="s">
        <v>80</v>
      </c>
      <c r="B184" s="59">
        <v>35818</v>
      </c>
      <c r="C184" s="57">
        <f>YEAR(表_查询来自_northwind3[[#This Row],[订购日期]])</f>
        <v>1998</v>
      </c>
      <c r="D184" s="1">
        <v>291</v>
      </c>
    </row>
    <row r="185" spans="1:4" x14ac:dyDescent="0.25">
      <c r="A185" s="1" t="s">
        <v>81</v>
      </c>
      <c r="B185" s="59">
        <v>35282</v>
      </c>
      <c r="C185" s="57">
        <f>YEAR(表_查询来自_northwind3[[#This Row],[订购日期]])</f>
        <v>1996</v>
      </c>
      <c r="D185" s="1">
        <v>565.43999955654147</v>
      </c>
    </row>
    <row r="186" spans="1:4" x14ac:dyDescent="0.25">
      <c r="A186" s="1" t="s">
        <v>81</v>
      </c>
      <c r="B186" s="59">
        <v>35285</v>
      </c>
      <c r="C186" s="57">
        <f>YEAR(表_查询来自_northwind3[[#This Row],[订购日期]])</f>
        <v>1996</v>
      </c>
      <c r="D186" s="1">
        <v>372</v>
      </c>
    </row>
    <row r="187" spans="1:4" x14ac:dyDescent="0.25">
      <c r="A187" s="1" t="s">
        <v>81</v>
      </c>
      <c r="B187" s="59">
        <v>35388</v>
      </c>
      <c r="C187" s="57">
        <f>YEAR(表_查询来自_northwind3[[#This Row],[订购日期]])</f>
        <v>1996</v>
      </c>
      <c r="D187" s="1">
        <v>595.19999778270721</v>
      </c>
    </row>
    <row r="188" spans="1:4" x14ac:dyDescent="0.25">
      <c r="A188" s="1" t="s">
        <v>81</v>
      </c>
      <c r="B188" s="59">
        <v>35419</v>
      </c>
      <c r="C188" s="57">
        <f>YEAR(表_查询来自_northwind3[[#This Row],[订购日期]])</f>
        <v>1996</v>
      </c>
      <c r="D188" s="1">
        <v>396.8</v>
      </c>
    </row>
    <row r="189" spans="1:4" x14ac:dyDescent="0.25">
      <c r="A189" s="1" t="s">
        <v>81</v>
      </c>
      <c r="B189" s="59">
        <v>35479</v>
      </c>
      <c r="C189" s="57">
        <f>YEAR(表_查询来自_northwind3[[#This Row],[订购日期]])</f>
        <v>1997</v>
      </c>
      <c r="D189" s="1">
        <v>347.2</v>
      </c>
    </row>
    <row r="190" spans="1:4" x14ac:dyDescent="0.25">
      <c r="A190" s="1" t="s">
        <v>81</v>
      </c>
      <c r="B190" s="59">
        <v>35480</v>
      </c>
      <c r="C190" s="57">
        <f>YEAR(表_查询来自_northwind3[[#This Row],[订购日期]])</f>
        <v>1997</v>
      </c>
      <c r="D190" s="1">
        <v>396.79999852180481</v>
      </c>
    </row>
    <row r="191" spans="1:4" x14ac:dyDescent="0.25">
      <c r="A191" s="1" t="s">
        <v>81</v>
      </c>
      <c r="B191" s="59">
        <v>35507</v>
      </c>
      <c r="C191" s="57">
        <f>YEAR(表_查询来自_northwind3[[#This Row],[订购日期]])</f>
        <v>1997</v>
      </c>
      <c r="D191" s="1">
        <v>471.1999996304512</v>
      </c>
    </row>
    <row r="192" spans="1:4" x14ac:dyDescent="0.25">
      <c r="A192" s="1" t="s">
        <v>81</v>
      </c>
      <c r="B192" s="59">
        <v>35548</v>
      </c>
      <c r="C192" s="57">
        <f>YEAR(表_查询来自_northwind3[[#This Row],[订购日期]])</f>
        <v>1997</v>
      </c>
      <c r="D192" s="1">
        <v>471.1999996304512</v>
      </c>
    </row>
    <row r="193" spans="1:4" x14ac:dyDescent="0.25">
      <c r="A193" s="1" t="s">
        <v>81</v>
      </c>
      <c r="B193" s="59">
        <v>35551</v>
      </c>
      <c r="C193" s="57">
        <f>YEAR(表_查询来自_northwind3[[#This Row],[订购日期]])</f>
        <v>1997</v>
      </c>
      <c r="D193" s="1">
        <v>62</v>
      </c>
    </row>
    <row r="194" spans="1:4" x14ac:dyDescent="0.25">
      <c r="A194" s="1" t="s">
        <v>81</v>
      </c>
      <c r="B194" s="59">
        <v>35594</v>
      </c>
      <c r="C194" s="57">
        <f>YEAR(表_查询来自_northwind3[[#This Row],[订购日期]])</f>
        <v>1997</v>
      </c>
      <c r="D194" s="1">
        <v>155</v>
      </c>
    </row>
    <row r="195" spans="1:4" x14ac:dyDescent="0.25">
      <c r="A195" s="1" t="s">
        <v>81</v>
      </c>
      <c r="B195" s="59">
        <v>35635</v>
      </c>
      <c r="C195" s="57">
        <f>YEAR(表_查询来自_northwind3[[#This Row],[订购日期]])</f>
        <v>1997</v>
      </c>
      <c r="D195" s="1">
        <v>310</v>
      </c>
    </row>
    <row r="196" spans="1:4" x14ac:dyDescent="0.25">
      <c r="A196" s="1" t="s">
        <v>81</v>
      </c>
      <c r="B196" s="59">
        <v>35639</v>
      </c>
      <c r="C196" s="57">
        <f>YEAR(表_查询来自_northwind3[[#This Row],[订购日期]])</f>
        <v>1997</v>
      </c>
      <c r="D196" s="1">
        <v>2170</v>
      </c>
    </row>
    <row r="197" spans="1:4" x14ac:dyDescent="0.25">
      <c r="A197" s="1" t="s">
        <v>81</v>
      </c>
      <c r="B197" s="59">
        <v>35669</v>
      </c>
      <c r="C197" s="57">
        <f>YEAR(表_查询来自_northwind3[[#This Row],[订购日期]])</f>
        <v>1997</v>
      </c>
      <c r="D197" s="1">
        <v>418.5</v>
      </c>
    </row>
    <row r="198" spans="1:4" x14ac:dyDescent="0.25">
      <c r="A198" s="1" t="s">
        <v>81</v>
      </c>
      <c r="B198" s="59">
        <v>35683</v>
      </c>
      <c r="C198" s="57">
        <f>YEAR(表_查询来自_northwind3[[#This Row],[订购日期]])</f>
        <v>1997</v>
      </c>
      <c r="D198" s="1">
        <v>632.39999556541443</v>
      </c>
    </row>
    <row r="199" spans="1:4" x14ac:dyDescent="0.25">
      <c r="A199" s="1" t="s">
        <v>81</v>
      </c>
      <c r="B199" s="59">
        <v>35695</v>
      </c>
      <c r="C199" s="57">
        <f>YEAR(表_查询来自_northwind3[[#This Row],[订购日期]])</f>
        <v>1997</v>
      </c>
      <c r="D199" s="1">
        <v>62</v>
      </c>
    </row>
    <row r="200" spans="1:4" x14ac:dyDescent="0.25">
      <c r="A200" s="1" t="s">
        <v>81</v>
      </c>
      <c r="B200" s="59">
        <v>35702</v>
      </c>
      <c r="C200" s="57">
        <f>YEAR(表_查询来自_northwind3[[#This Row],[订购日期]])</f>
        <v>1997</v>
      </c>
      <c r="D200" s="1">
        <v>620</v>
      </c>
    </row>
    <row r="201" spans="1:4" x14ac:dyDescent="0.25">
      <c r="A201" s="1" t="s">
        <v>81</v>
      </c>
      <c r="B201" s="59">
        <v>35704</v>
      </c>
      <c r="C201" s="57">
        <f>YEAR(表_查询来自_northwind3[[#This Row],[订购日期]])</f>
        <v>1997</v>
      </c>
      <c r="D201" s="1">
        <v>502.19999916851521</v>
      </c>
    </row>
    <row r="202" spans="1:4" x14ac:dyDescent="0.25">
      <c r="A202" s="1" t="s">
        <v>81</v>
      </c>
      <c r="B202" s="59">
        <v>35725</v>
      </c>
      <c r="C202" s="57">
        <f>YEAR(表_查询来自_northwind3[[#This Row],[订购日期]])</f>
        <v>1997</v>
      </c>
      <c r="D202" s="1">
        <v>558</v>
      </c>
    </row>
    <row r="203" spans="1:4" x14ac:dyDescent="0.25">
      <c r="A203" s="1" t="s">
        <v>81</v>
      </c>
      <c r="B203" s="59">
        <v>35726</v>
      </c>
      <c r="C203" s="57">
        <f>YEAR(表_查询来自_northwind3[[#This Row],[订购日期]])</f>
        <v>1997</v>
      </c>
      <c r="D203" s="1">
        <v>651</v>
      </c>
    </row>
    <row r="204" spans="1:4" x14ac:dyDescent="0.25">
      <c r="A204" s="1" t="s">
        <v>81</v>
      </c>
      <c r="B204" s="59">
        <v>35733</v>
      </c>
      <c r="C204" s="57">
        <f>YEAR(表_查询来自_northwind3[[#This Row],[订购日期]])</f>
        <v>1997</v>
      </c>
      <c r="D204" s="1">
        <v>496</v>
      </c>
    </row>
    <row r="205" spans="1:4" x14ac:dyDescent="0.25">
      <c r="A205" s="1" t="s">
        <v>81</v>
      </c>
      <c r="B205" s="59">
        <v>35776</v>
      </c>
      <c r="C205" s="57">
        <f>YEAR(表_查询来自_northwind3[[#This Row],[订购日期]])</f>
        <v>1997</v>
      </c>
      <c r="D205" s="1">
        <v>186</v>
      </c>
    </row>
    <row r="206" spans="1:4" x14ac:dyDescent="0.25">
      <c r="A206" s="1" t="s">
        <v>81</v>
      </c>
      <c r="B206" s="59">
        <v>35782</v>
      </c>
      <c r="C206" s="57">
        <f>YEAR(表_查询来自_northwind3[[#This Row],[订购日期]])</f>
        <v>1997</v>
      </c>
      <c r="D206" s="1">
        <v>310</v>
      </c>
    </row>
    <row r="207" spans="1:4" x14ac:dyDescent="0.25">
      <c r="A207" s="1" t="s">
        <v>81</v>
      </c>
      <c r="B207" s="59">
        <v>35794</v>
      </c>
      <c r="C207" s="57">
        <f>YEAR(表_查询来自_northwind3[[#This Row],[订购日期]])</f>
        <v>1997</v>
      </c>
      <c r="D207" s="1">
        <v>1116</v>
      </c>
    </row>
    <row r="208" spans="1:4" x14ac:dyDescent="0.25">
      <c r="A208" s="1" t="s">
        <v>81</v>
      </c>
      <c r="B208" s="59">
        <v>35807</v>
      </c>
      <c r="C208" s="57">
        <f>YEAR(表_查询来自_northwind3[[#This Row],[订购日期]])</f>
        <v>1998</v>
      </c>
      <c r="D208" s="1">
        <v>465</v>
      </c>
    </row>
    <row r="209" spans="1:4" x14ac:dyDescent="0.25">
      <c r="A209" s="1" t="s">
        <v>81</v>
      </c>
      <c r="B209" s="59">
        <v>35815</v>
      </c>
      <c r="C209" s="57">
        <f>YEAR(表_查询来自_northwind3[[#This Row],[订购日期]])</f>
        <v>1998</v>
      </c>
      <c r="D209" s="1">
        <v>496</v>
      </c>
    </row>
    <row r="210" spans="1:4" x14ac:dyDescent="0.25">
      <c r="A210" s="1" t="s">
        <v>81</v>
      </c>
      <c r="B210" s="59">
        <v>35822</v>
      </c>
      <c r="C210" s="57">
        <f>YEAR(表_查询来自_northwind3[[#This Row],[订购日期]])</f>
        <v>1998</v>
      </c>
      <c r="D210" s="1">
        <v>2634.9999815225601</v>
      </c>
    </row>
    <row r="211" spans="1:4" x14ac:dyDescent="0.25">
      <c r="A211" s="1" t="s">
        <v>81</v>
      </c>
      <c r="B211" s="59">
        <v>35832</v>
      </c>
      <c r="C211" s="57">
        <f>YEAR(表_查询来自_northwind3[[#This Row],[订购日期]])</f>
        <v>1998</v>
      </c>
      <c r="D211" s="1">
        <v>310</v>
      </c>
    </row>
    <row r="212" spans="1:4" x14ac:dyDescent="0.25">
      <c r="A212" s="1" t="s">
        <v>81</v>
      </c>
      <c r="B212" s="59">
        <v>35839</v>
      </c>
      <c r="C212" s="57">
        <f>YEAR(表_查询来自_northwind3[[#This Row],[订购日期]])</f>
        <v>1998</v>
      </c>
      <c r="D212" s="1">
        <v>2170</v>
      </c>
    </row>
    <row r="213" spans="1:4" x14ac:dyDescent="0.25">
      <c r="A213" s="1" t="s">
        <v>81</v>
      </c>
      <c r="B213" s="59">
        <v>35858</v>
      </c>
      <c r="C213" s="57">
        <f>YEAR(表_查询来自_northwind3[[#This Row],[订购日期]])</f>
        <v>1998</v>
      </c>
      <c r="D213" s="1">
        <v>557.99999907612801</v>
      </c>
    </row>
    <row r="214" spans="1:4" x14ac:dyDescent="0.25">
      <c r="A214" s="1" t="s">
        <v>81</v>
      </c>
      <c r="B214" s="59">
        <v>35866</v>
      </c>
      <c r="C214" s="57">
        <f>YEAR(表_查询来自_northwind3[[#This Row],[订购日期]])</f>
        <v>1998</v>
      </c>
      <c r="D214" s="1">
        <v>775</v>
      </c>
    </row>
    <row r="215" spans="1:4" x14ac:dyDescent="0.25">
      <c r="A215" s="1" t="s">
        <v>81</v>
      </c>
      <c r="B215" s="59">
        <v>35867</v>
      </c>
      <c r="C215" s="57">
        <f>YEAR(表_查询来自_northwind3[[#This Row],[订购日期]])</f>
        <v>1998</v>
      </c>
      <c r="D215" s="1">
        <v>930</v>
      </c>
    </row>
    <row r="216" spans="1:4" x14ac:dyDescent="0.25">
      <c r="A216" s="1" t="s">
        <v>81</v>
      </c>
      <c r="B216" s="59">
        <v>35899</v>
      </c>
      <c r="C216" s="57">
        <f>YEAR(表_查询来自_northwind3[[#This Row],[订购日期]])</f>
        <v>1998</v>
      </c>
      <c r="D216" s="1">
        <v>632.39999556541443</v>
      </c>
    </row>
    <row r="217" spans="1:4" x14ac:dyDescent="0.25">
      <c r="A217" s="1" t="s">
        <v>81</v>
      </c>
      <c r="B217" s="59">
        <v>35921</v>
      </c>
      <c r="C217" s="57">
        <f>YEAR(表_查询来自_northwind3[[#This Row],[订购日期]])</f>
        <v>1998</v>
      </c>
      <c r="D217" s="1">
        <v>31</v>
      </c>
    </row>
    <row r="218" spans="1:4" x14ac:dyDescent="0.25">
      <c r="A218" s="1" t="s">
        <v>82</v>
      </c>
      <c r="B218" s="59">
        <v>35311</v>
      </c>
      <c r="C218" s="57">
        <f>YEAR(表_查询来自_northwind3[[#This Row],[订购日期]])</f>
        <v>1996</v>
      </c>
      <c r="D218" s="1">
        <v>201.6</v>
      </c>
    </row>
    <row r="219" spans="1:4" x14ac:dyDescent="0.25">
      <c r="A219" s="1" t="s">
        <v>82</v>
      </c>
      <c r="B219" s="59">
        <v>35349</v>
      </c>
      <c r="C219" s="57">
        <f>YEAR(表_查询来自_northwind3[[#This Row],[订购日期]])</f>
        <v>1996</v>
      </c>
      <c r="D219" s="1">
        <v>671.99999749660492</v>
      </c>
    </row>
    <row r="220" spans="1:4" x14ac:dyDescent="0.25">
      <c r="A220" s="1" t="s">
        <v>82</v>
      </c>
      <c r="B220" s="59">
        <v>35382</v>
      </c>
      <c r="C220" s="57">
        <f>YEAR(表_查询来自_northwind3[[#This Row],[订购日期]])</f>
        <v>1996</v>
      </c>
      <c r="D220" s="1">
        <v>161.27999939918519</v>
      </c>
    </row>
    <row r="221" spans="1:4" x14ac:dyDescent="0.25">
      <c r="A221" s="1" t="s">
        <v>82</v>
      </c>
      <c r="B221" s="59">
        <v>35396</v>
      </c>
      <c r="C221" s="57">
        <f>YEAR(表_查询来自_northwind3[[#This Row],[订购日期]])</f>
        <v>1996</v>
      </c>
      <c r="D221" s="1">
        <v>403.2</v>
      </c>
    </row>
    <row r="222" spans="1:4" x14ac:dyDescent="0.25">
      <c r="A222" s="1" t="s">
        <v>82</v>
      </c>
      <c r="B222" s="59">
        <v>35437</v>
      </c>
      <c r="C222" s="57">
        <f>YEAR(表_查询来自_northwind3[[#This Row],[订购日期]])</f>
        <v>1997</v>
      </c>
      <c r="D222" s="1">
        <v>504</v>
      </c>
    </row>
    <row r="223" spans="1:4" x14ac:dyDescent="0.25">
      <c r="A223" s="1" t="s">
        <v>82</v>
      </c>
      <c r="B223" s="59">
        <v>35464</v>
      </c>
      <c r="C223" s="57">
        <f>YEAR(表_查询来自_northwind3[[#This Row],[订购日期]])</f>
        <v>1997</v>
      </c>
      <c r="D223" s="1">
        <v>100.8</v>
      </c>
    </row>
    <row r="224" spans="1:4" x14ac:dyDescent="0.25">
      <c r="A224" s="1" t="s">
        <v>82</v>
      </c>
      <c r="B224" s="59">
        <v>35472</v>
      </c>
      <c r="C224" s="57">
        <f>YEAR(表_查询来自_northwind3[[#This Row],[订购日期]])</f>
        <v>1997</v>
      </c>
      <c r="D224" s="1">
        <v>504</v>
      </c>
    </row>
    <row r="225" spans="1:4" x14ac:dyDescent="0.25">
      <c r="A225" s="1" t="s">
        <v>82</v>
      </c>
      <c r="B225" s="59">
        <v>35473</v>
      </c>
      <c r="C225" s="57">
        <f>YEAR(表_查询来自_northwind3[[#This Row],[订购日期]])</f>
        <v>1997</v>
      </c>
      <c r="D225" s="1">
        <v>80.639999699592593</v>
      </c>
    </row>
    <row r="226" spans="1:4" x14ac:dyDescent="0.25">
      <c r="A226" s="1" t="s">
        <v>82</v>
      </c>
      <c r="B226" s="59">
        <v>35495</v>
      </c>
      <c r="C226" s="57">
        <f>YEAR(表_查询来自_northwind3[[#This Row],[订购日期]])</f>
        <v>1997</v>
      </c>
      <c r="D226" s="1">
        <v>168</v>
      </c>
    </row>
    <row r="227" spans="1:4" x14ac:dyDescent="0.25">
      <c r="A227" s="1" t="s">
        <v>82</v>
      </c>
      <c r="B227" s="59">
        <v>35515</v>
      </c>
      <c r="C227" s="57">
        <f>YEAR(表_查询来自_northwind3[[#This Row],[订购日期]])</f>
        <v>1997</v>
      </c>
      <c r="D227" s="1">
        <v>84</v>
      </c>
    </row>
    <row r="228" spans="1:4" x14ac:dyDescent="0.25">
      <c r="A228" s="1" t="s">
        <v>82</v>
      </c>
      <c r="B228" s="59">
        <v>35517</v>
      </c>
      <c r="C228" s="57">
        <f>YEAR(表_查询来自_northwind3[[#This Row],[订购日期]])</f>
        <v>1997</v>
      </c>
      <c r="D228" s="1">
        <v>189</v>
      </c>
    </row>
    <row r="229" spans="1:4" x14ac:dyDescent="0.25">
      <c r="A229" s="1" t="s">
        <v>82</v>
      </c>
      <c r="B229" s="59">
        <v>35556</v>
      </c>
      <c r="C229" s="57">
        <f>YEAR(表_查询来自_northwind3[[#This Row],[订购日期]])</f>
        <v>1997</v>
      </c>
      <c r="D229" s="1">
        <v>63</v>
      </c>
    </row>
    <row r="230" spans="1:4" x14ac:dyDescent="0.25">
      <c r="A230" s="1" t="s">
        <v>82</v>
      </c>
      <c r="B230" s="59">
        <v>35563</v>
      </c>
      <c r="C230" s="57">
        <f>YEAR(表_查询来自_northwind3[[#This Row],[订购日期]])</f>
        <v>1997</v>
      </c>
      <c r="D230" s="1">
        <v>944.99999843537807</v>
      </c>
    </row>
    <row r="231" spans="1:4" x14ac:dyDescent="0.25">
      <c r="A231" s="1" t="s">
        <v>82</v>
      </c>
      <c r="B231" s="59">
        <v>35570</v>
      </c>
      <c r="C231" s="57">
        <f>YEAR(表_查询来自_northwind3[[#This Row],[订购日期]])</f>
        <v>1997</v>
      </c>
      <c r="D231" s="1">
        <v>299.24999976530671</v>
      </c>
    </row>
    <row r="232" spans="1:4" x14ac:dyDescent="0.25">
      <c r="A232" s="1" t="s">
        <v>82</v>
      </c>
      <c r="B232" s="59">
        <v>35572</v>
      </c>
      <c r="C232" s="57">
        <f>YEAR(表_查询来自_northwind3[[#This Row],[订购日期]])</f>
        <v>1997</v>
      </c>
      <c r="D232" s="1">
        <v>210</v>
      </c>
    </row>
    <row r="233" spans="1:4" x14ac:dyDescent="0.25">
      <c r="A233" s="1" t="s">
        <v>82</v>
      </c>
      <c r="B233" s="59">
        <v>35580</v>
      </c>
      <c r="C233" s="57">
        <f>YEAR(表_查询来自_northwind3[[#This Row],[订购日期]])</f>
        <v>1997</v>
      </c>
      <c r="D233" s="1">
        <v>315</v>
      </c>
    </row>
    <row r="234" spans="1:4" x14ac:dyDescent="0.25">
      <c r="A234" s="1" t="s">
        <v>82</v>
      </c>
      <c r="B234" s="59">
        <v>35593</v>
      </c>
      <c r="C234" s="57">
        <f>YEAR(表_查询来自_northwind3[[#This Row],[订购日期]])</f>
        <v>1997</v>
      </c>
      <c r="D234" s="1">
        <v>624.74999561905861</v>
      </c>
    </row>
    <row r="235" spans="1:4" x14ac:dyDescent="0.25">
      <c r="A235" s="1" t="s">
        <v>82</v>
      </c>
      <c r="B235" s="59">
        <v>35598</v>
      </c>
      <c r="C235" s="57">
        <f>YEAR(表_查询来自_northwind3[[#This Row],[订购日期]])</f>
        <v>1997</v>
      </c>
      <c r="D235" s="1">
        <v>299.24999976530671</v>
      </c>
    </row>
    <row r="236" spans="1:4" x14ac:dyDescent="0.25">
      <c r="A236" s="1" t="s">
        <v>82</v>
      </c>
      <c r="B236" s="59">
        <v>35640</v>
      </c>
      <c r="C236" s="57">
        <f>YEAR(表_查询来自_northwind3[[#This Row],[订购日期]])</f>
        <v>1997</v>
      </c>
      <c r="D236" s="1">
        <v>294</v>
      </c>
    </row>
    <row r="237" spans="1:4" x14ac:dyDescent="0.25">
      <c r="A237" s="1" t="s">
        <v>82</v>
      </c>
      <c r="B237" s="59">
        <v>35661</v>
      </c>
      <c r="C237" s="57">
        <f>YEAR(表_查询来自_northwind3[[#This Row],[订购日期]])</f>
        <v>1997</v>
      </c>
      <c r="D237" s="1">
        <v>210</v>
      </c>
    </row>
    <row r="238" spans="1:4" x14ac:dyDescent="0.25">
      <c r="A238" s="1" t="s">
        <v>82</v>
      </c>
      <c r="B238" s="59">
        <v>35712</v>
      </c>
      <c r="C238" s="57">
        <f>YEAR(表_查询来自_northwind3[[#This Row],[订购日期]])</f>
        <v>1997</v>
      </c>
      <c r="D238" s="1">
        <v>315</v>
      </c>
    </row>
    <row r="239" spans="1:4" x14ac:dyDescent="0.25">
      <c r="A239" s="1" t="s">
        <v>82</v>
      </c>
      <c r="B239" s="59">
        <v>35737</v>
      </c>
      <c r="C239" s="57">
        <f>YEAR(表_查询来自_northwind3[[#This Row],[订购日期]])</f>
        <v>1997</v>
      </c>
      <c r="D239" s="1">
        <v>105</v>
      </c>
    </row>
    <row r="240" spans="1:4" x14ac:dyDescent="0.25">
      <c r="A240" s="1" t="s">
        <v>82</v>
      </c>
      <c r="B240" s="59">
        <v>35773</v>
      </c>
      <c r="C240" s="57">
        <f>YEAR(表_查询来自_northwind3[[#This Row],[订购日期]])</f>
        <v>1997</v>
      </c>
      <c r="D240" s="1">
        <v>236.25</v>
      </c>
    </row>
    <row r="241" spans="1:4" x14ac:dyDescent="0.25">
      <c r="A241" s="1" t="s">
        <v>82</v>
      </c>
      <c r="B241" s="59">
        <v>35789</v>
      </c>
      <c r="C241" s="57">
        <f>YEAR(表_查询来自_northwind3[[#This Row],[订购日期]])</f>
        <v>1997</v>
      </c>
      <c r="D241" s="1">
        <v>420</v>
      </c>
    </row>
    <row r="242" spans="1:4" x14ac:dyDescent="0.25">
      <c r="A242" s="1" t="s">
        <v>82</v>
      </c>
      <c r="B242" s="59">
        <v>35790</v>
      </c>
      <c r="C242" s="57">
        <f>YEAR(表_查询来自_northwind3[[#This Row],[订购日期]])</f>
        <v>1997</v>
      </c>
      <c r="D242" s="1">
        <v>944.99999843537807</v>
      </c>
    </row>
    <row r="243" spans="1:4" x14ac:dyDescent="0.25">
      <c r="A243" s="1" t="s">
        <v>82</v>
      </c>
      <c r="B243" s="59">
        <v>35804</v>
      </c>
      <c r="C243" s="57">
        <f>YEAR(表_查询来自_northwind3[[#This Row],[订购日期]])</f>
        <v>1998</v>
      </c>
      <c r="D243" s="1">
        <v>377.99999937415123</v>
      </c>
    </row>
    <row r="244" spans="1:4" x14ac:dyDescent="0.25">
      <c r="A244" s="1" t="s">
        <v>82</v>
      </c>
      <c r="B244" s="59">
        <v>35815</v>
      </c>
      <c r="C244" s="57">
        <f>YEAR(表_查询来自_northwind3[[#This Row],[订购日期]])</f>
        <v>1998</v>
      </c>
      <c r="D244" s="1">
        <v>315</v>
      </c>
    </row>
    <row r="245" spans="1:4" x14ac:dyDescent="0.25">
      <c r="A245" s="1" t="s">
        <v>82</v>
      </c>
      <c r="B245" s="59">
        <v>35825</v>
      </c>
      <c r="C245" s="57">
        <f>YEAR(表_查询来自_northwind3[[#This Row],[订购日期]])</f>
        <v>1998</v>
      </c>
      <c r="D245" s="1">
        <v>525</v>
      </c>
    </row>
    <row r="246" spans="1:4" x14ac:dyDescent="0.25">
      <c r="A246" s="1" t="s">
        <v>82</v>
      </c>
      <c r="B246" s="59">
        <v>35830</v>
      </c>
      <c r="C246" s="57">
        <f>YEAR(表_查询来自_northwind3[[#This Row],[订购日期]])</f>
        <v>1998</v>
      </c>
      <c r="D246" s="1">
        <v>210</v>
      </c>
    </row>
    <row r="247" spans="1:4" x14ac:dyDescent="0.25">
      <c r="A247" s="1" t="s">
        <v>82</v>
      </c>
      <c r="B247" s="59">
        <v>35842</v>
      </c>
      <c r="C247" s="57">
        <f>YEAR(表_查询来自_northwind3[[#This Row],[订购日期]])</f>
        <v>1998</v>
      </c>
      <c r="D247" s="1">
        <v>840</v>
      </c>
    </row>
    <row r="248" spans="1:4" x14ac:dyDescent="0.25">
      <c r="A248" s="1" t="s">
        <v>82</v>
      </c>
      <c r="B248" s="59">
        <v>35852</v>
      </c>
      <c r="C248" s="57">
        <f>YEAR(表_查询来自_northwind3[[#This Row],[订购日期]])</f>
        <v>1998</v>
      </c>
      <c r="D248" s="1">
        <v>630</v>
      </c>
    </row>
    <row r="249" spans="1:4" x14ac:dyDescent="0.25">
      <c r="A249" s="1" t="s">
        <v>82</v>
      </c>
      <c r="B249" s="59">
        <v>35858</v>
      </c>
      <c r="C249" s="57">
        <f>YEAR(表_查询来自_northwind3[[#This Row],[订购日期]])</f>
        <v>1998</v>
      </c>
      <c r="D249" s="1">
        <v>42</v>
      </c>
    </row>
    <row r="250" spans="1:4" x14ac:dyDescent="0.25">
      <c r="A250" s="1" t="s">
        <v>82</v>
      </c>
      <c r="B250" s="59">
        <v>35866</v>
      </c>
      <c r="C250" s="57">
        <f>YEAR(表_查询来自_northwind3[[#This Row],[订购日期]])</f>
        <v>1998</v>
      </c>
      <c r="D250" s="1">
        <v>78.75</v>
      </c>
    </row>
    <row r="251" spans="1:4" x14ac:dyDescent="0.25">
      <c r="A251" s="1" t="s">
        <v>82</v>
      </c>
      <c r="B251" s="59">
        <v>35884</v>
      </c>
      <c r="C251" s="57">
        <f>YEAR(表_查询来自_northwind3[[#This Row],[订购日期]])</f>
        <v>1998</v>
      </c>
      <c r="D251" s="1">
        <v>630</v>
      </c>
    </row>
    <row r="252" spans="1:4" x14ac:dyDescent="0.25">
      <c r="A252" s="1" t="s">
        <v>82</v>
      </c>
      <c r="B252" s="59">
        <v>35885</v>
      </c>
      <c r="C252" s="57">
        <f>YEAR(表_查询来自_northwind3[[#This Row],[订购日期]])</f>
        <v>1998</v>
      </c>
      <c r="D252" s="1">
        <v>315</v>
      </c>
    </row>
    <row r="253" spans="1:4" x14ac:dyDescent="0.25">
      <c r="A253" s="1" t="s">
        <v>82</v>
      </c>
      <c r="B253" s="59">
        <v>35907</v>
      </c>
      <c r="C253" s="57">
        <f>YEAR(表_查询来自_northwind3[[#This Row],[订购日期]])</f>
        <v>1998</v>
      </c>
      <c r="D253" s="1">
        <v>210</v>
      </c>
    </row>
    <row r="254" spans="1:4" x14ac:dyDescent="0.25">
      <c r="A254" s="1" t="s">
        <v>82</v>
      </c>
      <c r="B254" s="59">
        <v>35920</v>
      </c>
      <c r="C254" s="57">
        <f>YEAR(表_查询来自_northwind3[[#This Row],[订购日期]])</f>
        <v>1998</v>
      </c>
      <c r="D254" s="1">
        <v>210</v>
      </c>
    </row>
    <row r="255" spans="1:4" x14ac:dyDescent="0.25">
      <c r="A255" s="1" t="s">
        <v>83</v>
      </c>
      <c r="B255" s="59">
        <v>35272</v>
      </c>
      <c r="C255" s="57">
        <f>YEAR(表_查询来自_northwind3[[#This Row],[订购日期]])</f>
        <v>1996</v>
      </c>
      <c r="D255" s="1">
        <v>346.55999972820285</v>
      </c>
    </row>
    <row r="256" spans="1:4" x14ac:dyDescent="0.25">
      <c r="A256" s="1" t="s">
        <v>83</v>
      </c>
      <c r="B256" s="59">
        <v>35468</v>
      </c>
      <c r="C256" s="57">
        <f>YEAR(表_查询来自_northwind3[[#This Row],[订购日期]])</f>
        <v>1997</v>
      </c>
      <c r="D256" s="1">
        <v>456</v>
      </c>
    </row>
    <row r="257" spans="1:4" x14ac:dyDescent="0.25">
      <c r="A257" s="1" t="s">
        <v>83</v>
      </c>
      <c r="B257" s="59">
        <v>35564</v>
      </c>
      <c r="C257" s="57">
        <f>YEAR(表_查询来自_northwind3[[#This Row],[订购日期]])</f>
        <v>1997</v>
      </c>
      <c r="D257" s="1">
        <v>427.5</v>
      </c>
    </row>
    <row r="258" spans="1:4" x14ac:dyDescent="0.25">
      <c r="A258" s="1" t="s">
        <v>83</v>
      </c>
      <c r="B258" s="59">
        <v>35571</v>
      </c>
      <c r="C258" s="57">
        <f>YEAR(表_查询来自_northwind3[[#This Row],[订购日期]])</f>
        <v>1997</v>
      </c>
      <c r="D258" s="1">
        <v>968.9999932050705</v>
      </c>
    </row>
    <row r="259" spans="1:4" x14ac:dyDescent="0.25">
      <c r="A259" s="1" t="s">
        <v>83</v>
      </c>
      <c r="B259" s="59">
        <v>35657</v>
      </c>
      <c r="C259" s="57">
        <f>YEAR(表_查询来自_northwind3[[#This Row],[订购日期]])</f>
        <v>1997</v>
      </c>
      <c r="D259" s="1">
        <v>1162.7999918460846</v>
      </c>
    </row>
    <row r="260" spans="1:4" x14ac:dyDescent="0.25">
      <c r="A260" s="1" t="s">
        <v>83</v>
      </c>
      <c r="B260" s="59">
        <v>35696</v>
      </c>
      <c r="C260" s="57">
        <f>YEAR(表_查询来自_northwind3[[#This Row],[订购日期]])</f>
        <v>1997</v>
      </c>
      <c r="D260" s="1">
        <v>3800</v>
      </c>
    </row>
    <row r="261" spans="1:4" x14ac:dyDescent="0.25">
      <c r="A261" s="1" t="s">
        <v>83</v>
      </c>
      <c r="B261" s="59">
        <v>35710</v>
      </c>
      <c r="C261" s="57">
        <f>YEAR(表_查询来自_northwind3[[#This Row],[订购日期]])</f>
        <v>1997</v>
      </c>
      <c r="D261" s="1">
        <v>152</v>
      </c>
    </row>
    <row r="262" spans="1:4" x14ac:dyDescent="0.25">
      <c r="A262" s="1" t="s">
        <v>83</v>
      </c>
      <c r="B262" s="59">
        <v>35730</v>
      </c>
      <c r="C262" s="57">
        <f>YEAR(表_查询来自_northwind3[[#This Row],[订购日期]])</f>
        <v>1997</v>
      </c>
      <c r="D262" s="1">
        <v>1368</v>
      </c>
    </row>
    <row r="263" spans="1:4" x14ac:dyDescent="0.25">
      <c r="A263" s="1" t="s">
        <v>83</v>
      </c>
      <c r="B263" s="59">
        <v>35877</v>
      </c>
      <c r="C263" s="57">
        <f>YEAR(表_查询来自_northwind3[[#This Row],[订购日期]])</f>
        <v>1998</v>
      </c>
      <c r="D263" s="1">
        <v>1140</v>
      </c>
    </row>
    <row r="264" spans="1:4" x14ac:dyDescent="0.25">
      <c r="A264" s="1" t="s">
        <v>83</v>
      </c>
      <c r="B264" s="59">
        <v>35880</v>
      </c>
      <c r="C264" s="57">
        <f>YEAR(表_查询来自_northwind3[[#This Row],[订购日期]])</f>
        <v>1998</v>
      </c>
      <c r="D264" s="1">
        <v>760</v>
      </c>
    </row>
    <row r="265" spans="1:4" x14ac:dyDescent="0.25">
      <c r="A265" s="1" t="s">
        <v>83</v>
      </c>
      <c r="B265" s="59">
        <v>35898</v>
      </c>
      <c r="C265" s="57">
        <f>YEAR(表_查询来自_northwind3[[#This Row],[订购日期]])</f>
        <v>1998</v>
      </c>
      <c r="D265" s="1">
        <v>760</v>
      </c>
    </row>
    <row r="266" spans="1:4" x14ac:dyDescent="0.25">
      <c r="A266" s="1" t="s">
        <v>83</v>
      </c>
      <c r="B266" s="59">
        <v>35908</v>
      </c>
      <c r="C266" s="57">
        <f>YEAR(表_查询来自_northwind3[[#This Row],[订购日期]])</f>
        <v>1998</v>
      </c>
      <c r="D266" s="1">
        <v>721.99999943375587</v>
      </c>
    </row>
    <row r="267" spans="1:4" x14ac:dyDescent="0.25">
      <c r="A267" s="1" t="s">
        <v>83</v>
      </c>
      <c r="B267" s="59">
        <v>35909</v>
      </c>
      <c r="C267" s="57">
        <f>YEAR(表_查询来自_northwind3[[#This Row],[订购日期]])</f>
        <v>1998</v>
      </c>
      <c r="D267" s="1">
        <v>121.5999995470047</v>
      </c>
    </row>
    <row r="268" spans="1:4" x14ac:dyDescent="0.25">
      <c r="A268" s="1" t="s">
        <v>83</v>
      </c>
      <c r="B268" s="59">
        <v>35921</v>
      </c>
      <c r="C268" s="57">
        <f>YEAR(表_查询来自_northwind3[[#This Row],[订购日期]])</f>
        <v>1998</v>
      </c>
      <c r="D268" s="1">
        <v>72.199999943375587</v>
      </c>
    </row>
    <row r="269" spans="1:4" x14ac:dyDescent="0.25">
      <c r="A269" s="1" t="s">
        <v>84</v>
      </c>
      <c r="B269" s="59">
        <v>35285</v>
      </c>
      <c r="C269" s="57">
        <f>YEAR(表_查询来自_northwind3[[#This Row],[订购日期]])</f>
        <v>1996</v>
      </c>
      <c r="D269" s="1">
        <v>48</v>
      </c>
    </row>
    <row r="270" spans="1:4" x14ac:dyDescent="0.25">
      <c r="A270" s="1" t="s">
        <v>84</v>
      </c>
      <c r="B270" s="59">
        <v>35304</v>
      </c>
      <c r="C270" s="57">
        <f>YEAR(表_查询来自_northwind3[[#This Row],[订购日期]])</f>
        <v>1996</v>
      </c>
      <c r="D270" s="1">
        <v>86.399999856948853</v>
      </c>
    </row>
    <row r="271" spans="1:4" x14ac:dyDescent="0.25">
      <c r="A271" s="1" t="s">
        <v>84</v>
      </c>
      <c r="B271" s="59">
        <v>35347</v>
      </c>
      <c r="C271" s="57">
        <f>YEAR(表_查询来自_northwind3[[#This Row],[订购日期]])</f>
        <v>1996</v>
      </c>
      <c r="D271" s="1">
        <v>57.6</v>
      </c>
    </row>
    <row r="272" spans="1:4" x14ac:dyDescent="0.25">
      <c r="A272" s="1" t="s">
        <v>84</v>
      </c>
      <c r="B272" s="59">
        <v>35415</v>
      </c>
      <c r="C272" s="57">
        <f>YEAR(表_查询来自_northwind3[[#This Row],[订购日期]])</f>
        <v>1996</v>
      </c>
      <c r="D272" s="1">
        <v>96</v>
      </c>
    </row>
    <row r="273" spans="1:4" x14ac:dyDescent="0.25">
      <c r="A273" s="1" t="s">
        <v>84</v>
      </c>
      <c r="B273" s="59">
        <v>35422</v>
      </c>
      <c r="C273" s="57">
        <f>YEAR(表_查询来自_northwind3[[#This Row],[订购日期]])</f>
        <v>1996</v>
      </c>
      <c r="D273" s="1">
        <v>86.4</v>
      </c>
    </row>
    <row r="274" spans="1:4" x14ac:dyDescent="0.25">
      <c r="A274" s="1" t="s">
        <v>84</v>
      </c>
      <c r="B274" s="59">
        <v>35424</v>
      </c>
      <c r="C274" s="57">
        <f>YEAR(表_查询来自_northwind3[[#This Row],[订购日期]])</f>
        <v>1996</v>
      </c>
      <c r="D274" s="1">
        <v>48</v>
      </c>
    </row>
    <row r="275" spans="1:4" x14ac:dyDescent="0.25">
      <c r="A275" s="1" t="s">
        <v>84</v>
      </c>
      <c r="B275" s="59">
        <v>35451</v>
      </c>
      <c r="C275" s="57">
        <f>YEAR(表_查询来自_northwind3[[#This Row],[订购日期]])</f>
        <v>1997</v>
      </c>
      <c r="D275" s="1">
        <v>8.6399999856948853</v>
      </c>
    </row>
    <row r="276" spans="1:4" x14ac:dyDescent="0.25">
      <c r="A276" s="1" t="s">
        <v>84</v>
      </c>
      <c r="B276" s="59">
        <v>35492</v>
      </c>
      <c r="C276" s="57">
        <f>YEAR(表_查询来自_northwind3[[#This Row],[订购日期]])</f>
        <v>1997</v>
      </c>
      <c r="D276" s="1">
        <v>4.8</v>
      </c>
    </row>
    <row r="277" spans="1:4" x14ac:dyDescent="0.25">
      <c r="A277" s="1" t="s">
        <v>84</v>
      </c>
      <c r="B277" s="59">
        <v>35536</v>
      </c>
      <c r="C277" s="57">
        <f>YEAR(表_查询来自_northwind3[[#This Row],[订购日期]])</f>
        <v>1997</v>
      </c>
      <c r="D277" s="1">
        <v>60</v>
      </c>
    </row>
    <row r="278" spans="1:4" x14ac:dyDescent="0.25">
      <c r="A278" s="1" t="s">
        <v>84</v>
      </c>
      <c r="B278" s="59">
        <v>35555</v>
      </c>
      <c r="C278" s="57">
        <f>YEAR(表_查询来自_northwind3[[#This Row],[订购日期]])</f>
        <v>1997</v>
      </c>
      <c r="D278" s="1">
        <v>60</v>
      </c>
    </row>
    <row r="279" spans="1:4" x14ac:dyDescent="0.25">
      <c r="A279" s="1" t="s">
        <v>84</v>
      </c>
      <c r="B279" s="59">
        <v>35566</v>
      </c>
      <c r="C279" s="57">
        <f>YEAR(表_查询来自_northwind3[[#This Row],[订购日期]])</f>
        <v>1997</v>
      </c>
      <c r="D279" s="1">
        <v>48</v>
      </c>
    </row>
    <row r="280" spans="1:4" x14ac:dyDescent="0.25">
      <c r="A280" s="1" t="s">
        <v>84</v>
      </c>
      <c r="B280" s="59">
        <v>35627</v>
      </c>
      <c r="C280" s="57">
        <f>YEAR(表_查询来自_northwind3[[#This Row],[订购日期]])</f>
        <v>1997</v>
      </c>
      <c r="D280" s="1">
        <v>360</v>
      </c>
    </row>
    <row r="281" spans="1:4" x14ac:dyDescent="0.25">
      <c r="A281" s="1" t="s">
        <v>84</v>
      </c>
      <c r="B281" s="59">
        <v>35640</v>
      </c>
      <c r="C281" s="57">
        <f>YEAR(表_查询来自_northwind3[[#This Row],[订购日期]])</f>
        <v>1997</v>
      </c>
      <c r="D281" s="1">
        <v>43.199999928474426</v>
      </c>
    </row>
    <row r="282" spans="1:4" x14ac:dyDescent="0.25">
      <c r="A282" s="1" t="s">
        <v>84</v>
      </c>
      <c r="B282" s="59">
        <v>35657</v>
      </c>
      <c r="C282" s="57">
        <f>YEAR(表_查询来自_northwind3[[#This Row],[订购日期]])</f>
        <v>1997</v>
      </c>
      <c r="D282" s="1">
        <v>66.299999535083771</v>
      </c>
    </row>
    <row r="283" spans="1:4" x14ac:dyDescent="0.25">
      <c r="A283" s="1" t="s">
        <v>84</v>
      </c>
      <c r="B283" s="59">
        <v>35745</v>
      </c>
      <c r="C283" s="57">
        <f>YEAR(表_查询来自_northwind3[[#This Row],[订购日期]])</f>
        <v>1997</v>
      </c>
      <c r="D283" s="1">
        <v>24</v>
      </c>
    </row>
    <row r="284" spans="1:4" x14ac:dyDescent="0.25">
      <c r="A284" s="1" t="s">
        <v>84</v>
      </c>
      <c r="B284" s="59">
        <v>35753</v>
      </c>
      <c r="C284" s="57">
        <f>YEAR(表_查询来自_northwind3[[#This Row],[订购日期]])</f>
        <v>1997</v>
      </c>
      <c r="D284" s="1">
        <v>36</v>
      </c>
    </row>
    <row r="285" spans="1:4" x14ac:dyDescent="0.25">
      <c r="A285" s="1" t="s">
        <v>84</v>
      </c>
      <c r="B285" s="59">
        <v>35790</v>
      </c>
      <c r="C285" s="57">
        <f>YEAR(表_查询来自_northwind3[[#This Row],[订购日期]])</f>
        <v>1997</v>
      </c>
      <c r="D285" s="1">
        <v>101.99999928474426</v>
      </c>
    </row>
    <row r="286" spans="1:4" x14ac:dyDescent="0.25">
      <c r="A286" s="1" t="s">
        <v>84</v>
      </c>
      <c r="B286" s="59">
        <v>35796</v>
      </c>
      <c r="C286" s="57">
        <f>YEAR(表_查询来自_northwind3[[#This Row],[订购日期]])</f>
        <v>1998</v>
      </c>
      <c r="D286" s="1">
        <v>42</v>
      </c>
    </row>
    <row r="287" spans="1:4" x14ac:dyDescent="0.25">
      <c r="A287" s="1" t="s">
        <v>84</v>
      </c>
      <c r="B287" s="59">
        <v>35808</v>
      </c>
      <c r="C287" s="57">
        <f>YEAR(表_查询来自_northwind3[[#This Row],[订购日期]])</f>
        <v>1998</v>
      </c>
      <c r="D287" s="1">
        <v>60</v>
      </c>
    </row>
    <row r="288" spans="1:4" x14ac:dyDescent="0.25">
      <c r="A288" s="1" t="s">
        <v>84</v>
      </c>
      <c r="B288" s="59">
        <v>35809</v>
      </c>
      <c r="C288" s="57">
        <f>YEAR(表_查询来自_northwind3[[#This Row],[订购日期]])</f>
        <v>1998</v>
      </c>
      <c r="D288" s="1">
        <v>14.39999994635582</v>
      </c>
    </row>
    <row r="289" spans="1:4" x14ac:dyDescent="0.25">
      <c r="A289" s="1" t="s">
        <v>84</v>
      </c>
      <c r="B289" s="59">
        <v>35811</v>
      </c>
      <c r="C289" s="57">
        <f>YEAR(表_查询来自_northwind3[[#This Row],[订购日期]])</f>
        <v>1998</v>
      </c>
      <c r="D289" s="1">
        <v>36</v>
      </c>
    </row>
    <row r="290" spans="1:4" x14ac:dyDescent="0.25">
      <c r="A290" s="1" t="s">
        <v>84</v>
      </c>
      <c r="B290" s="59">
        <v>35822</v>
      </c>
      <c r="C290" s="57">
        <f>YEAR(表_查询来自_northwind3[[#This Row],[订购日期]])</f>
        <v>1998</v>
      </c>
      <c r="D290" s="1">
        <v>331.49999767541885</v>
      </c>
    </row>
    <row r="291" spans="1:4" x14ac:dyDescent="0.25">
      <c r="A291" s="1" t="s">
        <v>84</v>
      </c>
      <c r="B291" s="59">
        <v>35844</v>
      </c>
      <c r="C291" s="57">
        <f>YEAR(表_查询来自_northwind3[[#This Row],[订购日期]])</f>
        <v>1998</v>
      </c>
      <c r="D291" s="1">
        <v>159.59999987483025</v>
      </c>
    </row>
    <row r="292" spans="1:4" x14ac:dyDescent="0.25">
      <c r="A292" s="1" t="s">
        <v>84</v>
      </c>
      <c r="B292" s="59">
        <v>35846</v>
      </c>
      <c r="C292" s="57">
        <f>YEAR(表_查询来自_northwind3[[#This Row],[订购日期]])</f>
        <v>1998</v>
      </c>
      <c r="D292" s="1">
        <v>30</v>
      </c>
    </row>
    <row r="293" spans="1:4" x14ac:dyDescent="0.25">
      <c r="A293" s="1" t="s">
        <v>84</v>
      </c>
      <c r="B293" s="59">
        <v>35850</v>
      </c>
      <c r="C293" s="57">
        <f>YEAR(表_查询来自_northwind3[[#This Row],[订购日期]])</f>
        <v>1998</v>
      </c>
      <c r="D293" s="1">
        <v>240</v>
      </c>
    </row>
    <row r="294" spans="1:4" x14ac:dyDescent="0.25">
      <c r="A294" s="1" t="s">
        <v>84</v>
      </c>
      <c r="B294" s="59">
        <v>35858</v>
      </c>
      <c r="C294" s="57">
        <f>YEAR(表_查询来自_northwind3[[#This Row],[订购日期]])</f>
        <v>1998</v>
      </c>
      <c r="D294" s="1">
        <v>60</v>
      </c>
    </row>
    <row r="295" spans="1:4" x14ac:dyDescent="0.25">
      <c r="A295" s="1" t="s">
        <v>84</v>
      </c>
      <c r="B295" s="59">
        <v>35860</v>
      </c>
      <c r="C295" s="57">
        <f>YEAR(表_查询来自_northwind3[[#This Row],[订购日期]])</f>
        <v>1998</v>
      </c>
      <c r="D295" s="1">
        <v>214.19999849796295</v>
      </c>
    </row>
    <row r="296" spans="1:4" x14ac:dyDescent="0.25">
      <c r="A296" s="1" t="s">
        <v>84</v>
      </c>
      <c r="B296" s="59">
        <v>35864</v>
      </c>
      <c r="C296" s="57">
        <f>YEAR(表_查询来自_northwind3[[#This Row],[订购日期]])</f>
        <v>1998</v>
      </c>
      <c r="D296" s="1">
        <v>90</v>
      </c>
    </row>
    <row r="297" spans="1:4" x14ac:dyDescent="0.25">
      <c r="A297" s="1" t="s">
        <v>84</v>
      </c>
      <c r="B297" s="59">
        <v>35865</v>
      </c>
      <c r="C297" s="57">
        <f>YEAR(表_查询来自_northwind3[[#This Row],[订购日期]])</f>
        <v>1998</v>
      </c>
      <c r="D297" s="1">
        <v>120</v>
      </c>
    </row>
    <row r="298" spans="1:4" x14ac:dyDescent="0.25">
      <c r="A298" s="1" t="s">
        <v>84</v>
      </c>
      <c r="B298" s="59">
        <v>35865</v>
      </c>
      <c r="C298" s="57">
        <f>YEAR(表_查询来自_northwind3[[#This Row],[订购日期]])</f>
        <v>1998</v>
      </c>
      <c r="D298" s="1">
        <v>90</v>
      </c>
    </row>
    <row r="299" spans="1:4" x14ac:dyDescent="0.25">
      <c r="A299" s="1" t="s">
        <v>84</v>
      </c>
      <c r="B299" s="59">
        <v>35866</v>
      </c>
      <c r="C299" s="57">
        <f>YEAR(表_查询来自_northwind3[[#This Row],[订购日期]])</f>
        <v>1998</v>
      </c>
      <c r="D299" s="1">
        <v>120</v>
      </c>
    </row>
    <row r="300" spans="1:4" x14ac:dyDescent="0.25">
      <c r="A300" s="1" t="s">
        <v>84</v>
      </c>
      <c r="B300" s="59">
        <v>35873</v>
      </c>
      <c r="C300" s="57">
        <f>YEAR(表_查询来自_northwind3[[#This Row],[订购日期]])</f>
        <v>1998</v>
      </c>
      <c r="D300" s="1">
        <v>462</v>
      </c>
    </row>
    <row r="301" spans="1:4" x14ac:dyDescent="0.25">
      <c r="A301" s="1" t="s">
        <v>84</v>
      </c>
      <c r="B301" s="59">
        <v>35881</v>
      </c>
      <c r="C301" s="57">
        <f>YEAR(表_查询来自_northwind3[[#This Row],[订购日期]])</f>
        <v>1998</v>
      </c>
      <c r="D301" s="1">
        <v>428.3999969959259</v>
      </c>
    </row>
    <row r="302" spans="1:4" x14ac:dyDescent="0.25">
      <c r="A302" s="1" t="s">
        <v>84</v>
      </c>
      <c r="B302" s="59">
        <v>35891</v>
      </c>
      <c r="C302" s="57">
        <f>YEAR(表_查询来自_northwind3[[#This Row],[订购日期]])</f>
        <v>1998</v>
      </c>
      <c r="D302" s="1">
        <v>336</v>
      </c>
    </row>
    <row r="303" spans="1:4" x14ac:dyDescent="0.25">
      <c r="A303" s="1" t="s">
        <v>84</v>
      </c>
      <c r="B303" s="59">
        <v>35900</v>
      </c>
      <c r="C303" s="57">
        <f>YEAR(表_查询来自_northwind3[[#This Row],[订购日期]])</f>
        <v>1998</v>
      </c>
      <c r="D303" s="1">
        <v>107.99999982118607</v>
      </c>
    </row>
    <row r="304" spans="1:4" x14ac:dyDescent="0.25">
      <c r="A304" s="1" t="s">
        <v>84</v>
      </c>
      <c r="B304" s="59">
        <v>35902</v>
      </c>
      <c r="C304" s="57">
        <f>YEAR(表_查询来自_northwind3[[#This Row],[订购日期]])</f>
        <v>1998</v>
      </c>
      <c r="D304" s="1">
        <v>480</v>
      </c>
    </row>
    <row r="305" spans="1:4" x14ac:dyDescent="0.25">
      <c r="A305" s="1" t="s">
        <v>84</v>
      </c>
      <c r="B305" s="59">
        <v>35905</v>
      </c>
      <c r="C305" s="57">
        <f>YEAR(表_查询来自_northwind3[[#This Row],[订购日期]])</f>
        <v>1998</v>
      </c>
      <c r="D305" s="1">
        <v>42</v>
      </c>
    </row>
    <row r="306" spans="1:4" x14ac:dyDescent="0.25">
      <c r="A306" s="1" t="s">
        <v>84</v>
      </c>
      <c r="B306" s="59">
        <v>35914</v>
      </c>
      <c r="C306" s="57">
        <f>YEAR(表_查询来自_northwind3[[#This Row],[订购日期]])</f>
        <v>1998</v>
      </c>
      <c r="D306" s="1">
        <v>180</v>
      </c>
    </row>
    <row r="307" spans="1:4" x14ac:dyDescent="0.25">
      <c r="A307" s="1" t="s">
        <v>84</v>
      </c>
      <c r="B307" s="59">
        <v>35920</v>
      </c>
      <c r="C307" s="57">
        <f>YEAR(表_查询来自_northwind3[[#This Row],[订购日期]])</f>
        <v>1998</v>
      </c>
      <c r="D307" s="1">
        <v>56.999999955296516</v>
      </c>
    </row>
    <row r="308" spans="1:4" x14ac:dyDescent="0.25">
      <c r="A308" s="1" t="s">
        <v>84</v>
      </c>
      <c r="B308" s="59">
        <v>35921</v>
      </c>
      <c r="C308" s="57">
        <f>YEAR(表_查询来自_northwind3[[#This Row],[订购日期]])</f>
        <v>1998</v>
      </c>
      <c r="D308" s="1">
        <v>24</v>
      </c>
    </row>
    <row r="309" spans="1:4" x14ac:dyDescent="0.25">
      <c r="A309" s="1" t="s">
        <v>85</v>
      </c>
      <c r="B309" s="59">
        <v>35251</v>
      </c>
      <c r="C309" s="57">
        <f>YEAR(表_查询来自_northwind3[[#This Row],[订购日期]])</f>
        <v>1996</v>
      </c>
      <c r="D309" s="1">
        <v>167.4</v>
      </c>
    </row>
    <row r="310" spans="1:4" x14ac:dyDescent="0.25">
      <c r="A310" s="1" t="s">
        <v>85</v>
      </c>
      <c r="B310" s="59">
        <v>35347</v>
      </c>
      <c r="C310" s="57">
        <f>YEAR(表_查询来自_northwind3[[#This Row],[订购日期]])</f>
        <v>1996</v>
      </c>
      <c r="D310" s="1">
        <v>167.4</v>
      </c>
    </row>
    <row r="311" spans="1:4" x14ac:dyDescent="0.25">
      <c r="A311" s="1" t="s">
        <v>85</v>
      </c>
      <c r="B311" s="59">
        <v>35356</v>
      </c>
      <c r="C311" s="57">
        <f>YEAR(表_查询来自_northwind3[[#This Row],[订购日期]])</f>
        <v>1996</v>
      </c>
      <c r="D311" s="1">
        <v>186</v>
      </c>
    </row>
    <row r="312" spans="1:4" x14ac:dyDescent="0.25">
      <c r="A312" s="1" t="s">
        <v>85</v>
      </c>
      <c r="B312" s="59">
        <v>35405</v>
      </c>
      <c r="C312" s="57">
        <f>YEAR(表_查询来自_northwind3[[#This Row],[订购日期]])</f>
        <v>1996</v>
      </c>
      <c r="D312" s="1">
        <v>279</v>
      </c>
    </row>
    <row r="313" spans="1:4" x14ac:dyDescent="0.25">
      <c r="A313" s="1" t="s">
        <v>85</v>
      </c>
      <c r="B313" s="59">
        <v>35424</v>
      </c>
      <c r="C313" s="57">
        <f>YEAR(表_查询来自_northwind3[[#This Row],[订购日期]])</f>
        <v>1996</v>
      </c>
      <c r="D313" s="1">
        <v>585.90000000000009</v>
      </c>
    </row>
    <row r="314" spans="1:4" x14ac:dyDescent="0.25">
      <c r="A314" s="1" t="s">
        <v>85</v>
      </c>
      <c r="B314" s="59">
        <v>35439</v>
      </c>
      <c r="C314" s="57">
        <f>YEAR(表_查询来自_northwind3[[#This Row],[订购日期]])</f>
        <v>1997</v>
      </c>
      <c r="D314" s="1">
        <v>223.2</v>
      </c>
    </row>
    <row r="315" spans="1:4" x14ac:dyDescent="0.25">
      <c r="A315" s="1" t="s">
        <v>85</v>
      </c>
      <c r="B315" s="59">
        <v>35443</v>
      </c>
      <c r="C315" s="57">
        <f>YEAR(表_查询来自_northwind3[[#This Row],[订购日期]])</f>
        <v>1997</v>
      </c>
      <c r="D315" s="1">
        <v>334.7999994456768</v>
      </c>
    </row>
    <row r="316" spans="1:4" x14ac:dyDescent="0.25">
      <c r="A316" s="1" t="s">
        <v>85</v>
      </c>
      <c r="B316" s="59">
        <v>35457</v>
      </c>
      <c r="C316" s="57">
        <f>YEAR(表_查询来自_northwind3[[#This Row],[订购日期]])</f>
        <v>1997</v>
      </c>
      <c r="D316" s="1">
        <v>651</v>
      </c>
    </row>
    <row r="317" spans="1:4" x14ac:dyDescent="0.25">
      <c r="A317" s="1" t="s">
        <v>85</v>
      </c>
      <c r="B317" s="59">
        <v>35502</v>
      </c>
      <c r="C317" s="57">
        <f>YEAR(表_查询来自_northwind3[[#This Row],[订购日期]])</f>
        <v>1997</v>
      </c>
      <c r="D317" s="1">
        <v>223.2</v>
      </c>
    </row>
    <row r="318" spans="1:4" x14ac:dyDescent="0.25">
      <c r="A318" s="1" t="s">
        <v>85</v>
      </c>
      <c r="B318" s="59">
        <v>35531</v>
      </c>
      <c r="C318" s="57">
        <f>YEAR(表_查询来自_northwind3[[#This Row],[订购日期]])</f>
        <v>1997</v>
      </c>
      <c r="D318" s="1">
        <v>1627.5</v>
      </c>
    </row>
    <row r="319" spans="1:4" x14ac:dyDescent="0.25">
      <c r="A319" s="1" t="s">
        <v>85</v>
      </c>
      <c r="B319" s="59">
        <v>35583</v>
      </c>
      <c r="C319" s="57">
        <f>YEAR(表_查询来自_northwind3[[#This Row],[订购日期]])</f>
        <v>1997</v>
      </c>
      <c r="D319" s="1">
        <v>557.99999792128801</v>
      </c>
    </row>
    <row r="320" spans="1:4" x14ac:dyDescent="0.25">
      <c r="A320" s="1" t="s">
        <v>85</v>
      </c>
      <c r="B320" s="59">
        <v>35598</v>
      </c>
      <c r="C320" s="57">
        <f>YEAR(表_查询来自_northwind3[[#This Row],[订购日期]])</f>
        <v>1997</v>
      </c>
      <c r="D320" s="1">
        <v>217.38749847561121</v>
      </c>
    </row>
    <row r="321" spans="1:4" x14ac:dyDescent="0.25">
      <c r="A321" s="1" t="s">
        <v>85</v>
      </c>
      <c r="B321" s="59">
        <v>35607</v>
      </c>
      <c r="C321" s="57">
        <f>YEAR(表_查询来自_northwind3[[#This Row],[订购日期]])</f>
        <v>1997</v>
      </c>
      <c r="D321" s="1">
        <v>331.312499740161</v>
      </c>
    </row>
    <row r="322" spans="1:4" x14ac:dyDescent="0.25">
      <c r="A322" s="1" t="s">
        <v>85</v>
      </c>
      <c r="B322" s="59">
        <v>35649</v>
      </c>
      <c r="C322" s="57">
        <f>YEAR(表_查询来自_northwind3[[#This Row],[订购日期]])</f>
        <v>1997</v>
      </c>
      <c r="D322" s="1">
        <v>488.25</v>
      </c>
    </row>
    <row r="323" spans="1:4" x14ac:dyDescent="0.25">
      <c r="A323" s="1" t="s">
        <v>85</v>
      </c>
      <c r="B323" s="59">
        <v>35650</v>
      </c>
      <c r="C323" s="57">
        <f>YEAR(表_查询来自_northwind3[[#This Row],[订购日期]])</f>
        <v>1997</v>
      </c>
      <c r="D323" s="1">
        <v>69.75</v>
      </c>
    </row>
    <row r="324" spans="1:4" x14ac:dyDescent="0.25">
      <c r="A324" s="1" t="s">
        <v>85</v>
      </c>
      <c r="B324" s="59">
        <v>35677</v>
      </c>
      <c r="C324" s="57">
        <f>YEAR(表_查询来自_northwind3[[#This Row],[订购日期]])</f>
        <v>1997</v>
      </c>
      <c r="D324" s="1">
        <v>62.774999896064401</v>
      </c>
    </row>
    <row r="325" spans="1:4" x14ac:dyDescent="0.25">
      <c r="A325" s="1" t="s">
        <v>85</v>
      </c>
      <c r="B325" s="59">
        <v>35692</v>
      </c>
      <c r="C325" s="57">
        <f>YEAR(表_查询来自_northwind3[[#This Row],[订购日期]])</f>
        <v>1997</v>
      </c>
      <c r="D325" s="1">
        <v>697.5</v>
      </c>
    </row>
    <row r="326" spans="1:4" x14ac:dyDescent="0.25">
      <c r="A326" s="1" t="s">
        <v>85</v>
      </c>
      <c r="B326" s="59">
        <v>35741</v>
      </c>
      <c r="C326" s="57">
        <f>YEAR(表_查询来自_northwind3[[#This Row],[订购日期]])</f>
        <v>1997</v>
      </c>
      <c r="D326" s="1">
        <v>372</v>
      </c>
    </row>
    <row r="327" spans="1:4" x14ac:dyDescent="0.25">
      <c r="A327" s="1" t="s">
        <v>85</v>
      </c>
      <c r="B327" s="59">
        <v>35755</v>
      </c>
      <c r="C327" s="57">
        <f>YEAR(表_查询来自_northwind3[[#This Row],[订购日期]])</f>
        <v>1997</v>
      </c>
      <c r="D327" s="1">
        <v>98.812499307096004</v>
      </c>
    </row>
    <row r="328" spans="1:4" x14ac:dyDescent="0.25">
      <c r="A328" s="1" t="s">
        <v>85</v>
      </c>
      <c r="B328" s="59">
        <v>35788</v>
      </c>
      <c r="C328" s="57">
        <f>YEAR(表_查询来自_northwind3[[#This Row],[订购日期]])</f>
        <v>1997</v>
      </c>
      <c r="D328" s="1">
        <v>278.99999896064401</v>
      </c>
    </row>
    <row r="329" spans="1:4" x14ac:dyDescent="0.25">
      <c r="A329" s="1" t="s">
        <v>85</v>
      </c>
      <c r="B329" s="59">
        <v>35921</v>
      </c>
      <c r="C329" s="57">
        <f>YEAR(表_查询来自_northwind3[[#This Row],[订购日期]])</f>
        <v>1998</v>
      </c>
      <c r="D329" s="1">
        <v>348.75</v>
      </c>
    </row>
    <row r="330" spans="1:4" x14ac:dyDescent="0.25">
      <c r="A330" s="1" t="s">
        <v>85</v>
      </c>
      <c r="B330" s="59">
        <v>35921</v>
      </c>
      <c r="C330" s="57">
        <f>YEAR(表_查询来自_northwind3[[#This Row],[订购日期]])</f>
        <v>1998</v>
      </c>
      <c r="D330" s="1">
        <v>22.55250001559034</v>
      </c>
    </row>
    <row r="331" spans="1:4" x14ac:dyDescent="0.25">
      <c r="A331" s="1" t="s">
        <v>86</v>
      </c>
      <c r="B331" s="59">
        <v>35293</v>
      </c>
      <c r="C331" s="57">
        <f>YEAR(表_查询来自_northwind3[[#This Row],[订购日期]])</f>
        <v>1996</v>
      </c>
      <c r="D331" s="1">
        <v>248</v>
      </c>
    </row>
    <row r="332" spans="1:4" x14ac:dyDescent="0.25">
      <c r="A332" s="1" t="s">
        <v>86</v>
      </c>
      <c r="B332" s="59">
        <v>35345</v>
      </c>
      <c r="C332" s="57">
        <f>YEAR(表_查询来自_northwind3[[#This Row],[订购日期]])</f>
        <v>1996</v>
      </c>
      <c r="D332" s="1">
        <v>62</v>
      </c>
    </row>
    <row r="333" spans="1:4" x14ac:dyDescent="0.25">
      <c r="A333" s="1" t="s">
        <v>86</v>
      </c>
      <c r="B333" s="59">
        <v>35529</v>
      </c>
      <c r="C333" s="57">
        <f>YEAR(表_查询来自_northwind3[[#This Row],[订购日期]])</f>
        <v>1997</v>
      </c>
      <c r="D333" s="1">
        <v>176.6999998614192</v>
      </c>
    </row>
    <row r="334" spans="1:4" x14ac:dyDescent="0.25">
      <c r="A334" s="1" t="s">
        <v>86</v>
      </c>
      <c r="B334" s="59">
        <v>35606</v>
      </c>
      <c r="C334" s="57">
        <f>YEAR(表_查询来自_northwind3[[#This Row],[订购日期]])</f>
        <v>1997</v>
      </c>
      <c r="D334" s="1">
        <v>155</v>
      </c>
    </row>
    <row r="335" spans="1:4" x14ac:dyDescent="0.25">
      <c r="A335" s="1" t="s">
        <v>86</v>
      </c>
      <c r="B335" s="59">
        <v>35619</v>
      </c>
      <c r="C335" s="57">
        <f>YEAR(表_查询来自_northwind3[[#This Row],[订购日期]])</f>
        <v>1997</v>
      </c>
      <c r="D335" s="1">
        <v>368.12499971129</v>
      </c>
    </row>
    <row r="336" spans="1:4" x14ac:dyDescent="0.25">
      <c r="A336" s="1" t="s">
        <v>86</v>
      </c>
      <c r="B336" s="59">
        <v>35677</v>
      </c>
      <c r="C336" s="57">
        <f>YEAR(表_查询来自_northwind3[[#This Row],[订购日期]])</f>
        <v>1997</v>
      </c>
      <c r="D336" s="1">
        <v>775</v>
      </c>
    </row>
    <row r="337" spans="1:4" x14ac:dyDescent="0.25">
      <c r="A337" s="1" t="s">
        <v>87</v>
      </c>
      <c r="B337" s="59">
        <v>35258</v>
      </c>
      <c r="C337" s="57">
        <f>YEAR(表_查询来自_northwind3[[#This Row],[订购日期]])</f>
        <v>1996</v>
      </c>
      <c r="D337" s="1">
        <v>486.5</v>
      </c>
    </row>
    <row r="338" spans="1:4" x14ac:dyDescent="0.25">
      <c r="A338" s="1" t="s">
        <v>87</v>
      </c>
      <c r="B338" s="59">
        <v>35269</v>
      </c>
      <c r="C338" s="57">
        <f>YEAR(表_查询来自_northwind3[[#This Row],[订购日期]])</f>
        <v>1996</v>
      </c>
      <c r="D338" s="1">
        <v>625.5</v>
      </c>
    </row>
    <row r="339" spans="1:4" x14ac:dyDescent="0.25">
      <c r="A339" s="1" t="s">
        <v>87</v>
      </c>
      <c r="B339" s="59">
        <v>35299</v>
      </c>
      <c r="C339" s="57">
        <f>YEAR(表_查询来自_northwind3[[#This Row],[订购日期]])</f>
        <v>1996</v>
      </c>
      <c r="D339" s="1">
        <v>472.59999668598175</v>
      </c>
    </row>
    <row r="340" spans="1:4" x14ac:dyDescent="0.25">
      <c r="A340" s="1" t="s">
        <v>87</v>
      </c>
      <c r="B340" s="59">
        <v>35311</v>
      </c>
      <c r="C340" s="57">
        <f>YEAR(表_查询来自_northwind3[[#This Row],[订购日期]])</f>
        <v>1996</v>
      </c>
      <c r="D340" s="1">
        <v>417</v>
      </c>
    </row>
    <row r="341" spans="1:4" x14ac:dyDescent="0.25">
      <c r="A341" s="1" t="s">
        <v>87</v>
      </c>
      <c r="B341" s="59">
        <v>35328</v>
      </c>
      <c r="C341" s="57">
        <f>YEAR(表_查询来自_northwind3[[#This Row],[订购日期]])</f>
        <v>1996</v>
      </c>
      <c r="D341" s="1">
        <v>139</v>
      </c>
    </row>
    <row r="342" spans="1:4" x14ac:dyDescent="0.25">
      <c r="A342" s="1" t="s">
        <v>87</v>
      </c>
      <c r="B342" s="59">
        <v>35346</v>
      </c>
      <c r="C342" s="57">
        <f>YEAR(表_查询来自_northwind3[[#This Row],[订购日期]])</f>
        <v>1996</v>
      </c>
      <c r="D342" s="1">
        <v>248.1149982601404</v>
      </c>
    </row>
    <row r="343" spans="1:4" x14ac:dyDescent="0.25">
      <c r="A343" s="1" t="s">
        <v>87</v>
      </c>
      <c r="B343" s="59">
        <v>35390</v>
      </c>
      <c r="C343" s="57">
        <f>YEAR(表_查询来自_northwind3[[#This Row],[订购日期]])</f>
        <v>1996</v>
      </c>
      <c r="D343" s="1">
        <v>739.47999942004674</v>
      </c>
    </row>
    <row r="344" spans="1:4" x14ac:dyDescent="0.25">
      <c r="A344" s="1" t="s">
        <v>87</v>
      </c>
      <c r="B344" s="59">
        <v>35433</v>
      </c>
      <c r="C344" s="57">
        <f>YEAR(表_查询来自_northwind3[[#This Row],[订购日期]])</f>
        <v>1997</v>
      </c>
      <c r="D344" s="1">
        <v>248.1149982601404</v>
      </c>
    </row>
    <row r="345" spans="1:4" x14ac:dyDescent="0.25">
      <c r="A345" s="1" t="s">
        <v>87</v>
      </c>
      <c r="B345" s="59">
        <v>35468</v>
      </c>
      <c r="C345" s="57">
        <f>YEAR(表_查询来自_northwind3[[#This Row],[订购日期]])</f>
        <v>1997</v>
      </c>
      <c r="D345" s="1">
        <v>222.4</v>
      </c>
    </row>
    <row r="346" spans="1:4" x14ac:dyDescent="0.25">
      <c r="A346" s="1" t="s">
        <v>87</v>
      </c>
      <c r="B346" s="59">
        <v>35471</v>
      </c>
      <c r="C346" s="57">
        <f>YEAR(表_查询来自_northwind3[[#This Row],[订购日期]])</f>
        <v>1997</v>
      </c>
      <c r="D346" s="1">
        <v>578.93499594032767</v>
      </c>
    </row>
    <row r="347" spans="1:4" x14ac:dyDescent="0.25">
      <c r="A347" s="1" t="s">
        <v>87</v>
      </c>
      <c r="B347" s="59">
        <v>35482</v>
      </c>
      <c r="C347" s="57">
        <f>YEAR(表_查询来自_northwind3[[#This Row],[订购日期]])</f>
        <v>1997</v>
      </c>
      <c r="D347" s="1">
        <v>222.39999917149544</v>
      </c>
    </row>
    <row r="348" spans="1:4" x14ac:dyDescent="0.25">
      <c r="A348" s="1" t="s">
        <v>87</v>
      </c>
      <c r="B348" s="59">
        <v>35499</v>
      </c>
      <c r="C348" s="57">
        <f>YEAR(表_查询来自_northwind3[[#This Row],[订购日期]])</f>
        <v>1997</v>
      </c>
      <c r="D348" s="1">
        <v>413.52499710023403</v>
      </c>
    </row>
    <row r="349" spans="1:4" x14ac:dyDescent="0.25">
      <c r="A349" s="1" t="s">
        <v>87</v>
      </c>
      <c r="B349" s="59">
        <v>35517</v>
      </c>
      <c r="C349" s="57">
        <f>YEAR(表_查询来自_northwind3[[#This Row],[订购日期]])</f>
        <v>1997</v>
      </c>
      <c r="D349" s="1">
        <v>250.2</v>
      </c>
    </row>
    <row r="350" spans="1:4" x14ac:dyDescent="0.25">
      <c r="A350" s="1" t="s">
        <v>87</v>
      </c>
      <c r="B350" s="59">
        <v>35543</v>
      </c>
      <c r="C350" s="57">
        <f>YEAR(表_查询来自_northwind3[[#This Row],[订购日期]])</f>
        <v>1997</v>
      </c>
      <c r="D350" s="1">
        <v>872.5</v>
      </c>
    </row>
    <row r="351" spans="1:4" x14ac:dyDescent="0.25">
      <c r="A351" s="1" t="s">
        <v>87</v>
      </c>
      <c r="B351" s="59">
        <v>35578</v>
      </c>
      <c r="C351" s="57">
        <f>YEAR(表_查询来自_northwind3[[#This Row],[订购日期]])</f>
        <v>1997</v>
      </c>
      <c r="D351" s="1">
        <v>593.29999583959579</v>
      </c>
    </row>
    <row r="352" spans="1:4" x14ac:dyDescent="0.25">
      <c r="A352" s="1" t="s">
        <v>87</v>
      </c>
      <c r="B352" s="59">
        <v>35580</v>
      </c>
      <c r="C352" s="57">
        <f>YEAR(表_查询来自_northwind3[[#This Row],[订购日期]])</f>
        <v>1997</v>
      </c>
      <c r="D352" s="1">
        <v>244.3</v>
      </c>
    </row>
    <row r="353" spans="1:4" x14ac:dyDescent="0.25">
      <c r="A353" s="1" t="s">
        <v>87</v>
      </c>
      <c r="B353" s="59">
        <v>35580</v>
      </c>
      <c r="C353" s="57">
        <f>YEAR(表_查询来自_northwind3[[#This Row],[订购日期]])</f>
        <v>1997</v>
      </c>
      <c r="D353" s="1">
        <v>497.32499960996211</v>
      </c>
    </row>
    <row r="354" spans="1:4" x14ac:dyDescent="0.25">
      <c r="A354" s="1" t="s">
        <v>87</v>
      </c>
      <c r="B354" s="59">
        <v>35599</v>
      </c>
      <c r="C354" s="57">
        <f>YEAR(表_查询来自_northwind3[[#This Row],[订购日期]])</f>
        <v>1997</v>
      </c>
      <c r="D354" s="1">
        <v>188.45999968796968</v>
      </c>
    </row>
    <row r="355" spans="1:4" x14ac:dyDescent="0.25">
      <c r="A355" s="1" t="s">
        <v>87</v>
      </c>
      <c r="B355" s="59">
        <v>35632</v>
      </c>
      <c r="C355" s="57">
        <f>YEAR(表_查询来自_northwind3[[#This Row],[订购日期]])</f>
        <v>1997</v>
      </c>
      <c r="D355" s="1">
        <v>497.32499960996211</v>
      </c>
    </row>
    <row r="356" spans="1:4" x14ac:dyDescent="0.25">
      <c r="A356" s="1" t="s">
        <v>87</v>
      </c>
      <c r="B356" s="59">
        <v>35675</v>
      </c>
      <c r="C356" s="57">
        <f>YEAR(表_查询来自_northwind3[[#This Row],[订购日期]])</f>
        <v>1997</v>
      </c>
      <c r="D356" s="1">
        <v>471.14999921992421</v>
      </c>
    </row>
    <row r="357" spans="1:4" x14ac:dyDescent="0.25">
      <c r="A357" s="1" t="s">
        <v>87</v>
      </c>
      <c r="B357" s="59">
        <v>35690</v>
      </c>
      <c r="C357" s="57">
        <f>YEAR(表_查询来自_northwind3[[#This Row],[订购日期]])</f>
        <v>1997</v>
      </c>
      <c r="D357" s="1">
        <v>174.5</v>
      </c>
    </row>
    <row r="358" spans="1:4" x14ac:dyDescent="0.25">
      <c r="A358" s="1" t="s">
        <v>87</v>
      </c>
      <c r="B358" s="59">
        <v>35691</v>
      </c>
      <c r="C358" s="57">
        <f>YEAR(表_查询来自_northwind3[[#This Row],[订购日期]])</f>
        <v>1997</v>
      </c>
      <c r="D358" s="1">
        <v>52.35</v>
      </c>
    </row>
    <row r="359" spans="1:4" x14ac:dyDescent="0.25">
      <c r="A359" s="1" t="s">
        <v>87</v>
      </c>
      <c r="B359" s="59">
        <v>35697</v>
      </c>
      <c r="C359" s="57">
        <f>YEAR(表_查询来自_northwind3[[#This Row],[订购日期]])</f>
        <v>1997</v>
      </c>
      <c r="D359" s="1">
        <v>654.375</v>
      </c>
    </row>
    <row r="360" spans="1:4" x14ac:dyDescent="0.25">
      <c r="A360" s="1" t="s">
        <v>87</v>
      </c>
      <c r="B360" s="59">
        <v>35719</v>
      </c>
      <c r="C360" s="57">
        <f>YEAR(表_查询来自_northwind3[[#This Row],[订购日期]])</f>
        <v>1997</v>
      </c>
      <c r="D360" s="1">
        <v>349</v>
      </c>
    </row>
    <row r="361" spans="1:4" x14ac:dyDescent="0.25">
      <c r="A361" s="1" t="s">
        <v>87</v>
      </c>
      <c r="B361" s="59">
        <v>35730</v>
      </c>
      <c r="C361" s="57">
        <f>YEAR(表_查询来自_northwind3[[#This Row],[订购日期]])</f>
        <v>1997</v>
      </c>
      <c r="D361" s="1">
        <v>349</v>
      </c>
    </row>
    <row r="362" spans="1:4" x14ac:dyDescent="0.25">
      <c r="A362" s="1" t="s">
        <v>87</v>
      </c>
      <c r="B362" s="59">
        <v>35739</v>
      </c>
      <c r="C362" s="57">
        <f>YEAR(表_查询来自_northwind3[[#This Row],[订购日期]])</f>
        <v>1997</v>
      </c>
      <c r="D362" s="1">
        <v>248.66249980498105</v>
      </c>
    </row>
    <row r="363" spans="1:4" x14ac:dyDescent="0.25">
      <c r="A363" s="1" t="s">
        <v>87</v>
      </c>
      <c r="B363" s="59">
        <v>35746</v>
      </c>
      <c r="C363" s="57">
        <f>YEAR(表_查询来自_northwind3[[#This Row],[订购日期]])</f>
        <v>1997</v>
      </c>
      <c r="D363" s="1">
        <v>52.35</v>
      </c>
    </row>
    <row r="364" spans="1:4" x14ac:dyDescent="0.25">
      <c r="A364" s="1" t="s">
        <v>87</v>
      </c>
      <c r="B364" s="59">
        <v>35780</v>
      </c>
      <c r="C364" s="57">
        <f>YEAR(表_查询来自_northwind3[[#This Row],[订购日期]])</f>
        <v>1997</v>
      </c>
      <c r="D364" s="1">
        <v>349</v>
      </c>
    </row>
    <row r="365" spans="1:4" x14ac:dyDescent="0.25">
      <c r="A365" s="1" t="s">
        <v>87</v>
      </c>
      <c r="B365" s="59">
        <v>35788</v>
      </c>
      <c r="C365" s="57">
        <f>YEAR(表_查询来自_northwind3[[#This Row],[订购日期]])</f>
        <v>1997</v>
      </c>
      <c r="D365" s="1">
        <v>1134.25</v>
      </c>
    </row>
    <row r="366" spans="1:4" x14ac:dyDescent="0.25">
      <c r="A366" s="1" t="s">
        <v>87</v>
      </c>
      <c r="B366" s="59">
        <v>35822</v>
      </c>
      <c r="C366" s="57">
        <f>YEAR(表_查询来自_northwind3[[#This Row],[订购日期]])</f>
        <v>1998</v>
      </c>
      <c r="D366" s="1">
        <v>872.5</v>
      </c>
    </row>
    <row r="367" spans="1:4" x14ac:dyDescent="0.25">
      <c r="A367" s="1" t="s">
        <v>87</v>
      </c>
      <c r="B367" s="59">
        <v>35831</v>
      </c>
      <c r="C367" s="57">
        <f>YEAR(表_查询来自_northwind3[[#This Row],[订购日期]])</f>
        <v>1998</v>
      </c>
      <c r="D367" s="1">
        <v>198.92999984398486</v>
      </c>
    </row>
    <row r="368" spans="1:4" x14ac:dyDescent="0.25">
      <c r="A368" s="1" t="s">
        <v>87</v>
      </c>
      <c r="B368" s="59">
        <v>35835</v>
      </c>
      <c r="C368" s="57">
        <f>YEAR(表_查询来自_northwind3[[#This Row],[订购日期]])</f>
        <v>1998</v>
      </c>
      <c r="D368" s="1">
        <v>392.625</v>
      </c>
    </row>
    <row r="369" spans="1:4" x14ac:dyDescent="0.25">
      <c r="A369" s="1" t="s">
        <v>87</v>
      </c>
      <c r="B369" s="59">
        <v>35852</v>
      </c>
      <c r="C369" s="57">
        <f>YEAR(表_查询来自_northwind3[[#This Row],[订购日期]])</f>
        <v>1998</v>
      </c>
      <c r="D369" s="1">
        <v>261.75</v>
      </c>
    </row>
    <row r="370" spans="1:4" x14ac:dyDescent="0.25">
      <c r="A370" s="1" t="s">
        <v>87</v>
      </c>
      <c r="B370" s="59">
        <v>35853</v>
      </c>
      <c r="C370" s="57">
        <f>YEAR(表_查询来自_northwind3[[#This Row],[订购日期]])</f>
        <v>1998</v>
      </c>
      <c r="D370" s="1">
        <v>104.7</v>
      </c>
    </row>
    <row r="371" spans="1:4" x14ac:dyDescent="0.25">
      <c r="A371" s="1" t="s">
        <v>87</v>
      </c>
      <c r="B371" s="59">
        <v>35856</v>
      </c>
      <c r="C371" s="57">
        <f>YEAR(表_查询来自_northwind3[[#This Row],[订购日期]])</f>
        <v>1998</v>
      </c>
      <c r="D371" s="1">
        <v>418.8</v>
      </c>
    </row>
    <row r="372" spans="1:4" x14ac:dyDescent="0.25">
      <c r="A372" s="1" t="s">
        <v>87</v>
      </c>
      <c r="B372" s="59">
        <v>35860</v>
      </c>
      <c r="C372" s="57">
        <f>YEAR(表_查询来自_northwind3[[#This Row],[订购日期]])</f>
        <v>1998</v>
      </c>
      <c r="D372" s="1">
        <v>471.14999921992421</v>
      </c>
    </row>
    <row r="373" spans="1:4" x14ac:dyDescent="0.25">
      <c r="A373" s="1" t="s">
        <v>87</v>
      </c>
      <c r="B373" s="59">
        <v>35871</v>
      </c>
      <c r="C373" s="57">
        <f>YEAR(表_查询来自_northwind3[[#This Row],[订购日期]])</f>
        <v>1998</v>
      </c>
      <c r="D373" s="1">
        <v>415.30999708771708</v>
      </c>
    </row>
    <row r="374" spans="1:4" x14ac:dyDescent="0.25">
      <c r="A374" s="1" t="s">
        <v>87</v>
      </c>
      <c r="B374" s="59">
        <v>35884</v>
      </c>
      <c r="C374" s="57">
        <f>YEAR(表_查询来自_northwind3[[#This Row],[订购日期]])</f>
        <v>1998</v>
      </c>
      <c r="D374" s="1">
        <v>959.75</v>
      </c>
    </row>
    <row r="375" spans="1:4" x14ac:dyDescent="0.25">
      <c r="A375" s="1" t="s">
        <v>87</v>
      </c>
      <c r="B375" s="59">
        <v>35884</v>
      </c>
      <c r="C375" s="57">
        <f>YEAR(表_查询来自_northwind3[[#This Row],[订购日期]])</f>
        <v>1998</v>
      </c>
      <c r="D375" s="1">
        <v>565.37999906390905</v>
      </c>
    </row>
    <row r="376" spans="1:4" x14ac:dyDescent="0.25">
      <c r="A376" s="1" t="s">
        <v>87</v>
      </c>
      <c r="B376" s="59">
        <v>35916</v>
      </c>
      <c r="C376" s="57">
        <f>YEAR(表_查询来自_northwind3[[#This Row],[订购日期]])</f>
        <v>1998</v>
      </c>
      <c r="D376" s="1">
        <v>52.35</v>
      </c>
    </row>
    <row r="377" spans="1:4" x14ac:dyDescent="0.25">
      <c r="A377" s="1" t="s">
        <v>87</v>
      </c>
      <c r="B377" s="59">
        <v>35920</v>
      </c>
      <c r="C377" s="57">
        <f>YEAR(表_查询来自_northwind3[[#This Row],[订购日期]])</f>
        <v>1998</v>
      </c>
      <c r="D377" s="1">
        <v>444.97499687969685</v>
      </c>
    </row>
    <row r="378" spans="1:4" x14ac:dyDescent="0.25">
      <c r="A378" s="1" t="s">
        <v>87</v>
      </c>
      <c r="B378" s="59">
        <v>35921</v>
      </c>
      <c r="C378" s="57">
        <f>YEAR(表_查询来自_northwind3[[#This Row],[订购日期]])</f>
        <v>1998</v>
      </c>
      <c r="D378" s="1">
        <v>232.08499981798232</v>
      </c>
    </row>
    <row r="379" spans="1:4" x14ac:dyDescent="0.25">
      <c r="A379" s="1" t="s">
        <v>87</v>
      </c>
      <c r="B379" s="59">
        <v>35921</v>
      </c>
      <c r="C379" s="57">
        <f>YEAR(表_查询来自_northwind3[[#This Row],[订购日期]])</f>
        <v>1998</v>
      </c>
      <c r="D379" s="1">
        <v>33.853000023402274</v>
      </c>
    </row>
    <row r="380" spans="1:4" x14ac:dyDescent="0.25">
      <c r="A380" s="1" t="s">
        <v>88</v>
      </c>
      <c r="B380" s="59">
        <v>35250</v>
      </c>
      <c r="C380" s="57">
        <f>YEAR(表_查询来自_northwind3[[#This Row],[订购日期]])</f>
        <v>1996</v>
      </c>
      <c r="D380" s="1">
        <v>168</v>
      </c>
    </row>
    <row r="381" spans="1:4" x14ac:dyDescent="0.25">
      <c r="A381" s="1" t="s">
        <v>88</v>
      </c>
      <c r="B381" s="59">
        <v>35271</v>
      </c>
      <c r="C381" s="57">
        <f>YEAR(表_查询来自_northwind3[[#This Row],[订购日期]])</f>
        <v>1996</v>
      </c>
      <c r="D381" s="1">
        <v>936</v>
      </c>
    </row>
    <row r="382" spans="1:4" x14ac:dyDescent="0.25">
      <c r="A382" s="1" t="s">
        <v>88</v>
      </c>
      <c r="B382" s="59">
        <v>35290</v>
      </c>
      <c r="C382" s="57">
        <f>YEAR(表_查询来自_northwind3[[#This Row],[订购日期]])</f>
        <v>1996</v>
      </c>
      <c r="D382" s="1">
        <v>351</v>
      </c>
    </row>
    <row r="383" spans="1:4" x14ac:dyDescent="0.25">
      <c r="A383" s="1" t="s">
        <v>88</v>
      </c>
      <c r="B383" s="59">
        <v>35307</v>
      </c>
      <c r="C383" s="57">
        <f>YEAR(表_查询来自_northwind3[[#This Row],[订购日期]])</f>
        <v>1996</v>
      </c>
      <c r="D383" s="1">
        <v>468</v>
      </c>
    </row>
    <row r="384" spans="1:4" x14ac:dyDescent="0.25">
      <c r="A384" s="1" t="s">
        <v>88</v>
      </c>
      <c r="B384" s="59">
        <v>35318</v>
      </c>
      <c r="C384" s="57">
        <f>YEAR(表_查询来自_northwind3[[#This Row],[订购日期]])</f>
        <v>1996</v>
      </c>
      <c r="D384" s="1">
        <v>1248</v>
      </c>
    </row>
    <row r="385" spans="1:4" x14ac:dyDescent="0.25">
      <c r="A385" s="1" t="s">
        <v>88</v>
      </c>
      <c r="B385" s="59">
        <v>35340</v>
      </c>
      <c r="C385" s="57">
        <f>YEAR(表_查询来自_northwind3[[#This Row],[订购日期]])</f>
        <v>1996</v>
      </c>
      <c r="D385" s="1">
        <v>249.6</v>
      </c>
    </row>
    <row r="386" spans="1:4" x14ac:dyDescent="0.25">
      <c r="A386" s="1" t="s">
        <v>88</v>
      </c>
      <c r="B386" s="59">
        <v>35363</v>
      </c>
      <c r="C386" s="57">
        <f>YEAR(表_查询来自_northwind3[[#This Row],[订购日期]])</f>
        <v>1996</v>
      </c>
      <c r="D386" s="1">
        <v>624</v>
      </c>
    </row>
    <row r="387" spans="1:4" x14ac:dyDescent="0.25">
      <c r="A387" s="1" t="s">
        <v>88</v>
      </c>
      <c r="B387" s="59">
        <v>35366</v>
      </c>
      <c r="C387" s="57">
        <f>YEAR(表_查询来自_northwind3[[#This Row],[订购日期]])</f>
        <v>1996</v>
      </c>
      <c r="D387" s="1">
        <v>2074.7999983727932</v>
      </c>
    </row>
    <row r="388" spans="1:4" x14ac:dyDescent="0.25">
      <c r="A388" s="1" t="s">
        <v>88</v>
      </c>
      <c r="B388" s="59">
        <v>35374</v>
      </c>
      <c r="C388" s="57">
        <f>YEAR(表_查询来自_northwind3[[#This Row],[订购日期]])</f>
        <v>1996</v>
      </c>
      <c r="D388" s="1">
        <v>1010.8799983263016</v>
      </c>
    </row>
    <row r="389" spans="1:4" x14ac:dyDescent="0.25">
      <c r="A389" s="1" t="s">
        <v>88</v>
      </c>
      <c r="B389" s="59">
        <v>35445</v>
      </c>
      <c r="C389" s="57">
        <f>YEAR(表_查询来自_northwind3[[#This Row],[订购日期]])</f>
        <v>1997</v>
      </c>
      <c r="D389" s="1">
        <v>62.4</v>
      </c>
    </row>
    <row r="390" spans="1:4" x14ac:dyDescent="0.25">
      <c r="A390" s="1" t="s">
        <v>88</v>
      </c>
      <c r="B390" s="59">
        <v>35460</v>
      </c>
      <c r="C390" s="57">
        <f>YEAR(表_查询来自_northwind3[[#This Row],[订购日期]])</f>
        <v>1997</v>
      </c>
      <c r="D390" s="1">
        <v>1123.1999958157539</v>
      </c>
    </row>
    <row r="391" spans="1:4" x14ac:dyDescent="0.25">
      <c r="A391" s="1" t="s">
        <v>88</v>
      </c>
      <c r="B391" s="59">
        <v>35460</v>
      </c>
      <c r="C391" s="57">
        <f>YEAR(表_查询来自_northwind3[[#This Row],[订购日期]])</f>
        <v>1997</v>
      </c>
      <c r="D391" s="1">
        <v>1170</v>
      </c>
    </row>
    <row r="392" spans="1:4" x14ac:dyDescent="0.25">
      <c r="A392" s="1" t="s">
        <v>88</v>
      </c>
      <c r="B392" s="59">
        <v>35473</v>
      </c>
      <c r="C392" s="57">
        <f>YEAR(表_查询来自_northwind3[[#This Row],[订购日期]])</f>
        <v>1997</v>
      </c>
      <c r="D392" s="1">
        <v>312</v>
      </c>
    </row>
    <row r="393" spans="1:4" x14ac:dyDescent="0.25">
      <c r="A393" s="1" t="s">
        <v>88</v>
      </c>
      <c r="B393" s="59">
        <v>35551</v>
      </c>
      <c r="C393" s="57">
        <f>YEAR(表_查询来自_northwind3[[#This Row],[订购日期]])</f>
        <v>1997</v>
      </c>
      <c r="D393" s="1">
        <v>877.49999854713678</v>
      </c>
    </row>
    <row r="394" spans="1:4" x14ac:dyDescent="0.25">
      <c r="A394" s="1" t="s">
        <v>88</v>
      </c>
      <c r="B394" s="59">
        <v>35558</v>
      </c>
      <c r="C394" s="57">
        <f>YEAR(表_查询来自_northwind3[[#This Row],[订购日期]])</f>
        <v>1997</v>
      </c>
      <c r="D394" s="1">
        <v>1560</v>
      </c>
    </row>
    <row r="395" spans="1:4" x14ac:dyDescent="0.25">
      <c r="A395" s="1" t="s">
        <v>88</v>
      </c>
      <c r="B395" s="59">
        <v>35578</v>
      </c>
      <c r="C395" s="57">
        <f>YEAR(表_查询来自_northwind3[[#This Row],[订购日期]])</f>
        <v>1997</v>
      </c>
      <c r="D395" s="1">
        <v>280.79999953508377</v>
      </c>
    </row>
    <row r="396" spans="1:4" x14ac:dyDescent="0.25">
      <c r="A396" s="1" t="s">
        <v>88</v>
      </c>
      <c r="B396" s="59">
        <v>35591</v>
      </c>
      <c r="C396" s="57">
        <f>YEAR(表_查询来自_northwind3[[#This Row],[订购日期]])</f>
        <v>1997</v>
      </c>
      <c r="D396" s="1">
        <v>592.79999953508377</v>
      </c>
    </row>
    <row r="397" spans="1:4" x14ac:dyDescent="0.25">
      <c r="A397" s="1" t="s">
        <v>88</v>
      </c>
      <c r="B397" s="59">
        <v>35600</v>
      </c>
      <c r="C397" s="57">
        <f>YEAR(表_查询来自_northwind3[[#This Row],[订购日期]])</f>
        <v>1997</v>
      </c>
      <c r="D397" s="1">
        <v>702</v>
      </c>
    </row>
    <row r="398" spans="1:4" x14ac:dyDescent="0.25">
      <c r="A398" s="1" t="s">
        <v>88</v>
      </c>
      <c r="B398" s="59">
        <v>35633</v>
      </c>
      <c r="C398" s="57">
        <f>YEAR(表_查询来自_northwind3[[#This Row],[订购日期]])</f>
        <v>1997</v>
      </c>
      <c r="D398" s="1">
        <v>3900</v>
      </c>
    </row>
    <row r="399" spans="1:4" x14ac:dyDescent="0.25">
      <c r="A399" s="1" t="s">
        <v>88</v>
      </c>
      <c r="B399" s="59">
        <v>35703</v>
      </c>
      <c r="C399" s="57">
        <f>YEAR(表_查询来自_northwind3[[#This Row],[订购日期]])</f>
        <v>1997</v>
      </c>
      <c r="D399" s="1">
        <v>935.99999651312828</v>
      </c>
    </row>
    <row r="400" spans="1:4" x14ac:dyDescent="0.25">
      <c r="A400" s="1" t="s">
        <v>88</v>
      </c>
      <c r="B400" s="59">
        <v>35711</v>
      </c>
      <c r="C400" s="57">
        <f>YEAR(表_查询来自_northwind3[[#This Row],[订购日期]])</f>
        <v>1997</v>
      </c>
      <c r="D400" s="1">
        <v>780</v>
      </c>
    </row>
    <row r="401" spans="1:4" x14ac:dyDescent="0.25">
      <c r="A401" s="1" t="s">
        <v>88</v>
      </c>
      <c r="B401" s="59">
        <v>35712</v>
      </c>
      <c r="C401" s="57">
        <f>YEAR(表_查询来自_northwind3[[#This Row],[订购日期]])</f>
        <v>1997</v>
      </c>
      <c r="D401" s="1">
        <v>296.39999976754189</v>
      </c>
    </row>
    <row r="402" spans="1:4" x14ac:dyDescent="0.25">
      <c r="A402" s="1" t="s">
        <v>88</v>
      </c>
      <c r="B402" s="59">
        <v>35725</v>
      </c>
      <c r="C402" s="57">
        <f>YEAR(表_查询来自_northwind3[[#This Row],[订购日期]])</f>
        <v>1997</v>
      </c>
      <c r="D402" s="1">
        <v>789.75</v>
      </c>
    </row>
    <row r="403" spans="1:4" x14ac:dyDescent="0.25">
      <c r="A403" s="1" t="s">
        <v>88</v>
      </c>
      <c r="B403" s="59">
        <v>35737</v>
      </c>
      <c r="C403" s="57">
        <f>YEAR(表_查询来自_northwind3[[#This Row],[订购日期]])</f>
        <v>1997</v>
      </c>
      <c r="D403" s="1">
        <v>740.99999941885471</v>
      </c>
    </row>
    <row r="404" spans="1:4" x14ac:dyDescent="0.25">
      <c r="A404" s="1" t="s">
        <v>88</v>
      </c>
      <c r="B404" s="59">
        <v>35775</v>
      </c>
      <c r="C404" s="57">
        <f>YEAR(表_查询来自_northwind3[[#This Row],[订购日期]])</f>
        <v>1997</v>
      </c>
      <c r="D404" s="1">
        <v>1287</v>
      </c>
    </row>
    <row r="405" spans="1:4" x14ac:dyDescent="0.25">
      <c r="A405" s="1" t="s">
        <v>88</v>
      </c>
      <c r="B405" s="59">
        <v>35788</v>
      </c>
      <c r="C405" s="57">
        <f>YEAR(表_查询来自_northwind3[[#This Row],[订购日期]])</f>
        <v>1997</v>
      </c>
      <c r="D405" s="1">
        <v>1023.75</v>
      </c>
    </row>
    <row r="406" spans="1:4" x14ac:dyDescent="0.25">
      <c r="A406" s="1" t="s">
        <v>88</v>
      </c>
      <c r="B406" s="59">
        <v>35793</v>
      </c>
      <c r="C406" s="57">
        <f>YEAR(表_查询来自_northwind3[[#This Row],[订购日期]])</f>
        <v>1997</v>
      </c>
      <c r="D406" s="1">
        <v>1170</v>
      </c>
    </row>
    <row r="407" spans="1:4" x14ac:dyDescent="0.25">
      <c r="A407" s="1" t="s">
        <v>88</v>
      </c>
      <c r="B407" s="59">
        <v>35821</v>
      </c>
      <c r="C407" s="57">
        <f>YEAR(表_查询来自_northwind3[[#This Row],[订购日期]])</f>
        <v>1998</v>
      </c>
      <c r="D407" s="1">
        <v>234</v>
      </c>
    </row>
    <row r="408" spans="1:4" x14ac:dyDescent="0.25">
      <c r="A408" s="1" t="s">
        <v>88</v>
      </c>
      <c r="B408" s="59">
        <v>35825</v>
      </c>
      <c r="C408" s="57">
        <f>YEAR(表_查询来自_northwind3[[#This Row],[订购日期]])</f>
        <v>1998</v>
      </c>
      <c r="D408" s="1">
        <v>1638</v>
      </c>
    </row>
    <row r="409" spans="1:4" x14ac:dyDescent="0.25">
      <c r="A409" s="1" t="s">
        <v>88</v>
      </c>
      <c r="B409" s="59">
        <v>35831</v>
      </c>
      <c r="C409" s="57">
        <f>YEAR(表_查询来自_northwind3[[#This Row],[订购日期]])</f>
        <v>1998</v>
      </c>
      <c r="D409" s="1">
        <v>592.79999953508377</v>
      </c>
    </row>
    <row r="410" spans="1:4" x14ac:dyDescent="0.25">
      <c r="A410" s="1" t="s">
        <v>88</v>
      </c>
      <c r="B410" s="59">
        <v>35842</v>
      </c>
      <c r="C410" s="57">
        <f>YEAR(表_查询来自_northwind3[[#This Row],[订购日期]])</f>
        <v>1998</v>
      </c>
      <c r="D410" s="1">
        <v>585</v>
      </c>
    </row>
    <row r="411" spans="1:4" x14ac:dyDescent="0.25">
      <c r="A411" s="1" t="s">
        <v>88</v>
      </c>
      <c r="B411" s="59">
        <v>35852</v>
      </c>
      <c r="C411" s="57">
        <f>YEAR(表_查询来自_northwind3[[#This Row],[订购日期]])</f>
        <v>1998</v>
      </c>
      <c r="D411" s="1">
        <v>468</v>
      </c>
    </row>
    <row r="412" spans="1:4" x14ac:dyDescent="0.25">
      <c r="A412" s="1" t="s">
        <v>88</v>
      </c>
      <c r="B412" s="59">
        <v>35853</v>
      </c>
      <c r="C412" s="57">
        <f>YEAR(表_查询来自_northwind3[[#This Row],[订购日期]])</f>
        <v>1998</v>
      </c>
      <c r="D412" s="1">
        <v>390</v>
      </c>
    </row>
    <row r="413" spans="1:4" x14ac:dyDescent="0.25">
      <c r="A413" s="1" t="s">
        <v>88</v>
      </c>
      <c r="B413" s="59">
        <v>35857</v>
      </c>
      <c r="C413" s="57">
        <f>YEAR(表_查询来自_northwind3[[#This Row],[订购日期]])</f>
        <v>1998</v>
      </c>
      <c r="D413" s="1">
        <v>585</v>
      </c>
    </row>
    <row r="414" spans="1:4" x14ac:dyDescent="0.25">
      <c r="A414" s="1" t="s">
        <v>88</v>
      </c>
      <c r="B414" s="59">
        <v>35867</v>
      </c>
      <c r="C414" s="57">
        <f>YEAR(表_查询来自_northwind3[[#This Row],[订购日期]])</f>
        <v>1998</v>
      </c>
      <c r="D414" s="1">
        <v>234</v>
      </c>
    </row>
    <row r="415" spans="1:4" x14ac:dyDescent="0.25">
      <c r="A415" s="1" t="s">
        <v>88</v>
      </c>
      <c r="B415" s="59">
        <v>35878</v>
      </c>
      <c r="C415" s="57">
        <f>YEAR(表_查询来自_northwind3[[#This Row],[订购日期]])</f>
        <v>1998</v>
      </c>
      <c r="D415" s="1">
        <v>234</v>
      </c>
    </row>
    <row r="416" spans="1:4" x14ac:dyDescent="0.25">
      <c r="A416" s="1" t="s">
        <v>88</v>
      </c>
      <c r="B416" s="59">
        <v>35914</v>
      </c>
      <c r="C416" s="57">
        <f>YEAR(表_查询来自_northwind3[[#This Row],[订购日期]])</f>
        <v>1998</v>
      </c>
      <c r="D416" s="1">
        <v>468</v>
      </c>
    </row>
    <row r="417" spans="1:4" x14ac:dyDescent="0.25">
      <c r="A417" s="1" t="s">
        <v>88</v>
      </c>
      <c r="B417" s="59">
        <v>35916</v>
      </c>
      <c r="C417" s="57">
        <f>YEAR(表_查询来自_northwind3[[#This Row],[订购日期]])</f>
        <v>1998</v>
      </c>
      <c r="D417" s="1">
        <v>2702.6999955251813</v>
      </c>
    </row>
    <row r="418" spans="1:4" x14ac:dyDescent="0.25">
      <c r="A418" s="1" t="s">
        <v>89</v>
      </c>
      <c r="B418" s="59">
        <v>35306</v>
      </c>
      <c r="C418" s="57">
        <f>YEAR(表_查询来自_northwind3[[#This Row],[订购日期]])</f>
        <v>1996</v>
      </c>
      <c r="D418" s="1">
        <v>600</v>
      </c>
    </row>
    <row r="419" spans="1:4" x14ac:dyDescent="0.25">
      <c r="A419" s="1" t="s">
        <v>89</v>
      </c>
      <c r="B419" s="59">
        <v>35321</v>
      </c>
      <c r="C419" s="57">
        <f>YEAR(表_查询来自_northwind3[[#This Row],[订购日期]])</f>
        <v>1996</v>
      </c>
      <c r="D419" s="1">
        <v>1124.9999981373549</v>
      </c>
    </row>
    <row r="420" spans="1:4" x14ac:dyDescent="0.25">
      <c r="A420" s="1" t="s">
        <v>89</v>
      </c>
      <c r="B420" s="59">
        <v>35355</v>
      </c>
      <c r="C420" s="57">
        <f>YEAR(表_查询来自_northwind3[[#This Row],[订购日期]])</f>
        <v>1996</v>
      </c>
      <c r="D420" s="1">
        <v>1599.9999940395355</v>
      </c>
    </row>
    <row r="421" spans="1:4" x14ac:dyDescent="0.25">
      <c r="A421" s="1" t="s">
        <v>89</v>
      </c>
      <c r="B421" s="59">
        <v>35367</v>
      </c>
      <c r="C421" s="57">
        <f>YEAR(表_查询来自_northwind3[[#This Row],[订购日期]])</f>
        <v>1996</v>
      </c>
      <c r="D421" s="1">
        <v>949.99999925494194</v>
      </c>
    </row>
    <row r="422" spans="1:4" x14ac:dyDescent="0.25">
      <c r="A422" s="1" t="s">
        <v>89</v>
      </c>
      <c r="B422" s="59">
        <v>35412</v>
      </c>
      <c r="C422" s="57">
        <f>YEAR(表_查询来自_northwind3[[#This Row],[订购日期]])</f>
        <v>1996</v>
      </c>
      <c r="D422" s="1">
        <v>450</v>
      </c>
    </row>
    <row r="423" spans="1:4" x14ac:dyDescent="0.25">
      <c r="A423" s="1" t="s">
        <v>89</v>
      </c>
      <c r="B423" s="59">
        <v>35500</v>
      </c>
      <c r="C423" s="57">
        <f>YEAR(表_查询来自_northwind3[[#This Row],[订购日期]])</f>
        <v>1997</v>
      </c>
      <c r="D423" s="1">
        <v>1500</v>
      </c>
    </row>
    <row r="424" spans="1:4" x14ac:dyDescent="0.25">
      <c r="A424" s="1" t="s">
        <v>89</v>
      </c>
      <c r="B424" s="59">
        <v>35544</v>
      </c>
      <c r="C424" s="57">
        <f>YEAR(表_查询来自_northwind3[[#This Row],[订购日期]])</f>
        <v>1997</v>
      </c>
      <c r="D424" s="1">
        <v>1406.2499976716936</v>
      </c>
    </row>
    <row r="425" spans="1:4" x14ac:dyDescent="0.25">
      <c r="A425" s="1" t="s">
        <v>89</v>
      </c>
      <c r="B425" s="59">
        <v>35593</v>
      </c>
      <c r="C425" s="57">
        <f>YEAR(表_查询来自_northwind3[[#This Row],[订购日期]])</f>
        <v>1997</v>
      </c>
      <c r="D425" s="1">
        <v>956.24999329447746</v>
      </c>
    </row>
    <row r="426" spans="1:4" x14ac:dyDescent="0.25">
      <c r="A426" s="1" t="s">
        <v>89</v>
      </c>
      <c r="B426" s="59">
        <v>35614</v>
      </c>
      <c r="C426" s="57">
        <f>YEAR(表_查询来自_northwind3[[#This Row],[订购日期]])</f>
        <v>1997</v>
      </c>
      <c r="D426" s="1">
        <v>1999.9999925494194</v>
      </c>
    </row>
    <row r="427" spans="1:4" x14ac:dyDescent="0.25">
      <c r="A427" s="1" t="s">
        <v>89</v>
      </c>
      <c r="B427" s="59">
        <v>35657</v>
      </c>
      <c r="C427" s="57">
        <f>YEAR(表_查询来自_northwind3[[#This Row],[订购日期]])</f>
        <v>1997</v>
      </c>
      <c r="D427" s="1">
        <v>3125</v>
      </c>
    </row>
    <row r="428" spans="1:4" x14ac:dyDescent="0.25">
      <c r="A428" s="1" t="s">
        <v>89</v>
      </c>
      <c r="B428" s="59">
        <v>35662</v>
      </c>
      <c r="C428" s="57">
        <f>YEAR(表_查询来自_northwind3[[#This Row],[订购日期]])</f>
        <v>1997</v>
      </c>
      <c r="D428" s="1">
        <v>500</v>
      </c>
    </row>
    <row r="429" spans="1:4" x14ac:dyDescent="0.25">
      <c r="A429" s="1" t="s">
        <v>89</v>
      </c>
      <c r="B429" s="59">
        <v>35667</v>
      </c>
      <c r="C429" s="57">
        <f>YEAR(表_查询来自_northwind3[[#This Row],[订购日期]])</f>
        <v>1997</v>
      </c>
      <c r="D429" s="1">
        <v>224.99999962747097</v>
      </c>
    </row>
    <row r="430" spans="1:4" x14ac:dyDescent="0.25">
      <c r="A430" s="1" t="s">
        <v>89</v>
      </c>
      <c r="B430" s="59">
        <v>35668</v>
      </c>
      <c r="C430" s="57">
        <f>YEAR(表_查询来自_northwind3[[#This Row],[订购日期]])</f>
        <v>1997</v>
      </c>
      <c r="D430" s="1">
        <v>1250</v>
      </c>
    </row>
    <row r="431" spans="1:4" x14ac:dyDescent="0.25">
      <c r="A431" s="1" t="s">
        <v>89</v>
      </c>
      <c r="B431" s="59">
        <v>35730</v>
      </c>
      <c r="C431" s="57">
        <f>YEAR(表_查询来自_northwind3[[#This Row],[订购日期]])</f>
        <v>1997</v>
      </c>
      <c r="D431" s="1">
        <v>562.5</v>
      </c>
    </row>
    <row r="432" spans="1:4" x14ac:dyDescent="0.25">
      <c r="A432" s="1" t="s">
        <v>89</v>
      </c>
      <c r="B432" s="59">
        <v>35752</v>
      </c>
      <c r="C432" s="57">
        <f>YEAR(表_查询来自_northwind3[[#This Row],[订购日期]])</f>
        <v>1997</v>
      </c>
      <c r="D432" s="1">
        <v>1500</v>
      </c>
    </row>
    <row r="433" spans="1:4" x14ac:dyDescent="0.25">
      <c r="A433" s="1" t="s">
        <v>89</v>
      </c>
      <c r="B433" s="59">
        <v>35761</v>
      </c>
      <c r="C433" s="57">
        <f>YEAR(表_查询来自_northwind3[[#This Row],[订购日期]])</f>
        <v>1997</v>
      </c>
      <c r="D433" s="1">
        <v>1049.9999960884452</v>
      </c>
    </row>
    <row r="434" spans="1:4" x14ac:dyDescent="0.25">
      <c r="A434" s="1" t="s">
        <v>89</v>
      </c>
      <c r="B434" s="59">
        <v>35786</v>
      </c>
      <c r="C434" s="57">
        <f>YEAR(表_查询来自_northwind3[[#This Row],[订购日期]])</f>
        <v>1997</v>
      </c>
      <c r="D434" s="1">
        <v>1875</v>
      </c>
    </row>
    <row r="435" spans="1:4" x14ac:dyDescent="0.25">
      <c r="A435" s="1" t="s">
        <v>89</v>
      </c>
      <c r="B435" s="59">
        <v>35814</v>
      </c>
      <c r="C435" s="57">
        <f>YEAR(表_查询来自_northwind3[[#This Row],[订购日期]])</f>
        <v>1998</v>
      </c>
      <c r="D435" s="1">
        <v>1171.875</v>
      </c>
    </row>
    <row r="436" spans="1:4" x14ac:dyDescent="0.25">
      <c r="A436" s="1" t="s">
        <v>89</v>
      </c>
      <c r="B436" s="59">
        <v>35822</v>
      </c>
      <c r="C436" s="57">
        <f>YEAR(表_查询来自_northwind3[[#This Row],[订购日期]])</f>
        <v>1998</v>
      </c>
      <c r="D436" s="1">
        <v>625</v>
      </c>
    </row>
    <row r="437" spans="1:4" x14ac:dyDescent="0.25">
      <c r="A437" s="1" t="s">
        <v>89</v>
      </c>
      <c r="B437" s="59">
        <v>35825</v>
      </c>
      <c r="C437" s="57">
        <f>YEAR(表_查询来自_northwind3[[#This Row],[订购日期]])</f>
        <v>1998</v>
      </c>
      <c r="D437" s="1">
        <v>1250</v>
      </c>
    </row>
    <row r="438" spans="1:4" x14ac:dyDescent="0.25">
      <c r="A438" s="1" t="s">
        <v>89</v>
      </c>
      <c r="B438" s="59">
        <v>35835</v>
      </c>
      <c r="C438" s="57">
        <f>YEAR(表_查询来自_northwind3[[#This Row],[订购日期]])</f>
        <v>1998</v>
      </c>
      <c r="D438" s="1">
        <v>1562.5</v>
      </c>
    </row>
    <row r="439" spans="1:4" x14ac:dyDescent="0.25">
      <c r="A439" s="1" t="s">
        <v>89</v>
      </c>
      <c r="B439" s="59">
        <v>35863</v>
      </c>
      <c r="C439" s="57">
        <f>YEAR(表_查询来自_northwind3[[#This Row],[订购日期]])</f>
        <v>1998</v>
      </c>
      <c r="D439" s="1">
        <v>187.5</v>
      </c>
    </row>
    <row r="440" spans="1:4" x14ac:dyDescent="0.25">
      <c r="A440" s="1" t="s">
        <v>89</v>
      </c>
      <c r="B440" s="59">
        <v>35874</v>
      </c>
      <c r="C440" s="57">
        <f>YEAR(表_查询来自_northwind3[[#This Row],[订购日期]])</f>
        <v>1998</v>
      </c>
      <c r="D440" s="1">
        <v>375</v>
      </c>
    </row>
    <row r="441" spans="1:4" x14ac:dyDescent="0.25">
      <c r="A441" s="1" t="s">
        <v>89</v>
      </c>
      <c r="B441" s="59">
        <v>35884</v>
      </c>
      <c r="C441" s="57">
        <f>YEAR(表_查询来自_northwind3[[#This Row],[订购日期]])</f>
        <v>1998</v>
      </c>
      <c r="D441" s="1">
        <v>449.99999925494194</v>
      </c>
    </row>
    <row r="442" spans="1:4" x14ac:dyDescent="0.25">
      <c r="A442" s="1" t="s">
        <v>89</v>
      </c>
      <c r="B442" s="59">
        <v>35898</v>
      </c>
      <c r="C442" s="57">
        <f>YEAR(表_查询来自_northwind3[[#This Row],[订购日期]])</f>
        <v>1998</v>
      </c>
      <c r="D442" s="1">
        <v>625</v>
      </c>
    </row>
    <row r="443" spans="1:4" x14ac:dyDescent="0.25">
      <c r="A443" s="1" t="s">
        <v>89</v>
      </c>
      <c r="B443" s="59">
        <v>35900</v>
      </c>
      <c r="C443" s="57">
        <f>YEAR(表_查询来自_northwind3[[#This Row],[订购日期]])</f>
        <v>1998</v>
      </c>
      <c r="D443" s="1">
        <v>500</v>
      </c>
    </row>
    <row r="444" spans="1:4" x14ac:dyDescent="0.25">
      <c r="A444" s="1" t="s">
        <v>89</v>
      </c>
      <c r="B444" s="59">
        <v>35912</v>
      </c>
      <c r="C444" s="57">
        <f>YEAR(表_查询来自_northwind3[[#This Row],[订购日期]])</f>
        <v>1998</v>
      </c>
      <c r="D444" s="1">
        <v>1749.999993480742</v>
      </c>
    </row>
    <row r="445" spans="1:4" x14ac:dyDescent="0.25">
      <c r="A445" s="1" t="s">
        <v>90</v>
      </c>
      <c r="B445" s="59">
        <v>35291</v>
      </c>
      <c r="C445" s="57">
        <f>YEAR(表_查询来自_northwind3[[#This Row],[订购日期]])</f>
        <v>1996</v>
      </c>
      <c r="D445" s="1">
        <v>7.3</v>
      </c>
    </row>
    <row r="446" spans="1:4" x14ac:dyDescent="0.25">
      <c r="A446" s="1" t="s">
        <v>90</v>
      </c>
      <c r="B446" s="59">
        <v>35293</v>
      </c>
      <c r="C446" s="57">
        <f>YEAR(表_查询来自_northwind3[[#This Row],[订购日期]])</f>
        <v>1996</v>
      </c>
      <c r="D446" s="1">
        <v>131.4</v>
      </c>
    </row>
    <row r="447" spans="1:4" x14ac:dyDescent="0.25">
      <c r="A447" s="1" t="s">
        <v>90</v>
      </c>
      <c r="B447" s="59">
        <v>35314</v>
      </c>
      <c r="C447" s="57">
        <f>YEAR(表_查询来自_northwind3[[#This Row],[订购日期]])</f>
        <v>1996</v>
      </c>
      <c r="D447" s="1">
        <v>109.5</v>
      </c>
    </row>
    <row r="448" spans="1:4" x14ac:dyDescent="0.25">
      <c r="A448" s="1" t="s">
        <v>90</v>
      </c>
      <c r="B448" s="59">
        <v>35353</v>
      </c>
      <c r="C448" s="57">
        <f>YEAR(表_查询来自_northwind3[[#This Row],[订购日期]])</f>
        <v>1996</v>
      </c>
      <c r="D448" s="1">
        <v>69.349999945610762</v>
      </c>
    </row>
    <row r="449" spans="1:4" x14ac:dyDescent="0.25">
      <c r="A449" s="1" t="s">
        <v>90</v>
      </c>
      <c r="B449" s="59">
        <v>35373</v>
      </c>
      <c r="C449" s="57">
        <f>YEAR(表_查询来自_northwind3[[#This Row],[订购日期]])</f>
        <v>1996</v>
      </c>
      <c r="D449" s="1">
        <v>584</v>
      </c>
    </row>
    <row r="450" spans="1:4" x14ac:dyDescent="0.25">
      <c r="A450" s="1" t="s">
        <v>90</v>
      </c>
      <c r="B450" s="59">
        <v>35444</v>
      </c>
      <c r="C450" s="57">
        <f>YEAR(表_查询来自_northwind3[[#This Row],[订购日期]])</f>
        <v>1997</v>
      </c>
      <c r="D450" s="1">
        <v>124.82999990209937</v>
      </c>
    </row>
    <row r="451" spans="1:4" x14ac:dyDescent="0.25">
      <c r="A451" s="1" t="s">
        <v>90</v>
      </c>
      <c r="B451" s="59">
        <v>35446</v>
      </c>
      <c r="C451" s="57">
        <f>YEAR(表_查询来自_northwind3[[#This Row],[订购日期]])</f>
        <v>1997</v>
      </c>
      <c r="D451" s="1">
        <v>146</v>
      </c>
    </row>
    <row r="452" spans="1:4" x14ac:dyDescent="0.25">
      <c r="A452" s="1" t="s">
        <v>90</v>
      </c>
      <c r="B452" s="59">
        <v>35451</v>
      </c>
      <c r="C452" s="57">
        <f>YEAR(表_查询来自_northwind3[[#This Row],[订购日期]])</f>
        <v>1997</v>
      </c>
      <c r="D452" s="1">
        <v>24.819999825954437</v>
      </c>
    </row>
    <row r="453" spans="1:4" x14ac:dyDescent="0.25">
      <c r="A453" s="1" t="s">
        <v>90</v>
      </c>
      <c r="B453" s="59">
        <v>35467</v>
      </c>
      <c r="C453" s="57">
        <f>YEAR(表_查询来自_northwind3[[#This Row],[订购日期]])</f>
        <v>1997</v>
      </c>
      <c r="D453" s="1">
        <v>87.59999967366457</v>
      </c>
    </row>
    <row r="454" spans="1:4" x14ac:dyDescent="0.25">
      <c r="A454" s="1" t="s">
        <v>90</v>
      </c>
      <c r="B454" s="59">
        <v>35475</v>
      </c>
      <c r="C454" s="57">
        <f>YEAR(表_查询来自_northwind3[[#This Row],[订购日期]])</f>
        <v>1997</v>
      </c>
      <c r="D454" s="1">
        <v>78.839999869465828</v>
      </c>
    </row>
    <row r="455" spans="1:4" x14ac:dyDescent="0.25">
      <c r="A455" s="1" t="s">
        <v>90</v>
      </c>
      <c r="B455" s="59">
        <v>35475</v>
      </c>
      <c r="C455" s="57">
        <f>YEAR(表_查询来自_northwind3[[#This Row],[订购日期]])</f>
        <v>1997</v>
      </c>
      <c r="D455" s="1">
        <v>292</v>
      </c>
    </row>
    <row r="456" spans="1:4" x14ac:dyDescent="0.25">
      <c r="A456" s="1" t="s">
        <v>90</v>
      </c>
      <c r="B456" s="59">
        <v>35493</v>
      </c>
      <c r="C456" s="57">
        <f>YEAR(表_查询来自_northwind3[[#This Row],[订购日期]])</f>
        <v>1997</v>
      </c>
      <c r="D456" s="1">
        <v>153.30000000000001</v>
      </c>
    </row>
    <row r="457" spans="1:4" x14ac:dyDescent="0.25">
      <c r="A457" s="1" t="s">
        <v>90</v>
      </c>
      <c r="B457" s="59">
        <v>35515</v>
      </c>
      <c r="C457" s="57">
        <f>YEAR(表_查询来自_northwind3[[#This Row],[订购日期]])</f>
        <v>1997</v>
      </c>
      <c r="D457" s="1">
        <v>36.5</v>
      </c>
    </row>
    <row r="458" spans="1:4" x14ac:dyDescent="0.25">
      <c r="A458" s="1" t="s">
        <v>90</v>
      </c>
      <c r="B458" s="59">
        <v>35578</v>
      </c>
      <c r="C458" s="57">
        <f>YEAR(表_查询来自_northwind3[[#This Row],[订购日期]])</f>
        <v>1997</v>
      </c>
      <c r="D458" s="1">
        <v>92</v>
      </c>
    </row>
    <row r="459" spans="1:4" x14ac:dyDescent="0.25">
      <c r="A459" s="1" t="s">
        <v>90</v>
      </c>
      <c r="B459" s="59">
        <v>35583</v>
      </c>
      <c r="C459" s="57">
        <f>YEAR(表_查询来自_northwind3[[#This Row],[订购日期]])</f>
        <v>1997</v>
      </c>
      <c r="D459" s="1">
        <v>257.59999904036522</v>
      </c>
    </row>
    <row r="460" spans="1:4" x14ac:dyDescent="0.25">
      <c r="A460" s="1" t="s">
        <v>90</v>
      </c>
      <c r="B460" s="59">
        <v>35647</v>
      </c>
      <c r="C460" s="57">
        <f>YEAR(表_查询来自_northwind3[[#This Row],[订购日期]])</f>
        <v>1997</v>
      </c>
      <c r="D460" s="1">
        <v>46</v>
      </c>
    </row>
    <row r="461" spans="1:4" x14ac:dyDescent="0.25">
      <c r="A461" s="1" t="s">
        <v>90</v>
      </c>
      <c r="B461" s="59">
        <v>35649</v>
      </c>
      <c r="C461" s="57">
        <f>YEAR(表_查询来自_northwind3[[#This Row],[订购日期]])</f>
        <v>1997</v>
      </c>
      <c r="D461" s="1">
        <v>124.19999979436398</v>
      </c>
    </row>
    <row r="462" spans="1:4" x14ac:dyDescent="0.25">
      <c r="A462" s="1" t="s">
        <v>90</v>
      </c>
      <c r="B462" s="59">
        <v>35669</v>
      </c>
      <c r="C462" s="57">
        <f>YEAR(表_查询来自_northwind3[[#This Row],[订购日期]])</f>
        <v>1997</v>
      </c>
      <c r="D462" s="1">
        <v>276</v>
      </c>
    </row>
    <row r="463" spans="1:4" x14ac:dyDescent="0.25">
      <c r="A463" s="1" t="s">
        <v>90</v>
      </c>
      <c r="B463" s="59">
        <v>35674</v>
      </c>
      <c r="C463" s="57">
        <f>YEAR(表_查询来自_northwind3[[#This Row],[订购日期]])</f>
        <v>1997</v>
      </c>
      <c r="D463" s="1">
        <v>82.800000000000011</v>
      </c>
    </row>
    <row r="464" spans="1:4" x14ac:dyDescent="0.25">
      <c r="A464" s="1" t="s">
        <v>90</v>
      </c>
      <c r="B464" s="59">
        <v>35695</v>
      </c>
      <c r="C464" s="57">
        <f>YEAR(表_查询来自_northwind3[[#This Row],[订购日期]])</f>
        <v>1997</v>
      </c>
      <c r="D464" s="1">
        <v>64.400000000000006</v>
      </c>
    </row>
    <row r="465" spans="1:4" x14ac:dyDescent="0.25">
      <c r="A465" s="1" t="s">
        <v>90</v>
      </c>
      <c r="B465" s="59">
        <v>35698</v>
      </c>
      <c r="C465" s="57">
        <f>YEAR(表_查询来自_northwind3[[#This Row],[订购日期]])</f>
        <v>1997</v>
      </c>
      <c r="D465" s="1">
        <v>248.39999958872795</v>
      </c>
    </row>
    <row r="466" spans="1:4" x14ac:dyDescent="0.25">
      <c r="A466" s="1" t="s">
        <v>90</v>
      </c>
      <c r="B466" s="59">
        <v>35711</v>
      </c>
      <c r="C466" s="57">
        <f>YEAR(表_查询来自_northwind3[[#This Row],[订购日期]])</f>
        <v>1997</v>
      </c>
      <c r="D466" s="1">
        <v>48.300000000000004</v>
      </c>
    </row>
    <row r="467" spans="1:4" x14ac:dyDescent="0.25">
      <c r="A467" s="1" t="s">
        <v>90</v>
      </c>
      <c r="B467" s="59">
        <v>35723</v>
      </c>
      <c r="C467" s="57">
        <f>YEAR(表_查询来自_northwind3[[#This Row],[订购日期]])</f>
        <v>1997</v>
      </c>
      <c r="D467" s="1">
        <v>46</v>
      </c>
    </row>
    <row r="468" spans="1:4" x14ac:dyDescent="0.25">
      <c r="A468" s="1" t="s">
        <v>90</v>
      </c>
      <c r="B468" s="59">
        <v>35724</v>
      </c>
      <c r="C468" s="57">
        <f>YEAR(表_查询来自_northwind3[[#This Row],[订购日期]])</f>
        <v>1997</v>
      </c>
      <c r="D468" s="1">
        <v>110.4</v>
      </c>
    </row>
    <row r="469" spans="1:4" x14ac:dyDescent="0.25">
      <c r="A469" s="1" t="s">
        <v>90</v>
      </c>
      <c r="B469" s="59">
        <v>35786</v>
      </c>
      <c r="C469" s="57">
        <f>YEAR(表_查询来自_northwind3[[#This Row],[订购日期]])</f>
        <v>1997</v>
      </c>
      <c r="D469" s="1">
        <v>436.99999965727329</v>
      </c>
    </row>
    <row r="470" spans="1:4" x14ac:dyDescent="0.25">
      <c r="A470" s="1" t="s">
        <v>90</v>
      </c>
      <c r="B470" s="59">
        <v>35794</v>
      </c>
      <c r="C470" s="57">
        <f>YEAR(表_查询来自_northwind3[[#This Row],[订购日期]])</f>
        <v>1997</v>
      </c>
      <c r="D470" s="1">
        <v>209.75999983549119</v>
      </c>
    </row>
    <row r="471" spans="1:4" x14ac:dyDescent="0.25">
      <c r="A471" s="1" t="s">
        <v>90</v>
      </c>
      <c r="B471" s="59">
        <v>35797</v>
      </c>
      <c r="C471" s="57">
        <f>YEAR(表_查询来自_northwind3[[#This Row],[订购日期]])</f>
        <v>1998</v>
      </c>
      <c r="D471" s="1">
        <v>138</v>
      </c>
    </row>
    <row r="472" spans="1:4" x14ac:dyDescent="0.25">
      <c r="A472" s="1" t="s">
        <v>90</v>
      </c>
      <c r="B472" s="59">
        <v>35809</v>
      </c>
      <c r="C472" s="57">
        <f>YEAR(表_查询来自_northwind3[[#This Row],[订购日期]])</f>
        <v>1998</v>
      </c>
      <c r="D472" s="1">
        <v>18.399999999999999</v>
      </c>
    </row>
    <row r="473" spans="1:4" x14ac:dyDescent="0.25">
      <c r="A473" s="1" t="s">
        <v>90</v>
      </c>
      <c r="B473" s="59">
        <v>35817</v>
      </c>
      <c r="C473" s="57">
        <f>YEAR(表_查询来自_northwind3[[#This Row],[订购日期]])</f>
        <v>1998</v>
      </c>
      <c r="D473" s="1">
        <v>88.319999670982369</v>
      </c>
    </row>
    <row r="474" spans="1:4" x14ac:dyDescent="0.25">
      <c r="A474" s="1" t="s">
        <v>90</v>
      </c>
      <c r="B474" s="59">
        <v>35832</v>
      </c>
      <c r="C474" s="57">
        <f>YEAR(表_查询来自_northwind3[[#This Row],[订购日期]])</f>
        <v>1998</v>
      </c>
      <c r="D474" s="1">
        <v>230</v>
      </c>
    </row>
    <row r="475" spans="1:4" x14ac:dyDescent="0.25">
      <c r="A475" s="1" t="s">
        <v>90</v>
      </c>
      <c r="B475" s="59">
        <v>35852</v>
      </c>
      <c r="C475" s="57">
        <f>YEAR(表_查询来自_northwind3[[#This Row],[订购日期]])</f>
        <v>1998</v>
      </c>
      <c r="D475" s="1">
        <v>110.4</v>
      </c>
    </row>
    <row r="476" spans="1:4" x14ac:dyDescent="0.25">
      <c r="A476" s="1" t="s">
        <v>90</v>
      </c>
      <c r="B476" s="59">
        <v>35858</v>
      </c>
      <c r="C476" s="57">
        <f>YEAR(表_查询来自_northwind3[[#This Row],[订购日期]])</f>
        <v>1998</v>
      </c>
      <c r="D476" s="1">
        <v>64.400000000000006</v>
      </c>
    </row>
    <row r="477" spans="1:4" x14ac:dyDescent="0.25">
      <c r="A477" s="1" t="s">
        <v>90</v>
      </c>
      <c r="B477" s="59">
        <v>35877</v>
      </c>
      <c r="C477" s="57">
        <f>YEAR(表_查询来自_northwind3[[#This Row],[订购日期]])</f>
        <v>1998</v>
      </c>
      <c r="D477" s="1">
        <v>110.4</v>
      </c>
    </row>
    <row r="478" spans="1:4" x14ac:dyDescent="0.25">
      <c r="A478" s="1" t="s">
        <v>90</v>
      </c>
      <c r="B478" s="59">
        <v>35894</v>
      </c>
      <c r="C478" s="57">
        <f>YEAR(表_查询来自_northwind3[[#This Row],[订购日期]])</f>
        <v>1998</v>
      </c>
      <c r="D478" s="1">
        <v>436.99999965727329</v>
      </c>
    </row>
    <row r="479" spans="1:4" x14ac:dyDescent="0.25">
      <c r="A479" s="1" t="s">
        <v>90</v>
      </c>
      <c r="B479" s="59">
        <v>35899</v>
      </c>
      <c r="C479" s="57">
        <f>YEAR(表_查询来自_northwind3[[#This Row],[订购日期]])</f>
        <v>1998</v>
      </c>
      <c r="D479" s="1">
        <v>322</v>
      </c>
    </row>
    <row r="480" spans="1:4" x14ac:dyDescent="0.25">
      <c r="A480" s="1" t="s">
        <v>90</v>
      </c>
      <c r="B480" s="59">
        <v>35916</v>
      </c>
      <c r="C480" s="57">
        <f>YEAR(表_查询来自_northwind3[[#This Row],[订购日期]])</f>
        <v>1998</v>
      </c>
      <c r="D480" s="1">
        <v>386.4</v>
      </c>
    </row>
    <row r="481" spans="1:4" x14ac:dyDescent="0.25">
      <c r="A481" s="1" t="s">
        <v>90</v>
      </c>
      <c r="B481" s="59">
        <v>35921</v>
      </c>
      <c r="C481" s="57">
        <f>YEAR(表_查询来自_northwind3[[#This Row],[订购日期]])</f>
        <v>1998</v>
      </c>
      <c r="D481" s="1">
        <v>69</v>
      </c>
    </row>
    <row r="482" spans="1:4" x14ac:dyDescent="0.25">
      <c r="A482" s="1" t="s">
        <v>91</v>
      </c>
      <c r="B482" s="59">
        <v>35255</v>
      </c>
      <c r="C482" s="57">
        <f>YEAR(表_查询来自_northwind3[[#This Row],[订购日期]])</f>
        <v>1996</v>
      </c>
      <c r="D482" s="1">
        <v>2462.3999980688095</v>
      </c>
    </row>
    <row r="483" spans="1:4" x14ac:dyDescent="0.25">
      <c r="A483" s="1" t="s">
        <v>91</v>
      </c>
      <c r="B483" s="59">
        <v>35279</v>
      </c>
      <c r="C483" s="57">
        <f>YEAR(表_查询来自_northwind3[[#This Row],[订购日期]])</f>
        <v>1996</v>
      </c>
      <c r="D483" s="1">
        <v>388.8</v>
      </c>
    </row>
    <row r="484" spans="1:4" x14ac:dyDescent="0.25">
      <c r="A484" s="1" t="s">
        <v>91</v>
      </c>
      <c r="B484" s="59">
        <v>35305</v>
      </c>
      <c r="C484" s="57">
        <f>YEAR(表_查询来自_northwind3[[#This Row],[订购日期]])</f>
        <v>1996</v>
      </c>
      <c r="D484" s="1">
        <v>1296</v>
      </c>
    </row>
    <row r="485" spans="1:4" x14ac:dyDescent="0.25">
      <c r="A485" s="1" t="s">
        <v>91</v>
      </c>
      <c r="B485" s="59">
        <v>35403</v>
      </c>
      <c r="C485" s="57">
        <f>YEAR(表_查询来自_northwind3[[#This Row],[订购日期]])</f>
        <v>1996</v>
      </c>
      <c r="D485" s="1">
        <v>583.20000000000005</v>
      </c>
    </row>
    <row r="486" spans="1:4" x14ac:dyDescent="0.25">
      <c r="A486" s="1" t="s">
        <v>91</v>
      </c>
      <c r="B486" s="59">
        <v>35415</v>
      </c>
      <c r="C486" s="57">
        <f>YEAR(表_查询来自_northwind3[[#This Row],[订购日期]])</f>
        <v>1996</v>
      </c>
      <c r="D486" s="1">
        <v>1814.4</v>
      </c>
    </row>
    <row r="487" spans="1:4" x14ac:dyDescent="0.25">
      <c r="A487" s="1" t="s">
        <v>91</v>
      </c>
      <c r="B487" s="59">
        <v>35542</v>
      </c>
      <c r="C487" s="57">
        <f>YEAR(表_查询来自_northwind3[[#This Row],[订购日期]])</f>
        <v>1997</v>
      </c>
      <c r="D487" s="1">
        <v>3159</v>
      </c>
    </row>
    <row r="488" spans="1:4" x14ac:dyDescent="0.25">
      <c r="A488" s="1" t="s">
        <v>91</v>
      </c>
      <c r="B488" s="59">
        <v>35551</v>
      </c>
      <c r="C488" s="57">
        <f>YEAR(表_查询来自_northwind3[[#This Row],[订购日期]])</f>
        <v>1997</v>
      </c>
      <c r="D488" s="1">
        <v>1093.4999981895089</v>
      </c>
    </row>
    <row r="489" spans="1:4" x14ac:dyDescent="0.25">
      <c r="A489" s="1" t="s">
        <v>91</v>
      </c>
      <c r="B489" s="59">
        <v>35620</v>
      </c>
      <c r="C489" s="57">
        <f>YEAR(表_查询来自_northwind3[[#This Row],[订购日期]])</f>
        <v>1997</v>
      </c>
      <c r="D489" s="1">
        <v>1360.799994930625</v>
      </c>
    </row>
    <row r="490" spans="1:4" x14ac:dyDescent="0.25">
      <c r="A490" s="1" t="s">
        <v>91</v>
      </c>
      <c r="B490" s="59">
        <v>35681</v>
      </c>
      <c r="C490" s="57">
        <f>YEAR(表_查询来自_northwind3[[#This Row],[订购日期]])</f>
        <v>1997</v>
      </c>
      <c r="D490" s="1">
        <v>1701</v>
      </c>
    </row>
    <row r="491" spans="1:4" x14ac:dyDescent="0.25">
      <c r="A491" s="1" t="s">
        <v>91</v>
      </c>
      <c r="B491" s="59">
        <v>35808</v>
      </c>
      <c r="C491" s="57">
        <f>YEAR(表_查询来自_northwind3[[#This Row],[订购日期]])</f>
        <v>1998</v>
      </c>
      <c r="D491" s="1">
        <v>405</v>
      </c>
    </row>
    <row r="492" spans="1:4" x14ac:dyDescent="0.25">
      <c r="A492" s="1" t="s">
        <v>91</v>
      </c>
      <c r="B492" s="59">
        <v>35836</v>
      </c>
      <c r="C492" s="57">
        <f>YEAR(表_查询来自_northwind3[[#This Row],[订购日期]])</f>
        <v>1998</v>
      </c>
      <c r="D492" s="1">
        <v>1538.9999987930059</v>
      </c>
    </row>
    <row r="493" spans="1:4" x14ac:dyDescent="0.25">
      <c r="A493" s="1" t="s">
        <v>91</v>
      </c>
      <c r="B493" s="59">
        <v>35859</v>
      </c>
      <c r="C493" s="57">
        <f>YEAR(表_查询来自_northwind3[[#This Row],[订购日期]])</f>
        <v>1998</v>
      </c>
      <c r="D493" s="1">
        <v>405</v>
      </c>
    </row>
    <row r="494" spans="1:4" x14ac:dyDescent="0.25">
      <c r="A494" s="1" t="s">
        <v>91</v>
      </c>
      <c r="B494" s="59">
        <v>35870</v>
      </c>
      <c r="C494" s="57">
        <f>YEAR(表_查询来自_northwind3[[#This Row],[订购日期]])</f>
        <v>1998</v>
      </c>
      <c r="D494" s="1">
        <v>3847.4999969825149</v>
      </c>
    </row>
    <row r="495" spans="1:4" x14ac:dyDescent="0.25">
      <c r="A495" s="1" t="s">
        <v>91</v>
      </c>
      <c r="B495" s="59">
        <v>35884</v>
      </c>
      <c r="C495" s="57">
        <f>YEAR(表_查询来自_northwind3[[#This Row],[订购日期]])</f>
        <v>1998</v>
      </c>
      <c r="D495" s="1">
        <v>1215</v>
      </c>
    </row>
    <row r="496" spans="1:4" x14ac:dyDescent="0.25">
      <c r="A496" s="1" t="s">
        <v>91</v>
      </c>
      <c r="B496" s="59">
        <v>35899</v>
      </c>
      <c r="C496" s="57">
        <f>YEAR(表_查询来自_northwind3[[#This Row],[订购日期]])</f>
        <v>1998</v>
      </c>
      <c r="D496" s="1">
        <v>1215</v>
      </c>
    </row>
    <row r="497" spans="1:4" x14ac:dyDescent="0.25">
      <c r="A497" s="1" t="s">
        <v>91</v>
      </c>
      <c r="B497" s="59">
        <v>35921</v>
      </c>
      <c r="C497" s="57">
        <f>YEAR(表_查询来自_northwind3[[#This Row],[订购日期]])</f>
        <v>1998</v>
      </c>
      <c r="D497" s="1">
        <v>77.760000072419643</v>
      </c>
    </row>
    <row r="498" spans="1:4" x14ac:dyDescent="0.25">
      <c r="A498" s="1" t="s">
        <v>92</v>
      </c>
      <c r="B498" s="59">
        <v>35264</v>
      </c>
      <c r="C498" s="57">
        <f>YEAR(表_查询来自_northwind3[[#This Row],[订购日期]])</f>
        <v>1996</v>
      </c>
      <c r="D498" s="1">
        <v>80</v>
      </c>
    </row>
    <row r="499" spans="1:4" x14ac:dyDescent="0.25">
      <c r="A499" s="1" t="s">
        <v>92</v>
      </c>
      <c r="B499" s="59">
        <v>35265</v>
      </c>
      <c r="C499" s="57">
        <f>YEAR(表_查询来自_northwind3[[#This Row],[订购日期]])</f>
        <v>1996</v>
      </c>
      <c r="D499" s="1">
        <v>160</v>
      </c>
    </row>
    <row r="500" spans="1:4" x14ac:dyDescent="0.25">
      <c r="A500" s="1" t="s">
        <v>92</v>
      </c>
      <c r="B500" s="59">
        <v>35356</v>
      </c>
      <c r="C500" s="57">
        <f>YEAR(表_查询来自_northwind3[[#This Row],[订购日期]])</f>
        <v>1996</v>
      </c>
      <c r="D500" s="1">
        <v>71.99999988079071</v>
      </c>
    </row>
    <row r="501" spans="1:4" x14ac:dyDescent="0.25">
      <c r="A501" s="1" t="s">
        <v>92</v>
      </c>
      <c r="B501" s="59">
        <v>35398</v>
      </c>
      <c r="C501" s="57">
        <f>YEAR(表_查询来自_northwind3[[#This Row],[订购日期]])</f>
        <v>1996</v>
      </c>
      <c r="D501" s="1">
        <v>35.999999940395355</v>
      </c>
    </row>
    <row r="502" spans="1:4" x14ac:dyDescent="0.25">
      <c r="A502" s="1" t="s">
        <v>92</v>
      </c>
      <c r="B502" s="59">
        <v>35426</v>
      </c>
      <c r="C502" s="57">
        <f>YEAR(表_查询来自_northwind3[[#This Row],[订购日期]])</f>
        <v>1996</v>
      </c>
      <c r="D502" s="1">
        <v>67.999999523162842</v>
      </c>
    </row>
    <row r="503" spans="1:4" x14ac:dyDescent="0.25">
      <c r="A503" s="1" t="s">
        <v>92</v>
      </c>
      <c r="B503" s="59">
        <v>35437</v>
      </c>
      <c r="C503" s="57">
        <f>YEAR(表_查询来自_northwind3[[#This Row],[订购日期]])</f>
        <v>1997</v>
      </c>
      <c r="D503" s="1">
        <v>215.99999964237213</v>
      </c>
    </row>
    <row r="504" spans="1:4" x14ac:dyDescent="0.25">
      <c r="A504" s="1" t="s">
        <v>92</v>
      </c>
      <c r="B504" s="59">
        <v>35439</v>
      </c>
      <c r="C504" s="57">
        <f>YEAR(表_查询来自_northwind3[[#This Row],[订购日期]])</f>
        <v>1997</v>
      </c>
      <c r="D504" s="1">
        <v>96</v>
      </c>
    </row>
    <row r="505" spans="1:4" x14ac:dyDescent="0.25">
      <c r="A505" s="1" t="s">
        <v>92</v>
      </c>
      <c r="B505" s="59">
        <v>35460</v>
      </c>
      <c r="C505" s="57">
        <f>YEAR(表_查询来自_northwind3[[#This Row],[订购日期]])</f>
        <v>1997</v>
      </c>
      <c r="D505" s="1">
        <v>400</v>
      </c>
    </row>
    <row r="506" spans="1:4" x14ac:dyDescent="0.25">
      <c r="A506" s="1" t="s">
        <v>92</v>
      </c>
      <c r="B506" s="59">
        <v>35486</v>
      </c>
      <c r="C506" s="57">
        <f>YEAR(表_查询来自_northwind3[[#This Row],[订购日期]])</f>
        <v>1997</v>
      </c>
      <c r="D506" s="1">
        <v>271.99999809265137</v>
      </c>
    </row>
    <row r="507" spans="1:4" x14ac:dyDescent="0.25">
      <c r="A507" s="1" t="s">
        <v>92</v>
      </c>
      <c r="B507" s="59">
        <v>35489</v>
      </c>
      <c r="C507" s="57">
        <f>YEAR(表_查询来自_northwind3[[#This Row],[订购日期]])</f>
        <v>1997</v>
      </c>
      <c r="D507" s="1">
        <v>240</v>
      </c>
    </row>
    <row r="508" spans="1:4" x14ac:dyDescent="0.25">
      <c r="A508" s="1" t="s">
        <v>92</v>
      </c>
      <c r="B508" s="59">
        <v>35506</v>
      </c>
      <c r="C508" s="57">
        <f>YEAR(表_查询来自_northwind3[[#This Row],[订购日期]])</f>
        <v>1997</v>
      </c>
      <c r="D508" s="1">
        <v>126</v>
      </c>
    </row>
    <row r="509" spans="1:4" x14ac:dyDescent="0.25">
      <c r="A509" s="1" t="s">
        <v>92</v>
      </c>
      <c r="B509" s="59">
        <v>35513</v>
      </c>
      <c r="C509" s="57">
        <f>YEAR(表_查询来自_northwind3[[#This Row],[订购日期]])</f>
        <v>1997</v>
      </c>
      <c r="D509" s="1">
        <v>112</v>
      </c>
    </row>
    <row r="510" spans="1:4" x14ac:dyDescent="0.25">
      <c r="A510" s="1" t="s">
        <v>92</v>
      </c>
      <c r="B510" s="59">
        <v>35531</v>
      </c>
      <c r="C510" s="57">
        <f>YEAR(表_查询来自_northwind3[[#This Row],[订购日期]])</f>
        <v>1997</v>
      </c>
      <c r="D510" s="1">
        <v>120</v>
      </c>
    </row>
    <row r="511" spans="1:4" x14ac:dyDescent="0.25">
      <c r="A511" s="1" t="s">
        <v>92</v>
      </c>
      <c r="B511" s="59">
        <v>35542</v>
      </c>
      <c r="C511" s="57">
        <f>YEAR(表_查询来自_northwind3[[#This Row],[订购日期]])</f>
        <v>1997</v>
      </c>
      <c r="D511" s="1">
        <v>319.9999988079071</v>
      </c>
    </row>
    <row r="512" spans="1:4" x14ac:dyDescent="0.25">
      <c r="A512" s="1" t="s">
        <v>92</v>
      </c>
      <c r="B512" s="59">
        <v>35566</v>
      </c>
      <c r="C512" s="57">
        <f>YEAR(表_查询来自_northwind3[[#This Row],[订购日期]])</f>
        <v>1997</v>
      </c>
      <c r="D512" s="1">
        <v>150</v>
      </c>
    </row>
    <row r="513" spans="1:4" x14ac:dyDescent="0.25">
      <c r="A513" s="1" t="s">
        <v>92</v>
      </c>
      <c r="B513" s="59">
        <v>35578</v>
      </c>
      <c r="C513" s="57">
        <f>YEAR(表_查询来自_northwind3[[#This Row],[订购日期]])</f>
        <v>1997</v>
      </c>
      <c r="D513" s="1">
        <v>53.999999910593033</v>
      </c>
    </row>
    <row r="514" spans="1:4" x14ac:dyDescent="0.25">
      <c r="A514" s="1" t="s">
        <v>92</v>
      </c>
      <c r="B514" s="59">
        <v>35635</v>
      </c>
      <c r="C514" s="57">
        <f>YEAR(表_查询来自_northwind3[[#This Row],[订购日期]])</f>
        <v>1997</v>
      </c>
      <c r="D514" s="1">
        <v>60</v>
      </c>
    </row>
    <row r="515" spans="1:4" x14ac:dyDescent="0.25">
      <c r="A515" s="1" t="s">
        <v>92</v>
      </c>
      <c r="B515" s="59">
        <v>35640</v>
      </c>
      <c r="C515" s="57">
        <f>YEAR(表_查询来自_northwind3[[#This Row],[订购日期]])</f>
        <v>1997</v>
      </c>
      <c r="D515" s="1">
        <v>80</v>
      </c>
    </row>
    <row r="516" spans="1:4" x14ac:dyDescent="0.25">
      <c r="A516" s="1" t="s">
        <v>92</v>
      </c>
      <c r="B516" s="59">
        <v>35646</v>
      </c>
      <c r="C516" s="57">
        <f>YEAR(表_查询来自_northwind3[[#This Row],[订购日期]])</f>
        <v>1997</v>
      </c>
      <c r="D516" s="1">
        <v>420</v>
      </c>
    </row>
    <row r="517" spans="1:4" x14ac:dyDescent="0.25">
      <c r="A517" s="1" t="s">
        <v>92</v>
      </c>
      <c r="B517" s="59">
        <v>35649</v>
      </c>
      <c r="C517" s="57">
        <f>YEAR(表_查询来自_northwind3[[#This Row],[订购日期]])</f>
        <v>1997</v>
      </c>
      <c r="D517" s="1">
        <v>224.99999962747097</v>
      </c>
    </row>
    <row r="518" spans="1:4" x14ac:dyDescent="0.25">
      <c r="A518" s="1" t="s">
        <v>92</v>
      </c>
      <c r="B518" s="59">
        <v>35664</v>
      </c>
      <c r="C518" s="57">
        <f>YEAR(表_查询来自_northwind3[[#This Row],[订购日期]])</f>
        <v>1997</v>
      </c>
      <c r="D518" s="1">
        <v>239.99999910593033</v>
      </c>
    </row>
    <row r="519" spans="1:4" x14ac:dyDescent="0.25">
      <c r="A519" s="1" t="s">
        <v>92</v>
      </c>
      <c r="B519" s="59">
        <v>35678</v>
      </c>
      <c r="C519" s="57">
        <f>YEAR(表_查询来自_northwind3[[#This Row],[订购日期]])</f>
        <v>1997</v>
      </c>
      <c r="D519" s="1">
        <v>600</v>
      </c>
    </row>
    <row r="520" spans="1:4" x14ac:dyDescent="0.25">
      <c r="A520" s="1" t="s">
        <v>92</v>
      </c>
      <c r="B520" s="59">
        <v>35698</v>
      </c>
      <c r="C520" s="57">
        <f>YEAR(表_查询来自_northwind3[[#This Row],[订购日期]])</f>
        <v>1997</v>
      </c>
      <c r="D520" s="1">
        <v>107.99999982118607</v>
      </c>
    </row>
    <row r="521" spans="1:4" x14ac:dyDescent="0.25">
      <c r="A521" s="1" t="s">
        <v>92</v>
      </c>
      <c r="B521" s="59">
        <v>35727</v>
      </c>
      <c r="C521" s="57">
        <f>YEAR(表_查询来自_northwind3[[#This Row],[订购日期]])</f>
        <v>1997</v>
      </c>
      <c r="D521" s="1">
        <v>50</v>
      </c>
    </row>
    <row r="522" spans="1:4" x14ac:dyDescent="0.25">
      <c r="A522" s="1" t="s">
        <v>92</v>
      </c>
      <c r="B522" s="59">
        <v>35727</v>
      </c>
      <c r="C522" s="57">
        <f>YEAR(表_查询来自_northwind3[[#This Row],[订购日期]])</f>
        <v>1997</v>
      </c>
      <c r="D522" s="1">
        <v>303.99999976158142</v>
      </c>
    </row>
    <row r="523" spans="1:4" x14ac:dyDescent="0.25">
      <c r="A523" s="1" t="s">
        <v>92</v>
      </c>
      <c r="B523" s="59">
        <v>35738</v>
      </c>
      <c r="C523" s="57">
        <f>YEAR(表_查询来自_northwind3[[#This Row],[订购日期]])</f>
        <v>1997</v>
      </c>
      <c r="D523" s="1">
        <v>300</v>
      </c>
    </row>
    <row r="524" spans="1:4" x14ac:dyDescent="0.25">
      <c r="A524" s="1" t="s">
        <v>92</v>
      </c>
      <c r="B524" s="59">
        <v>35740</v>
      </c>
      <c r="C524" s="57">
        <f>YEAR(表_查询来自_northwind3[[#This Row],[订购日期]])</f>
        <v>1997</v>
      </c>
      <c r="D524" s="1">
        <v>379.99999970197678</v>
      </c>
    </row>
    <row r="525" spans="1:4" x14ac:dyDescent="0.25">
      <c r="A525" s="1" t="s">
        <v>92</v>
      </c>
      <c r="B525" s="59">
        <v>35767</v>
      </c>
      <c r="C525" s="57">
        <f>YEAR(表_查询来自_northwind3[[#This Row],[订购日期]])</f>
        <v>1997</v>
      </c>
      <c r="D525" s="1">
        <v>400</v>
      </c>
    </row>
    <row r="526" spans="1:4" x14ac:dyDescent="0.25">
      <c r="A526" s="1" t="s">
        <v>92</v>
      </c>
      <c r="B526" s="59">
        <v>35825</v>
      </c>
      <c r="C526" s="57">
        <f>YEAR(表_查询来自_northwind3[[#This Row],[订购日期]])</f>
        <v>1998</v>
      </c>
      <c r="D526" s="1">
        <v>400</v>
      </c>
    </row>
    <row r="527" spans="1:4" x14ac:dyDescent="0.25">
      <c r="A527" s="1" t="s">
        <v>92</v>
      </c>
      <c r="B527" s="59">
        <v>35832</v>
      </c>
      <c r="C527" s="57">
        <f>YEAR(表_查询来自_northwind3[[#This Row],[订购日期]])</f>
        <v>1998</v>
      </c>
      <c r="D527" s="1">
        <v>200</v>
      </c>
    </row>
    <row r="528" spans="1:4" x14ac:dyDescent="0.25">
      <c r="A528" s="1" t="s">
        <v>92</v>
      </c>
      <c r="B528" s="59">
        <v>35838</v>
      </c>
      <c r="C528" s="57">
        <f>YEAR(表_查询来自_northwind3[[#This Row],[订购日期]])</f>
        <v>1998</v>
      </c>
      <c r="D528" s="1">
        <v>379.99999970197678</v>
      </c>
    </row>
    <row r="529" spans="1:4" x14ac:dyDescent="0.25">
      <c r="A529" s="1" t="s">
        <v>92</v>
      </c>
      <c r="B529" s="59">
        <v>35859</v>
      </c>
      <c r="C529" s="57">
        <f>YEAR(表_查询来自_northwind3[[#This Row],[订购日期]])</f>
        <v>1998</v>
      </c>
      <c r="D529" s="1">
        <v>600</v>
      </c>
    </row>
    <row r="530" spans="1:4" x14ac:dyDescent="0.25">
      <c r="A530" s="1" t="s">
        <v>92</v>
      </c>
      <c r="B530" s="59">
        <v>35860</v>
      </c>
      <c r="C530" s="57">
        <f>YEAR(表_查询来自_northwind3[[#This Row],[订购日期]])</f>
        <v>1998</v>
      </c>
      <c r="D530" s="1">
        <v>360</v>
      </c>
    </row>
    <row r="531" spans="1:4" x14ac:dyDescent="0.25">
      <c r="A531" s="1" t="s">
        <v>92</v>
      </c>
      <c r="B531" s="59">
        <v>35871</v>
      </c>
      <c r="C531" s="57">
        <f>YEAR(表_查询来自_northwind3[[#This Row],[订购日期]])</f>
        <v>1998</v>
      </c>
      <c r="D531" s="1">
        <v>120</v>
      </c>
    </row>
    <row r="532" spans="1:4" x14ac:dyDescent="0.25">
      <c r="A532" s="1" t="s">
        <v>92</v>
      </c>
      <c r="B532" s="59">
        <v>35880</v>
      </c>
      <c r="C532" s="57">
        <f>YEAR(表_查询来自_northwind3[[#This Row],[订购日期]])</f>
        <v>1998</v>
      </c>
      <c r="D532" s="1">
        <v>339.99999761581421</v>
      </c>
    </row>
    <row r="533" spans="1:4" x14ac:dyDescent="0.25">
      <c r="A533" s="1" t="s">
        <v>92</v>
      </c>
      <c r="B533" s="59">
        <v>35886</v>
      </c>
      <c r="C533" s="57">
        <f>YEAR(表_查询来自_northwind3[[#This Row],[订购日期]])</f>
        <v>1998</v>
      </c>
      <c r="D533" s="1">
        <v>650</v>
      </c>
    </row>
    <row r="534" spans="1:4" x14ac:dyDescent="0.25">
      <c r="A534" s="1" t="s">
        <v>92</v>
      </c>
      <c r="B534" s="59">
        <v>35905</v>
      </c>
      <c r="C534" s="57">
        <f>YEAR(表_查询来自_northwind3[[#This Row],[订购日期]])</f>
        <v>1998</v>
      </c>
      <c r="D534" s="1">
        <v>134.99999977648258</v>
      </c>
    </row>
    <row r="535" spans="1:4" x14ac:dyDescent="0.25">
      <c r="A535" s="1" t="s">
        <v>92</v>
      </c>
      <c r="B535" s="59">
        <v>35907</v>
      </c>
      <c r="C535" s="57">
        <f>YEAR(表_查询来自_northwind3[[#This Row],[订购日期]])</f>
        <v>1998</v>
      </c>
      <c r="D535" s="1">
        <v>200</v>
      </c>
    </row>
    <row r="536" spans="1:4" x14ac:dyDescent="0.25">
      <c r="A536" s="1" t="s">
        <v>92</v>
      </c>
      <c r="B536" s="59">
        <v>35914</v>
      </c>
      <c r="C536" s="57">
        <f>YEAR(表_查询来自_northwind3[[#This Row],[订购日期]])</f>
        <v>1998</v>
      </c>
      <c r="D536" s="1">
        <v>30</v>
      </c>
    </row>
    <row r="537" spans="1:4" x14ac:dyDescent="0.25">
      <c r="A537" s="1" t="s">
        <v>93</v>
      </c>
      <c r="B537" s="59">
        <v>35254</v>
      </c>
      <c r="C537" s="57">
        <f>YEAR(表_查询来自_northwind3[[#This Row],[订购日期]])</f>
        <v>1996</v>
      </c>
      <c r="D537" s="1">
        <v>95.759999924898139</v>
      </c>
    </row>
    <row r="538" spans="1:4" x14ac:dyDescent="0.25">
      <c r="A538" s="1" t="s">
        <v>93</v>
      </c>
      <c r="B538" s="59">
        <v>35465</v>
      </c>
      <c r="C538" s="57">
        <f>YEAR(表_查询来自_northwind3[[#This Row],[订购日期]])</f>
        <v>1997</v>
      </c>
      <c r="D538" s="1">
        <v>201.6</v>
      </c>
    </row>
    <row r="539" spans="1:4" x14ac:dyDescent="0.25">
      <c r="A539" s="1" t="s">
        <v>93</v>
      </c>
      <c r="B539" s="59">
        <v>35580</v>
      </c>
      <c r="C539" s="57">
        <f>YEAR(表_查询来自_northwind3[[#This Row],[订购日期]])</f>
        <v>1997</v>
      </c>
      <c r="D539" s="1">
        <v>504</v>
      </c>
    </row>
    <row r="540" spans="1:4" x14ac:dyDescent="0.25">
      <c r="A540" s="1" t="s">
        <v>93</v>
      </c>
      <c r="B540" s="59">
        <v>35629</v>
      </c>
      <c r="C540" s="57">
        <f>YEAR(表_查询来自_northwind3[[#This Row],[订购日期]])</f>
        <v>1997</v>
      </c>
      <c r="D540" s="1">
        <v>1008</v>
      </c>
    </row>
    <row r="541" spans="1:4" x14ac:dyDescent="0.25">
      <c r="A541" s="1" t="s">
        <v>93</v>
      </c>
      <c r="B541" s="59">
        <v>35646</v>
      </c>
      <c r="C541" s="57">
        <f>YEAR(表_查询来自_northwind3[[#This Row],[订购日期]])</f>
        <v>1997</v>
      </c>
      <c r="D541" s="1">
        <v>840</v>
      </c>
    </row>
    <row r="542" spans="1:4" x14ac:dyDescent="0.25">
      <c r="A542" s="1" t="s">
        <v>93</v>
      </c>
      <c r="B542" s="59">
        <v>35660</v>
      </c>
      <c r="C542" s="57">
        <f>YEAR(表_查询来自_northwind3[[#This Row],[订购日期]])</f>
        <v>1997</v>
      </c>
      <c r="D542" s="1">
        <v>840</v>
      </c>
    </row>
    <row r="543" spans="1:4" x14ac:dyDescent="0.25">
      <c r="A543" s="1" t="s">
        <v>93</v>
      </c>
      <c r="B543" s="59">
        <v>35670</v>
      </c>
      <c r="C543" s="57">
        <f>YEAR(表_查询来自_northwind3[[#This Row],[订购日期]])</f>
        <v>1997</v>
      </c>
      <c r="D543" s="1">
        <v>315</v>
      </c>
    </row>
    <row r="544" spans="1:4" x14ac:dyDescent="0.25">
      <c r="A544" s="1" t="s">
        <v>93</v>
      </c>
      <c r="B544" s="59">
        <v>35674</v>
      </c>
      <c r="C544" s="57">
        <f>YEAR(表_查询来自_northwind3[[#This Row],[订购日期]])</f>
        <v>1997</v>
      </c>
      <c r="D544" s="1">
        <v>315</v>
      </c>
    </row>
    <row r="545" spans="1:4" x14ac:dyDescent="0.25">
      <c r="A545" s="1" t="s">
        <v>93</v>
      </c>
      <c r="B545" s="59">
        <v>35767</v>
      </c>
      <c r="C545" s="57">
        <f>YEAR(表_查询来自_northwind3[[#This Row],[订购日期]])</f>
        <v>1997</v>
      </c>
      <c r="D545" s="1">
        <v>126</v>
      </c>
    </row>
    <row r="546" spans="1:4" x14ac:dyDescent="0.25">
      <c r="A546" s="1" t="s">
        <v>93</v>
      </c>
      <c r="B546" s="59">
        <v>35772</v>
      </c>
      <c r="C546" s="57">
        <f>YEAR(表_查询来自_northwind3[[#This Row],[订购日期]])</f>
        <v>1997</v>
      </c>
      <c r="D546" s="1">
        <v>84</v>
      </c>
    </row>
    <row r="547" spans="1:4" x14ac:dyDescent="0.25">
      <c r="A547" s="1" t="s">
        <v>93</v>
      </c>
      <c r="B547" s="59">
        <v>35811</v>
      </c>
      <c r="C547" s="57">
        <f>YEAR(表_查询来自_northwind3[[#This Row],[订购日期]])</f>
        <v>1998</v>
      </c>
      <c r="D547" s="1">
        <v>1092</v>
      </c>
    </row>
    <row r="548" spans="1:4" x14ac:dyDescent="0.25">
      <c r="A548" s="1" t="s">
        <v>93</v>
      </c>
      <c r="B548" s="59">
        <v>35816</v>
      </c>
      <c r="C548" s="57">
        <f>YEAR(表_查询来自_northwind3[[#This Row],[订购日期]])</f>
        <v>1998</v>
      </c>
      <c r="D548" s="1">
        <v>735</v>
      </c>
    </row>
    <row r="549" spans="1:4" x14ac:dyDescent="0.25">
      <c r="A549" s="1" t="s">
        <v>93</v>
      </c>
      <c r="B549" s="59">
        <v>35865</v>
      </c>
      <c r="C549" s="57">
        <f>YEAR(表_查询来自_northwind3[[#This Row],[订购日期]])</f>
        <v>1998</v>
      </c>
      <c r="D549" s="1">
        <v>441</v>
      </c>
    </row>
    <row r="550" spans="1:4" x14ac:dyDescent="0.25">
      <c r="A550" s="1" t="s">
        <v>93</v>
      </c>
      <c r="B550" s="59">
        <v>35891</v>
      </c>
      <c r="C550" s="57">
        <f>YEAR(表_查询来自_northwind3[[#This Row],[订购日期]])</f>
        <v>1998</v>
      </c>
      <c r="D550" s="1">
        <v>525</v>
      </c>
    </row>
    <row r="551" spans="1:4" x14ac:dyDescent="0.25">
      <c r="A551" s="1" t="s">
        <v>94</v>
      </c>
      <c r="B551" s="59">
        <v>35362</v>
      </c>
      <c r="C551" s="57">
        <f>YEAR(表_查询来自_northwind3[[#This Row],[订购日期]])</f>
        <v>1996</v>
      </c>
      <c r="D551" s="1">
        <v>288</v>
      </c>
    </row>
    <row r="552" spans="1:4" x14ac:dyDescent="0.25">
      <c r="A552" s="1" t="s">
        <v>94</v>
      </c>
      <c r="B552" s="59">
        <v>35376</v>
      </c>
      <c r="C552" s="57">
        <f>YEAR(表_查询来自_northwind3[[#This Row],[订购日期]])</f>
        <v>1996</v>
      </c>
      <c r="D552" s="1">
        <v>180</v>
      </c>
    </row>
    <row r="553" spans="1:4" x14ac:dyDescent="0.25">
      <c r="A553" s="1" t="s">
        <v>94</v>
      </c>
      <c r="B553" s="59">
        <v>35426</v>
      </c>
      <c r="C553" s="57">
        <f>YEAR(表_查询来自_northwind3[[#This Row],[订购日期]])</f>
        <v>1996</v>
      </c>
      <c r="D553" s="1">
        <v>288</v>
      </c>
    </row>
    <row r="554" spans="1:4" x14ac:dyDescent="0.25">
      <c r="A554" s="1" t="s">
        <v>94</v>
      </c>
      <c r="B554" s="59">
        <v>35432</v>
      </c>
      <c r="C554" s="57">
        <f>YEAR(表_查询来自_northwind3[[#This Row],[订购日期]])</f>
        <v>1997</v>
      </c>
      <c r="D554" s="1">
        <v>432</v>
      </c>
    </row>
    <row r="555" spans="1:4" x14ac:dyDescent="0.25">
      <c r="A555" s="1" t="s">
        <v>94</v>
      </c>
      <c r="B555" s="59">
        <v>35492</v>
      </c>
      <c r="C555" s="57">
        <f>YEAR(表_查询来自_northwind3[[#This Row],[订购日期]])</f>
        <v>1997</v>
      </c>
      <c r="D555" s="1">
        <v>151.19999999999999</v>
      </c>
    </row>
    <row r="556" spans="1:4" x14ac:dyDescent="0.25">
      <c r="A556" s="1" t="s">
        <v>94</v>
      </c>
      <c r="B556" s="59">
        <v>35500</v>
      </c>
      <c r="C556" s="57">
        <f>YEAR(表_查询来自_northwind3[[#This Row],[订购日期]])</f>
        <v>1997</v>
      </c>
      <c r="D556" s="1">
        <v>108</v>
      </c>
    </row>
    <row r="557" spans="1:4" x14ac:dyDescent="0.25">
      <c r="A557" s="1" t="s">
        <v>94</v>
      </c>
      <c r="B557" s="59">
        <v>35523</v>
      </c>
      <c r="C557" s="57">
        <f>YEAR(表_查询来自_northwind3[[#This Row],[订购日期]])</f>
        <v>1997</v>
      </c>
      <c r="D557" s="1">
        <v>72</v>
      </c>
    </row>
    <row r="558" spans="1:4" x14ac:dyDescent="0.25">
      <c r="A558" s="1" t="s">
        <v>94</v>
      </c>
      <c r="B558" s="59">
        <v>35571</v>
      </c>
      <c r="C558" s="57">
        <f>YEAR(表_查询来自_northwind3[[#This Row],[订购日期]])</f>
        <v>1997</v>
      </c>
      <c r="D558" s="1">
        <v>535.49999624490738</v>
      </c>
    </row>
    <row r="559" spans="1:4" x14ac:dyDescent="0.25">
      <c r="A559" s="1" t="s">
        <v>94</v>
      </c>
      <c r="B559" s="59">
        <v>35580</v>
      </c>
      <c r="C559" s="57">
        <f>YEAR(表_查询来自_northwind3[[#This Row],[订购日期]])</f>
        <v>1997</v>
      </c>
      <c r="D559" s="1">
        <v>170.99999986588955</v>
      </c>
    </row>
    <row r="560" spans="1:4" x14ac:dyDescent="0.25">
      <c r="A560" s="1" t="s">
        <v>94</v>
      </c>
      <c r="B560" s="59">
        <v>35647</v>
      </c>
      <c r="C560" s="57">
        <f>YEAR(表_查询来自_northwind3[[#This Row],[订购日期]])</f>
        <v>1997</v>
      </c>
      <c r="D560" s="1">
        <v>90</v>
      </c>
    </row>
    <row r="561" spans="1:4" x14ac:dyDescent="0.25">
      <c r="A561" s="1" t="s">
        <v>94</v>
      </c>
      <c r="B561" s="59">
        <v>35689</v>
      </c>
      <c r="C561" s="57">
        <f>YEAR(表_查询来自_northwind3[[#This Row],[订购日期]])</f>
        <v>1997</v>
      </c>
      <c r="D561" s="1">
        <v>288</v>
      </c>
    </row>
    <row r="562" spans="1:4" x14ac:dyDescent="0.25">
      <c r="A562" s="1" t="s">
        <v>94</v>
      </c>
      <c r="B562" s="59">
        <v>35691</v>
      </c>
      <c r="C562" s="57">
        <f>YEAR(表_查询来自_northwind3[[#This Row],[订购日期]])</f>
        <v>1997</v>
      </c>
      <c r="D562" s="1">
        <v>45</v>
      </c>
    </row>
    <row r="563" spans="1:4" x14ac:dyDescent="0.25">
      <c r="A563" s="1" t="s">
        <v>94</v>
      </c>
      <c r="B563" s="59">
        <v>35754</v>
      </c>
      <c r="C563" s="57">
        <f>YEAR(表_查询来自_northwind3[[#This Row],[订购日期]])</f>
        <v>1997</v>
      </c>
      <c r="D563" s="1">
        <v>396</v>
      </c>
    </row>
    <row r="564" spans="1:4" x14ac:dyDescent="0.25">
      <c r="A564" s="1" t="s">
        <v>94</v>
      </c>
      <c r="B564" s="59">
        <v>35797</v>
      </c>
      <c r="C564" s="57">
        <f>YEAR(表_查询来自_northwind3[[#This Row],[订购日期]])</f>
        <v>1998</v>
      </c>
      <c r="D564" s="1">
        <v>162</v>
      </c>
    </row>
    <row r="565" spans="1:4" x14ac:dyDescent="0.25">
      <c r="A565" s="1" t="s">
        <v>94</v>
      </c>
      <c r="B565" s="59">
        <v>35816</v>
      </c>
      <c r="C565" s="57">
        <f>YEAR(表_查询来自_northwind3[[#This Row],[订购日期]])</f>
        <v>1998</v>
      </c>
      <c r="D565" s="1">
        <v>566.99999906122684</v>
      </c>
    </row>
    <row r="566" spans="1:4" x14ac:dyDescent="0.25">
      <c r="A566" s="1" t="s">
        <v>94</v>
      </c>
      <c r="B566" s="59">
        <v>35830</v>
      </c>
      <c r="C566" s="57">
        <f>YEAR(表_查询来自_northwind3[[#This Row],[订购日期]])</f>
        <v>1998</v>
      </c>
      <c r="D566" s="1">
        <v>450</v>
      </c>
    </row>
    <row r="567" spans="1:4" x14ac:dyDescent="0.25">
      <c r="A567" s="1" t="s">
        <v>94</v>
      </c>
      <c r="B567" s="59">
        <v>35836</v>
      </c>
      <c r="C567" s="57">
        <f>YEAR(表_查询来自_northwind3[[#This Row],[订购日期]])</f>
        <v>1998</v>
      </c>
      <c r="D567" s="1">
        <v>215.9999991953373</v>
      </c>
    </row>
    <row r="568" spans="1:4" x14ac:dyDescent="0.25">
      <c r="A568" s="1" t="s">
        <v>94</v>
      </c>
      <c r="B568" s="59">
        <v>35863</v>
      </c>
      <c r="C568" s="57">
        <f>YEAR(表_查询来自_northwind3[[#This Row],[订购日期]])</f>
        <v>1998</v>
      </c>
      <c r="D568" s="1">
        <v>54</v>
      </c>
    </row>
    <row r="569" spans="1:4" x14ac:dyDescent="0.25">
      <c r="A569" s="1" t="s">
        <v>94</v>
      </c>
      <c r="B569" s="59">
        <v>35894</v>
      </c>
      <c r="C569" s="57">
        <f>YEAR(表_查询来自_northwind3[[#This Row],[订购日期]])</f>
        <v>1998</v>
      </c>
      <c r="D569" s="1">
        <v>90</v>
      </c>
    </row>
    <row r="570" spans="1:4" x14ac:dyDescent="0.25">
      <c r="A570" s="1" t="s">
        <v>94</v>
      </c>
      <c r="B570" s="59">
        <v>35921</v>
      </c>
      <c r="C570" s="57">
        <f>YEAR(表_查询来自_northwind3[[#This Row],[订购日期]])</f>
        <v>1998</v>
      </c>
      <c r="D570" s="1">
        <v>18</v>
      </c>
    </row>
    <row r="571" spans="1:4" x14ac:dyDescent="0.25">
      <c r="A571" s="1" t="s">
        <v>95</v>
      </c>
      <c r="B571" s="59">
        <v>35257</v>
      </c>
      <c r="C571" s="57">
        <f>YEAR(表_查询来自_northwind3[[#This Row],[订购日期]])</f>
        <v>1996</v>
      </c>
      <c r="D571" s="1">
        <v>45.899999678134918</v>
      </c>
    </row>
    <row r="572" spans="1:4" x14ac:dyDescent="0.25">
      <c r="A572" s="1" t="s">
        <v>95</v>
      </c>
      <c r="B572" s="59">
        <v>35269</v>
      </c>
      <c r="C572" s="57">
        <f>YEAR(表_查询来自_northwind3[[#This Row],[订购日期]])</f>
        <v>1996</v>
      </c>
      <c r="D572" s="1">
        <v>100.8</v>
      </c>
    </row>
    <row r="573" spans="1:4" x14ac:dyDescent="0.25">
      <c r="A573" s="1" t="s">
        <v>95</v>
      </c>
      <c r="B573" s="59">
        <v>35284</v>
      </c>
      <c r="C573" s="57">
        <f>YEAR(表_查询来自_northwind3[[#This Row],[订购日期]])</f>
        <v>1996</v>
      </c>
      <c r="D573" s="1">
        <v>41.039999967813493</v>
      </c>
    </row>
    <row r="574" spans="1:4" x14ac:dyDescent="0.25">
      <c r="A574" s="1" t="s">
        <v>95</v>
      </c>
      <c r="B574" s="59">
        <v>35291</v>
      </c>
      <c r="C574" s="57">
        <f>YEAR(表_查询来自_northwind3[[#This Row],[订购日期]])</f>
        <v>1996</v>
      </c>
      <c r="D574" s="1">
        <v>43.2</v>
      </c>
    </row>
    <row r="575" spans="1:4" x14ac:dyDescent="0.25">
      <c r="A575" s="1" t="s">
        <v>95</v>
      </c>
      <c r="B575" s="59">
        <v>35291</v>
      </c>
      <c r="C575" s="57">
        <f>YEAR(表_查询来自_northwind3[[#This Row],[订购日期]])</f>
        <v>1996</v>
      </c>
      <c r="D575" s="1">
        <v>21.6</v>
      </c>
    </row>
    <row r="576" spans="1:4" x14ac:dyDescent="0.25">
      <c r="A576" s="1" t="s">
        <v>95</v>
      </c>
      <c r="B576" s="59">
        <v>35306</v>
      </c>
      <c r="C576" s="57">
        <f>YEAR(表_查询来自_northwind3[[#This Row],[订购日期]])</f>
        <v>1996</v>
      </c>
      <c r="D576" s="1">
        <v>36</v>
      </c>
    </row>
    <row r="577" spans="1:4" x14ac:dyDescent="0.25">
      <c r="A577" s="1" t="s">
        <v>95</v>
      </c>
      <c r="B577" s="59">
        <v>35381</v>
      </c>
      <c r="C577" s="57">
        <f>YEAR(表_查询来自_northwind3[[#This Row],[订购日期]])</f>
        <v>1996</v>
      </c>
      <c r="D577" s="1">
        <v>36</v>
      </c>
    </row>
    <row r="578" spans="1:4" x14ac:dyDescent="0.25">
      <c r="A578" s="1" t="s">
        <v>95</v>
      </c>
      <c r="B578" s="59">
        <v>35384</v>
      </c>
      <c r="C578" s="57">
        <f>YEAR(表_查询来自_northwind3[[#This Row],[订购日期]])</f>
        <v>1996</v>
      </c>
      <c r="D578" s="1">
        <v>90</v>
      </c>
    </row>
    <row r="579" spans="1:4" x14ac:dyDescent="0.25">
      <c r="A579" s="1" t="s">
        <v>95</v>
      </c>
      <c r="B579" s="59">
        <v>35389</v>
      </c>
      <c r="C579" s="57">
        <f>YEAR(表_查询来自_northwind3[[#This Row],[订购日期]])</f>
        <v>1996</v>
      </c>
      <c r="D579" s="1">
        <v>34.19999997317791</v>
      </c>
    </row>
    <row r="580" spans="1:4" x14ac:dyDescent="0.25">
      <c r="A580" s="1" t="s">
        <v>95</v>
      </c>
      <c r="B580" s="59">
        <v>35417</v>
      </c>
      <c r="C580" s="57">
        <f>YEAR(表_查询来自_northwind3[[#This Row],[订购日期]])</f>
        <v>1996</v>
      </c>
      <c r="D580" s="1">
        <v>54</v>
      </c>
    </row>
    <row r="581" spans="1:4" x14ac:dyDescent="0.25">
      <c r="A581" s="1" t="s">
        <v>95</v>
      </c>
      <c r="B581" s="59">
        <v>35417</v>
      </c>
      <c r="C581" s="57">
        <f>YEAR(表_查询来自_northwind3[[#This Row],[订购日期]])</f>
        <v>1996</v>
      </c>
      <c r="D581" s="1">
        <v>54</v>
      </c>
    </row>
    <row r="582" spans="1:4" x14ac:dyDescent="0.25">
      <c r="A582" s="1" t="s">
        <v>95</v>
      </c>
      <c r="B582" s="59">
        <v>35475</v>
      </c>
      <c r="C582" s="57">
        <f>YEAR(表_查询来自_northwind3[[#This Row],[订购日期]])</f>
        <v>1997</v>
      </c>
      <c r="D582" s="1">
        <v>64.799999892711639</v>
      </c>
    </row>
    <row r="583" spans="1:4" x14ac:dyDescent="0.25">
      <c r="A583" s="1" t="s">
        <v>95</v>
      </c>
      <c r="B583" s="59">
        <v>35494</v>
      </c>
      <c r="C583" s="57">
        <f>YEAR(表_查询来自_northwind3[[#This Row],[订购日期]])</f>
        <v>1997</v>
      </c>
      <c r="D583" s="1">
        <v>90</v>
      </c>
    </row>
    <row r="584" spans="1:4" x14ac:dyDescent="0.25">
      <c r="A584" s="1" t="s">
        <v>95</v>
      </c>
      <c r="B584" s="59">
        <v>35495</v>
      </c>
      <c r="C584" s="57">
        <f>YEAR(表_查询来自_northwind3[[#This Row],[订购日期]])</f>
        <v>1997</v>
      </c>
      <c r="D584" s="1">
        <v>100.8</v>
      </c>
    </row>
    <row r="585" spans="1:4" x14ac:dyDescent="0.25">
      <c r="A585" s="1" t="s">
        <v>95</v>
      </c>
      <c r="B585" s="59">
        <v>35501</v>
      </c>
      <c r="C585" s="57">
        <f>YEAR(表_查询来自_northwind3[[#This Row],[订购日期]])</f>
        <v>1997</v>
      </c>
      <c r="D585" s="1">
        <v>273.59999978542328</v>
      </c>
    </row>
    <row r="586" spans="1:4" x14ac:dyDescent="0.25">
      <c r="A586" s="1" t="s">
        <v>95</v>
      </c>
      <c r="B586" s="59">
        <v>35527</v>
      </c>
      <c r="C586" s="57">
        <f>YEAR(表_查询来自_northwind3[[#This Row],[订购日期]])</f>
        <v>1997</v>
      </c>
      <c r="D586" s="1">
        <v>63</v>
      </c>
    </row>
    <row r="587" spans="1:4" x14ac:dyDescent="0.25">
      <c r="A587" s="1" t="s">
        <v>95</v>
      </c>
      <c r="B587" s="59">
        <v>35541</v>
      </c>
      <c r="C587" s="57">
        <f>YEAR(表_查询来自_northwind3[[#This Row],[订购日期]])</f>
        <v>1997</v>
      </c>
      <c r="D587" s="1">
        <v>38.249999731779099</v>
      </c>
    </row>
    <row r="588" spans="1:4" x14ac:dyDescent="0.25">
      <c r="A588" s="1" t="s">
        <v>95</v>
      </c>
      <c r="B588" s="59">
        <v>35545</v>
      </c>
      <c r="C588" s="57">
        <f>YEAR(表_查询来自_northwind3[[#This Row],[订购日期]])</f>
        <v>1997</v>
      </c>
      <c r="D588" s="1">
        <v>22.5</v>
      </c>
    </row>
    <row r="589" spans="1:4" x14ac:dyDescent="0.25">
      <c r="A589" s="1" t="s">
        <v>95</v>
      </c>
      <c r="B589" s="59">
        <v>35549</v>
      </c>
      <c r="C589" s="57">
        <f>YEAR(表_查询来自_northwind3[[#This Row],[订购日期]])</f>
        <v>1997</v>
      </c>
      <c r="D589" s="1">
        <v>36</v>
      </c>
    </row>
    <row r="590" spans="1:4" x14ac:dyDescent="0.25">
      <c r="A590" s="1" t="s">
        <v>95</v>
      </c>
      <c r="B590" s="59">
        <v>35569</v>
      </c>
      <c r="C590" s="57">
        <f>YEAR(表_查询来自_northwind3[[#This Row],[订购日期]])</f>
        <v>1997</v>
      </c>
      <c r="D590" s="1">
        <v>141.74999976530671</v>
      </c>
    </row>
    <row r="591" spans="1:4" x14ac:dyDescent="0.25">
      <c r="A591" s="1" t="s">
        <v>95</v>
      </c>
      <c r="B591" s="59">
        <v>35583</v>
      </c>
      <c r="C591" s="57">
        <f>YEAR(表_查询来自_northwind3[[#This Row],[订购日期]])</f>
        <v>1997</v>
      </c>
      <c r="D591" s="1">
        <v>64.799999758601189</v>
      </c>
    </row>
    <row r="592" spans="1:4" x14ac:dyDescent="0.25">
      <c r="A592" s="1" t="s">
        <v>95</v>
      </c>
      <c r="B592" s="59">
        <v>35592</v>
      </c>
      <c r="C592" s="57">
        <f>YEAR(表_查询来自_northwind3[[#This Row],[订购日期]])</f>
        <v>1997</v>
      </c>
      <c r="D592" s="1">
        <v>101.24999983236194</v>
      </c>
    </row>
    <row r="593" spans="1:4" x14ac:dyDescent="0.25">
      <c r="A593" s="1" t="s">
        <v>95</v>
      </c>
      <c r="B593" s="59">
        <v>35622</v>
      </c>
      <c r="C593" s="57">
        <f>YEAR(表_查询来自_northwind3[[#This Row],[订购日期]])</f>
        <v>1997</v>
      </c>
      <c r="D593" s="1">
        <v>125.99999953061342</v>
      </c>
    </row>
    <row r="594" spans="1:4" x14ac:dyDescent="0.25">
      <c r="A594" s="1" t="s">
        <v>95</v>
      </c>
      <c r="B594" s="59">
        <v>35647</v>
      </c>
      <c r="C594" s="57">
        <f>YEAR(表_查询来自_northwind3[[#This Row],[订购日期]])</f>
        <v>1997</v>
      </c>
      <c r="D594" s="1">
        <v>22.5</v>
      </c>
    </row>
    <row r="595" spans="1:4" x14ac:dyDescent="0.25">
      <c r="A595" s="1" t="s">
        <v>95</v>
      </c>
      <c r="B595" s="59">
        <v>35649</v>
      </c>
      <c r="C595" s="57">
        <f>YEAR(表_查询来自_northwind3[[#This Row],[订购日期]])</f>
        <v>1997</v>
      </c>
      <c r="D595" s="1">
        <v>13.5</v>
      </c>
    </row>
    <row r="596" spans="1:4" x14ac:dyDescent="0.25">
      <c r="A596" s="1" t="s">
        <v>95</v>
      </c>
      <c r="B596" s="59">
        <v>35670</v>
      </c>
      <c r="C596" s="57">
        <f>YEAR(表_查询来自_northwind3[[#This Row],[订购日期]])</f>
        <v>1997</v>
      </c>
      <c r="D596" s="1">
        <v>57.374999597668648</v>
      </c>
    </row>
    <row r="597" spans="1:4" x14ac:dyDescent="0.25">
      <c r="A597" s="1" t="s">
        <v>95</v>
      </c>
      <c r="B597" s="59">
        <v>35710</v>
      </c>
      <c r="C597" s="57">
        <f>YEAR(表_查询来自_northwind3[[#This Row],[订购日期]])</f>
        <v>1997</v>
      </c>
      <c r="D597" s="1">
        <v>90</v>
      </c>
    </row>
    <row r="598" spans="1:4" x14ac:dyDescent="0.25">
      <c r="A598" s="1" t="s">
        <v>95</v>
      </c>
      <c r="B598" s="59">
        <v>35717</v>
      </c>
      <c r="C598" s="57">
        <f>YEAR(表_查询来自_northwind3[[#This Row],[订购日期]])</f>
        <v>1997</v>
      </c>
      <c r="D598" s="1">
        <v>157.5</v>
      </c>
    </row>
    <row r="599" spans="1:4" x14ac:dyDescent="0.25">
      <c r="A599" s="1" t="s">
        <v>95</v>
      </c>
      <c r="B599" s="59">
        <v>35767</v>
      </c>
      <c r="C599" s="57">
        <f>YEAR(表_查询来自_northwind3[[#This Row],[订购日期]])</f>
        <v>1997</v>
      </c>
      <c r="D599" s="1">
        <v>90</v>
      </c>
    </row>
    <row r="600" spans="1:4" x14ac:dyDescent="0.25">
      <c r="A600" s="1" t="s">
        <v>95</v>
      </c>
      <c r="B600" s="59">
        <v>35790</v>
      </c>
      <c r="C600" s="57">
        <f>YEAR(表_查询来自_northwind3[[#This Row],[订购日期]])</f>
        <v>1997</v>
      </c>
      <c r="D600" s="1">
        <v>76.499999463558197</v>
      </c>
    </row>
    <row r="601" spans="1:4" x14ac:dyDescent="0.25">
      <c r="A601" s="1" t="s">
        <v>95</v>
      </c>
      <c r="B601" s="59">
        <v>35824</v>
      </c>
      <c r="C601" s="57">
        <f>YEAR(表_查询来自_northwind3[[#This Row],[订购日期]])</f>
        <v>1998</v>
      </c>
      <c r="D601" s="1">
        <v>135</v>
      </c>
    </row>
    <row r="602" spans="1:4" x14ac:dyDescent="0.25">
      <c r="A602" s="1" t="s">
        <v>95</v>
      </c>
      <c r="B602" s="59">
        <v>35829</v>
      </c>
      <c r="C602" s="57">
        <f>YEAR(表_查询来自_northwind3[[#This Row],[订购日期]])</f>
        <v>1998</v>
      </c>
      <c r="D602" s="1">
        <v>20.25</v>
      </c>
    </row>
    <row r="603" spans="1:4" x14ac:dyDescent="0.25">
      <c r="A603" s="1" t="s">
        <v>95</v>
      </c>
      <c r="B603" s="59">
        <v>35838</v>
      </c>
      <c r="C603" s="57">
        <f>YEAR(表_查询来自_northwind3[[#This Row],[订购日期]])</f>
        <v>1998</v>
      </c>
      <c r="D603" s="1">
        <v>36</v>
      </c>
    </row>
    <row r="604" spans="1:4" x14ac:dyDescent="0.25">
      <c r="A604" s="1" t="s">
        <v>95</v>
      </c>
      <c r="B604" s="59">
        <v>35838</v>
      </c>
      <c r="C604" s="57">
        <f>YEAR(表_查询来自_northwind3[[#This Row],[订购日期]])</f>
        <v>1998</v>
      </c>
      <c r="D604" s="1">
        <v>54</v>
      </c>
    </row>
    <row r="605" spans="1:4" x14ac:dyDescent="0.25">
      <c r="A605" s="1" t="s">
        <v>95</v>
      </c>
      <c r="B605" s="59">
        <v>35844</v>
      </c>
      <c r="C605" s="57">
        <f>YEAR(表_查询来自_northwind3[[#This Row],[订购日期]])</f>
        <v>1998</v>
      </c>
      <c r="D605" s="1">
        <v>45</v>
      </c>
    </row>
    <row r="606" spans="1:4" x14ac:dyDescent="0.25">
      <c r="A606" s="1" t="s">
        <v>95</v>
      </c>
      <c r="B606" s="59">
        <v>35844</v>
      </c>
      <c r="C606" s="57">
        <f>YEAR(表_查询来自_northwind3[[#This Row],[订购日期]])</f>
        <v>1998</v>
      </c>
      <c r="D606" s="1">
        <v>495</v>
      </c>
    </row>
    <row r="607" spans="1:4" x14ac:dyDescent="0.25">
      <c r="A607" s="1" t="s">
        <v>95</v>
      </c>
      <c r="B607" s="59">
        <v>35857</v>
      </c>
      <c r="C607" s="57">
        <f>YEAR(表_查询来自_northwind3[[#This Row],[订购日期]])</f>
        <v>1998</v>
      </c>
      <c r="D607" s="1">
        <v>157.5</v>
      </c>
    </row>
    <row r="608" spans="1:4" x14ac:dyDescent="0.25">
      <c r="A608" s="1" t="s">
        <v>95</v>
      </c>
      <c r="B608" s="59">
        <v>35866</v>
      </c>
      <c r="C608" s="57">
        <f>YEAR(表_查询来自_northwind3[[#This Row],[订购日期]])</f>
        <v>1998</v>
      </c>
      <c r="D608" s="1">
        <v>112.5</v>
      </c>
    </row>
    <row r="609" spans="1:4" x14ac:dyDescent="0.25">
      <c r="A609" s="1" t="s">
        <v>95</v>
      </c>
      <c r="B609" s="59">
        <v>35873</v>
      </c>
      <c r="C609" s="57">
        <f>YEAR(表_查询来自_northwind3[[#This Row],[订购日期]])</f>
        <v>1998</v>
      </c>
      <c r="D609" s="1">
        <v>33.75</v>
      </c>
    </row>
    <row r="610" spans="1:4" x14ac:dyDescent="0.25">
      <c r="A610" s="1" t="s">
        <v>95</v>
      </c>
      <c r="B610" s="59">
        <v>35877</v>
      </c>
      <c r="C610" s="57">
        <f>YEAR(表_查询来自_northwind3[[#This Row],[订购日期]])</f>
        <v>1998</v>
      </c>
      <c r="D610" s="1">
        <v>135</v>
      </c>
    </row>
    <row r="611" spans="1:4" x14ac:dyDescent="0.25">
      <c r="A611" s="1" t="s">
        <v>95</v>
      </c>
      <c r="B611" s="59">
        <v>35880</v>
      </c>
      <c r="C611" s="57">
        <f>YEAR(表_查询来自_northwind3[[#This Row],[订购日期]])</f>
        <v>1998</v>
      </c>
      <c r="D611" s="1">
        <v>360</v>
      </c>
    </row>
    <row r="612" spans="1:4" x14ac:dyDescent="0.25">
      <c r="A612" s="1" t="s">
        <v>95</v>
      </c>
      <c r="B612" s="59">
        <v>35884</v>
      </c>
      <c r="C612" s="57">
        <f>YEAR(表_查询来自_northwind3[[#This Row],[订购日期]])</f>
        <v>1998</v>
      </c>
      <c r="D612" s="1">
        <v>90</v>
      </c>
    </row>
    <row r="613" spans="1:4" x14ac:dyDescent="0.25">
      <c r="A613" s="1" t="s">
        <v>95</v>
      </c>
      <c r="B613" s="59">
        <v>35888</v>
      </c>
      <c r="C613" s="57">
        <f>YEAR(表_查询来自_northwind3[[#This Row],[订购日期]])</f>
        <v>1998</v>
      </c>
      <c r="D613" s="1">
        <v>54</v>
      </c>
    </row>
    <row r="614" spans="1:4" x14ac:dyDescent="0.25">
      <c r="A614" s="1" t="s">
        <v>95</v>
      </c>
      <c r="B614" s="59">
        <v>35891</v>
      </c>
      <c r="C614" s="57">
        <f>YEAR(表_查询来自_northwind3[[#This Row],[订购日期]])</f>
        <v>1998</v>
      </c>
      <c r="D614" s="1">
        <v>101.25</v>
      </c>
    </row>
    <row r="615" spans="1:4" x14ac:dyDescent="0.25">
      <c r="A615" s="1" t="s">
        <v>95</v>
      </c>
      <c r="B615" s="59">
        <v>35893</v>
      </c>
      <c r="C615" s="57">
        <f>YEAR(表_查询来自_northwind3[[#This Row],[订购日期]])</f>
        <v>1998</v>
      </c>
      <c r="D615" s="1">
        <v>54</v>
      </c>
    </row>
    <row r="616" spans="1:4" x14ac:dyDescent="0.25">
      <c r="A616" s="1" t="s">
        <v>95</v>
      </c>
      <c r="B616" s="59">
        <v>35894</v>
      </c>
      <c r="C616" s="57">
        <f>YEAR(表_查询来自_northwind3[[#This Row],[订购日期]])</f>
        <v>1998</v>
      </c>
      <c r="D616" s="1">
        <v>45</v>
      </c>
    </row>
    <row r="617" spans="1:4" x14ac:dyDescent="0.25">
      <c r="A617" s="1" t="s">
        <v>95</v>
      </c>
      <c r="B617" s="59">
        <v>35901</v>
      </c>
      <c r="C617" s="57">
        <f>YEAR(表_查询来自_northwind3[[#This Row],[订购日期]])</f>
        <v>1998</v>
      </c>
      <c r="D617" s="1">
        <v>101.25</v>
      </c>
    </row>
    <row r="618" spans="1:4" x14ac:dyDescent="0.25">
      <c r="A618" s="1" t="s">
        <v>95</v>
      </c>
      <c r="B618" s="59">
        <v>35902</v>
      </c>
      <c r="C618" s="57">
        <f>YEAR(表_查询来自_northwind3[[#This Row],[订购日期]])</f>
        <v>1998</v>
      </c>
      <c r="D618" s="1">
        <v>94.5</v>
      </c>
    </row>
    <row r="619" spans="1:4" x14ac:dyDescent="0.25">
      <c r="A619" s="1" t="s">
        <v>95</v>
      </c>
      <c r="B619" s="59">
        <v>35912</v>
      </c>
      <c r="C619" s="57">
        <f>YEAR(表_查询来自_northwind3[[#This Row],[订购日期]])</f>
        <v>1998</v>
      </c>
      <c r="D619" s="1">
        <v>35.999999865889549</v>
      </c>
    </row>
    <row r="620" spans="1:4" x14ac:dyDescent="0.25">
      <c r="A620" s="1" t="s">
        <v>95</v>
      </c>
      <c r="B620" s="59">
        <v>35913</v>
      </c>
      <c r="C620" s="57">
        <f>YEAR(表_查询来自_northwind3[[#This Row],[订购日期]])</f>
        <v>1998</v>
      </c>
      <c r="D620" s="1">
        <v>67.5</v>
      </c>
    </row>
    <row r="621" spans="1:4" x14ac:dyDescent="0.25">
      <c r="A621" s="1" t="s">
        <v>95</v>
      </c>
      <c r="B621" s="59">
        <v>35920</v>
      </c>
      <c r="C621" s="57">
        <f>YEAR(表_查询来自_northwind3[[#This Row],[订购日期]])</f>
        <v>1998</v>
      </c>
      <c r="D621" s="1">
        <v>90</v>
      </c>
    </row>
    <row r="622" spans="1:4" x14ac:dyDescent="0.25">
      <c r="A622" s="1" t="s">
        <v>96</v>
      </c>
      <c r="B622" s="59">
        <v>35345</v>
      </c>
      <c r="C622" s="57">
        <f>YEAR(表_查询来自_northwind3[[#This Row],[订购日期]])</f>
        <v>1996</v>
      </c>
      <c r="D622" s="1">
        <v>44.8</v>
      </c>
    </row>
    <row r="623" spans="1:4" x14ac:dyDescent="0.25">
      <c r="A623" s="1" t="s">
        <v>96</v>
      </c>
      <c r="B623" s="59">
        <v>35375</v>
      </c>
      <c r="C623" s="57">
        <f>YEAR(表_查询来自_northwind3[[#This Row],[订购日期]])</f>
        <v>1996</v>
      </c>
      <c r="D623" s="1">
        <v>112</v>
      </c>
    </row>
    <row r="624" spans="1:4" x14ac:dyDescent="0.25">
      <c r="A624" s="1" t="s">
        <v>96</v>
      </c>
      <c r="B624" s="59">
        <v>35394</v>
      </c>
      <c r="C624" s="57">
        <f>YEAR(表_查询来自_northwind3[[#This Row],[订购日期]])</f>
        <v>1996</v>
      </c>
      <c r="D624" s="1">
        <v>560</v>
      </c>
    </row>
    <row r="625" spans="1:4" x14ac:dyDescent="0.25">
      <c r="A625" s="1" t="s">
        <v>96</v>
      </c>
      <c r="B625" s="59">
        <v>35424</v>
      </c>
      <c r="C625" s="57">
        <f>YEAR(表_查询来自_northwind3[[#This Row],[订购日期]])</f>
        <v>1996</v>
      </c>
      <c r="D625" s="1">
        <v>58.800000000000004</v>
      </c>
    </row>
    <row r="626" spans="1:4" x14ac:dyDescent="0.25">
      <c r="A626" s="1" t="s">
        <v>96</v>
      </c>
      <c r="B626" s="59">
        <v>35495</v>
      </c>
      <c r="C626" s="57">
        <f>YEAR(表_查询来自_northwind3[[#This Row],[订购日期]])</f>
        <v>1997</v>
      </c>
      <c r="D626" s="1">
        <v>134.4</v>
      </c>
    </row>
    <row r="627" spans="1:4" x14ac:dyDescent="0.25">
      <c r="A627" s="1" t="s">
        <v>96</v>
      </c>
      <c r="B627" s="59">
        <v>35521</v>
      </c>
      <c r="C627" s="57">
        <f>YEAR(表_查询来自_northwind3[[#This Row],[订购日期]])</f>
        <v>1997</v>
      </c>
      <c r="D627" s="1">
        <v>638.39999949932098</v>
      </c>
    </row>
    <row r="628" spans="1:4" x14ac:dyDescent="0.25">
      <c r="A628" s="1" t="s">
        <v>96</v>
      </c>
      <c r="B628" s="59">
        <v>35535</v>
      </c>
      <c r="C628" s="57">
        <f>YEAR(表_查询来自_northwind3[[#This Row],[订购日期]])</f>
        <v>1997</v>
      </c>
      <c r="D628" s="1">
        <v>226.79999962449074</v>
      </c>
    </row>
    <row r="629" spans="1:4" x14ac:dyDescent="0.25">
      <c r="A629" s="1" t="s">
        <v>96</v>
      </c>
      <c r="B629" s="59">
        <v>35765</v>
      </c>
      <c r="C629" s="57">
        <f>YEAR(表_查询来自_northwind3[[#This Row],[订购日期]])</f>
        <v>1997</v>
      </c>
      <c r="D629" s="1">
        <v>126</v>
      </c>
    </row>
    <row r="630" spans="1:4" x14ac:dyDescent="0.25">
      <c r="A630" s="1" t="s">
        <v>96</v>
      </c>
      <c r="B630" s="59">
        <v>35766</v>
      </c>
      <c r="C630" s="57">
        <f>YEAR(表_查询来自_northwind3[[#This Row],[订购日期]])</f>
        <v>1997</v>
      </c>
      <c r="D630" s="1">
        <v>367.5</v>
      </c>
    </row>
    <row r="631" spans="1:4" x14ac:dyDescent="0.25">
      <c r="A631" s="1" t="s">
        <v>96</v>
      </c>
      <c r="B631" s="59">
        <v>35794</v>
      </c>
      <c r="C631" s="57">
        <f>YEAR(表_查询来自_northwind3[[#This Row],[订购日期]])</f>
        <v>1997</v>
      </c>
      <c r="D631" s="1">
        <v>199.49999984353781</v>
      </c>
    </row>
    <row r="632" spans="1:4" x14ac:dyDescent="0.25">
      <c r="A632" s="1" t="s">
        <v>96</v>
      </c>
      <c r="B632" s="59">
        <v>35796</v>
      </c>
      <c r="C632" s="57">
        <f>YEAR(表_查询来自_northwind3[[#This Row],[订购日期]])</f>
        <v>1998</v>
      </c>
      <c r="D632" s="1">
        <v>70</v>
      </c>
    </row>
    <row r="633" spans="1:4" x14ac:dyDescent="0.25">
      <c r="A633" s="1" t="s">
        <v>96</v>
      </c>
      <c r="B633" s="59">
        <v>35809</v>
      </c>
      <c r="C633" s="57">
        <f>YEAR(表_查询来自_northwind3[[#This Row],[订购日期]])</f>
        <v>1998</v>
      </c>
      <c r="D633" s="1">
        <v>111.99999958276749</v>
      </c>
    </row>
    <row r="634" spans="1:4" x14ac:dyDescent="0.25">
      <c r="A634" s="1" t="s">
        <v>96</v>
      </c>
      <c r="B634" s="59">
        <v>35814</v>
      </c>
      <c r="C634" s="57">
        <f>YEAR(表_查询来自_northwind3[[#This Row],[订购日期]])</f>
        <v>1998</v>
      </c>
      <c r="D634" s="1">
        <v>67.199999749660492</v>
      </c>
    </row>
    <row r="635" spans="1:4" x14ac:dyDescent="0.25">
      <c r="A635" s="1" t="s">
        <v>96</v>
      </c>
      <c r="B635" s="59">
        <v>35818</v>
      </c>
      <c r="C635" s="57">
        <f>YEAR(表_查询来自_northwind3[[#This Row],[订购日期]])</f>
        <v>1998</v>
      </c>
      <c r="D635" s="1">
        <v>237.99999833106995</v>
      </c>
    </row>
    <row r="636" spans="1:4" x14ac:dyDescent="0.25">
      <c r="A636" s="1" t="s">
        <v>96</v>
      </c>
      <c r="B636" s="59">
        <v>35821</v>
      </c>
      <c r="C636" s="57">
        <f>YEAR(表_查询来自_northwind3[[#This Row],[订购日期]])</f>
        <v>1998</v>
      </c>
      <c r="D636" s="1">
        <v>132.99999989569187</v>
      </c>
    </row>
    <row r="637" spans="1:4" x14ac:dyDescent="0.25">
      <c r="A637" s="1" t="s">
        <v>96</v>
      </c>
      <c r="B637" s="59">
        <v>35839</v>
      </c>
      <c r="C637" s="57">
        <f>YEAR(表_查询来自_northwind3[[#This Row],[订购日期]])</f>
        <v>1998</v>
      </c>
      <c r="D637" s="1">
        <v>70</v>
      </c>
    </row>
    <row r="638" spans="1:4" x14ac:dyDescent="0.25">
      <c r="A638" s="1" t="s">
        <v>96</v>
      </c>
      <c r="B638" s="59">
        <v>35856</v>
      </c>
      <c r="C638" s="57">
        <f>YEAR(表_查询来自_northwind3[[#This Row],[订购日期]])</f>
        <v>1998</v>
      </c>
      <c r="D638" s="1">
        <v>336</v>
      </c>
    </row>
    <row r="639" spans="1:4" x14ac:dyDescent="0.25">
      <c r="A639" s="1" t="s">
        <v>96</v>
      </c>
      <c r="B639" s="59">
        <v>35913</v>
      </c>
      <c r="C639" s="57">
        <f>YEAR(表_查询来自_northwind3[[#This Row],[订购日期]])</f>
        <v>1998</v>
      </c>
      <c r="D639" s="1">
        <v>210</v>
      </c>
    </row>
    <row r="640" spans="1:4" x14ac:dyDescent="0.25">
      <c r="A640" s="1" t="s">
        <v>97</v>
      </c>
      <c r="B640" s="59">
        <v>35354</v>
      </c>
      <c r="C640" s="57">
        <f>YEAR(表_查询来自_northwind3[[#This Row],[订购日期]])</f>
        <v>1996</v>
      </c>
      <c r="D640" s="1">
        <v>1058.2499925792217</v>
      </c>
    </row>
    <row r="641" spans="1:4" x14ac:dyDescent="0.25">
      <c r="A641" s="1" t="s">
        <v>97</v>
      </c>
      <c r="B641" s="59">
        <v>35362</v>
      </c>
      <c r="C641" s="57">
        <f>YEAR(表_查询来自_northwind3[[#This Row],[订购日期]])</f>
        <v>1996</v>
      </c>
      <c r="D641" s="1">
        <v>597.6</v>
      </c>
    </row>
    <row r="642" spans="1:4" x14ac:dyDescent="0.25">
      <c r="A642" s="1" t="s">
        <v>97</v>
      </c>
      <c r="B642" s="59">
        <v>35388</v>
      </c>
      <c r="C642" s="57">
        <f>YEAR(表_查询来自_northwind3[[#This Row],[订购日期]])</f>
        <v>1996</v>
      </c>
      <c r="D642" s="1">
        <v>398.4</v>
      </c>
    </row>
    <row r="643" spans="1:4" x14ac:dyDescent="0.25">
      <c r="A643" s="1" t="s">
        <v>97</v>
      </c>
      <c r="B643" s="59">
        <v>35424</v>
      </c>
      <c r="C643" s="57">
        <f>YEAR(表_查询来自_northwind3[[#This Row],[订购日期]])</f>
        <v>1996</v>
      </c>
      <c r="D643" s="1">
        <v>1307.25</v>
      </c>
    </row>
    <row r="644" spans="1:4" x14ac:dyDescent="0.25">
      <c r="A644" s="1" t="s">
        <v>97</v>
      </c>
      <c r="B644" s="59">
        <v>35433</v>
      </c>
      <c r="C644" s="57">
        <f>YEAR(表_查询来自_northwind3[[#This Row],[订购日期]])</f>
        <v>1997</v>
      </c>
      <c r="D644" s="1">
        <v>709.64999944344163</v>
      </c>
    </row>
    <row r="645" spans="1:4" x14ac:dyDescent="0.25">
      <c r="A645" s="1" t="s">
        <v>97</v>
      </c>
      <c r="B645" s="59">
        <v>35451</v>
      </c>
      <c r="C645" s="57">
        <f>YEAR(表_查询来自_northwind3[[#This Row],[订购日期]])</f>
        <v>1997</v>
      </c>
      <c r="D645" s="1">
        <v>747</v>
      </c>
    </row>
    <row r="646" spans="1:4" x14ac:dyDescent="0.25">
      <c r="A646" s="1" t="s">
        <v>97</v>
      </c>
      <c r="B646" s="59">
        <v>35452</v>
      </c>
      <c r="C646" s="57">
        <f>YEAR(表_查询来自_northwind3[[#This Row],[订购日期]])</f>
        <v>1997</v>
      </c>
      <c r="D646" s="1">
        <v>49.8</v>
      </c>
    </row>
    <row r="647" spans="1:4" x14ac:dyDescent="0.25">
      <c r="A647" s="1" t="s">
        <v>97</v>
      </c>
      <c r="B647" s="59">
        <v>35461</v>
      </c>
      <c r="C647" s="57">
        <f>YEAR(表_查询来自_northwind3[[#This Row],[订购日期]])</f>
        <v>1997</v>
      </c>
      <c r="D647" s="1">
        <v>249</v>
      </c>
    </row>
    <row r="648" spans="1:4" x14ac:dyDescent="0.25">
      <c r="A648" s="1" t="s">
        <v>97</v>
      </c>
      <c r="B648" s="59">
        <v>35473</v>
      </c>
      <c r="C648" s="57">
        <f>YEAR(表_查询来自_northwind3[[#This Row],[订购日期]])</f>
        <v>1997</v>
      </c>
      <c r="D648" s="1">
        <v>373.5</v>
      </c>
    </row>
    <row r="649" spans="1:4" x14ac:dyDescent="0.25">
      <c r="A649" s="1" t="s">
        <v>97</v>
      </c>
      <c r="B649" s="59">
        <v>35478</v>
      </c>
      <c r="C649" s="57">
        <f>YEAR(表_查询来自_northwind3[[#This Row],[订购日期]])</f>
        <v>1997</v>
      </c>
      <c r="D649" s="1">
        <v>149.4</v>
      </c>
    </row>
    <row r="650" spans="1:4" x14ac:dyDescent="0.25">
      <c r="A650" s="1" t="s">
        <v>97</v>
      </c>
      <c r="B650" s="59">
        <v>35487</v>
      </c>
      <c r="C650" s="57">
        <f>YEAR(表_查询来自_northwind3[[#This Row],[订购日期]])</f>
        <v>1997</v>
      </c>
      <c r="D650" s="1">
        <v>747</v>
      </c>
    </row>
    <row r="651" spans="1:4" x14ac:dyDescent="0.25">
      <c r="A651" s="1" t="s">
        <v>97</v>
      </c>
      <c r="B651" s="59">
        <v>35515</v>
      </c>
      <c r="C651" s="57">
        <f>YEAR(表_查询来自_northwind3[[#This Row],[订购日期]])</f>
        <v>1997</v>
      </c>
      <c r="D651" s="1">
        <v>747</v>
      </c>
    </row>
    <row r="652" spans="1:4" x14ac:dyDescent="0.25">
      <c r="A652" s="1" t="s">
        <v>97</v>
      </c>
      <c r="B652" s="59">
        <v>35569</v>
      </c>
      <c r="C652" s="57">
        <f>YEAR(表_查询来自_northwind3[[#This Row],[订购日期]])</f>
        <v>1997</v>
      </c>
      <c r="D652" s="1">
        <v>1249.2</v>
      </c>
    </row>
    <row r="653" spans="1:4" x14ac:dyDescent="0.25">
      <c r="A653" s="1" t="s">
        <v>97</v>
      </c>
      <c r="B653" s="59">
        <v>35613</v>
      </c>
      <c r="C653" s="57">
        <f>YEAR(表_查询来自_northwind3[[#This Row],[订购日期]])</f>
        <v>1997</v>
      </c>
      <c r="D653" s="1">
        <v>187.38</v>
      </c>
    </row>
    <row r="654" spans="1:4" x14ac:dyDescent="0.25">
      <c r="A654" s="1" t="s">
        <v>97</v>
      </c>
      <c r="B654" s="59">
        <v>35619</v>
      </c>
      <c r="C654" s="57">
        <f>YEAR(表_查询来自_northwind3[[#This Row],[订购日期]])</f>
        <v>1997</v>
      </c>
      <c r="D654" s="1">
        <v>148.3424998836592</v>
      </c>
    </row>
    <row r="655" spans="1:4" x14ac:dyDescent="0.25">
      <c r="A655" s="1" t="s">
        <v>97</v>
      </c>
      <c r="B655" s="59">
        <v>35657</v>
      </c>
      <c r="C655" s="57">
        <f>YEAR(表_查询来自_northwind3[[#This Row],[订购日期]])</f>
        <v>1997</v>
      </c>
      <c r="D655" s="1">
        <v>929.09249348491426</v>
      </c>
    </row>
    <row r="656" spans="1:4" x14ac:dyDescent="0.25">
      <c r="A656" s="1" t="s">
        <v>97</v>
      </c>
      <c r="B656" s="59">
        <v>35695</v>
      </c>
      <c r="C656" s="57">
        <f>YEAR(表_查询来自_northwind3[[#This Row],[订购日期]])</f>
        <v>1997</v>
      </c>
      <c r="D656" s="1">
        <v>796.36499441564081</v>
      </c>
    </row>
    <row r="657" spans="1:4" x14ac:dyDescent="0.25">
      <c r="A657" s="1" t="s">
        <v>97</v>
      </c>
      <c r="B657" s="59">
        <v>35703</v>
      </c>
      <c r="C657" s="57">
        <f>YEAR(表_查询来自_northwind3[[#This Row],[订购日期]])</f>
        <v>1997</v>
      </c>
      <c r="D657" s="1">
        <v>468.45</v>
      </c>
    </row>
    <row r="658" spans="1:4" x14ac:dyDescent="0.25">
      <c r="A658" s="1" t="s">
        <v>97</v>
      </c>
      <c r="B658" s="59">
        <v>35725</v>
      </c>
      <c r="C658" s="57">
        <f>YEAR(表_查询来自_northwind3[[#This Row],[订购日期]])</f>
        <v>1997</v>
      </c>
      <c r="D658" s="1">
        <v>936.9</v>
      </c>
    </row>
    <row r="659" spans="1:4" x14ac:dyDescent="0.25">
      <c r="A659" s="1" t="s">
        <v>97</v>
      </c>
      <c r="B659" s="59">
        <v>35733</v>
      </c>
      <c r="C659" s="57">
        <f>YEAR(表_查询来自_northwind3[[#This Row],[订购日期]])</f>
        <v>1997</v>
      </c>
      <c r="D659" s="1">
        <v>468.45</v>
      </c>
    </row>
    <row r="660" spans="1:4" x14ac:dyDescent="0.25">
      <c r="A660" s="1" t="s">
        <v>97</v>
      </c>
      <c r="B660" s="59">
        <v>35758</v>
      </c>
      <c r="C660" s="57">
        <f>YEAR(表_查询来自_northwind3[[#This Row],[订购日期]])</f>
        <v>1997</v>
      </c>
      <c r="D660" s="1">
        <v>337.28399944156405</v>
      </c>
    </row>
    <row r="661" spans="1:4" x14ac:dyDescent="0.25">
      <c r="A661" s="1" t="s">
        <v>97</v>
      </c>
      <c r="B661" s="59">
        <v>35762</v>
      </c>
      <c r="C661" s="57">
        <f>YEAR(表_查询来自_northwind3[[#This Row],[订购日期]])</f>
        <v>1997</v>
      </c>
      <c r="D661" s="1">
        <v>624.6</v>
      </c>
    </row>
    <row r="662" spans="1:4" x14ac:dyDescent="0.25">
      <c r="A662" s="1" t="s">
        <v>97</v>
      </c>
      <c r="B662" s="59">
        <v>35789</v>
      </c>
      <c r="C662" s="57">
        <f>YEAR(表_查询来自_northwind3[[#This Row],[订购日期]])</f>
        <v>1997</v>
      </c>
      <c r="D662" s="1">
        <v>524.66399804547427</v>
      </c>
    </row>
    <row r="663" spans="1:4" x14ac:dyDescent="0.25">
      <c r="A663" s="1" t="s">
        <v>97</v>
      </c>
      <c r="B663" s="59">
        <v>35801</v>
      </c>
      <c r="C663" s="57">
        <f>YEAR(表_查询来自_northwind3[[#This Row],[订购日期]])</f>
        <v>1998</v>
      </c>
      <c r="D663" s="1">
        <v>1061.8199925541878</v>
      </c>
    </row>
    <row r="664" spans="1:4" x14ac:dyDescent="0.25">
      <c r="A664" s="1" t="s">
        <v>97</v>
      </c>
      <c r="B664" s="59">
        <v>35804</v>
      </c>
      <c r="C664" s="57">
        <f>YEAR(表_查询来自_northwind3[[#This Row],[订购日期]])</f>
        <v>1998</v>
      </c>
      <c r="D664" s="1">
        <v>374.76</v>
      </c>
    </row>
    <row r="665" spans="1:4" x14ac:dyDescent="0.25">
      <c r="A665" s="1" t="s">
        <v>97</v>
      </c>
      <c r="B665" s="59">
        <v>35818</v>
      </c>
      <c r="C665" s="57">
        <f>YEAR(表_查询来自_northwind3[[#This Row],[订购日期]])</f>
        <v>1998</v>
      </c>
      <c r="D665" s="1">
        <v>477.81899664938447</v>
      </c>
    </row>
    <row r="666" spans="1:4" x14ac:dyDescent="0.25">
      <c r="A666" s="1" t="s">
        <v>97</v>
      </c>
      <c r="B666" s="59">
        <v>35823</v>
      </c>
      <c r="C666" s="57">
        <f>YEAR(表_查询来自_northwind3[[#This Row],[订购日期]])</f>
        <v>1998</v>
      </c>
      <c r="D666" s="1">
        <v>819.78749999999991</v>
      </c>
    </row>
    <row r="667" spans="1:4" x14ac:dyDescent="0.25">
      <c r="A667" s="1" t="s">
        <v>97</v>
      </c>
      <c r="B667" s="59">
        <v>35830</v>
      </c>
      <c r="C667" s="57">
        <f>YEAR(表_查询来自_northwind3[[#This Row],[订购日期]])</f>
        <v>1998</v>
      </c>
      <c r="D667" s="1">
        <v>624.6</v>
      </c>
    </row>
    <row r="668" spans="1:4" x14ac:dyDescent="0.25">
      <c r="A668" s="1" t="s">
        <v>97</v>
      </c>
      <c r="B668" s="59">
        <v>35878</v>
      </c>
      <c r="C668" s="57">
        <f>YEAR(表_查询来自_northwind3[[#This Row],[订购日期]])</f>
        <v>1998</v>
      </c>
      <c r="D668" s="1">
        <v>156.15</v>
      </c>
    </row>
    <row r="669" spans="1:4" x14ac:dyDescent="0.25">
      <c r="A669" s="1" t="s">
        <v>97</v>
      </c>
      <c r="B669" s="59">
        <v>35892</v>
      </c>
      <c r="C669" s="57">
        <f>YEAR(表_查询来自_northwind3[[#This Row],[订购日期]])</f>
        <v>1998</v>
      </c>
      <c r="D669" s="1">
        <v>187.38</v>
      </c>
    </row>
    <row r="670" spans="1:4" x14ac:dyDescent="0.25">
      <c r="A670" s="1" t="s">
        <v>97</v>
      </c>
      <c r="B670" s="59">
        <v>35899</v>
      </c>
      <c r="C670" s="57">
        <f>YEAR(表_查询来自_northwind3[[#This Row],[订购日期]])</f>
        <v>1998</v>
      </c>
      <c r="D670" s="1">
        <v>1967.49</v>
      </c>
    </row>
    <row r="671" spans="1:4" x14ac:dyDescent="0.25">
      <c r="A671" s="1" t="s">
        <v>97</v>
      </c>
      <c r="B671" s="59">
        <v>35900</v>
      </c>
      <c r="C671" s="57">
        <f>YEAR(表_查询来自_northwind3[[#This Row],[订购日期]])</f>
        <v>1998</v>
      </c>
      <c r="D671" s="1">
        <v>374.76</v>
      </c>
    </row>
    <row r="672" spans="1:4" x14ac:dyDescent="0.25">
      <c r="A672" s="1" t="s">
        <v>98</v>
      </c>
      <c r="B672" s="59">
        <v>35262</v>
      </c>
      <c r="C672" s="57">
        <f>YEAR(表_查询来自_northwind3[[#This Row],[订购日期]])</f>
        <v>1996</v>
      </c>
      <c r="D672" s="1">
        <v>877.5</v>
      </c>
    </row>
    <row r="673" spans="1:4" x14ac:dyDescent="0.25">
      <c r="A673" s="1" t="s">
        <v>98</v>
      </c>
      <c r="B673" s="59">
        <v>35296</v>
      </c>
      <c r="C673" s="57">
        <f>YEAR(表_查询来自_northwind3[[#This Row],[订购日期]])</f>
        <v>1996</v>
      </c>
      <c r="D673" s="1">
        <v>394.875</v>
      </c>
    </row>
    <row r="674" spans="1:4" x14ac:dyDescent="0.25">
      <c r="A674" s="1" t="s">
        <v>98</v>
      </c>
      <c r="B674" s="59">
        <v>35471</v>
      </c>
      <c r="C674" s="57">
        <f>YEAR(表_查询来自_northwind3[[#This Row],[订购日期]])</f>
        <v>1997</v>
      </c>
      <c r="D674" s="1">
        <v>1755</v>
      </c>
    </row>
    <row r="675" spans="1:4" x14ac:dyDescent="0.25">
      <c r="A675" s="1" t="s">
        <v>98</v>
      </c>
      <c r="B675" s="59">
        <v>35543</v>
      </c>
      <c r="C675" s="57">
        <f>YEAR(表_查询来自_northwind3[[#This Row],[订购日期]])</f>
        <v>1997</v>
      </c>
      <c r="D675" s="1">
        <v>5268</v>
      </c>
    </row>
    <row r="676" spans="1:4" x14ac:dyDescent="0.25">
      <c r="A676" s="1" t="s">
        <v>98</v>
      </c>
      <c r="B676" s="59">
        <v>35625</v>
      </c>
      <c r="C676" s="57">
        <f>YEAR(表_查询来自_northwind3[[#This Row],[订购日期]])</f>
        <v>1997</v>
      </c>
      <c r="D676" s="1">
        <v>2195</v>
      </c>
    </row>
    <row r="677" spans="1:4" x14ac:dyDescent="0.25">
      <c r="A677" s="1" t="s">
        <v>98</v>
      </c>
      <c r="B677" s="59">
        <v>35765</v>
      </c>
      <c r="C677" s="57">
        <f>YEAR(表_查询来自_northwind3[[#This Row],[订购日期]])</f>
        <v>1997</v>
      </c>
      <c r="D677" s="1">
        <v>1756</v>
      </c>
    </row>
    <row r="678" spans="1:4" x14ac:dyDescent="0.25">
      <c r="A678" s="1" t="s">
        <v>98</v>
      </c>
      <c r="B678" s="59">
        <v>35824</v>
      </c>
      <c r="C678" s="57">
        <f>YEAR(表_查询来自_northwind3[[#This Row],[订购日期]])</f>
        <v>1998</v>
      </c>
      <c r="D678" s="1">
        <v>439</v>
      </c>
    </row>
    <row r="679" spans="1:4" x14ac:dyDescent="0.25">
      <c r="A679" s="1" t="s">
        <v>98</v>
      </c>
      <c r="B679" s="59">
        <v>35860</v>
      </c>
      <c r="C679" s="57">
        <f>YEAR(表_查询来自_northwind3[[#This Row],[订购日期]])</f>
        <v>1998</v>
      </c>
      <c r="D679" s="1">
        <v>1097.5</v>
      </c>
    </row>
    <row r="680" spans="1:4" x14ac:dyDescent="0.25">
      <c r="A680" s="1" t="s">
        <v>98</v>
      </c>
      <c r="B680" s="59">
        <v>35880</v>
      </c>
      <c r="C680" s="57">
        <f>YEAR(表_查询来自_northwind3[[#This Row],[订购日期]])</f>
        <v>1998</v>
      </c>
      <c r="D680" s="1">
        <v>1317</v>
      </c>
    </row>
    <row r="681" spans="1:4" x14ac:dyDescent="0.25">
      <c r="A681" s="1" t="s">
        <v>99</v>
      </c>
      <c r="B681" s="59">
        <v>35286</v>
      </c>
      <c r="C681" s="57">
        <f>YEAR(表_查询来自_northwind3[[#This Row],[订购日期]])</f>
        <v>1996</v>
      </c>
      <c r="D681" s="1">
        <v>728</v>
      </c>
    </row>
    <row r="682" spans="1:4" x14ac:dyDescent="0.25">
      <c r="A682" s="1" t="s">
        <v>99</v>
      </c>
      <c r="B682" s="59">
        <v>35318</v>
      </c>
      <c r="C682" s="57">
        <f>YEAR(表_查询来自_northwind3[[#This Row],[订购日期]])</f>
        <v>1996</v>
      </c>
      <c r="D682" s="1">
        <v>1019.2</v>
      </c>
    </row>
    <row r="683" spans="1:4" x14ac:dyDescent="0.25">
      <c r="A683" s="1" t="s">
        <v>99</v>
      </c>
      <c r="B683" s="59">
        <v>35331</v>
      </c>
      <c r="C683" s="57">
        <f>YEAR(表_查询来自_northwind3[[#This Row],[订购日期]])</f>
        <v>1996</v>
      </c>
      <c r="D683" s="1">
        <v>145.6</v>
      </c>
    </row>
    <row r="684" spans="1:4" x14ac:dyDescent="0.25">
      <c r="A684" s="1" t="s">
        <v>99</v>
      </c>
      <c r="B684" s="59">
        <v>35340</v>
      </c>
      <c r="C684" s="57">
        <f>YEAR(表_查询来自_northwind3[[#This Row],[订购日期]])</f>
        <v>1996</v>
      </c>
      <c r="D684" s="1">
        <v>509.6</v>
      </c>
    </row>
    <row r="685" spans="1:4" x14ac:dyDescent="0.25">
      <c r="A685" s="1" t="s">
        <v>99</v>
      </c>
      <c r="B685" s="59">
        <v>35391</v>
      </c>
      <c r="C685" s="57">
        <f>YEAR(表_查询来自_northwind3[[#This Row],[订购日期]])</f>
        <v>1996</v>
      </c>
      <c r="D685" s="1">
        <v>1092</v>
      </c>
    </row>
    <row r="686" spans="1:4" x14ac:dyDescent="0.25">
      <c r="A686" s="1" t="s">
        <v>99</v>
      </c>
      <c r="B686" s="59">
        <v>35398</v>
      </c>
      <c r="C686" s="57">
        <f>YEAR(表_查询来自_northwind3[[#This Row],[订购日期]])</f>
        <v>1996</v>
      </c>
      <c r="D686" s="1">
        <v>425.87999929487705</v>
      </c>
    </row>
    <row r="687" spans="1:4" x14ac:dyDescent="0.25">
      <c r="A687" s="1" t="s">
        <v>99</v>
      </c>
      <c r="B687" s="59">
        <v>35408</v>
      </c>
      <c r="C687" s="57">
        <f>YEAR(表_查询来自_northwind3[[#This Row],[订购日期]])</f>
        <v>1996</v>
      </c>
      <c r="D687" s="1">
        <v>618.79999566078186</v>
      </c>
    </row>
    <row r="688" spans="1:4" x14ac:dyDescent="0.25">
      <c r="A688" s="1" t="s">
        <v>99</v>
      </c>
      <c r="B688" s="59">
        <v>35417</v>
      </c>
      <c r="C688" s="57">
        <f>YEAR(表_查询来自_northwind3[[#This Row],[订购日期]])</f>
        <v>1996</v>
      </c>
      <c r="D688" s="1">
        <v>218.4</v>
      </c>
    </row>
    <row r="689" spans="1:4" x14ac:dyDescent="0.25">
      <c r="A689" s="1" t="s">
        <v>99</v>
      </c>
      <c r="B689" s="59">
        <v>35437</v>
      </c>
      <c r="C689" s="57">
        <f>YEAR(表_查询来自_northwind3[[#This Row],[订购日期]])</f>
        <v>1997</v>
      </c>
      <c r="D689" s="1">
        <v>1375.9199977219105</v>
      </c>
    </row>
    <row r="690" spans="1:4" x14ac:dyDescent="0.25">
      <c r="A690" s="1" t="s">
        <v>99</v>
      </c>
      <c r="B690" s="59">
        <v>35473</v>
      </c>
      <c r="C690" s="57">
        <f>YEAR(表_查询来自_northwind3[[#This Row],[订购日期]])</f>
        <v>1997</v>
      </c>
      <c r="D690" s="1">
        <v>436.8</v>
      </c>
    </row>
    <row r="691" spans="1:4" x14ac:dyDescent="0.25">
      <c r="A691" s="1" t="s">
        <v>99</v>
      </c>
      <c r="B691" s="59">
        <v>35481</v>
      </c>
      <c r="C691" s="57">
        <f>YEAR(表_查询来自_northwind3[[#This Row],[订购日期]])</f>
        <v>1997</v>
      </c>
      <c r="D691" s="1">
        <v>546</v>
      </c>
    </row>
    <row r="692" spans="1:4" x14ac:dyDescent="0.25">
      <c r="A692" s="1" t="s">
        <v>99</v>
      </c>
      <c r="B692" s="59">
        <v>35487</v>
      </c>
      <c r="C692" s="57">
        <f>YEAR(表_查询来自_northwind3[[#This Row],[订购日期]])</f>
        <v>1997</v>
      </c>
      <c r="D692" s="1">
        <v>1092</v>
      </c>
    </row>
    <row r="693" spans="1:4" x14ac:dyDescent="0.25">
      <c r="A693" s="1" t="s">
        <v>99</v>
      </c>
      <c r="B693" s="59">
        <v>35502</v>
      </c>
      <c r="C693" s="57">
        <f>YEAR(表_查询来自_northwind3[[#This Row],[订购日期]])</f>
        <v>1997</v>
      </c>
      <c r="D693" s="1">
        <v>655.20000000000005</v>
      </c>
    </row>
    <row r="694" spans="1:4" x14ac:dyDescent="0.25">
      <c r="A694" s="1" t="s">
        <v>99</v>
      </c>
      <c r="B694" s="59">
        <v>35528</v>
      </c>
      <c r="C694" s="57">
        <f>YEAR(表_查询来自_northwind3[[#This Row],[订购日期]])</f>
        <v>1997</v>
      </c>
      <c r="D694" s="1">
        <v>912</v>
      </c>
    </row>
    <row r="695" spans="1:4" x14ac:dyDescent="0.25">
      <c r="A695" s="1" t="s">
        <v>99</v>
      </c>
      <c r="B695" s="59">
        <v>35529</v>
      </c>
      <c r="C695" s="57">
        <f>YEAR(表_查询来自_northwind3[[#This Row],[订购日期]])</f>
        <v>1997</v>
      </c>
      <c r="D695" s="1">
        <v>346.55999972820285</v>
      </c>
    </row>
    <row r="696" spans="1:4" x14ac:dyDescent="0.25">
      <c r="A696" s="1" t="s">
        <v>99</v>
      </c>
      <c r="B696" s="59">
        <v>35537</v>
      </c>
      <c r="C696" s="57">
        <f>YEAR(表_查询来自_northwind3[[#This Row],[订购日期]])</f>
        <v>1997</v>
      </c>
      <c r="D696" s="1">
        <v>136.80000000000001</v>
      </c>
    </row>
    <row r="697" spans="1:4" x14ac:dyDescent="0.25">
      <c r="A697" s="1" t="s">
        <v>99</v>
      </c>
      <c r="B697" s="59">
        <v>35542</v>
      </c>
      <c r="C697" s="57">
        <f>YEAR(表_查询来自_northwind3[[#This Row],[订购日期]])</f>
        <v>1997</v>
      </c>
      <c r="D697" s="1">
        <v>1596</v>
      </c>
    </row>
    <row r="698" spans="1:4" x14ac:dyDescent="0.25">
      <c r="A698" s="1" t="s">
        <v>99</v>
      </c>
      <c r="B698" s="59">
        <v>35571</v>
      </c>
      <c r="C698" s="57">
        <f>YEAR(表_查询来自_northwind3[[#This Row],[订购日期]])</f>
        <v>1997</v>
      </c>
      <c r="D698" s="1">
        <v>319.2</v>
      </c>
    </row>
    <row r="699" spans="1:4" x14ac:dyDescent="0.25">
      <c r="A699" s="1" t="s">
        <v>99</v>
      </c>
      <c r="B699" s="59">
        <v>35649</v>
      </c>
      <c r="C699" s="57">
        <f>YEAR(表_查询来自_northwind3[[#This Row],[订购日期]])</f>
        <v>1997</v>
      </c>
      <c r="D699" s="1">
        <v>456</v>
      </c>
    </row>
    <row r="700" spans="1:4" x14ac:dyDescent="0.25">
      <c r="A700" s="1" t="s">
        <v>99</v>
      </c>
      <c r="B700" s="59">
        <v>35667</v>
      </c>
      <c r="C700" s="57">
        <f>YEAR(表_查询来自_northwind3[[#This Row],[订购日期]])</f>
        <v>1997</v>
      </c>
      <c r="D700" s="1">
        <v>513</v>
      </c>
    </row>
    <row r="701" spans="1:4" x14ac:dyDescent="0.25">
      <c r="A701" s="1" t="s">
        <v>99</v>
      </c>
      <c r="B701" s="59">
        <v>35670</v>
      </c>
      <c r="C701" s="57">
        <f>YEAR(表_查询来自_northwind3[[#This Row],[订购日期]])</f>
        <v>1997</v>
      </c>
      <c r="D701" s="1">
        <v>912</v>
      </c>
    </row>
    <row r="702" spans="1:4" x14ac:dyDescent="0.25">
      <c r="A702" s="1" t="s">
        <v>99</v>
      </c>
      <c r="B702" s="59">
        <v>35704</v>
      </c>
      <c r="C702" s="57">
        <f>YEAR(表_查询来自_northwind3[[#This Row],[订购日期]])</f>
        <v>1997</v>
      </c>
      <c r="D702" s="1">
        <v>2462.3999959230423</v>
      </c>
    </row>
    <row r="703" spans="1:4" x14ac:dyDescent="0.25">
      <c r="A703" s="1" t="s">
        <v>99</v>
      </c>
      <c r="B703" s="59">
        <v>35741</v>
      </c>
      <c r="C703" s="57">
        <f>YEAR(表_查询来自_northwind3[[#This Row],[订购日期]])</f>
        <v>1997</v>
      </c>
      <c r="D703" s="1">
        <v>912</v>
      </c>
    </row>
    <row r="704" spans="1:4" x14ac:dyDescent="0.25">
      <c r="A704" s="1" t="s">
        <v>99</v>
      </c>
      <c r="B704" s="59">
        <v>35747</v>
      </c>
      <c r="C704" s="57">
        <f>YEAR(表_查询来自_northwind3[[#This Row],[订购日期]])</f>
        <v>1997</v>
      </c>
      <c r="D704" s="1">
        <v>182.39999932050705</v>
      </c>
    </row>
    <row r="705" spans="1:4" x14ac:dyDescent="0.25">
      <c r="A705" s="1" t="s">
        <v>99</v>
      </c>
      <c r="B705" s="59">
        <v>35794</v>
      </c>
      <c r="C705" s="57">
        <f>YEAR(表_查询来自_northwind3[[#This Row],[订购日期]])</f>
        <v>1997</v>
      </c>
      <c r="D705" s="1">
        <v>1094.4000000000001</v>
      </c>
    </row>
    <row r="706" spans="1:4" x14ac:dyDescent="0.25">
      <c r="A706" s="1" t="s">
        <v>99</v>
      </c>
      <c r="B706" s="59">
        <v>35832</v>
      </c>
      <c r="C706" s="57">
        <f>YEAR(表_查询来自_northwind3[[#This Row],[订购日期]])</f>
        <v>1998</v>
      </c>
      <c r="D706" s="1">
        <v>136.80000000000001</v>
      </c>
    </row>
    <row r="707" spans="1:4" x14ac:dyDescent="0.25">
      <c r="A707" s="1" t="s">
        <v>99</v>
      </c>
      <c r="B707" s="59">
        <v>35858</v>
      </c>
      <c r="C707" s="57">
        <f>YEAR(表_查询来自_northwind3[[#This Row],[订购日期]])</f>
        <v>1998</v>
      </c>
      <c r="D707" s="1">
        <v>1231.1999979615211</v>
      </c>
    </row>
    <row r="708" spans="1:4" x14ac:dyDescent="0.25">
      <c r="A708" s="1" t="s">
        <v>99</v>
      </c>
      <c r="B708" s="59">
        <v>35864</v>
      </c>
      <c r="C708" s="57">
        <f>YEAR(表_查询来自_northwind3[[#This Row],[订购日期]])</f>
        <v>1998</v>
      </c>
      <c r="D708" s="1">
        <v>364.8</v>
      </c>
    </row>
    <row r="709" spans="1:4" x14ac:dyDescent="0.25">
      <c r="A709" s="1" t="s">
        <v>99</v>
      </c>
      <c r="B709" s="59">
        <v>35870</v>
      </c>
      <c r="C709" s="57">
        <f>YEAR(表_查询来自_northwind3[[#This Row],[订购日期]])</f>
        <v>1998</v>
      </c>
      <c r="D709" s="1">
        <v>91.2</v>
      </c>
    </row>
    <row r="710" spans="1:4" x14ac:dyDescent="0.25">
      <c r="A710" s="1" t="s">
        <v>99</v>
      </c>
      <c r="B710" s="59">
        <v>35879</v>
      </c>
      <c r="C710" s="57">
        <f>YEAR(表_查询来自_northwind3[[#This Row],[订购日期]])</f>
        <v>1998</v>
      </c>
      <c r="D710" s="1">
        <v>912</v>
      </c>
    </row>
    <row r="711" spans="1:4" x14ac:dyDescent="0.25">
      <c r="A711" s="1" t="s">
        <v>99</v>
      </c>
      <c r="B711" s="59">
        <v>35893</v>
      </c>
      <c r="C711" s="57">
        <f>YEAR(表_查询来自_northwind3[[#This Row],[订购日期]])</f>
        <v>1998</v>
      </c>
      <c r="D711" s="1">
        <v>3032.3999976217747</v>
      </c>
    </row>
    <row r="712" spans="1:4" x14ac:dyDescent="0.25">
      <c r="A712" s="1" t="s">
        <v>99</v>
      </c>
      <c r="B712" s="59">
        <v>35906</v>
      </c>
      <c r="C712" s="57">
        <f>YEAR(表_查询来自_northwind3[[#This Row],[订购日期]])</f>
        <v>1998</v>
      </c>
      <c r="D712" s="1">
        <v>912</v>
      </c>
    </row>
    <row r="713" spans="1:4" x14ac:dyDescent="0.25">
      <c r="A713" s="1" t="s">
        <v>99</v>
      </c>
      <c r="B713" s="59">
        <v>35919</v>
      </c>
      <c r="C713" s="57">
        <f>YEAR(表_查询来自_northwind3[[#This Row],[订购日期]])</f>
        <v>1998</v>
      </c>
      <c r="D713" s="1">
        <v>310.07999782562257</v>
      </c>
    </row>
    <row r="714" spans="1:4" x14ac:dyDescent="0.25">
      <c r="A714" s="1" t="s">
        <v>100</v>
      </c>
      <c r="B714" s="59">
        <v>35276</v>
      </c>
      <c r="C714" s="57">
        <f>YEAR(表_查询来自_northwind3[[#This Row],[订购日期]])</f>
        <v>1996</v>
      </c>
      <c r="D714" s="1">
        <v>990</v>
      </c>
    </row>
    <row r="715" spans="1:4" x14ac:dyDescent="0.25">
      <c r="A715" s="1" t="s">
        <v>100</v>
      </c>
      <c r="B715" s="59">
        <v>35304</v>
      </c>
      <c r="C715" s="57">
        <f>YEAR(表_查询来自_northwind3[[#This Row],[订购日期]])</f>
        <v>1996</v>
      </c>
      <c r="D715" s="1">
        <v>1485</v>
      </c>
    </row>
    <row r="716" spans="1:4" x14ac:dyDescent="0.25">
      <c r="A716" s="1" t="s">
        <v>100</v>
      </c>
      <c r="B716" s="59">
        <v>35321</v>
      </c>
      <c r="C716" s="57">
        <f>YEAR(表_查询来自_northwind3[[#This Row],[订购日期]])</f>
        <v>1996</v>
      </c>
      <c r="D716" s="1">
        <v>2227.4999963119626</v>
      </c>
    </row>
    <row r="717" spans="1:4" x14ac:dyDescent="0.25">
      <c r="A717" s="1" t="s">
        <v>100</v>
      </c>
      <c r="B717" s="59">
        <v>35383</v>
      </c>
      <c r="C717" s="57">
        <f>YEAR(表_查询来自_northwind3[[#This Row],[订购日期]])</f>
        <v>1996</v>
      </c>
      <c r="D717" s="1">
        <v>396</v>
      </c>
    </row>
    <row r="718" spans="1:4" x14ac:dyDescent="0.25">
      <c r="A718" s="1" t="s">
        <v>100</v>
      </c>
      <c r="B718" s="59">
        <v>35391</v>
      </c>
      <c r="C718" s="57">
        <f>YEAR(表_查询来自_northwind3[[#This Row],[订购日期]])</f>
        <v>1996</v>
      </c>
      <c r="D718" s="1">
        <v>3465</v>
      </c>
    </row>
    <row r="719" spans="1:4" x14ac:dyDescent="0.25">
      <c r="A719" s="1" t="s">
        <v>100</v>
      </c>
      <c r="B719" s="59">
        <v>35401</v>
      </c>
      <c r="C719" s="57">
        <f>YEAR(表_查询来自_northwind3[[#This Row],[订购日期]])</f>
        <v>1996</v>
      </c>
      <c r="D719" s="1">
        <v>1980</v>
      </c>
    </row>
    <row r="720" spans="1:4" x14ac:dyDescent="0.25">
      <c r="A720" s="1" t="s">
        <v>100</v>
      </c>
      <c r="B720" s="59">
        <v>35412</v>
      </c>
      <c r="C720" s="57">
        <f>YEAR(表_查询来自_northwind3[[#This Row],[订购日期]])</f>
        <v>1996</v>
      </c>
      <c r="D720" s="1">
        <v>1386</v>
      </c>
    </row>
    <row r="721" spans="1:4" x14ac:dyDescent="0.25">
      <c r="A721" s="1" t="s">
        <v>100</v>
      </c>
      <c r="B721" s="59">
        <v>35431</v>
      </c>
      <c r="C721" s="57">
        <f>YEAR(表_查询来自_northwind3[[#This Row],[订购日期]])</f>
        <v>1997</v>
      </c>
      <c r="D721" s="1">
        <v>2079</v>
      </c>
    </row>
    <row r="722" spans="1:4" x14ac:dyDescent="0.25">
      <c r="A722" s="1" t="s">
        <v>100</v>
      </c>
      <c r="B722" s="59">
        <v>35471</v>
      </c>
      <c r="C722" s="57">
        <f>YEAR(表_查询来自_northwind3[[#This Row],[订购日期]])</f>
        <v>1997</v>
      </c>
      <c r="D722" s="1">
        <v>2019.5999858379364</v>
      </c>
    </row>
    <row r="723" spans="1:4" x14ac:dyDescent="0.25">
      <c r="A723" s="1" t="s">
        <v>100</v>
      </c>
      <c r="B723" s="59">
        <v>35494</v>
      </c>
      <c r="C723" s="57">
        <f>YEAR(表_查询来自_northwind3[[#This Row],[订购日期]])</f>
        <v>1997</v>
      </c>
      <c r="D723" s="1">
        <v>1603.7999973446131</v>
      </c>
    </row>
    <row r="724" spans="1:4" x14ac:dyDescent="0.25">
      <c r="A724" s="1" t="s">
        <v>100</v>
      </c>
      <c r="B724" s="59">
        <v>35538</v>
      </c>
      <c r="C724" s="57">
        <f>YEAR(表_查询来自_northwind3[[#This Row],[订购日期]])</f>
        <v>1997</v>
      </c>
      <c r="D724" s="1">
        <v>4456.4399999999996</v>
      </c>
    </row>
    <row r="725" spans="1:4" x14ac:dyDescent="0.25">
      <c r="A725" s="1" t="s">
        <v>100</v>
      </c>
      <c r="B725" s="59">
        <v>35611</v>
      </c>
      <c r="C725" s="57">
        <f>YEAR(表_查询来自_northwind3[[#This Row],[订购日期]])</f>
        <v>1997</v>
      </c>
      <c r="D725" s="1">
        <v>1237.9000000000001</v>
      </c>
    </row>
    <row r="726" spans="1:4" x14ac:dyDescent="0.25">
      <c r="A726" s="1" t="s">
        <v>100</v>
      </c>
      <c r="B726" s="59">
        <v>35649</v>
      </c>
      <c r="C726" s="57">
        <f>YEAR(表_查询来自_northwind3[[#This Row],[订购日期]])</f>
        <v>1997</v>
      </c>
      <c r="D726" s="1">
        <v>742.74</v>
      </c>
    </row>
    <row r="727" spans="1:4" x14ac:dyDescent="0.25">
      <c r="A727" s="1" t="s">
        <v>100</v>
      </c>
      <c r="B727" s="59">
        <v>35654</v>
      </c>
      <c r="C727" s="57">
        <f>YEAR(表_查询来自_northwind3[[#This Row],[订购日期]])</f>
        <v>1997</v>
      </c>
      <c r="D727" s="1">
        <v>2475.8000000000002</v>
      </c>
    </row>
    <row r="728" spans="1:4" x14ac:dyDescent="0.25">
      <c r="A728" s="1" t="s">
        <v>100</v>
      </c>
      <c r="B728" s="59">
        <v>35685</v>
      </c>
      <c r="C728" s="57">
        <f>YEAR(表_查询来自_northwind3[[#This Row],[订购日期]])</f>
        <v>1997</v>
      </c>
      <c r="D728" s="1">
        <v>4456.4399999999996</v>
      </c>
    </row>
    <row r="729" spans="1:4" x14ac:dyDescent="0.25">
      <c r="A729" s="1" t="s">
        <v>100</v>
      </c>
      <c r="B729" s="59">
        <v>35703</v>
      </c>
      <c r="C729" s="57">
        <f>YEAR(表_查询来自_northwind3[[#This Row],[订购日期]])</f>
        <v>1997</v>
      </c>
      <c r="D729" s="1">
        <v>1237.9000000000001</v>
      </c>
    </row>
    <row r="730" spans="1:4" x14ac:dyDescent="0.25">
      <c r="A730" s="1" t="s">
        <v>100</v>
      </c>
      <c r="B730" s="59">
        <v>35706</v>
      </c>
      <c r="C730" s="57">
        <f>YEAR(表_查询来自_northwind3[[#This Row],[订购日期]])</f>
        <v>1997</v>
      </c>
      <c r="D730" s="1">
        <v>4951.6000000000004</v>
      </c>
    </row>
    <row r="731" spans="1:4" x14ac:dyDescent="0.25">
      <c r="A731" s="1" t="s">
        <v>100</v>
      </c>
      <c r="B731" s="59">
        <v>35712</v>
      </c>
      <c r="C731" s="57">
        <f>YEAR(表_查询来自_northwind3[[#This Row],[订购日期]])</f>
        <v>1997</v>
      </c>
      <c r="D731" s="1">
        <v>1411.2059988932313</v>
      </c>
    </row>
    <row r="732" spans="1:4" x14ac:dyDescent="0.25">
      <c r="A732" s="1" t="s">
        <v>100</v>
      </c>
      <c r="B732" s="59">
        <v>35774</v>
      </c>
      <c r="C732" s="57">
        <f>YEAR(表_查询来自_northwind3[[#This Row],[订购日期]])</f>
        <v>1997</v>
      </c>
      <c r="D732" s="1">
        <v>2228.2199999999998</v>
      </c>
    </row>
    <row r="733" spans="1:4" x14ac:dyDescent="0.25">
      <c r="A733" s="1" t="s">
        <v>100</v>
      </c>
      <c r="B733" s="59">
        <v>35783</v>
      </c>
      <c r="C733" s="57">
        <f>YEAR(表_查询来自_northwind3[[#This Row],[订购日期]])</f>
        <v>1997</v>
      </c>
      <c r="D733" s="1">
        <v>2352.0099981553853</v>
      </c>
    </row>
    <row r="734" spans="1:4" x14ac:dyDescent="0.25">
      <c r="A734" s="1" t="s">
        <v>100</v>
      </c>
      <c r="B734" s="59">
        <v>35787</v>
      </c>
      <c r="C734" s="57">
        <f>YEAR(表_查询来自_northwind3[[#This Row],[订购日期]])</f>
        <v>1997</v>
      </c>
      <c r="D734" s="1">
        <v>1646.4069987087696</v>
      </c>
    </row>
    <row r="735" spans="1:4" x14ac:dyDescent="0.25">
      <c r="A735" s="1" t="s">
        <v>100</v>
      </c>
      <c r="B735" s="59">
        <v>35793</v>
      </c>
      <c r="C735" s="57">
        <f>YEAR(表_查询来自_northwind3[[#This Row],[订购日期]])</f>
        <v>1997</v>
      </c>
      <c r="D735" s="1">
        <v>1856.8500000000001</v>
      </c>
    </row>
    <row r="736" spans="1:4" x14ac:dyDescent="0.25">
      <c r="A736" s="1" t="s">
        <v>100</v>
      </c>
      <c r="B736" s="59">
        <v>35810</v>
      </c>
      <c r="C736" s="57">
        <f>YEAR(表_查询来自_northwind3[[#This Row],[订购日期]])</f>
        <v>1998</v>
      </c>
      <c r="D736" s="1">
        <v>940.80399926215409</v>
      </c>
    </row>
    <row r="737" spans="1:4" x14ac:dyDescent="0.25">
      <c r="A737" s="1" t="s">
        <v>100</v>
      </c>
      <c r="B737" s="59">
        <v>35823</v>
      </c>
      <c r="C737" s="57">
        <f>YEAR(表_查询来自_northwind3[[#This Row],[订购日期]])</f>
        <v>1998</v>
      </c>
      <c r="D737" s="1">
        <v>928.42500000000007</v>
      </c>
    </row>
    <row r="738" spans="1:4" x14ac:dyDescent="0.25">
      <c r="A738" s="1" t="s">
        <v>100</v>
      </c>
      <c r="B738" s="59">
        <v>35844</v>
      </c>
      <c r="C738" s="57">
        <f>YEAR(表_查询来自_northwind3[[#This Row],[订购日期]])</f>
        <v>1998</v>
      </c>
      <c r="D738" s="1">
        <v>2970.96</v>
      </c>
    </row>
    <row r="739" spans="1:4" x14ac:dyDescent="0.25">
      <c r="A739" s="1" t="s">
        <v>100</v>
      </c>
      <c r="B739" s="59">
        <v>35845</v>
      </c>
      <c r="C739" s="57">
        <f>YEAR(表_查询来自_northwind3[[#This Row],[订购日期]])</f>
        <v>1998</v>
      </c>
      <c r="D739" s="1">
        <v>9903.2000000000007</v>
      </c>
    </row>
    <row r="740" spans="1:4" x14ac:dyDescent="0.25">
      <c r="A740" s="1" t="s">
        <v>100</v>
      </c>
      <c r="B740" s="59">
        <v>35852</v>
      </c>
      <c r="C740" s="57">
        <f>YEAR(表_查询来自_northwind3[[#This Row],[订购日期]])</f>
        <v>1998</v>
      </c>
      <c r="D740" s="1">
        <v>5570.5499999999993</v>
      </c>
    </row>
    <row r="741" spans="1:4" x14ac:dyDescent="0.25">
      <c r="A741" s="1" t="s">
        <v>100</v>
      </c>
      <c r="B741" s="59">
        <v>35878</v>
      </c>
      <c r="C741" s="57">
        <f>YEAR(表_查询来自_northwind3[[#This Row],[订购日期]])</f>
        <v>1998</v>
      </c>
      <c r="D741" s="1">
        <v>1733.06</v>
      </c>
    </row>
    <row r="742" spans="1:4" x14ac:dyDescent="0.25">
      <c r="A742" s="1" t="s">
        <v>100</v>
      </c>
      <c r="B742" s="59">
        <v>35886</v>
      </c>
      <c r="C742" s="57">
        <f>YEAR(表_查询来自_northwind3[[#This Row],[订购日期]])</f>
        <v>1998</v>
      </c>
      <c r="D742" s="1">
        <v>4642.125</v>
      </c>
    </row>
    <row r="743" spans="1:4" x14ac:dyDescent="0.25">
      <c r="A743" s="1" t="s">
        <v>100</v>
      </c>
      <c r="B743" s="59">
        <v>35892</v>
      </c>
      <c r="C743" s="57">
        <f>YEAR(表_查询来自_northwind3[[#This Row],[订购日期]])</f>
        <v>1998</v>
      </c>
      <c r="D743" s="1">
        <v>185.685</v>
      </c>
    </row>
    <row r="744" spans="1:4" x14ac:dyDescent="0.25">
      <c r="A744" s="1" t="s">
        <v>100</v>
      </c>
      <c r="B744" s="59">
        <v>35893</v>
      </c>
      <c r="C744" s="57">
        <f>YEAR(表_查询来自_northwind3[[#This Row],[订购日期]])</f>
        <v>1998</v>
      </c>
      <c r="D744" s="1">
        <v>1237.9000000000001</v>
      </c>
    </row>
    <row r="745" spans="1:4" x14ac:dyDescent="0.25">
      <c r="A745" s="1" t="s">
        <v>100</v>
      </c>
      <c r="B745" s="59">
        <v>35902</v>
      </c>
      <c r="C745" s="57">
        <f>YEAR(表_查询来自_northwind3[[#This Row],[订购日期]])</f>
        <v>1998</v>
      </c>
      <c r="D745" s="1">
        <v>5570.5499999999993</v>
      </c>
    </row>
    <row r="746" spans="1:4" x14ac:dyDescent="0.25">
      <c r="A746" s="1" t="s">
        <v>101</v>
      </c>
      <c r="B746" s="59">
        <v>35269</v>
      </c>
      <c r="C746" s="57">
        <f>YEAR(表_查询来自_northwind3[[#This Row],[订购日期]])</f>
        <v>1996</v>
      </c>
      <c r="D746" s="1">
        <v>931.5</v>
      </c>
    </row>
    <row r="747" spans="1:4" x14ac:dyDescent="0.25">
      <c r="A747" s="1" t="s">
        <v>101</v>
      </c>
      <c r="B747" s="59">
        <v>35292</v>
      </c>
      <c r="C747" s="57">
        <f>YEAR(表_查询来自_northwind3[[#This Row],[订购日期]])</f>
        <v>1996</v>
      </c>
      <c r="D747" s="1">
        <v>124.2</v>
      </c>
    </row>
    <row r="748" spans="1:4" x14ac:dyDescent="0.25">
      <c r="A748" s="1" t="s">
        <v>101</v>
      </c>
      <c r="B748" s="59">
        <v>35324</v>
      </c>
      <c r="C748" s="57">
        <f>YEAR(表_查询来自_northwind3[[#This Row],[订购日期]])</f>
        <v>1996</v>
      </c>
      <c r="D748" s="1">
        <v>207</v>
      </c>
    </row>
    <row r="749" spans="1:4" x14ac:dyDescent="0.25">
      <c r="A749" s="1" t="s">
        <v>101</v>
      </c>
      <c r="B749" s="59">
        <v>35349</v>
      </c>
      <c r="C749" s="57">
        <f>YEAR(表_查询来自_northwind3[[#This Row],[订购日期]])</f>
        <v>1996</v>
      </c>
      <c r="D749" s="1">
        <v>579.59999784082174</v>
      </c>
    </row>
    <row r="750" spans="1:4" x14ac:dyDescent="0.25">
      <c r="A750" s="1" t="s">
        <v>101</v>
      </c>
      <c r="B750" s="59">
        <v>35353</v>
      </c>
      <c r="C750" s="57">
        <f>YEAR(表_查询来自_northwind3[[#This Row],[订购日期]])</f>
        <v>1996</v>
      </c>
      <c r="D750" s="1">
        <v>157.31999987661837</v>
      </c>
    </row>
    <row r="751" spans="1:4" x14ac:dyDescent="0.25">
      <c r="A751" s="1" t="s">
        <v>101</v>
      </c>
      <c r="B751" s="59">
        <v>35363</v>
      </c>
      <c r="C751" s="57">
        <f>YEAR(表_查询来自_northwind3[[#This Row],[订购日期]])</f>
        <v>1996</v>
      </c>
      <c r="D751" s="1">
        <v>310.5</v>
      </c>
    </row>
    <row r="752" spans="1:4" x14ac:dyDescent="0.25">
      <c r="A752" s="1" t="s">
        <v>101</v>
      </c>
      <c r="B752" s="59">
        <v>35411</v>
      </c>
      <c r="C752" s="57">
        <f>YEAR(表_查询来自_northwind3[[#This Row],[订购日期]])</f>
        <v>1996</v>
      </c>
      <c r="D752" s="1">
        <v>335.33999944478273</v>
      </c>
    </row>
    <row r="753" spans="1:4" x14ac:dyDescent="0.25">
      <c r="A753" s="1" t="s">
        <v>101</v>
      </c>
      <c r="B753" s="59">
        <v>35431</v>
      </c>
      <c r="C753" s="57">
        <f>YEAR(表_查询来自_northwind3[[#This Row],[订购日期]])</f>
        <v>1997</v>
      </c>
      <c r="D753" s="1">
        <v>372.6</v>
      </c>
    </row>
    <row r="754" spans="1:4" x14ac:dyDescent="0.25">
      <c r="A754" s="1" t="s">
        <v>101</v>
      </c>
      <c r="B754" s="59">
        <v>35489</v>
      </c>
      <c r="C754" s="57">
        <f>YEAR(表_查询来自_northwind3[[#This Row],[订购日期]])</f>
        <v>1997</v>
      </c>
      <c r="D754" s="1">
        <v>434.70000000000005</v>
      </c>
    </row>
    <row r="755" spans="1:4" x14ac:dyDescent="0.25">
      <c r="A755" s="1" t="s">
        <v>101</v>
      </c>
      <c r="B755" s="59">
        <v>35496</v>
      </c>
      <c r="C755" s="57">
        <f>YEAR(表_查询来自_northwind3[[#This Row],[订购日期]])</f>
        <v>1997</v>
      </c>
      <c r="D755" s="1">
        <v>165.6</v>
      </c>
    </row>
    <row r="756" spans="1:4" x14ac:dyDescent="0.25">
      <c r="A756" s="1" t="s">
        <v>101</v>
      </c>
      <c r="B756" s="59">
        <v>35550</v>
      </c>
      <c r="C756" s="57">
        <f>YEAR(表_查询来自_northwind3[[#This Row],[订购日期]])</f>
        <v>1997</v>
      </c>
      <c r="D756" s="1">
        <v>414.23999845683574</v>
      </c>
    </row>
    <row r="757" spans="1:4" x14ac:dyDescent="0.25">
      <c r="A757" s="1" t="s">
        <v>101</v>
      </c>
      <c r="B757" s="59">
        <v>35551</v>
      </c>
      <c r="C757" s="57">
        <f>YEAR(表_查询来自_northwind3[[#This Row],[订购日期]])</f>
        <v>1997</v>
      </c>
      <c r="D757" s="1">
        <v>258.89999999999998</v>
      </c>
    </row>
    <row r="758" spans="1:4" x14ac:dyDescent="0.25">
      <c r="A758" s="1" t="s">
        <v>101</v>
      </c>
      <c r="B758" s="59">
        <v>35559</v>
      </c>
      <c r="C758" s="57">
        <f>YEAR(表_查询来自_northwind3[[#This Row],[订购日期]])</f>
        <v>1997</v>
      </c>
      <c r="D758" s="1">
        <v>388.35</v>
      </c>
    </row>
    <row r="759" spans="1:4" x14ac:dyDescent="0.25">
      <c r="A759" s="1" t="s">
        <v>101</v>
      </c>
      <c r="B759" s="59">
        <v>35562</v>
      </c>
      <c r="C759" s="57">
        <f>YEAR(表_查询来自_northwind3[[#This Row],[订购日期]])</f>
        <v>1997</v>
      </c>
      <c r="D759" s="1">
        <v>258.89999999999998</v>
      </c>
    </row>
    <row r="760" spans="1:4" x14ac:dyDescent="0.25">
      <c r="A760" s="1" t="s">
        <v>101</v>
      </c>
      <c r="B760" s="59">
        <v>35587</v>
      </c>
      <c r="C760" s="57">
        <f>YEAR(表_查询来自_northwind3[[#This Row],[订购日期]])</f>
        <v>1997</v>
      </c>
      <c r="D760" s="1">
        <v>517.79999999999995</v>
      </c>
    </row>
    <row r="761" spans="1:4" x14ac:dyDescent="0.25">
      <c r="A761" s="1" t="s">
        <v>101</v>
      </c>
      <c r="B761" s="59">
        <v>35671</v>
      </c>
      <c r="C761" s="57">
        <f>YEAR(表_查询来自_northwind3[[#This Row],[订购日期]])</f>
        <v>1997</v>
      </c>
      <c r="D761" s="1">
        <v>776.7</v>
      </c>
    </row>
    <row r="762" spans="1:4" x14ac:dyDescent="0.25">
      <c r="A762" s="1" t="s">
        <v>101</v>
      </c>
      <c r="B762" s="59">
        <v>35674</v>
      </c>
      <c r="C762" s="57">
        <f>YEAR(表_查询来自_northwind3[[#This Row],[订购日期]])</f>
        <v>1997</v>
      </c>
      <c r="D762" s="1">
        <v>38.835000000000001</v>
      </c>
    </row>
    <row r="763" spans="1:4" x14ac:dyDescent="0.25">
      <c r="A763" s="1" t="s">
        <v>101</v>
      </c>
      <c r="B763" s="59">
        <v>35730</v>
      </c>
      <c r="C763" s="57">
        <f>YEAR(表_查询来自_northwind3[[#This Row],[订购日期]])</f>
        <v>1997</v>
      </c>
      <c r="D763" s="1">
        <v>58.252499999999998</v>
      </c>
    </row>
    <row r="764" spans="1:4" x14ac:dyDescent="0.25">
      <c r="A764" s="1" t="s">
        <v>101</v>
      </c>
      <c r="B764" s="59">
        <v>35738</v>
      </c>
      <c r="C764" s="57">
        <f>YEAR(表_查询来自_northwind3[[#This Row],[订购日期]])</f>
        <v>1997</v>
      </c>
      <c r="D764" s="1">
        <v>388.35</v>
      </c>
    </row>
    <row r="765" spans="1:4" x14ac:dyDescent="0.25">
      <c r="A765" s="1" t="s">
        <v>101</v>
      </c>
      <c r="B765" s="59">
        <v>35741</v>
      </c>
      <c r="C765" s="57">
        <f>YEAR(表_查询来自_northwind3[[#This Row],[订购日期]])</f>
        <v>1997</v>
      </c>
      <c r="D765" s="1">
        <v>388.35</v>
      </c>
    </row>
    <row r="766" spans="1:4" x14ac:dyDescent="0.25">
      <c r="A766" s="1" t="s">
        <v>101</v>
      </c>
      <c r="B766" s="59">
        <v>35758</v>
      </c>
      <c r="C766" s="57">
        <f>YEAR(表_查询来自_northwind3[[#This Row],[订购日期]])</f>
        <v>1997</v>
      </c>
      <c r="D766" s="1">
        <v>776.7</v>
      </c>
    </row>
    <row r="767" spans="1:4" x14ac:dyDescent="0.25">
      <c r="A767" s="1" t="s">
        <v>101</v>
      </c>
      <c r="B767" s="59">
        <v>35783</v>
      </c>
      <c r="C767" s="57">
        <f>YEAR(表_查询来自_northwind3[[#This Row],[订购日期]])</f>
        <v>1997</v>
      </c>
      <c r="D767" s="1">
        <v>310.67999884262684</v>
      </c>
    </row>
    <row r="768" spans="1:4" x14ac:dyDescent="0.25">
      <c r="A768" s="1" t="s">
        <v>101</v>
      </c>
      <c r="B768" s="59">
        <v>35793</v>
      </c>
      <c r="C768" s="57">
        <f>YEAR(表_查询来自_northwind3[[#This Row],[订购日期]])</f>
        <v>1997</v>
      </c>
      <c r="D768" s="1">
        <v>485.4375</v>
      </c>
    </row>
    <row r="769" spans="1:4" x14ac:dyDescent="0.25">
      <c r="A769" s="1" t="s">
        <v>101</v>
      </c>
      <c r="B769" s="59">
        <v>35810</v>
      </c>
      <c r="C769" s="57">
        <f>YEAR(表_查询来自_northwind3[[#This Row],[订购日期]])</f>
        <v>1998</v>
      </c>
      <c r="D769" s="1">
        <v>491.90999961420891</v>
      </c>
    </row>
    <row r="770" spans="1:4" x14ac:dyDescent="0.25">
      <c r="A770" s="1" t="s">
        <v>101</v>
      </c>
      <c r="B770" s="59">
        <v>35829</v>
      </c>
      <c r="C770" s="57">
        <f>YEAR(表_查询来自_northwind3[[#This Row],[订购日期]])</f>
        <v>1998</v>
      </c>
      <c r="D770" s="1">
        <v>776.69999999999993</v>
      </c>
    </row>
    <row r="771" spans="1:4" x14ac:dyDescent="0.25">
      <c r="A771" s="1" t="s">
        <v>101</v>
      </c>
      <c r="B771" s="59">
        <v>35843</v>
      </c>
      <c r="C771" s="57">
        <f>YEAR(表_查询来自_northwind3[[#This Row],[订购日期]])</f>
        <v>1998</v>
      </c>
      <c r="D771" s="1">
        <v>368.93249971065671</v>
      </c>
    </row>
    <row r="772" spans="1:4" x14ac:dyDescent="0.25">
      <c r="A772" s="1" t="s">
        <v>101</v>
      </c>
      <c r="B772" s="59">
        <v>35844</v>
      </c>
      <c r="C772" s="57">
        <f>YEAR(表_查询来自_northwind3[[#This Row],[订购日期]])</f>
        <v>1998</v>
      </c>
      <c r="D772" s="1">
        <v>906.15</v>
      </c>
    </row>
    <row r="773" spans="1:4" x14ac:dyDescent="0.25">
      <c r="A773" s="1" t="s">
        <v>101</v>
      </c>
      <c r="B773" s="59">
        <v>35845</v>
      </c>
      <c r="C773" s="57">
        <f>YEAR(表_查询来自_northwind3[[#This Row],[订购日期]])</f>
        <v>1998</v>
      </c>
      <c r="D773" s="1">
        <v>932.04</v>
      </c>
    </row>
    <row r="774" spans="1:4" x14ac:dyDescent="0.25">
      <c r="A774" s="1" t="s">
        <v>101</v>
      </c>
      <c r="B774" s="59">
        <v>35856</v>
      </c>
      <c r="C774" s="57">
        <f>YEAR(表_查询来自_northwind3[[#This Row],[订购日期]])</f>
        <v>1998</v>
      </c>
      <c r="D774" s="1">
        <v>25.89</v>
      </c>
    </row>
    <row r="775" spans="1:4" x14ac:dyDescent="0.25">
      <c r="A775" s="1" t="s">
        <v>101</v>
      </c>
      <c r="B775" s="59">
        <v>35872</v>
      </c>
      <c r="C775" s="57">
        <f>YEAR(表_查询来自_northwind3[[#This Row],[订购日期]])</f>
        <v>1998</v>
      </c>
      <c r="D775" s="1">
        <v>776.7</v>
      </c>
    </row>
    <row r="776" spans="1:4" x14ac:dyDescent="0.25">
      <c r="A776" s="1" t="s">
        <v>101</v>
      </c>
      <c r="B776" s="59">
        <v>35895</v>
      </c>
      <c r="C776" s="57">
        <f>YEAR(表_查询来自_northwind3[[#This Row],[订购日期]])</f>
        <v>1998</v>
      </c>
      <c r="D776" s="1">
        <v>388.35</v>
      </c>
    </row>
    <row r="777" spans="1:4" x14ac:dyDescent="0.25">
      <c r="A777" s="1" t="s">
        <v>101</v>
      </c>
      <c r="B777" s="59">
        <v>35916</v>
      </c>
      <c r="C777" s="57">
        <f>YEAR(表_查询来自_northwind3[[#This Row],[订购日期]])</f>
        <v>1998</v>
      </c>
      <c r="D777" s="1">
        <v>77.67</v>
      </c>
    </row>
    <row r="778" spans="1:4" x14ac:dyDescent="0.25">
      <c r="A778" s="1" t="s">
        <v>102</v>
      </c>
      <c r="B778" s="59">
        <v>35256</v>
      </c>
      <c r="C778" s="57">
        <f>YEAR(表_查询来自_northwind3[[#This Row],[订购日期]])</f>
        <v>1996</v>
      </c>
      <c r="D778" s="1">
        <v>200</v>
      </c>
    </row>
    <row r="779" spans="1:4" x14ac:dyDescent="0.25">
      <c r="A779" s="1" t="s">
        <v>102</v>
      </c>
      <c r="B779" s="59">
        <v>35279</v>
      </c>
      <c r="C779" s="57">
        <f>YEAR(表_查询来自_northwind3[[#This Row],[订购日期]])</f>
        <v>1996</v>
      </c>
      <c r="D779" s="1">
        <v>400</v>
      </c>
    </row>
    <row r="780" spans="1:4" x14ac:dyDescent="0.25">
      <c r="A780" s="1" t="s">
        <v>102</v>
      </c>
      <c r="B780" s="59">
        <v>35282</v>
      </c>
      <c r="C780" s="57">
        <f>YEAR(表_查询来自_northwind3[[#This Row],[订购日期]])</f>
        <v>1996</v>
      </c>
      <c r="D780" s="1">
        <v>142.49999988824129</v>
      </c>
    </row>
    <row r="781" spans="1:4" x14ac:dyDescent="0.25">
      <c r="A781" s="1" t="s">
        <v>102</v>
      </c>
      <c r="B781" s="59">
        <v>35347</v>
      </c>
      <c r="C781" s="57">
        <f>YEAR(表_查询来自_northwind3[[#This Row],[订购日期]])</f>
        <v>1996</v>
      </c>
      <c r="D781" s="1">
        <v>40</v>
      </c>
    </row>
    <row r="782" spans="1:4" x14ac:dyDescent="0.25">
      <c r="A782" s="1" t="s">
        <v>102</v>
      </c>
      <c r="B782" s="59">
        <v>35360</v>
      </c>
      <c r="C782" s="57">
        <f>YEAR(表_查询来自_northwind3[[#This Row],[订购日期]])</f>
        <v>1996</v>
      </c>
      <c r="D782" s="1">
        <v>199.99999925494194</v>
      </c>
    </row>
    <row r="783" spans="1:4" x14ac:dyDescent="0.25">
      <c r="A783" s="1" t="s">
        <v>102</v>
      </c>
      <c r="B783" s="59">
        <v>35368</v>
      </c>
      <c r="C783" s="57">
        <f>YEAR(表_查询来自_northwind3[[#This Row],[订购日期]])</f>
        <v>1996</v>
      </c>
      <c r="D783" s="1">
        <v>447.99999833106995</v>
      </c>
    </row>
    <row r="784" spans="1:4" x14ac:dyDescent="0.25">
      <c r="A784" s="1" t="s">
        <v>102</v>
      </c>
      <c r="B784" s="59">
        <v>35387</v>
      </c>
      <c r="C784" s="57">
        <f>YEAR(表_查询来自_northwind3[[#This Row],[订购日期]])</f>
        <v>1996</v>
      </c>
      <c r="D784" s="1">
        <v>300</v>
      </c>
    </row>
    <row r="785" spans="1:4" x14ac:dyDescent="0.25">
      <c r="A785" s="1" t="s">
        <v>102</v>
      </c>
      <c r="B785" s="59">
        <v>35390</v>
      </c>
      <c r="C785" s="57">
        <f>YEAR(表_查询来自_northwind3[[#This Row],[订购日期]])</f>
        <v>1996</v>
      </c>
      <c r="D785" s="1">
        <v>664.99999947845936</v>
      </c>
    </row>
    <row r="786" spans="1:4" x14ac:dyDescent="0.25">
      <c r="A786" s="1" t="s">
        <v>102</v>
      </c>
      <c r="B786" s="59">
        <v>35395</v>
      </c>
      <c r="C786" s="57">
        <f>YEAR(表_查询来自_northwind3[[#This Row],[订购日期]])</f>
        <v>1996</v>
      </c>
      <c r="D786" s="1">
        <v>200</v>
      </c>
    </row>
    <row r="787" spans="1:4" x14ac:dyDescent="0.25">
      <c r="A787" s="1" t="s">
        <v>102</v>
      </c>
      <c r="B787" s="59">
        <v>35404</v>
      </c>
      <c r="C787" s="57">
        <f>YEAR(表_查询来自_northwind3[[#This Row],[订购日期]])</f>
        <v>1996</v>
      </c>
      <c r="D787" s="1">
        <v>300</v>
      </c>
    </row>
    <row r="788" spans="1:4" x14ac:dyDescent="0.25">
      <c r="A788" s="1" t="s">
        <v>102</v>
      </c>
      <c r="B788" s="59">
        <v>35408</v>
      </c>
      <c r="C788" s="57">
        <f>YEAR(表_查询来自_northwind3[[#This Row],[订购日期]])</f>
        <v>1996</v>
      </c>
      <c r="D788" s="1">
        <v>398.99999968707561</v>
      </c>
    </row>
    <row r="789" spans="1:4" x14ac:dyDescent="0.25">
      <c r="A789" s="1" t="s">
        <v>102</v>
      </c>
      <c r="B789" s="59">
        <v>35422</v>
      </c>
      <c r="C789" s="57">
        <f>YEAR(表_查询来自_northwind3[[#This Row],[订购日期]])</f>
        <v>1996</v>
      </c>
      <c r="D789" s="1">
        <v>539.99999910593033</v>
      </c>
    </row>
    <row r="790" spans="1:4" x14ac:dyDescent="0.25">
      <c r="A790" s="1" t="s">
        <v>102</v>
      </c>
      <c r="B790" s="59">
        <v>35424</v>
      </c>
      <c r="C790" s="57">
        <f>YEAR(表_查询来自_northwind3[[#This Row],[订购日期]])</f>
        <v>1996</v>
      </c>
      <c r="D790" s="1">
        <v>320</v>
      </c>
    </row>
    <row r="791" spans="1:4" x14ac:dyDescent="0.25">
      <c r="A791" s="1" t="s">
        <v>102</v>
      </c>
      <c r="B791" s="59">
        <v>35453</v>
      </c>
      <c r="C791" s="57">
        <f>YEAR(表_查询来自_northwind3[[#This Row],[订购日期]])</f>
        <v>1997</v>
      </c>
      <c r="D791" s="1">
        <v>140</v>
      </c>
    </row>
    <row r="792" spans="1:4" x14ac:dyDescent="0.25">
      <c r="A792" s="1" t="s">
        <v>102</v>
      </c>
      <c r="B792" s="59">
        <v>35475</v>
      </c>
      <c r="C792" s="57">
        <f>YEAR(表_查询来自_northwind3[[#This Row],[订购日期]])</f>
        <v>1997</v>
      </c>
      <c r="D792" s="1">
        <v>26.999999955296516</v>
      </c>
    </row>
    <row r="793" spans="1:4" x14ac:dyDescent="0.25">
      <c r="A793" s="1" t="s">
        <v>102</v>
      </c>
      <c r="B793" s="59">
        <v>35503</v>
      </c>
      <c r="C793" s="57">
        <f>YEAR(表_查询来自_northwind3[[#This Row],[订购日期]])</f>
        <v>1997</v>
      </c>
      <c r="D793" s="1">
        <v>297.49999791383743</v>
      </c>
    </row>
    <row r="794" spans="1:4" x14ac:dyDescent="0.25">
      <c r="A794" s="1" t="s">
        <v>102</v>
      </c>
      <c r="B794" s="59">
        <v>35524</v>
      </c>
      <c r="C794" s="57">
        <f>YEAR(表_查询来自_northwind3[[#This Row],[订购日期]])</f>
        <v>1997</v>
      </c>
      <c r="D794" s="1">
        <v>189.99999985098839</v>
      </c>
    </row>
    <row r="795" spans="1:4" x14ac:dyDescent="0.25">
      <c r="A795" s="1" t="s">
        <v>102</v>
      </c>
      <c r="B795" s="59">
        <v>35564</v>
      </c>
      <c r="C795" s="57">
        <f>YEAR(表_查询来自_northwind3[[#This Row],[订购日期]])</f>
        <v>1997</v>
      </c>
      <c r="D795" s="1">
        <v>250</v>
      </c>
    </row>
    <row r="796" spans="1:4" x14ac:dyDescent="0.25">
      <c r="A796" s="1" t="s">
        <v>102</v>
      </c>
      <c r="B796" s="59">
        <v>35564</v>
      </c>
      <c r="C796" s="57">
        <f>YEAR(表_查询来自_northwind3[[#This Row],[订购日期]])</f>
        <v>1997</v>
      </c>
      <c r="D796" s="1">
        <v>375</v>
      </c>
    </row>
    <row r="797" spans="1:4" x14ac:dyDescent="0.25">
      <c r="A797" s="1" t="s">
        <v>102</v>
      </c>
      <c r="B797" s="59">
        <v>35577</v>
      </c>
      <c r="C797" s="57">
        <f>YEAR(表_查询来自_northwind3[[#This Row],[订购日期]])</f>
        <v>1997</v>
      </c>
      <c r="D797" s="1">
        <v>584.37499590218067</v>
      </c>
    </row>
    <row r="798" spans="1:4" x14ac:dyDescent="0.25">
      <c r="A798" s="1" t="s">
        <v>102</v>
      </c>
      <c r="B798" s="59">
        <v>35580</v>
      </c>
      <c r="C798" s="57">
        <f>YEAR(表_查询来自_northwind3[[#This Row],[订购日期]])</f>
        <v>1997</v>
      </c>
      <c r="D798" s="1">
        <v>375</v>
      </c>
    </row>
    <row r="799" spans="1:4" x14ac:dyDescent="0.25">
      <c r="A799" s="1" t="s">
        <v>102</v>
      </c>
      <c r="B799" s="59">
        <v>35591</v>
      </c>
      <c r="C799" s="57">
        <f>YEAR(表_查询来自_northwind3[[#This Row],[订购日期]])</f>
        <v>1997</v>
      </c>
      <c r="D799" s="1">
        <v>71.249999944120646</v>
      </c>
    </row>
    <row r="800" spans="1:4" x14ac:dyDescent="0.25">
      <c r="A800" s="1" t="s">
        <v>102</v>
      </c>
      <c r="B800" s="59">
        <v>35593</v>
      </c>
      <c r="C800" s="57">
        <f>YEAR(表_查询来自_northwind3[[#This Row],[订购日期]])</f>
        <v>1997</v>
      </c>
      <c r="D800" s="1">
        <v>599.99999776482582</v>
      </c>
    </row>
    <row r="801" spans="1:4" x14ac:dyDescent="0.25">
      <c r="A801" s="1" t="s">
        <v>102</v>
      </c>
      <c r="B801" s="59">
        <v>35597</v>
      </c>
      <c r="C801" s="57">
        <f>YEAR(表_查询来自_northwind3[[#This Row],[订购日期]])</f>
        <v>1997</v>
      </c>
      <c r="D801" s="1">
        <v>349.9999986961484</v>
      </c>
    </row>
    <row r="802" spans="1:4" x14ac:dyDescent="0.25">
      <c r="A802" s="1" t="s">
        <v>102</v>
      </c>
      <c r="B802" s="59">
        <v>35604</v>
      </c>
      <c r="C802" s="57">
        <f>YEAR(表_查询来自_northwind3[[#This Row],[订购日期]])</f>
        <v>1997</v>
      </c>
      <c r="D802" s="1">
        <v>250</v>
      </c>
    </row>
    <row r="803" spans="1:4" x14ac:dyDescent="0.25">
      <c r="A803" s="1" t="s">
        <v>102</v>
      </c>
      <c r="B803" s="59">
        <v>35611</v>
      </c>
      <c r="C803" s="57">
        <f>YEAR(表_查询来自_northwind3[[#This Row],[订购日期]])</f>
        <v>1997</v>
      </c>
      <c r="D803" s="1">
        <v>593.74999953433871</v>
      </c>
    </row>
    <row r="804" spans="1:4" x14ac:dyDescent="0.25">
      <c r="A804" s="1" t="s">
        <v>102</v>
      </c>
      <c r="B804" s="59">
        <v>35678</v>
      </c>
      <c r="C804" s="57">
        <f>YEAR(表_查询来自_northwind3[[#This Row],[订购日期]])</f>
        <v>1997</v>
      </c>
      <c r="D804" s="1">
        <v>237.49999981373549</v>
      </c>
    </row>
    <row r="805" spans="1:4" x14ac:dyDescent="0.25">
      <c r="A805" s="1" t="s">
        <v>102</v>
      </c>
      <c r="B805" s="59">
        <v>35688</v>
      </c>
      <c r="C805" s="57">
        <f>YEAR(表_查询来自_northwind3[[#This Row],[订购日期]])</f>
        <v>1997</v>
      </c>
      <c r="D805" s="1">
        <v>89.999999850988388</v>
      </c>
    </row>
    <row r="806" spans="1:4" x14ac:dyDescent="0.25">
      <c r="A806" s="1" t="s">
        <v>102</v>
      </c>
      <c r="B806" s="59">
        <v>35697</v>
      </c>
      <c r="C806" s="57">
        <f>YEAR(表_查询来自_northwind3[[#This Row],[订购日期]])</f>
        <v>1997</v>
      </c>
      <c r="D806" s="1">
        <v>187.5</v>
      </c>
    </row>
    <row r="807" spans="1:4" x14ac:dyDescent="0.25">
      <c r="A807" s="1" t="s">
        <v>102</v>
      </c>
      <c r="B807" s="59">
        <v>35718</v>
      </c>
      <c r="C807" s="57">
        <f>YEAR(表_查询来自_northwind3[[#This Row],[订购日期]])</f>
        <v>1997</v>
      </c>
      <c r="D807" s="1">
        <v>250</v>
      </c>
    </row>
    <row r="808" spans="1:4" x14ac:dyDescent="0.25">
      <c r="A808" s="1" t="s">
        <v>102</v>
      </c>
      <c r="B808" s="59">
        <v>35732</v>
      </c>
      <c r="C808" s="57">
        <f>YEAR(表_查询来自_northwind3[[#This Row],[订购日期]])</f>
        <v>1997</v>
      </c>
      <c r="D808" s="1">
        <v>625</v>
      </c>
    </row>
    <row r="809" spans="1:4" x14ac:dyDescent="0.25">
      <c r="A809" s="1" t="s">
        <v>102</v>
      </c>
      <c r="B809" s="59">
        <v>35739</v>
      </c>
      <c r="C809" s="57">
        <f>YEAR(表_查询来自_northwind3[[#This Row],[订购日期]])</f>
        <v>1997</v>
      </c>
      <c r="D809" s="1">
        <v>35.624999972060323</v>
      </c>
    </row>
    <row r="810" spans="1:4" x14ac:dyDescent="0.25">
      <c r="A810" s="1" t="s">
        <v>102</v>
      </c>
      <c r="B810" s="59">
        <v>35753</v>
      </c>
      <c r="C810" s="57">
        <f>YEAR(表_查询来自_northwind3[[#This Row],[订购日期]])</f>
        <v>1997</v>
      </c>
      <c r="D810" s="1">
        <v>100</v>
      </c>
    </row>
    <row r="811" spans="1:4" x14ac:dyDescent="0.25">
      <c r="A811" s="1" t="s">
        <v>102</v>
      </c>
      <c r="B811" s="59">
        <v>35772</v>
      </c>
      <c r="C811" s="57">
        <f>YEAR(表_查询来自_northwind3[[#This Row],[订购日期]])</f>
        <v>1997</v>
      </c>
      <c r="D811" s="1">
        <v>625</v>
      </c>
    </row>
    <row r="812" spans="1:4" x14ac:dyDescent="0.25">
      <c r="A812" s="1" t="s">
        <v>102</v>
      </c>
      <c r="B812" s="59">
        <v>35775</v>
      </c>
      <c r="C812" s="57">
        <f>YEAR(表_查询来自_northwind3[[#This Row],[订购日期]])</f>
        <v>1997</v>
      </c>
      <c r="D812" s="1">
        <v>699.99999739229679</v>
      </c>
    </row>
    <row r="813" spans="1:4" x14ac:dyDescent="0.25">
      <c r="A813" s="1" t="s">
        <v>102</v>
      </c>
      <c r="B813" s="59">
        <v>35775</v>
      </c>
      <c r="C813" s="57">
        <f>YEAR(表_查询来自_northwind3[[#This Row],[订购日期]])</f>
        <v>1997</v>
      </c>
      <c r="D813" s="1">
        <v>18.75</v>
      </c>
    </row>
    <row r="814" spans="1:4" x14ac:dyDescent="0.25">
      <c r="A814" s="1" t="s">
        <v>102</v>
      </c>
      <c r="B814" s="59">
        <v>35779</v>
      </c>
      <c r="C814" s="57">
        <f>YEAR(表_查询来自_northwind3[[#This Row],[订购日期]])</f>
        <v>1997</v>
      </c>
      <c r="D814" s="1">
        <v>189.99999985098839</v>
      </c>
    </row>
    <row r="815" spans="1:4" x14ac:dyDescent="0.25">
      <c r="A815" s="1" t="s">
        <v>102</v>
      </c>
      <c r="B815" s="59">
        <v>35781</v>
      </c>
      <c r="C815" s="57">
        <f>YEAR(表_查询来自_northwind3[[#This Row],[订购日期]])</f>
        <v>1997</v>
      </c>
      <c r="D815" s="1">
        <v>12.5</v>
      </c>
    </row>
    <row r="816" spans="1:4" x14ac:dyDescent="0.25">
      <c r="A816" s="1" t="s">
        <v>102</v>
      </c>
      <c r="B816" s="59">
        <v>35782</v>
      </c>
      <c r="C816" s="57">
        <f>YEAR(表_查询来自_northwind3[[#This Row],[订购日期]])</f>
        <v>1997</v>
      </c>
      <c r="D816" s="1">
        <v>125</v>
      </c>
    </row>
    <row r="817" spans="1:4" x14ac:dyDescent="0.25">
      <c r="A817" s="1" t="s">
        <v>102</v>
      </c>
      <c r="B817" s="59">
        <v>35797</v>
      </c>
      <c r="C817" s="57">
        <f>YEAR(表_查询来自_northwind3[[#This Row],[订购日期]])</f>
        <v>1998</v>
      </c>
      <c r="D817" s="1">
        <v>179.99999970197678</v>
      </c>
    </row>
    <row r="818" spans="1:4" x14ac:dyDescent="0.25">
      <c r="A818" s="1" t="s">
        <v>102</v>
      </c>
      <c r="B818" s="59">
        <v>35807</v>
      </c>
      <c r="C818" s="57">
        <f>YEAR(表_查询来自_northwind3[[#This Row],[订购日期]])</f>
        <v>1998</v>
      </c>
      <c r="D818" s="1">
        <v>437.5</v>
      </c>
    </row>
    <row r="819" spans="1:4" x14ac:dyDescent="0.25">
      <c r="A819" s="1" t="s">
        <v>102</v>
      </c>
      <c r="B819" s="59">
        <v>35810</v>
      </c>
      <c r="C819" s="57">
        <f>YEAR(表_查询来自_northwind3[[#This Row],[订购日期]])</f>
        <v>1998</v>
      </c>
      <c r="D819" s="1">
        <v>101.24999983236194</v>
      </c>
    </row>
    <row r="820" spans="1:4" x14ac:dyDescent="0.25">
      <c r="A820" s="1" t="s">
        <v>102</v>
      </c>
      <c r="B820" s="59">
        <v>35822</v>
      </c>
      <c r="C820" s="57">
        <f>YEAR(表_查询来自_northwind3[[#This Row],[订购日期]])</f>
        <v>1998</v>
      </c>
      <c r="D820" s="1">
        <v>175</v>
      </c>
    </row>
    <row r="821" spans="1:4" x14ac:dyDescent="0.25">
      <c r="A821" s="1" t="s">
        <v>102</v>
      </c>
      <c r="B821" s="59">
        <v>35839</v>
      </c>
      <c r="C821" s="57">
        <f>YEAR(表_查询来自_northwind3[[#This Row],[订购日期]])</f>
        <v>1998</v>
      </c>
      <c r="D821" s="1">
        <v>437.5</v>
      </c>
    </row>
    <row r="822" spans="1:4" x14ac:dyDescent="0.25">
      <c r="A822" s="1" t="s">
        <v>102</v>
      </c>
      <c r="B822" s="59">
        <v>35865</v>
      </c>
      <c r="C822" s="57">
        <f>YEAR(表_查询来自_northwind3[[#This Row],[订购日期]])</f>
        <v>1998</v>
      </c>
      <c r="D822" s="1">
        <v>412.5</v>
      </c>
    </row>
    <row r="823" spans="1:4" x14ac:dyDescent="0.25">
      <c r="A823" s="1" t="s">
        <v>102</v>
      </c>
      <c r="B823" s="59">
        <v>35866</v>
      </c>
      <c r="C823" s="57">
        <f>YEAR(表_查询来自_northwind3[[#This Row],[订购日期]])</f>
        <v>1998</v>
      </c>
      <c r="D823" s="1">
        <v>125</v>
      </c>
    </row>
    <row r="824" spans="1:4" x14ac:dyDescent="0.25">
      <c r="A824" s="1" t="s">
        <v>102</v>
      </c>
      <c r="B824" s="59">
        <v>35870</v>
      </c>
      <c r="C824" s="57">
        <f>YEAR(表_查询来自_northwind3[[#This Row],[订购日期]])</f>
        <v>1998</v>
      </c>
      <c r="D824" s="1">
        <v>593.74999953433871</v>
      </c>
    </row>
    <row r="825" spans="1:4" x14ac:dyDescent="0.25">
      <c r="A825" s="1" t="s">
        <v>102</v>
      </c>
      <c r="B825" s="59">
        <v>35871</v>
      </c>
      <c r="C825" s="57">
        <f>YEAR(表_查询来自_northwind3[[#This Row],[订购日期]])</f>
        <v>1998</v>
      </c>
      <c r="D825" s="1">
        <v>265.62499813735485</v>
      </c>
    </row>
    <row r="826" spans="1:4" x14ac:dyDescent="0.25">
      <c r="A826" s="1" t="s">
        <v>102</v>
      </c>
      <c r="B826" s="59">
        <v>35880</v>
      </c>
      <c r="C826" s="57">
        <f>YEAR(表_查询来自_northwind3[[#This Row],[订购日期]])</f>
        <v>1998</v>
      </c>
      <c r="D826" s="1">
        <v>300</v>
      </c>
    </row>
    <row r="827" spans="1:4" x14ac:dyDescent="0.25">
      <c r="A827" s="1" t="s">
        <v>102</v>
      </c>
      <c r="B827" s="59">
        <v>35895</v>
      </c>
      <c r="C827" s="57">
        <f>YEAR(表_查询来自_northwind3[[#This Row],[订购日期]])</f>
        <v>1998</v>
      </c>
      <c r="D827" s="1">
        <v>187.5</v>
      </c>
    </row>
    <row r="828" spans="1:4" x14ac:dyDescent="0.25">
      <c r="A828" s="1" t="s">
        <v>102</v>
      </c>
      <c r="B828" s="59">
        <v>35920</v>
      </c>
      <c r="C828" s="57">
        <f>YEAR(表_查询来自_northwind3[[#This Row],[订购日期]])</f>
        <v>1998</v>
      </c>
      <c r="D828" s="1">
        <v>250</v>
      </c>
    </row>
    <row r="829" spans="1:4" x14ac:dyDescent="0.25">
      <c r="A829" s="1" t="s">
        <v>103</v>
      </c>
      <c r="B829" s="59">
        <v>35263</v>
      </c>
      <c r="C829" s="57">
        <f>YEAR(表_查询来自_northwind3[[#This Row],[订购日期]])</f>
        <v>1996</v>
      </c>
      <c r="D829" s="1">
        <v>122.87999954223632</v>
      </c>
    </row>
    <row r="830" spans="1:4" x14ac:dyDescent="0.25">
      <c r="A830" s="1" t="s">
        <v>103</v>
      </c>
      <c r="B830" s="59">
        <v>35333</v>
      </c>
      <c r="C830" s="57">
        <f>YEAR(表_查询来自_northwind3[[#This Row],[订购日期]])</f>
        <v>1996</v>
      </c>
      <c r="D830" s="1">
        <v>921.59999847412109</v>
      </c>
    </row>
    <row r="831" spans="1:4" x14ac:dyDescent="0.25">
      <c r="A831" s="1" t="s">
        <v>103</v>
      </c>
      <c r="B831" s="59">
        <v>35360</v>
      </c>
      <c r="C831" s="57">
        <f>YEAR(表_查询来自_northwind3[[#This Row],[订购日期]])</f>
        <v>1996</v>
      </c>
      <c r="D831" s="1">
        <v>122.87999954223632</v>
      </c>
    </row>
    <row r="832" spans="1:4" x14ac:dyDescent="0.25">
      <c r="A832" s="1" t="s">
        <v>103</v>
      </c>
      <c r="B832" s="59">
        <v>35542</v>
      </c>
      <c r="C832" s="57">
        <f>YEAR(表_查询来自_northwind3[[#This Row],[订购日期]])</f>
        <v>1997</v>
      </c>
      <c r="D832" s="1">
        <v>1279.9999952316284</v>
      </c>
    </row>
    <row r="833" spans="1:4" x14ac:dyDescent="0.25">
      <c r="A833" s="1" t="s">
        <v>103</v>
      </c>
      <c r="B833" s="59">
        <v>35573</v>
      </c>
      <c r="C833" s="57">
        <f>YEAR(表_查询来自_northwind3[[#This Row],[订购日期]])</f>
        <v>1997</v>
      </c>
      <c r="D833" s="1">
        <v>652.79999542236328</v>
      </c>
    </row>
    <row r="834" spans="1:4" x14ac:dyDescent="0.25">
      <c r="A834" s="1" t="s">
        <v>103</v>
      </c>
      <c r="B834" s="59">
        <v>35599</v>
      </c>
      <c r="C834" s="57">
        <f>YEAR(表_查询来自_northwind3[[#This Row],[订购日期]])</f>
        <v>1997</v>
      </c>
      <c r="D834" s="1">
        <v>287.99999952316284</v>
      </c>
    </row>
    <row r="835" spans="1:4" x14ac:dyDescent="0.25">
      <c r="A835" s="1" t="s">
        <v>103</v>
      </c>
      <c r="B835" s="59">
        <v>35718</v>
      </c>
      <c r="C835" s="57">
        <f>YEAR(表_查询来自_northwind3[[#This Row],[订购日期]])</f>
        <v>1997</v>
      </c>
      <c r="D835" s="1">
        <v>128</v>
      </c>
    </row>
    <row r="836" spans="1:4" x14ac:dyDescent="0.25">
      <c r="A836" s="1" t="s">
        <v>103</v>
      </c>
      <c r="B836" s="59">
        <v>35762</v>
      </c>
      <c r="C836" s="57">
        <f>YEAR(表_查询来自_northwind3[[#This Row],[订购日期]])</f>
        <v>1997</v>
      </c>
      <c r="D836" s="1">
        <v>320</v>
      </c>
    </row>
    <row r="837" spans="1:4" x14ac:dyDescent="0.25">
      <c r="A837" s="1" t="s">
        <v>103</v>
      </c>
      <c r="B837" s="59">
        <v>35802</v>
      </c>
      <c r="C837" s="57">
        <f>YEAR(表_查询来自_northwind3[[#This Row],[订购日期]])</f>
        <v>1998</v>
      </c>
      <c r="D837" s="1">
        <v>640</v>
      </c>
    </row>
    <row r="838" spans="1:4" x14ac:dyDescent="0.25">
      <c r="A838" s="1" t="s">
        <v>103</v>
      </c>
      <c r="B838" s="59">
        <v>35853</v>
      </c>
      <c r="C838" s="57">
        <f>YEAR(表_查询来自_northwind3[[#This Row],[订购日期]])</f>
        <v>1998</v>
      </c>
      <c r="D838" s="1">
        <v>192</v>
      </c>
    </row>
    <row r="839" spans="1:4" x14ac:dyDescent="0.25">
      <c r="A839" s="1" t="s">
        <v>103</v>
      </c>
      <c r="B839" s="59">
        <v>35884</v>
      </c>
      <c r="C839" s="57">
        <f>YEAR(表_查询来自_northwind3[[#This Row],[订购日期]])</f>
        <v>1998</v>
      </c>
      <c r="D839" s="1">
        <v>1007.9999983310699</v>
      </c>
    </row>
    <row r="840" spans="1:4" x14ac:dyDescent="0.25">
      <c r="A840" s="1" t="s">
        <v>103</v>
      </c>
      <c r="B840" s="59">
        <v>35888</v>
      </c>
      <c r="C840" s="57">
        <f>YEAR(表_查询来自_northwind3[[#This Row],[订购日期]])</f>
        <v>1998</v>
      </c>
      <c r="D840" s="1">
        <v>1600</v>
      </c>
    </row>
    <row r="841" spans="1:4" x14ac:dyDescent="0.25">
      <c r="A841" s="1" t="s">
        <v>103</v>
      </c>
      <c r="B841" s="59">
        <v>35908</v>
      </c>
      <c r="C841" s="57">
        <f>YEAR(表_查询来自_northwind3[[#This Row],[订购日期]])</f>
        <v>1998</v>
      </c>
      <c r="D841" s="1">
        <v>455.99999964237213</v>
      </c>
    </row>
    <row r="842" spans="1:4" x14ac:dyDescent="0.25">
      <c r="A842" s="1" t="s">
        <v>103</v>
      </c>
      <c r="B842" s="59">
        <v>35912</v>
      </c>
      <c r="C842" s="57">
        <f>YEAR(表_查询来自_northwind3[[#This Row],[订购日期]])</f>
        <v>1998</v>
      </c>
      <c r="D842" s="1">
        <v>640</v>
      </c>
    </row>
    <row r="843" spans="1:4" x14ac:dyDescent="0.25">
      <c r="A843" s="1" t="s">
        <v>103</v>
      </c>
      <c r="B843" s="59">
        <v>35921</v>
      </c>
      <c r="C843" s="57">
        <f>YEAR(表_查询来自_northwind3[[#This Row],[订购日期]])</f>
        <v>1998</v>
      </c>
      <c r="D843" s="1">
        <v>32</v>
      </c>
    </row>
    <row r="844" spans="1:4" x14ac:dyDescent="0.25">
      <c r="A844" s="1" t="s">
        <v>104</v>
      </c>
      <c r="B844" s="59">
        <v>35255</v>
      </c>
      <c r="C844" s="57">
        <f>YEAR(表_查询来自_northwind3[[#This Row],[订购日期]])</f>
        <v>1996</v>
      </c>
      <c r="D844" s="1">
        <v>47.499999962747097</v>
      </c>
    </row>
    <row r="845" spans="1:4" x14ac:dyDescent="0.25">
      <c r="A845" s="1" t="s">
        <v>104</v>
      </c>
      <c r="B845" s="59">
        <v>35277</v>
      </c>
      <c r="C845" s="57">
        <f>YEAR(表_查询来自_northwind3[[#This Row],[订购日期]])</f>
        <v>1996</v>
      </c>
      <c r="D845" s="1">
        <v>113.99999991059303</v>
      </c>
    </row>
    <row r="846" spans="1:4" x14ac:dyDescent="0.25">
      <c r="A846" s="1" t="s">
        <v>104</v>
      </c>
      <c r="B846" s="59">
        <v>35278</v>
      </c>
      <c r="C846" s="57">
        <f>YEAR(表_查询来自_northwind3[[#This Row],[订购日期]])</f>
        <v>1996</v>
      </c>
      <c r="D846" s="1">
        <v>48</v>
      </c>
    </row>
    <row r="847" spans="1:4" x14ac:dyDescent="0.25">
      <c r="A847" s="1" t="s">
        <v>104</v>
      </c>
      <c r="B847" s="59">
        <v>35282</v>
      </c>
      <c r="C847" s="57">
        <f>YEAR(表_查询来自_northwind3[[#This Row],[订购日期]])</f>
        <v>1996</v>
      </c>
      <c r="D847" s="1">
        <v>40</v>
      </c>
    </row>
    <row r="848" spans="1:4" x14ac:dyDescent="0.25">
      <c r="A848" s="1" t="s">
        <v>104</v>
      </c>
      <c r="B848" s="59">
        <v>35367</v>
      </c>
      <c r="C848" s="57">
        <f>YEAR(表_查询来自_northwind3[[#This Row],[订购日期]])</f>
        <v>1996</v>
      </c>
      <c r="D848" s="1">
        <v>16</v>
      </c>
    </row>
    <row r="849" spans="1:4" x14ac:dyDescent="0.25">
      <c r="A849" s="1" t="s">
        <v>104</v>
      </c>
      <c r="B849" s="59">
        <v>35412</v>
      </c>
      <c r="C849" s="57">
        <f>YEAR(表_查询来自_northwind3[[#This Row],[订购日期]])</f>
        <v>1996</v>
      </c>
      <c r="D849" s="1">
        <v>120</v>
      </c>
    </row>
    <row r="850" spans="1:4" x14ac:dyDescent="0.25">
      <c r="A850" s="1" t="s">
        <v>104</v>
      </c>
      <c r="B850" s="59">
        <v>35440</v>
      </c>
      <c r="C850" s="57">
        <f>YEAR(表_查询来自_northwind3[[#This Row],[订购日期]])</f>
        <v>1997</v>
      </c>
      <c r="D850" s="1">
        <v>98</v>
      </c>
    </row>
    <row r="851" spans="1:4" x14ac:dyDescent="0.25">
      <c r="A851" s="1" t="s">
        <v>104</v>
      </c>
      <c r="B851" s="59">
        <v>35444</v>
      </c>
      <c r="C851" s="57">
        <f>YEAR(表_查询来自_northwind3[[#This Row],[订购日期]])</f>
        <v>1997</v>
      </c>
      <c r="D851" s="1">
        <v>100</v>
      </c>
    </row>
    <row r="852" spans="1:4" x14ac:dyDescent="0.25">
      <c r="A852" s="1" t="s">
        <v>104</v>
      </c>
      <c r="B852" s="59">
        <v>35445</v>
      </c>
      <c r="C852" s="57">
        <f>YEAR(表_查询来自_northwind3[[#This Row],[订购日期]])</f>
        <v>1997</v>
      </c>
      <c r="D852" s="1">
        <v>40</v>
      </c>
    </row>
    <row r="853" spans="1:4" x14ac:dyDescent="0.25">
      <c r="A853" s="1" t="s">
        <v>104</v>
      </c>
      <c r="B853" s="59">
        <v>35482</v>
      </c>
      <c r="C853" s="57">
        <f>YEAR(表_查询来自_northwind3[[#This Row],[订购日期]])</f>
        <v>1997</v>
      </c>
      <c r="D853" s="1">
        <v>31.99999988079071</v>
      </c>
    </row>
    <row r="854" spans="1:4" x14ac:dyDescent="0.25">
      <c r="A854" s="1" t="s">
        <v>104</v>
      </c>
      <c r="B854" s="59">
        <v>35502</v>
      </c>
      <c r="C854" s="57">
        <f>YEAR(表_查询来自_northwind3[[#This Row],[订购日期]])</f>
        <v>1997</v>
      </c>
      <c r="D854" s="1">
        <v>24</v>
      </c>
    </row>
    <row r="855" spans="1:4" x14ac:dyDescent="0.25">
      <c r="A855" s="1" t="s">
        <v>104</v>
      </c>
      <c r="B855" s="59">
        <v>35543</v>
      </c>
      <c r="C855" s="57">
        <f>YEAR(表_查询来自_northwind3[[#This Row],[订购日期]])</f>
        <v>1997</v>
      </c>
      <c r="D855" s="1">
        <v>33.999999761581421</v>
      </c>
    </row>
    <row r="856" spans="1:4" x14ac:dyDescent="0.25">
      <c r="A856" s="1" t="s">
        <v>104</v>
      </c>
      <c r="B856" s="59">
        <v>35556</v>
      </c>
      <c r="C856" s="57">
        <f>YEAR(表_查询来自_northwind3[[#This Row],[订购日期]])</f>
        <v>1997</v>
      </c>
      <c r="D856" s="1">
        <v>15.999999940395355</v>
      </c>
    </row>
    <row r="857" spans="1:4" x14ac:dyDescent="0.25">
      <c r="A857" s="1" t="s">
        <v>104</v>
      </c>
      <c r="B857" s="59">
        <v>35564</v>
      </c>
      <c r="C857" s="57">
        <f>YEAR(表_查询来自_northwind3[[#This Row],[订购日期]])</f>
        <v>1997</v>
      </c>
      <c r="D857" s="1">
        <v>75</v>
      </c>
    </row>
    <row r="858" spans="1:4" x14ac:dyDescent="0.25">
      <c r="A858" s="1" t="s">
        <v>104</v>
      </c>
      <c r="B858" s="59">
        <v>35566</v>
      </c>
      <c r="C858" s="57">
        <f>YEAR(表_查询来自_northwind3[[#This Row],[订购日期]])</f>
        <v>1997</v>
      </c>
      <c r="D858" s="1">
        <v>37.5</v>
      </c>
    </row>
    <row r="859" spans="1:4" x14ac:dyDescent="0.25">
      <c r="A859" s="1" t="s">
        <v>104</v>
      </c>
      <c r="B859" s="59">
        <v>35590</v>
      </c>
      <c r="C859" s="57">
        <f>YEAR(表_查询来自_northwind3[[#This Row],[订购日期]])</f>
        <v>1997</v>
      </c>
      <c r="D859" s="1">
        <v>44.999999925494194</v>
      </c>
    </row>
    <row r="860" spans="1:4" x14ac:dyDescent="0.25">
      <c r="A860" s="1" t="s">
        <v>104</v>
      </c>
      <c r="B860" s="59">
        <v>35600</v>
      </c>
      <c r="C860" s="57">
        <f>YEAR(表_查询来自_northwind3[[#This Row],[订购日期]])</f>
        <v>1997</v>
      </c>
      <c r="D860" s="1">
        <v>35</v>
      </c>
    </row>
    <row r="861" spans="1:4" x14ac:dyDescent="0.25">
      <c r="A861" s="1" t="s">
        <v>104</v>
      </c>
      <c r="B861" s="59">
        <v>35633</v>
      </c>
      <c r="C861" s="57">
        <f>YEAR(表_查询来自_northwind3[[#This Row],[订购日期]])</f>
        <v>1997</v>
      </c>
      <c r="D861" s="1">
        <v>35</v>
      </c>
    </row>
    <row r="862" spans="1:4" x14ac:dyDescent="0.25">
      <c r="A862" s="1" t="s">
        <v>104</v>
      </c>
      <c r="B862" s="59">
        <v>35656</v>
      </c>
      <c r="C862" s="57">
        <f>YEAR(表_查询来自_northwind3[[#This Row],[订购日期]])</f>
        <v>1997</v>
      </c>
      <c r="D862" s="1">
        <v>47.499999962747097</v>
      </c>
    </row>
    <row r="863" spans="1:4" x14ac:dyDescent="0.25">
      <c r="A863" s="1" t="s">
        <v>104</v>
      </c>
      <c r="B863" s="59">
        <v>35695</v>
      </c>
      <c r="C863" s="57">
        <f>YEAR(表_查询来自_northwind3[[#This Row],[订购日期]])</f>
        <v>1997</v>
      </c>
      <c r="D863" s="1">
        <v>16.99999988079071</v>
      </c>
    </row>
    <row r="864" spans="1:4" x14ac:dyDescent="0.25">
      <c r="A864" s="1" t="s">
        <v>104</v>
      </c>
      <c r="B864" s="59">
        <v>35696</v>
      </c>
      <c r="C864" s="57">
        <f>YEAR(表_查询来自_northwind3[[#This Row],[订购日期]])</f>
        <v>1997</v>
      </c>
      <c r="D864" s="1">
        <v>75</v>
      </c>
    </row>
    <row r="865" spans="1:4" x14ac:dyDescent="0.25">
      <c r="A865" s="1" t="s">
        <v>104</v>
      </c>
      <c r="B865" s="59">
        <v>35698</v>
      </c>
      <c r="C865" s="57">
        <f>YEAR(表_查询来自_northwind3[[#This Row],[订购日期]])</f>
        <v>1997</v>
      </c>
      <c r="D865" s="1">
        <v>75</v>
      </c>
    </row>
    <row r="866" spans="1:4" x14ac:dyDescent="0.25">
      <c r="A866" s="1" t="s">
        <v>104</v>
      </c>
      <c r="B866" s="59">
        <v>35800</v>
      </c>
      <c r="C866" s="57">
        <f>YEAR(表_查询来自_northwind3[[#This Row],[订购日期]])</f>
        <v>1998</v>
      </c>
      <c r="D866" s="1">
        <v>40</v>
      </c>
    </row>
    <row r="867" spans="1:4" x14ac:dyDescent="0.25">
      <c r="A867" s="1" t="s">
        <v>104</v>
      </c>
      <c r="B867" s="59">
        <v>35818</v>
      </c>
      <c r="C867" s="57">
        <f>YEAR(表_查询来自_northwind3[[#This Row],[订购日期]])</f>
        <v>1998</v>
      </c>
      <c r="D867" s="1">
        <v>8.4999999403953552</v>
      </c>
    </row>
    <row r="868" spans="1:4" x14ac:dyDescent="0.25">
      <c r="A868" s="1" t="s">
        <v>104</v>
      </c>
      <c r="B868" s="59">
        <v>35825</v>
      </c>
      <c r="C868" s="57">
        <f>YEAR(表_查询来自_northwind3[[#This Row],[订购日期]])</f>
        <v>1998</v>
      </c>
      <c r="D868" s="1">
        <v>87.5</v>
      </c>
    </row>
    <row r="869" spans="1:4" x14ac:dyDescent="0.25">
      <c r="A869" s="1" t="s">
        <v>104</v>
      </c>
      <c r="B869" s="59">
        <v>35852</v>
      </c>
      <c r="C869" s="57">
        <f>YEAR(表_查询来自_northwind3[[#This Row],[订购日期]])</f>
        <v>1998</v>
      </c>
      <c r="D869" s="1">
        <v>75</v>
      </c>
    </row>
    <row r="870" spans="1:4" x14ac:dyDescent="0.25">
      <c r="A870" s="1" t="s">
        <v>104</v>
      </c>
      <c r="B870" s="59">
        <v>35853</v>
      </c>
      <c r="C870" s="57">
        <f>YEAR(表_查询来自_northwind3[[#This Row],[订购日期]])</f>
        <v>1998</v>
      </c>
      <c r="D870" s="1">
        <v>75</v>
      </c>
    </row>
    <row r="871" spans="1:4" x14ac:dyDescent="0.25">
      <c r="A871" s="1" t="s">
        <v>104</v>
      </c>
      <c r="B871" s="59">
        <v>35870</v>
      </c>
      <c r="C871" s="57">
        <f>YEAR(表_查询来自_northwind3[[#This Row],[订购日期]])</f>
        <v>1998</v>
      </c>
      <c r="D871" s="1">
        <v>35.624999972060323</v>
      </c>
    </row>
    <row r="872" spans="1:4" x14ac:dyDescent="0.25">
      <c r="A872" s="1" t="s">
        <v>104</v>
      </c>
      <c r="B872" s="59">
        <v>35878</v>
      </c>
      <c r="C872" s="57">
        <f>YEAR(表_查询来自_northwind3[[#This Row],[订购日期]])</f>
        <v>1998</v>
      </c>
      <c r="D872" s="1">
        <v>17.5</v>
      </c>
    </row>
    <row r="873" spans="1:4" x14ac:dyDescent="0.25">
      <c r="A873" s="1" t="s">
        <v>104</v>
      </c>
      <c r="B873" s="59">
        <v>35900</v>
      </c>
      <c r="C873" s="57">
        <f>YEAR(表_查询来自_northwind3[[#This Row],[订购日期]])</f>
        <v>1998</v>
      </c>
      <c r="D873" s="1">
        <v>75</v>
      </c>
    </row>
    <row r="874" spans="1:4" x14ac:dyDescent="0.25">
      <c r="A874" s="1" t="s">
        <v>104</v>
      </c>
      <c r="B874" s="59">
        <v>35908</v>
      </c>
      <c r="C874" s="57">
        <f>YEAR(表_查询来自_northwind3[[#This Row],[订购日期]])</f>
        <v>1998</v>
      </c>
      <c r="D874" s="1">
        <v>37.5</v>
      </c>
    </row>
    <row r="875" spans="1:4" x14ac:dyDescent="0.25">
      <c r="A875" s="1" t="s">
        <v>104</v>
      </c>
      <c r="B875" s="59">
        <v>35913</v>
      </c>
      <c r="C875" s="57">
        <f>YEAR(表_查询来自_northwind3[[#This Row],[订购日期]])</f>
        <v>1998</v>
      </c>
      <c r="D875" s="1">
        <v>25</v>
      </c>
    </row>
    <row r="876" spans="1:4" x14ac:dyDescent="0.25">
      <c r="A876" s="1" t="s">
        <v>105</v>
      </c>
      <c r="B876" s="59">
        <v>35299</v>
      </c>
      <c r="C876" s="57">
        <f>YEAR(表_查询来自_northwind3[[#This Row],[订购日期]])</f>
        <v>1996</v>
      </c>
      <c r="D876" s="1">
        <v>224</v>
      </c>
    </row>
    <row r="877" spans="1:4" x14ac:dyDescent="0.25">
      <c r="A877" s="1" t="s">
        <v>105</v>
      </c>
      <c r="B877" s="59">
        <v>35334</v>
      </c>
      <c r="C877" s="57">
        <f>YEAR(表_查询来自_northwind3[[#This Row],[订购日期]])</f>
        <v>1996</v>
      </c>
      <c r="D877" s="1">
        <v>156.80000000000001</v>
      </c>
    </row>
    <row r="878" spans="1:4" x14ac:dyDescent="0.25">
      <c r="A878" s="1" t="s">
        <v>105</v>
      </c>
      <c r="B878" s="59">
        <v>35389</v>
      </c>
      <c r="C878" s="57">
        <f>YEAR(表_查询来自_northwind3[[#This Row],[订购日期]])</f>
        <v>1996</v>
      </c>
      <c r="D878" s="1">
        <v>106.3999999165535</v>
      </c>
    </row>
    <row r="879" spans="1:4" x14ac:dyDescent="0.25">
      <c r="A879" s="1" t="s">
        <v>105</v>
      </c>
      <c r="B879" s="59">
        <v>35397</v>
      </c>
      <c r="C879" s="57">
        <f>YEAR(表_查询来自_northwind3[[#This Row],[订购日期]])</f>
        <v>1996</v>
      </c>
      <c r="D879" s="1">
        <v>403.2</v>
      </c>
    </row>
    <row r="880" spans="1:4" x14ac:dyDescent="0.25">
      <c r="A880" s="1" t="s">
        <v>105</v>
      </c>
      <c r="B880" s="59">
        <v>35417</v>
      </c>
      <c r="C880" s="57">
        <f>YEAR(表_查询来自_northwind3[[#This Row],[订购日期]])</f>
        <v>1996</v>
      </c>
      <c r="D880" s="1">
        <v>112</v>
      </c>
    </row>
    <row r="881" spans="1:4" x14ac:dyDescent="0.25">
      <c r="A881" s="1" t="s">
        <v>105</v>
      </c>
      <c r="B881" s="59">
        <v>35467</v>
      </c>
      <c r="C881" s="57">
        <f>YEAR(表_查询来自_northwind3[[#This Row],[订购日期]])</f>
        <v>1997</v>
      </c>
      <c r="D881" s="1">
        <v>179.19999933242798</v>
      </c>
    </row>
    <row r="882" spans="1:4" x14ac:dyDescent="0.25">
      <c r="A882" s="1" t="s">
        <v>105</v>
      </c>
      <c r="B882" s="59">
        <v>35513</v>
      </c>
      <c r="C882" s="57">
        <f>YEAR(表_查询来自_northwind3[[#This Row],[订购日期]])</f>
        <v>1997</v>
      </c>
      <c r="D882" s="1">
        <v>372.39999970793724</v>
      </c>
    </row>
    <row r="883" spans="1:4" x14ac:dyDescent="0.25">
      <c r="A883" s="1" t="s">
        <v>105</v>
      </c>
      <c r="B883" s="59">
        <v>35576</v>
      </c>
      <c r="C883" s="57">
        <f>YEAR(表_查询来自_northwind3[[#This Row],[订购日期]])</f>
        <v>1997</v>
      </c>
      <c r="D883" s="1">
        <v>105</v>
      </c>
    </row>
    <row r="884" spans="1:4" x14ac:dyDescent="0.25">
      <c r="A884" s="1" t="s">
        <v>105</v>
      </c>
      <c r="B884" s="59">
        <v>35600</v>
      </c>
      <c r="C884" s="57">
        <f>YEAR(表_查询来自_northwind3[[#This Row],[订购日期]])</f>
        <v>1997</v>
      </c>
      <c r="D884" s="1">
        <v>560</v>
      </c>
    </row>
    <row r="885" spans="1:4" x14ac:dyDescent="0.25">
      <c r="A885" s="1" t="s">
        <v>105</v>
      </c>
      <c r="B885" s="59">
        <v>35704</v>
      </c>
      <c r="C885" s="57">
        <f>YEAR(表_查询来自_northwind3[[#This Row],[订购日期]])</f>
        <v>1997</v>
      </c>
      <c r="D885" s="1">
        <v>196</v>
      </c>
    </row>
    <row r="886" spans="1:4" x14ac:dyDescent="0.25">
      <c r="A886" s="1" t="s">
        <v>105</v>
      </c>
      <c r="B886" s="59">
        <v>35713</v>
      </c>
      <c r="C886" s="57">
        <f>YEAR(表_查询来自_northwind3[[#This Row],[订购日期]])</f>
        <v>1997</v>
      </c>
      <c r="D886" s="1">
        <v>134.39999949932098</v>
      </c>
    </row>
    <row r="887" spans="1:4" x14ac:dyDescent="0.25">
      <c r="A887" s="1" t="s">
        <v>105</v>
      </c>
      <c r="B887" s="59">
        <v>35761</v>
      </c>
      <c r="C887" s="57">
        <f>YEAR(表_查询来自_northwind3[[#This Row],[订购日期]])</f>
        <v>1997</v>
      </c>
      <c r="D887" s="1">
        <v>420</v>
      </c>
    </row>
    <row r="888" spans="1:4" x14ac:dyDescent="0.25">
      <c r="A888" s="1" t="s">
        <v>105</v>
      </c>
      <c r="B888" s="59">
        <v>35794</v>
      </c>
      <c r="C888" s="57">
        <f>YEAR(表_查询来自_northwind3[[#This Row],[订购日期]])</f>
        <v>1997</v>
      </c>
      <c r="D888" s="1">
        <v>140</v>
      </c>
    </row>
    <row r="889" spans="1:4" x14ac:dyDescent="0.25">
      <c r="A889" s="1" t="s">
        <v>105</v>
      </c>
      <c r="B889" s="59">
        <v>35842</v>
      </c>
      <c r="C889" s="57">
        <f>YEAR(表_查询来自_northwind3[[#This Row],[订购日期]])</f>
        <v>1998</v>
      </c>
      <c r="D889" s="1">
        <v>140</v>
      </c>
    </row>
    <row r="890" spans="1:4" x14ac:dyDescent="0.25">
      <c r="A890" s="1" t="s">
        <v>105</v>
      </c>
      <c r="B890" s="59">
        <v>35864</v>
      </c>
      <c r="C890" s="57">
        <f>YEAR(表_查询来自_northwind3[[#This Row],[订购日期]])</f>
        <v>1998</v>
      </c>
      <c r="D890" s="1">
        <v>280</v>
      </c>
    </row>
    <row r="891" spans="1:4" x14ac:dyDescent="0.25">
      <c r="A891" s="1" t="s">
        <v>105</v>
      </c>
      <c r="B891" s="59">
        <v>35886</v>
      </c>
      <c r="C891" s="57">
        <f>YEAR(表_查询来自_northwind3[[#This Row],[订购日期]])</f>
        <v>1998</v>
      </c>
      <c r="D891" s="1">
        <v>713.99999499320984</v>
      </c>
    </row>
    <row r="892" spans="1:4" x14ac:dyDescent="0.25">
      <c r="A892" s="1" t="s">
        <v>105</v>
      </c>
      <c r="B892" s="59">
        <v>35893</v>
      </c>
      <c r="C892" s="57">
        <f>YEAR(表_查询来自_northwind3[[#This Row],[订购日期]])</f>
        <v>1998</v>
      </c>
      <c r="D892" s="1">
        <v>1196.9999990612268</v>
      </c>
    </row>
    <row r="893" spans="1:4" x14ac:dyDescent="0.25">
      <c r="A893" s="1" t="s">
        <v>105</v>
      </c>
      <c r="B893" s="59">
        <v>35915</v>
      </c>
      <c r="C893" s="57">
        <f>YEAR(表_查询来自_northwind3[[#This Row],[订购日期]])</f>
        <v>1998</v>
      </c>
      <c r="D893" s="1">
        <v>420</v>
      </c>
    </row>
    <row r="894" spans="1:4" x14ac:dyDescent="0.25">
      <c r="A894" s="1" t="s">
        <v>105</v>
      </c>
      <c r="B894" s="59">
        <v>35916</v>
      </c>
      <c r="C894" s="57">
        <f>YEAR(表_查询来自_northwind3[[#This Row],[订购日期]])</f>
        <v>1998</v>
      </c>
      <c r="D894" s="1">
        <v>490</v>
      </c>
    </row>
    <row r="895" spans="1:4" x14ac:dyDescent="0.25">
      <c r="A895" s="1" t="s">
        <v>106</v>
      </c>
      <c r="B895" s="59">
        <v>35265</v>
      </c>
      <c r="C895" s="57">
        <f>YEAR(表_查询来自_northwind3[[#This Row],[订购日期]])</f>
        <v>1996</v>
      </c>
      <c r="D895" s="1">
        <v>288</v>
      </c>
    </row>
    <row r="896" spans="1:4" x14ac:dyDescent="0.25">
      <c r="A896" s="1" t="s">
        <v>106</v>
      </c>
      <c r="B896" s="59">
        <v>35291</v>
      </c>
      <c r="C896" s="57">
        <f>YEAR(表_查询来自_northwind3[[#This Row],[订购日期]])</f>
        <v>1996</v>
      </c>
      <c r="D896" s="1">
        <v>57.6</v>
      </c>
    </row>
    <row r="897" spans="1:4" x14ac:dyDescent="0.25">
      <c r="A897" s="1" t="s">
        <v>106</v>
      </c>
      <c r="B897" s="59">
        <v>35298</v>
      </c>
      <c r="C897" s="57">
        <f>YEAR(表_查询来自_northwind3[[#This Row],[订购日期]])</f>
        <v>1996</v>
      </c>
      <c r="D897" s="1">
        <v>1440</v>
      </c>
    </row>
    <row r="898" spans="1:4" x14ac:dyDescent="0.25">
      <c r="A898" s="1" t="s">
        <v>106</v>
      </c>
      <c r="B898" s="59">
        <v>35341</v>
      </c>
      <c r="C898" s="57">
        <f>YEAR(表_查询来自_northwind3[[#This Row],[订购日期]])</f>
        <v>1996</v>
      </c>
      <c r="D898" s="1">
        <v>144</v>
      </c>
    </row>
    <row r="899" spans="1:4" x14ac:dyDescent="0.25">
      <c r="A899" s="1" t="s">
        <v>106</v>
      </c>
      <c r="B899" s="59">
        <v>35346</v>
      </c>
      <c r="C899" s="57">
        <f>YEAR(表_查询来自_northwind3[[#This Row],[订购日期]])</f>
        <v>1996</v>
      </c>
      <c r="D899" s="1">
        <v>856.79999399185181</v>
      </c>
    </row>
    <row r="900" spans="1:4" x14ac:dyDescent="0.25">
      <c r="A900" s="1" t="s">
        <v>106</v>
      </c>
      <c r="B900" s="59">
        <v>35422</v>
      </c>
      <c r="C900" s="57">
        <f>YEAR(表_查询来自_northwind3[[#This Row],[订购日期]])</f>
        <v>1996</v>
      </c>
      <c r="D900" s="1">
        <v>518.39999914169312</v>
      </c>
    </row>
    <row r="901" spans="1:4" x14ac:dyDescent="0.25">
      <c r="A901" s="1" t="s">
        <v>106</v>
      </c>
      <c r="B901" s="59">
        <v>35429</v>
      </c>
      <c r="C901" s="57">
        <f>YEAR(表_查询来自_northwind3[[#This Row],[订购日期]])</f>
        <v>1996</v>
      </c>
      <c r="D901" s="1">
        <v>432</v>
      </c>
    </row>
    <row r="902" spans="1:4" x14ac:dyDescent="0.25">
      <c r="A902" s="1" t="s">
        <v>106</v>
      </c>
      <c r="B902" s="59">
        <v>35431</v>
      </c>
      <c r="C902" s="57">
        <f>YEAR(表_查询来自_northwind3[[#This Row],[订购日期]])</f>
        <v>1997</v>
      </c>
      <c r="D902" s="1">
        <v>504</v>
      </c>
    </row>
    <row r="903" spans="1:4" x14ac:dyDescent="0.25">
      <c r="A903" s="1" t="s">
        <v>106</v>
      </c>
      <c r="B903" s="59">
        <v>35453</v>
      </c>
      <c r="C903" s="57">
        <f>YEAR(表_查询来自_northwind3[[#This Row],[订购日期]])</f>
        <v>1997</v>
      </c>
      <c r="D903" s="1">
        <v>691.19999742507935</v>
      </c>
    </row>
    <row r="904" spans="1:4" x14ac:dyDescent="0.25">
      <c r="A904" s="1" t="s">
        <v>106</v>
      </c>
      <c r="B904" s="59">
        <v>35473</v>
      </c>
      <c r="C904" s="57">
        <f>YEAR(表_查询来自_northwind3[[#This Row],[订购日期]])</f>
        <v>1997</v>
      </c>
      <c r="D904" s="1">
        <v>115.2</v>
      </c>
    </row>
    <row r="905" spans="1:4" x14ac:dyDescent="0.25">
      <c r="A905" s="1" t="s">
        <v>106</v>
      </c>
      <c r="B905" s="59">
        <v>35549</v>
      </c>
      <c r="C905" s="57">
        <f>YEAR(表_查询来自_northwind3[[#This Row],[订购日期]])</f>
        <v>1997</v>
      </c>
      <c r="D905" s="1">
        <v>54</v>
      </c>
    </row>
    <row r="906" spans="1:4" x14ac:dyDescent="0.25">
      <c r="A906" s="1" t="s">
        <v>106</v>
      </c>
      <c r="B906" s="59">
        <v>35573</v>
      </c>
      <c r="C906" s="57">
        <f>YEAR(表_查询来自_northwind3[[#This Row],[订购日期]])</f>
        <v>1997</v>
      </c>
      <c r="D906" s="1">
        <v>540</v>
      </c>
    </row>
    <row r="907" spans="1:4" x14ac:dyDescent="0.25">
      <c r="A907" s="1" t="s">
        <v>106</v>
      </c>
      <c r="B907" s="59">
        <v>35578</v>
      </c>
      <c r="C907" s="57">
        <f>YEAR(表_查询来自_northwind3[[#This Row],[订购日期]])</f>
        <v>1997</v>
      </c>
      <c r="D907" s="1">
        <v>305.99999785423279</v>
      </c>
    </row>
    <row r="908" spans="1:4" x14ac:dyDescent="0.25">
      <c r="A908" s="1" t="s">
        <v>106</v>
      </c>
      <c r="B908" s="59">
        <v>35580</v>
      </c>
      <c r="C908" s="57">
        <f>YEAR(表_查询来自_northwind3[[#This Row],[订购日期]])</f>
        <v>1997</v>
      </c>
      <c r="D908" s="1">
        <v>108</v>
      </c>
    </row>
    <row r="909" spans="1:4" x14ac:dyDescent="0.25">
      <c r="A909" s="1" t="s">
        <v>106</v>
      </c>
      <c r="B909" s="59">
        <v>35605</v>
      </c>
      <c r="C909" s="57">
        <f>YEAR(表_查询来自_northwind3[[#This Row],[订购日期]])</f>
        <v>1997</v>
      </c>
      <c r="D909" s="1">
        <v>360</v>
      </c>
    </row>
    <row r="910" spans="1:4" x14ac:dyDescent="0.25">
      <c r="A910" s="1" t="s">
        <v>106</v>
      </c>
      <c r="B910" s="59">
        <v>35613</v>
      </c>
      <c r="C910" s="57">
        <f>YEAR(表_查询来自_northwind3[[#This Row],[订购日期]])</f>
        <v>1997</v>
      </c>
      <c r="D910" s="1">
        <v>360</v>
      </c>
    </row>
    <row r="911" spans="1:4" x14ac:dyDescent="0.25">
      <c r="A911" s="1" t="s">
        <v>106</v>
      </c>
      <c r="B911" s="59">
        <v>35615</v>
      </c>
      <c r="C911" s="57">
        <f>YEAR(表_查询来自_northwind3[[#This Row],[订购日期]])</f>
        <v>1997</v>
      </c>
      <c r="D911" s="1">
        <v>72</v>
      </c>
    </row>
    <row r="912" spans="1:4" x14ac:dyDescent="0.25">
      <c r="A912" s="1" t="s">
        <v>106</v>
      </c>
      <c r="B912" s="59">
        <v>35621</v>
      </c>
      <c r="C912" s="57">
        <f>YEAR(表_查询来自_northwind3[[#This Row],[订购日期]])</f>
        <v>1997</v>
      </c>
      <c r="D912" s="1">
        <v>405</v>
      </c>
    </row>
    <row r="913" spans="1:4" x14ac:dyDescent="0.25">
      <c r="A913" s="1" t="s">
        <v>106</v>
      </c>
      <c r="B913" s="59">
        <v>35649</v>
      </c>
      <c r="C913" s="57">
        <f>YEAR(表_查询来自_northwind3[[#This Row],[订购日期]])</f>
        <v>1997</v>
      </c>
      <c r="D913" s="1">
        <v>485.9999991953373</v>
      </c>
    </row>
    <row r="914" spans="1:4" x14ac:dyDescent="0.25">
      <c r="A914" s="1" t="s">
        <v>106</v>
      </c>
      <c r="B914" s="59">
        <v>35711</v>
      </c>
      <c r="C914" s="57">
        <f>YEAR(表_查询来自_northwind3[[#This Row],[订购日期]])</f>
        <v>1997</v>
      </c>
      <c r="D914" s="1">
        <v>121.5</v>
      </c>
    </row>
    <row r="915" spans="1:4" x14ac:dyDescent="0.25">
      <c r="A915" s="1" t="s">
        <v>106</v>
      </c>
      <c r="B915" s="59">
        <v>35731</v>
      </c>
      <c r="C915" s="57">
        <f>YEAR(表_查询来自_northwind3[[#This Row],[订购日期]])</f>
        <v>1997</v>
      </c>
      <c r="D915" s="1">
        <v>378</v>
      </c>
    </row>
    <row r="916" spans="1:4" x14ac:dyDescent="0.25">
      <c r="A916" s="1" t="s">
        <v>106</v>
      </c>
      <c r="B916" s="59">
        <v>35747</v>
      </c>
      <c r="C916" s="57">
        <f>YEAR(表_查询来自_northwind3[[#This Row],[订购日期]])</f>
        <v>1997</v>
      </c>
      <c r="D916" s="1">
        <v>503.99999812245369</v>
      </c>
    </row>
    <row r="917" spans="1:4" x14ac:dyDescent="0.25">
      <c r="A917" s="1" t="s">
        <v>106</v>
      </c>
      <c r="B917" s="59">
        <v>35786</v>
      </c>
      <c r="C917" s="57">
        <f>YEAR(表_查询来自_northwind3[[#This Row],[订购日期]])</f>
        <v>1997</v>
      </c>
      <c r="D917" s="1">
        <v>270</v>
      </c>
    </row>
    <row r="918" spans="1:4" x14ac:dyDescent="0.25">
      <c r="A918" s="1" t="s">
        <v>106</v>
      </c>
      <c r="B918" s="59">
        <v>35803</v>
      </c>
      <c r="C918" s="57">
        <f>YEAR(表_查询来自_northwind3[[#This Row],[订购日期]])</f>
        <v>1998</v>
      </c>
      <c r="D918" s="1">
        <v>360</v>
      </c>
    </row>
    <row r="919" spans="1:4" x14ac:dyDescent="0.25">
      <c r="A919" s="1" t="s">
        <v>106</v>
      </c>
      <c r="B919" s="59">
        <v>35809</v>
      </c>
      <c r="C919" s="57">
        <f>YEAR(表_查询来自_northwind3[[#This Row],[订购日期]])</f>
        <v>1998</v>
      </c>
      <c r="D919" s="1">
        <v>144</v>
      </c>
    </row>
    <row r="920" spans="1:4" x14ac:dyDescent="0.25">
      <c r="A920" s="1" t="s">
        <v>106</v>
      </c>
      <c r="B920" s="59">
        <v>35811</v>
      </c>
      <c r="C920" s="57">
        <f>YEAR(表_查询来自_northwind3[[#This Row],[订购日期]])</f>
        <v>1998</v>
      </c>
      <c r="D920" s="1">
        <v>108</v>
      </c>
    </row>
    <row r="921" spans="1:4" x14ac:dyDescent="0.25">
      <c r="A921" s="1" t="s">
        <v>106</v>
      </c>
      <c r="B921" s="59">
        <v>35816</v>
      </c>
      <c r="C921" s="57">
        <f>YEAR(表_查询来自_northwind3[[#This Row],[订购日期]])</f>
        <v>1998</v>
      </c>
      <c r="D921" s="1">
        <v>404.99999932944775</v>
      </c>
    </row>
    <row r="922" spans="1:4" x14ac:dyDescent="0.25">
      <c r="A922" s="1" t="s">
        <v>106</v>
      </c>
      <c r="B922" s="59">
        <v>35828</v>
      </c>
      <c r="C922" s="57">
        <f>YEAR(表_查询来自_northwind3[[#This Row],[订购日期]])</f>
        <v>1998</v>
      </c>
      <c r="D922" s="1">
        <v>72</v>
      </c>
    </row>
    <row r="923" spans="1:4" x14ac:dyDescent="0.25">
      <c r="A923" s="1" t="s">
        <v>106</v>
      </c>
      <c r="B923" s="59">
        <v>35830</v>
      </c>
      <c r="C923" s="57">
        <f>YEAR(表_查询来自_northwind3[[#This Row],[订购日期]])</f>
        <v>1998</v>
      </c>
      <c r="D923" s="1">
        <v>540</v>
      </c>
    </row>
    <row r="924" spans="1:4" x14ac:dyDescent="0.25">
      <c r="A924" s="1" t="s">
        <v>106</v>
      </c>
      <c r="B924" s="59">
        <v>35830</v>
      </c>
      <c r="C924" s="57">
        <f>YEAR(表_查询来自_northwind3[[#This Row],[订购日期]])</f>
        <v>1998</v>
      </c>
      <c r="D924" s="1">
        <v>54</v>
      </c>
    </row>
    <row r="925" spans="1:4" x14ac:dyDescent="0.25">
      <c r="A925" s="1" t="s">
        <v>106</v>
      </c>
      <c r="B925" s="59">
        <v>35857</v>
      </c>
      <c r="C925" s="57">
        <f>YEAR(表_查询来自_northwind3[[#This Row],[订购日期]])</f>
        <v>1998</v>
      </c>
      <c r="D925" s="1">
        <v>180</v>
      </c>
    </row>
    <row r="926" spans="1:4" x14ac:dyDescent="0.25">
      <c r="A926" s="1" t="s">
        <v>106</v>
      </c>
      <c r="B926" s="59">
        <v>35872</v>
      </c>
      <c r="C926" s="57">
        <f>YEAR(表_查询来自_northwind3[[#This Row],[订购日期]])</f>
        <v>1998</v>
      </c>
      <c r="D926" s="1">
        <v>720</v>
      </c>
    </row>
    <row r="927" spans="1:4" x14ac:dyDescent="0.25">
      <c r="A927" s="1" t="s">
        <v>106</v>
      </c>
      <c r="B927" s="59">
        <v>35891</v>
      </c>
      <c r="C927" s="57">
        <f>YEAR(表_查询来自_northwind3[[#This Row],[订购日期]])</f>
        <v>1998</v>
      </c>
      <c r="D927" s="1">
        <v>229.49999839067459</v>
      </c>
    </row>
    <row r="928" spans="1:4" x14ac:dyDescent="0.25">
      <c r="A928" s="1" t="s">
        <v>106</v>
      </c>
      <c r="B928" s="59">
        <v>35905</v>
      </c>
      <c r="C928" s="57">
        <f>YEAR(表_查询来自_northwind3[[#This Row],[订购日期]])</f>
        <v>1998</v>
      </c>
      <c r="D928" s="1">
        <v>1080</v>
      </c>
    </row>
    <row r="929" spans="1:4" x14ac:dyDescent="0.25">
      <c r="A929" s="1" t="s">
        <v>106</v>
      </c>
      <c r="B929" s="59">
        <v>35906</v>
      </c>
      <c r="C929" s="57">
        <f>YEAR(表_查询来自_northwind3[[#This Row],[订购日期]])</f>
        <v>1998</v>
      </c>
      <c r="D929" s="1">
        <v>432</v>
      </c>
    </row>
    <row r="930" spans="1:4" x14ac:dyDescent="0.25">
      <c r="A930" s="1" t="s">
        <v>106</v>
      </c>
      <c r="B930" s="59">
        <v>35908</v>
      </c>
      <c r="C930" s="57">
        <f>YEAR(表_查询来自_northwind3[[#This Row],[订购日期]])</f>
        <v>1998</v>
      </c>
      <c r="D930" s="1">
        <v>307.79999975860119</v>
      </c>
    </row>
    <row r="931" spans="1:4" x14ac:dyDescent="0.25">
      <c r="A931" s="1" t="s">
        <v>107</v>
      </c>
      <c r="B931" s="59">
        <v>35258</v>
      </c>
      <c r="C931" s="57">
        <f>YEAR(表_查询来自_northwind3[[#This Row],[订购日期]])</f>
        <v>1996</v>
      </c>
      <c r="D931" s="1">
        <v>380</v>
      </c>
    </row>
    <row r="932" spans="1:4" x14ac:dyDescent="0.25">
      <c r="A932" s="1" t="s">
        <v>107</v>
      </c>
      <c r="B932" s="59">
        <v>35278</v>
      </c>
      <c r="C932" s="57">
        <f>YEAR(表_查询来自_northwind3[[#This Row],[订购日期]])</f>
        <v>1996</v>
      </c>
      <c r="D932" s="1">
        <v>456</v>
      </c>
    </row>
    <row r="933" spans="1:4" x14ac:dyDescent="0.25">
      <c r="A933" s="1" t="s">
        <v>107</v>
      </c>
      <c r="B933" s="59">
        <v>35313</v>
      </c>
      <c r="C933" s="57">
        <f>YEAR(表_查询来自_northwind3[[#This Row],[订购日期]])</f>
        <v>1996</v>
      </c>
      <c r="D933" s="1">
        <v>456</v>
      </c>
    </row>
    <row r="934" spans="1:4" x14ac:dyDescent="0.25">
      <c r="A934" s="1" t="s">
        <v>107</v>
      </c>
      <c r="B934" s="59">
        <v>35332</v>
      </c>
      <c r="C934" s="57">
        <f>YEAR(表_查询来自_northwind3[[#This Row],[订购日期]])</f>
        <v>1996</v>
      </c>
      <c r="D934" s="1">
        <v>182.4</v>
      </c>
    </row>
    <row r="935" spans="1:4" x14ac:dyDescent="0.25">
      <c r="A935" s="1" t="s">
        <v>107</v>
      </c>
      <c r="B935" s="59">
        <v>35362</v>
      </c>
      <c r="C935" s="57">
        <f>YEAR(表_查询来自_northwind3[[#This Row],[订购日期]])</f>
        <v>1996</v>
      </c>
      <c r="D935" s="1">
        <v>304</v>
      </c>
    </row>
    <row r="936" spans="1:4" x14ac:dyDescent="0.25">
      <c r="A936" s="1" t="s">
        <v>107</v>
      </c>
      <c r="B936" s="59">
        <v>35368</v>
      </c>
      <c r="C936" s="57">
        <f>YEAR(表_查询来自_northwind3[[#This Row],[订购日期]])</f>
        <v>1996</v>
      </c>
      <c r="D936" s="1">
        <v>486.3999981880188</v>
      </c>
    </row>
    <row r="937" spans="1:4" x14ac:dyDescent="0.25">
      <c r="A937" s="1" t="s">
        <v>107</v>
      </c>
      <c r="B937" s="59">
        <v>35389</v>
      </c>
      <c r="C937" s="57">
        <f>YEAR(表_查询来自_northwind3[[#This Row],[订购日期]])</f>
        <v>1996</v>
      </c>
      <c r="D937" s="1">
        <v>288.79999977350235</v>
      </c>
    </row>
    <row r="938" spans="1:4" x14ac:dyDescent="0.25">
      <c r="A938" s="1" t="s">
        <v>107</v>
      </c>
      <c r="B938" s="59">
        <v>35402</v>
      </c>
      <c r="C938" s="57">
        <f>YEAR(表_查询来自_northwind3[[#This Row],[订购日期]])</f>
        <v>1996</v>
      </c>
      <c r="D938" s="1">
        <v>72.959999728202817</v>
      </c>
    </row>
    <row r="939" spans="1:4" x14ac:dyDescent="0.25">
      <c r="A939" s="1" t="s">
        <v>107</v>
      </c>
      <c r="B939" s="59">
        <v>35437</v>
      </c>
      <c r="C939" s="57">
        <f>YEAR(表_查询来自_northwind3[[#This Row],[订购日期]])</f>
        <v>1997</v>
      </c>
      <c r="D939" s="1">
        <v>68.399999886751175</v>
      </c>
    </row>
    <row r="940" spans="1:4" x14ac:dyDescent="0.25">
      <c r="A940" s="1" t="s">
        <v>107</v>
      </c>
      <c r="B940" s="59">
        <v>35552</v>
      </c>
      <c r="C940" s="57">
        <f>YEAR(表_查询来自_northwind3[[#This Row],[订购日期]])</f>
        <v>1997</v>
      </c>
      <c r="D940" s="1">
        <v>570</v>
      </c>
    </row>
    <row r="941" spans="1:4" x14ac:dyDescent="0.25">
      <c r="A941" s="1" t="s">
        <v>107</v>
      </c>
      <c r="B941" s="59">
        <v>35555</v>
      </c>
      <c r="C941" s="57">
        <f>YEAR(表_查询来自_northwind3[[#This Row],[订购日期]])</f>
        <v>1997</v>
      </c>
      <c r="D941" s="1">
        <v>512.99999915063381</v>
      </c>
    </row>
    <row r="942" spans="1:4" x14ac:dyDescent="0.25">
      <c r="A942" s="1" t="s">
        <v>107</v>
      </c>
      <c r="B942" s="59">
        <v>35573</v>
      </c>
      <c r="C942" s="57">
        <f>YEAR(表_查询来自_northwind3[[#This Row],[订购日期]])</f>
        <v>1997</v>
      </c>
      <c r="D942" s="1">
        <v>1140</v>
      </c>
    </row>
    <row r="943" spans="1:4" x14ac:dyDescent="0.25">
      <c r="A943" s="1" t="s">
        <v>107</v>
      </c>
      <c r="B943" s="59">
        <v>35591</v>
      </c>
      <c r="C943" s="57">
        <f>YEAR(表_查询来自_northwind3[[#This Row],[订购日期]])</f>
        <v>1997</v>
      </c>
      <c r="D943" s="1">
        <v>475</v>
      </c>
    </row>
    <row r="944" spans="1:4" x14ac:dyDescent="0.25">
      <c r="A944" s="1" t="s">
        <v>107</v>
      </c>
      <c r="B944" s="59">
        <v>35636</v>
      </c>
      <c r="C944" s="57">
        <f>YEAR(表_查询来自_northwind3[[#This Row],[订购日期]])</f>
        <v>1997</v>
      </c>
      <c r="D944" s="1">
        <v>299.25</v>
      </c>
    </row>
    <row r="945" spans="1:4" x14ac:dyDescent="0.25">
      <c r="A945" s="1" t="s">
        <v>107</v>
      </c>
      <c r="B945" s="59">
        <v>35639</v>
      </c>
      <c r="C945" s="57">
        <f>YEAR(表_查询来自_northwind3[[#This Row],[订购日期]])</f>
        <v>1997</v>
      </c>
      <c r="D945" s="1">
        <v>1045</v>
      </c>
    </row>
    <row r="946" spans="1:4" x14ac:dyDescent="0.25">
      <c r="A946" s="1" t="s">
        <v>107</v>
      </c>
      <c r="B946" s="59">
        <v>35668</v>
      </c>
      <c r="C946" s="57">
        <f>YEAR(表_查询来自_northwind3[[#This Row],[订购日期]])</f>
        <v>1997</v>
      </c>
      <c r="D946" s="1">
        <v>285</v>
      </c>
    </row>
    <row r="947" spans="1:4" x14ac:dyDescent="0.25">
      <c r="A947" s="1" t="s">
        <v>107</v>
      </c>
      <c r="B947" s="59">
        <v>35688</v>
      </c>
      <c r="C947" s="57">
        <f>YEAR(表_查询来自_northwind3[[#This Row],[订购日期]])</f>
        <v>1997</v>
      </c>
      <c r="D947" s="1">
        <v>570</v>
      </c>
    </row>
    <row r="948" spans="1:4" x14ac:dyDescent="0.25">
      <c r="A948" s="1" t="s">
        <v>107</v>
      </c>
      <c r="B948" s="59">
        <v>35703</v>
      </c>
      <c r="C948" s="57">
        <f>YEAR(表_查询来自_northwind3[[#This Row],[订购日期]])</f>
        <v>1997</v>
      </c>
      <c r="D948" s="1">
        <v>85.5</v>
      </c>
    </row>
    <row r="949" spans="1:4" x14ac:dyDescent="0.25">
      <c r="A949" s="1" t="s">
        <v>107</v>
      </c>
      <c r="B949" s="59">
        <v>35720</v>
      </c>
      <c r="C949" s="57">
        <f>YEAR(表_查询来自_northwind3[[#This Row],[订购日期]])</f>
        <v>1997</v>
      </c>
      <c r="D949" s="1">
        <v>95</v>
      </c>
    </row>
    <row r="950" spans="1:4" x14ac:dyDescent="0.25">
      <c r="A950" s="1" t="s">
        <v>107</v>
      </c>
      <c r="B950" s="59">
        <v>35730</v>
      </c>
      <c r="C950" s="57">
        <f>YEAR(表_查询来自_northwind3[[#This Row],[订购日期]])</f>
        <v>1997</v>
      </c>
      <c r="D950" s="1">
        <v>760</v>
      </c>
    </row>
    <row r="951" spans="1:4" x14ac:dyDescent="0.25">
      <c r="A951" s="1" t="s">
        <v>107</v>
      </c>
      <c r="B951" s="59">
        <v>35746</v>
      </c>
      <c r="C951" s="57">
        <f>YEAR(表_查询来自_northwind3[[#This Row],[订购日期]])</f>
        <v>1997</v>
      </c>
      <c r="D951" s="1">
        <v>114</v>
      </c>
    </row>
    <row r="952" spans="1:4" x14ac:dyDescent="0.25">
      <c r="A952" s="1" t="s">
        <v>107</v>
      </c>
      <c r="B952" s="59">
        <v>35761</v>
      </c>
      <c r="C952" s="57">
        <f>YEAR(表_查询来自_northwind3[[#This Row],[订购日期]])</f>
        <v>1997</v>
      </c>
      <c r="D952" s="1">
        <v>303.99999886751175</v>
      </c>
    </row>
    <row r="953" spans="1:4" x14ac:dyDescent="0.25">
      <c r="A953" s="1" t="s">
        <v>107</v>
      </c>
      <c r="B953" s="59">
        <v>35782</v>
      </c>
      <c r="C953" s="57">
        <f>YEAR(表_查询来自_northwind3[[#This Row],[订购日期]])</f>
        <v>1997</v>
      </c>
      <c r="D953" s="1">
        <v>570</v>
      </c>
    </row>
    <row r="954" spans="1:4" x14ac:dyDescent="0.25">
      <c r="A954" s="1" t="s">
        <v>107</v>
      </c>
      <c r="B954" s="59">
        <v>35814</v>
      </c>
      <c r="C954" s="57">
        <f>YEAR(表_查询来自_northwind3[[#This Row],[订购日期]])</f>
        <v>1998</v>
      </c>
      <c r="D954" s="1">
        <v>712.5</v>
      </c>
    </row>
    <row r="955" spans="1:4" x14ac:dyDescent="0.25">
      <c r="A955" s="1" t="s">
        <v>107</v>
      </c>
      <c r="B955" s="59">
        <v>35844</v>
      </c>
      <c r="C955" s="57">
        <f>YEAR(表_查询来自_northwind3[[#This Row],[订购日期]])</f>
        <v>1998</v>
      </c>
      <c r="D955" s="1">
        <v>380</v>
      </c>
    </row>
    <row r="956" spans="1:4" x14ac:dyDescent="0.25">
      <c r="A956" s="1" t="s">
        <v>107</v>
      </c>
      <c r="B956" s="59">
        <v>35858</v>
      </c>
      <c r="C956" s="57">
        <f>YEAR(表_查询来自_northwind3[[#This Row],[订购日期]])</f>
        <v>1998</v>
      </c>
      <c r="D956" s="1">
        <v>403.74999716877937</v>
      </c>
    </row>
    <row r="957" spans="1:4" x14ac:dyDescent="0.25">
      <c r="A957" s="1" t="s">
        <v>107</v>
      </c>
      <c r="B957" s="59">
        <v>35863</v>
      </c>
      <c r="C957" s="57">
        <f>YEAR(表_查询来自_northwind3[[#This Row],[订购日期]])</f>
        <v>1998</v>
      </c>
      <c r="D957" s="1">
        <v>455.99999830126762</v>
      </c>
    </row>
    <row r="958" spans="1:4" x14ac:dyDescent="0.25">
      <c r="A958" s="1" t="s">
        <v>107</v>
      </c>
      <c r="B958" s="59">
        <v>35884</v>
      </c>
      <c r="C958" s="57">
        <f>YEAR(表_查询来自_northwind3[[#This Row],[订购日期]])</f>
        <v>1998</v>
      </c>
      <c r="D958" s="1">
        <v>760</v>
      </c>
    </row>
    <row r="959" spans="1:4" x14ac:dyDescent="0.25">
      <c r="A959" s="1" t="s">
        <v>107</v>
      </c>
      <c r="B959" s="59">
        <v>35893</v>
      </c>
      <c r="C959" s="57">
        <f>YEAR(表_查询来自_northwind3[[#This Row],[订购日期]])</f>
        <v>1998</v>
      </c>
      <c r="D959" s="1">
        <v>256.5</v>
      </c>
    </row>
    <row r="960" spans="1:4" x14ac:dyDescent="0.25">
      <c r="A960" s="1" t="s">
        <v>107</v>
      </c>
      <c r="B960" s="59">
        <v>35895</v>
      </c>
      <c r="C960" s="57">
        <f>YEAR(表_查询来自_northwind3[[#This Row],[订购日期]])</f>
        <v>1998</v>
      </c>
      <c r="D960" s="1">
        <v>304</v>
      </c>
    </row>
    <row r="961" spans="1:4" x14ac:dyDescent="0.25">
      <c r="A961" s="1" t="s">
        <v>107</v>
      </c>
      <c r="B961" s="59">
        <v>35902</v>
      </c>
      <c r="C961" s="57">
        <f>YEAR(表_查询来自_northwind3[[#This Row],[订购日期]])</f>
        <v>1998</v>
      </c>
      <c r="D961" s="1">
        <v>665</v>
      </c>
    </row>
    <row r="962" spans="1:4" x14ac:dyDescent="0.25">
      <c r="A962" s="1" t="s">
        <v>108</v>
      </c>
      <c r="B962" s="59">
        <v>35264</v>
      </c>
      <c r="C962" s="57">
        <f>YEAR(表_查询来自_northwind3[[#This Row],[订购日期]])</f>
        <v>1996</v>
      </c>
      <c r="D962" s="1">
        <v>20.8</v>
      </c>
    </row>
    <row r="963" spans="1:4" x14ac:dyDescent="0.25">
      <c r="A963" s="1" t="s">
        <v>108</v>
      </c>
      <c r="B963" s="59">
        <v>35362</v>
      </c>
      <c r="C963" s="57">
        <f>YEAR(表_查询来自_northwind3[[#This Row],[订购日期]])</f>
        <v>1996</v>
      </c>
      <c r="D963" s="1">
        <v>582.4</v>
      </c>
    </row>
    <row r="964" spans="1:4" x14ac:dyDescent="0.25">
      <c r="A964" s="1" t="s">
        <v>108</v>
      </c>
      <c r="B964" s="59">
        <v>35438</v>
      </c>
      <c r="C964" s="57">
        <f>YEAR(表_查询来自_northwind3[[#This Row],[订购日期]])</f>
        <v>1997</v>
      </c>
      <c r="D964" s="1">
        <v>208</v>
      </c>
    </row>
    <row r="965" spans="1:4" x14ac:dyDescent="0.25">
      <c r="A965" s="1" t="s">
        <v>108</v>
      </c>
      <c r="B965" s="59">
        <v>35551</v>
      </c>
      <c r="C965" s="57">
        <f>YEAR(表_查询来自_northwind3[[#This Row],[订购日期]])</f>
        <v>1997</v>
      </c>
      <c r="D965" s="1">
        <v>421.19999930262566</v>
      </c>
    </row>
    <row r="966" spans="1:4" x14ac:dyDescent="0.25">
      <c r="A966" s="1" t="s">
        <v>108</v>
      </c>
      <c r="B966" s="59">
        <v>35817</v>
      </c>
      <c r="C966" s="57">
        <f>YEAR(表_查询来自_northwind3[[#This Row],[订购日期]])</f>
        <v>1998</v>
      </c>
      <c r="D966" s="1">
        <v>1247.9999953508377</v>
      </c>
    </row>
    <row r="967" spans="1:4" x14ac:dyDescent="0.25">
      <c r="A967" s="1" t="s">
        <v>108</v>
      </c>
      <c r="B967" s="59">
        <v>35874</v>
      </c>
      <c r="C967" s="57">
        <f>YEAR(表_查询来自_northwind3[[#This Row],[订购日期]])</f>
        <v>1998</v>
      </c>
      <c r="D967" s="1">
        <v>208</v>
      </c>
    </row>
    <row r="968" spans="1:4" x14ac:dyDescent="0.25">
      <c r="A968" s="1" t="s">
        <v>109</v>
      </c>
      <c r="B968" s="59">
        <v>35353</v>
      </c>
      <c r="C968" s="57">
        <f>YEAR(表_查询来自_northwind3[[#This Row],[订购日期]])</f>
        <v>1996</v>
      </c>
      <c r="D968" s="1">
        <v>4005.1999968588352</v>
      </c>
    </row>
    <row r="969" spans="1:4" x14ac:dyDescent="0.25">
      <c r="A969" s="1" t="s">
        <v>109</v>
      </c>
      <c r="B969" s="59">
        <v>35380</v>
      </c>
      <c r="C969" s="57">
        <f>YEAR(表_查询来自_northwind3[[#This Row],[订购日期]])</f>
        <v>1996</v>
      </c>
      <c r="D969" s="1">
        <v>4005.1999968588352</v>
      </c>
    </row>
    <row r="970" spans="1:4" x14ac:dyDescent="0.25">
      <c r="A970" s="1" t="s">
        <v>109</v>
      </c>
      <c r="B970" s="59">
        <v>35382</v>
      </c>
      <c r="C970" s="57">
        <f>YEAR(表_查询来自_northwind3[[#This Row],[订购日期]])</f>
        <v>1996</v>
      </c>
      <c r="D970" s="1">
        <v>8431.9999685883522</v>
      </c>
    </row>
    <row r="971" spans="1:4" x14ac:dyDescent="0.25">
      <c r="A971" s="1" t="s">
        <v>109</v>
      </c>
      <c r="B971" s="59">
        <v>35391</v>
      </c>
      <c r="C971" s="57">
        <f>YEAR(表_查询来自_northwind3[[#This Row],[订购日期]])</f>
        <v>1996</v>
      </c>
      <c r="D971" s="1">
        <v>2108</v>
      </c>
    </row>
    <row r="972" spans="1:4" x14ac:dyDescent="0.25">
      <c r="A972" s="1" t="s">
        <v>109</v>
      </c>
      <c r="B972" s="59">
        <v>35403</v>
      </c>
      <c r="C972" s="57">
        <f>YEAR(表_查询来自_northwind3[[#This Row],[订购日期]])</f>
        <v>1996</v>
      </c>
      <c r="D972" s="1">
        <v>6324</v>
      </c>
    </row>
    <row r="973" spans="1:4" x14ac:dyDescent="0.25">
      <c r="A973" s="1" t="s">
        <v>109</v>
      </c>
      <c r="B973" s="59">
        <v>35446</v>
      </c>
      <c r="C973" s="57">
        <f>YEAR(表_查询来自_northwind3[[#This Row],[订购日期]])</f>
        <v>1997</v>
      </c>
      <c r="D973" s="1">
        <v>10540</v>
      </c>
    </row>
    <row r="974" spans="1:4" x14ac:dyDescent="0.25">
      <c r="A974" s="1" t="s">
        <v>109</v>
      </c>
      <c r="B974" s="59">
        <v>35453</v>
      </c>
      <c r="C974" s="57">
        <f>YEAR(表_查询来自_northwind3[[#This Row],[订购日期]])</f>
        <v>1997</v>
      </c>
      <c r="D974" s="1">
        <v>8263.3599692165863</v>
      </c>
    </row>
    <row r="975" spans="1:4" x14ac:dyDescent="0.25">
      <c r="A975" s="1" t="s">
        <v>109</v>
      </c>
      <c r="B975" s="59">
        <v>35508</v>
      </c>
      <c r="C975" s="57">
        <f>YEAR(表_查询来自_northwind3[[#This Row],[订购日期]])</f>
        <v>1997</v>
      </c>
      <c r="D975" s="1">
        <v>6324</v>
      </c>
    </row>
    <row r="976" spans="1:4" x14ac:dyDescent="0.25">
      <c r="A976" s="1" t="s">
        <v>109</v>
      </c>
      <c r="B976" s="59">
        <v>35545</v>
      </c>
      <c r="C976" s="57">
        <f>YEAR(表_查询来自_northwind3[[#This Row],[订购日期]])</f>
        <v>1997</v>
      </c>
      <c r="D976" s="1">
        <v>3952.5</v>
      </c>
    </row>
    <row r="977" spans="1:4" x14ac:dyDescent="0.25">
      <c r="A977" s="1" t="s">
        <v>109</v>
      </c>
      <c r="B977" s="59">
        <v>35569</v>
      </c>
      <c r="C977" s="57">
        <f>YEAR(表_查询来自_northwind3[[#This Row],[订购日期]])</f>
        <v>1997</v>
      </c>
      <c r="D977" s="1">
        <v>7905</v>
      </c>
    </row>
    <row r="978" spans="1:4" x14ac:dyDescent="0.25">
      <c r="A978" s="1" t="s">
        <v>109</v>
      </c>
      <c r="B978" s="59">
        <v>35569</v>
      </c>
      <c r="C978" s="57">
        <f>YEAR(表_查询来自_northwind3[[#This Row],[订购日期]])</f>
        <v>1997</v>
      </c>
      <c r="D978" s="1">
        <v>948.59999842941761</v>
      </c>
    </row>
    <row r="979" spans="1:4" x14ac:dyDescent="0.25">
      <c r="A979" s="1" t="s">
        <v>109</v>
      </c>
      <c r="B979" s="59">
        <v>35642</v>
      </c>
      <c r="C979" s="57">
        <f>YEAR(表_查询来自_northwind3[[#This Row],[订购日期]])</f>
        <v>1997</v>
      </c>
      <c r="D979" s="1">
        <v>3754.874997055158</v>
      </c>
    </row>
    <row r="980" spans="1:4" x14ac:dyDescent="0.25">
      <c r="A980" s="1" t="s">
        <v>109</v>
      </c>
      <c r="B980" s="59">
        <v>35690</v>
      </c>
      <c r="C980" s="57">
        <f>YEAR(表_查询来自_northwind3[[#This Row],[订购日期]])</f>
        <v>1997</v>
      </c>
      <c r="D980" s="1">
        <v>3557.249994110316</v>
      </c>
    </row>
    <row r="981" spans="1:4" x14ac:dyDescent="0.25">
      <c r="A981" s="1" t="s">
        <v>109</v>
      </c>
      <c r="B981" s="59">
        <v>35782</v>
      </c>
      <c r="C981" s="57">
        <f>YEAR(表_查询来自_northwind3[[#This Row],[订购日期]])</f>
        <v>1997</v>
      </c>
      <c r="D981" s="1">
        <v>1317.5</v>
      </c>
    </row>
    <row r="982" spans="1:4" x14ac:dyDescent="0.25">
      <c r="A982" s="1" t="s">
        <v>109</v>
      </c>
      <c r="B982" s="59">
        <v>35794</v>
      </c>
      <c r="C982" s="57">
        <f>YEAR(表_查询来自_northwind3[[#This Row],[订购日期]])</f>
        <v>1997</v>
      </c>
      <c r="D982" s="1">
        <v>2635</v>
      </c>
    </row>
    <row r="983" spans="1:4" x14ac:dyDescent="0.25">
      <c r="A983" s="1" t="s">
        <v>109</v>
      </c>
      <c r="B983" s="59">
        <v>35801</v>
      </c>
      <c r="C983" s="57">
        <f>YEAR(表_查询来自_northwind3[[#This Row],[订购日期]])</f>
        <v>1998</v>
      </c>
      <c r="D983" s="1">
        <v>7509.749994110316</v>
      </c>
    </row>
    <row r="984" spans="1:4" x14ac:dyDescent="0.25">
      <c r="A984" s="1" t="s">
        <v>109</v>
      </c>
      <c r="B984" s="59">
        <v>35801</v>
      </c>
      <c r="C984" s="57">
        <f>YEAR(表_查询来自_northwind3[[#This Row],[订购日期]])</f>
        <v>1998</v>
      </c>
      <c r="D984" s="1">
        <v>7905</v>
      </c>
    </row>
    <row r="985" spans="1:4" x14ac:dyDescent="0.25">
      <c r="A985" s="1" t="s">
        <v>109</v>
      </c>
      <c r="B985" s="59">
        <v>35808</v>
      </c>
      <c r="C985" s="57">
        <f>YEAR(表_查询来自_northwind3[[#This Row],[订购日期]])</f>
        <v>1998</v>
      </c>
      <c r="D985" s="1">
        <v>527</v>
      </c>
    </row>
    <row r="986" spans="1:4" x14ac:dyDescent="0.25">
      <c r="A986" s="1" t="s">
        <v>109</v>
      </c>
      <c r="B986" s="59">
        <v>35809</v>
      </c>
      <c r="C986" s="57">
        <f>YEAR(表_查询来自_northwind3[[#This Row],[订购日期]])</f>
        <v>1998</v>
      </c>
      <c r="D986" s="1">
        <v>2108</v>
      </c>
    </row>
    <row r="987" spans="1:4" x14ac:dyDescent="0.25">
      <c r="A987" s="1" t="s">
        <v>109</v>
      </c>
      <c r="B987" s="59">
        <v>35828</v>
      </c>
      <c r="C987" s="57">
        <f>YEAR(表_查询来自_northwind3[[#This Row],[订购日期]])</f>
        <v>1998</v>
      </c>
      <c r="D987" s="1">
        <v>15019.499988220632</v>
      </c>
    </row>
    <row r="988" spans="1:4" x14ac:dyDescent="0.25">
      <c r="A988" s="1" t="s">
        <v>109</v>
      </c>
      <c r="B988" s="59">
        <v>35842</v>
      </c>
      <c r="C988" s="57">
        <f>YEAR(表_查询来自_northwind3[[#This Row],[订购日期]])</f>
        <v>1998</v>
      </c>
      <c r="D988" s="1">
        <v>10540</v>
      </c>
    </row>
    <row r="989" spans="1:4" x14ac:dyDescent="0.25">
      <c r="A989" s="1" t="s">
        <v>109</v>
      </c>
      <c r="B989" s="59">
        <v>35874</v>
      </c>
      <c r="C989" s="57">
        <f>YEAR(表_查询来自_northwind3[[#This Row],[订购日期]])</f>
        <v>1998</v>
      </c>
      <c r="D989" s="1">
        <v>1317.5</v>
      </c>
    </row>
    <row r="990" spans="1:4" x14ac:dyDescent="0.25">
      <c r="A990" s="1" t="s">
        <v>109</v>
      </c>
      <c r="B990" s="59">
        <v>35881</v>
      </c>
      <c r="C990" s="57">
        <f>YEAR(表_查询来自_northwind3[[#This Row],[订购日期]])</f>
        <v>1998</v>
      </c>
      <c r="D990" s="1">
        <v>15810</v>
      </c>
    </row>
    <row r="991" spans="1:4" x14ac:dyDescent="0.25">
      <c r="A991" s="1" t="s">
        <v>109</v>
      </c>
      <c r="B991" s="59">
        <v>35902</v>
      </c>
      <c r="C991" s="57">
        <f>YEAR(表_查询来自_northwind3[[#This Row],[订购日期]])</f>
        <v>1998</v>
      </c>
      <c r="D991" s="1">
        <v>6587.5</v>
      </c>
    </row>
    <row r="992" spans="1:4" x14ac:dyDescent="0.25">
      <c r="A992" s="1" t="s">
        <v>110</v>
      </c>
      <c r="B992" s="59">
        <v>35256</v>
      </c>
      <c r="C992" s="57">
        <f>YEAR(表_查询来自_northwind3[[#This Row],[订购日期]])</f>
        <v>1996</v>
      </c>
      <c r="D992" s="1">
        <v>604.79999999999995</v>
      </c>
    </row>
    <row r="993" spans="1:4" x14ac:dyDescent="0.25">
      <c r="A993" s="1" t="s">
        <v>110</v>
      </c>
      <c r="B993" s="59">
        <v>35262</v>
      </c>
      <c r="C993" s="57">
        <f>YEAR(表_查询来自_northwind3[[#This Row],[订购日期]])</f>
        <v>1996</v>
      </c>
      <c r="D993" s="1">
        <v>86.4</v>
      </c>
    </row>
    <row r="994" spans="1:4" x14ac:dyDescent="0.25">
      <c r="A994" s="1" t="s">
        <v>110</v>
      </c>
      <c r="B994" s="59">
        <v>35312</v>
      </c>
      <c r="C994" s="57">
        <f>YEAR(表_查询来自_northwind3[[#This Row],[订购日期]])</f>
        <v>1996</v>
      </c>
      <c r="D994" s="1">
        <v>864</v>
      </c>
    </row>
    <row r="995" spans="1:4" x14ac:dyDescent="0.25">
      <c r="A995" s="1" t="s">
        <v>110</v>
      </c>
      <c r="B995" s="59">
        <v>35321</v>
      </c>
      <c r="C995" s="57">
        <f>YEAR(表_查询来自_northwind3[[#This Row],[订购日期]])</f>
        <v>1996</v>
      </c>
      <c r="D995" s="1">
        <v>388.79999935626984</v>
      </c>
    </row>
    <row r="996" spans="1:4" x14ac:dyDescent="0.25">
      <c r="A996" s="1" t="s">
        <v>110</v>
      </c>
      <c r="B996" s="59">
        <v>35345</v>
      </c>
      <c r="C996" s="57">
        <f>YEAR(表_查询来自_northwind3[[#This Row],[订购日期]])</f>
        <v>1996</v>
      </c>
      <c r="D996" s="1">
        <v>57.6</v>
      </c>
    </row>
    <row r="997" spans="1:4" x14ac:dyDescent="0.25">
      <c r="A997" s="1" t="s">
        <v>110</v>
      </c>
      <c r="B997" s="59">
        <v>35375</v>
      </c>
      <c r="C997" s="57">
        <f>YEAR(表_查询来自_northwind3[[#This Row],[订购日期]])</f>
        <v>1996</v>
      </c>
      <c r="D997" s="1">
        <v>611.99999570846558</v>
      </c>
    </row>
    <row r="998" spans="1:4" x14ac:dyDescent="0.25">
      <c r="A998" s="1" t="s">
        <v>110</v>
      </c>
      <c r="B998" s="59">
        <v>35391</v>
      </c>
      <c r="C998" s="57">
        <f>YEAR(表_查询来自_northwind3[[#This Row],[订购日期]])</f>
        <v>1996</v>
      </c>
      <c r="D998" s="1">
        <v>699.83999884128571</v>
      </c>
    </row>
    <row r="999" spans="1:4" x14ac:dyDescent="0.25">
      <c r="A999" s="1" t="s">
        <v>110</v>
      </c>
      <c r="B999" s="59">
        <v>35408</v>
      </c>
      <c r="C999" s="57">
        <f>YEAR(表_查询来自_northwind3[[#This Row],[订购日期]])</f>
        <v>1996</v>
      </c>
      <c r="D999" s="1">
        <v>244.79999828338623</v>
      </c>
    </row>
    <row r="1000" spans="1:4" x14ac:dyDescent="0.25">
      <c r="A1000" s="1" t="s">
        <v>110</v>
      </c>
      <c r="B1000" s="59">
        <v>35474</v>
      </c>
      <c r="C1000" s="57">
        <f>YEAR(表_查询来自_northwind3[[#This Row],[订购日期]])</f>
        <v>1997</v>
      </c>
      <c r="D1000" s="1">
        <v>86.4</v>
      </c>
    </row>
    <row r="1001" spans="1:4" x14ac:dyDescent="0.25">
      <c r="A1001" s="1" t="s">
        <v>110</v>
      </c>
      <c r="B1001" s="59">
        <v>35485</v>
      </c>
      <c r="C1001" s="57">
        <f>YEAR(表_查询来自_northwind3[[#This Row],[订购日期]])</f>
        <v>1997</v>
      </c>
      <c r="D1001" s="1">
        <v>288</v>
      </c>
    </row>
    <row r="1002" spans="1:4" x14ac:dyDescent="0.25">
      <c r="A1002" s="1" t="s">
        <v>110</v>
      </c>
      <c r="B1002" s="59">
        <v>35506</v>
      </c>
      <c r="C1002" s="57">
        <f>YEAR(表_查询来自_northwind3[[#This Row],[订购日期]])</f>
        <v>1997</v>
      </c>
      <c r="D1002" s="1">
        <v>216</v>
      </c>
    </row>
    <row r="1003" spans="1:4" x14ac:dyDescent="0.25">
      <c r="A1003" s="1" t="s">
        <v>110</v>
      </c>
      <c r="B1003" s="59">
        <v>35536</v>
      </c>
      <c r="C1003" s="57">
        <f>YEAR(表_查询来自_northwind3[[#This Row],[订购日期]])</f>
        <v>1997</v>
      </c>
      <c r="D1003" s="1">
        <v>180</v>
      </c>
    </row>
    <row r="1004" spans="1:4" x14ac:dyDescent="0.25">
      <c r="A1004" s="1" t="s">
        <v>110</v>
      </c>
      <c r="B1004" s="59">
        <v>35604</v>
      </c>
      <c r="C1004" s="57">
        <f>YEAR(表_查询来自_northwind3[[#This Row],[订购日期]])</f>
        <v>1997</v>
      </c>
      <c r="D1004" s="1">
        <v>180</v>
      </c>
    </row>
    <row r="1005" spans="1:4" x14ac:dyDescent="0.25">
      <c r="A1005" s="1" t="s">
        <v>110</v>
      </c>
      <c r="B1005" s="59">
        <v>35640</v>
      </c>
      <c r="C1005" s="57">
        <f>YEAR(表_查询来自_northwind3[[#This Row],[订购日期]])</f>
        <v>1997</v>
      </c>
      <c r="D1005" s="1">
        <v>90</v>
      </c>
    </row>
    <row r="1006" spans="1:4" x14ac:dyDescent="0.25">
      <c r="A1006" s="1" t="s">
        <v>110</v>
      </c>
      <c r="B1006" s="59">
        <v>35667</v>
      </c>
      <c r="C1006" s="57">
        <f>YEAR(表_查询来自_northwind3[[#This Row],[订购日期]])</f>
        <v>1997</v>
      </c>
      <c r="D1006" s="1">
        <v>283.5</v>
      </c>
    </row>
    <row r="1007" spans="1:4" x14ac:dyDescent="0.25">
      <c r="A1007" s="1" t="s">
        <v>110</v>
      </c>
      <c r="B1007" s="59">
        <v>35669</v>
      </c>
      <c r="C1007" s="57">
        <f>YEAR(表_查询来自_northwind3[[#This Row],[订购日期]])</f>
        <v>1997</v>
      </c>
      <c r="D1007" s="1">
        <v>360</v>
      </c>
    </row>
    <row r="1008" spans="1:4" x14ac:dyDescent="0.25">
      <c r="A1008" s="1" t="s">
        <v>110</v>
      </c>
      <c r="B1008" s="59">
        <v>35675</v>
      </c>
      <c r="C1008" s="57">
        <f>YEAR(表_查询来自_northwind3[[#This Row],[订购日期]])</f>
        <v>1997</v>
      </c>
      <c r="D1008" s="1">
        <v>323.9999994635582</v>
      </c>
    </row>
    <row r="1009" spans="1:4" x14ac:dyDescent="0.25">
      <c r="A1009" s="1" t="s">
        <v>110</v>
      </c>
      <c r="B1009" s="59">
        <v>35682</v>
      </c>
      <c r="C1009" s="57">
        <f>YEAR(表_查询来自_northwind3[[#This Row],[订购日期]])</f>
        <v>1997</v>
      </c>
      <c r="D1009" s="1">
        <v>43.199999839067459</v>
      </c>
    </row>
    <row r="1010" spans="1:4" x14ac:dyDescent="0.25">
      <c r="A1010" s="1" t="s">
        <v>110</v>
      </c>
      <c r="B1010" s="59">
        <v>35766</v>
      </c>
      <c r="C1010" s="57">
        <f>YEAR(表_查询来自_northwind3[[#This Row],[订购日期]])</f>
        <v>1997</v>
      </c>
      <c r="D1010" s="1">
        <v>288</v>
      </c>
    </row>
    <row r="1011" spans="1:4" x14ac:dyDescent="0.25">
      <c r="A1011" s="1" t="s">
        <v>110</v>
      </c>
      <c r="B1011" s="59">
        <v>35767</v>
      </c>
      <c r="C1011" s="57">
        <f>YEAR(表_查询来自_northwind3[[#This Row],[订购日期]])</f>
        <v>1997</v>
      </c>
      <c r="D1011" s="1">
        <v>2105.9999965131283</v>
      </c>
    </row>
    <row r="1012" spans="1:4" x14ac:dyDescent="0.25">
      <c r="A1012" s="1" t="s">
        <v>110</v>
      </c>
      <c r="B1012" s="59">
        <v>35782</v>
      </c>
      <c r="C1012" s="57">
        <f>YEAR(表_查询来自_northwind3[[#This Row],[订购日期]])</f>
        <v>1997</v>
      </c>
      <c r="D1012" s="1">
        <v>30.599999785423279</v>
      </c>
    </row>
    <row r="1013" spans="1:4" x14ac:dyDescent="0.25">
      <c r="A1013" s="1" t="s">
        <v>110</v>
      </c>
      <c r="B1013" s="59">
        <v>35807</v>
      </c>
      <c r="C1013" s="57">
        <f>YEAR(表_查询来自_northwind3[[#This Row],[订购日期]])</f>
        <v>1998</v>
      </c>
      <c r="D1013" s="1">
        <v>378</v>
      </c>
    </row>
    <row r="1014" spans="1:4" x14ac:dyDescent="0.25">
      <c r="A1014" s="1" t="s">
        <v>110</v>
      </c>
      <c r="B1014" s="59">
        <v>35808</v>
      </c>
      <c r="C1014" s="57">
        <f>YEAR(表_查询来自_northwind3[[#This Row],[订购日期]])</f>
        <v>1998</v>
      </c>
      <c r="D1014" s="1">
        <v>504</v>
      </c>
    </row>
    <row r="1015" spans="1:4" x14ac:dyDescent="0.25">
      <c r="A1015" s="1" t="s">
        <v>110</v>
      </c>
      <c r="B1015" s="59">
        <v>35814</v>
      </c>
      <c r="C1015" s="57">
        <f>YEAR(表_查询来自_northwind3[[#This Row],[订购日期]])</f>
        <v>1998</v>
      </c>
      <c r="D1015" s="1">
        <v>143.9999994635582</v>
      </c>
    </row>
    <row r="1016" spans="1:4" x14ac:dyDescent="0.25">
      <c r="A1016" s="1" t="s">
        <v>110</v>
      </c>
      <c r="B1016" s="59">
        <v>35828</v>
      </c>
      <c r="C1016" s="57">
        <f>YEAR(表_查询来自_northwind3[[#This Row],[订购日期]])</f>
        <v>1998</v>
      </c>
      <c r="D1016" s="1">
        <v>1367.9999989271164</v>
      </c>
    </row>
    <row r="1017" spans="1:4" x14ac:dyDescent="0.25">
      <c r="A1017" s="1" t="s">
        <v>110</v>
      </c>
      <c r="B1017" s="59">
        <v>35844</v>
      </c>
      <c r="C1017" s="57">
        <f>YEAR(表_查询来自_northwind3[[#This Row],[订购日期]])</f>
        <v>1998</v>
      </c>
      <c r="D1017" s="1">
        <v>810</v>
      </c>
    </row>
    <row r="1018" spans="1:4" x14ac:dyDescent="0.25">
      <c r="A1018" s="1" t="s">
        <v>110</v>
      </c>
      <c r="B1018" s="59">
        <v>35846</v>
      </c>
      <c r="C1018" s="57">
        <f>YEAR(表_查询来自_northwind3[[#This Row],[订购日期]])</f>
        <v>1998</v>
      </c>
      <c r="D1018" s="1">
        <v>122.39999914169312</v>
      </c>
    </row>
    <row r="1019" spans="1:4" x14ac:dyDescent="0.25">
      <c r="A1019" s="1" t="s">
        <v>110</v>
      </c>
      <c r="B1019" s="59">
        <v>35880</v>
      </c>
      <c r="C1019" s="57">
        <f>YEAR(表_查询来自_northwind3[[#This Row],[订购日期]])</f>
        <v>1998</v>
      </c>
      <c r="D1019" s="1">
        <v>540</v>
      </c>
    </row>
    <row r="1020" spans="1:4" x14ac:dyDescent="0.25">
      <c r="A1020" s="1" t="s">
        <v>110</v>
      </c>
      <c r="B1020" s="59">
        <v>35919</v>
      </c>
      <c r="C1020" s="57">
        <f>YEAR(表_查询来自_northwind3[[#This Row],[订购日期]])</f>
        <v>1998</v>
      </c>
      <c r="D1020" s="1">
        <v>360</v>
      </c>
    </row>
    <row r="1021" spans="1:4" x14ac:dyDescent="0.25">
      <c r="A1021" s="1" t="s">
        <v>110</v>
      </c>
      <c r="B1021" s="59">
        <v>35921</v>
      </c>
      <c r="C1021" s="57">
        <f>YEAR(表_查询来自_northwind3[[#This Row],[订购日期]])</f>
        <v>1998</v>
      </c>
      <c r="D1021" s="1">
        <v>34.19999997317791</v>
      </c>
    </row>
    <row r="1022" spans="1:4" x14ac:dyDescent="0.25">
      <c r="A1022" s="1" t="s">
        <v>111</v>
      </c>
      <c r="B1022" s="59">
        <v>35275</v>
      </c>
      <c r="C1022" s="57">
        <f>YEAR(表_查询来自_northwind3[[#This Row],[订购日期]])</f>
        <v>1996</v>
      </c>
      <c r="D1022" s="1">
        <v>735</v>
      </c>
    </row>
    <row r="1023" spans="1:4" x14ac:dyDescent="0.25">
      <c r="A1023" s="1" t="s">
        <v>111</v>
      </c>
      <c r="B1023" s="59">
        <v>35282</v>
      </c>
      <c r="C1023" s="57">
        <f>YEAR(表_查询来自_northwind3[[#This Row],[订购日期]])</f>
        <v>1996</v>
      </c>
      <c r="D1023" s="1">
        <v>837.89999934285879</v>
      </c>
    </row>
    <row r="1024" spans="1:4" x14ac:dyDescent="0.25">
      <c r="A1024" s="1" t="s">
        <v>111</v>
      </c>
      <c r="B1024" s="59">
        <v>35297</v>
      </c>
      <c r="C1024" s="57">
        <f>YEAR(表_查询来自_northwind3[[#This Row],[订购日期]])</f>
        <v>1996</v>
      </c>
      <c r="D1024" s="1">
        <v>470.39999824762344</v>
      </c>
    </row>
    <row r="1025" spans="1:4" x14ac:dyDescent="0.25">
      <c r="A1025" s="1" t="s">
        <v>111</v>
      </c>
      <c r="B1025" s="59">
        <v>35317</v>
      </c>
      <c r="C1025" s="57">
        <f>YEAR(表_查询来自_northwind3[[#This Row],[订购日期]])</f>
        <v>1996</v>
      </c>
      <c r="D1025" s="1">
        <v>147</v>
      </c>
    </row>
    <row r="1026" spans="1:4" x14ac:dyDescent="0.25">
      <c r="A1026" s="1" t="s">
        <v>111</v>
      </c>
      <c r="B1026" s="59">
        <v>35319</v>
      </c>
      <c r="C1026" s="57">
        <f>YEAR(表_查询来自_northwind3[[#This Row],[订购日期]])</f>
        <v>1996</v>
      </c>
      <c r="D1026" s="1">
        <v>529.19999912381172</v>
      </c>
    </row>
    <row r="1027" spans="1:4" x14ac:dyDescent="0.25">
      <c r="A1027" s="1" t="s">
        <v>111</v>
      </c>
      <c r="B1027" s="59">
        <v>35375</v>
      </c>
      <c r="C1027" s="57">
        <f>YEAR(表_查询来自_northwind3[[#This Row],[订购日期]])</f>
        <v>1996</v>
      </c>
      <c r="D1027" s="1">
        <v>58.8</v>
      </c>
    </row>
    <row r="1028" spans="1:4" x14ac:dyDescent="0.25">
      <c r="A1028" s="1" t="s">
        <v>111</v>
      </c>
      <c r="B1028" s="59">
        <v>35437</v>
      </c>
      <c r="C1028" s="57">
        <f>YEAR(表_查询来自_northwind3[[#This Row],[订购日期]])</f>
        <v>1997</v>
      </c>
      <c r="D1028" s="1">
        <v>26.459999956190586</v>
      </c>
    </row>
    <row r="1029" spans="1:4" x14ac:dyDescent="0.25">
      <c r="A1029" s="1" t="s">
        <v>111</v>
      </c>
      <c r="B1029" s="59">
        <v>35460</v>
      </c>
      <c r="C1029" s="57">
        <f>YEAR(表_查询来自_northwind3[[#This Row],[订购日期]])</f>
        <v>1997</v>
      </c>
      <c r="D1029" s="1">
        <v>551.25</v>
      </c>
    </row>
    <row r="1030" spans="1:4" x14ac:dyDescent="0.25">
      <c r="A1030" s="1" t="s">
        <v>111</v>
      </c>
      <c r="B1030" s="59">
        <v>35478</v>
      </c>
      <c r="C1030" s="57">
        <f>YEAR(表_查询来自_northwind3[[#This Row],[订购日期]])</f>
        <v>1997</v>
      </c>
      <c r="D1030" s="1">
        <v>294</v>
      </c>
    </row>
    <row r="1031" spans="1:4" x14ac:dyDescent="0.25">
      <c r="A1031" s="1" t="s">
        <v>111</v>
      </c>
      <c r="B1031" s="59">
        <v>35494</v>
      </c>
      <c r="C1031" s="57">
        <f>YEAR(表_查询来自_northwind3[[#This Row],[订购日期]])</f>
        <v>1997</v>
      </c>
      <c r="D1031" s="1">
        <v>294</v>
      </c>
    </row>
    <row r="1032" spans="1:4" x14ac:dyDescent="0.25">
      <c r="A1032" s="1" t="s">
        <v>111</v>
      </c>
      <c r="B1032" s="59">
        <v>35502</v>
      </c>
      <c r="C1032" s="57">
        <f>YEAR(表_查询来自_northwind3[[#This Row],[订购日期]])</f>
        <v>1997</v>
      </c>
      <c r="D1032" s="1">
        <v>308.7</v>
      </c>
    </row>
    <row r="1033" spans="1:4" x14ac:dyDescent="0.25">
      <c r="A1033" s="1" t="s">
        <v>111</v>
      </c>
      <c r="B1033" s="59">
        <v>35510</v>
      </c>
      <c r="C1033" s="57">
        <f>YEAR(表_查询来自_northwind3[[#This Row],[订购日期]])</f>
        <v>1997</v>
      </c>
      <c r="D1033" s="1">
        <v>147</v>
      </c>
    </row>
    <row r="1034" spans="1:4" x14ac:dyDescent="0.25">
      <c r="A1034" s="1" t="s">
        <v>111</v>
      </c>
      <c r="B1034" s="59">
        <v>35513</v>
      </c>
      <c r="C1034" s="57">
        <f>YEAR(表_查询来自_northwind3[[#This Row],[订购日期]])</f>
        <v>1997</v>
      </c>
      <c r="D1034" s="1">
        <v>147</v>
      </c>
    </row>
    <row r="1035" spans="1:4" x14ac:dyDescent="0.25">
      <c r="A1035" s="1" t="s">
        <v>111</v>
      </c>
      <c r="B1035" s="59">
        <v>35527</v>
      </c>
      <c r="C1035" s="57">
        <f>YEAR(表_查询来自_northwind3[[#This Row],[订购日期]])</f>
        <v>1997</v>
      </c>
      <c r="D1035" s="1">
        <v>92</v>
      </c>
    </row>
    <row r="1036" spans="1:4" x14ac:dyDescent="0.25">
      <c r="A1036" s="1" t="s">
        <v>111</v>
      </c>
      <c r="B1036" s="59">
        <v>35550</v>
      </c>
      <c r="C1036" s="57">
        <f>YEAR(表_查询来自_northwind3[[#This Row],[订购日期]])</f>
        <v>1997</v>
      </c>
      <c r="D1036" s="1">
        <v>367.99999862909317</v>
      </c>
    </row>
    <row r="1037" spans="1:4" x14ac:dyDescent="0.25">
      <c r="A1037" s="1" t="s">
        <v>111</v>
      </c>
      <c r="B1037" s="59">
        <v>35552</v>
      </c>
      <c r="C1037" s="57">
        <f>YEAR(表_查询来自_northwind3[[#This Row],[订购日期]])</f>
        <v>1997</v>
      </c>
      <c r="D1037" s="1">
        <v>248.39999958872795</v>
      </c>
    </row>
    <row r="1038" spans="1:4" x14ac:dyDescent="0.25">
      <c r="A1038" s="1" t="s">
        <v>111</v>
      </c>
      <c r="B1038" s="59">
        <v>35562</v>
      </c>
      <c r="C1038" s="57">
        <f>YEAR(表_查询来自_northwind3[[#This Row],[订购日期]])</f>
        <v>1997</v>
      </c>
      <c r="D1038" s="1">
        <v>147.19999945163727</v>
      </c>
    </row>
    <row r="1039" spans="1:4" x14ac:dyDescent="0.25">
      <c r="A1039" s="1" t="s">
        <v>111</v>
      </c>
      <c r="B1039" s="59">
        <v>35563</v>
      </c>
      <c r="C1039" s="57">
        <f>YEAR(表_查询来自_northwind3[[#This Row],[订购日期]])</f>
        <v>1997</v>
      </c>
      <c r="D1039" s="1">
        <v>165.59999972581863</v>
      </c>
    </row>
    <row r="1040" spans="1:4" x14ac:dyDescent="0.25">
      <c r="A1040" s="1" t="s">
        <v>111</v>
      </c>
      <c r="B1040" s="59">
        <v>35599</v>
      </c>
      <c r="C1040" s="57">
        <f>YEAR(表_查询来自_northwind3[[#This Row],[订购日期]])</f>
        <v>1997</v>
      </c>
      <c r="D1040" s="1">
        <v>920</v>
      </c>
    </row>
    <row r="1041" spans="1:4" x14ac:dyDescent="0.25">
      <c r="A1041" s="1" t="s">
        <v>111</v>
      </c>
      <c r="B1041" s="59">
        <v>35600</v>
      </c>
      <c r="C1041" s="57">
        <f>YEAR(表_查询来自_northwind3[[#This Row],[订购日期]])</f>
        <v>1997</v>
      </c>
      <c r="D1041" s="1">
        <v>36.799999999999997</v>
      </c>
    </row>
    <row r="1042" spans="1:4" x14ac:dyDescent="0.25">
      <c r="A1042" s="1" t="s">
        <v>111</v>
      </c>
      <c r="B1042" s="59">
        <v>35633</v>
      </c>
      <c r="C1042" s="57">
        <f>YEAR(表_查询来自_northwind3[[#This Row],[订购日期]])</f>
        <v>1997</v>
      </c>
      <c r="D1042" s="1">
        <v>772.8</v>
      </c>
    </row>
    <row r="1043" spans="1:4" x14ac:dyDescent="0.25">
      <c r="A1043" s="1" t="s">
        <v>111</v>
      </c>
      <c r="B1043" s="59">
        <v>35664</v>
      </c>
      <c r="C1043" s="57">
        <f>YEAR(表_查询来自_northwind3[[#This Row],[订购日期]])</f>
        <v>1997</v>
      </c>
      <c r="D1043" s="1">
        <v>1104</v>
      </c>
    </row>
    <row r="1044" spans="1:4" x14ac:dyDescent="0.25">
      <c r="A1044" s="1" t="s">
        <v>111</v>
      </c>
      <c r="B1044" s="59">
        <v>35678</v>
      </c>
      <c r="C1044" s="57">
        <f>YEAR(表_查询来自_northwind3[[#This Row],[订购日期]])</f>
        <v>1997</v>
      </c>
      <c r="D1044" s="1">
        <v>1223.5999990403652</v>
      </c>
    </row>
    <row r="1045" spans="1:4" x14ac:dyDescent="0.25">
      <c r="A1045" s="1" t="s">
        <v>111</v>
      </c>
      <c r="B1045" s="59">
        <v>35678</v>
      </c>
      <c r="C1045" s="57">
        <f>YEAR(表_查询来自_northwind3[[#This Row],[订购日期]])</f>
        <v>1997</v>
      </c>
      <c r="D1045" s="1">
        <v>419.51999967098237</v>
      </c>
    </row>
    <row r="1046" spans="1:4" x14ac:dyDescent="0.25">
      <c r="A1046" s="1" t="s">
        <v>111</v>
      </c>
      <c r="B1046" s="59">
        <v>35683</v>
      </c>
      <c r="C1046" s="57">
        <f>YEAR(表_查询来自_northwind3[[#This Row],[订购日期]])</f>
        <v>1997</v>
      </c>
      <c r="D1046" s="1">
        <v>524.39999958872795</v>
      </c>
    </row>
    <row r="1047" spans="1:4" x14ac:dyDescent="0.25">
      <c r="A1047" s="1" t="s">
        <v>111</v>
      </c>
      <c r="B1047" s="59">
        <v>35699</v>
      </c>
      <c r="C1047" s="57">
        <f>YEAR(表_查询来自_northwind3[[#This Row],[订购日期]])</f>
        <v>1997</v>
      </c>
      <c r="D1047" s="1">
        <v>368</v>
      </c>
    </row>
    <row r="1048" spans="1:4" x14ac:dyDescent="0.25">
      <c r="A1048" s="1" t="s">
        <v>111</v>
      </c>
      <c r="B1048" s="59">
        <v>35738</v>
      </c>
      <c r="C1048" s="57">
        <f>YEAR(表_查询来自_northwind3[[#This Row],[订购日期]])</f>
        <v>1997</v>
      </c>
      <c r="D1048" s="1">
        <v>110.4</v>
      </c>
    </row>
    <row r="1049" spans="1:4" x14ac:dyDescent="0.25">
      <c r="A1049" s="1" t="s">
        <v>111</v>
      </c>
      <c r="B1049" s="59">
        <v>35751</v>
      </c>
      <c r="C1049" s="57">
        <f>YEAR(表_查询来自_northwind3[[#This Row],[订购日期]])</f>
        <v>1997</v>
      </c>
      <c r="D1049" s="1">
        <v>735.99999725818634</v>
      </c>
    </row>
    <row r="1050" spans="1:4" x14ac:dyDescent="0.25">
      <c r="A1050" s="1" t="s">
        <v>111</v>
      </c>
      <c r="B1050" s="59">
        <v>35754</v>
      </c>
      <c r="C1050" s="57">
        <f>YEAR(表_查询来自_northwind3[[#This Row],[订购日期]])</f>
        <v>1997</v>
      </c>
      <c r="D1050" s="1">
        <v>736</v>
      </c>
    </row>
    <row r="1051" spans="1:4" x14ac:dyDescent="0.25">
      <c r="A1051" s="1" t="s">
        <v>111</v>
      </c>
      <c r="B1051" s="59">
        <v>35759</v>
      </c>
      <c r="C1051" s="57">
        <f>YEAR(表_查询来自_northwind3[[#This Row],[订购日期]])</f>
        <v>1997</v>
      </c>
      <c r="D1051" s="1">
        <v>55.2</v>
      </c>
    </row>
    <row r="1052" spans="1:4" x14ac:dyDescent="0.25">
      <c r="A1052" s="1" t="s">
        <v>111</v>
      </c>
      <c r="B1052" s="59">
        <v>35795</v>
      </c>
      <c r="C1052" s="57">
        <f>YEAR(表_查询来自_northwind3[[#This Row],[订购日期]])</f>
        <v>1997</v>
      </c>
      <c r="D1052" s="1">
        <v>18.399999999999999</v>
      </c>
    </row>
    <row r="1053" spans="1:4" x14ac:dyDescent="0.25">
      <c r="A1053" s="1" t="s">
        <v>111</v>
      </c>
      <c r="B1053" s="59">
        <v>35797</v>
      </c>
      <c r="C1053" s="57">
        <f>YEAR(表_查询来自_northwind3[[#This Row],[订购日期]])</f>
        <v>1998</v>
      </c>
      <c r="D1053" s="1">
        <v>552</v>
      </c>
    </row>
    <row r="1054" spans="1:4" x14ac:dyDescent="0.25">
      <c r="A1054" s="1" t="s">
        <v>111</v>
      </c>
      <c r="B1054" s="59">
        <v>35801</v>
      </c>
      <c r="C1054" s="57">
        <f>YEAR(表_查询来自_northwind3[[#This Row],[订购日期]])</f>
        <v>1998</v>
      </c>
      <c r="D1054" s="1">
        <v>938.39999341964722</v>
      </c>
    </row>
    <row r="1055" spans="1:4" x14ac:dyDescent="0.25">
      <c r="A1055" s="1" t="s">
        <v>111</v>
      </c>
      <c r="B1055" s="59">
        <v>35811</v>
      </c>
      <c r="C1055" s="57">
        <f>YEAR(表_查询来自_northwind3[[#This Row],[订购日期]])</f>
        <v>1998</v>
      </c>
      <c r="D1055" s="1">
        <v>460</v>
      </c>
    </row>
    <row r="1056" spans="1:4" x14ac:dyDescent="0.25">
      <c r="A1056" s="1" t="s">
        <v>111</v>
      </c>
      <c r="B1056" s="59">
        <v>35836</v>
      </c>
      <c r="C1056" s="57">
        <f>YEAR(表_查询来自_northwind3[[#This Row],[订购日期]])</f>
        <v>1998</v>
      </c>
      <c r="D1056" s="1">
        <v>220.8</v>
      </c>
    </row>
    <row r="1057" spans="1:4" x14ac:dyDescent="0.25">
      <c r="A1057" s="1" t="s">
        <v>111</v>
      </c>
      <c r="B1057" s="59">
        <v>35844</v>
      </c>
      <c r="C1057" s="57">
        <f>YEAR(表_查询来自_northwind3[[#This Row],[订购日期]])</f>
        <v>1998</v>
      </c>
      <c r="D1057" s="1">
        <v>1674.4</v>
      </c>
    </row>
    <row r="1058" spans="1:4" x14ac:dyDescent="0.25">
      <c r="A1058" s="1" t="s">
        <v>111</v>
      </c>
      <c r="B1058" s="59">
        <v>35856</v>
      </c>
      <c r="C1058" s="57">
        <f>YEAR(表_查询来自_northwind3[[#This Row],[订购日期]])</f>
        <v>1998</v>
      </c>
      <c r="D1058" s="1">
        <v>368</v>
      </c>
    </row>
    <row r="1059" spans="1:4" x14ac:dyDescent="0.25">
      <c r="A1059" s="1" t="s">
        <v>111</v>
      </c>
      <c r="B1059" s="59">
        <v>35880</v>
      </c>
      <c r="C1059" s="57">
        <f>YEAR(表_查询来自_northwind3[[#This Row],[订购日期]])</f>
        <v>1998</v>
      </c>
      <c r="D1059" s="1">
        <v>184</v>
      </c>
    </row>
    <row r="1060" spans="1:4" x14ac:dyDescent="0.25">
      <c r="A1060" s="1" t="s">
        <v>111</v>
      </c>
      <c r="B1060" s="59">
        <v>35891</v>
      </c>
      <c r="C1060" s="57">
        <f>YEAR(表_查询来自_northwind3[[#This Row],[订购日期]])</f>
        <v>1998</v>
      </c>
      <c r="D1060" s="1">
        <v>184</v>
      </c>
    </row>
    <row r="1061" spans="1:4" x14ac:dyDescent="0.25">
      <c r="A1061" s="1" t="s">
        <v>111</v>
      </c>
      <c r="B1061" s="59">
        <v>35906</v>
      </c>
      <c r="C1061" s="57">
        <f>YEAR(表_查询来自_northwind3[[#This Row],[订购日期]])</f>
        <v>1998</v>
      </c>
      <c r="D1061" s="1">
        <v>73.599999725818634</v>
      </c>
    </row>
    <row r="1062" spans="1:4" x14ac:dyDescent="0.25">
      <c r="A1062" s="1" t="s">
        <v>111</v>
      </c>
      <c r="B1062" s="59">
        <v>35915</v>
      </c>
      <c r="C1062" s="57">
        <f>YEAR(表_查询来自_northwind3[[#This Row],[订购日期]])</f>
        <v>1998</v>
      </c>
      <c r="D1062" s="1">
        <v>662.39999890327454</v>
      </c>
    </row>
    <row r="1063" spans="1:4" x14ac:dyDescent="0.25">
      <c r="A1063" s="1" t="s">
        <v>112</v>
      </c>
      <c r="B1063" s="59">
        <v>35254</v>
      </c>
      <c r="C1063" s="57">
        <f>YEAR(表_查询来自_northwind3[[#This Row],[订购日期]])</f>
        <v>1996</v>
      </c>
      <c r="D1063" s="1">
        <v>77</v>
      </c>
    </row>
    <row r="1064" spans="1:4" x14ac:dyDescent="0.25">
      <c r="A1064" s="1" t="s">
        <v>112</v>
      </c>
      <c r="B1064" s="59">
        <v>35265</v>
      </c>
      <c r="C1064" s="57">
        <f>YEAR(表_查询来自_northwind3[[#This Row],[订购日期]])</f>
        <v>1996</v>
      </c>
      <c r="D1064" s="1">
        <v>92.4</v>
      </c>
    </row>
    <row r="1065" spans="1:4" x14ac:dyDescent="0.25">
      <c r="A1065" s="1" t="s">
        <v>112</v>
      </c>
      <c r="B1065" s="59">
        <v>35270</v>
      </c>
      <c r="C1065" s="57">
        <f>YEAR(表_查询来自_northwind3[[#This Row],[订购日期]])</f>
        <v>1996</v>
      </c>
      <c r="D1065" s="1">
        <v>163.62499885261059</v>
      </c>
    </row>
    <row r="1066" spans="1:4" x14ac:dyDescent="0.25">
      <c r="A1066" s="1" t="s">
        <v>112</v>
      </c>
      <c r="B1066" s="59">
        <v>35335</v>
      </c>
      <c r="C1066" s="57">
        <f>YEAR(表_查询来自_northwind3[[#This Row],[订购日期]])</f>
        <v>1996</v>
      </c>
      <c r="D1066" s="1">
        <v>77</v>
      </c>
    </row>
    <row r="1067" spans="1:4" x14ac:dyDescent="0.25">
      <c r="A1067" s="1" t="s">
        <v>112</v>
      </c>
      <c r="B1067" s="59">
        <v>35339</v>
      </c>
      <c r="C1067" s="57">
        <f>YEAR(表_查询来自_northwind3[[#This Row],[订购日期]])</f>
        <v>1996</v>
      </c>
      <c r="D1067" s="1">
        <v>154</v>
      </c>
    </row>
    <row r="1068" spans="1:4" x14ac:dyDescent="0.25">
      <c r="A1068" s="1" t="s">
        <v>112</v>
      </c>
      <c r="B1068" s="59">
        <v>35367</v>
      </c>
      <c r="C1068" s="57">
        <f>YEAR(表_查询来自_northwind3[[#This Row],[订购日期]])</f>
        <v>1996</v>
      </c>
      <c r="D1068" s="1">
        <v>87.779999931156638</v>
      </c>
    </row>
    <row r="1069" spans="1:4" x14ac:dyDescent="0.25">
      <c r="A1069" s="1" t="s">
        <v>112</v>
      </c>
      <c r="B1069" s="59">
        <v>35380</v>
      </c>
      <c r="C1069" s="57">
        <f>YEAR(表_查询来自_northwind3[[#This Row],[订购日期]])</f>
        <v>1996</v>
      </c>
      <c r="D1069" s="1">
        <v>100.1</v>
      </c>
    </row>
    <row r="1070" spans="1:4" x14ac:dyDescent="0.25">
      <c r="A1070" s="1" t="s">
        <v>112</v>
      </c>
      <c r="B1070" s="59">
        <v>35410</v>
      </c>
      <c r="C1070" s="57">
        <f>YEAR(表_查询来自_northwind3[[#This Row],[订购日期]])</f>
        <v>1996</v>
      </c>
      <c r="D1070" s="1">
        <v>55.439999908208847</v>
      </c>
    </row>
    <row r="1071" spans="1:4" x14ac:dyDescent="0.25">
      <c r="A1071" s="1" t="s">
        <v>112</v>
      </c>
      <c r="B1071" s="59">
        <v>35440</v>
      </c>
      <c r="C1071" s="57">
        <f>YEAR(表_查询来自_northwind3[[#This Row],[订购日期]])</f>
        <v>1997</v>
      </c>
      <c r="D1071" s="1">
        <v>153.99999942630529</v>
      </c>
    </row>
    <row r="1072" spans="1:4" x14ac:dyDescent="0.25">
      <c r="A1072" s="1" t="s">
        <v>112</v>
      </c>
      <c r="B1072" s="59">
        <v>35473</v>
      </c>
      <c r="C1072" s="57">
        <f>YEAR(表_查询来自_northwind3[[#This Row],[订购日期]])</f>
        <v>1997</v>
      </c>
      <c r="D1072" s="1">
        <v>231</v>
      </c>
    </row>
    <row r="1073" spans="1:4" x14ac:dyDescent="0.25">
      <c r="A1073" s="1" t="s">
        <v>112</v>
      </c>
      <c r="B1073" s="59">
        <v>35523</v>
      </c>
      <c r="C1073" s="57">
        <f>YEAR(表_查询来自_northwind3[[#This Row],[订购日期]])</f>
        <v>1997</v>
      </c>
      <c r="D1073" s="1">
        <v>154</v>
      </c>
    </row>
    <row r="1074" spans="1:4" x14ac:dyDescent="0.25">
      <c r="A1074" s="1" t="s">
        <v>112</v>
      </c>
      <c r="B1074" s="59">
        <v>35544</v>
      </c>
      <c r="C1074" s="57">
        <f>YEAR(表_查询来自_northwind3[[#This Row],[订购日期]])</f>
        <v>1997</v>
      </c>
      <c r="D1074" s="1">
        <v>694.79999884963036</v>
      </c>
    </row>
    <row r="1075" spans="1:4" x14ac:dyDescent="0.25">
      <c r="A1075" s="1" t="s">
        <v>112</v>
      </c>
      <c r="B1075" s="59">
        <v>35549</v>
      </c>
      <c r="C1075" s="57">
        <f>YEAR(表_查询来自_northwind3[[#This Row],[订购日期]])</f>
        <v>1997</v>
      </c>
      <c r="D1075" s="1">
        <v>96.5</v>
      </c>
    </row>
    <row r="1076" spans="1:4" x14ac:dyDescent="0.25">
      <c r="A1076" s="1" t="s">
        <v>112</v>
      </c>
      <c r="B1076" s="59">
        <v>35551</v>
      </c>
      <c r="C1076" s="57">
        <f>YEAR(表_查询来自_northwind3[[#This Row],[订购日期]])</f>
        <v>1997</v>
      </c>
      <c r="D1076" s="1">
        <v>52.109999913722277</v>
      </c>
    </row>
    <row r="1077" spans="1:4" x14ac:dyDescent="0.25">
      <c r="A1077" s="1" t="s">
        <v>112</v>
      </c>
      <c r="B1077" s="59">
        <v>35576</v>
      </c>
      <c r="C1077" s="57">
        <f>YEAR(表_查询来自_northwind3[[#This Row],[订购日期]])</f>
        <v>1997</v>
      </c>
      <c r="D1077" s="1">
        <v>135.1</v>
      </c>
    </row>
    <row r="1078" spans="1:4" x14ac:dyDescent="0.25">
      <c r="A1078" s="1" t="s">
        <v>112</v>
      </c>
      <c r="B1078" s="59">
        <v>35586</v>
      </c>
      <c r="C1078" s="57">
        <f>YEAR(表_查询来自_northwind3[[#This Row],[订购日期]])</f>
        <v>1997</v>
      </c>
      <c r="D1078" s="1">
        <v>110.00999991372227</v>
      </c>
    </row>
    <row r="1079" spans="1:4" x14ac:dyDescent="0.25">
      <c r="A1079" s="1" t="s">
        <v>112</v>
      </c>
      <c r="B1079" s="59">
        <v>35607</v>
      </c>
      <c r="C1079" s="57">
        <f>YEAR(表_查询来自_northwind3[[#This Row],[订购日期]])</f>
        <v>1997</v>
      </c>
      <c r="D1079" s="1">
        <v>82.507499935291705</v>
      </c>
    </row>
    <row r="1080" spans="1:4" x14ac:dyDescent="0.25">
      <c r="A1080" s="1" t="s">
        <v>112</v>
      </c>
      <c r="B1080" s="59">
        <v>35676</v>
      </c>
      <c r="C1080" s="57">
        <f>YEAR(表_查询来自_northwind3[[#This Row],[订购日期]])</f>
        <v>1997</v>
      </c>
      <c r="D1080" s="1">
        <v>154.39999942481518</v>
      </c>
    </row>
    <row r="1081" spans="1:4" x14ac:dyDescent="0.25">
      <c r="A1081" s="1" t="s">
        <v>112</v>
      </c>
      <c r="B1081" s="59">
        <v>35677</v>
      </c>
      <c r="C1081" s="57">
        <f>YEAR(表_查询来自_northwind3[[#This Row],[订购日期]])</f>
        <v>1997</v>
      </c>
      <c r="D1081" s="1">
        <v>231.6</v>
      </c>
    </row>
    <row r="1082" spans="1:4" x14ac:dyDescent="0.25">
      <c r="A1082" s="1" t="s">
        <v>112</v>
      </c>
      <c r="B1082" s="59">
        <v>35696</v>
      </c>
      <c r="C1082" s="57">
        <f>YEAR(表_查询来自_northwind3[[#This Row],[订购日期]])</f>
        <v>1997</v>
      </c>
      <c r="D1082" s="1">
        <v>1158</v>
      </c>
    </row>
    <row r="1083" spans="1:4" x14ac:dyDescent="0.25">
      <c r="A1083" s="1" t="s">
        <v>112</v>
      </c>
      <c r="B1083" s="59">
        <v>35702</v>
      </c>
      <c r="C1083" s="57">
        <f>YEAR(表_查询来自_northwind3[[#This Row],[订购日期]])</f>
        <v>1997</v>
      </c>
      <c r="D1083" s="1">
        <v>38.6</v>
      </c>
    </row>
    <row r="1084" spans="1:4" x14ac:dyDescent="0.25">
      <c r="A1084" s="1" t="s">
        <v>112</v>
      </c>
      <c r="B1084" s="59">
        <v>35724</v>
      </c>
      <c r="C1084" s="57">
        <f>YEAR(表_查询来自_northwind3[[#This Row],[订购日期]])</f>
        <v>1997</v>
      </c>
      <c r="D1084" s="1">
        <v>405.3</v>
      </c>
    </row>
    <row r="1085" spans="1:4" x14ac:dyDescent="0.25">
      <c r="A1085" s="1" t="s">
        <v>112</v>
      </c>
      <c r="B1085" s="59">
        <v>35734</v>
      </c>
      <c r="C1085" s="57">
        <f>YEAR(表_查询来自_northwind3[[#This Row],[订购日期]])</f>
        <v>1997</v>
      </c>
      <c r="D1085" s="1">
        <v>115.8</v>
      </c>
    </row>
    <row r="1086" spans="1:4" x14ac:dyDescent="0.25">
      <c r="A1086" s="1" t="s">
        <v>112</v>
      </c>
      <c r="B1086" s="59">
        <v>35745</v>
      </c>
      <c r="C1086" s="57">
        <f>YEAR(表_查询来自_northwind3[[#This Row],[订购日期]])</f>
        <v>1997</v>
      </c>
      <c r="D1086" s="1">
        <v>115.8</v>
      </c>
    </row>
    <row r="1087" spans="1:4" x14ac:dyDescent="0.25">
      <c r="A1087" s="1" t="s">
        <v>112</v>
      </c>
      <c r="B1087" s="59">
        <v>35753</v>
      </c>
      <c r="C1087" s="57">
        <f>YEAR(表_查询来自_northwind3[[#This Row],[订购日期]])</f>
        <v>1997</v>
      </c>
      <c r="D1087" s="1">
        <v>337.75</v>
      </c>
    </row>
    <row r="1088" spans="1:4" x14ac:dyDescent="0.25">
      <c r="A1088" s="1" t="s">
        <v>112</v>
      </c>
      <c r="B1088" s="59">
        <v>35772</v>
      </c>
      <c r="C1088" s="57">
        <f>YEAR(表_查询来自_northwind3[[#This Row],[订购日期]])</f>
        <v>1997</v>
      </c>
      <c r="D1088" s="1">
        <v>275.02499978430569</v>
      </c>
    </row>
    <row r="1089" spans="1:4" x14ac:dyDescent="0.25">
      <c r="A1089" s="1" t="s">
        <v>112</v>
      </c>
      <c r="B1089" s="59">
        <v>35780</v>
      </c>
      <c r="C1089" s="57">
        <f>YEAR(表_查询来自_northwind3[[#This Row],[订购日期]])</f>
        <v>1997</v>
      </c>
      <c r="D1089" s="1">
        <v>96.5</v>
      </c>
    </row>
    <row r="1090" spans="1:4" x14ac:dyDescent="0.25">
      <c r="A1090" s="1" t="s">
        <v>112</v>
      </c>
      <c r="B1090" s="59">
        <v>35787</v>
      </c>
      <c r="C1090" s="57">
        <f>YEAR(表_查询来自_northwind3[[#This Row],[订购日期]])</f>
        <v>1997</v>
      </c>
      <c r="D1090" s="1">
        <v>183.34999985620379</v>
      </c>
    </row>
    <row r="1091" spans="1:4" x14ac:dyDescent="0.25">
      <c r="A1091" s="1" t="s">
        <v>112</v>
      </c>
      <c r="B1091" s="59">
        <v>35788</v>
      </c>
      <c r="C1091" s="57">
        <f>YEAR(表_查询来自_northwind3[[#This Row],[订购日期]])</f>
        <v>1997</v>
      </c>
      <c r="D1091" s="1">
        <v>135.1</v>
      </c>
    </row>
    <row r="1092" spans="1:4" x14ac:dyDescent="0.25">
      <c r="A1092" s="1" t="s">
        <v>112</v>
      </c>
      <c r="B1092" s="59">
        <v>35800</v>
      </c>
      <c r="C1092" s="57">
        <f>YEAR(表_查询来自_northwind3[[#This Row],[订购日期]])</f>
        <v>1998</v>
      </c>
      <c r="D1092" s="1">
        <v>193</v>
      </c>
    </row>
    <row r="1093" spans="1:4" x14ac:dyDescent="0.25">
      <c r="A1093" s="1" t="s">
        <v>112</v>
      </c>
      <c r="B1093" s="59">
        <v>35802</v>
      </c>
      <c r="C1093" s="57">
        <f>YEAR(表_查询来自_northwind3[[#This Row],[订购日期]])</f>
        <v>1998</v>
      </c>
      <c r="D1093" s="1">
        <v>193</v>
      </c>
    </row>
    <row r="1094" spans="1:4" x14ac:dyDescent="0.25">
      <c r="A1094" s="1" t="s">
        <v>112</v>
      </c>
      <c r="B1094" s="59">
        <v>35804</v>
      </c>
      <c r="C1094" s="57">
        <f>YEAR(表_查询来自_northwind3[[#This Row],[订购日期]])</f>
        <v>1998</v>
      </c>
      <c r="D1094" s="1">
        <v>115.8</v>
      </c>
    </row>
    <row r="1095" spans="1:4" x14ac:dyDescent="0.25">
      <c r="A1095" s="1" t="s">
        <v>112</v>
      </c>
      <c r="B1095" s="59">
        <v>35842</v>
      </c>
      <c r="C1095" s="57">
        <f>YEAR(表_查询来自_northwind3[[#This Row],[订购日期]])</f>
        <v>1998</v>
      </c>
      <c r="D1095" s="1">
        <v>135.1</v>
      </c>
    </row>
    <row r="1096" spans="1:4" x14ac:dyDescent="0.25">
      <c r="A1096" s="1" t="s">
        <v>112</v>
      </c>
      <c r="B1096" s="59">
        <v>35849</v>
      </c>
      <c r="C1096" s="57">
        <f>YEAR(表_查询来自_northwind3[[#This Row],[订购日期]])</f>
        <v>1998</v>
      </c>
      <c r="D1096" s="1">
        <v>289.5</v>
      </c>
    </row>
    <row r="1097" spans="1:4" x14ac:dyDescent="0.25">
      <c r="A1097" s="1" t="s">
        <v>112</v>
      </c>
      <c r="B1097" s="59">
        <v>35852</v>
      </c>
      <c r="C1097" s="57">
        <f>YEAR(表_查询来自_northwind3[[#This Row],[订购日期]])</f>
        <v>1998</v>
      </c>
      <c r="D1097" s="1">
        <v>48.25</v>
      </c>
    </row>
    <row r="1098" spans="1:4" x14ac:dyDescent="0.25">
      <c r="A1098" s="1" t="s">
        <v>112</v>
      </c>
      <c r="B1098" s="59">
        <v>35870</v>
      </c>
      <c r="C1098" s="57">
        <f>YEAR(表_查询来自_northwind3[[#This Row],[订购日期]])</f>
        <v>1998</v>
      </c>
      <c r="D1098" s="1">
        <v>55.004999956861134</v>
      </c>
    </row>
    <row r="1099" spans="1:4" x14ac:dyDescent="0.25">
      <c r="A1099" s="1" t="s">
        <v>112</v>
      </c>
      <c r="B1099" s="59">
        <v>35873</v>
      </c>
      <c r="C1099" s="57">
        <f>YEAR(表_查询来自_northwind3[[#This Row],[订购日期]])</f>
        <v>1998</v>
      </c>
      <c r="D1099" s="1">
        <v>231.6</v>
      </c>
    </row>
    <row r="1100" spans="1:4" x14ac:dyDescent="0.25">
      <c r="A1100" s="1" t="s">
        <v>112</v>
      </c>
      <c r="B1100" s="59">
        <v>35878</v>
      </c>
      <c r="C1100" s="57">
        <f>YEAR(表_查询来自_northwind3[[#This Row],[订购日期]])</f>
        <v>1998</v>
      </c>
      <c r="D1100" s="1">
        <v>57.9</v>
      </c>
    </row>
    <row r="1101" spans="1:4" x14ac:dyDescent="0.25">
      <c r="A1101" s="1" t="s">
        <v>112</v>
      </c>
      <c r="B1101" s="59">
        <v>35885</v>
      </c>
      <c r="C1101" s="57">
        <f>YEAR(表_查询来自_northwind3[[#This Row],[订购日期]])</f>
        <v>1998</v>
      </c>
      <c r="D1101" s="1">
        <v>38.6</v>
      </c>
    </row>
    <row r="1102" spans="1:4" x14ac:dyDescent="0.25">
      <c r="A1102" s="1" t="s">
        <v>112</v>
      </c>
      <c r="B1102" s="59">
        <v>35886</v>
      </c>
      <c r="C1102" s="57">
        <f>YEAR(表_查询来自_northwind3[[#This Row],[订购日期]])</f>
        <v>1998</v>
      </c>
      <c r="D1102" s="1">
        <v>253.3125</v>
      </c>
    </row>
    <row r="1103" spans="1:4" x14ac:dyDescent="0.25">
      <c r="A1103" s="1" t="s">
        <v>112</v>
      </c>
      <c r="B1103" s="59">
        <v>35888</v>
      </c>
      <c r="C1103" s="57">
        <f>YEAR(表_查询来自_northwind3[[#This Row],[订购日期]])</f>
        <v>1998</v>
      </c>
      <c r="D1103" s="1">
        <v>183.34999985620379</v>
      </c>
    </row>
    <row r="1104" spans="1:4" x14ac:dyDescent="0.25">
      <c r="A1104" s="1" t="s">
        <v>112</v>
      </c>
      <c r="B1104" s="59">
        <v>35895</v>
      </c>
      <c r="C1104" s="57">
        <f>YEAR(表_查询来自_northwind3[[#This Row],[订购日期]])</f>
        <v>1998</v>
      </c>
      <c r="D1104" s="1">
        <v>243.17999959737062</v>
      </c>
    </row>
    <row r="1105" spans="1:4" x14ac:dyDescent="0.25">
      <c r="A1105" s="1" t="s">
        <v>112</v>
      </c>
      <c r="B1105" s="59">
        <v>35915</v>
      </c>
      <c r="C1105" s="57">
        <f>YEAR(表_查询来自_northwind3[[#This Row],[订购日期]])</f>
        <v>1998</v>
      </c>
      <c r="D1105" s="1">
        <v>260.54999956861138</v>
      </c>
    </row>
    <row r="1106" spans="1:4" x14ac:dyDescent="0.25">
      <c r="A1106" s="1" t="s">
        <v>112</v>
      </c>
      <c r="B1106" s="59">
        <v>35916</v>
      </c>
      <c r="C1106" s="57">
        <f>YEAR(表_查询来自_northwind3[[#This Row],[订购日期]])</f>
        <v>1998</v>
      </c>
      <c r="D1106" s="1">
        <v>115.8</v>
      </c>
    </row>
    <row r="1107" spans="1:4" x14ac:dyDescent="0.25">
      <c r="A1107" s="1" t="s">
        <v>112</v>
      </c>
      <c r="B1107" s="59">
        <v>35919</v>
      </c>
      <c r="C1107" s="57">
        <f>YEAR(表_查询来自_northwind3[[#This Row],[订购日期]])</f>
        <v>1998</v>
      </c>
      <c r="D1107" s="1">
        <v>86.85</v>
      </c>
    </row>
    <row r="1108" spans="1:4" x14ac:dyDescent="0.25">
      <c r="A1108" s="1" t="s">
        <v>112</v>
      </c>
      <c r="B1108" s="59">
        <v>35920</v>
      </c>
      <c r="C1108" s="57">
        <f>YEAR(表_查询来自_northwind3[[#This Row],[订购日期]])</f>
        <v>1998</v>
      </c>
      <c r="D1108" s="1">
        <v>386</v>
      </c>
    </row>
    <row r="1109" spans="1:4" x14ac:dyDescent="0.25">
      <c r="A1109" s="1" t="s">
        <v>112</v>
      </c>
      <c r="B1109" s="59">
        <v>35921</v>
      </c>
      <c r="C1109" s="57">
        <f>YEAR(表_查询来自_northwind3[[#This Row],[订购日期]])</f>
        <v>1998</v>
      </c>
      <c r="D1109" s="1">
        <v>28.95</v>
      </c>
    </row>
    <row r="1110" spans="1:4" x14ac:dyDescent="0.25">
      <c r="A1110" s="1" t="s">
        <v>113</v>
      </c>
      <c r="B1110" s="59">
        <v>35250</v>
      </c>
      <c r="C1110" s="57">
        <f>YEAR(表_查询来自_northwind3[[#This Row],[订购日期]])</f>
        <v>1996</v>
      </c>
      <c r="D1110" s="1">
        <v>98</v>
      </c>
    </row>
    <row r="1111" spans="1:4" x14ac:dyDescent="0.25">
      <c r="A1111" s="1" t="s">
        <v>113</v>
      </c>
      <c r="B1111" s="59">
        <v>35327</v>
      </c>
      <c r="C1111" s="57">
        <f>YEAR(表_查询来自_northwind3[[#This Row],[订购日期]])</f>
        <v>1996</v>
      </c>
      <c r="D1111" s="1">
        <v>22.4</v>
      </c>
    </row>
    <row r="1112" spans="1:4" x14ac:dyDescent="0.25">
      <c r="A1112" s="1" t="s">
        <v>113</v>
      </c>
      <c r="B1112" s="59">
        <v>35328</v>
      </c>
      <c r="C1112" s="57">
        <f>YEAR(表_查询来自_northwind3[[#This Row],[订购日期]])</f>
        <v>1996</v>
      </c>
      <c r="D1112" s="1">
        <v>67.2</v>
      </c>
    </row>
    <row r="1113" spans="1:4" x14ac:dyDescent="0.25">
      <c r="A1113" s="1" t="s">
        <v>113</v>
      </c>
      <c r="B1113" s="59">
        <v>35355</v>
      </c>
      <c r="C1113" s="57">
        <f>YEAR(表_查询来自_northwind3[[#This Row],[订购日期]])</f>
        <v>1996</v>
      </c>
      <c r="D1113" s="1">
        <v>89.599999666213989</v>
      </c>
    </row>
    <row r="1114" spans="1:4" x14ac:dyDescent="0.25">
      <c r="A1114" s="1" t="s">
        <v>113</v>
      </c>
      <c r="B1114" s="59">
        <v>35373</v>
      </c>
      <c r="C1114" s="57">
        <f>YEAR(表_查询来自_northwind3[[#This Row],[订购日期]])</f>
        <v>1996</v>
      </c>
      <c r="D1114" s="1">
        <v>100.8</v>
      </c>
    </row>
    <row r="1115" spans="1:4" x14ac:dyDescent="0.25">
      <c r="A1115" s="1" t="s">
        <v>113</v>
      </c>
      <c r="B1115" s="59">
        <v>35433</v>
      </c>
      <c r="C1115" s="57">
        <f>YEAR(表_查询来自_northwind3[[#This Row],[订购日期]])</f>
        <v>1997</v>
      </c>
      <c r="D1115" s="1">
        <v>425.59999966621399</v>
      </c>
    </row>
    <row r="1116" spans="1:4" x14ac:dyDescent="0.25">
      <c r="A1116" s="1" t="s">
        <v>113</v>
      </c>
      <c r="B1116" s="59">
        <v>35493</v>
      </c>
      <c r="C1116" s="57">
        <f>YEAR(表_查询来自_northwind3[[#This Row],[订购日期]])</f>
        <v>1997</v>
      </c>
      <c r="D1116" s="1">
        <v>560</v>
      </c>
    </row>
    <row r="1117" spans="1:4" x14ac:dyDescent="0.25">
      <c r="A1117" s="1" t="s">
        <v>113</v>
      </c>
      <c r="B1117" s="59">
        <v>35521</v>
      </c>
      <c r="C1117" s="57">
        <f>YEAR(表_查询来自_northwind3[[#This Row],[订购日期]])</f>
        <v>1997</v>
      </c>
      <c r="D1117" s="1">
        <v>212.79999983310699</v>
      </c>
    </row>
    <row r="1118" spans="1:4" x14ac:dyDescent="0.25">
      <c r="A1118" s="1" t="s">
        <v>113</v>
      </c>
      <c r="B1118" s="59">
        <v>35527</v>
      </c>
      <c r="C1118" s="57">
        <f>YEAR(表_查询来自_northwind3[[#This Row],[订购日期]])</f>
        <v>1997</v>
      </c>
      <c r="D1118" s="1">
        <v>420</v>
      </c>
    </row>
    <row r="1119" spans="1:4" x14ac:dyDescent="0.25">
      <c r="A1119" s="1" t="s">
        <v>113</v>
      </c>
      <c r="B1119" s="59">
        <v>35544</v>
      </c>
      <c r="C1119" s="57">
        <f>YEAR(表_查询来自_northwind3[[#This Row],[订购日期]])</f>
        <v>1997</v>
      </c>
      <c r="D1119" s="1">
        <v>280</v>
      </c>
    </row>
    <row r="1120" spans="1:4" x14ac:dyDescent="0.25">
      <c r="A1120" s="1" t="s">
        <v>113</v>
      </c>
      <c r="B1120" s="59">
        <v>35598</v>
      </c>
      <c r="C1120" s="57">
        <f>YEAR(表_查询来自_northwind3[[#This Row],[订购日期]])</f>
        <v>1997</v>
      </c>
      <c r="D1120" s="1">
        <v>333.19999766349792</v>
      </c>
    </row>
    <row r="1121" spans="1:4" x14ac:dyDescent="0.25">
      <c r="A1121" s="1" t="s">
        <v>113</v>
      </c>
      <c r="B1121" s="59">
        <v>35614</v>
      </c>
      <c r="C1121" s="57">
        <f>YEAR(表_查询来自_northwind3[[#This Row],[订购日期]])</f>
        <v>1997</v>
      </c>
      <c r="D1121" s="1">
        <v>1119.9999958276749</v>
      </c>
    </row>
    <row r="1122" spans="1:4" x14ac:dyDescent="0.25">
      <c r="A1122" s="1" t="s">
        <v>113</v>
      </c>
      <c r="B1122" s="59">
        <v>35650</v>
      </c>
      <c r="C1122" s="57">
        <f>YEAR(表_查询来自_northwind3[[#This Row],[订购日期]])</f>
        <v>1997</v>
      </c>
      <c r="D1122" s="1">
        <v>70</v>
      </c>
    </row>
    <row r="1123" spans="1:4" x14ac:dyDescent="0.25">
      <c r="A1123" s="1" t="s">
        <v>113</v>
      </c>
      <c r="B1123" s="59">
        <v>35674</v>
      </c>
      <c r="C1123" s="57">
        <f>YEAR(表_查询来自_northwind3[[#This Row],[订购日期]])</f>
        <v>1997</v>
      </c>
      <c r="D1123" s="1">
        <v>280</v>
      </c>
    </row>
    <row r="1124" spans="1:4" x14ac:dyDescent="0.25">
      <c r="A1124" s="1" t="s">
        <v>113</v>
      </c>
      <c r="B1124" s="59">
        <v>35683</v>
      </c>
      <c r="C1124" s="57">
        <f>YEAR(表_查询来自_northwind3[[#This Row],[订购日期]])</f>
        <v>1997</v>
      </c>
      <c r="D1124" s="1">
        <v>398.99999968707561</v>
      </c>
    </row>
    <row r="1125" spans="1:4" x14ac:dyDescent="0.25">
      <c r="A1125" s="1" t="s">
        <v>113</v>
      </c>
      <c r="B1125" s="59">
        <v>35691</v>
      </c>
      <c r="C1125" s="57">
        <f>YEAR(表_查询来自_northwind3[[#This Row],[订购日期]])</f>
        <v>1997</v>
      </c>
      <c r="D1125" s="1">
        <v>84</v>
      </c>
    </row>
    <row r="1126" spans="1:4" x14ac:dyDescent="0.25">
      <c r="A1126" s="1" t="s">
        <v>113</v>
      </c>
      <c r="B1126" s="59">
        <v>35697</v>
      </c>
      <c r="C1126" s="57">
        <f>YEAR(表_查询来自_northwind3[[#This Row],[订购日期]])</f>
        <v>1997</v>
      </c>
      <c r="D1126" s="1">
        <v>420</v>
      </c>
    </row>
    <row r="1127" spans="1:4" x14ac:dyDescent="0.25">
      <c r="A1127" s="1" t="s">
        <v>113</v>
      </c>
      <c r="B1127" s="59">
        <v>35753</v>
      </c>
      <c r="C1127" s="57">
        <f>YEAR(表_查询来自_northwind3[[#This Row],[订购日期]])</f>
        <v>1997</v>
      </c>
      <c r="D1127" s="1">
        <v>392</v>
      </c>
    </row>
    <row r="1128" spans="1:4" x14ac:dyDescent="0.25">
      <c r="A1128" s="1" t="s">
        <v>113</v>
      </c>
      <c r="B1128" s="59">
        <v>35769</v>
      </c>
      <c r="C1128" s="57">
        <f>YEAR(表_查询来自_northwind3[[#This Row],[订购日期]])</f>
        <v>1997</v>
      </c>
      <c r="D1128" s="1">
        <v>28</v>
      </c>
    </row>
    <row r="1129" spans="1:4" x14ac:dyDescent="0.25">
      <c r="A1129" s="1" t="s">
        <v>113</v>
      </c>
      <c r="B1129" s="59">
        <v>35779</v>
      </c>
      <c r="C1129" s="57">
        <f>YEAR(表_查询来自_northwind3[[#This Row],[订购日期]])</f>
        <v>1997</v>
      </c>
      <c r="D1129" s="1">
        <v>159.59999987483025</v>
      </c>
    </row>
    <row r="1130" spans="1:4" x14ac:dyDescent="0.25">
      <c r="A1130" s="1" t="s">
        <v>113</v>
      </c>
      <c r="B1130" s="59">
        <v>35779</v>
      </c>
      <c r="C1130" s="57">
        <f>YEAR(表_查询来自_northwind3[[#This Row],[订购日期]])</f>
        <v>1997</v>
      </c>
      <c r="D1130" s="1">
        <v>223.99999916553497</v>
      </c>
    </row>
    <row r="1131" spans="1:4" x14ac:dyDescent="0.25">
      <c r="A1131" s="1" t="s">
        <v>113</v>
      </c>
      <c r="B1131" s="59">
        <v>35816</v>
      </c>
      <c r="C1131" s="57">
        <f>YEAR(表_查询来自_northwind3[[#This Row],[订购日期]])</f>
        <v>1998</v>
      </c>
      <c r="D1131" s="1">
        <v>529.19999912381172</v>
      </c>
    </row>
    <row r="1132" spans="1:4" x14ac:dyDescent="0.25">
      <c r="A1132" s="1" t="s">
        <v>113</v>
      </c>
      <c r="B1132" s="59">
        <v>35823</v>
      </c>
      <c r="C1132" s="57">
        <f>YEAR(表_查询来自_northwind3[[#This Row],[订购日期]])</f>
        <v>1998</v>
      </c>
      <c r="D1132" s="1">
        <v>280</v>
      </c>
    </row>
    <row r="1133" spans="1:4" x14ac:dyDescent="0.25">
      <c r="A1133" s="1" t="s">
        <v>113</v>
      </c>
      <c r="B1133" s="59">
        <v>35837</v>
      </c>
      <c r="C1133" s="57">
        <f>YEAR(表_查询来自_northwind3[[#This Row],[订购日期]])</f>
        <v>1998</v>
      </c>
      <c r="D1133" s="1">
        <v>350</v>
      </c>
    </row>
    <row r="1134" spans="1:4" x14ac:dyDescent="0.25">
      <c r="A1134" s="1" t="s">
        <v>113</v>
      </c>
      <c r="B1134" s="59">
        <v>35857</v>
      </c>
      <c r="C1134" s="57">
        <f>YEAR(表_查询来自_northwind3[[#This Row],[订购日期]])</f>
        <v>1998</v>
      </c>
      <c r="D1134" s="1">
        <v>111.99999958276749</v>
      </c>
    </row>
    <row r="1135" spans="1:4" x14ac:dyDescent="0.25">
      <c r="A1135" s="1" t="s">
        <v>113</v>
      </c>
      <c r="B1135" s="59">
        <v>35887</v>
      </c>
      <c r="C1135" s="57">
        <f>YEAR(表_查询来自_northwind3[[#This Row],[订购日期]])</f>
        <v>1998</v>
      </c>
      <c r="D1135" s="1">
        <v>560</v>
      </c>
    </row>
    <row r="1136" spans="1:4" x14ac:dyDescent="0.25">
      <c r="A1136" s="1" t="s">
        <v>113</v>
      </c>
      <c r="B1136" s="59">
        <v>35891</v>
      </c>
      <c r="C1136" s="57">
        <f>YEAR(表_查询来自_northwind3[[#This Row],[订购日期]])</f>
        <v>1998</v>
      </c>
      <c r="D1136" s="1">
        <v>285.59999799728394</v>
      </c>
    </row>
    <row r="1137" spans="1:4" x14ac:dyDescent="0.25">
      <c r="A1137" s="1" t="s">
        <v>113</v>
      </c>
      <c r="B1137" s="59">
        <v>35893</v>
      </c>
      <c r="C1137" s="57">
        <f>YEAR(表_查询来自_northwind3[[#This Row],[订购日期]])</f>
        <v>1998</v>
      </c>
      <c r="D1137" s="1">
        <v>196</v>
      </c>
    </row>
    <row r="1138" spans="1:4" x14ac:dyDescent="0.25">
      <c r="A1138" s="1" t="s">
        <v>113</v>
      </c>
      <c r="B1138" s="59">
        <v>35894</v>
      </c>
      <c r="C1138" s="57">
        <f>YEAR(表_查询来自_northwind3[[#This Row],[订购日期]])</f>
        <v>1998</v>
      </c>
      <c r="D1138" s="1">
        <v>56</v>
      </c>
    </row>
    <row r="1139" spans="1:4" x14ac:dyDescent="0.25">
      <c r="A1139" s="1" t="s">
        <v>113</v>
      </c>
      <c r="B1139" s="59">
        <v>35905</v>
      </c>
      <c r="C1139" s="57">
        <f>YEAR(表_查询来自_northwind3[[#This Row],[订购日期]])</f>
        <v>1998</v>
      </c>
      <c r="D1139" s="1">
        <v>420</v>
      </c>
    </row>
    <row r="1140" spans="1:4" x14ac:dyDescent="0.25">
      <c r="A1140" s="1" t="s">
        <v>114</v>
      </c>
      <c r="B1140" s="59">
        <v>35278</v>
      </c>
      <c r="C1140" s="57">
        <f>YEAR(表_查询来自_northwind3[[#This Row],[订购日期]])</f>
        <v>1996</v>
      </c>
      <c r="D1140" s="1">
        <v>920</v>
      </c>
    </row>
    <row r="1141" spans="1:4" x14ac:dyDescent="0.25">
      <c r="A1141" s="1" t="s">
        <v>114</v>
      </c>
      <c r="B1141" s="59">
        <v>35307</v>
      </c>
      <c r="C1141" s="57">
        <f>YEAR(表_查询来自_northwind3[[#This Row],[订购日期]])</f>
        <v>1996</v>
      </c>
      <c r="D1141" s="1">
        <v>552</v>
      </c>
    </row>
    <row r="1142" spans="1:4" x14ac:dyDescent="0.25">
      <c r="A1142" s="1" t="s">
        <v>114</v>
      </c>
      <c r="B1142" s="59">
        <v>35318</v>
      </c>
      <c r="C1142" s="57">
        <f>YEAR(表_查询来自_northwind3[[#This Row],[订购日期]])</f>
        <v>1996</v>
      </c>
      <c r="D1142" s="1">
        <v>441.6</v>
      </c>
    </row>
    <row r="1143" spans="1:4" x14ac:dyDescent="0.25">
      <c r="A1143" s="1" t="s">
        <v>114</v>
      </c>
      <c r="B1143" s="59">
        <v>35327</v>
      </c>
      <c r="C1143" s="57">
        <f>YEAR(表_查询来自_northwind3[[#This Row],[订购日期]])</f>
        <v>1996</v>
      </c>
      <c r="D1143" s="1">
        <v>736</v>
      </c>
    </row>
    <row r="1144" spans="1:4" x14ac:dyDescent="0.25">
      <c r="A1144" s="1" t="s">
        <v>114</v>
      </c>
      <c r="B1144" s="59">
        <v>35331</v>
      </c>
      <c r="C1144" s="57">
        <f>YEAR(表_查询来自_northwind3[[#This Row],[订购日期]])</f>
        <v>1996</v>
      </c>
      <c r="D1144" s="1">
        <v>883.2</v>
      </c>
    </row>
    <row r="1145" spans="1:4" x14ac:dyDescent="0.25">
      <c r="A1145" s="1" t="s">
        <v>114</v>
      </c>
      <c r="B1145" s="59">
        <v>35367</v>
      </c>
      <c r="C1145" s="57">
        <f>YEAR(表_查询来自_northwind3[[#This Row],[订购日期]])</f>
        <v>1996</v>
      </c>
      <c r="D1145" s="1">
        <v>1398.3999989032745</v>
      </c>
    </row>
    <row r="1146" spans="1:4" x14ac:dyDescent="0.25">
      <c r="A1146" s="1" t="s">
        <v>114</v>
      </c>
      <c r="B1146" s="59">
        <v>35487</v>
      </c>
      <c r="C1146" s="57">
        <f>YEAR(表_查询来自_northwind3[[#This Row],[订购日期]])</f>
        <v>1997</v>
      </c>
      <c r="D1146" s="1">
        <v>736</v>
      </c>
    </row>
    <row r="1147" spans="1:4" x14ac:dyDescent="0.25">
      <c r="A1147" s="1" t="s">
        <v>114</v>
      </c>
      <c r="B1147" s="59">
        <v>35493</v>
      </c>
      <c r="C1147" s="57">
        <f>YEAR(表_查询来自_northwind3[[#This Row],[订购日期]])</f>
        <v>1997</v>
      </c>
      <c r="D1147" s="1">
        <v>110.4</v>
      </c>
    </row>
    <row r="1148" spans="1:4" x14ac:dyDescent="0.25">
      <c r="A1148" s="1" t="s">
        <v>114</v>
      </c>
      <c r="B1148" s="59">
        <v>35496</v>
      </c>
      <c r="C1148" s="57">
        <f>YEAR(表_查询来自_northwind3[[#This Row],[订购日期]])</f>
        <v>1997</v>
      </c>
      <c r="D1148" s="1">
        <v>552</v>
      </c>
    </row>
    <row r="1149" spans="1:4" x14ac:dyDescent="0.25">
      <c r="A1149" s="1" t="s">
        <v>114</v>
      </c>
      <c r="B1149" s="59">
        <v>35535</v>
      </c>
      <c r="C1149" s="57">
        <f>YEAR(表_查询来自_northwind3[[#This Row],[订购日期]])</f>
        <v>1997</v>
      </c>
      <c r="D1149" s="1">
        <v>586.49999588727951</v>
      </c>
    </row>
    <row r="1150" spans="1:4" x14ac:dyDescent="0.25">
      <c r="A1150" s="1" t="s">
        <v>114</v>
      </c>
      <c r="B1150" s="59">
        <v>35551</v>
      </c>
      <c r="C1150" s="57">
        <f>YEAR(表_查询来自_northwind3[[#This Row],[订购日期]])</f>
        <v>1997</v>
      </c>
      <c r="D1150" s="1">
        <v>2760</v>
      </c>
    </row>
    <row r="1151" spans="1:4" x14ac:dyDescent="0.25">
      <c r="A1151" s="1" t="s">
        <v>114</v>
      </c>
      <c r="B1151" s="59">
        <v>35558</v>
      </c>
      <c r="C1151" s="57">
        <f>YEAR(表_查询来自_northwind3[[#This Row],[订购日期]])</f>
        <v>1997</v>
      </c>
      <c r="D1151" s="1">
        <v>1150</v>
      </c>
    </row>
    <row r="1152" spans="1:4" x14ac:dyDescent="0.25">
      <c r="A1152" s="1" t="s">
        <v>114</v>
      </c>
      <c r="B1152" s="59">
        <v>35667</v>
      </c>
      <c r="C1152" s="57">
        <f>YEAR(表_查询来自_northwind3[[#This Row],[订购日期]])</f>
        <v>1997</v>
      </c>
      <c r="D1152" s="1">
        <v>920</v>
      </c>
    </row>
    <row r="1153" spans="1:4" x14ac:dyDescent="0.25">
      <c r="A1153" s="1" t="s">
        <v>114</v>
      </c>
      <c r="B1153" s="59">
        <v>35691</v>
      </c>
      <c r="C1153" s="57">
        <f>YEAR(表_查询来自_northwind3[[#This Row],[订购日期]])</f>
        <v>1997</v>
      </c>
      <c r="D1153" s="1">
        <v>276</v>
      </c>
    </row>
    <row r="1154" spans="1:4" x14ac:dyDescent="0.25">
      <c r="A1154" s="1" t="s">
        <v>114</v>
      </c>
      <c r="B1154" s="59">
        <v>35706</v>
      </c>
      <c r="C1154" s="57">
        <f>YEAR(表_查询来自_northwind3[[#This Row],[订购日期]])</f>
        <v>1997</v>
      </c>
      <c r="D1154" s="1">
        <v>1840</v>
      </c>
    </row>
    <row r="1155" spans="1:4" x14ac:dyDescent="0.25">
      <c r="A1155" s="1" t="s">
        <v>114</v>
      </c>
      <c r="B1155" s="59">
        <v>35719</v>
      </c>
      <c r="C1155" s="57">
        <f>YEAR(表_查询来自_northwind3[[#This Row],[订购日期]])</f>
        <v>1997</v>
      </c>
      <c r="D1155" s="1">
        <v>1104</v>
      </c>
    </row>
    <row r="1156" spans="1:4" x14ac:dyDescent="0.25">
      <c r="A1156" s="1" t="s">
        <v>114</v>
      </c>
      <c r="B1156" s="59">
        <v>35765</v>
      </c>
      <c r="C1156" s="57">
        <f>YEAR(表_查询来自_northwind3[[#This Row],[订购日期]])</f>
        <v>1997</v>
      </c>
      <c r="D1156" s="1">
        <v>1035</v>
      </c>
    </row>
    <row r="1157" spans="1:4" x14ac:dyDescent="0.25">
      <c r="A1157" s="1" t="s">
        <v>114</v>
      </c>
      <c r="B1157" s="59">
        <v>35800</v>
      </c>
      <c r="C1157" s="57">
        <f>YEAR(表_查询来自_northwind3[[#This Row],[订购日期]])</f>
        <v>1998</v>
      </c>
      <c r="D1157" s="1">
        <v>781.99999451637268</v>
      </c>
    </row>
    <row r="1158" spans="1:4" x14ac:dyDescent="0.25">
      <c r="A1158" s="1" t="s">
        <v>114</v>
      </c>
      <c r="B1158" s="59">
        <v>35802</v>
      </c>
      <c r="C1158" s="57">
        <f>YEAR(表_查询来自_northwind3[[#This Row],[订购日期]])</f>
        <v>1998</v>
      </c>
      <c r="D1158" s="1">
        <v>322</v>
      </c>
    </row>
    <row r="1159" spans="1:4" x14ac:dyDescent="0.25">
      <c r="A1159" s="1" t="s">
        <v>114</v>
      </c>
      <c r="B1159" s="59">
        <v>35809</v>
      </c>
      <c r="C1159" s="57">
        <f>YEAR(表_查询来自_northwind3[[#This Row],[订购日期]])</f>
        <v>1998</v>
      </c>
      <c r="D1159" s="1">
        <v>414</v>
      </c>
    </row>
    <row r="1160" spans="1:4" x14ac:dyDescent="0.25">
      <c r="A1160" s="1" t="s">
        <v>114</v>
      </c>
      <c r="B1160" s="59">
        <v>35815</v>
      </c>
      <c r="C1160" s="57">
        <f>YEAR(表_查询来自_northwind3[[#This Row],[订购日期]])</f>
        <v>1998</v>
      </c>
      <c r="D1160" s="1">
        <v>230</v>
      </c>
    </row>
    <row r="1161" spans="1:4" x14ac:dyDescent="0.25">
      <c r="A1161" s="1" t="s">
        <v>114</v>
      </c>
      <c r="B1161" s="59">
        <v>35857</v>
      </c>
      <c r="C1161" s="57">
        <f>YEAR(表_查询来自_northwind3[[#This Row],[订购日期]])</f>
        <v>1998</v>
      </c>
      <c r="D1161" s="1">
        <v>367.99999862909317</v>
      </c>
    </row>
    <row r="1162" spans="1:4" x14ac:dyDescent="0.25">
      <c r="A1162" s="1" t="s">
        <v>114</v>
      </c>
      <c r="B1162" s="59">
        <v>35864</v>
      </c>
      <c r="C1162" s="57">
        <f>YEAR(表_查询来自_northwind3[[#This Row],[订购日期]])</f>
        <v>1998</v>
      </c>
      <c r="D1162" s="1">
        <v>828</v>
      </c>
    </row>
    <row r="1163" spans="1:4" x14ac:dyDescent="0.25">
      <c r="A1163" s="1" t="s">
        <v>114</v>
      </c>
      <c r="B1163" s="59">
        <v>35881</v>
      </c>
      <c r="C1163" s="57">
        <f>YEAR(表_查询来自_northwind3[[#This Row],[订购日期]])</f>
        <v>1998</v>
      </c>
      <c r="D1163" s="1">
        <v>414</v>
      </c>
    </row>
    <row r="1164" spans="1:4" x14ac:dyDescent="0.25">
      <c r="A1164" s="1" t="s">
        <v>114</v>
      </c>
      <c r="B1164" s="59">
        <v>35885</v>
      </c>
      <c r="C1164" s="57">
        <f>YEAR(表_查询来自_northwind3[[#This Row],[订购日期]])</f>
        <v>1998</v>
      </c>
      <c r="D1164" s="1">
        <v>276</v>
      </c>
    </row>
    <row r="1165" spans="1:4" x14ac:dyDescent="0.25">
      <c r="A1165" s="1" t="s">
        <v>114</v>
      </c>
      <c r="B1165" s="59">
        <v>35899</v>
      </c>
      <c r="C1165" s="57">
        <f>YEAR(表_查询来自_northwind3[[#This Row],[订购日期]])</f>
        <v>1998</v>
      </c>
      <c r="D1165" s="1">
        <v>1380</v>
      </c>
    </row>
    <row r="1166" spans="1:4" x14ac:dyDescent="0.25">
      <c r="A1166" s="1" t="s">
        <v>114</v>
      </c>
      <c r="B1166" s="59">
        <v>35912</v>
      </c>
      <c r="C1166" s="57">
        <f>YEAR(表_查询来自_northwind3[[#This Row],[订购日期]])</f>
        <v>1998</v>
      </c>
      <c r="D1166" s="1">
        <v>1103.9999958872795</v>
      </c>
    </row>
    <row r="1167" spans="1:4" x14ac:dyDescent="0.25">
      <c r="A1167" s="1" t="s">
        <v>114</v>
      </c>
      <c r="B1167" s="59">
        <v>35919</v>
      </c>
      <c r="C1167" s="57">
        <f>YEAR(表_查询来自_northwind3[[#This Row],[订购日期]])</f>
        <v>1998</v>
      </c>
      <c r="D1167" s="1">
        <v>1407.5999901294708</v>
      </c>
    </row>
    <row r="1168" spans="1:4" x14ac:dyDescent="0.25">
      <c r="A1168" s="1" t="s">
        <v>115</v>
      </c>
      <c r="B1168" s="59">
        <v>35289</v>
      </c>
      <c r="C1168" s="57">
        <f>YEAR(表_查询来自_northwind3[[#This Row],[订购日期]])</f>
        <v>1996</v>
      </c>
      <c r="D1168" s="1">
        <v>248</v>
      </c>
    </row>
    <row r="1169" spans="1:4" x14ac:dyDescent="0.25">
      <c r="A1169" s="1" t="s">
        <v>115</v>
      </c>
      <c r="B1169" s="59">
        <v>35296</v>
      </c>
      <c r="C1169" s="57">
        <f>YEAR(表_查询来自_northwind3[[#This Row],[订购日期]])</f>
        <v>1996</v>
      </c>
      <c r="D1169" s="1">
        <v>325.5</v>
      </c>
    </row>
    <row r="1170" spans="1:4" x14ac:dyDescent="0.25">
      <c r="A1170" s="1" t="s">
        <v>115</v>
      </c>
      <c r="B1170" s="59">
        <v>35304</v>
      </c>
      <c r="C1170" s="57">
        <f>YEAR(表_查询来自_northwind3[[#This Row],[订购日期]])</f>
        <v>1996</v>
      </c>
      <c r="D1170" s="1">
        <v>334.7999994456768</v>
      </c>
    </row>
    <row r="1171" spans="1:4" x14ac:dyDescent="0.25">
      <c r="A1171" s="1" t="s">
        <v>115</v>
      </c>
      <c r="B1171" s="59">
        <v>35380</v>
      </c>
      <c r="C1171" s="57">
        <f>YEAR(表_查询来自_northwind3[[#This Row],[订购日期]])</f>
        <v>1996</v>
      </c>
      <c r="D1171" s="1">
        <v>1133.8249991107732</v>
      </c>
    </row>
    <row r="1172" spans="1:4" x14ac:dyDescent="0.25">
      <c r="A1172" s="1" t="s">
        <v>115</v>
      </c>
      <c r="B1172" s="59">
        <v>35440</v>
      </c>
      <c r="C1172" s="57">
        <f>YEAR(表_查询来自_northwind3[[#This Row],[订购日期]])</f>
        <v>1997</v>
      </c>
      <c r="D1172" s="1">
        <v>495.99999815225601</v>
      </c>
    </row>
    <row r="1173" spans="1:4" x14ac:dyDescent="0.25">
      <c r="A1173" s="1" t="s">
        <v>115</v>
      </c>
      <c r="B1173" s="59">
        <v>35481</v>
      </c>
      <c r="C1173" s="57">
        <f>YEAR(表_查询来自_northwind3[[#This Row],[订购日期]])</f>
        <v>1997</v>
      </c>
      <c r="D1173" s="1">
        <v>1472.49999884516</v>
      </c>
    </row>
    <row r="1174" spans="1:4" x14ac:dyDescent="0.25">
      <c r="A1174" s="1" t="s">
        <v>115</v>
      </c>
      <c r="B1174" s="59">
        <v>35499</v>
      </c>
      <c r="C1174" s="57">
        <f>YEAR(表_查询来自_northwind3[[#This Row],[订购日期]])</f>
        <v>1997</v>
      </c>
      <c r="D1174" s="1">
        <v>26.349999815225601</v>
      </c>
    </row>
    <row r="1175" spans="1:4" x14ac:dyDescent="0.25">
      <c r="A1175" s="1" t="s">
        <v>115</v>
      </c>
      <c r="B1175" s="59">
        <v>35520</v>
      </c>
      <c r="C1175" s="57">
        <f>YEAR(表_查询来自_northwind3[[#This Row],[订购日期]])</f>
        <v>1997</v>
      </c>
      <c r="D1175" s="1">
        <v>197.62499861419201</v>
      </c>
    </row>
    <row r="1176" spans="1:4" x14ac:dyDescent="0.25">
      <c r="A1176" s="1" t="s">
        <v>115</v>
      </c>
      <c r="B1176" s="59">
        <v>35545</v>
      </c>
      <c r="C1176" s="57">
        <f>YEAR(表_查询来自_northwind3[[#This Row],[订购日期]])</f>
        <v>1997</v>
      </c>
      <c r="D1176" s="1">
        <v>175.05</v>
      </c>
    </row>
    <row r="1177" spans="1:4" x14ac:dyDescent="0.25">
      <c r="A1177" s="1" t="s">
        <v>115</v>
      </c>
      <c r="B1177" s="59">
        <v>35578</v>
      </c>
      <c r="C1177" s="57">
        <f>YEAR(表_查询来自_northwind3[[#This Row],[订购日期]])</f>
        <v>1997</v>
      </c>
      <c r="D1177" s="1">
        <v>778</v>
      </c>
    </row>
    <row r="1178" spans="1:4" x14ac:dyDescent="0.25">
      <c r="A1178" s="1" t="s">
        <v>115</v>
      </c>
      <c r="B1178" s="59">
        <v>35587</v>
      </c>
      <c r="C1178" s="57">
        <f>YEAR(表_查询来自_northwind3[[#This Row],[订购日期]])</f>
        <v>1997</v>
      </c>
      <c r="D1178" s="1">
        <v>194.5</v>
      </c>
    </row>
    <row r="1179" spans="1:4" x14ac:dyDescent="0.25">
      <c r="A1179" s="1" t="s">
        <v>115</v>
      </c>
      <c r="B1179" s="59">
        <v>35604</v>
      </c>
      <c r="C1179" s="57">
        <f>YEAR(表_查询来自_northwind3[[#This Row],[订购日期]])</f>
        <v>1997</v>
      </c>
      <c r="D1179" s="1">
        <v>408.45</v>
      </c>
    </row>
    <row r="1180" spans="1:4" x14ac:dyDescent="0.25">
      <c r="A1180" s="1" t="s">
        <v>115</v>
      </c>
      <c r="B1180" s="59">
        <v>35649</v>
      </c>
      <c r="C1180" s="57">
        <f>YEAR(表_查询来自_northwind3[[#This Row],[订购日期]])</f>
        <v>1997</v>
      </c>
      <c r="D1180" s="1">
        <v>194.5</v>
      </c>
    </row>
    <row r="1181" spans="1:4" x14ac:dyDescent="0.25">
      <c r="A1181" s="1" t="s">
        <v>115</v>
      </c>
      <c r="B1181" s="59">
        <v>35677</v>
      </c>
      <c r="C1181" s="57">
        <f>YEAR(表_查询来自_northwind3[[#This Row],[订购日期]])</f>
        <v>1997</v>
      </c>
      <c r="D1181" s="1">
        <v>490.13999918848276</v>
      </c>
    </row>
    <row r="1182" spans="1:4" x14ac:dyDescent="0.25">
      <c r="A1182" s="1" t="s">
        <v>115</v>
      </c>
      <c r="B1182" s="59">
        <v>35695</v>
      </c>
      <c r="C1182" s="57">
        <f>YEAR(表_查询来自_northwind3[[#This Row],[订购日期]])</f>
        <v>1997</v>
      </c>
      <c r="D1182" s="1">
        <v>408.45</v>
      </c>
    </row>
    <row r="1183" spans="1:4" x14ac:dyDescent="0.25">
      <c r="A1183" s="1" t="s">
        <v>115</v>
      </c>
      <c r="B1183" s="59">
        <v>35706</v>
      </c>
      <c r="C1183" s="57">
        <f>YEAR(表_查询来自_northwind3[[#This Row],[订购日期]])</f>
        <v>1997</v>
      </c>
      <c r="D1183" s="1">
        <v>466.8</v>
      </c>
    </row>
    <row r="1184" spans="1:4" x14ac:dyDescent="0.25">
      <c r="A1184" s="1" t="s">
        <v>115</v>
      </c>
      <c r="B1184" s="59">
        <v>35732</v>
      </c>
      <c r="C1184" s="57">
        <f>YEAR(表_查询来自_northwind3[[#This Row],[订购日期]])</f>
        <v>1997</v>
      </c>
      <c r="D1184" s="1">
        <v>923.87499927543104</v>
      </c>
    </row>
    <row r="1185" spans="1:4" x14ac:dyDescent="0.25">
      <c r="A1185" s="1" t="s">
        <v>115</v>
      </c>
      <c r="B1185" s="59">
        <v>35752</v>
      </c>
      <c r="C1185" s="57">
        <f>YEAR(表_查询来自_northwind3[[#This Row],[订购日期]])</f>
        <v>1997</v>
      </c>
      <c r="D1185" s="1">
        <v>311.2</v>
      </c>
    </row>
    <row r="1186" spans="1:4" x14ac:dyDescent="0.25">
      <c r="A1186" s="1" t="s">
        <v>115</v>
      </c>
      <c r="B1186" s="59">
        <v>35789</v>
      </c>
      <c r="C1186" s="57">
        <f>YEAR(表_查询来自_northwind3[[#This Row],[订购日期]])</f>
        <v>1997</v>
      </c>
      <c r="D1186" s="1">
        <v>194.5</v>
      </c>
    </row>
    <row r="1187" spans="1:4" x14ac:dyDescent="0.25">
      <c r="A1187" s="1" t="s">
        <v>115</v>
      </c>
      <c r="B1187" s="59">
        <v>35809</v>
      </c>
      <c r="C1187" s="57">
        <f>YEAR(表_查询来自_northwind3[[#This Row],[订购日期]])</f>
        <v>1998</v>
      </c>
      <c r="D1187" s="1">
        <v>248.95999907255171</v>
      </c>
    </row>
    <row r="1188" spans="1:4" x14ac:dyDescent="0.25">
      <c r="A1188" s="1" t="s">
        <v>115</v>
      </c>
      <c r="B1188" s="59">
        <v>35866</v>
      </c>
      <c r="C1188" s="57">
        <f>YEAR(表_查询来自_northwind3[[#This Row],[订购日期]])</f>
        <v>1998</v>
      </c>
      <c r="D1188" s="1">
        <v>262.57500000000005</v>
      </c>
    </row>
    <row r="1189" spans="1:4" x14ac:dyDescent="0.25">
      <c r="A1189" s="1" t="s">
        <v>115</v>
      </c>
      <c r="B1189" s="59">
        <v>35880</v>
      </c>
      <c r="C1189" s="57">
        <f>YEAR(表_查询来自_northwind3[[#This Row],[订购日期]])</f>
        <v>1998</v>
      </c>
      <c r="D1189" s="1">
        <v>99.194999304413798</v>
      </c>
    </row>
    <row r="1190" spans="1:4" x14ac:dyDescent="0.25">
      <c r="A1190" s="1" t="s">
        <v>115</v>
      </c>
      <c r="B1190" s="59">
        <v>35905</v>
      </c>
      <c r="C1190" s="57">
        <f>YEAR(表_查询来自_northwind3[[#This Row],[订购日期]])</f>
        <v>1998</v>
      </c>
      <c r="D1190" s="1">
        <v>233.4</v>
      </c>
    </row>
    <row r="1191" spans="1:4" x14ac:dyDescent="0.25">
      <c r="A1191" s="1" t="s">
        <v>115</v>
      </c>
      <c r="B1191" s="59">
        <v>35907</v>
      </c>
      <c r="C1191" s="57">
        <f>YEAR(表_查询来自_northwind3[[#This Row],[订购日期]])</f>
        <v>1998</v>
      </c>
      <c r="D1191" s="1">
        <v>291.75</v>
      </c>
    </row>
    <row r="1192" spans="1:4" x14ac:dyDescent="0.25">
      <c r="A1192" s="1" t="s">
        <v>116</v>
      </c>
      <c r="B1192" s="59">
        <v>35418</v>
      </c>
      <c r="C1192" s="57">
        <f>YEAR(表_查询来自_northwind3[[#This Row],[订购日期]])</f>
        <v>1996</v>
      </c>
      <c r="D1192" s="1">
        <v>91.199999660253525</v>
      </c>
    </row>
    <row r="1193" spans="1:4" x14ac:dyDescent="0.25">
      <c r="A1193" s="1" t="s">
        <v>116</v>
      </c>
      <c r="B1193" s="59">
        <v>35494</v>
      </c>
      <c r="C1193" s="57">
        <f>YEAR(表_查询来自_northwind3[[#This Row],[订购日期]])</f>
        <v>1997</v>
      </c>
      <c r="D1193" s="1">
        <v>205.19999966025352</v>
      </c>
    </row>
    <row r="1194" spans="1:4" x14ac:dyDescent="0.25">
      <c r="A1194" s="1" t="s">
        <v>116</v>
      </c>
      <c r="B1194" s="59">
        <v>35530</v>
      </c>
      <c r="C1194" s="57">
        <f>YEAR(表_查询来自_northwind3[[#This Row],[订购日期]])</f>
        <v>1997</v>
      </c>
      <c r="D1194" s="1">
        <v>199.5</v>
      </c>
    </row>
    <row r="1195" spans="1:4" x14ac:dyDescent="0.25">
      <c r="A1195" s="1" t="s">
        <v>116</v>
      </c>
      <c r="B1195" s="59">
        <v>35577</v>
      </c>
      <c r="C1195" s="57">
        <f>YEAR(表_查询来自_northwind3[[#This Row],[订购日期]])</f>
        <v>1997</v>
      </c>
      <c r="D1195" s="1">
        <v>807.49999433755875</v>
      </c>
    </row>
    <row r="1196" spans="1:4" x14ac:dyDescent="0.25">
      <c r="A1196" s="1" t="s">
        <v>116</v>
      </c>
      <c r="B1196" s="59">
        <v>35662</v>
      </c>
      <c r="C1196" s="57">
        <f>YEAR(表_查询来自_northwind3[[#This Row],[订购日期]])</f>
        <v>1997</v>
      </c>
      <c r="D1196" s="1">
        <v>190</v>
      </c>
    </row>
    <row r="1197" spans="1:4" x14ac:dyDescent="0.25">
      <c r="A1197" s="1" t="s">
        <v>116</v>
      </c>
      <c r="B1197" s="59">
        <v>35725</v>
      </c>
      <c r="C1197" s="57">
        <f>YEAR(表_查询来自_northwind3[[#This Row],[订购日期]])</f>
        <v>1997</v>
      </c>
      <c r="D1197" s="1">
        <v>1045</v>
      </c>
    </row>
    <row r="1198" spans="1:4" x14ac:dyDescent="0.25">
      <c r="A1198" s="1" t="s">
        <v>116</v>
      </c>
      <c r="B1198" s="59">
        <v>35747</v>
      </c>
      <c r="C1198" s="57">
        <f>YEAR(表_查询来自_northwind3[[#This Row],[订购日期]])</f>
        <v>1997</v>
      </c>
      <c r="D1198" s="1">
        <v>303.99999886751175</v>
      </c>
    </row>
    <row r="1199" spans="1:4" x14ac:dyDescent="0.25">
      <c r="A1199" s="1" t="s">
        <v>116</v>
      </c>
      <c r="B1199" s="59">
        <v>35755</v>
      </c>
      <c r="C1199" s="57">
        <f>YEAR(表_查询来自_northwind3[[#This Row],[订购日期]])</f>
        <v>1997</v>
      </c>
      <c r="D1199" s="1">
        <v>322.9999977350235</v>
      </c>
    </row>
    <row r="1200" spans="1:4" x14ac:dyDescent="0.25">
      <c r="A1200" s="1" t="s">
        <v>116</v>
      </c>
      <c r="B1200" s="59">
        <v>35759</v>
      </c>
      <c r="C1200" s="57">
        <f>YEAR(表_查询来自_northwind3[[#This Row],[订购日期]])</f>
        <v>1997</v>
      </c>
      <c r="D1200" s="1">
        <v>38</v>
      </c>
    </row>
    <row r="1201" spans="1:4" x14ac:dyDescent="0.25">
      <c r="A1201" s="1" t="s">
        <v>116</v>
      </c>
      <c r="B1201" s="59">
        <v>35779</v>
      </c>
      <c r="C1201" s="57">
        <f>YEAR(表_查询来自_northwind3[[#This Row],[订购日期]])</f>
        <v>1997</v>
      </c>
      <c r="D1201" s="1">
        <v>243.67499980889261</v>
      </c>
    </row>
    <row r="1202" spans="1:4" x14ac:dyDescent="0.25">
      <c r="A1202" s="1" t="s">
        <v>116</v>
      </c>
      <c r="B1202" s="59">
        <v>35817</v>
      </c>
      <c r="C1202" s="57">
        <f>YEAR(表_查询来自_northwind3[[#This Row],[订购日期]])</f>
        <v>1998</v>
      </c>
      <c r="D1202" s="1">
        <v>273.59999898076057</v>
      </c>
    </row>
    <row r="1203" spans="1:4" x14ac:dyDescent="0.25">
      <c r="A1203" s="1" t="s">
        <v>116</v>
      </c>
      <c r="B1203" s="59">
        <v>35845</v>
      </c>
      <c r="C1203" s="57">
        <f>YEAR(表_查询来自_northwind3[[#This Row],[订购日期]])</f>
        <v>1998</v>
      </c>
      <c r="D1203" s="1">
        <v>142.5</v>
      </c>
    </row>
    <row r="1204" spans="1:4" x14ac:dyDescent="0.25">
      <c r="A1204" s="1" t="s">
        <v>116</v>
      </c>
      <c r="B1204" s="59">
        <v>35871</v>
      </c>
      <c r="C1204" s="57">
        <f>YEAR(表_查询来自_northwind3[[#This Row],[订购日期]])</f>
        <v>1998</v>
      </c>
      <c r="D1204" s="1">
        <v>285</v>
      </c>
    </row>
    <row r="1205" spans="1:4" x14ac:dyDescent="0.25">
      <c r="A1205" s="1" t="s">
        <v>116</v>
      </c>
      <c r="B1205" s="59">
        <v>35894</v>
      </c>
      <c r="C1205" s="57">
        <f>YEAR(表_查询来自_northwind3[[#This Row],[订购日期]])</f>
        <v>1998</v>
      </c>
      <c r="D1205" s="1">
        <v>190</v>
      </c>
    </row>
    <row r="1206" spans="1:4" x14ac:dyDescent="0.25">
      <c r="A1206" s="1" t="s">
        <v>117</v>
      </c>
      <c r="B1206" s="59">
        <v>35299</v>
      </c>
      <c r="C1206" s="57">
        <f>YEAR(表_查询来自_northwind3[[#This Row],[订购日期]])</f>
        <v>1996</v>
      </c>
      <c r="D1206" s="1">
        <v>122.39999914169312</v>
      </c>
    </row>
    <row r="1207" spans="1:4" x14ac:dyDescent="0.25">
      <c r="A1207" s="1" t="s">
        <v>117</v>
      </c>
      <c r="B1207" s="59">
        <v>35346</v>
      </c>
      <c r="C1207" s="57">
        <f>YEAR(表_查询来自_northwind3[[#This Row],[订购日期]])</f>
        <v>1996</v>
      </c>
      <c r="D1207" s="1">
        <v>288</v>
      </c>
    </row>
    <row r="1208" spans="1:4" x14ac:dyDescent="0.25">
      <c r="A1208" s="1" t="s">
        <v>117</v>
      </c>
      <c r="B1208" s="59">
        <v>35422</v>
      </c>
      <c r="C1208" s="57">
        <f>YEAR(表_查询来自_northwind3[[#This Row],[订购日期]])</f>
        <v>1996</v>
      </c>
      <c r="D1208" s="1">
        <v>432</v>
      </c>
    </row>
    <row r="1209" spans="1:4" x14ac:dyDescent="0.25">
      <c r="A1209" s="1" t="s">
        <v>117</v>
      </c>
      <c r="B1209" s="59">
        <v>35425</v>
      </c>
      <c r="C1209" s="57">
        <f>YEAR(表_查询来自_northwind3[[#This Row],[订购日期]])</f>
        <v>1996</v>
      </c>
      <c r="D1209" s="1">
        <v>241.91999959945679</v>
      </c>
    </row>
    <row r="1210" spans="1:4" x14ac:dyDescent="0.25">
      <c r="A1210" s="1" t="s">
        <v>117</v>
      </c>
      <c r="B1210" s="59">
        <v>35446</v>
      </c>
      <c r="C1210" s="57">
        <f>YEAR(表_查询来自_northwind3[[#This Row],[订购日期]])</f>
        <v>1997</v>
      </c>
      <c r="D1210" s="1">
        <v>14.399999999999999</v>
      </c>
    </row>
    <row r="1211" spans="1:4" x14ac:dyDescent="0.25">
      <c r="A1211" s="1" t="s">
        <v>117</v>
      </c>
      <c r="B1211" s="59">
        <v>35458</v>
      </c>
      <c r="C1211" s="57">
        <f>YEAR(表_查询来自_northwind3[[#This Row],[订购日期]])</f>
        <v>1997</v>
      </c>
      <c r="D1211" s="1">
        <v>192</v>
      </c>
    </row>
    <row r="1212" spans="1:4" x14ac:dyDescent="0.25">
      <c r="A1212" s="1" t="s">
        <v>117</v>
      </c>
      <c r="B1212" s="59">
        <v>35466</v>
      </c>
      <c r="C1212" s="57">
        <f>YEAR(表_查询来自_northwind3[[#This Row],[订购日期]])</f>
        <v>1997</v>
      </c>
      <c r="D1212" s="1">
        <v>48</v>
      </c>
    </row>
    <row r="1213" spans="1:4" x14ac:dyDescent="0.25">
      <c r="A1213" s="1" t="s">
        <v>117</v>
      </c>
      <c r="B1213" s="59">
        <v>35482</v>
      </c>
      <c r="C1213" s="57">
        <f>YEAR(表_查询来自_northwind3[[#This Row],[订购日期]])</f>
        <v>1997</v>
      </c>
      <c r="D1213" s="1">
        <v>76.799999713897705</v>
      </c>
    </row>
    <row r="1214" spans="1:4" x14ac:dyDescent="0.25">
      <c r="A1214" s="1" t="s">
        <v>117</v>
      </c>
      <c r="B1214" s="59">
        <v>35488</v>
      </c>
      <c r="C1214" s="57">
        <f>YEAR(表_查询来自_northwind3[[#This Row],[订购日期]])</f>
        <v>1997</v>
      </c>
      <c r="D1214" s="1">
        <v>182.39999985694885</v>
      </c>
    </row>
    <row r="1215" spans="1:4" x14ac:dyDescent="0.25">
      <c r="A1215" s="1" t="s">
        <v>117</v>
      </c>
      <c r="B1215" s="59">
        <v>35495</v>
      </c>
      <c r="C1215" s="57">
        <f>YEAR(表_查询来自_northwind3[[#This Row],[订购日期]])</f>
        <v>1997</v>
      </c>
      <c r="D1215" s="1">
        <v>48</v>
      </c>
    </row>
    <row r="1216" spans="1:4" x14ac:dyDescent="0.25">
      <c r="A1216" s="1" t="s">
        <v>117</v>
      </c>
      <c r="B1216" s="59">
        <v>35541</v>
      </c>
      <c r="C1216" s="57">
        <f>YEAR(表_查询来自_northwind3[[#This Row],[订购日期]])</f>
        <v>1997</v>
      </c>
      <c r="D1216" s="1">
        <v>91.799999356269836</v>
      </c>
    </row>
    <row r="1217" spans="1:4" x14ac:dyDescent="0.25">
      <c r="A1217" s="1" t="s">
        <v>117</v>
      </c>
      <c r="B1217" s="59">
        <v>35667</v>
      </c>
      <c r="C1217" s="57">
        <f>YEAR(表_查询来自_northwind3[[#This Row],[订购日期]])</f>
        <v>1997</v>
      </c>
      <c r="D1217" s="1">
        <v>18</v>
      </c>
    </row>
    <row r="1218" spans="1:4" x14ac:dyDescent="0.25">
      <c r="A1218" s="1" t="s">
        <v>117</v>
      </c>
      <c r="B1218" s="59">
        <v>35667</v>
      </c>
      <c r="C1218" s="57">
        <f>YEAR(表_查询来自_northwind3[[#This Row],[订购日期]])</f>
        <v>1997</v>
      </c>
      <c r="D1218" s="1">
        <v>226.79999962449074</v>
      </c>
    </row>
    <row r="1219" spans="1:4" x14ac:dyDescent="0.25">
      <c r="A1219" s="1" t="s">
        <v>117</v>
      </c>
      <c r="B1219" s="59">
        <v>35677</v>
      </c>
      <c r="C1219" s="57">
        <f>YEAR(表_查询来自_northwind3[[#This Row],[订购日期]])</f>
        <v>1997</v>
      </c>
      <c r="D1219" s="1">
        <v>540</v>
      </c>
    </row>
    <row r="1220" spans="1:4" x14ac:dyDescent="0.25">
      <c r="A1220" s="1" t="s">
        <v>117</v>
      </c>
      <c r="B1220" s="59">
        <v>35689</v>
      </c>
      <c r="C1220" s="57">
        <f>YEAR(表_查询来自_northwind3[[#This Row],[订购日期]])</f>
        <v>1997</v>
      </c>
      <c r="D1220" s="1">
        <v>720</v>
      </c>
    </row>
    <row r="1221" spans="1:4" x14ac:dyDescent="0.25">
      <c r="A1221" s="1" t="s">
        <v>117</v>
      </c>
      <c r="B1221" s="59">
        <v>35711</v>
      </c>
      <c r="C1221" s="57">
        <f>YEAR(表_查询来自_northwind3[[#This Row],[订购日期]])</f>
        <v>1997</v>
      </c>
      <c r="D1221" s="1">
        <v>216</v>
      </c>
    </row>
    <row r="1222" spans="1:4" x14ac:dyDescent="0.25">
      <c r="A1222" s="1" t="s">
        <v>117</v>
      </c>
      <c r="B1222" s="59">
        <v>35725</v>
      </c>
      <c r="C1222" s="57">
        <f>YEAR(表_查询来自_northwind3[[#This Row],[订购日期]])</f>
        <v>1997</v>
      </c>
      <c r="D1222" s="1">
        <v>288</v>
      </c>
    </row>
    <row r="1223" spans="1:4" x14ac:dyDescent="0.25">
      <c r="A1223" s="1" t="s">
        <v>117</v>
      </c>
      <c r="B1223" s="59">
        <v>35751</v>
      </c>
      <c r="C1223" s="57">
        <f>YEAR(表_查询来自_northwind3[[#This Row],[订购日期]])</f>
        <v>1997</v>
      </c>
      <c r="D1223" s="1">
        <v>319.19999974966049</v>
      </c>
    </row>
    <row r="1224" spans="1:4" x14ac:dyDescent="0.25">
      <c r="A1224" s="1" t="s">
        <v>117</v>
      </c>
      <c r="B1224" s="59">
        <v>35800</v>
      </c>
      <c r="C1224" s="57">
        <f>YEAR(表_查询来自_northwind3[[#This Row],[订购日期]])</f>
        <v>1998</v>
      </c>
      <c r="D1224" s="1">
        <v>420</v>
      </c>
    </row>
    <row r="1225" spans="1:4" x14ac:dyDescent="0.25">
      <c r="A1225" s="1" t="s">
        <v>117</v>
      </c>
      <c r="B1225" s="59">
        <v>35835</v>
      </c>
      <c r="C1225" s="57">
        <f>YEAR(表_查询来自_northwind3[[#This Row],[订购日期]])</f>
        <v>1998</v>
      </c>
      <c r="D1225" s="1">
        <v>252</v>
      </c>
    </row>
    <row r="1226" spans="1:4" x14ac:dyDescent="0.25">
      <c r="A1226" s="1" t="s">
        <v>117</v>
      </c>
      <c r="B1226" s="59">
        <v>35865</v>
      </c>
      <c r="C1226" s="57">
        <f>YEAR(表_查询来自_northwind3[[#This Row],[订购日期]])</f>
        <v>1998</v>
      </c>
      <c r="D1226" s="1">
        <v>180</v>
      </c>
    </row>
    <row r="1227" spans="1:4" x14ac:dyDescent="0.25">
      <c r="A1227" s="1" t="s">
        <v>117</v>
      </c>
      <c r="B1227" s="59">
        <v>35877</v>
      </c>
      <c r="C1227" s="57">
        <f>YEAR(表_查询来自_northwind3[[#This Row],[订购日期]])</f>
        <v>1998</v>
      </c>
      <c r="D1227" s="1">
        <v>108</v>
      </c>
    </row>
    <row r="1228" spans="1:4" x14ac:dyDescent="0.25">
      <c r="A1228" s="1" t="s">
        <v>117</v>
      </c>
      <c r="B1228" s="59">
        <v>35888</v>
      </c>
      <c r="C1228" s="57">
        <f>YEAR(表_查询来自_northwind3[[#This Row],[订购日期]])</f>
        <v>1998</v>
      </c>
      <c r="D1228" s="1">
        <v>180</v>
      </c>
    </row>
    <row r="1229" spans="1:4" x14ac:dyDescent="0.25">
      <c r="A1229" s="1" t="s">
        <v>117</v>
      </c>
      <c r="B1229" s="59">
        <v>35891</v>
      </c>
      <c r="C1229" s="57">
        <f>YEAR(表_查询来自_northwind3[[#This Row],[订购日期]])</f>
        <v>1998</v>
      </c>
      <c r="D1229" s="1">
        <v>300</v>
      </c>
    </row>
    <row r="1230" spans="1:4" x14ac:dyDescent="0.25">
      <c r="A1230" s="1" t="s">
        <v>117</v>
      </c>
      <c r="B1230" s="59">
        <v>35898</v>
      </c>
      <c r="C1230" s="57">
        <f>YEAR(表_查询来自_northwind3[[#This Row],[订购日期]])</f>
        <v>1998</v>
      </c>
      <c r="D1230" s="1">
        <v>36</v>
      </c>
    </row>
    <row r="1231" spans="1:4" x14ac:dyDescent="0.25">
      <c r="A1231" s="1" t="s">
        <v>117</v>
      </c>
      <c r="B1231" s="59">
        <v>35921</v>
      </c>
      <c r="C1231" s="57">
        <f>YEAR(表_查询来自_northwind3[[#This Row],[订购日期]])</f>
        <v>1998</v>
      </c>
      <c r="D1231" s="1">
        <v>305.99999785423279</v>
      </c>
    </row>
    <row r="1232" spans="1:4" x14ac:dyDescent="0.25">
      <c r="A1232" s="1" t="s">
        <v>117</v>
      </c>
      <c r="B1232" s="59">
        <v>35921</v>
      </c>
      <c r="C1232" s="57">
        <f>YEAR(表_查询来自_northwind3[[#This Row],[订购日期]])</f>
        <v>1998</v>
      </c>
      <c r="D1232" s="1">
        <v>35.280000016093254</v>
      </c>
    </row>
    <row r="1233" spans="1:4" x14ac:dyDescent="0.25">
      <c r="A1233" s="1" t="s">
        <v>118</v>
      </c>
      <c r="B1233" s="59">
        <v>35355</v>
      </c>
      <c r="C1233" s="57">
        <f>YEAR(表_查询来自_northwind3[[#This Row],[订购日期]])</f>
        <v>1996</v>
      </c>
      <c r="D1233" s="1">
        <v>97.279999637603751</v>
      </c>
    </row>
    <row r="1234" spans="1:4" x14ac:dyDescent="0.25">
      <c r="A1234" s="1" t="s">
        <v>118</v>
      </c>
      <c r="B1234" s="59">
        <v>35447</v>
      </c>
      <c r="C1234" s="57">
        <f>YEAR(表_查询来自_northwind3[[#This Row],[订购日期]])</f>
        <v>1997</v>
      </c>
      <c r="D1234" s="1">
        <v>418</v>
      </c>
    </row>
    <row r="1235" spans="1:4" x14ac:dyDescent="0.25">
      <c r="A1235" s="1" t="s">
        <v>118</v>
      </c>
      <c r="B1235" s="59">
        <v>35460</v>
      </c>
      <c r="C1235" s="57">
        <f>YEAR(表_查询来自_northwind3[[#This Row],[订购日期]])</f>
        <v>1997</v>
      </c>
      <c r="D1235" s="1">
        <v>171</v>
      </c>
    </row>
    <row r="1236" spans="1:4" x14ac:dyDescent="0.25">
      <c r="A1236" s="1" t="s">
        <v>118</v>
      </c>
      <c r="B1236" s="59">
        <v>35509</v>
      </c>
      <c r="C1236" s="57">
        <f>YEAR(表_查询来自_northwind3[[#This Row],[订购日期]])</f>
        <v>1997</v>
      </c>
      <c r="D1236" s="1">
        <v>228</v>
      </c>
    </row>
    <row r="1237" spans="1:4" x14ac:dyDescent="0.25">
      <c r="A1237" s="1" t="s">
        <v>118</v>
      </c>
      <c r="B1237" s="59">
        <v>35541</v>
      </c>
      <c r="C1237" s="57">
        <f>YEAR(表_查询来自_northwind3[[#This Row],[订购日期]])</f>
        <v>1997</v>
      </c>
      <c r="D1237" s="1">
        <v>48.449999660253525</v>
      </c>
    </row>
    <row r="1238" spans="1:4" x14ac:dyDescent="0.25">
      <c r="A1238" s="1" t="s">
        <v>118</v>
      </c>
      <c r="B1238" s="59">
        <v>35585</v>
      </c>
      <c r="C1238" s="57">
        <f>YEAR(表_查询来自_northwind3[[#This Row],[订购日期]])</f>
        <v>1997</v>
      </c>
      <c r="D1238" s="1">
        <v>237.5</v>
      </c>
    </row>
    <row r="1239" spans="1:4" x14ac:dyDescent="0.25">
      <c r="A1239" s="1" t="s">
        <v>118</v>
      </c>
      <c r="B1239" s="59">
        <v>35612</v>
      </c>
      <c r="C1239" s="57">
        <f>YEAR(表_查询来自_northwind3[[#This Row],[订购日期]])</f>
        <v>1997</v>
      </c>
      <c r="D1239" s="1">
        <v>142.5</v>
      </c>
    </row>
    <row r="1240" spans="1:4" x14ac:dyDescent="0.25">
      <c r="A1240" s="1" t="s">
        <v>118</v>
      </c>
      <c r="B1240" s="59">
        <v>35677</v>
      </c>
      <c r="C1240" s="57">
        <f>YEAR(表_查询来自_northwind3[[#This Row],[订购日期]])</f>
        <v>1997</v>
      </c>
      <c r="D1240" s="1">
        <v>51.299999915063381</v>
      </c>
    </row>
    <row r="1241" spans="1:4" x14ac:dyDescent="0.25">
      <c r="A1241" s="1" t="s">
        <v>118</v>
      </c>
      <c r="B1241" s="59">
        <v>35677</v>
      </c>
      <c r="C1241" s="57">
        <f>YEAR(表_查询来自_northwind3[[#This Row],[订购日期]])</f>
        <v>1997</v>
      </c>
      <c r="D1241" s="1">
        <v>95</v>
      </c>
    </row>
    <row r="1242" spans="1:4" x14ac:dyDescent="0.25">
      <c r="A1242" s="1" t="s">
        <v>118</v>
      </c>
      <c r="B1242" s="59">
        <v>35699</v>
      </c>
      <c r="C1242" s="57">
        <f>YEAR(表_查询来自_northwind3[[#This Row],[订购日期]])</f>
        <v>1997</v>
      </c>
      <c r="D1242" s="1">
        <v>380</v>
      </c>
    </row>
    <row r="1243" spans="1:4" x14ac:dyDescent="0.25">
      <c r="A1243" s="1" t="s">
        <v>118</v>
      </c>
      <c r="B1243" s="59">
        <v>35702</v>
      </c>
      <c r="C1243" s="57">
        <f>YEAR(表_查询来自_northwind3[[#This Row],[订购日期]])</f>
        <v>1997</v>
      </c>
      <c r="D1243" s="1">
        <v>142.5</v>
      </c>
    </row>
    <row r="1244" spans="1:4" x14ac:dyDescent="0.25">
      <c r="A1244" s="1" t="s">
        <v>118</v>
      </c>
      <c r="B1244" s="59">
        <v>35712</v>
      </c>
      <c r="C1244" s="57">
        <f>YEAR(表_查询来自_northwind3[[#This Row],[订购日期]])</f>
        <v>1997</v>
      </c>
      <c r="D1244" s="1">
        <v>114</v>
      </c>
    </row>
    <row r="1245" spans="1:4" x14ac:dyDescent="0.25">
      <c r="A1245" s="1" t="s">
        <v>118</v>
      </c>
      <c r="B1245" s="59">
        <v>35723</v>
      </c>
      <c r="C1245" s="57">
        <f>YEAR(表_查询来自_northwind3[[#This Row],[订购日期]])</f>
        <v>1997</v>
      </c>
      <c r="D1245" s="1">
        <v>47.5</v>
      </c>
    </row>
    <row r="1246" spans="1:4" x14ac:dyDescent="0.25">
      <c r="A1246" s="1" t="s">
        <v>118</v>
      </c>
      <c r="B1246" s="59">
        <v>35725</v>
      </c>
      <c r="C1246" s="57">
        <f>YEAR(表_查询来自_northwind3[[#This Row],[订购日期]])</f>
        <v>1997</v>
      </c>
      <c r="D1246" s="1">
        <v>356.25</v>
      </c>
    </row>
    <row r="1247" spans="1:4" x14ac:dyDescent="0.25">
      <c r="A1247" s="1" t="s">
        <v>118</v>
      </c>
      <c r="B1247" s="59">
        <v>35760</v>
      </c>
      <c r="C1247" s="57">
        <f>YEAR(表_查询来自_northwind3[[#This Row],[订购日期]])</f>
        <v>1997</v>
      </c>
      <c r="D1247" s="1">
        <v>213.75</v>
      </c>
    </row>
    <row r="1248" spans="1:4" x14ac:dyDescent="0.25">
      <c r="A1248" s="1" t="s">
        <v>118</v>
      </c>
      <c r="B1248" s="59">
        <v>35766</v>
      </c>
      <c r="C1248" s="57">
        <f>YEAR(表_查询来自_northwind3[[#This Row],[订购日期]])</f>
        <v>1997</v>
      </c>
      <c r="D1248" s="1">
        <v>285</v>
      </c>
    </row>
    <row r="1249" spans="1:4" x14ac:dyDescent="0.25">
      <c r="A1249" s="1" t="s">
        <v>118</v>
      </c>
      <c r="B1249" s="59">
        <v>35811</v>
      </c>
      <c r="C1249" s="57">
        <f>YEAR(表_查询来自_northwind3[[#This Row],[订购日期]])</f>
        <v>1998</v>
      </c>
      <c r="D1249" s="1">
        <v>285</v>
      </c>
    </row>
    <row r="1250" spans="1:4" x14ac:dyDescent="0.25">
      <c r="A1250" s="1" t="s">
        <v>118</v>
      </c>
      <c r="B1250" s="59">
        <v>35832</v>
      </c>
      <c r="C1250" s="57">
        <f>YEAR(表_查询来自_northwind3[[#This Row],[订购日期]])</f>
        <v>1998</v>
      </c>
      <c r="D1250" s="1">
        <v>179.54999970272183</v>
      </c>
    </row>
    <row r="1251" spans="1:4" x14ac:dyDescent="0.25">
      <c r="A1251" s="1" t="s">
        <v>118</v>
      </c>
      <c r="B1251" s="59">
        <v>35859</v>
      </c>
      <c r="C1251" s="57">
        <f>YEAR(表_查询来自_northwind3[[#This Row],[订购日期]])</f>
        <v>1998</v>
      </c>
      <c r="D1251" s="1">
        <v>47.5</v>
      </c>
    </row>
    <row r="1252" spans="1:4" x14ac:dyDescent="0.25">
      <c r="A1252" s="1" t="s">
        <v>118</v>
      </c>
      <c r="B1252" s="59">
        <v>35870</v>
      </c>
      <c r="C1252" s="57">
        <f>YEAR(表_查询来自_northwind3[[#This Row],[订购日期]])</f>
        <v>1998</v>
      </c>
      <c r="D1252" s="1">
        <v>9.5</v>
      </c>
    </row>
    <row r="1253" spans="1:4" x14ac:dyDescent="0.25">
      <c r="A1253" s="1" t="s">
        <v>118</v>
      </c>
      <c r="B1253" s="59">
        <v>35871</v>
      </c>
      <c r="C1253" s="57">
        <f>YEAR(表_查询来自_northwind3[[#This Row],[订购日期]])</f>
        <v>1998</v>
      </c>
      <c r="D1253" s="1">
        <v>133</v>
      </c>
    </row>
    <row r="1254" spans="1:4" x14ac:dyDescent="0.25">
      <c r="A1254" s="1" t="s">
        <v>118</v>
      </c>
      <c r="B1254" s="59">
        <v>35880</v>
      </c>
      <c r="C1254" s="57">
        <f>YEAR(表_查询来自_northwind3[[#This Row],[订购日期]])</f>
        <v>1998</v>
      </c>
      <c r="D1254" s="1">
        <v>285</v>
      </c>
    </row>
    <row r="1255" spans="1:4" x14ac:dyDescent="0.25">
      <c r="A1255" s="1" t="s">
        <v>119</v>
      </c>
      <c r="B1255" s="59">
        <v>35433</v>
      </c>
      <c r="C1255" s="57">
        <f>YEAR(表_查询来自_northwind3[[#This Row],[订购日期]])</f>
        <v>1997</v>
      </c>
      <c r="D1255" s="1">
        <v>606.89999574422836</v>
      </c>
    </row>
    <row r="1256" spans="1:4" x14ac:dyDescent="0.25">
      <c r="A1256" s="1" t="s">
        <v>119</v>
      </c>
      <c r="B1256" s="59">
        <v>35482</v>
      </c>
      <c r="C1256" s="57">
        <f>YEAR(表_查询来自_northwind3[[#This Row],[订购日期]])</f>
        <v>1997</v>
      </c>
      <c r="D1256" s="1">
        <v>137.69999977201223</v>
      </c>
    </row>
    <row r="1257" spans="1:4" x14ac:dyDescent="0.25">
      <c r="A1257" s="1" t="s">
        <v>119</v>
      </c>
      <c r="B1257" s="59">
        <v>35535</v>
      </c>
      <c r="C1257" s="57">
        <f>YEAR(表_查询来自_northwind3[[#This Row],[订购日期]])</f>
        <v>1997</v>
      </c>
      <c r="D1257" s="1">
        <v>162.56249886006117</v>
      </c>
    </row>
    <row r="1258" spans="1:4" x14ac:dyDescent="0.25">
      <c r="A1258" s="1" t="s">
        <v>119</v>
      </c>
      <c r="B1258" s="59">
        <v>35629</v>
      </c>
      <c r="C1258" s="57">
        <f>YEAR(表_查询来自_northwind3[[#This Row],[订购日期]])</f>
        <v>1997</v>
      </c>
      <c r="D1258" s="1">
        <v>68.849999886006117</v>
      </c>
    </row>
    <row r="1259" spans="1:4" x14ac:dyDescent="0.25">
      <c r="A1259" s="1" t="s">
        <v>119</v>
      </c>
      <c r="B1259" s="59">
        <v>35717</v>
      </c>
      <c r="C1259" s="57">
        <f>YEAR(表_查询来自_northwind3[[#This Row],[订购日期]])</f>
        <v>1997</v>
      </c>
      <c r="D1259" s="1">
        <v>306</v>
      </c>
    </row>
    <row r="1260" spans="1:4" x14ac:dyDescent="0.25">
      <c r="A1260" s="1" t="s">
        <v>119</v>
      </c>
      <c r="B1260" s="59">
        <v>35800</v>
      </c>
      <c r="C1260" s="57">
        <f>YEAR(表_查询来自_northwind3[[#This Row],[订购日期]])</f>
        <v>1998</v>
      </c>
      <c r="D1260" s="1">
        <v>86.699999392032623</v>
      </c>
    </row>
    <row r="1261" spans="1:4" x14ac:dyDescent="0.25">
      <c r="A1261" s="1" t="s">
        <v>120</v>
      </c>
      <c r="B1261" s="59">
        <v>35256</v>
      </c>
      <c r="C1261" s="57">
        <f>YEAR(表_查询来自_northwind3[[#This Row],[订购日期]])</f>
        <v>1996</v>
      </c>
      <c r="D1261" s="1">
        <v>640</v>
      </c>
    </row>
    <row r="1262" spans="1:4" x14ac:dyDescent="0.25">
      <c r="A1262" s="1" t="s">
        <v>120</v>
      </c>
      <c r="B1262" s="59">
        <v>35304</v>
      </c>
      <c r="C1262" s="57">
        <f>YEAR(表_查询来自_northwind3[[#This Row],[订购日期]])</f>
        <v>1996</v>
      </c>
      <c r="D1262" s="1">
        <v>240</v>
      </c>
    </row>
    <row r="1263" spans="1:4" x14ac:dyDescent="0.25">
      <c r="A1263" s="1" t="s">
        <v>120</v>
      </c>
      <c r="B1263" s="59">
        <v>35320</v>
      </c>
      <c r="C1263" s="57">
        <f>YEAR(表_查询来自_northwind3[[#This Row],[订购日期]])</f>
        <v>1996</v>
      </c>
      <c r="D1263" s="1">
        <v>480</v>
      </c>
    </row>
    <row r="1264" spans="1:4" x14ac:dyDescent="0.25">
      <c r="A1264" s="1" t="s">
        <v>120</v>
      </c>
      <c r="B1264" s="59">
        <v>35391</v>
      </c>
      <c r="C1264" s="57">
        <f>YEAR(表_查询来自_northwind3[[#This Row],[订购日期]])</f>
        <v>1996</v>
      </c>
      <c r="D1264" s="1">
        <v>560</v>
      </c>
    </row>
    <row r="1265" spans="1:4" x14ac:dyDescent="0.25">
      <c r="A1265" s="1" t="s">
        <v>120</v>
      </c>
      <c r="B1265" s="59">
        <v>35431</v>
      </c>
      <c r="C1265" s="57">
        <f>YEAR(表_查询来自_northwind3[[#This Row],[订购日期]])</f>
        <v>1997</v>
      </c>
      <c r="D1265" s="1">
        <v>480</v>
      </c>
    </row>
    <row r="1266" spans="1:4" x14ac:dyDescent="0.25">
      <c r="A1266" s="1" t="s">
        <v>120</v>
      </c>
      <c r="B1266" s="59">
        <v>35433</v>
      </c>
      <c r="C1266" s="57">
        <f>YEAR(表_查询来自_northwind3[[#This Row],[订购日期]])</f>
        <v>1997</v>
      </c>
      <c r="D1266" s="1">
        <v>455.99999964237213</v>
      </c>
    </row>
    <row r="1267" spans="1:4" x14ac:dyDescent="0.25">
      <c r="A1267" s="1" t="s">
        <v>120</v>
      </c>
      <c r="B1267" s="59">
        <v>35486</v>
      </c>
      <c r="C1267" s="57">
        <f>YEAR(表_查询来自_northwind3[[#This Row],[订购日期]])</f>
        <v>1997</v>
      </c>
      <c r="D1267" s="1">
        <v>285.59999799728394</v>
      </c>
    </row>
    <row r="1268" spans="1:4" x14ac:dyDescent="0.25">
      <c r="A1268" s="1" t="s">
        <v>120</v>
      </c>
      <c r="B1268" s="59">
        <v>35509</v>
      </c>
      <c r="C1268" s="57">
        <f>YEAR(表_查询来自_northwind3[[#This Row],[订购日期]])</f>
        <v>1997</v>
      </c>
      <c r="D1268" s="1">
        <v>384</v>
      </c>
    </row>
    <row r="1269" spans="1:4" x14ac:dyDescent="0.25">
      <c r="A1269" s="1" t="s">
        <v>120</v>
      </c>
      <c r="B1269" s="59">
        <v>35528</v>
      </c>
      <c r="C1269" s="57">
        <f>YEAR(表_查询来自_northwind3[[#This Row],[订购日期]])</f>
        <v>1997</v>
      </c>
      <c r="D1269" s="1">
        <v>500</v>
      </c>
    </row>
    <row r="1270" spans="1:4" x14ac:dyDescent="0.25">
      <c r="A1270" s="1" t="s">
        <v>120</v>
      </c>
      <c r="B1270" s="59">
        <v>35566</v>
      </c>
      <c r="C1270" s="57">
        <f>YEAR(表_查询来自_northwind3[[#This Row],[订购日期]])</f>
        <v>1997</v>
      </c>
      <c r="D1270" s="1">
        <v>120</v>
      </c>
    </row>
    <row r="1271" spans="1:4" x14ac:dyDescent="0.25">
      <c r="A1271" s="1" t="s">
        <v>120</v>
      </c>
      <c r="B1271" s="59">
        <v>35629</v>
      </c>
      <c r="C1271" s="57">
        <f>YEAR(表_查询来自_northwind3[[#This Row],[订购日期]])</f>
        <v>1997</v>
      </c>
      <c r="D1271" s="1">
        <v>474.99999962747097</v>
      </c>
    </row>
    <row r="1272" spans="1:4" x14ac:dyDescent="0.25">
      <c r="A1272" s="1" t="s">
        <v>120</v>
      </c>
      <c r="B1272" s="59">
        <v>35639</v>
      </c>
      <c r="C1272" s="57">
        <f>YEAR(表_查询来自_northwind3[[#This Row],[订购日期]])</f>
        <v>1997</v>
      </c>
      <c r="D1272" s="1">
        <v>360</v>
      </c>
    </row>
    <row r="1273" spans="1:4" x14ac:dyDescent="0.25">
      <c r="A1273" s="1" t="s">
        <v>120</v>
      </c>
      <c r="B1273" s="59">
        <v>35794</v>
      </c>
      <c r="C1273" s="57">
        <f>YEAR(表_查询来自_northwind3[[#This Row],[订购日期]])</f>
        <v>1997</v>
      </c>
      <c r="D1273" s="1">
        <v>67.999999523162842</v>
      </c>
    </row>
    <row r="1274" spans="1:4" x14ac:dyDescent="0.25">
      <c r="A1274" s="1" t="s">
        <v>120</v>
      </c>
      <c r="B1274" s="59">
        <v>35830</v>
      </c>
      <c r="C1274" s="57">
        <f>YEAR(表_查询来自_northwind3[[#This Row],[订购日期]])</f>
        <v>1998</v>
      </c>
      <c r="D1274" s="1">
        <v>755.99999874830246</v>
      </c>
    </row>
    <row r="1275" spans="1:4" x14ac:dyDescent="0.25">
      <c r="A1275" s="1" t="s">
        <v>120</v>
      </c>
      <c r="B1275" s="59">
        <v>35832</v>
      </c>
      <c r="C1275" s="57">
        <f>YEAR(表_查询来自_northwind3[[#This Row],[订购日期]])</f>
        <v>1998</v>
      </c>
      <c r="D1275" s="1">
        <v>300</v>
      </c>
    </row>
    <row r="1276" spans="1:4" x14ac:dyDescent="0.25">
      <c r="A1276" s="1" t="s">
        <v>120</v>
      </c>
      <c r="B1276" s="59">
        <v>35837</v>
      </c>
      <c r="C1276" s="57">
        <f>YEAR(表_查询来自_northwind3[[#This Row],[订购日期]])</f>
        <v>1998</v>
      </c>
      <c r="D1276" s="1">
        <v>339.99999761581421</v>
      </c>
    </row>
    <row r="1277" spans="1:4" x14ac:dyDescent="0.25">
      <c r="A1277" s="1" t="s">
        <v>120</v>
      </c>
      <c r="B1277" s="59">
        <v>35852</v>
      </c>
      <c r="C1277" s="57">
        <f>YEAR(表_查询来自_northwind3[[#This Row],[订购日期]])</f>
        <v>1998</v>
      </c>
      <c r="D1277" s="1">
        <v>200</v>
      </c>
    </row>
    <row r="1278" spans="1:4" x14ac:dyDescent="0.25">
      <c r="A1278" s="1" t="s">
        <v>120</v>
      </c>
      <c r="B1278" s="59">
        <v>35865</v>
      </c>
      <c r="C1278" s="57">
        <f>YEAR(表_查询来自_northwind3[[#This Row],[订购日期]])</f>
        <v>1998</v>
      </c>
      <c r="D1278" s="1">
        <v>560</v>
      </c>
    </row>
    <row r="1279" spans="1:4" x14ac:dyDescent="0.25">
      <c r="A1279" s="1" t="s">
        <v>120</v>
      </c>
      <c r="B1279" s="59">
        <v>35877</v>
      </c>
      <c r="C1279" s="57">
        <f>YEAR(表_查询来自_northwind3[[#This Row],[订购日期]])</f>
        <v>1998</v>
      </c>
      <c r="D1279" s="1">
        <v>800</v>
      </c>
    </row>
    <row r="1280" spans="1:4" x14ac:dyDescent="0.25">
      <c r="A1280" s="1" t="s">
        <v>120</v>
      </c>
      <c r="B1280" s="59">
        <v>35898</v>
      </c>
      <c r="C1280" s="57">
        <f>YEAR(表_查询来自_northwind3[[#This Row],[订购日期]])</f>
        <v>1998</v>
      </c>
      <c r="D1280" s="1">
        <v>40</v>
      </c>
    </row>
    <row r="1281" spans="1:4" x14ac:dyDescent="0.25">
      <c r="A1281" s="1" t="s">
        <v>120</v>
      </c>
      <c r="B1281" s="59">
        <v>35906</v>
      </c>
      <c r="C1281" s="57">
        <f>YEAR(表_查询来自_northwind3[[#This Row],[订购日期]])</f>
        <v>1998</v>
      </c>
      <c r="D1281" s="1">
        <v>1200</v>
      </c>
    </row>
    <row r="1282" spans="1:4" x14ac:dyDescent="0.25">
      <c r="A1282" s="1" t="s">
        <v>121</v>
      </c>
      <c r="B1282" s="59">
        <v>35380</v>
      </c>
      <c r="C1282" s="57">
        <f>YEAR(表_查询来自_northwind3[[#This Row],[订购日期]])</f>
        <v>1996</v>
      </c>
      <c r="D1282" s="1">
        <v>175.49999970942736</v>
      </c>
    </row>
    <row r="1283" spans="1:4" x14ac:dyDescent="0.25">
      <c r="A1283" s="1" t="s">
        <v>121</v>
      </c>
      <c r="B1283" s="59">
        <v>35415</v>
      </c>
      <c r="C1283" s="57">
        <f>YEAR(表_查询来自_northwind3[[#This Row],[订购日期]])</f>
        <v>1996</v>
      </c>
      <c r="D1283" s="1">
        <v>195</v>
      </c>
    </row>
    <row r="1284" spans="1:4" x14ac:dyDescent="0.25">
      <c r="A1284" s="1" t="s">
        <v>121</v>
      </c>
      <c r="B1284" s="59">
        <v>35459</v>
      </c>
      <c r="C1284" s="57">
        <f>YEAR(表_查询来自_northwind3[[#This Row],[订购日期]])</f>
        <v>1997</v>
      </c>
      <c r="D1284" s="1">
        <v>520</v>
      </c>
    </row>
    <row r="1285" spans="1:4" x14ac:dyDescent="0.25">
      <c r="A1285" s="1" t="s">
        <v>121</v>
      </c>
      <c r="B1285" s="59">
        <v>35494</v>
      </c>
      <c r="C1285" s="57">
        <f>YEAR(表_查询来自_northwind3[[#This Row],[订购日期]])</f>
        <v>1997</v>
      </c>
      <c r="D1285" s="1">
        <v>325</v>
      </c>
    </row>
    <row r="1286" spans="1:4" x14ac:dyDescent="0.25">
      <c r="A1286" s="1" t="s">
        <v>121</v>
      </c>
      <c r="B1286" s="59">
        <v>35661</v>
      </c>
      <c r="C1286" s="57">
        <f>YEAR(表_查询来自_northwind3[[#This Row],[订购日期]])</f>
        <v>1997</v>
      </c>
      <c r="D1286" s="1">
        <v>385.93749969732016</v>
      </c>
    </row>
    <row r="1287" spans="1:4" x14ac:dyDescent="0.25">
      <c r="A1287" s="1" t="s">
        <v>121</v>
      </c>
      <c r="B1287" s="59">
        <v>35706</v>
      </c>
      <c r="C1287" s="57">
        <f>YEAR(表_查询来自_northwind3[[#This Row],[订购日期]])</f>
        <v>1997</v>
      </c>
      <c r="D1287" s="1">
        <v>878</v>
      </c>
    </row>
    <row r="1288" spans="1:4" x14ac:dyDescent="0.25">
      <c r="A1288" s="1" t="s">
        <v>121</v>
      </c>
      <c r="B1288" s="59">
        <v>35738</v>
      </c>
      <c r="C1288" s="57">
        <f>YEAR(表_查询来自_northwind3[[#This Row],[订购日期]])</f>
        <v>1997</v>
      </c>
      <c r="D1288" s="1">
        <v>650</v>
      </c>
    </row>
    <row r="1289" spans="1:4" x14ac:dyDescent="0.25">
      <c r="A1289" s="1" t="s">
        <v>121</v>
      </c>
      <c r="B1289" s="59">
        <v>35758</v>
      </c>
      <c r="C1289" s="57">
        <f>YEAR(表_查询来自_northwind3[[#This Row],[订购日期]])</f>
        <v>1997</v>
      </c>
      <c r="D1289" s="1">
        <v>292.49999951571226</v>
      </c>
    </row>
    <row r="1290" spans="1:4" x14ac:dyDescent="0.25">
      <c r="A1290" s="1" t="s">
        <v>121</v>
      </c>
      <c r="B1290" s="59">
        <v>35857</v>
      </c>
      <c r="C1290" s="57">
        <f>YEAR(表_查询来自_northwind3[[#This Row],[订购日期]])</f>
        <v>1998</v>
      </c>
      <c r="D1290" s="1">
        <v>390</v>
      </c>
    </row>
    <row r="1291" spans="1:4" x14ac:dyDescent="0.25">
      <c r="A1291" s="1" t="s">
        <v>121</v>
      </c>
      <c r="B1291" s="59">
        <v>35867</v>
      </c>
      <c r="C1291" s="57">
        <f>YEAR(表_查询来自_northwind3[[#This Row],[订购日期]])</f>
        <v>1998</v>
      </c>
      <c r="D1291" s="1">
        <v>146.25</v>
      </c>
    </row>
    <row r="1292" spans="1:4" x14ac:dyDescent="0.25">
      <c r="A1292" s="1" t="s">
        <v>121</v>
      </c>
      <c r="B1292" s="59">
        <v>35920</v>
      </c>
      <c r="C1292" s="57">
        <f>YEAR(表_查询来自_northwind3[[#This Row],[订购日期]])</f>
        <v>1998</v>
      </c>
      <c r="D1292" s="1">
        <v>357.5</v>
      </c>
    </row>
    <row r="1293" spans="1:4" x14ac:dyDescent="0.25">
      <c r="A1293" s="1" t="s">
        <v>122</v>
      </c>
      <c r="B1293" s="59">
        <v>35251</v>
      </c>
      <c r="C1293" s="57">
        <f>YEAR(表_查询来自_northwind3[[#This Row],[订购日期]])</f>
        <v>1996</v>
      </c>
      <c r="D1293" s="1">
        <v>1696</v>
      </c>
    </row>
    <row r="1294" spans="1:4" x14ac:dyDescent="0.25">
      <c r="A1294" s="1" t="s">
        <v>122</v>
      </c>
      <c r="B1294" s="59">
        <v>35254</v>
      </c>
      <c r="C1294" s="57">
        <f>YEAR(表_查询来自_northwind3[[#This Row],[订购日期]])</f>
        <v>1996</v>
      </c>
      <c r="D1294" s="1">
        <v>1261.3999911546707</v>
      </c>
    </row>
    <row r="1295" spans="1:4" x14ac:dyDescent="0.25">
      <c r="A1295" s="1" t="s">
        <v>122</v>
      </c>
      <c r="B1295" s="59">
        <v>35304</v>
      </c>
      <c r="C1295" s="57">
        <f>YEAR(表_查询来自_northwind3[[#This Row],[订购日期]])</f>
        <v>1996</v>
      </c>
      <c r="D1295" s="1">
        <v>76.319999873638153</v>
      </c>
    </row>
    <row r="1296" spans="1:4" x14ac:dyDescent="0.25">
      <c r="A1296" s="1" t="s">
        <v>122</v>
      </c>
      <c r="B1296" s="59">
        <v>35360</v>
      </c>
      <c r="C1296" s="57">
        <f>YEAR(表_查询来自_northwind3[[#This Row],[订购日期]])</f>
        <v>1996</v>
      </c>
      <c r="D1296" s="1">
        <v>1628.1599939346313</v>
      </c>
    </row>
    <row r="1297" spans="1:4" x14ac:dyDescent="0.25">
      <c r="A1297" s="1" t="s">
        <v>122</v>
      </c>
      <c r="B1297" s="59">
        <v>35394</v>
      </c>
      <c r="C1297" s="57">
        <f>YEAR(表_查询来自_northwind3[[#This Row],[订购日期]])</f>
        <v>1996</v>
      </c>
      <c r="D1297" s="1">
        <v>848</v>
      </c>
    </row>
    <row r="1298" spans="1:4" x14ac:dyDescent="0.25">
      <c r="A1298" s="1" t="s">
        <v>122</v>
      </c>
      <c r="B1298" s="59">
        <v>35426</v>
      </c>
      <c r="C1298" s="57">
        <f>YEAR(表_查询来自_northwind3[[#This Row],[订购日期]])</f>
        <v>1996</v>
      </c>
      <c r="D1298" s="1">
        <v>648.71999545097356</v>
      </c>
    </row>
    <row r="1299" spans="1:4" x14ac:dyDescent="0.25">
      <c r="A1299" s="1" t="s">
        <v>122</v>
      </c>
      <c r="B1299" s="59">
        <v>35501</v>
      </c>
      <c r="C1299" s="57">
        <f>YEAR(表_查询来自_northwind3[[#This Row],[订购日期]])</f>
        <v>1997</v>
      </c>
      <c r="D1299" s="1">
        <v>763.2</v>
      </c>
    </row>
    <row r="1300" spans="1:4" x14ac:dyDescent="0.25">
      <c r="A1300" s="1" t="s">
        <v>122</v>
      </c>
      <c r="B1300" s="59">
        <v>35513</v>
      </c>
      <c r="C1300" s="57">
        <f>YEAR(表_查询来自_northwind3[[#This Row],[订购日期]])</f>
        <v>1997</v>
      </c>
      <c r="D1300" s="1">
        <v>127.2</v>
      </c>
    </row>
    <row r="1301" spans="1:4" x14ac:dyDescent="0.25">
      <c r="A1301" s="1" t="s">
        <v>122</v>
      </c>
      <c r="B1301" s="59">
        <v>35515</v>
      </c>
      <c r="C1301" s="57">
        <f>YEAR(表_查询来自_northwind3[[#This Row],[订购日期]])</f>
        <v>1997</v>
      </c>
      <c r="D1301" s="1">
        <v>1060</v>
      </c>
    </row>
    <row r="1302" spans="1:4" x14ac:dyDescent="0.25">
      <c r="A1302" s="1" t="s">
        <v>122</v>
      </c>
      <c r="B1302" s="59">
        <v>35564</v>
      </c>
      <c r="C1302" s="57">
        <f>YEAR(表_查询来自_northwind3[[#This Row],[订购日期]])</f>
        <v>1997</v>
      </c>
      <c r="D1302" s="1">
        <v>318</v>
      </c>
    </row>
    <row r="1303" spans="1:4" x14ac:dyDescent="0.25">
      <c r="A1303" s="1" t="s">
        <v>122</v>
      </c>
      <c r="B1303" s="59">
        <v>35577</v>
      </c>
      <c r="C1303" s="57">
        <f>YEAR(表_查询来自_northwind3[[#This Row],[订购日期]])</f>
        <v>1997</v>
      </c>
      <c r="D1303" s="1">
        <v>2162.3999848365784</v>
      </c>
    </row>
    <row r="1304" spans="1:4" x14ac:dyDescent="0.25">
      <c r="A1304" s="1" t="s">
        <v>122</v>
      </c>
      <c r="B1304" s="59">
        <v>35583</v>
      </c>
      <c r="C1304" s="57">
        <f>YEAR(表_查询来自_northwind3[[#This Row],[订购日期]])</f>
        <v>1997</v>
      </c>
      <c r="D1304" s="1">
        <v>847.99999684095383</v>
      </c>
    </row>
    <row r="1305" spans="1:4" x14ac:dyDescent="0.25">
      <c r="A1305" s="1" t="s">
        <v>122</v>
      </c>
      <c r="B1305" s="59">
        <v>35585</v>
      </c>
      <c r="C1305" s="57">
        <f>YEAR(表_查询来自_northwind3[[#This Row],[订购日期]])</f>
        <v>1997</v>
      </c>
      <c r="D1305" s="1">
        <v>1060</v>
      </c>
    </row>
    <row r="1306" spans="1:4" x14ac:dyDescent="0.25">
      <c r="A1306" s="1" t="s">
        <v>122</v>
      </c>
      <c r="B1306" s="59">
        <v>35587</v>
      </c>
      <c r="C1306" s="57">
        <f>YEAR(表_查询来自_northwind3[[#This Row],[订购日期]])</f>
        <v>1997</v>
      </c>
      <c r="D1306" s="1">
        <v>2650</v>
      </c>
    </row>
    <row r="1307" spans="1:4" x14ac:dyDescent="0.25">
      <c r="A1307" s="1" t="s">
        <v>122</v>
      </c>
      <c r="B1307" s="59">
        <v>35593</v>
      </c>
      <c r="C1307" s="57">
        <f>YEAR(表_查询来自_northwind3[[#This Row],[订购日期]])</f>
        <v>1997</v>
      </c>
      <c r="D1307" s="1">
        <v>159</v>
      </c>
    </row>
    <row r="1308" spans="1:4" x14ac:dyDescent="0.25">
      <c r="A1308" s="1" t="s">
        <v>122</v>
      </c>
      <c r="B1308" s="59">
        <v>35657</v>
      </c>
      <c r="C1308" s="57">
        <f>YEAR(表_查询来自_northwind3[[#This Row],[订购日期]])</f>
        <v>1997</v>
      </c>
      <c r="D1308" s="1">
        <v>795</v>
      </c>
    </row>
    <row r="1309" spans="1:4" x14ac:dyDescent="0.25">
      <c r="A1309" s="1" t="s">
        <v>122</v>
      </c>
      <c r="B1309" s="59">
        <v>35683</v>
      </c>
      <c r="C1309" s="57">
        <f>YEAR(表_查询来自_northwind3[[#This Row],[订购日期]])</f>
        <v>1997</v>
      </c>
      <c r="D1309" s="1">
        <v>1006.9999992102385</v>
      </c>
    </row>
    <row r="1310" spans="1:4" x14ac:dyDescent="0.25">
      <c r="A1310" s="1" t="s">
        <v>122</v>
      </c>
      <c r="B1310" s="59">
        <v>35684</v>
      </c>
      <c r="C1310" s="57">
        <f>YEAR(表_查询来自_northwind3[[#This Row],[订购日期]])</f>
        <v>1997</v>
      </c>
      <c r="D1310" s="1">
        <v>1060</v>
      </c>
    </row>
    <row r="1311" spans="1:4" x14ac:dyDescent="0.25">
      <c r="A1311" s="1" t="s">
        <v>122</v>
      </c>
      <c r="B1311" s="59">
        <v>35720</v>
      </c>
      <c r="C1311" s="57">
        <f>YEAR(表_查询来自_northwind3[[#This Row],[订购日期]])</f>
        <v>1997</v>
      </c>
      <c r="D1311" s="1">
        <v>1484</v>
      </c>
    </row>
    <row r="1312" spans="1:4" x14ac:dyDescent="0.25">
      <c r="A1312" s="1" t="s">
        <v>122</v>
      </c>
      <c r="B1312" s="59">
        <v>35727</v>
      </c>
      <c r="C1312" s="57">
        <f>YEAR(表_查询来自_northwind3[[#This Row],[订购日期]])</f>
        <v>1997</v>
      </c>
      <c r="D1312" s="1">
        <v>371</v>
      </c>
    </row>
    <row r="1313" spans="1:4" x14ac:dyDescent="0.25">
      <c r="A1313" s="1" t="s">
        <v>122</v>
      </c>
      <c r="B1313" s="59">
        <v>35740</v>
      </c>
      <c r="C1313" s="57">
        <f>YEAR(表_查询来自_northwind3[[#This Row],[订购日期]])</f>
        <v>1997</v>
      </c>
      <c r="D1313" s="1">
        <v>1510.4999988153577</v>
      </c>
    </row>
    <row r="1314" spans="1:4" x14ac:dyDescent="0.25">
      <c r="A1314" s="1" t="s">
        <v>122</v>
      </c>
      <c r="B1314" s="59">
        <v>35766</v>
      </c>
      <c r="C1314" s="57">
        <f>YEAR(表_查询来自_northwind3[[#This Row],[订购日期]])</f>
        <v>1997</v>
      </c>
      <c r="D1314" s="1">
        <v>1484</v>
      </c>
    </row>
    <row r="1315" spans="1:4" x14ac:dyDescent="0.25">
      <c r="A1315" s="1" t="s">
        <v>122</v>
      </c>
      <c r="B1315" s="59">
        <v>35779</v>
      </c>
      <c r="C1315" s="57">
        <f>YEAR(表_查询来自_northwind3[[#This Row],[订购日期]])</f>
        <v>1997</v>
      </c>
      <c r="D1315" s="1">
        <v>6041.9999952614307</v>
      </c>
    </row>
    <row r="1316" spans="1:4" x14ac:dyDescent="0.25">
      <c r="A1316" s="1" t="s">
        <v>122</v>
      </c>
      <c r="B1316" s="59">
        <v>35790</v>
      </c>
      <c r="C1316" s="57">
        <f>YEAR(表_查询来自_northwind3[[#This Row],[订购日期]])</f>
        <v>1997</v>
      </c>
      <c r="D1316" s="1">
        <v>476.99999921023846</v>
      </c>
    </row>
    <row r="1317" spans="1:4" x14ac:dyDescent="0.25">
      <c r="A1317" s="1" t="s">
        <v>122</v>
      </c>
      <c r="B1317" s="59">
        <v>35793</v>
      </c>
      <c r="C1317" s="57">
        <f>YEAR(表_查询来自_northwind3[[#This Row],[订购日期]])</f>
        <v>1997</v>
      </c>
      <c r="D1317" s="1">
        <v>1192.5</v>
      </c>
    </row>
    <row r="1318" spans="1:4" x14ac:dyDescent="0.25">
      <c r="A1318" s="1" t="s">
        <v>122</v>
      </c>
      <c r="B1318" s="59">
        <v>35803</v>
      </c>
      <c r="C1318" s="57">
        <f>YEAR(表_查询来自_northwind3[[#This Row],[订购日期]])</f>
        <v>1998</v>
      </c>
      <c r="D1318" s="1">
        <v>318</v>
      </c>
    </row>
    <row r="1319" spans="1:4" x14ac:dyDescent="0.25">
      <c r="A1319" s="1" t="s">
        <v>122</v>
      </c>
      <c r="B1319" s="59">
        <v>35816</v>
      </c>
      <c r="C1319" s="57">
        <f>YEAR(表_查询来自_northwind3[[#This Row],[订购日期]])</f>
        <v>1998</v>
      </c>
      <c r="D1319" s="1">
        <v>159</v>
      </c>
    </row>
    <row r="1320" spans="1:4" x14ac:dyDescent="0.25">
      <c r="A1320" s="1" t="s">
        <v>122</v>
      </c>
      <c r="B1320" s="59">
        <v>35824</v>
      </c>
      <c r="C1320" s="57">
        <f>YEAR(表_查询来自_northwind3[[#This Row],[订购日期]])</f>
        <v>1998</v>
      </c>
      <c r="D1320" s="1">
        <v>159</v>
      </c>
    </row>
    <row r="1321" spans="1:4" x14ac:dyDescent="0.25">
      <c r="A1321" s="1" t="s">
        <v>122</v>
      </c>
      <c r="B1321" s="59">
        <v>35830</v>
      </c>
      <c r="C1321" s="57">
        <f>YEAR(表_查询来自_northwind3[[#This Row],[订购日期]])</f>
        <v>1998</v>
      </c>
      <c r="D1321" s="1">
        <v>106</v>
      </c>
    </row>
    <row r="1322" spans="1:4" x14ac:dyDescent="0.25">
      <c r="A1322" s="1" t="s">
        <v>122</v>
      </c>
      <c r="B1322" s="59">
        <v>35867</v>
      </c>
      <c r="C1322" s="57">
        <f>YEAR(表_查询来自_northwind3[[#This Row],[订购日期]])</f>
        <v>1998</v>
      </c>
      <c r="D1322" s="1">
        <v>2120</v>
      </c>
    </row>
    <row r="1323" spans="1:4" x14ac:dyDescent="0.25">
      <c r="A1323" s="1" t="s">
        <v>122</v>
      </c>
      <c r="B1323" s="59">
        <v>35871</v>
      </c>
      <c r="C1323" s="57">
        <f>YEAR(表_查询来自_northwind3[[#This Row],[订购日期]])</f>
        <v>1998</v>
      </c>
      <c r="D1323" s="1">
        <v>424</v>
      </c>
    </row>
    <row r="1324" spans="1:4" x14ac:dyDescent="0.25">
      <c r="A1324" s="1" t="s">
        <v>122</v>
      </c>
      <c r="B1324" s="59">
        <v>35874</v>
      </c>
      <c r="C1324" s="57">
        <f>YEAR(表_查询来自_northwind3[[#This Row],[订购日期]])</f>
        <v>1998</v>
      </c>
      <c r="D1324" s="1">
        <v>848</v>
      </c>
    </row>
    <row r="1325" spans="1:4" x14ac:dyDescent="0.25">
      <c r="A1325" s="1" t="s">
        <v>122</v>
      </c>
      <c r="B1325" s="59">
        <v>35880</v>
      </c>
      <c r="C1325" s="57">
        <f>YEAR(表_查询来自_northwind3[[#This Row],[订购日期]])</f>
        <v>1998</v>
      </c>
      <c r="D1325" s="1">
        <v>530</v>
      </c>
    </row>
    <row r="1326" spans="1:4" x14ac:dyDescent="0.25">
      <c r="A1326" s="1" t="s">
        <v>122</v>
      </c>
      <c r="B1326" s="59">
        <v>35887</v>
      </c>
      <c r="C1326" s="57">
        <f>YEAR(表_查询来自_northwind3[[#This Row],[订购日期]])</f>
        <v>1998</v>
      </c>
      <c r="D1326" s="1">
        <v>1060</v>
      </c>
    </row>
    <row r="1327" spans="1:4" x14ac:dyDescent="0.25">
      <c r="A1327" s="1" t="s">
        <v>122</v>
      </c>
      <c r="B1327" s="59">
        <v>35888</v>
      </c>
      <c r="C1327" s="57">
        <f>YEAR(表_查询来自_northwind3[[#This Row],[订购日期]])</f>
        <v>1998</v>
      </c>
      <c r="D1327" s="1">
        <v>755.24999940767884</v>
      </c>
    </row>
    <row r="1328" spans="1:4" x14ac:dyDescent="0.25">
      <c r="A1328" s="1" t="s">
        <v>122</v>
      </c>
      <c r="B1328" s="59">
        <v>35899</v>
      </c>
      <c r="C1328" s="57">
        <f>YEAR(表_查询来自_northwind3[[#This Row],[订购日期]])</f>
        <v>1998</v>
      </c>
      <c r="D1328" s="1">
        <v>1749</v>
      </c>
    </row>
    <row r="1329" spans="1:4" x14ac:dyDescent="0.25">
      <c r="A1329" s="1" t="s">
        <v>122</v>
      </c>
      <c r="B1329" s="59">
        <v>35900</v>
      </c>
      <c r="C1329" s="57">
        <f>YEAR(表_查询来自_northwind3[[#This Row],[订购日期]])</f>
        <v>1998</v>
      </c>
      <c r="D1329" s="1">
        <v>530</v>
      </c>
    </row>
    <row r="1330" spans="1:4" x14ac:dyDescent="0.25">
      <c r="A1330" s="1" t="s">
        <v>122</v>
      </c>
      <c r="B1330" s="59">
        <v>35908</v>
      </c>
      <c r="C1330" s="57">
        <f>YEAR(表_查询来自_northwind3[[#This Row],[订购日期]])</f>
        <v>1998</v>
      </c>
      <c r="D1330" s="1">
        <v>1272</v>
      </c>
    </row>
    <row r="1331" spans="1:4" x14ac:dyDescent="0.25">
      <c r="A1331" s="1" t="s">
        <v>122</v>
      </c>
      <c r="B1331" s="59">
        <v>35913</v>
      </c>
      <c r="C1331" s="57">
        <f>YEAR(表_查询来自_northwind3[[#This Row],[订购日期]])</f>
        <v>1998</v>
      </c>
      <c r="D1331" s="1">
        <v>1060</v>
      </c>
    </row>
    <row r="1332" spans="1:4" x14ac:dyDescent="0.25">
      <c r="A1332" s="1" t="s">
        <v>123</v>
      </c>
      <c r="B1332" s="59">
        <v>35342</v>
      </c>
      <c r="C1332" s="57">
        <f>YEAR(表_查询来自_northwind3[[#This Row],[订购日期]])</f>
        <v>1996</v>
      </c>
      <c r="D1332" s="1">
        <v>112</v>
      </c>
    </row>
    <row r="1333" spans="1:4" x14ac:dyDescent="0.25">
      <c r="A1333" s="1" t="s">
        <v>123</v>
      </c>
      <c r="B1333" s="59">
        <v>35359</v>
      </c>
      <c r="C1333" s="57">
        <f>YEAR(表_查询来自_northwind3[[#This Row],[订购日期]])</f>
        <v>1996</v>
      </c>
      <c r="D1333" s="1">
        <v>44.8</v>
      </c>
    </row>
    <row r="1334" spans="1:4" x14ac:dyDescent="0.25">
      <c r="A1334" s="1" t="s">
        <v>123</v>
      </c>
      <c r="B1334" s="59">
        <v>35418</v>
      </c>
      <c r="C1334" s="57">
        <f>YEAR(表_查询来自_northwind3[[#This Row],[订购日期]])</f>
        <v>1996</v>
      </c>
      <c r="D1334" s="1">
        <v>89.599999666213989</v>
      </c>
    </row>
    <row r="1335" spans="1:4" x14ac:dyDescent="0.25">
      <c r="A1335" s="1" t="s">
        <v>123</v>
      </c>
      <c r="B1335" s="59">
        <v>35475</v>
      </c>
      <c r="C1335" s="57">
        <f>YEAR(表_查询来自_northwind3[[#This Row],[订购日期]])</f>
        <v>1997</v>
      </c>
      <c r="D1335" s="1">
        <v>75.599999874830246</v>
      </c>
    </row>
    <row r="1336" spans="1:4" x14ac:dyDescent="0.25">
      <c r="A1336" s="1" t="s">
        <v>123</v>
      </c>
      <c r="B1336" s="59">
        <v>35479</v>
      </c>
      <c r="C1336" s="57">
        <f>YEAR(表_查询来自_northwind3[[#This Row],[订购日期]])</f>
        <v>1997</v>
      </c>
      <c r="D1336" s="1">
        <v>112</v>
      </c>
    </row>
    <row r="1337" spans="1:4" x14ac:dyDescent="0.25">
      <c r="A1337" s="1" t="s">
        <v>123</v>
      </c>
      <c r="B1337" s="59">
        <v>35544</v>
      </c>
      <c r="C1337" s="57">
        <f>YEAR(表_查询来自_northwind3[[#This Row],[订购日期]])</f>
        <v>1997</v>
      </c>
      <c r="D1337" s="1">
        <v>42</v>
      </c>
    </row>
    <row r="1338" spans="1:4" x14ac:dyDescent="0.25">
      <c r="A1338" s="1" t="s">
        <v>123</v>
      </c>
      <c r="B1338" s="59">
        <v>35585</v>
      </c>
      <c r="C1338" s="57">
        <f>YEAR(表_查询来自_northwind3[[#This Row],[订购日期]])</f>
        <v>1997</v>
      </c>
      <c r="D1338" s="1">
        <v>210</v>
      </c>
    </row>
    <row r="1339" spans="1:4" x14ac:dyDescent="0.25">
      <c r="A1339" s="1" t="s">
        <v>123</v>
      </c>
      <c r="B1339" s="59">
        <v>35591</v>
      </c>
      <c r="C1339" s="57">
        <f>YEAR(表_查询来自_northwind3[[#This Row],[订购日期]])</f>
        <v>1997</v>
      </c>
      <c r="D1339" s="1">
        <v>490</v>
      </c>
    </row>
    <row r="1340" spans="1:4" x14ac:dyDescent="0.25">
      <c r="A1340" s="1" t="s">
        <v>123</v>
      </c>
      <c r="B1340" s="59">
        <v>35613</v>
      </c>
      <c r="C1340" s="57">
        <f>YEAR(表_查询来自_northwind3[[#This Row],[订购日期]])</f>
        <v>1997</v>
      </c>
      <c r="D1340" s="1">
        <v>23.799999833106995</v>
      </c>
    </row>
    <row r="1341" spans="1:4" x14ac:dyDescent="0.25">
      <c r="A1341" s="1" t="s">
        <v>123</v>
      </c>
      <c r="B1341" s="59">
        <v>35620</v>
      </c>
      <c r="C1341" s="57">
        <f>YEAR(表_查询来自_northwind3[[#This Row],[订购日期]])</f>
        <v>1997</v>
      </c>
      <c r="D1341" s="1">
        <v>168</v>
      </c>
    </row>
    <row r="1342" spans="1:4" x14ac:dyDescent="0.25">
      <c r="A1342" s="1" t="s">
        <v>123</v>
      </c>
      <c r="B1342" s="59">
        <v>35647</v>
      </c>
      <c r="C1342" s="57">
        <f>YEAR(表_查询来自_northwind3[[#This Row],[订购日期]])</f>
        <v>1997</v>
      </c>
      <c r="D1342" s="1">
        <v>35</v>
      </c>
    </row>
    <row r="1343" spans="1:4" x14ac:dyDescent="0.25">
      <c r="A1343" s="1" t="s">
        <v>123</v>
      </c>
      <c r="B1343" s="59">
        <v>35699</v>
      </c>
      <c r="C1343" s="57">
        <f>YEAR(表_查询来自_northwind3[[#This Row],[订购日期]])</f>
        <v>1997</v>
      </c>
      <c r="D1343" s="1">
        <v>63</v>
      </c>
    </row>
    <row r="1344" spans="1:4" x14ac:dyDescent="0.25">
      <c r="A1344" s="1" t="s">
        <v>123</v>
      </c>
      <c r="B1344" s="59">
        <v>35734</v>
      </c>
      <c r="C1344" s="57">
        <f>YEAR(表_查询来自_northwind3[[#This Row],[订购日期]])</f>
        <v>1997</v>
      </c>
      <c r="D1344" s="1">
        <v>28</v>
      </c>
    </row>
    <row r="1345" spans="1:4" x14ac:dyDescent="0.25">
      <c r="A1345" s="1" t="s">
        <v>123</v>
      </c>
      <c r="B1345" s="59">
        <v>35741</v>
      </c>
      <c r="C1345" s="57">
        <f>YEAR(表_查询来自_northwind3[[#This Row],[订购日期]])</f>
        <v>1997</v>
      </c>
      <c r="D1345" s="1">
        <v>175</v>
      </c>
    </row>
    <row r="1346" spans="1:4" x14ac:dyDescent="0.25">
      <c r="A1346" s="1" t="s">
        <v>123</v>
      </c>
      <c r="B1346" s="59">
        <v>35746</v>
      </c>
      <c r="C1346" s="57">
        <f>YEAR(表_查询来自_northwind3[[#This Row],[订购日期]])</f>
        <v>1997</v>
      </c>
      <c r="D1346" s="1">
        <v>126</v>
      </c>
    </row>
    <row r="1347" spans="1:4" x14ac:dyDescent="0.25">
      <c r="A1347" s="1" t="s">
        <v>123</v>
      </c>
      <c r="B1347" s="59">
        <v>35762</v>
      </c>
      <c r="C1347" s="57">
        <f>YEAR(表_查询来自_northwind3[[#This Row],[订购日期]])</f>
        <v>1997</v>
      </c>
      <c r="D1347" s="1">
        <v>420</v>
      </c>
    </row>
    <row r="1348" spans="1:4" x14ac:dyDescent="0.25">
      <c r="A1348" s="1" t="s">
        <v>123</v>
      </c>
      <c r="B1348" s="59">
        <v>35772</v>
      </c>
      <c r="C1348" s="57">
        <f>YEAR(表_查询来自_northwind3[[#This Row],[订购日期]])</f>
        <v>1997</v>
      </c>
      <c r="D1348" s="1">
        <v>99.749999921768904</v>
      </c>
    </row>
    <row r="1349" spans="1:4" x14ac:dyDescent="0.25">
      <c r="A1349" s="1" t="s">
        <v>123</v>
      </c>
      <c r="B1349" s="59">
        <v>35788</v>
      </c>
      <c r="C1349" s="57">
        <f>YEAR(表_查询来自_northwind3[[#This Row],[订购日期]])</f>
        <v>1997</v>
      </c>
      <c r="D1349" s="1">
        <v>56</v>
      </c>
    </row>
    <row r="1350" spans="1:4" x14ac:dyDescent="0.25">
      <c r="A1350" s="1" t="s">
        <v>123</v>
      </c>
      <c r="B1350" s="59">
        <v>35796</v>
      </c>
      <c r="C1350" s="57">
        <f>YEAR(表_查询来自_northwind3[[#This Row],[订购日期]])</f>
        <v>1998</v>
      </c>
      <c r="D1350" s="1">
        <v>140</v>
      </c>
    </row>
    <row r="1351" spans="1:4" x14ac:dyDescent="0.25">
      <c r="A1351" s="1" t="s">
        <v>123</v>
      </c>
      <c r="B1351" s="59">
        <v>35825</v>
      </c>
      <c r="C1351" s="57">
        <f>YEAR(表_查询来自_northwind3[[#This Row],[订购日期]])</f>
        <v>1998</v>
      </c>
      <c r="D1351" s="1">
        <v>56</v>
      </c>
    </row>
    <row r="1352" spans="1:4" x14ac:dyDescent="0.25">
      <c r="A1352" s="1" t="s">
        <v>123</v>
      </c>
      <c r="B1352" s="59">
        <v>35852</v>
      </c>
      <c r="C1352" s="57">
        <f>YEAR(表_查询来自_northwind3[[#This Row],[订购日期]])</f>
        <v>1998</v>
      </c>
      <c r="D1352" s="1">
        <v>93.09999992698431</v>
      </c>
    </row>
    <row r="1353" spans="1:4" x14ac:dyDescent="0.25">
      <c r="A1353" s="1" t="s">
        <v>123</v>
      </c>
      <c r="B1353" s="59">
        <v>35858</v>
      </c>
      <c r="C1353" s="57">
        <f>YEAR(表_查询来自_northwind3[[#This Row],[订购日期]])</f>
        <v>1998</v>
      </c>
      <c r="D1353" s="1">
        <v>71.399999499320984</v>
      </c>
    </row>
    <row r="1354" spans="1:4" x14ac:dyDescent="0.25">
      <c r="A1354" s="1" t="s">
        <v>123</v>
      </c>
      <c r="B1354" s="59">
        <v>35859</v>
      </c>
      <c r="C1354" s="57">
        <f>YEAR(表_查询来自_northwind3[[#This Row],[订购日期]])</f>
        <v>1998</v>
      </c>
      <c r="D1354" s="1">
        <v>35</v>
      </c>
    </row>
    <row r="1355" spans="1:4" x14ac:dyDescent="0.25">
      <c r="A1355" s="1" t="s">
        <v>123</v>
      </c>
      <c r="B1355" s="59">
        <v>35873</v>
      </c>
      <c r="C1355" s="57">
        <f>YEAR(表_查询来自_northwind3[[#This Row],[订购日期]])</f>
        <v>1998</v>
      </c>
      <c r="D1355" s="1">
        <v>39.899999968707561</v>
      </c>
    </row>
    <row r="1356" spans="1:4" x14ac:dyDescent="0.25">
      <c r="A1356" s="1" t="s">
        <v>123</v>
      </c>
      <c r="B1356" s="59">
        <v>35878</v>
      </c>
      <c r="C1356" s="57">
        <f>YEAR(表_查询来自_northwind3[[#This Row],[订购日期]])</f>
        <v>1998</v>
      </c>
      <c r="D1356" s="1">
        <v>223.99999916553497</v>
      </c>
    </row>
    <row r="1357" spans="1:4" x14ac:dyDescent="0.25">
      <c r="A1357" s="1" t="s">
        <v>123</v>
      </c>
      <c r="B1357" s="59">
        <v>35888</v>
      </c>
      <c r="C1357" s="57">
        <f>YEAR(表_查询来自_northwind3[[#This Row],[订购日期]])</f>
        <v>1998</v>
      </c>
      <c r="D1357" s="1">
        <v>105</v>
      </c>
    </row>
    <row r="1358" spans="1:4" x14ac:dyDescent="0.25">
      <c r="A1358" s="1" t="s">
        <v>123</v>
      </c>
      <c r="B1358" s="59">
        <v>35891</v>
      </c>
      <c r="C1358" s="57">
        <f>YEAR(表_查询来自_northwind3[[#This Row],[订购日期]])</f>
        <v>1998</v>
      </c>
      <c r="D1358" s="1">
        <v>70</v>
      </c>
    </row>
    <row r="1359" spans="1:4" x14ac:dyDescent="0.25">
      <c r="A1359" s="1" t="s">
        <v>123</v>
      </c>
      <c r="B1359" s="59">
        <v>35906</v>
      </c>
      <c r="C1359" s="57">
        <f>YEAR(表_查询来自_northwind3[[#This Row],[订购日期]])</f>
        <v>1998</v>
      </c>
      <c r="D1359" s="1">
        <v>14</v>
      </c>
    </row>
    <row r="1360" spans="1:4" x14ac:dyDescent="0.25">
      <c r="A1360" s="1" t="s">
        <v>123</v>
      </c>
      <c r="B1360" s="59">
        <v>35921</v>
      </c>
      <c r="C1360" s="57">
        <f>YEAR(表_查询来自_northwind3[[#This Row],[订购日期]])</f>
        <v>1998</v>
      </c>
      <c r="D1360" s="1">
        <v>14</v>
      </c>
    </row>
    <row r="1361" spans="1:4" x14ac:dyDescent="0.25">
      <c r="A1361" s="1" t="s">
        <v>124</v>
      </c>
      <c r="B1361" s="59">
        <v>35261</v>
      </c>
      <c r="C1361" s="57">
        <f>YEAR(表_查询来自_northwind3[[#This Row],[订购日期]])</f>
        <v>1996</v>
      </c>
      <c r="D1361" s="1">
        <v>393</v>
      </c>
    </row>
    <row r="1362" spans="1:4" x14ac:dyDescent="0.25">
      <c r="A1362" s="1" t="s">
        <v>124</v>
      </c>
      <c r="B1362" s="59">
        <v>35297</v>
      </c>
      <c r="C1362" s="57">
        <f>YEAR(表_查询来自_northwind3[[#This Row],[订购日期]])</f>
        <v>1996</v>
      </c>
      <c r="D1362" s="1">
        <v>754.55999718904502</v>
      </c>
    </row>
    <row r="1363" spans="1:4" x14ac:dyDescent="0.25">
      <c r="A1363" s="1" t="s">
        <v>124</v>
      </c>
      <c r="B1363" s="59">
        <v>35324</v>
      </c>
      <c r="C1363" s="57">
        <f>YEAR(表_查询来自_northwind3[[#This Row],[订购日期]])</f>
        <v>1996</v>
      </c>
      <c r="D1363" s="1">
        <v>262</v>
      </c>
    </row>
    <row r="1364" spans="1:4" x14ac:dyDescent="0.25">
      <c r="A1364" s="1" t="s">
        <v>124</v>
      </c>
      <c r="B1364" s="59">
        <v>35331</v>
      </c>
      <c r="C1364" s="57">
        <f>YEAR(表_查询来自_northwind3[[#This Row],[订购日期]])</f>
        <v>1996</v>
      </c>
      <c r="D1364" s="1">
        <v>524</v>
      </c>
    </row>
    <row r="1365" spans="1:4" x14ac:dyDescent="0.25">
      <c r="A1365" s="1" t="s">
        <v>124</v>
      </c>
      <c r="B1365" s="59">
        <v>35411</v>
      </c>
      <c r="C1365" s="57">
        <f>YEAR(表_查询来自_northwind3[[#This Row],[订购日期]])</f>
        <v>1996</v>
      </c>
      <c r="D1365" s="1">
        <v>471.59999921917915</v>
      </c>
    </row>
    <row r="1366" spans="1:4" x14ac:dyDescent="0.25">
      <c r="A1366" s="1" t="s">
        <v>124</v>
      </c>
      <c r="B1366" s="59">
        <v>35418</v>
      </c>
      <c r="C1366" s="57">
        <f>YEAR(表_查询来自_northwind3[[#This Row],[订购日期]])</f>
        <v>1996</v>
      </c>
      <c r="D1366" s="1">
        <v>1048</v>
      </c>
    </row>
    <row r="1367" spans="1:4" x14ac:dyDescent="0.25">
      <c r="A1367" s="1" t="s">
        <v>124</v>
      </c>
      <c r="B1367" s="59">
        <v>35425</v>
      </c>
      <c r="C1367" s="57">
        <f>YEAR(表_查询来自_northwind3[[#This Row],[订购日期]])</f>
        <v>1996</v>
      </c>
      <c r="D1367" s="1">
        <v>1650.599997267127</v>
      </c>
    </row>
    <row r="1368" spans="1:4" x14ac:dyDescent="0.25">
      <c r="A1368" s="1" t="s">
        <v>124</v>
      </c>
      <c r="B1368" s="59">
        <v>35446</v>
      </c>
      <c r="C1368" s="57">
        <f>YEAR(表_查询来自_northwind3[[#This Row],[订购日期]])</f>
        <v>1997</v>
      </c>
      <c r="D1368" s="1">
        <v>262</v>
      </c>
    </row>
    <row r="1369" spans="1:4" x14ac:dyDescent="0.25">
      <c r="A1369" s="1" t="s">
        <v>124</v>
      </c>
      <c r="B1369" s="59">
        <v>35451</v>
      </c>
      <c r="C1369" s="57">
        <f>YEAR(表_查询来自_northwind3[[#This Row],[订购日期]])</f>
        <v>1997</v>
      </c>
      <c r="D1369" s="1">
        <v>334.04999765753746</v>
      </c>
    </row>
    <row r="1370" spans="1:4" x14ac:dyDescent="0.25">
      <c r="A1370" s="1" t="s">
        <v>124</v>
      </c>
      <c r="B1370" s="59">
        <v>35466</v>
      </c>
      <c r="C1370" s="57">
        <f>YEAR(表_查询来自_northwind3[[#This Row],[订购日期]])</f>
        <v>1997</v>
      </c>
      <c r="D1370" s="1">
        <v>393</v>
      </c>
    </row>
    <row r="1371" spans="1:4" x14ac:dyDescent="0.25">
      <c r="A1371" s="1" t="s">
        <v>124</v>
      </c>
      <c r="B1371" s="59">
        <v>35485</v>
      </c>
      <c r="C1371" s="57">
        <f>YEAR(表_查询来自_northwind3[[#This Row],[订购日期]])</f>
        <v>1997</v>
      </c>
      <c r="D1371" s="1">
        <v>1310</v>
      </c>
    </row>
    <row r="1372" spans="1:4" x14ac:dyDescent="0.25">
      <c r="A1372" s="1" t="s">
        <v>124</v>
      </c>
      <c r="B1372" s="59">
        <v>35508</v>
      </c>
      <c r="C1372" s="57">
        <f>YEAR(表_查询来自_northwind3[[#This Row],[订购日期]])</f>
        <v>1997</v>
      </c>
      <c r="D1372" s="1">
        <v>733.6</v>
      </c>
    </row>
    <row r="1373" spans="1:4" x14ac:dyDescent="0.25">
      <c r="A1373" s="1" t="s">
        <v>124</v>
      </c>
      <c r="B1373" s="59">
        <v>35530</v>
      </c>
      <c r="C1373" s="57">
        <f>YEAR(表_查询来自_northwind3[[#This Row],[订购日期]])</f>
        <v>1997</v>
      </c>
      <c r="D1373" s="1">
        <v>196.8</v>
      </c>
    </row>
    <row r="1374" spans="1:4" x14ac:dyDescent="0.25">
      <c r="A1374" s="1" t="s">
        <v>124</v>
      </c>
      <c r="B1374" s="59">
        <v>35531</v>
      </c>
      <c r="C1374" s="57">
        <f>YEAR(表_查询来自_northwind3[[#This Row],[订购日期]])</f>
        <v>1997</v>
      </c>
      <c r="D1374" s="1">
        <v>328</v>
      </c>
    </row>
    <row r="1375" spans="1:4" x14ac:dyDescent="0.25">
      <c r="A1375" s="1" t="s">
        <v>124</v>
      </c>
      <c r="B1375" s="59">
        <v>35549</v>
      </c>
      <c r="C1375" s="57">
        <f>YEAR(表_查询来自_northwind3[[#This Row],[订购日期]])</f>
        <v>1997</v>
      </c>
      <c r="D1375" s="1">
        <v>164</v>
      </c>
    </row>
    <row r="1376" spans="1:4" x14ac:dyDescent="0.25">
      <c r="A1376" s="1" t="s">
        <v>124</v>
      </c>
      <c r="B1376" s="59">
        <v>35585</v>
      </c>
      <c r="C1376" s="57">
        <f>YEAR(表_查询来自_northwind3[[#This Row],[订购日期]])</f>
        <v>1997</v>
      </c>
      <c r="D1376" s="1">
        <v>590.4</v>
      </c>
    </row>
    <row r="1377" spans="1:4" x14ac:dyDescent="0.25">
      <c r="A1377" s="1" t="s">
        <v>124</v>
      </c>
      <c r="B1377" s="59">
        <v>35600</v>
      </c>
      <c r="C1377" s="57">
        <f>YEAR(表_查询来自_northwind3[[#This Row],[订购日期]])</f>
        <v>1997</v>
      </c>
      <c r="D1377" s="1">
        <v>820</v>
      </c>
    </row>
    <row r="1378" spans="1:4" x14ac:dyDescent="0.25">
      <c r="A1378" s="1" t="s">
        <v>124</v>
      </c>
      <c r="B1378" s="59">
        <v>35653</v>
      </c>
      <c r="C1378" s="57">
        <f>YEAR(表_查询来自_northwind3[[#This Row],[订购日期]])</f>
        <v>1997</v>
      </c>
      <c r="D1378" s="1">
        <v>393.6</v>
      </c>
    </row>
    <row r="1379" spans="1:4" x14ac:dyDescent="0.25">
      <c r="A1379" s="1" t="s">
        <v>124</v>
      </c>
      <c r="B1379" s="59">
        <v>35671</v>
      </c>
      <c r="C1379" s="57">
        <f>YEAR(表_查询来自_northwind3[[#This Row],[订购日期]])</f>
        <v>1997</v>
      </c>
      <c r="D1379" s="1">
        <v>778.99999938905239</v>
      </c>
    </row>
    <row r="1380" spans="1:4" x14ac:dyDescent="0.25">
      <c r="A1380" s="1" t="s">
        <v>124</v>
      </c>
      <c r="B1380" s="59">
        <v>35692</v>
      </c>
      <c r="C1380" s="57">
        <f>YEAR(表_查询来自_northwind3[[#This Row],[订购日期]])</f>
        <v>1997</v>
      </c>
      <c r="D1380" s="1">
        <v>328</v>
      </c>
    </row>
    <row r="1381" spans="1:4" x14ac:dyDescent="0.25">
      <c r="A1381" s="1" t="s">
        <v>124</v>
      </c>
      <c r="B1381" s="59">
        <v>35724</v>
      </c>
      <c r="C1381" s="57">
        <f>YEAR(表_查询来自_northwind3[[#This Row],[订购日期]])</f>
        <v>1997</v>
      </c>
      <c r="D1381" s="1">
        <v>3936</v>
      </c>
    </row>
    <row r="1382" spans="1:4" x14ac:dyDescent="0.25">
      <c r="A1382" s="1" t="s">
        <v>124</v>
      </c>
      <c r="B1382" s="59">
        <v>35724</v>
      </c>
      <c r="C1382" s="57">
        <f>YEAR(表_查询来自_northwind3[[#This Row],[订购日期]])</f>
        <v>1997</v>
      </c>
      <c r="D1382" s="1">
        <v>93.47999992668629</v>
      </c>
    </row>
    <row r="1383" spans="1:4" x14ac:dyDescent="0.25">
      <c r="A1383" s="1" t="s">
        <v>124</v>
      </c>
      <c r="B1383" s="59">
        <v>35804</v>
      </c>
      <c r="C1383" s="57">
        <f>YEAR(表_查询来自_northwind3[[#This Row],[订购日期]])</f>
        <v>1998</v>
      </c>
      <c r="D1383" s="1">
        <v>656</v>
      </c>
    </row>
    <row r="1384" spans="1:4" x14ac:dyDescent="0.25">
      <c r="A1384" s="1" t="s">
        <v>124</v>
      </c>
      <c r="B1384" s="59">
        <v>35810</v>
      </c>
      <c r="C1384" s="57">
        <f>YEAR(表_查询来自_northwind3[[#This Row],[订购日期]])</f>
        <v>1998</v>
      </c>
      <c r="D1384" s="1">
        <v>265.67999956011772</v>
      </c>
    </row>
    <row r="1385" spans="1:4" x14ac:dyDescent="0.25">
      <c r="A1385" s="1" t="s">
        <v>124</v>
      </c>
      <c r="B1385" s="59">
        <v>35829</v>
      </c>
      <c r="C1385" s="57">
        <f>YEAR(表_查询来自_northwind3[[#This Row],[订购日期]])</f>
        <v>1998</v>
      </c>
      <c r="D1385" s="1">
        <v>98.4</v>
      </c>
    </row>
    <row r="1386" spans="1:4" x14ac:dyDescent="0.25">
      <c r="A1386" s="1" t="s">
        <v>124</v>
      </c>
      <c r="B1386" s="59">
        <v>35860</v>
      </c>
      <c r="C1386" s="57">
        <f>YEAR(表_查询来自_northwind3[[#This Row],[订购日期]])</f>
        <v>1998</v>
      </c>
      <c r="D1386" s="1">
        <v>65.599999999999994</v>
      </c>
    </row>
    <row r="1387" spans="1:4" x14ac:dyDescent="0.25">
      <c r="A1387" s="1" t="s">
        <v>124</v>
      </c>
      <c r="B1387" s="59">
        <v>35873</v>
      </c>
      <c r="C1387" s="57">
        <f>YEAR(表_查询来自_northwind3[[#This Row],[订购日期]])</f>
        <v>1998</v>
      </c>
      <c r="D1387" s="1">
        <v>656</v>
      </c>
    </row>
    <row r="1388" spans="1:4" x14ac:dyDescent="0.25">
      <c r="A1388" s="1" t="s">
        <v>124</v>
      </c>
      <c r="B1388" s="59">
        <v>35902</v>
      </c>
      <c r="C1388" s="57">
        <f>YEAR(表_查询来自_northwind3[[#This Row],[订购日期]])</f>
        <v>1998</v>
      </c>
      <c r="D1388" s="1">
        <v>2066.3999965786934</v>
      </c>
    </row>
    <row r="1389" spans="1:4" x14ac:dyDescent="0.25">
      <c r="A1389" s="1" t="s">
        <v>124</v>
      </c>
      <c r="B1389" s="59">
        <v>35915</v>
      </c>
      <c r="C1389" s="57">
        <f>YEAR(表_查询来自_northwind3[[#This Row],[订购日期]])</f>
        <v>1998</v>
      </c>
      <c r="D1389" s="1">
        <v>262.39999902248383</v>
      </c>
    </row>
    <row r="1390" spans="1:4" x14ac:dyDescent="0.25">
      <c r="A1390" s="1" t="s">
        <v>124</v>
      </c>
      <c r="B1390" s="59">
        <v>35916</v>
      </c>
      <c r="C1390" s="57">
        <f>YEAR(表_查询来自_northwind3[[#This Row],[订购日期]])</f>
        <v>1998</v>
      </c>
      <c r="D1390" s="1">
        <v>737.99999877810478</v>
      </c>
    </row>
    <row r="1391" spans="1:4" x14ac:dyDescent="0.25">
      <c r="A1391" s="1" t="s">
        <v>125</v>
      </c>
      <c r="B1391" s="59">
        <v>35300</v>
      </c>
      <c r="C1391" s="57">
        <f>YEAR(表_查询来自_northwind3[[#This Row],[订购日期]])</f>
        <v>1996</v>
      </c>
      <c r="D1391" s="1">
        <v>53.099999912083149</v>
      </c>
    </row>
    <row r="1392" spans="1:4" x14ac:dyDescent="0.25">
      <c r="A1392" s="1" t="s">
        <v>125</v>
      </c>
      <c r="B1392" s="59">
        <v>35324</v>
      </c>
      <c r="C1392" s="57">
        <f>YEAR(表_查询来自_northwind3[[#This Row],[订购日期]])</f>
        <v>1996</v>
      </c>
      <c r="D1392" s="1">
        <v>29.5</v>
      </c>
    </row>
    <row r="1393" spans="1:4" x14ac:dyDescent="0.25">
      <c r="A1393" s="1" t="s">
        <v>125</v>
      </c>
      <c r="B1393" s="59">
        <v>35354</v>
      </c>
      <c r="C1393" s="57">
        <f>YEAR(表_查询来自_northwind3[[#This Row],[订购日期]])</f>
        <v>1996</v>
      </c>
      <c r="D1393" s="1">
        <v>88.5</v>
      </c>
    </row>
    <row r="1394" spans="1:4" x14ac:dyDescent="0.25">
      <c r="A1394" s="1" t="s">
        <v>125</v>
      </c>
      <c r="B1394" s="59">
        <v>35377</v>
      </c>
      <c r="C1394" s="57">
        <f>YEAR(表_查询来自_northwind3[[#This Row],[订购日期]])</f>
        <v>1996</v>
      </c>
      <c r="D1394" s="1">
        <v>141.6</v>
      </c>
    </row>
    <row r="1395" spans="1:4" x14ac:dyDescent="0.25">
      <c r="A1395" s="1" t="s">
        <v>125</v>
      </c>
      <c r="B1395" s="59">
        <v>35381</v>
      </c>
      <c r="C1395" s="57">
        <f>YEAR(表_查询来自_northwind3[[#This Row],[订购日期]])</f>
        <v>1996</v>
      </c>
      <c r="D1395" s="1">
        <v>100.29999929666519</v>
      </c>
    </row>
    <row r="1396" spans="1:4" x14ac:dyDescent="0.25">
      <c r="A1396" s="1" t="s">
        <v>125</v>
      </c>
      <c r="B1396" s="59">
        <v>35391</v>
      </c>
      <c r="C1396" s="57">
        <f>YEAR(表_查询来自_northwind3[[#This Row],[订购日期]])</f>
        <v>1996</v>
      </c>
      <c r="D1396" s="1">
        <v>165.2</v>
      </c>
    </row>
    <row r="1397" spans="1:4" x14ac:dyDescent="0.25">
      <c r="A1397" s="1" t="s">
        <v>125</v>
      </c>
      <c r="B1397" s="59">
        <v>35394</v>
      </c>
      <c r="C1397" s="57">
        <f>YEAR(表_查询来自_northwind3[[#This Row],[订购日期]])</f>
        <v>1996</v>
      </c>
      <c r="D1397" s="1">
        <v>141.6</v>
      </c>
    </row>
    <row r="1398" spans="1:4" x14ac:dyDescent="0.25">
      <c r="A1398" s="1" t="s">
        <v>125</v>
      </c>
      <c r="B1398" s="59">
        <v>35397</v>
      </c>
      <c r="C1398" s="57">
        <f>YEAR(表_查询来自_northwind3[[#This Row],[订购日期]])</f>
        <v>1996</v>
      </c>
      <c r="D1398" s="1">
        <v>106.2</v>
      </c>
    </row>
    <row r="1399" spans="1:4" x14ac:dyDescent="0.25">
      <c r="A1399" s="1" t="s">
        <v>125</v>
      </c>
      <c r="B1399" s="59">
        <v>35405</v>
      </c>
      <c r="C1399" s="57">
        <f>YEAR(表_查询来自_northwind3[[#This Row],[订购日期]])</f>
        <v>1996</v>
      </c>
      <c r="D1399" s="1">
        <v>59</v>
      </c>
    </row>
    <row r="1400" spans="1:4" x14ac:dyDescent="0.25">
      <c r="A1400" s="1" t="s">
        <v>125</v>
      </c>
      <c r="B1400" s="59">
        <v>35438</v>
      </c>
      <c r="C1400" s="57">
        <f>YEAR(表_查询来自_northwind3[[#This Row],[订购日期]])</f>
        <v>1997</v>
      </c>
      <c r="D1400" s="1">
        <v>35.4</v>
      </c>
    </row>
    <row r="1401" spans="1:4" x14ac:dyDescent="0.25">
      <c r="A1401" s="1" t="s">
        <v>125</v>
      </c>
      <c r="B1401" s="59">
        <v>35461</v>
      </c>
      <c r="C1401" s="57">
        <f>YEAR(表_查询来自_northwind3[[#This Row],[订购日期]])</f>
        <v>1997</v>
      </c>
      <c r="D1401" s="1">
        <v>236</v>
      </c>
    </row>
    <row r="1402" spans="1:4" x14ac:dyDescent="0.25">
      <c r="A1402" s="1" t="s">
        <v>125</v>
      </c>
      <c r="B1402" s="59">
        <v>35472</v>
      </c>
      <c r="C1402" s="57">
        <f>YEAR(表_查询来自_northwind3[[#This Row],[订购日期]])</f>
        <v>1997</v>
      </c>
      <c r="D1402" s="1">
        <v>472</v>
      </c>
    </row>
    <row r="1403" spans="1:4" x14ac:dyDescent="0.25">
      <c r="A1403" s="1" t="s">
        <v>125</v>
      </c>
      <c r="B1403" s="59">
        <v>35474</v>
      </c>
      <c r="C1403" s="57">
        <f>YEAR(表_查询来自_northwind3[[#This Row],[订购日期]])</f>
        <v>1997</v>
      </c>
      <c r="D1403" s="1">
        <v>88.5</v>
      </c>
    </row>
    <row r="1404" spans="1:4" x14ac:dyDescent="0.25">
      <c r="A1404" s="1" t="s">
        <v>125</v>
      </c>
      <c r="B1404" s="59">
        <v>35480</v>
      </c>
      <c r="C1404" s="57">
        <f>YEAR(表_查询来自_northwind3[[#This Row],[订购日期]])</f>
        <v>1997</v>
      </c>
      <c r="D1404" s="1">
        <v>28.319999894499777</v>
      </c>
    </row>
    <row r="1405" spans="1:4" x14ac:dyDescent="0.25">
      <c r="A1405" s="1" t="s">
        <v>125</v>
      </c>
      <c r="B1405" s="59">
        <v>35515</v>
      </c>
      <c r="C1405" s="57">
        <f>YEAR(表_查询来自_northwind3[[#This Row],[订购日期]])</f>
        <v>1997</v>
      </c>
      <c r="D1405" s="1">
        <v>106.19999999999999</v>
      </c>
    </row>
    <row r="1406" spans="1:4" x14ac:dyDescent="0.25">
      <c r="A1406" s="1" t="s">
        <v>125</v>
      </c>
      <c r="B1406" s="59">
        <v>35529</v>
      </c>
      <c r="C1406" s="57">
        <f>YEAR(表_查询来自_northwind3[[#This Row],[订购日期]])</f>
        <v>1997</v>
      </c>
      <c r="D1406" s="1">
        <v>149</v>
      </c>
    </row>
    <row r="1407" spans="1:4" x14ac:dyDescent="0.25">
      <c r="A1407" s="1" t="s">
        <v>125</v>
      </c>
      <c r="B1407" s="59">
        <v>35551</v>
      </c>
      <c r="C1407" s="57">
        <f>YEAR(表_查询来自_northwind3[[#This Row],[订购日期]])</f>
        <v>1997</v>
      </c>
      <c r="D1407" s="1">
        <v>111.75</v>
      </c>
    </row>
    <row r="1408" spans="1:4" x14ac:dyDescent="0.25">
      <c r="A1408" s="1" t="s">
        <v>125</v>
      </c>
      <c r="B1408" s="59">
        <v>35562</v>
      </c>
      <c r="C1408" s="57">
        <f>YEAR(表_查询来自_northwind3[[#This Row],[订购日期]])</f>
        <v>1997</v>
      </c>
      <c r="D1408" s="1">
        <v>59.599999777972698</v>
      </c>
    </row>
    <row r="1409" spans="1:4" x14ac:dyDescent="0.25">
      <c r="A1409" s="1" t="s">
        <v>125</v>
      </c>
      <c r="B1409" s="59">
        <v>35570</v>
      </c>
      <c r="C1409" s="57">
        <f>YEAR(表_查询来自_northwind3[[#This Row],[订购日期]])</f>
        <v>1997</v>
      </c>
      <c r="D1409" s="1">
        <v>169.85999986678362</v>
      </c>
    </row>
    <row r="1410" spans="1:4" x14ac:dyDescent="0.25">
      <c r="A1410" s="1" t="s">
        <v>125</v>
      </c>
      <c r="B1410" s="59">
        <v>35618</v>
      </c>
      <c r="C1410" s="57">
        <f>YEAR(表_查询来自_northwind3[[#This Row],[订购日期]])</f>
        <v>1997</v>
      </c>
      <c r="D1410" s="1">
        <v>372.5</v>
      </c>
    </row>
    <row r="1411" spans="1:4" x14ac:dyDescent="0.25">
      <c r="A1411" s="1" t="s">
        <v>125</v>
      </c>
      <c r="B1411" s="59">
        <v>35627</v>
      </c>
      <c r="C1411" s="57">
        <f>YEAR(表_查询来自_northwind3[[#This Row],[订购日期]])</f>
        <v>1997</v>
      </c>
      <c r="D1411" s="1">
        <v>29.8</v>
      </c>
    </row>
    <row r="1412" spans="1:4" x14ac:dyDescent="0.25">
      <c r="A1412" s="1" t="s">
        <v>125</v>
      </c>
      <c r="B1412" s="59">
        <v>35671</v>
      </c>
      <c r="C1412" s="57">
        <f>YEAR(表_查询来自_northwind3[[#This Row],[订购日期]])</f>
        <v>1997</v>
      </c>
      <c r="D1412" s="1">
        <v>223.5</v>
      </c>
    </row>
    <row r="1413" spans="1:4" x14ac:dyDescent="0.25">
      <c r="A1413" s="1" t="s">
        <v>125</v>
      </c>
      <c r="B1413" s="59">
        <v>35675</v>
      </c>
      <c r="C1413" s="57">
        <f>YEAR(表_查询来自_northwind3[[#This Row],[订购日期]])</f>
        <v>1997</v>
      </c>
      <c r="D1413" s="1">
        <v>40.229999933391809</v>
      </c>
    </row>
    <row r="1414" spans="1:4" x14ac:dyDescent="0.25">
      <c r="A1414" s="1" t="s">
        <v>125</v>
      </c>
      <c r="B1414" s="59">
        <v>35696</v>
      </c>
      <c r="C1414" s="57">
        <f>YEAR(表_查询来自_northwind3[[#This Row],[订购日期]])</f>
        <v>1997</v>
      </c>
      <c r="D1414" s="1">
        <v>223.5</v>
      </c>
    </row>
    <row r="1415" spans="1:4" x14ac:dyDescent="0.25">
      <c r="A1415" s="1" t="s">
        <v>125</v>
      </c>
      <c r="B1415" s="59">
        <v>35709</v>
      </c>
      <c r="C1415" s="57">
        <f>YEAR(表_查询来自_northwind3[[#This Row],[订购日期]])</f>
        <v>1997</v>
      </c>
      <c r="D1415" s="1">
        <v>379.94999733567238</v>
      </c>
    </row>
    <row r="1416" spans="1:4" x14ac:dyDescent="0.25">
      <c r="A1416" s="1" t="s">
        <v>125</v>
      </c>
      <c r="B1416" s="59">
        <v>35727</v>
      </c>
      <c r="C1416" s="57">
        <f>YEAR(表_查询来自_northwind3[[#This Row],[订购日期]])</f>
        <v>1997</v>
      </c>
      <c r="D1416" s="1">
        <v>111.75</v>
      </c>
    </row>
    <row r="1417" spans="1:4" x14ac:dyDescent="0.25">
      <c r="A1417" s="1" t="s">
        <v>125</v>
      </c>
      <c r="B1417" s="59">
        <v>35730</v>
      </c>
      <c r="C1417" s="57">
        <f>YEAR(表_查询来自_northwind3[[#This Row],[订购日期]])</f>
        <v>1997</v>
      </c>
      <c r="D1417" s="1">
        <v>223.5</v>
      </c>
    </row>
    <row r="1418" spans="1:4" x14ac:dyDescent="0.25">
      <c r="A1418" s="1" t="s">
        <v>125</v>
      </c>
      <c r="B1418" s="59">
        <v>35781</v>
      </c>
      <c r="C1418" s="57">
        <f>YEAR(表_查询来自_northwind3[[#This Row],[订购日期]])</f>
        <v>1997</v>
      </c>
      <c r="D1418" s="1">
        <v>17.879999933391812</v>
      </c>
    </row>
    <row r="1419" spans="1:4" x14ac:dyDescent="0.25">
      <c r="A1419" s="1" t="s">
        <v>125</v>
      </c>
      <c r="B1419" s="59">
        <v>35787</v>
      </c>
      <c r="C1419" s="57">
        <f>YEAR(表_查询来自_northwind3[[#This Row],[订购日期]])</f>
        <v>1997</v>
      </c>
      <c r="D1419" s="1">
        <v>22.35</v>
      </c>
    </row>
    <row r="1420" spans="1:4" x14ac:dyDescent="0.25">
      <c r="A1420" s="1" t="s">
        <v>125</v>
      </c>
      <c r="B1420" s="59">
        <v>35788</v>
      </c>
      <c r="C1420" s="57">
        <f>YEAR(表_查询来自_northwind3[[#This Row],[订购日期]])</f>
        <v>1997</v>
      </c>
      <c r="D1420" s="1">
        <v>35.759999866783623</v>
      </c>
    </row>
    <row r="1421" spans="1:4" x14ac:dyDescent="0.25">
      <c r="A1421" s="1" t="s">
        <v>125</v>
      </c>
      <c r="B1421" s="59">
        <v>35790</v>
      </c>
      <c r="C1421" s="57">
        <f>YEAR(表_查询来自_northwind3[[#This Row],[订购日期]])</f>
        <v>1997</v>
      </c>
      <c r="D1421" s="1">
        <v>46.934999922290444</v>
      </c>
    </row>
    <row r="1422" spans="1:4" x14ac:dyDescent="0.25">
      <c r="A1422" s="1" t="s">
        <v>125</v>
      </c>
      <c r="B1422" s="59">
        <v>35824</v>
      </c>
      <c r="C1422" s="57">
        <f>YEAR(表_查询来自_northwind3[[#This Row],[订购日期]])</f>
        <v>1998</v>
      </c>
      <c r="D1422" s="1">
        <v>195.5625</v>
      </c>
    </row>
    <row r="1423" spans="1:4" x14ac:dyDescent="0.25">
      <c r="A1423" s="1" t="s">
        <v>125</v>
      </c>
      <c r="B1423" s="59">
        <v>35837</v>
      </c>
      <c r="C1423" s="57">
        <f>YEAR(表_查询来自_northwind3[[#This Row],[订购日期]])</f>
        <v>1998</v>
      </c>
      <c r="D1423" s="1">
        <v>202.63999857902527</v>
      </c>
    </row>
    <row r="1424" spans="1:4" x14ac:dyDescent="0.25">
      <c r="A1424" s="1" t="s">
        <v>125</v>
      </c>
      <c r="B1424" s="59">
        <v>35853</v>
      </c>
      <c r="C1424" s="57">
        <f>YEAR(表_查询来自_northwind3[[#This Row],[订购日期]])</f>
        <v>1998</v>
      </c>
      <c r="D1424" s="1">
        <v>74.5</v>
      </c>
    </row>
    <row r="1425" spans="1:4" x14ac:dyDescent="0.25">
      <c r="A1425" s="1" t="s">
        <v>125</v>
      </c>
      <c r="B1425" s="59">
        <v>35905</v>
      </c>
      <c r="C1425" s="57">
        <f>YEAR(表_查询来自_northwind3[[#This Row],[订购日期]])</f>
        <v>1998</v>
      </c>
      <c r="D1425" s="1">
        <v>74.5</v>
      </c>
    </row>
    <row r="1426" spans="1:4" x14ac:dyDescent="0.25">
      <c r="A1426" s="1" t="s">
        <v>125</v>
      </c>
      <c r="B1426" s="59">
        <v>35916</v>
      </c>
      <c r="C1426" s="57">
        <f>YEAR(表_查询来自_northwind3[[#This Row],[订购日期]])</f>
        <v>1998</v>
      </c>
      <c r="D1426" s="1">
        <v>111.75</v>
      </c>
    </row>
    <row r="1427" spans="1:4" x14ac:dyDescent="0.25">
      <c r="A1427" s="1" t="s">
        <v>100</v>
      </c>
      <c r="B1427" s="59">
        <v>35257</v>
      </c>
      <c r="C1427" s="57">
        <f>YEAR(表_查询来自_northwind3[[#This Row],[订购日期]])</f>
        <v>1996</v>
      </c>
      <c r="D1427" s="1">
        <v>342.71999759674071</v>
      </c>
    </row>
    <row r="1428" spans="1:4" x14ac:dyDescent="0.25">
      <c r="A1428" s="1" t="s">
        <v>100</v>
      </c>
      <c r="B1428" s="59">
        <v>35291</v>
      </c>
      <c r="C1428" s="57">
        <f>YEAR(表_查询来自_northwind3[[#This Row],[订购日期]])</f>
        <v>1996</v>
      </c>
      <c r="D1428" s="1">
        <v>384</v>
      </c>
    </row>
    <row r="1429" spans="1:4" x14ac:dyDescent="0.25">
      <c r="A1429" s="1" t="s">
        <v>100</v>
      </c>
      <c r="B1429" s="59">
        <v>35368</v>
      </c>
      <c r="C1429" s="57">
        <f>YEAR(表_查询来自_northwind3[[#This Row],[订购日期]])</f>
        <v>1996</v>
      </c>
      <c r="D1429" s="1">
        <v>614.39999771118164</v>
      </c>
    </row>
    <row r="1430" spans="1:4" x14ac:dyDescent="0.25">
      <c r="A1430" s="1" t="s">
        <v>100</v>
      </c>
      <c r="B1430" s="59">
        <v>35387</v>
      </c>
      <c r="C1430" s="57">
        <f>YEAR(表_查询来自_northwind3[[#This Row],[订购日期]])</f>
        <v>1996</v>
      </c>
      <c r="D1430" s="1">
        <v>230.4</v>
      </c>
    </row>
    <row r="1431" spans="1:4" x14ac:dyDescent="0.25">
      <c r="A1431" s="1" t="s">
        <v>100</v>
      </c>
      <c r="B1431" s="59">
        <v>35419</v>
      </c>
      <c r="C1431" s="57">
        <f>YEAR(表_查询来自_northwind3[[#This Row],[订购日期]])</f>
        <v>1996</v>
      </c>
      <c r="D1431" s="1">
        <v>288</v>
      </c>
    </row>
    <row r="1432" spans="1:4" x14ac:dyDescent="0.25">
      <c r="A1432" s="1" t="s">
        <v>100</v>
      </c>
      <c r="B1432" s="59">
        <v>35429</v>
      </c>
      <c r="C1432" s="57">
        <f>YEAR(表_查询来自_northwind3[[#This Row],[订购日期]])</f>
        <v>1996</v>
      </c>
      <c r="D1432" s="1">
        <v>2073.5999965667725</v>
      </c>
    </row>
    <row r="1433" spans="1:4" x14ac:dyDescent="0.25">
      <c r="A1433" s="1" t="s">
        <v>100</v>
      </c>
      <c r="B1433" s="59">
        <v>35454</v>
      </c>
      <c r="C1433" s="57">
        <f>YEAR(表_查询来自_northwind3[[#This Row],[订购日期]])</f>
        <v>1997</v>
      </c>
      <c r="D1433" s="1">
        <v>144</v>
      </c>
    </row>
    <row r="1434" spans="1:4" x14ac:dyDescent="0.25">
      <c r="A1434" s="1" t="s">
        <v>100</v>
      </c>
      <c r="B1434" s="59">
        <v>35480</v>
      </c>
      <c r="C1434" s="57">
        <f>YEAR(表_查询来自_northwind3[[#This Row],[订购日期]])</f>
        <v>1997</v>
      </c>
      <c r="D1434" s="1">
        <v>2073.5999965667725</v>
      </c>
    </row>
    <row r="1435" spans="1:4" x14ac:dyDescent="0.25">
      <c r="A1435" s="1" t="s">
        <v>100</v>
      </c>
      <c r="B1435" s="59">
        <v>35489</v>
      </c>
      <c r="C1435" s="57">
        <f>YEAR(表_查询来自_northwind3[[#This Row],[订购日期]])</f>
        <v>1997</v>
      </c>
      <c r="D1435" s="1">
        <v>864</v>
      </c>
    </row>
    <row r="1436" spans="1:4" x14ac:dyDescent="0.25">
      <c r="A1436" s="1" t="s">
        <v>100</v>
      </c>
      <c r="B1436" s="59">
        <v>35506</v>
      </c>
      <c r="C1436" s="57">
        <f>YEAR(表_查询来自_northwind3[[#This Row],[订购日期]])</f>
        <v>1997</v>
      </c>
      <c r="D1436" s="1">
        <v>36.479999971389766</v>
      </c>
    </row>
    <row r="1437" spans="1:4" x14ac:dyDescent="0.25">
      <c r="A1437" s="1" t="s">
        <v>100</v>
      </c>
      <c r="B1437" s="59">
        <v>35514</v>
      </c>
      <c r="C1437" s="57">
        <f>YEAR(表_查询来自_northwind3[[#This Row],[订购日期]])</f>
        <v>1997</v>
      </c>
      <c r="D1437" s="1">
        <v>518.39999914169312</v>
      </c>
    </row>
    <row r="1438" spans="1:4" x14ac:dyDescent="0.25">
      <c r="A1438" s="1" t="s">
        <v>100</v>
      </c>
      <c r="B1438" s="59">
        <v>35557</v>
      </c>
      <c r="C1438" s="57">
        <f>YEAR(表_查询来自_northwind3[[#This Row],[订购日期]])</f>
        <v>1997</v>
      </c>
      <c r="D1438" s="1">
        <v>336</v>
      </c>
    </row>
    <row r="1439" spans="1:4" x14ac:dyDescent="0.25">
      <c r="A1439" s="1" t="s">
        <v>100</v>
      </c>
      <c r="B1439" s="59">
        <v>35586</v>
      </c>
      <c r="C1439" s="57">
        <f>YEAR(表_查询来自_northwind3[[#This Row],[订购日期]])</f>
        <v>1997</v>
      </c>
      <c r="D1439" s="1">
        <v>410.39999967813492</v>
      </c>
    </row>
    <row r="1440" spans="1:4" x14ac:dyDescent="0.25">
      <c r="A1440" s="1" t="s">
        <v>100</v>
      </c>
      <c r="B1440" s="59">
        <v>35591</v>
      </c>
      <c r="C1440" s="57">
        <f>YEAR(表_查询来自_northwind3[[#This Row],[订购日期]])</f>
        <v>1997</v>
      </c>
      <c r="D1440" s="1">
        <v>569.99999955296516</v>
      </c>
    </row>
    <row r="1441" spans="1:4" x14ac:dyDescent="0.25">
      <c r="A1441" s="1" t="s">
        <v>100</v>
      </c>
      <c r="B1441" s="59">
        <v>35633</v>
      </c>
      <c r="C1441" s="57">
        <f>YEAR(表_查询来自_northwind3[[#This Row],[订购日期]])</f>
        <v>1997</v>
      </c>
      <c r="D1441" s="1">
        <v>383.99999856948853</v>
      </c>
    </row>
    <row r="1442" spans="1:4" x14ac:dyDescent="0.25">
      <c r="A1442" s="1" t="s">
        <v>100</v>
      </c>
      <c r="B1442" s="59">
        <v>35641</v>
      </c>
      <c r="C1442" s="57">
        <f>YEAR(表_查询来自_northwind3[[#This Row],[订购日期]])</f>
        <v>1997</v>
      </c>
      <c r="D1442" s="1">
        <v>120</v>
      </c>
    </row>
    <row r="1443" spans="1:4" x14ac:dyDescent="0.25">
      <c r="A1443" s="1" t="s">
        <v>100</v>
      </c>
      <c r="B1443" s="59">
        <v>35655</v>
      </c>
      <c r="C1443" s="57">
        <f>YEAR(表_查询来自_northwind3[[#This Row],[订购日期]])</f>
        <v>1997</v>
      </c>
      <c r="D1443" s="1">
        <v>273.59999978542328</v>
      </c>
    </row>
    <row r="1444" spans="1:4" x14ac:dyDescent="0.25">
      <c r="A1444" s="1" t="s">
        <v>100</v>
      </c>
      <c r="B1444" s="59">
        <v>35688</v>
      </c>
      <c r="C1444" s="57">
        <f>YEAR(表_查询来自_northwind3[[#This Row],[订购日期]])</f>
        <v>1997</v>
      </c>
      <c r="D1444" s="1">
        <v>86.399999856948853</v>
      </c>
    </row>
    <row r="1445" spans="1:4" x14ac:dyDescent="0.25">
      <c r="A1445" s="1" t="s">
        <v>100</v>
      </c>
      <c r="B1445" s="59">
        <v>35719</v>
      </c>
      <c r="C1445" s="57">
        <f>YEAR(表_查询来自_northwind3[[#This Row],[订购日期]])</f>
        <v>1997</v>
      </c>
      <c r="D1445" s="1">
        <v>504</v>
      </c>
    </row>
    <row r="1446" spans="1:4" x14ac:dyDescent="0.25">
      <c r="A1446" s="1" t="s">
        <v>100</v>
      </c>
      <c r="B1446" s="59">
        <v>35734</v>
      </c>
      <c r="C1446" s="57">
        <f>YEAR(表_查询来自_northwind3[[#This Row],[订购日期]])</f>
        <v>1997</v>
      </c>
      <c r="D1446" s="1">
        <v>144</v>
      </c>
    </row>
    <row r="1447" spans="1:4" x14ac:dyDescent="0.25">
      <c r="A1447" s="1" t="s">
        <v>100</v>
      </c>
      <c r="B1447" s="59">
        <v>35738</v>
      </c>
      <c r="C1447" s="57">
        <f>YEAR(表_查询来自_northwind3[[#This Row],[订购日期]])</f>
        <v>1997</v>
      </c>
      <c r="D1447" s="1">
        <v>288</v>
      </c>
    </row>
    <row r="1448" spans="1:4" x14ac:dyDescent="0.25">
      <c r="A1448" s="1" t="s">
        <v>100</v>
      </c>
      <c r="B1448" s="59">
        <v>35793</v>
      </c>
      <c r="C1448" s="57">
        <f>YEAR(表_查询来自_northwind3[[#This Row],[订购日期]])</f>
        <v>1997</v>
      </c>
      <c r="D1448" s="1">
        <v>1080</v>
      </c>
    </row>
    <row r="1449" spans="1:4" x14ac:dyDescent="0.25">
      <c r="A1449" s="1" t="s">
        <v>100</v>
      </c>
      <c r="B1449" s="59">
        <v>35831</v>
      </c>
      <c r="C1449" s="57">
        <f>YEAR(表_查询来自_northwind3[[#This Row],[订购日期]])</f>
        <v>1998</v>
      </c>
      <c r="D1449" s="1">
        <v>227.99999982118607</v>
      </c>
    </row>
    <row r="1450" spans="1:4" x14ac:dyDescent="0.25">
      <c r="A1450" s="1" t="s">
        <v>100</v>
      </c>
      <c r="B1450" s="59">
        <v>35849</v>
      </c>
      <c r="C1450" s="57">
        <f>YEAR(表_查询来自_northwind3[[#This Row],[订购日期]])</f>
        <v>1998</v>
      </c>
      <c r="D1450" s="1">
        <v>611.99999570846558</v>
      </c>
    </row>
    <row r="1451" spans="1:4" x14ac:dyDescent="0.25">
      <c r="A1451" s="1" t="s">
        <v>100</v>
      </c>
      <c r="B1451" s="59">
        <v>35860</v>
      </c>
      <c r="C1451" s="57">
        <f>YEAR(表_查询来自_northwind3[[#This Row],[订购日期]])</f>
        <v>1998</v>
      </c>
      <c r="D1451" s="1">
        <v>479.99999821186066</v>
      </c>
    </row>
    <row r="1452" spans="1:4" x14ac:dyDescent="0.25">
      <c r="A1452" s="1" t="s">
        <v>100</v>
      </c>
      <c r="B1452" s="59">
        <v>35867</v>
      </c>
      <c r="C1452" s="57">
        <f>YEAR(表_查询来自_northwind3[[#This Row],[订购日期]])</f>
        <v>1998</v>
      </c>
      <c r="D1452" s="1">
        <v>96</v>
      </c>
    </row>
    <row r="1453" spans="1:4" x14ac:dyDescent="0.25">
      <c r="A1453" s="1" t="s">
        <v>100</v>
      </c>
      <c r="B1453" s="59">
        <v>35886</v>
      </c>
      <c r="C1453" s="57">
        <f>YEAR(表_查询来自_northwind3[[#This Row],[订购日期]])</f>
        <v>1998</v>
      </c>
      <c r="D1453" s="1">
        <v>1325.9999907016754</v>
      </c>
    </row>
    <row r="1454" spans="1:4" x14ac:dyDescent="0.25">
      <c r="A1454" s="1" t="s">
        <v>100</v>
      </c>
      <c r="B1454" s="59">
        <v>35891</v>
      </c>
      <c r="C1454" s="57">
        <f>YEAR(表_查询来自_northwind3[[#This Row],[订购日期]])</f>
        <v>1998</v>
      </c>
      <c r="D1454" s="1">
        <v>144</v>
      </c>
    </row>
    <row r="1455" spans="1:4" x14ac:dyDescent="0.25">
      <c r="A1455" s="1" t="s">
        <v>100</v>
      </c>
      <c r="B1455" s="59">
        <v>35891</v>
      </c>
      <c r="C1455" s="57">
        <f>YEAR(表_查询来自_northwind3[[#This Row],[订购日期]])</f>
        <v>1998</v>
      </c>
      <c r="D1455" s="1">
        <v>960</v>
      </c>
    </row>
    <row r="1456" spans="1:4" x14ac:dyDescent="0.25">
      <c r="A1456" s="1" t="s">
        <v>100</v>
      </c>
      <c r="B1456" s="59">
        <v>35901</v>
      </c>
      <c r="C1456" s="57">
        <f>YEAR(表_查询来自_northwind3[[#This Row],[订购日期]])</f>
        <v>1998</v>
      </c>
      <c r="D1456" s="1">
        <v>840</v>
      </c>
    </row>
    <row r="1457" spans="1:4" x14ac:dyDescent="0.25">
      <c r="A1457" s="1" t="s">
        <v>100</v>
      </c>
      <c r="B1457" s="59">
        <v>35913</v>
      </c>
      <c r="C1457" s="57">
        <f>YEAR(表_查询来自_northwind3[[#This Row],[订购日期]])</f>
        <v>1998</v>
      </c>
      <c r="D1457" s="1">
        <v>840</v>
      </c>
    </row>
    <row r="1458" spans="1:4" x14ac:dyDescent="0.25">
      <c r="A1458" s="1" t="s">
        <v>100</v>
      </c>
      <c r="B1458" s="59">
        <v>35916</v>
      </c>
      <c r="C1458" s="57">
        <f>YEAR(表_查询来自_northwind3[[#This Row],[订购日期]])</f>
        <v>1998</v>
      </c>
      <c r="D1458" s="1">
        <v>86.399999856948853</v>
      </c>
    </row>
    <row r="1459" spans="1:4" x14ac:dyDescent="0.25">
      <c r="A1459" s="1" t="s">
        <v>100</v>
      </c>
      <c r="B1459" s="59">
        <v>35921</v>
      </c>
      <c r="C1459" s="57">
        <f>YEAR(表_查询来自_northwind3[[#This Row],[订购日期]])</f>
        <v>1998</v>
      </c>
      <c r="D1459" s="1">
        <v>48</v>
      </c>
    </row>
    <row r="1460" spans="1:4" x14ac:dyDescent="0.25">
      <c r="A1460" s="1" t="s">
        <v>126</v>
      </c>
      <c r="B1460" s="59">
        <v>35268</v>
      </c>
      <c r="C1460" s="57">
        <f>YEAR(表_查询来自_northwind3[[#This Row],[订购日期]])</f>
        <v>1996</v>
      </c>
      <c r="D1460" s="1">
        <v>60.8</v>
      </c>
    </row>
    <row r="1461" spans="1:4" x14ac:dyDescent="0.25">
      <c r="A1461" s="1" t="s">
        <v>126</v>
      </c>
      <c r="B1461" s="59">
        <v>35310</v>
      </c>
      <c r="C1461" s="57">
        <f>YEAR(表_查询来自_northwind3[[#This Row],[订购日期]])</f>
        <v>1996</v>
      </c>
      <c r="D1461" s="1">
        <v>121.6</v>
      </c>
    </row>
    <row r="1462" spans="1:4" x14ac:dyDescent="0.25">
      <c r="A1462" s="1" t="s">
        <v>126</v>
      </c>
      <c r="B1462" s="59">
        <v>35317</v>
      </c>
      <c r="C1462" s="57">
        <f>YEAR(表_查询来自_northwind3[[#This Row],[订购日期]])</f>
        <v>1996</v>
      </c>
      <c r="D1462" s="1">
        <v>608</v>
      </c>
    </row>
    <row r="1463" spans="1:4" x14ac:dyDescent="0.25">
      <c r="A1463" s="1" t="s">
        <v>126</v>
      </c>
      <c r="B1463" s="59">
        <v>35353</v>
      </c>
      <c r="C1463" s="57">
        <f>YEAR(表_查询来自_northwind3[[#This Row],[订购日期]])</f>
        <v>1996</v>
      </c>
      <c r="D1463" s="1">
        <v>346.55999972820285</v>
      </c>
    </row>
    <row r="1464" spans="1:4" x14ac:dyDescent="0.25">
      <c r="A1464" s="1" t="s">
        <v>126</v>
      </c>
      <c r="B1464" s="59">
        <v>35374</v>
      </c>
      <c r="C1464" s="57">
        <f>YEAR(表_查询来自_northwind3[[#This Row],[订购日期]])</f>
        <v>1996</v>
      </c>
      <c r="D1464" s="1">
        <v>608</v>
      </c>
    </row>
    <row r="1465" spans="1:4" x14ac:dyDescent="0.25">
      <c r="A1465" s="1" t="s">
        <v>126</v>
      </c>
      <c r="B1465" s="59">
        <v>35401</v>
      </c>
      <c r="C1465" s="57">
        <f>YEAR(表_查询来自_northwind3[[#This Row],[订购日期]])</f>
        <v>1996</v>
      </c>
      <c r="D1465" s="1">
        <v>410.40000000000003</v>
      </c>
    </row>
    <row r="1466" spans="1:4" x14ac:dyDescent="0.25">
      <c r="A1466" s="1" t="s">
        <v>126</v>
      </c>
      <c r="B1466" s="59">
        <v>35415</v>
      </c>
      <c r="C1466" s="57">
        <f>YEAR(表_查询来自_northwind3[[#This Row],[订购日期]])</f>
        <v>1996</v>
      </c>
      <c r="D1466" s="1">
        <v>608</v>
      </c>
    </row>
    <row r="1467" spans="1:4" x14ac:dyDescent="0.25">
      <c r="A1467" s="1" t="s">
        <v>126</v>
      </c>
      <c r="B1467" s="59">
        <v>35431</v>
      </c>
      <c r="C1467" s="57">
        <f>YEAR(表_查询来自_northwind3[[#This Row],[订购日期]])</f>
        <v>1997</v>
      </c>
      <c r="D1467" s="1">
        <v>2128</v>
      </c>
    </row>
    <row r="1468" spans="1:4" x14ac:dyDescent="0.25">
      <c r="A1468" s="1" t="s">
        <v>126</v>
      </c>
      <c r="B1468" s="59">
        <v>35457</v>
      </c>
      <c r="C1468" s="57">
        <f>YEAR(表_查询来自_northwind3[[#This Row],[订购日期]])</f>
        <v>1997</v>
      </c>
      <c r="D1468" s="1">
        <v>152</v>
      </c>
    </row>
    <row r="1469" spans="1:4" x14ac:dyDescent="0.25">
      <c r="A1469" s="1" t="s">
        <v>126</v>
      </c>
      <c r="B1469" s="59">
        <v>35460</v>
      </c>
      <c r="C1469" s="57">
        <f>YEAR(表_查询来自_northwind3[[#This Row],[订购日期]])</f>
        <v>1997</v>
      </c>
      <c r="D1469" s="1">
        <v>912</v>
      </c>
    </row>
    <row r="1470" spans="1:4" x14ac:dyDescent="0.25">
      <c r="A1470" s="1" t="s">
        <v>126</v>
      </c>
      <c r="B1470" s="59">
        <v>35464</v>
      </c>
      <c r="C1470" s="57">
        <f>YEAR(表_查询来自_northwind3[[#This Row],[订购日期]])</f>
        <v>1997</v>
      </c>
      <c r="D1470" s="1">
        <v>851.2</v>
      </c>
    </row>
    <row r="1471" spans="1:4" x14ac:dyDescent="0.25">
      <c r="A1471" s="1" t="s">
        <v>126</v>
      </c>
      <c r="B1471" s="59">
        <v>35466</v>
      </c>
      <c r="C1471" s="57">
        <f>YEAR(表_查询来自_northwind3[[#This Row],[订购日期]])</f>
        <v>1997</v>
      </c>
      <c r="D1471" s="1">
        <v>1094.3999981880188</v>
      </c>
    </row>
    <row r="1472" spans="1:4" x14ac:dyDescent="0.25">
      <c r="A1472" s="1" t="s">
        <v>126</v>
      </c>
      <c r="B1472" s="59">
        <v>35487</v>
      </c>
      <c r="C1472" s="57">
        <f>YEAR(表_查询来自_northwind3[[#This Row],[订购日期]])</f>
        <v>1997</v>
      </c>
      <c r="D1472" s="1">
        <v>456</v>
      </c>
    </row>
    <row r="1473" spans="1:4" x14ac:dyDescent="0.25">
      <c r="A1473" s="1" t="s">
        <v>126</v>
      </c>
      <c r="B1473" s="59">
        <v>35493</v>
      </c>
      <c r="C1473" s="57">
        <f>YEAR(表_查询来自_northwind3[[#This Row],[订购日期]])</f>
        <v>1997</v>
      </c>
      <c r="D1473" s="1">
        <v>729.5999972820282</v>
      </c>
    </row>
    <row r="1474" spans="1:4" x14ac:dyDescent="0.25">
      <c r="A1474" s="1" t="s">
        <v>126</v>
      </c>
      <c r="B1474" s="59">
        <v>35500</v>
      </c>
      <c r="C1474" s="57">
        <f>YEAR(表_查询来自_northwind3[[#This Row],[订购日期]])</f>
        <v>1997</v>
      </c>
      <c r="D1474" s="1">
        <v>608</v>
      </c>
    </row>
    <row r="1475" spans="1:4" x14ac:dyDescent="0.25">
      <c r="A1475" s="1" t="s">
        <v>126</v>
      </c>
      <c r="B1475" s="59">
        <v>35522</v>
      </c>
      <c r="C1475" s="57">
        <f>YEAR(表_查询来自_northwind3[[#This Row],[订购日期]])</f>
        <v>1997</v>
      </c>
      <c r="D1475" s="1">
        <v>912</v>
      </c>
    </row>
    <row r="1476" spans="1:4" x14ac:dyDescent="0.25">
      <c r="A1476" s="1" t="s">
        <v>126</v>
      </c>
      <c r="B1476" s="59">
        <v>35524</v>
      </c>
      <c r="C1476" s="57">
        <f>YEAR(表_查询来自_northwind3[[#This Row],[订购日期]])</f>
        <v>1997</v>
      </c>
      <c r="D1476" s="1">
        <v>425.6</v>
      </c>
    </row>
    <row r="1477" spans="1:4" x14ac:dyDescent="0.25">
      <c r="A1477" s="1" t="s">
        <v>126</v>
      </c>
      <c r="B1477" s="59">
        <v>35542</v>
      </c>
      <c r="C1477" s="57">
        <f>YEAR(表_查询来自_northwind3[[#This Row],[订购日期]])</f>
        <v>1997</v>
      </c>
      <c r="D1477" s="1">
        <v>2660</v>
      </c>
    </row>
    <row r="1478" spans="1:4" x14ac:dyDescent="0.25">
      <c r="A1478" s="1" t="s">
        <v>126</v>
      </c>
      <c r="B1478" s="59">
        <v>35548</v>
      </c>
      <c r="C1478" s="57">
        <f>YEAR(表_查询来自_northwind3[[#This Row],[订购日期]])</f>
        <v>1997</v>
      </c>
      <c r="D1478" s="1">
        <v>1520</v>
      </c>
    </row>
    <row r="1479" spans="1:4" x14ac:dyDescent="0.25">
      <c r="A1479" s="1" t="s">
        <v>126</v>
      </c>
      <c r="B1479" s="59">
        <v>35555</v>
      </c>
      <c r="C1479" s="57">
        <f>YEAR(表_查询来自_northwind3[[#This Row],[订购日期]])</f>
        <v>1997</v>
      </c>
      <c r="D1479" s="1">
        <v>968.9999932050705</v>
      </c>
    </row>
    <row r="1480" spans="1:4" x14ac:dyDescent="0.25">
      <c r="A1480" s="1" t="s">
        <v>126</v>
      </c>
      <c r="B1480" s="59">
        <v>35583</v>
      </c>
      <c r="C1480" s="57">
        <f>YEAR(表_查询来自_northwind3[[#This Row],[订购日期]])</f>
        <v>1997</v>
      </c>
      <c r="D1480" s="1">
        <v>1215.999995470047</v>
      </c>
    </row>
    <row r="1481" spans="1:4" x14ac:dyDescent="0.25">
      <c r="A1481" s="1" t="s">
        <v>126</v>
      </c>
      <c r="B1481" s="59">
        <v>35598</v>
      </c>
      <c r="C1481" s="57">
        <f>YEAR(表_查询来自_northwind3[[#This Row],[订购日期]])</f>
        <v>1997</v>
      </c>
      <c r="D1481" s="1">
        <v>2165.9999983012676</v>
      </c>
    </row>
    <row r="1482" spans="1:4" x14ac:dyDescent="0.25">
      <c r="A1482" s="1" t="s">
        <v>126</v>
      </c>
      <c r="B1482" s="59">
        <v>35622</v>
      </c>
      <c r="C1482" s="57">
        <f>YEAR(表_查询来自_northwind3[[#This Row],[订购日期]])</f>
        <v>1997</v>
      </c>
      <c r="D1482" s="1">
        <v>151.99999943375587</v>
      </c>
    </row>
    <row r="1483" spans="1:4" x14ac:dyDescent="0.25">
      <c r="A1483" s="1" t="s">
        <v>126</v>
      </c>
      <c r="B1483" s="59">
        <v>35634</v>
      </c>
      <c r="C1483" s="57">
        <f>YEAR(表_查询来自_northwind3[[#This Row],[订购日期]])</f>
        <v>1997</v>
      </c>
      <c r="D1483" s="1">
        <v>1064</v>
      </c>
    </row>
    <row r="1484" spans="1:4" x14ac:dyDescent="0.25">
      <c r="A1484" s="1" t="s">
        <v>126</v>
      </c>
      <c r="B1484" s="59">
        <v>35642</v>
      </c>
      <c r="C1484" s="57">
        <f>YEAR(表_查询来自_northwind3[[#This Row],[订购日期]])</f>
        <v>1997</v>
      </c>
      <c r="D1484" s="1">
        <v>532</v>
      </c>
    </row>
    <row r="1485" spans="1:4" x14ac:dyDescent="0.25">
      <c r="A1485" s="1" t="s">
        <v>126</v>
      </c>
      <c r="B1485" s="59">
        <v>35643</v>
      </c>
      <c r="C1485" s="57">
        <f>YEAR(表_查询来自_northwind3[[#This Row],[订购日期]])</f>
        <v>1997</v>
      </c>
      <c r="D1485" s="1">
        <v>760</v>
      </c>
    </row>
    <row r="1486" spans="1:4" x14ac:dyDescent="0.25">
      <c r="A1486" s="1" t="s">
        <v>126</v>
      </c>
      <c r="B1486" s="59">
        <v>35661</v>
      </c>
      <c r="C1486" s="57">
        <f>YEAR(表_查询来自_northwind3[[#This Row],[订购日期]])</f>
        <v>1997</v>
      </c>
      <c r="D1486" s="1">
        <v>2165.9999983012676</v>
      </c>
    </row>
    <row r="1487" spans="1:4" x14ac:dyDescent="0.25">
      <c r="A1487" s="1" t="s">
        <v>126</v>
      </c>
      <c r="B1487" s="59">
        <v>35677</v>
      </c>
      <c r="C1487" s="57">
        <f>YEAR(表_查询来自_northwind3[[#This Row],[订购日期]])</f>
        <v>1997</v>
      </c>
      <c r="D1487" s="1">
        <v>1710</v>
      </c>
    </row>
    <row r="1488" spans="1:4" x14ac:dyDescent="0.25">
      <c r="A1488" s="1" t="s">
        <v>126</v>
      </c>
      <c r="B1488" s="59">
        <v>35683</v>
      </c>
      <c r="C1488" s="57">
        <f>YEAR(表_查询来自_northwind3[[#This Row],[订购日期]])</f>
        <v>1997</v>
      </c>
      <c r="D1488" s="1">
        <v>387.5999972820282</v>
      </c>
    </row>
    <row r="1489" spans="1:4" x14ac:dyDescent="0.25">
      <c r="A1489" s="1" t="s">
        <v>126</v>
      </c>
      <c r="B1489" s="59">
        <v>35705</v>
      </c>
      <c r="C1489" s="57">
        <f>YEAR(表_查询来自_northwind3[[#This Row],[订购日期]])</f>
        <v>1997</v>
      </c>
      <c r="D1489" s="1">
        <v>570</v>
      </c>
    </row>
    <row r="1490" spans="1:4" x14ac:dyDescent="0.25">
      <c r="A1490" s="1" t="s">
        <v>126</v>
      </c>
      <c r="B1490" s="59">
        <v>35724</v>
      </c>
      <c r="C1490" s="57">
        <f>YEAR(表_查询来自_northwind3[[#This Row],[订购日期]])</f>
        <v>1997</v>
      </c>
      <c r="D1490" s="1">
        <v>1140</v>
      </c>
    </row>
    <row r="1491" spans="1:4" x14ac:dyDescent="0.25">
      <c r="A1491" s="1" t="s">
        <v>126</v>
      </c>
      <c r="B1491" s="59">
        <v>35725</v>
      </c>
      <c r="C1491" s="57">
        <f>YEAR(表_查询来自_northwind3[[#This Row],[订购日期]])</f>
        <v>1997</v>
      </c>
      <c r="D1491" s="1">
        <v>513</v>
      </c>
    </row>
    <row r="1492" spans="1:4" x14ac:dyDescent="0.25">
      <c r="A1492" s="1" t="s">
        <v>126</v>
      </c>
      <c r="B1492" s="59">
        <v>35737</v>
      </c>
      <c r="C1492" s="57">
        <f>YEAR(表_查询来自_northwind3[[#This Row],[订购日期]])</f>
        <v>1997</v>
      </c>
      <c r="D1492" s="1">
        <v>360.99999971687794</v>
      </c>
    </row>
    <row r="1493" spans="1:4" x14ac:dyDescent="0.25">
      <c r="A1493" s="1" t="s">
        <v>126</v>
      </c>
      <c r="B1493" s="59">
        <v>35747</v>
      </c>
      <c r="C1493" s="57">
        <f>YEAR(表_查询来自_northwind3[[#This Row],[订购日期]])</f>
        <v>1997</v>
      </c>
      <c r="D1493" s="1">
        <v>425.59999841451645</v>
      </c>
    </row>
    <row r="1494" spans="1:4" x14ac:dyDescent="0.25">
      <c r="A1494" s="1" t="s">
        <v>126</v>
      </c>
      <c r="B1494" s="59">
        <v>35754</v>
      </c>
      <c r="C1494" s="57">
        <f>YEAR(表_查询来自_northwind3[[#This Row],[订购日期]])</f>
        <v>1997</v>
      </c>
      <c r="D1494" s="1">
        <v>1064</v>
      </c>
    </row>
    <row r="1495" spans="1:4" x14ac:dyDescent="0.25">
      <c r="A1495" s="1" t="s">
        <v>126</v>
      </c>
      <c r="B1495" s="59">
        <v>35754</v>
      </c>
      <c r="C1495" s="57">
        <f>YEAR(表_查询来自_northwind3[[#This Row],[订购日期]])</f>
        <v>1997</v>
      </c>
      <c r="D1495" s="1">
        <v>570</v>
      </c>
    </row>
    <row r="1496" spans="1:4" x14ac:dyDescent="0.25">
      <c r="A1496" s="1" t="s">
        <v>126</v>
      </c>
      <c r="B1496" s="59">
        <v>35760</v>
      </c>
      <c r="C1496" s="57">
        <f>YEAR(表_查询来自_northwind3[[#This Row],[订购日期]])</f>
        <v>1997</v>
      </c>
      <c r="D1496" s="1">
        <v>855</v>
      </c>
    </row>
    <row r="1497" spans="1:4" x14ac:dyDescent="0.25">
      <c r="A1497" s="1" t="s">
        <v>126</v>
      </c>
      <c r="B1497" s="59">
        <v>35766</v>
      </c>
      <c r="C1497" s="57">
        <f>YEAR(表_查询来自_northwind3[[#This Row],[订购日期]])</f>
        <v>1997</v>
      </c>
      <c r="D1497" s="1">
        <v>2280</v>
      </c>
    </row>
    <row r="1498" spans="1:4" x14ac:dyDescent="0.25">
      <c r="A1498" s="1" t="s">
        <v>126</v>
      </c>
      <c r="B1498" s="59">
        <v>35781</v>
      </c>
      <c r="C1498" s="57">
        <f>YEAR(表_查询来自_northwind3[[#This Row],[订购日期]])</f>
        <v>1997</v>
      </c>
      <c r="D1498" s="1">
        <v>607.9999977350235</v>
      </c>
    </row>
    <row r="1499" spans="1:4" x14ac:dyDescent="0.25">
      <c r="A1499" s="1" t="s">
        <v>126</v>
      </c>
      <c r="B1499" s="59">
        <v>35786</v>
      </c>
      <c r="C1499" s="57">
        <f>YEAR(表_查询来自_northwind3[[#This Row],[订购日期]])</f>
        <v>1997</v>
      </c>
      <c r="D1499" s="1">
        <v>645.999995470047</v>
      </c>
    </row>
    <row r="1500" spans="1:4" x14ac:dyDescent="0.25">
      <c r="A1500" s="1" t="s">
        <v>126</v>
      </c>
      <c r="B1500" s="59">
        <v>35796</v>
      </c>
      <c r="C1500" s="57">
        <f>YEAR(表_查询来自_northwind3[[#This Row],[订购日期]])</f>
        <v>1998</v>
      </c>
      <c r="D1500" s="1">
        <v>645.999995470047</v>
      </c>
    </row>
    <row r="1501" spans="1:4" x14ac:dyDescent="0.25">
      <c r="A1501" s="1" t="s">
        <v>126</v>
      </c>
      <c r="B1501" s="59">
        <v>35802</v>
      </c>
      <c r="C1501" s="57">
        <f>YEAR(表_查询来自_northwind3[[#This Row],[订购日期]])</f>
        <v>1998</v>
      </c>
      <c r="D1501" s="1">
        <v>1140</v>
      </c>
    </row>
    <row r="1502" spans="1:4" x14ac:dyDescent="0.25">
      <c r="A1502" s="1" t="s">
        <v>126</v>
      </c>
      <c r="B1502" s="59">
        <v>35815</v>
      </c>
      <c r="C1502" s="57">
        <f>YEAR(表_查询来自_northwind3[[#This Row],[订购日期]])</f>
        <v>1998</v>
      </c>
      <c r="D1502" s="1">
        <v>1140</v>
      </c>
    </row>
    <row r="1503" spans="1:4" x14ac:dyDescent="0.25">
      <c r="A1503" s="1" t="s">
        <v>126</v>
      </c>
      <c r="B1503" s="59">
        <v>35822</v>
      </c>
      <c r="C1503" s="57">
        <f>YEAR(表_查询来自_northwind3[[#This Row],[订购日期]])</f>
        <v>1998</v>
      </c>
      <c r="D1503" s="1">
        <v>912</v>
      </c>
    </row>
    <row r="1504" spans="1:4" x14ac:dyDescent="0.25">
      <c r="A1504" s="1" t="s">
        <v>126</v>
      </c>
      <c r="B1504" s="59">
        <v>35838</v>
      </c>
      <c r="C1504" s="57">
        <f>YEAR(表_查询来自_northwind3[[#This Row],[订购日期]])</f>
        <v>1998</v>
      </c>
      <c r="D1504" s="1">
        <v>758.09999940544367</v>
      </c>
    </row>
    <row r="1505" spans="1:4" x14ac:dyDescent="0.25">
      <c r="A1505" s="1" t="s">
        <v>126</v>
      </c>
      <c r="B1505" s="59">
        <v>35845</v>
      </c>
      <c r="C1505" s="57">
        <f>YEAR(表_查询来自_northwind3[[#This Row],[订购日期]])</f>
        <v>1998</v>
      </c>
      <c r="D1505" s="1">
        <v>608</v>
      </c>
    </row>
    <row r="1506" spans="1:4" x14ac:dyDescent="0.25">
      <c r="A1506" s="1" t="s">
        <v>126</v>
      </c>
      <c r="B1506" s="59">
        <v>35866</v>
      </c>
      <c r="C1506" s="57">
        <f>YEAR(表_查询来自_northwind3[[#This Row],[订购日期]])</f>
        <v>1998</v>
      </c>
      <c r="D1506" s="1">
        <v>684</v>
      </c>
    </row>
    <row r="1507" spans="1:4" x14ac:dyDescent="0.25">
      <c r="A1507" s="1" t="s">
        <v>126</v>
      </c>
      <c r="B1507" s="59">
        <v>35870</v>
      </c>
      <c r="C1507" s="57">
        <f>YEAR(表_查询来自_northwind3[[#This Row],[订购日期]])</f>
        <v>1998</v>
      </c>
      <c r="D1507" s="1">
        <v>38</v>
      </c>
    </row>
    <row r="1508" spans="1:4" x14ac:dyDescent="0.25">
      <c r="A1508" s="1" t="s">
        <v>126</v>
      </c>
      <c r="B1508" s="59">
        <v>35874</v>
      </c>
      <c r="C1508" s="57">
        <f>YEAR(表_查询来自_northwind3[[#This Row],[订购日期]])</f>
        <v>1998</v>
      </c>
      <c r="D1508" s="1">
        <v>387.5999972820282</v>
      </c>
    </row>
    <row r="1509" spans="1:4" x14ac:dyDescent="0.25">
      <c r="A1509" s="1" t="s">
        <v>126</v>
      </c>
      <c r="B1509" s="59">
        <v>35898</v>
      </c>
      <c r="C1509" s="57">
        <f>YEAR(表_查询来自_northwind3[[#This Row],[订购日期]])</f>
        <v>1998</v>
      </c>
      <c r="D1509" s="1">
        <v>190</v>
      </c>
    </row>
    <row r="1510" spans="1:4" x14ac:dyDescent="0.25">
      <c r="A1510" s="1" t="s">
        <v>126</v>
      </c>
      <c r="B1510" s="59">
        <v>35901</v>
      </c>
      <c r="C1510" s="57">
        <f>YEAR(表_查询来自_northwind3[[#This Row],[订购日期]])</f>
        <v>1998</v>
      </c>
      <c r="D1510" s="1">
        <v>760</v>
      </c>
    </row>
    <row r="1511" spans="1:4" x14ac:dyDescent="0.25">
      <c r="A1511" s="1" t="s">
        <v>127</v>
      </c>
      <c r="B1511" s="59">
        <v>35254</v>
      </c>
      <c r="C1511" s="57">
        <f>YEAR(表_查询来自_northwind3[[#This Row],[订购日期]])</f>
        <v>1996</v>
      </c>
      <c r="D1511" s="1">
        <v>222.29999982565641</v>
      </c>
    </row>
    <row r="1512" spans="1:4" x14ac:dyDescent="0.25">
      <c r="A1512" s="1" t="s">
        <v>127</v>
      </c>
      <c r="B1512" s="59">
        <v>35265</v>
      </c>
      <c r="C1512" s="57">
        <f>YEAR(表_查询来自_northwind3[[#This Row],[订购日期]])</f>
        <v>1996</v>
      </c>
      <c r="D1512" s="1">
        <v>780</v>
      </c>
    </row>
    <row r="1513" spans="1:4" x14ac:dyDescent="0.25">
      <c r="A1513" s="1" t="s">
        <v>127</v>
      </c>
      <c r="B1513" s="59">
        <v>35292</v>
      </c>
      <c r="C1513" s="57">
        <f>YEAR(表_查询来自_northwind3[[#This Row],[订购日期]])</f>
        <v>1996</v>
      </c>
      <c r="D1513" s="1">
        <v>31.2</v>
      </c>
    </row>
    <row r="1514" spans="1:4" x14ac:dyDescent="0.25">
      <c r="A1514" s="1" t="s">
        <v>127</v>
      </c>
      <c r="B1514" s="59">
        <v>35348</v>
      </c>
      <c r="C1514" s="57">
        <f>YEAR(表_查询来自_northwind3[[#This Row],[订购日期]])</f>
        <v>1996</v>
      </c>
      <c r="D1514" s="1">
        <v>249.6</v>
      </c>
    </row>
    <row r="1515" spans="1:4" x14ac:dyDescent="0.25">
      <c r="A1515" s="1" t="s">
        <v>127</v>
      </c>
      <c r="B1515" s="59">
        <v>35384</v>
      </c>
      <c r="C1515" s="57">
        <f>YEAR(表_查询来自_northwind3[[#This Row],[订购日期]])</f>
        <v>1996</v>
      </c>
      <c r="D1515" s="1">
        <v>390</v>
      </c>
    </row>
    <row r="1516" spans="1:4" x14ac:dyDescent="0.25">
      <c r="A1516" s="1" t="s">
        <v>127</v>
      </c>
      <c r="B1516" s="59">
        <v>35398</v>
      </c>
      <c r="C1516" s="57">
        <f>YEAR(表_查询来自_northwind3[[#This Row],[订购日期]])</f>
        <v>1996</v>
      </c>
      <c r="D1516" s="1">
        <v>390</v>
      </c>
    </row>
    <row r="1517" spans="1:4" x14ac:dyDescent="0.25">
      <c r="A1517" s="1" t="s">
        <v>127</v>
      </c>
      <c r="B1517" s="59">
        <v>35446</v>
      </c>
      <c r="C1517" s="57">
        <f>YEAR(表_查询来自_northwind3[[#This Row],[订购日期]])</f>
        <v>1997</v>
      </c>
      <c r="D1517" s="1">
        <v>312</v>
      </c>
    </row>
    <row r="1518" spans="1:4" x14ac:dyDescent="0.25">
      <c r="A1518" s="1" t="s">
        <v>127</v>
      </c>
      <c r="B1518" s="59">
        <v>35467</v>
      </c>
      <c r="C1518" s="57">
        <f>YEAR(表_查询来自_northwind3[[#This Row],[订购日期]])</f>
        <v>1997</v>
      </c>
      <c r="D1518" s="1">
        <v>187.19999930262566</v>
      </c>
    </row>
    <row r="1519" spans="1:4" x14ac:dyDescent="0.25">
      <c r="A1519" s="1" t="s">
        <v>127</v>
      </c>
      <c r="B1519" s="59">
        <v>35563</v>
      </c>
      <c r="C1519" s="57">
        <f>YEAR(表_查询来自_northwind3[[#This Row],[订购日期]])</f>
        <v>1997</v>
      </c>
      <c r="D1519" s="1">
        <v>87.749999854713678</v>
      </c>
    </row>
    <row r="1520" spans="1:4" x14ac:dyDescent="0.25">
      <c r="A1520" s="1" t="s">
        <v>127</v>
      </c>
      <c r="B1520" s="59">
        <v>35605</v>
      </c>
      <c r="C1520" s="57">
        <f>YEAR(表_查询来自_northwind3[[#This Row],[订购日期]])</f>
        <v>1997</v>
      </c>
      <c r="D1520" s="1">
        <v>117</v>
      </c>
    </row>
    <row r="1521" spans="1:4" x14ac:dyDescent="0.25">
      <c r="A1521" s="1" t="s">
        <v>127</v>
      </c>
      <c r="B1521" s="59">
        <v>35608</v>
      </c>
      <c r="C1521" s="57">
        <f>YEAR(表_查询来自_northwind3[[#This Row],[订购日期]])</f>
        <v>1997</v>
      </c>
      <c r="D1521" s="1">
        <v>78</v>
      </c>
    </row>
    <row r="1522" spans="1:4" x14ac:dyDescent="0.25">
      <c r="A1522" s="1" t="s">
        <v>127</v>
      </c>
      <c r="B1522" s="59">
        <v>35622</v>
      </c>
      <c r="C1522" s="57">
        <f>YEAR(表_查询来自_northwind3[[#This Row],[订购日期]])</f>
        <v>1997</v>
      </c>
      <c r="D1522" s="1">
        <v>390</v>
      </c>
    </row>
    <row r="1523" spans="1:4" x14ac:dyDescent="0.25">
      <c r="A1523" s="1" t="s">
        <v>127</v>
      </c>
      <c r="B1523" s="59">
        <v>35719</v>
      </c>
      <c r="C1523" s="57">
        <f>YEAR(表_查询来自_northwind3[[#This Row],[订购日期]])</f>
        <v>1997</v>
      </c>
      <c r="D1523" s="1">
        <v>780</v>
      </c>
    </row>
    <row r="1524" spans="1:4" x14ac:dyDescent="0.25">
      <c r="A1524" s="1" t="s">
        <v>127</v>
      </c>
      <c r="B1524" s="59">
        <v>35760</v>
      </c>
      <c r="C1524" s="57">
        <f>YEAR(表_查询来自_northwind3[[#This Row],[订购日期]])</f>
        <v>1997</v>
      </c>
      <c r="D1524" s="1">
        <v>204.75</v>
      </c>
    </row>
    <row r="1525" spans="1:4" x14ac:dyDescent="0.25">
      <c r="A1525" s="1" t="s">
        <v>127</v>
      </c>
      <c r="B1525" s="59">
        <v>35804</v>
      </c>
      <c r="C1525" s="57">
        <f>YEAR(表_查询来自_northwind3[[#This Row],[订购日期]])</f>
        <v>1998</v>
      </c>
      <c r="D1525" s="1">
        <v>292.5</v>
      </c>
    </row>
    <row r="1526" spans="1:4" x14ac:dyDescent="0.25">
      <c r="A1526" s="1" t="s">
        <v>127</v>
      </c>
      <c r="B1526" s="59">
        <v>35807</v>
      </c>
      <c r="C1526" s="57">
        <f>YEAR(表_查询来自_northwind3[[#This Row],[订购日期]])</f>
        <v>1998</v>
      </c>
      <c r="D1526" s="1">
        <v>292.5</v>
      </c>
    </row>
    <row r="1527" spans="1:4" x14ac:dyDescent="0.25">
      <c r="A1527" s="1" t="s">
        <v>127</v>
      </c>
      <c r="B1527" s="59">
        <v>35811</v>
      </c>
      <c r="C1527" s="57">
        <f>YEAR(表_查询来自_northwind3[[#This Row],[订购日期]])</f>
        <v>1998</v>
      </c>
      <c r="D1527" s="1">
        <v>468</v>
      </c>
    </row>
    <row r="1528" spans="1:4" x14ac:dyDescent="0.25">
      <c r="A1528" s="1" t="s">
        <v>127</v>
      </c>
      <c r="B1528" s="59">
        <v>35821</v>
      </c>
      <c r="C1528" s="57">
        <f>YEAR(表_查询来自_northwind3[[#This Row],[订购日期]])</f>
        <v>1998</v>
      </c>
      <c r="D1528" s="1">
        <v>185.24999985471368</v>
      </c>
    </row>
    <row r="1529" spans="1:4" x14ac:dyDescent="0.25">
      <c r="A1529" s="1" t="s">
        <v>127</v>
      </c>
      <c r="B1529" s="59">
        <v>35853</v>
      </c>
      <c r="C1529" s="57">
        <f>YEAR(表_查询来自_northwind3[[#This Row],[订购日期]])</f>
        <v>1998</v>
      </c>
      <c r="D1529" s="1">
        <v>390</v>
      </c>
    </row>
    <row r="1530" spans="1:4" x14ac:dyDescent="0.25">
      <c r="A1530" s="1" t="s">
        <v>127</v>
      </c>
      <c r="B1530" s="59">
        <v>35860</v>
      </c>
      <c r="C1530" s="57">
        <f>YEAR(表_查询来自_northwind3[[#This Row],[订购日期]])</f>
        <v>1998</v>
      </c>
      <c r="D1530" s="1">
        <v>585</v>
      </c>
    </row>
    <row r="1531" spans="1:4" x14ac:dyDescent="0.25">
      <c r="A1531" s="1" t="s">
        <v>127</v>
      </c>
      <c r="B1531" s="59">
        <v>35881</v>
      </c>
      <c r="C1531" s="57">
        <f>YEAR(表_查询来自_northwind3[[#This Row],[订购日期]])</f>
        <v>1998</v>
      </c>
      <c r="D1531" s="1">
        <v>292.5</v>
      </c>
    </row>
    <row r="1532" spans="1:4" x14ac:dyDescent="0.25">
      <c r="A1532" s="1" t="s">
        <v>127</v>
      </c>
      <c r="B1532" s="59">
        <v>35906</v>
      </c>
      <c r="C1532" s="57">
        <f>YEAR(表_查询来自_northwind3[[#This Row],[订购日期]])</f>
        <v>1998</v>
      </c>
      <c r="D1532" s="1">
        <v>546</v>
      </c>
    </row>
    <row r="1533" spans="1:4" x14ac:dyDescent="0.25">
      <c r="A1533" s="1" t="s">
        <v>127</v>
      </c>
      <c r="B1533" s="59">
        <v>35913</v>
      </c>
      <c r="C1533" s="57">
        <f>YEAR(表_查询来自_northwind3[[#This Row],[订购日期]])</f>
        <v>1998</v>
      </c>
      <c r="D1533" s="1">
        <v>390</v>
      </c>
    </row>
    <row r="1534" spans="1:4" x14ac:dyDescent="0.25">
      <c r="A1534" s="1" t="s">
        <v>128</v>
      </c>
      <c r="B1534" s="59">
        <v>35333</v>
      </c>
      <c r="C1534" s="57">
        <f>YEAR(表_查询来自_northwind3[[#This Row],[订购日期]])</f>
        <v>1996</v>
      </c>
      <c r="D1534" s="1">
        <v>286.19999952614307</v>
      </c>
    </row>
    <row r="1535" spans="1:4" x14ac:dyDescent="0.25">
      <c r="A1535" s="1" t="s">
        <v>128</v>
      </c>
      <c r="B1535" s="59">
        <v>35349</v>
      </c>
      <c r="C1535" s="57">
        <f>YEAR(表_查询来自_northwind3[[#This Row],[订购日期]])</f>
        <v>1996</v>
      </c>
      <c r="D1535" s="1">
        <v>254.39999905228615</v>
      </c>
    </row>
    <row r="1536" spans="1:4" x14ac:dyDescent="0.25">
      <c r="A1536" s="1" t="s">
        <v>128</v>
      </c>
      <c r="B1536" s="59">
        <v>35404</v>
      </c>
      <c r="C1536" s="57">
        <f>YEAR(表_查询来自_northwind3[[#This Row],[订购日期]])</f>
        <v>1996</v>
      </c>
      <c r="D1536" s="1">
        <v>678.39999747276306</v>
      </c>
    </row>
    <row r="1537" spans="1:4" x14ac:dyDescent="0.25">
      <c r="A1537" s="1" t="s">
        <v>128</v>
      </c>
      <c r="B1537" s="59">
        <v>35404</v>
      </c>
      <c r="C1537" s="57">
        <f>YEAR(表_查询来自_northwind3[[#This Row],[订购日期]])</f>
        <v>1996</v>
      </c>
      <c r="D1537" s="1">
        <v>159</v>
      </c>
    </row>
    <row r="1538" spans="1:4" x14ac:dyDescent="0.25">
      <c r="A1538" s="1" t="s">
        <v>128</v>
      </c>
      <c r="B1538" s="59">
        <v>35564</v>
      </c>
      <c r="C1538" s="57">
        <f>YEAR(表_查询来自_northwind3[[#This Row],[订购日期]])</f>
        <v>1997</v>
      </c>
      <c r="D1538" s="1">
        <v>265</v>
      </c>
    </row>
    <row r="1539" spans="1:4" x14ac:dyDescent="0.25">
      <c r="A1539" s="1" t="s">
        <v>128</v>
      </c>
      <c r="B1539" s="59">
        <v>35620</v>
      </c>
      <c r="C1539" s="57">
        <f>YEAR(表_查询来自_northwind3[[#This Row],[订购日期]])</f>
        <v>1997</v>
      </c>
      <c r="D1539" s="1">
        <v>397.5</v>
      </c>
    </row>
    <row r="1540" spans="1:4" x14ac:dyDescent="0.25">
      <c r="A1540" s="1" t="s">
        <v>128</v>
      </c>
      <c r="B1540" s="59">
        <v>35661</v>
      </c>
      <c r="C1540" s="57">
        <f>YEAR(表_查询来自_northwind3[[#This Row],[订购日期]])</f>
        <v>1997</v>
      </c>
      <c r="D1540" s="1">
        <v>79.5</v>
      </c>
    </row>
    <row r="1541" spans="1:4" x14ac:dyDescent="0.25">
      <c r="A1541" s="1" t="s">
        <v>128</v>
      </c>
      <c r="B1541" s="59">
        <v>35682</v>
      </c>
      <c r="C1541" s="57">
        <f>YEAR(表_查询来自_northwind3[[#This Row],[订购日期]])</f>
        <v>1997</v>
      </c>
      <c r="D1541" s="1">
        <v>519.39999806508422</v>
      </c>
    </row>
    <row r="1542" spans="1:4" x14ac:dyDescent="0.25">
      <c r="A1542" s="1" t="s">
        <v>128</v>
      </c>
      <c r="B1542" s="59">
        <v>35692</v>
      </c>
      <c r="C1542" s="57">
        <f>YEAR(表_查询来自_northwind3[[#This Row],[订购日期]])</f>
        <v>1997</v>
      </c>
      <c r="D1542" s="1">
        <v>397.5</v>
      </c>
    </row>
    <row r="1543" spans="1:4" x14ac:dyDescent="0.25">
      <c r="A1543" s="1" t="s">
        <v>128</v>
      </c>
      <c r="B1543" s="59">
        <v>35711</v>
      </c>
      <c r="C1543" s="57">
        <f>YEAR(表_查询来自_northwind3[[#This Row],[订购日期]])</f>
        <v>1997</v>
      </c>
      <c r="D1543" s="1">
        <v>298.125</v>
      </c>
    </row>
    <row r="1544" spans="1:4" x14ac:dyDescent="0.25">
      <c r="A1544" s="1" t="s">
        <v>128</v>
      </c>
      <c r="B1544" s="59">
        <v>35725</v>
      </c>
      <c r="C1544" s="57">
        <f>YEAR(表_查询来自_northwind3[[#This Row],[订购日期]])</f>
        <v>1997</v>
      </c>
      <c r="D1544" s="1">
        <v>119.25</v>
      </c>
    </row>
    <row r="1545" spans="1:4" x14ac:dyDescent="0.25">
      <c r="A1545" s="1" t="s">
        <v>128</v>
      </c>
      <c r="B1545" s="59">
        <v>35814</v>
      </c>
      <c r="C1545" s="57">
        <f>YEAR(表_查询来自_northwind3[[#This Row],[订购日期]])</f>
        <v>1998</v>
      </c>
      <c r="D1545" s="1">
        <v>357.74999940767884</v>
      </c>
    </row>
    <row r="1546" spans="1:4" x14ac:dyDescent="0.25">
      <c r="A1546" s="1" t="s">
        <v>128</v>
      </c>
      <c r="B1546" s="59">
        <v>35816</v>
      </c>
      <c r="C1546" s="57">
        <f>YEAR(表_查询来自_northwind3[[#This Row],[订购日期]])</f>
        <v>1998</v>
      </c>
      <c r="D1546" s="1">
        <v>715.49999881535769</v>
      </c>
    </row>
    <row r="1547" spans="1:4" x14ac:dyDescent="0.25">
      <c r="A1547" s="1" t="s">
        <v>128</v>
      </c>
      <c r="B1547" s="59">
        <v>35828</v>
      </c>
      <c r="C1547" s="57">
        <f>YEAR(表_查询来自_northwind3[[#This Row],[订购日期]])</f>
        <v>1998</v>
      </c>
      <c r="D1547" s="1">
        <v>135.14999905228615</v>
      </c>
    </row>
    <row r="1548" spans="1:4" x14ac:dyDescent="0.25">
      <c r="A1548" s="1" t="s">
        <v>128</v>
      </c>
      <c r="B1548" s="59">
        <v>35850</v>
      </c>
      <c r="C1548" s="57">
        <f>YEAR(表_查询来自_northwind3[[#This Row],[订购日期]])</f>
        <v>1998</v>
      </c>
      <c r="D1548" s="1">
        <v>198.75</v>
      </c>
    </row>
    <row r="1549" spans="1:4" x14ac:dyDescent="0.25">
      <c r="A1549" s="1" t="s">
        <v>128</v>
      </c>
      <c r="B1549" s="59">
        <v>35852</v>
      </c>
      <c r="C1549" s="57">
        <f>YEAR(表_查询来自_northwind3[[#This Row],[订购日期]])</f>
        <v>1998</v>
      </c>
      <c r="D1549" s="1">
        <v>198.75</v>
      </c>
    </row>
    <row r="1550" spans="1:4" x14ac:dyDescent="0.25">
      <c r="A1550" s="1" t="s">
        <v>128</v>
      </c>
      <c r="B1550" s="59">
        <v>35860</v>
      </c>
      <c r="C1550" s="57">
        <f>YEAR(表_查询来自_northwind3[[#This Row],[订购日期]])</f>
        <v>1998</v>
      </c>
      <c r="D1550" s="1">
        <v>317.99999881535769</v>
      </c>
    </row>
    <row r="1551" spans="1:4" x14ac:dyDescent="0.25">
      <c r="A1551" s="1" t="s">
        <v>128</v>
      </c>
      <c r="B1551" s="59">
        <v>35894</v>
      </c>
      <c r="C1551" s="57">
        <f>YEAR(表_查询来自_northwind3[[#This Row],[订购日期]])</f>
        <v>1998</v>
      </c>
      <c r="D1551" s="1">
        <v>503.49999960511923</v>
      </c>
    </row>
    <row r="1552" spans="1:4" x14ac:dyDescent="0.25">
      <c r="A1552" s="1" t="s">
        <v>129</v>
      </c>
      <c r="B1552" s="59">
        <v>35258</v>
      </c>
      <c r="C1552" s="57">
        <f>YEAR(表_查询来自_northwind3[[#This Row],[订购日期]])</f>
        <v>1996</v>
      </c>
      <c r="D1552" s="1">
        <v>1320</v>
      </c>
    </row>
    <row r="1553" spans="1:4" x14ac:dyDescent="0.25">
      <c r="A1553" s="1" t="s">
        <v>129</v>
      </c>
      <c r="B1553" s="59">
        <v>35275</v>
      </c>
      <c r="C1553" s="57">
        <f>YEAR(表_查询来自_northwind3[[#This Row],[订购日期]])</f>
        <v>1996</v>
      </c>
      <c r="D1553" s="1">
        <v>2617.9999816417694</v>
      </c>
    </row>
    <row r="1554" spans="1:4" x14ac:dyDescent="0.25">
      <c r="A1554" s="1" t="s">
        <v>129</v>
      </c>
      <c r="B1554" s="59">
        <v>35284</v>
      </c>
      <c r="C1554" s="57">
        <f>YEAR(表_查询来自_northwind3[[#This Row],[订购日期]])</f>
        <v>1996</v>
      </c>
      <c r="D1554" s="1">
        <v>250.79999980330467</v>
      </c>
    </row>
    <row r="1555" spans="1:4" x14ac:dyDescent="0.25">
      <c r="A1555" s="1" t="s">
        <v>129</v>
      </c>
      <c r="B1555" s="59">
        <v>35289</v>
      </c>
      <c r="C1555" s="57">
        <f>YEAR(表_查询来自_northwind3[[#This Row],[订购日期]])</f>
        <v>1996</v>
      </c>
      <c r="D1555" s="1">
        <v>660</v>
      </c>
    </row>
    <row r="1556" spans="1:4" x14ac:dyDescent="0.25">
      <c r="A1556" s="1" t="s">
        <v>129</v>
      </c>
      <c r="B1556" s="59">
        <v>35313</v>
      </c>
      <c r="C1556" s="57">
        <f>YEAR(表_查询来自_northwind3[[#This Row],[订购日期]])</f>
        <v>1996</v>
      </c>
      <c r="D1556" s="1">
        <v>990</v>
      </c>
    </row>
    <row r="1557" spans="1:4" x14ac:dyDescent="0.25">
      <c r="A1557" s="1" t="s">
        <v>129</v>
      </c>
      <c r="B1557" s="59">
        <v>35320</v>
      </c>
      <c r="C1557" s="57">
        <f>YEAR(表_查询来自_northwind3[[#This Row],[订购日期]])</f>
        <v>1996</v>
      </c>
      <c r="D1557" s="1">
        <v>440</v>
      </c>
    </row>
    <row r="1558" spans="1:4" x14ac:dyDescent="0.25">
      <c r="A1558" s="1" t="s">
        <v>129</v>
      </c>
      <c r="B1558" s="59">
        <v>35346</v>
      </c>
      <c r="C1558" s="57">
        <f>YEAR(表_查询来自_northwind3[[#This Row],[订购日期]])</f>
        <v>1996</v>
      </c>
      <c r="D1558" s="1">
        <v>1495.9999895095825</v>
      </c>
    </row>
    <row r="1559" spans="1:4" x14ac:dyDescent="0.25">
      <c r="A1559" s="1" t="s">
        <v>129</v>
      </c>
      <c r="B1559" s="59">
        <v>35352</v>
      </c>
      <c r="C1559" s="57">
        <f>YEAR(表_查询来自_northwind3[[#This Row],[订购日期]])</f>
        <v>1996</v>
      </c>
      <c r="D1559" s="1">
        <v>396</v>
      </c>
    </row>
    <row r="1560" spans="1:4" x14ac:dyDescent="0.25">
      <c r="A1560" s="1" t="s">
        <v>129</v>
      </c>
      <c r="B1560" s="59">
        <v>35367</v>
      </c>
      <c r="C1560" s="57">
        <f>YEAR(表_查询来自_northwind3[[#This Row],[订购日期]])</f>
        <v>1996</v>
      </c>
      <c r="D1560" s="1">
        <v>336.59999763965607</v>
      </c>
    </row>
    <row r="1561" spans="1:4" x14ac:dyDescent="0.25">
      <c r="A1561" s="1" t="s">
        <v>129</v>
      </c>
      <c r="B1561" s="59">
        <v>35417</v>
      </c>
      <c r="C1561" s="57">
        <f>YEAR(表_查询来自_northwind3[[#This Row],[订购日期]])</f>
        <v>1996</v>
      </c>
      <c r="D1561" s="1">
        <v>528</v>
      </c>
    </row>
    <row r="1562" spans="1:4" x14ac:dyDescent="0.25">
      <c r="A1562" s="1" t="s">
        <v>129</v>
      </c>
      <c r="B1562" s="59">
        <v>35440</v>
      </c>
      <c r="C1562" s="57">
        <f>YEAR(表_查询来自_northwind3[[#This Row],[订购日期]])</f>
        <v>1997</v>
      </c>
      <c r="D1562" s="1">
        <v>704</v>
      </c>
    </row>
    <row r="1563" spans="1:4" x14ac:dyDescent="0.25">
      <c r="A1563" s="1" t="s">
        <v>129</v>
      </c>
      <c r="B1563" s="59">
        <v>35440</v>
      </c>
      <c r="C1563" s="57">
        <f>YEAR(表_查询来自_northwind3[[#This Row],[订购日期]])</f>
        <v>1997</v>
      </c>
      <c r="D1563" s="1">
        <v>316.79999881982803</v>
      </c>
    </row>
    <row r="1564" spans="1:4" x14ac:dyDescent="0.25">
      <c r="A1564" s="1" t="s">
        <v>129</v>
      </c>
      <c r="B1564" s="59">
        <v>35453</v>
      </c>
      <c r="C1564" s="57">
        <f>YEAR(表_查询来自_northwind3[[#This Row],[订购日期]])</f>
        <v>1997</v>
      </c>
      <c r="D1564" s="1">
        <v>880</v>
      </c>
    </row>
    <row r="1565" spans="1:4" x14ac:dyDescent="0.25">
      <c r="A1565" s="1" t="s">
        <v>129</v>
      </c>
      <c r="B1565" s="59">
        <v>35460</v>
      </c>
      <c r="C1565" s="57">
        <f>YEAR(表_查询来自_northwind3[[#This Row],[订购日期]])</f>
        <v>1997</v>
      </c>
      <c r="D1565" s="1">
        <v>2463.9999908208847</v>
      </c>
    </row>
    <row r="1566" spans="1:4" x14ac:dyDescent="0.25">
      <c r="A1566" s="1" t="s">
        <v>129</v>
      </c>
      <c r="B1566" s="59">
        <v>35486</v>
      </c>
      <c r="C1566" s="57">
        <f>YEAR(表_查询来自_northwind3[[#This Row],[订购日期]])</f>
        <v>1997</v>
      </c>
      <c r="D1566" s="1">
        <v>1584</v>
      </c>
    </row>
    <row r="1567" spans="1:4" x14ac:dyDescent="0.25">
      <c r="A1567" s="1" t="s">
        <v>129</v>
      </c>
      <c r="B1567" s="59">
        <v>35508</v>
      </c>
      <c r="C1567" s="57">
        <f>YEAR(表_查询来自_northwind3[[#This Row],[订购日期]])</f>
        <v>1997</v>
      </c>
      <c r="D1567" s="1">
        <v>2640</v>
      </c>
    </row>
    <row r="1568" spans="1:4" x14ac:dyDescent="0.25">
      <c r="A1568" s="1" t="s">
        <v>129</v>
      </c>
      <c r="B1568" s="59">
        <v>35509</v>
      </c>
      <c r="C1568" s="57">
        <f>YEAR(表_查询来自_northwind3[[#This Row],[订购日期]])</f>
        <v>1997</v>
      </c>
      <c r="D1568" s="1">
        <v>528</v>
      </c>
    </row>
    <row r="1569" spans="1:4" x14ac:dyDescent="0.25">
      <c r="A1569" s="1" t="s">
        <v>129</v>
      </c>
      <c r="B1569" s="59">
        <v>35516</v>
      </c>
      <c r="C1569" s="57">
        <f>YEAR(表_查询来自_northwind3[[#This Row],[订购日期]])</f>
        <v>1997</v>
      </c>
      <c r="D1569" s="1">
        <v>1320</v>
      </c>
    </row>
    <row r="1570" spans="1:4" x14ac:dyDescent="0.25">
      <c r="A1570" s="1" t="s">
        <v>129</v>
      </c>
      <c r="B1570" s="59">
        <v>35520</v>
      </c>
      <c r="C1570" s="57">
        <f>YEAR(表_查询来自_northwind3[[#This Row],[订购日期]])</f>
        <v>1997</v>
      </c>
      <c r="D1570" s="1">
        <v>2640</v>
      </c>
    </row>
    <row r="1571" spans="1:4" x14ac:dyDescent="0.25">
      <c r="A1571" s="1" t="s">
        <v>129</v>
      </c>
      <c r="B1571" s="59">
        <v>35544</v>
      </c>
      <c r="C1571" s="57">
        <f>YEAR(表_查询来自_northwind3[[#This Row],[订购日期]])</f>
        <v>1997</v>
      </c>
      <c r="D1571" s="1">
        <v>220</v>
      </c>
    </row>
    <row r="1572" spans="1:4" x14ac:dyDescent="0.25">
      <c r="A1572" s="1" t="s">
        <v>129</v>
      </c>
      <c r="B1572" s="59">
        <v>35558</v>
      </c>
      <c r="C1572" s="57">
        <f>YEAR(表_查询来自_northwind3[[#This Row],[订购日期]])</f>
        <v>1997</v>
      </c>
      <c r="D1572" s="1">
        <v>110</v>
      </c>
    </row>
    <row r="1573" spans="1:4" x14ac:dyDescent="0.25">
      <c r="A1573" s="1" t="s">
        <v>129</v>
      </c>
      <c r="B1573" s="59">
        <v>35563</v>
      </c>
      <c r="C1573" s="57">
        <f>YEAR(表_查询来自_northwind3[[#This Row],[订购日期]])</f>
        <v>1997</v>
      </c>
      <c r="D1573" s="1">
        <v>742.4999987706542</v>
      </c>
    </row>
    <row r="1574" spans="1:4" x14ac:dyDescent="0.25">
      <c r="A1574" s="1" t="s">
        <v>129</v>
      </c>
      <c r="B1574" s="59">
        <v>35593</v>
      </c>
      <c r="C1574" s="57">
        <f>YEAR(表_查询来自_northwind3[[#This Row],[订购日期]])</f>
        <v>1997</v>
      </c>
      <c r="D1574" s="1">
        <v>1759.9999934434891</v>
      </c>
    </row>
    <row r="1575" spans="1:4" x14ac:dyDescent="0.25">
      <c r="A1575" s="1" t="s">
        <v>129</v>
      </c>
      <c r="B1575" s="59">
        <v>35601</v>
      </c>
      <c r="C1575" s="57">
        <f>YEAR(表_查询来自_northwind3[[#This Row],[订购日期]])</f>
        <v>1997</v>
      </c>
      <c r="D1575" s="1">
        <v>660</v>
      </c>
    </row>
    <row r="1576" spans="1:4" x14ac:dyDescent="0.25">
      <c r="A1576" s="1" t="s">
        <v>129</v>
      </c>
      <c r="B1576" s="59">
        <v>35627</v>
      </c>
      <c r="C1576" s="57">
        <f>YEAR(表_查询来自_northwind3[[#This Row],[订购日期]])</f>
        <v>1997</v>
      </c>
      <c r="D1576" s="1">
        <v>1925</v>
      </c>
    </row>
    <row r="1577" spans="1:4" x14ac:dyDescent="0.25">
      <c r="A1577" s="1" t="s">
        <v>129</v>
      </c>
      <c r="B1577" s="59">
        <v>35632</v>
      </c>
      <c r="C1577" s="57">
        <f>YEAR(表_查询来自_northwind3[[#This Row],[订购日期]])</f>
        <v>1997</v>
      </c>
      <c r="D1577" s="1">
        <v>1044.9999991804361</v>
      </c>
    </row>
    <row r="1578" spans="1:4" x14ac:dyDescent="0.25">
      <c r="A1578" s="1" t="s">
        <v>129</v>
      </c>
      <c r="B1578" s="59">
        <v>35642</v>
      </c>
      <c r="C1578" s="57">
        <f>YEAR(表_查询来自_northwind3[[#This Row],[订购日期]])</f>
        <v>1997</v>
      </c>
      <c r="D1578" s="1">
        <v>1402.4999901652336</v>
      </c>
    </row>
    <row r="1579" spans="1:4" x14ac:dyDescent="0.25">
      <c r="A1579" s="1" t="s">
        <v>129</v>
      </c>
      <c r="B1579" s="59">
        <v>35684</v>
      </c>
      <c r="C1579" s="57">
        <f>YEAR(表_查询来自_northwind3[[#This Row],[订购日期]])</f>
        <v>1997</v>
      </c>
      <c r="D1579" s="1">
        <v>55</v>
      </c>
    </row>
    <row r="1580" spans="1:4" x14ac:dyDescent="0.25">
      <c r="A1580" s="1" t="s">
        <v>129</v>
      </c>
      <c r="B1580" s="59">
        <v>35696</v>
      </c>
      <c r="C1580" s="57">
        <f>YEAR(表_查询来自_northwind3[[#This Row],[订购日期]])</f>
        <v>1997</v>
      </c>
      <c r="D1580" s="1">
        <v>660</v>
      </c>
    </row>
    <row r="1581" spans="1:4" x14ac:dyDescent="0.25">
      <c r="A1581" s="1" t="s">
        <v>129</v>
      </c>
      <c r="B1581" s="59">
        <v>35709</v>
      </c>
      <c r="C1581" s="57">
        <f>YEAR(表_查询来自_northwind3[[#This Row],[订购日期]])</f>
        <v>1997</v>
      </c>
      <c r="D1581" s="1">
        <v>1375</v>
      </c>
    </row>
    <row r="1582" spans="1:4" x14ac:dyDescent="0.25">
      <c r="A1582" s="1" t="s">
        <v>129</v>
      </c>
      <c r="B1582" s="59">
        <v>35716</v>
      </c>
      <c r="C1582" s="57">
        <f>YEAR(表_查询来自_northwind3[[#This Row],[订购日期]])</f>
        <v>1997</v>
      </c>
      <c r="D1582" s="1">
        <v>1963.4999862313271</v>
      </c>
    </row>
    <row r="1583" spans="1:4" x14ac:dyDescent="0.25">
      <c r="A1583" s="1" t="s">
        <v>129</v>
      </c>
      <c r="B1583" s="59">
        <v>35717</v>
      </c>
      <c r="C1583" s="57">
        <f>YEAR(表_查询来自_northwind3[[#This Row],[订购日期]])</f>
        <v>1997</v>
      </c>
      <c r="D1583" s="1">
        <v>1925</v>
      </c>
    </row>
    <row r="1584" spans="1:4" x14ac:dyDescent="0.25">
      <c r="A1584" s="1" t="s">
        <v>129</v>
      </c>
      <c r="B1584" s="59">
        <v>35719</v>
      </c>
      <c r="C1584" s="57">
        <f>YEAR(表_查询来自_northwind3[[#This Row],[订购日期]])</f>
        <v>1997</v>
      </c>
      <c r="D1584" s="1">
        <v>440</v>
      </c>
    </row>
    <row r="1585" spans="1:4" x14ac:dyDescent="0.25">
      <c r="A1585" s="1" t="s">
        <v>129</v>
      </c>
      <c r="B1585" s="59">
        <v>35737</v>
      </c>
      <c r="C1585" s="57">
        <f>YEAR(表_查询来自_northwind3[[#This Row],[订购日期]])</f>
        <v>1997</v>
      </c>
      <c r="D1585" s="1">
        <v>522.49999959021807</v>
      </c>
    </row>
    <row r="1586" spans="1:4" x14ac:dyDescent="0.25">
      <c r="A1586" s="1" t="s">
        <v>129</v>
      </c>
      <c r="B1586" s="59">
        <v>35752</v>
      </c>
      <c r="C1586" s="57">
        <f>YEAR(表_查询来自_northwind3[[#This Row],[订购日期]])</f>
        <v>1997</v>
      </c>
      <c r="D1586" s="1">
        <v>2475</v>
      </c>
    </row>
    <row r="1587" spans="1:4" x14ac:dyDescent="0.25">
      <c r="A1587" s="1" t="s">
        <v>129</v>
      </c>
      <c r="B1587" s="59">
        <v>35754</v>
      </c>
      <c r="C1587" s="57">
        <f>YEAR(表_查询来自_northwind3[[#This Row],[订购日期]])</f>
        <v>1997</v>
      </c>
      <c r="D1587" s="1">
        <v>330</v>
      </c>
    </row>
    <row r="1588" spans="1:4" x14ac:dyDescent="0.25">
      <c r="A1588" s="1" t="s">
        <v>129</v>
      </c>
      <c r="B1588" s="59">
        <v>35755</v>
      </c>
      <c r="C1588" s="57">
        <f>YEAR(表_查询来自_northwind3[[#This Row],[订购日期]])</f>
        <v>1997</v>
      </c>
      <c r="D1588" s="1">
        <v>1168.7499918043613</v>
      </c>
    </row>
    <row r="1589" spans="1:4" x14ac:dyDescent="0.25">
      <c r="A1589" s="1" t="s">
        <v>129</v>
      </c>
      <c r="B1589" s="59">
        <v>35761</v>
      </c>
      <c r="C1589" s="57">
        <f>YEAR(表_查询来自_northwind3[[#This Row],[订购日期]])</f>
        <v>1997</v>
      </c>
      <c r="D1589" s="1">
        <v>385</v>
      </c>
    </row>
    <row r="1590" spans="1:4" x14ac:dyDescent="0.25">
      <c r="A1590" s="1" t="s">
        <v>129</v>
      </c>
      <c r="B1590" s="59">
        <v>35774</v>
      </c>
      <c r="C1590" s="57">
        <f>YEAR(表_查询来自_northwind3[[#This Row],[订购日期]])</f>
        <v>1997</v>
      </c>
      <c r="D1590" s="1">
        <v>1375</v>
      </c>
    </row>
    <row r="1591" spans="1:4" x14ac:dyDescent="0.25">
      <c r="A1591" s="1" t="s">
        <v>129</v>
      </c>
      <c r="B1591" s="59">
        <v>35790</v>
      </c>
      <c r="C1591" s="57">
        <f>YEAR(表_查询来自_northwind3[[#This Row],[订购日期]])</f>
        <v>1997</v>
      </c>
      <c r="D1591" s="1">
        <v>1375</v>
      </c>
    </row>
    <row r="1592" spans="1:4" x14ac:dyDescent="0.25">
      <c r="A1592" s="1" t="s">
        <v>129</v>
      </c>
      <c r="B1592" s="59">
        <v>35794</v>
      </c>
      <c r="C1592" s="57">
        <f>YEAR(表_查询来自_northwind3[[#This Row],[订购日期]])</f>
        <v>1997</v>
      </c>
      <c r="D1592" s="1">
        <v>783.7499993853271</v>
      </c>
    </row>
    <row r="1593" spans="1:4" x14ac:dyDescent="0.25">
      <c r="A1593" s="1" t="s">
        <v>129</v>
      </c>
      <c r="B1593" s="59">
        <v>35804</v>
      </c>
      <c r="C1593" s="57">
        <f>YEAR(表_查询来自_northwind3[[#This Row],[订购日期]])</f>
        <v>1998</v>
      </c>
      <c r="D1593" s="1">
        <v>1979.9999967217445</v>
      </c>
    </row>
    <row r="1594" spans="1:4" x14ac:dyDescent="0.25">
      <c r="A1594" s="1" t="s">
        <v>129</v>
      </c>
      <c r="B1594" s="59">
        <v>35810</v>
      </c>
      <c r="C1594" s="57">
        <f>YEAR(表_查询来自_northwind3[[#This Row],[订购日期]])</f>
        <v>1998</v>
      </c>
      <c r="D1594" s="1">
        <v>825</v>
      </c>
    </row>
    <row r="1595" spans="1:4" x14ac:dyDescent="0.25">
      <c r="A1595" s="1" t="s">
        <v>129</v>
      </c>
      <c r="B1595" s="59">
        <v>35815</v>
      </c>
      <c r="C1595" s="57">
        <f>YEAR(表_查询来自_northwind3[[#This Row],[订购日期]])</f>
        <v>1998</v>
      </c>
      <c r="D1595" s="1">
        <v>2750</v>
      </c>
    </row>
    <row r="1596" spans="1:4" x14ac:dyDescent="0.25">
      <c r="A1596" s="1" t="s">
        <v>129</v>
      </c>
      <c r="B1596" s="59">
        <v>35821</v>
      </c>
      <c r="C1596" s="57">
        <f>YEAR(表_查询来自_northwind3[[#This Row],[订购日期]])</f>
        <v>1998</v>
      </c>
      <c r="D1596" s="1">
        <v>2194.4999982789159</v>
      </c>
    </row>
    <row r="1597" spans="1:4" x14ac:dyDescent="0.25">
      <c r="A1597" s="1" t="s">
        <v>129</v>
      </c>
      <c r="B1597" s="59">
        <v>35843</v>
      </c>
      <c r="C1597" s="57">
        <f>YEAR(表_查询来自_northwind3[[#This Row],[订购日期]])</f>
        <v>1998</v>
      </c>
      <c r="D1597" s="1">
        <v>2089.9999983608723</v>
      </c>
    </row>
    <row r="1598" spans="1:4" x14ac:dyDescent="0.25">
      <c r="A1598" s="1" t="s">
        <v>129</v>
      </c>
      <c r="B1598" s="59">
        <v>35867</v>
      </c>
      <c r="C1598" s="57">
        <f>YEAR(表_查询来自_northwind3[[#This Row],[订购日期]])</f>
        <v>1998</v>
      </c>
      <c r="D1598" s="1">
        <v>220</v>
      </c>
    </row>
    <row r="1599" spans="1:4" x14ac:dyDescent="0.25">
      <c r="A1599" s="1" t="s">
        <v>129</v>
      </c>
      <c r="B1599" s="59">
        <v>35887</v>
      </c>
      <c r="C1599" s="57">
        <f>YEAR(表_查询来自_northwind3[[#This Row],[订购日期]])</f>
        <v>1998</v>
      </c>
      <c r="D1599" s="1">
        <v>940.49999926239252</v>
      </c>
    </row>
    <row r="1600" spans="1:4" x14ac:dyDescent="0.25">
      <c r="A1600" s="1" t="s">
        <v>129</v>
      </c>
      <c r="B1600" s="59">
        <v>35892</v>
      </c>
      <c r="C1600" s="57">
        <f>YEAR(表_查询来自_northwind3[[#This Row],[订购日期]])</f>
        <v>1998</v>
      </c>
      <c r="D1600" s="1">
        <v>550</v>
      </c>
    </row>
    <row r="1601" spans="1:4" x14ac:dyDescent="0.25">
      <c r="A1601" s="1" t="s">
        <v>129</v>
      </c>
      <c r="B1601" s="59">
        <v>35898</v>
      </c>
      <c r="C1601" s="57">
        <f>YEAR(表_查询来自_northwind3[[#This Row],[订购日期]])</f>
        <v>1998</v>
      </c>
      <c r="D1601" s="1">
        <v>6050</v>
      </c>
    </row>
    <row r="1602" spans="1:4" x14ac:dyDescent="0.25">
      <c r="A1602" s="1" t="s">
        <v>129</v>
      </c>
      <c r="B1602" s="59">
        <v>35901</v>
      </c>
      <c r="C1602" s="57">
        <f>YEAR(表_查询来自_northwind3[[#This Row],[订购日期]])</f>
        <v>1998</v>
      </c>
      <c r="D1602" s="1">
        <v>1320</v>
      </c>
    </row>
    <row r="1603" spans="1:4" x14ac:dyDescent="0.25">
      <c r="A1603" s="1" t="s">
        <v>129</v>
      </c>
      <c r="B1603" s="59">
        <v>35902</v>
      </c>
      <c r="C1603" s="57">
        <f>YEAR(表_查询来自_northwind3[[#This Row],[订购日期]])</f>
        <v>1998</v>
      </c>
      <c r="D1603" s="1">
        <v>4125</v>
      </c>
    </row>
    <row r="1604" spans="1:4" x14ac:dyDescent="0.25">
      <c r="A1604" s="1" t="s">
        <v>129</v>
      </c>
      <c r="B1604" s="59">
        <v>35902</v>
      </c>
      <c r="C1604" s="57">
        <f>YEAR(表_查询来自_northwind3[[#This Row],[订购日期]])</f>
        <v>1998</v>
      </c>
      <c r="D1604" s="1">
        <v>1650</v>
      </c>
    </row>
    <row r="1605" spans="1:4" x14ac:dyDescent="0.25">
      <c r="A1605" s="1" t="s">
        <v>129</v>
      </c>
      <c r="B1605" s="59">
        <v>35905</v>
      </c>
      <c r="C1605" s="57">
        <f>YEAR(表_查询来自_northwind3[[#This Row],[订购日期]])</f>
        <v>1998</v>
      </c>
      <c r="D1605" s="1">
        <v>1650</v>
      </c>
    </row>
    <row r="1606" spans="1:4" x14ac:dyDescent="0.25">
      <c r="A1606" s="1" t="s">
        <v>130</v>
      </c>
      <c r="B1606" s="59">
        <v>35255</v>
      </c>
      <c r="C1606" s="57">
        <f>YEAR(表_查询来自_northwind3[[#This Row],[订购日期]])</f>
        <v>1996</v>
      </c>
      <c r="D1606" s="1">
        <v>1088</v>
      </c>
    </row>
    <row r="1607" spans="1:4" x14ac:dyDescent="0.25">
      <c r="A1607" s="1" t="s">
        <v>130</v>
      </c>
      <c r="B1607" s="59">
        <v>35293</v>
      </c>
      <c r="C1607" s="57">
        <f>YEAR(表_查询来自_northwind3[[#This Row],[订购日期]])</f>
        <v>1996</v>
      </c>
      <c r="D1607" s="1">
        <v>952</v>
      </c>
    </row>
    <row r="1608" spans="1:4" x14ac:dyDescent="0.25">
      <c r="A1608" s="1" t="s">
        <v>130</v>
      </c>
      <c r="B1608" s="59">
        <v>35296</v>
      </c>
      <c r="C1608" s="57">
        <f>YEAR(表_查询来自_northwind3[[#This Row],[订购日期]])</f>
        <v>1996</v>
      </c>
      <c r="D1608" s="1">
        <v>408</v>
      </c>
    </row>
    <row r="1609" spans="1:4" x14ac:dyDescent="0.25">
      <c r="A1609" s="1" t="s">
        <v>130</v>
      </c>
      <c r="B1609" s="59">
        <v>35307</v>
      </c>
      <c r="C1609" s="57">
        <f>YEAR(表_查询来自_northwind3[[#This Row],[订购日期]])</f>
        <v>1996</v>
      </c>
      <c r="D1609" s="1">
        <v>571.20000000000005</v>
      </c>
    </row>
    <row r="1610" spans="1:4" x14ac:dyDescent="0.25">
      <c r="A1610" s="1" t="s">
        <v>130</v>
      </c>
      <c r="B1610" s="59">
        <v>35388</v>
      </c>
      <c r="C1610" s="57">
        <f>YEAR(表_查询来自_northwind3[[#This Row],[订购日期]])</f>
        <v>1996</v>
      </c>
      <c r="D1610" s="1">
        <v>174.07999935150147</v>
      </c>
    </row>
    <row r="1611" spans="1:4" x14ac:dyDescent="0.25">
      <c r="A1611" s="1" t="s">
        <v>130</v>
      </c>
      <c r="B1611" s="59">
        <v>35390</v>
      </c>
      <c r="C1611" s="57">
        <f>YEAR(表_查询来自_northwind3[[#This Row],[订购日期]])</f>
        <v>1996</v>
      </c>
      <c r="D1611" s="1">
        <v>2067.1999983787537</v>
      </c>
    </row>
    <row r="1612" spans="1:4" x14ac:dyDescent="0.25">
      <c r="A1612" s="1" t="s">
        <v>130</v>
      </c>
      <c r="B1612" s="59">
        <v>35391</v>
      </c>
      <c r="C1612" s="57">
        <f>YEAR(表_查询来自_northwind3[[#This Row],[订购日期]])</f>
        <v>1996</v>
      </c>
      <c r="D1612" s="1">
        <v>1346.3999977707863</v>
      </c>
    </row>
    <row r="1613" spans="1:4" x14ac:dyDescent="0.25">
      <c r="A1613" s="1" t="s">
        <v>130</v>
      </c>
      <c r="B1613" s="59">
        <v>35403</v>
      </c>
      <c r="C1613" s="57">
        <f>YEAR(表_查询来自_northwind3[[#This Row],[订购日期]])</f>
        <v>1996</v>
      </c>
      <c r="D1613" s="1">
        <v>1428</v>
      </c>
    </row>
    <row r="1614" spans="1:4" x14ac:dyDescent="0.25">
      <c r="A1614" s="1" t="s">
        <v>130</v>
      </c>
      <c r="B1614" s="59">
        <v>35411</v>
      </c>
      <c r="C1614" s="57">
        <f>YEAR(表_查询来自_northwind3[[#This Row],[订购日期]])</f>
        <v>1996</v>
      </c>
      <c r="D1614" s="1">
        <v>146.87999975681305</v>
      </c>
    </row>
    <row r="1615" spans="1:4" x14ac:dyDescent="0.25">
      <c r="A1615" s="1" t="s">
        <v>130</v>
      </c>
      <c r="B1615" s="59">
        <v>35415</v>
      </c>
      <c r="C1615" s="57">
        <f>YEAR(表_查询来自_northwind3[[#This Row],[订购日期]])</f>
        <v>1996</v>
      </c>
      <c r="D1615" s="1">
        <v>408</v>
      </c>
    </row>
    <row r="1616" spans="1:4" x14ac:dyDescent="0.25">
      <c r="A1616" s="1" t="s">
        <v>130</v>
      </c>
      <c r="B1616" s="59">
        <v>35416</v>
      </c>
      <c r="C1616" s="57">
        <f>YEAR(表_查询来自_northwind3[[#This Row],[订购日期]])</f>
        <v>1996</v>
      </c>
      <c r="D1616" s="1">
        <v>435.19999837875366</v>
      </c>
    </row>
    <row r="1617" spans="1:4" x14ac:dyDescent="0.25">
      <c r="A1617" s="1" t="s">
        <v>130</v>
      </c>
      <c r="B1617" s="59">
        <v>35450</v>
      </c>
      <c r="C1617" s="57">
        <f>YEAR(表_查询来自_northwind3[[#This Row],[订购日期]])</f>
        <v>1997</v>
      </c>
      <c r="D1617" s="1">
        <v>1550.3999987840652</v>
      </c>
    </row>
    <row r="1618" spans="1:4" x14ac:dyDescent="0.25">
      <c r="A1618" s="1" t="s">
        <v>130</v>
      </c>
      <c r="B1618" s="59">
        <v>35493</v>
      </c>
      <c r="C1618" s="57">
        <f>YEAR(表_查询来自_northwind3[[#This Row],[订购日期]])</f>
        <v>1997</v>
      </c>
      <c r="D1618" s="1">
        <v>544</v>
      </c>
    </row>
    <row r="1619" spans="1:4" x14ac:dyDescent="0.25">
      <c r="A1619" s="1" t="s">
        <v>130</v>
      </c>
      <c r="B1619" s="59">
        <v>35509</v>
      </c>
      <c r="C1619" s="57">
        <f>YEAR(表_查询来自_northwind3[[#This Row],[订购日期]])</f>
        <v>1997</v>
      </c>
      <c r="D1619" s="1">
        <v>1088</v>
      </c>
    </row>
    <row r="1620" spans="1:4" x14ac:dyDescent="0.25">
      <c r="A1620" s="1" t="s">
        <v>130</v>
      </c>
      <c r="B1620" s="59">
        <v>35541</v>
      </c>
      <c r="C1620" s="57">
        <f>YEAR(表_查询来自_northwind3[[#This Row],[订购日期]])</f>
        <v>1997</v>
      </c>
      <c r="D1620" s="1">
        <v>346.79999756813049</v>
      </c>
    </row>
    <row r="1621" spans="1:4" x14ac:dyDescent="0.25">
      <c r="A1621" s="1" t="s">
        <v>130</v>
      </c>
      <c r="B1621" s="59">
        <v>35543</v>
      </c>
      <c r="C1621" s="57">
        <f>YEAR(表_查询来自_northwind3[[#This Row],[订购日期]])</f>
        <v>1997</v>
      </c>
      <c r="D1621" s="1">
        <v>2427.5999829769135</v>
      </c>
    </row>
    <row r="1622" spans="1:4" x14ac:dyDescent="0.25">
      <c r="A1622" s="1" t="s">
        <v>130</v>
      </c>
      <c r="B1622" s="59">
        <v>35548</v>
      </c>
      <c r="C1622" s="57">
        <f>YEAR(表_查询来自_northwind3[[#This Row],[订购日期]])</f>
        <v>1997</v>
      </c>
      <c r="D1622" s="1">
        <v>322.99999974668026</v>
      </c>
    </row>
    <row r="1623" spans="1:4" x14ac:dyDescent="0.25">
      <c r="A1623" s="1" t="s">
        <v>130</v>
      </c>
      <c r="B1623" s="59">
        <v>35564</v>
      </c>
      <c r="C1623" s="57">
        <f>YEAR(表_查询来自_northwind3[[#This Row],[订购日期]])</f>
        <v>1997</v>
      </c>
      <c r="D1623" s="1">
        <v>892.5</v>
      </c>
    </row>
    <row r="1624" spans="1:4" x14ac:dyDescent="0.25">
      <c r="A1624" s="1" t="s">
        <v>130</v>
      </c>
      <c r="B1624" s="59">
        <v>35611</v>
      </c>
      <c r="C1624" s="57">
        <f>YEAR(表_查询来自_northwind3[[#This Row],[订购日期]])</f>
        <v>1997</v>
      </c>
      <c r="D1624" s="1">
        <v>693.59999513626099</v>
      </c>
    </row>
    <row r="1625" spans="1:4" x14ac:dyDescent="0.25">
      <c r="A1625" s="1" t="s">
        <v>130</v>
      </c>
      <c r="B1625" s="59">
        <v>35632</v>
      </c>
      <c r="C1625" s="57">
        <f>YEAR(表_查询来自_northwind3[[#This Row],[订购日期]])</f>
        <v>1997</v>
      </c>
      <c r="D1625" s="1">
        <v>2260.9999982267618</v>
      </c>
    </row>
    <row r="1626" spans="1:4" x14ac:dyDescent="0.25">
      <c r="A1626" s="1" t="s">
        <v>130</v>
      </c>
      <c r="B1626" s="59">
        <v>35636</v>
      </c>
      <c r="C1626" s="57">
        <f>YEAR(表_查询来自_northwind3[[#This Row],[订购日期]])</f>
        <v>1997</v>
      </c>
      <c r="D1626" s="1">
        <v>510</v>
      </c>
    </row>
    <row r="1627" spans="1:4" x14ac:dyDescent="0.25">
      <c r="A1627" s="1" t="s">
        <v>130</v>
      </c>
      <c r="B1627" s="59">
        <v>35639</v>
      </c>
      <c r="C1627" s="57">
        <f>YEAR(表_查询来自_northwind3[[#This Row],[订购日期]])</f>
        <v>1997</v>
      </c>
      <c r="D1627" s="1">
        <v>1360</v>
      </c>
    </row>
    <row r="1628" spans="1:4" x14ac:dyDescent="0.25">
      <c r="A1628" s="1" t="s">
        <v>130</v>
      </c>
      <c r="B1628" s="59">
        <v>35650</v>
      </c>
      <c r="C1628" s="57">
        <f>YEAR(表_查询来自_northwind3[[#This Row],[订购日期]])</f>
        <v>1997</v>
      </c>
      <c r="D1628" s="1">
        <v>340</v>
      </c>
    </row>
    <row r="1629" spans="1:4" x14ac:dyDescent="0.25">
      <c r="A1629" s="1" t="s">
        <v>130</v>
      </c>
      <c r="B1629" s="59">
        <v>35653</v>
      </c>
      <c r="C1629" s="57">
        <f>YEAR(表_查询来自_northwind3[[#This Row],[订购日期]])</f>
        <v>1997</v>
      </c>
      <c r="D1629" s="1">
        <v>680</v>
      </c>
    </row>
    <row r="1630" spans="1:4" x14ac:dyDescent="0.25">
      <c r="A1630" s="1" t="s">
        <v>130</v>
      </c>
      <c r="B1630" s="59">
        <v>35675</v>
      </c>
      <c r="C1630" s="57">
        <f>YEAR(表_查询来自_northwind3[[#This Row],[订购日期]])</f>
        <v>1997</v>
      </c>
      <c r="D1630" s="1">
        <v>611.99999898672104</v>
      </c>
    </row>
    <row r="1631" spans="1:4" x14ac:dyDescent="0.25">
      <c r="A1631" s="1" t="s">
        <v>130</v>
      </c>
      <c r="B1631" s="59">
        <v>35677</v>
      </c>
      <c r="C1631" s="57">
        <f>YEAR(表_查询来自_northwind3[[#This Row],[订购日期]])</f>
        <v>1997</v>
      </c>
      <c r="D1631" s="1">
        <v>1020</v>
      </c>
    </row>
    <row r="1632" spans="1:4" x14ac:dyDescent="0.25">
      <c r="A1632" s="1" t="s">
        <v>130</v>
      </c>
      <c r="B1632" s="59">
        <v>35678</v>
      </c>
      <c r="C1632" s="57">
        <f>YEAR(表_查询来自_northwind3[[#This Row],[订购日期]])</f>
        <v>1997</v>
      </c>
      <c r="D1632" s="1">
        <v>1776.4999986067414</v>
      </c>
    </row>
    <row r="1633" spans="1:4" x14ac:dyDescent="0.25">
      <c r="A1633" s="1" t="s">
        <v>130</v>
      </c>
      <c r="B1633" s="59">
        <v>35699</v>
      </c>
      <c r="C1633" s="57">
        <f>YEAR(表_查询来自_northwind3[[#This Row],[订购日期]])</f>
        <v>1997</v>
      </c>
      <c r="D1633" s="1">
        <v>1020</v>
      </c>
    </row>
    <row r="1634" spans="1:4" x14ac:dyDescent="0.25">
      <c r="A1634" s="1" t="s">
        <v>130</v>
      </c>
      <c r="B1634" s="59">
        <v>35720</v>
      </c>
      <c r="C1634" s="57">
        <f>YEAR(表_查询来自_northwind3[[#This Row],[订购日期]])</f>
        <v>1997</v>
      </c>
      <c r="D1634" s="1">
        <v>340</v>
      </c>
    </row>
    <row r="1635" spans="1:4" x14ac:dyDescent="0.25">
      <c r="A1635" s="1" t="s">
        <v>130</v>
      </c>
      <c r="B1635" s="59">
        <v>35738</v>
      </c>
      <c r="C1635" s="57">
        <f>YEAR(表_查询来自_northwind3[[#This Row],[订购日期]])</f>
        <v>1997</v>
      </c>
      <c r="D1635" s="1">
        <v>510</v>
      </c>
    </row>
    <row r="1636" spans="1:4" x14ac:dyDescent="0.25">
      <c r="A1636" s="1" t="s">
        <v>130</v>
      </c>
      <c r="B1636" s="59">
        <v>35748</v>
      </c>
      <c r="C1636" s="57">
        <f>YEAR(表_查询来自_northwind3[[#This Row],[订购日期]])</f>
        <v>1997</v>
      </c>
      <c r="D1636" s="1">
        <v>1700</v>
      </c>
    </row>
    <row r="1637" spans="1:4" x14ac:dyDescent="0.25">
      <c r="A1637" s="1" t="s">
        <v>130</v>
      </c>
      <c r="B1637" s="59">
        <v>35772</v>
      </c>
      <c r="C1637" s="57">
        <f>YEAR(表_查询来自_northwind3[[#This Row],[订购日期]])</f>
        <v>1997</v>
      </c>
      <c r="D1637" s="1">
        <v>510</v>
      </c>
    </row>
    <row r="1638" spans="1:4" x14ac:dyDescent="0.25">
      <c r="A1638" s="1" t="s">
        <v>130</v>
      </c>
      <c r="B1638" s="59">
        <v>35808</v>
      </c>
      <c r="C1638" s="57">
        <f>YEAR(表_查询来自_northwind3[[#This Row],[订购日期]])</f>
        <v>1998</v>
      </c>
      <c r="D1638" s="1">
        <v>714</v>
      </c>
    </row>
    <row r="1639" spans="1:4" x14ac:dyDescent="0.25">
      <c r="A1639" s="1" t="s">
        <v>130</v>
      </c>
      <c r="B1639" s="59">
        <v>35808</v>
      </c>
      <c r="C1639" s="57">
        <f>YEAR(表_查询来自_northwind3[[#This Row],[订购日期]])</f>
        <v>1998</v>
      </c>
      <c r="D1639" s="1">
        <v>1020</v>
      </c>
    </row>
    <row r="1640" spans="1:4" x14ac:dyDescent="0.25">
      <c r="A1640" s="1" t="s">
        <v>130</v>
      </c>
      <c r="B1640" s="59">
        <v>35811</v>
      </c>
      <c r="C1640" s="57">
        <f>YEAR(表_查询来自_northwind3[[#This Row],[订购日期]])</f>
        <v>1998</v>
      </c>
      <c r="D1640" s="1">
        <v>2040</v>
      </c>
    </row>
    <row r="1641" spans="1:4" x14ac:dyDescent="0.25">
      <c r="A1641" s="1" t="s">
        <v>130</v>
      </c>
      <c r="B1641" s="59">
        <v>35817</v>
      </c>
      <c r="C1641" s="57">
        <f>YEAR(表_查询来自_northwind3[[#This Row],[订购日期]])</f>
        <v>1998</v>
      </c>
      <c r="D1641" s="1">
        <v>1223.9999954402447</v>
      </c>
    </row>
    <row r="1642" spans="1:4" x14ac:dyDescent="0.25">
      <c r="A1642" s="1" t="s">
        <v>130</v>
      </c>
      <c r="B1642" s="59">
        <v>35844</v>
      </c>
      <c r="C1642" s="57">
        <f>YEAR(表_查询来自_northwind3[[#This Row],[订购日期]])</f>
        <v>1998</v>
      </c>
      <c r="D1642" s="1">
        <v>3400</v>
      </c>
    </row>
    <row r="1643" spans="1:4" x14ac:dyDescent="0.25">
      <c r="A1643" s="1" t="s">
        <v>130</v>
      </c>
      <c r="B1643" s="59">
        <v>35856</v>
      </c>
      <c r="C1643" s="57">
        <f>YEAR(表_查询来自_northwind3[[#This Row],[订购日期]])</f>
        <v>1998</v>
      </c>
      <c r="D1643" s="1">
        <v>340</v>
      </c>
    </row>
    <row r="1644" spans="1:4" x14ac:dyDescent="0.25">
      <c r="A1644" s="1" t="s">
        <v>130</v>
      </c>
      <c r="B1644" s="59">
        <v>35856</v>
      </c>
      <c r="C1644" s="57">
        <f>YEAR(表_查询来自_northwind3[[#This Row],[订购日期]])</f>
        <v>1998</v>
      </c>
      <c r="D1644" s="1">
        <v>637.5</v>
      </c>
    </row>
    <row r="1645" spans="1:4" x14ac:dyDescent="0.25">
      <c r="A1645" s="1" t="s">
        <v>130</v>
      </c>
      <c r="B1645" s="59">
        <v>35864</v>
      </c>
      <c r="C1645" s="57">
        <f>YEAR(表_查询来自_northwind3[[#This Row],[订购日期]])</f>
        <v>1998</v>
      </c>
      <c r="D1645" s="1">
        <v>1249.5</v>
      </c>
    </row>
    <row r="1646" spans="1:4" x14ac:dyDescent="0.25">
      <c r="A1646" s="1" t="s">
        <v>130</v>
      </c>
      <c r="B1646" s="59">
        <v>35871</v>
      </c>
      <c r="C1646" s="57">
        <f>YEAR(表_查询来自_northwind3[[#This Row],[订购日期]])</f>
        <v>1998</v>
      </c>
      <c r="D1646" s="1">
        <v>693.59999513626099</v>
      </c>
    </row>
    <row r="1647" spans="1:4" x14ac:dyDescent="0.25">
      <c r="A1647" s="1" t="s">
        <v>130</v>
      </c>
      <c r="B1647" s="59">
        <v>35873</v>
      </c>
      <c r="C1647" s="57">
        <f>YEAR(表_查询来自_northwind3[[#This Row],[订购日期]])</f>
        <v>1998</v>
      </c>
      <c r="D1647" s="1">
        <v>57.799999594688416</v>
      </c>
    </row>
    <row r="1648" spans="1:4" x14ac:dyDescent="0.25">
      <c r="A1648" s="1" t="s">
        <v>130</v>
      </c>
      <c r="B1648" s="59">
        <v>35887</v>
      </c>
      <c r="C1648" s="57">
        <f>YEAR(表_查询来自_northwind3[[#This Row],[订购日期]])</f>
        <v>1998</v>
      </c>
      <c r="D1648" s="1">
        <v>136</v>
      </c>
    </row>
    <row r="1649" spans="1:4" x14ac:dyDescent="0.25">
      <c r="A1649" s="1" t="s">
        <v>130</v>
      </c>
      <c r="B1649" s="59">
        <v>35893</v>
      </c>
      <c r="C1649" s="57">
        <f>YEAR(表_查询来自_northwind3[[#This Row],[订购日期]])</f>
        <v>1998</v>
      </c>
      <c r="D1649" s="1">
        <v>306</v>
      </c>
    </row>
    <row r="1650" spans="1:4" x14ac:dyDescent="0.25">
      <c r="A1650" s="1" t="s">
        <v>130</v>
      </c>
      <c r="B1650" s="59">
        <v>35894</v>
      </c>
      <c r="C1650" s="57">
        <f>YEAR(表_查询来自_northwind3[[#This Row],[订购日期]])</f>
        <v>1998</v>
      </c>
      <c r="D1650" s="1">
        <v>1162.7999990880489</v>
      </c>
    </row>
    <row r="1651" spans="1:4" x14ac:dyDescent="0.25">
      <c r="A1651" s="1" t="s">
        <v>130</v>
      </c>
      <c r="B1651" s="59">
        <v>35913</v>
      </c>
      <c r="C1651" s="57">
        <f>YEAR(表_查询来自_northwind3[[#This Row],[订购日期]])</f>
        <v>1998</v>
      </c>
      <c r="D1651" s="1">
        <v>1700</v>
      </c>
    </row>
    <row r="1652" spans="1:4" x14ac:dyDescent="0.25">
      <c r="A1652" s="1" t="s">
        <v>130</v>
      </c>
      <c r="B1652" s="59">
        <v>35914</v>
      </c>
      <c r="C1652" s="57">
        <f>YEAR(表_查询来自_northwind3[[#This Row],[订购日期]])</f>
        <v>1998</v>
      </c>
      <c r="D1652" s="1">
        <v>714</v>
      </c>
    </row>
    <row r="1653" spans="1:4" x14ac:dyDescent="0.25">
      <c r="A1653" s="1" t="s">
        <v>130</v>
      </c>
      <c r="B1653" s="59">
        <v>35914</v>
      </c>
      <c r="C1653" s="57">
        <f>YEAR(表_查询来自_northwind3[[#This Row],[订购日期]])</f>
        <v>1998</v>
      </c>
      <c r="D1653" s="1">
        <v>1190</v>
      </c>
    </row>
    <row r="1654" spans="1:4" x14ac:dyDescent="0.25">
      <c r="A1654" s="1" t="s">
        <v>130</v>
      </c>
      <c r="B1654" s="59">
        <v>35915</v>
      </c>
      <c r="C1654" s="57">
        <f>YEAR(表_查询来自_northwind3[[#This Row],[订购日期]])</f>
        <v>1998</v>
      </c>
      <c r="D1654" s="1">
        <v>136</v>
      </c>
    </row>
    <row r="1655" spans="1:4" x14ac:dyDescent="0.25">
      <c r="A1655" s="1" t="s">
        <v>130</v>
      </c>
      <c r="B1655" s="59">
        <v>35915</v>
      </c>
      <c r="C1655" s="57">
        <f>YEAR(表_查询来自_northwind3[[#This Row],[订购日期]])</f>
        <v>1998</v>
      </c>
      <c r="D1655" s="1">
        <v>510</v>
      </c>
    </row>
    <row r="1656" spans="1:4" x14ac:dyDescent="0.25">
      <c r="A1656" s="1" t="s">
        <v>130</v>
      </c>
      <c r="B1656" s="59">
        <v>35921</v>
      </c>
      <c r="C1656" s="57">
        <f>YEAR(表_查询来自_northwind3[[#This Row],[订购日期]])</f>
        <v>1998</v>
      </c>
      <c r="D1656" s="1">
        <v>63.920000091195107</v>
      </c>
    </row>
    <row r="1657" spans="1:4" x14ac:dyDescent="0.25">
      <c r="A1657" s="1" t="s">
        <v>131</v>
      </c>
      <c r="B1657" s="59">
        <v>35447</v>
      </c>
      <c r="C1657" s="57">
        <f>YEAR(表_查询来自_northwind3[[#This Row],[订购日期]])</f>
        <v>1997</v>
      </c>
      <c r="D1657" s="1">
        <v>364.8</v>
      </c>
    </row>
    <row r="1658" spans="1:4" x14ac:dyDescent="0.25">
      <c r="A1658" s="1" t="s">
        <v>131</v>
      </c>
      <c r="B1658" s="59">
        <v>35471</v>
      </c>
      <c r="C1658" s="57">
        <f>YEAR(表_查询来自_northwind3[[#This Row],[订购日期]])</f>
        <v>1997</v>
      </c>
      <c r="D1658" s="1">
        <v>1744.1999877691269</v>
      </c>
    </row>
    <row r="1659" spans="1:4" x14ac:dyDescent="0.25">
      <c r="A1659" s="1" t="s">
        <v>131</v>
      </c>
      <c r="B1659" s="59">
        <v>35485</v>
      </c>
      <c r="C1659" s="57">
        <f>YEAR(表_查询来自_northwind3[[#This Row],[订购日期]])</f>
        <v>1997</v>
      </c>
      <c r="D1659" s="1">
        <v>570</v>
      </c>
    </row>
    <row r="1660" spans="1:4" x14ac:dyDescent="0.25">
      <c r="A1660" s="1" t="s">
        <v>131</v>
      </c>
      <c r="B1660" s="59">
        <v>35531</v>
      </c>
      <c r="C1660" s="57">
        <f>YEAR(表_查询来自_northwind3[[#This Row],[订购日期]])</f>
        <v>1997</v>
      </c>
      <c r="D1660" s="1">
        <v>712.5</v>
      </c>
    </row>
    <row r="1661" spans="1:4" x14ac:dyDescent="0.25">
      <c r="A1661" s="1" t="s">
        <v>131</v>
      </c>
      <c r="B1661" s="59">
        <v>35542</v>
      </c>
      <c r="C1661" s="57">
        <f>YEAR(表_查询来自_northwind3[[#This Row],[订购日期]])</f>
        <v>1997</v>
      </c>
      <c r="D1661" s="1">
        <v>341.99999872595072</v>
      </c>
    </row>
    <row r="1662" spans="1:4" x14ac:dyDescent="0.25">
      <c r="A1662" s="1" t="s">
        <v>131</v>
      </c>
      <c r="B1662" s="59">
        <v>35558</v>
      </c>
      <c r="C1662" s="57">
        <f>YEAR(表_查询来自_northwind3[[#This Row],[订购日期]])</f>
        <v>1997</v>
      </c>
      <c r="D1662" s="1">
        <v>570</v>
      </c>
    </row>
    <row r="1663" spans="1:4" x14ac:dyDescent="0.25">
      <c r="A1663" s="1" t="s">
        <v>131</v>
      </c>
      <c r="B1663" s="59">
        <v>35578</v>
      </c>
      <c r="C1663" s="57">
        <f>YEAR(表_查询来自_northwind3[[#This Row],[订购日期]])</f>
        <v>1997</v>
      </c>
      <c r="D1663" s="1">
        <v>256.49999957531691</v>
      </c>
    </row>
    <row r="1664" spans="1:4" x14ac:dyDescent="0.25">
      <c r="A1664" s="1" t="s">
        <v>131</v>
      </c>
      <c r="B1664" s="59">
        <v>35621</v>
      </c>
      <c r="C1664" s="57">
        <f>YEAR(表_查询来自_northwind3[[#This Row],[订购日期]])</f>
        <v>1997</v>
      </c>
      <c r="D1664" s="1">
        <v>2565</v>
      </c>
    </row>
    <row r="1665" spans="1:4" x14ac:dyDescent="0.25">
      <c r="A1665" s="1" t="s">
        <v>131</v>
      </c>
      <c r="B1665" s="59">
        <v>35664</v>
      </c>
      <c r="C1665" s="57">
        <f>YEAR(表_查询来自_northwind3[[#This Row],[订购日期]])</f>
        <v>1997</v>
      </c>
      <c r="D1665" s="1">
        <v>455.99999830126762</v>
      </c>
    </row>
    <row r="1666" spans="1:4" x14ac:dyDescent="0.25">
      <c r="A1666" s="1" t="s">
        <v>131</v>
      </c>
      <c r="B1666" s="59">
        <v>35727</v>
      </c>
      <c r="C1666" s="57">
        <f>YEAR(表_查询来自_northwind3[[#This Row],[订购日期]])</f>
        <v>1997</v>
      </c>
      <c r="D1666" s="1">
        <v>285</v>
      </c>
    </row>
    <row r="1667" spans="1:4" x14ac:dyDescent="0.25">
      <c r="A1667" s="1" t="s">
        <v>131</v>
      </c>
      <c r="B1667" s="59">
        <v>35733</v>
      </c>
      <c r="C1667" s="57">
        <f>YEAR(表_查询来自_northwind3[[#This Row],[订购日期]])</f>
        <v>1997</v>
      </c>
      <c r="D1667" s="1">
        <v>142.5</v>
      </c>
    </row>
    <row r="1668" spans="1:4" x14ac:dyDescent="0.25">
      <c r="A1668" s="1" t="s">
        <v>131</v>
      </c>
      <c r="B1668" s="59">
        <v>35744</v>
      </c>
      <c r="C1668" s="57">
        <f>YEAR(表_查询来自_northwind3[[#This Row],[订购日期]])</f>
        <v>1997</v>
      </c>
      <c r="D1668" s="1">
        <v>512.99999915063381</v>
      </c>
    </row>
    <row r="1669" spans="1:4" x14ac:dyDescent="0.25">
      <c r="A1669" s="1" t="s">
        <v>131</v>
      </c>
      <c r="B1669" s="59">
        <v>35772</v>
      </c>
      <c r="C1669" s="57">
        <f>YEAR(表_查询来自_northwind3[[#This Row],[订购日期]])</f>
        <v>1997</v>
      </c>
      <c r="D1669" s="1">
        <v>570</v>
      </c>
    </row>
    <row r="1670" spans="1:4" x14ac:dyDescent="0.25">
      <c r="A1670" s="1" t="s">
        <v>131</v>
      </c>
      <c r="B1670" s="59">
        <v>35800</v>
      </c>
      <c r="C1670" s="57">
        <f>YEAR(表_查询来自_northwind3[[#This Row],[订购日期]])</f>
        <v>1998</v>
      </c>
      <c r="D1670" s="1">
        <v>726.74999490380287</v>
      </c>
    </row>
    <row r="1671" spans="1:4" x14ac:dyDescent="0.25">
      <c r="A1671" s="1" t="s">
        <v>131</v>
      </c>
      <c r="B1671" s="59">
        <v>35836</v>
      </c>
      <c r="C1671" s="57">
        <f>YEAR(表_查询来自_northwind3[[#This Row],[订购日期]])</f>
        <v>1998</v>
      </c>
      <c r="D1671" s="1">
        <v>683.99999745190144</v>
      </c>
    </row>
    <row r="1672" spans="1:4" x14ac:dyDescent="0.25">
      <c r="A1672" s="1" t="s">
        <v>131</v>
      </c>
      <c r="B1672" s="59">
        <v>35851</v>
      </c>
      <c r="C1672" s="57">
        <f>YEAR(表_查询来自_northwind3[[#This Row],[订购日期]])</f>
        <v>1998</v>
      </c>
      <c r="D1672" s="1">
        <v>427.5</v>
      </c>
    </row>
    <row r="1673" spans="1:4" x14ac:dyDescent="0.25">
      <c r="A1673" s="1" t="s">
        <v>131</v>
      </c>
      <c r="B1673" s="59">
        <v>35852</v>
      </c>
      <c r="C1673" s="57">
        <f>YEAR(表_查询来自_northwind3[[#This Row],[订购日期]])</f>
        <v>1998</v>
      </c>
      <c r="D1673" s="1">
        <v>142.5</v>
      </c>
    </row>
    <row r="1674" spans="1:4" x14ac:dyDescent="0.25">
      <c r="A1674" s="1" t="s">
        <v>131</v>
      </c>
      <c r="B1674" s="59">
        <v>35860</v>
      </c>
      <c r="C1674" s="57">
        <f>YEAR(表_查询来自_northwind3[[#This Row],[订购日期]])</f>
        <v>1998</v>
      </c>
      <c r="D1674" s="1">
        <v>855</v>
      </c>
    </row>
    <row r="1675" spans="1:4" x14ac:dyDescent="0.25">
      <c r="A1675" s="1" t="s">
        <v>131</v>
      </c>
      <c r="B1675" s="59">
        <v>35886</v>
      </c>
      <c r="C1675" s="57">
        <f>YEAR(表_查询来自_northwind3[[#This Row],[订购日期]])</f>
        <v>1998</v>
      </c>
      <c r="D1675" s="1">
        <v>1598.8499887883663</v>
      </c>
    </row>
    <row r="1676" spans="1:4" x14ac:dyDescent="0.25">
      <c r="A1676" s="1" t="s">
        <v>131</v>
      </c>
      <c r="B1676" s="59">
        <v>35888</v>
      </c>
      <c r="C1676" s="57">
        <f>YEAR(表_查询来自_northwind3[[#This Row],[订购日期]])</f>
        <v>1998</v>
      </c>
      <c r="D1676" s="1">
        <v>199.5</v>
      </c>
    </row>
    <row r="1677" spans="1:4" x14ac:dyDescent="0.25">
      <c r="A1677" s="1" t="s">
        <v>131</v>
      </c>
      <c r="B1677" s="59">
        <v>35905</v>
      </c>
      <c r="C1677" s="57">
        <f>YEAR(表_查询来自_northwind3[[#This Row],[订购日期]])</f>
        <v>1998</v>
      </c>
      <c r="D1677" s="1">
        <v>171</v>
      </c>
    </row>
    <row r="1678" spans="1:4" x14ac:dyDescent="0.25">
      <c r="A1678" s="1" t="s">
        <v>131</v>
      </c>
      <c r="B1678" s="59">
        <v>35907</v>
      </c>
      <c r="C1678" s="57">
        <f>YEAR(表_查询来自_northwind3[[#This Row],[订购日期]])</f>
        <v>1998</v>
      </c>
      <c r="D1678" s="1">
        <v>114</v>
      </c>
    </row>
    <row r="1679" spans="1:4" x14ac:dyDescent="0.25">
      <c r="A1679" s="1" t="s">
        <v>131</v>
      </c>
      <c r="B1679" s="59">
        <v>35912</v>
      </c>
      <c r="C1679" s="57">
        <f>YEAR(表_查询来自_northwind3[[#This Row],[订购日期]])</f>
        <v>1998</v>
      </c>
      <c r="D1679" s="1">
        <v>227.99999915063381</v>
      </c>
    </row>
    <row r="1680" spans="1:4" x14ac:dyDescent="0.25">
      <c r="A1680" s="1" t="s">
        <v>131</v>
      </c>
      <c r="B1680" s="59">
        <v>35914</v>
      </c>
      <c r="C1680" s="57">
        <f>YEAR(表_查询来自_northwind3[[#This Row],[订购日期]])</f>
        <v>1998</v>
      </c>
      <c r="D1680" s="1">
        <v>114</v>
      </c>
    </row>
    <row r="1681" spans="1:4" x14ac:dyDescent="0.25">
      <c r="A1681" s="1" t="s">
        <v>132</v>
      </c>
      <c r="B1681" s="59">
        <v>35265</v>
      </c>
      <c r="C1681" s="57">
        <f>YEAR(表_查询来自_northwind3[[#This Row],[订购日期]])</f>
        <v>1996</v>
      </c>
      <c r="D1681" s="1">
        <v>443.25</v>
      </c>
    </row>
    <row r="1682" spans="1:4" x14ac:dyDescent="0.25">
      <c r="A1682" s="1" t="s">
        <v>132</v>
      </c>
      <c r="B1682" s="59">
        <v>35286</v>
      </c>
      <c r="C1682" s="57">
        <f>YEAR(表_查询来自_northwind3[[#This Row],[订购日期]])</f>
        <v>1996</v>
      </c>
      <c r="D1682" s="1">
        <v>472.8</v>
      </c>
    </row>
    <row r="1683" spans="1:4" x14ac:dyDescent="0.25">
      <c r="A1683" s="1" t="s">
        <v>132</v>
      </c>
      <c r="B1683" s="59">
        <v>35298</v>
      </c>
      <c r="C1683" s="57">
        <f>YEAR(表_查询来自_northwind3[[#This Row],[订购日期]])</f>
        <v>1996</v>
      </c>
      <c r="D1683" s="1">
        <v>1576</v>
      </c>
    </row>
    <row r="1684" spans="1:4" x14ac:dyDescent="0.25">
      <c r="A1684" s="1" t="s">
        <v>132</v>
      </c>
      <c r="B1684" s="59">
        <v>35313</v>
      </c>
      <c r="C1684" s="57">
        <f>YEAR(表_查询来自_northwind3[[#This Row],[订购日期]])</f>
        <v>1996</v>
      </c>
      <c r="D1684" s="1">
        <v>591</v>
      </c>
    </row>
    <row r="1685" spans="1:4" x14ac:dyDescent="0.25">
      <c r="A1685" s="1" t="s">
        <v>132</v>
      </c>
      <c r="B1685" s="59">
        <v>35325</v>
      </c>
      <c r="C1685" s="57">
        <f>YEAR(表_查询来自_northwind3[[#This Row],[订购日期]])</f>
        <v>1996</v>
      </c>
      <c r="D1685" s="1">
        <v>394</v>
      </c>
    </row>
    <row r="1686" spans="1:4" x14ac:dyDescent="0.25">
      <c r="A1686" s="1" t="s">
        <v>132</v>
      </c>
      <c r="B1686" s="59">
        <v>35328</v>
      </c>
      <c r="C1686" s="57">
        <f>YEAR(表_查询来自_northwind3[[#This Row],[订购日期]])</f>
        <v>1996</v>
      </c>
      <c r="D1686" s="1">
        <v>197</v>
      </c>
    </row>
    <row r="1687" spans="1:4" x14ac:dyDescent="0.25">
      <c r="A1687" s="1" t="s">
        <v>132</v>
      </c>
      <c r="B1687" s="59">
        <v>35333</v>
      </c>
      <c r="C1687" s="57">
        <f>YEAR(表_查询来自_northwind3[[#This Row],[订购日期]])</f>
        <v>1996</v>
      </c>
      <c r="D1687" s="1">
        <v>886.49999853223562</v>
      </c>
    </row>
    <row r="1688" spans="1:4" x14ac:dyDescent="0.25">
      <c r="A1688" s="1" t="s">
        <v>132</v>
      </c>
      <c r="B1688" s="59">
        <v>35335</v>
      </c>
      <c r="C1688" s="57">
        <f>YEAR(表_查询来自_northwind3[[#This Row],[订购日期]])</f>
        <v>1996</v>
      </c>
      <c r="D1688" s="1">
        <v>2758</v>
      </c>
    </row>
    <row r="1689" spans="1:4" x14ac:dyDescent="0.25">
      <c r="A1689" s="1" t="s">
        <v>132</v>
      </c>
      <c r="B1689" s="59">
        <v>35366</v>
      </c>
      <c r="C1689" s="57">
        <f>YEAR(表_查询来自_northwind3[[#This Row],[订购日期]])</f>
        <v>1996</v>
      </c>
      <c r="D1689" s="1">
        <v>1103.2</v>
      </c>
    </row>
    <row r="1690" spans="1:4" x14ac:dyDescent="0.25">
      <c r="A1690" s="1" t="s">
        <v>132</v>
      </c>
      <c r="B1690" s="59">
        <v>35419</v>
      </c>
      <c r="C1690" s="57">
        <f>YEAR(表_查询来自_northwind3[[#This Row],[订购日期]])</f>
        <v>1996</v>
      </c>
      <c r="D1690" s="1">
        <v>788</v>
      </c>
    </row>
    <row r="1691" spans="1:4" x14ac:dyDescent="0.25">
      <c r="A1691" s="1" t="s">
        <v>132</v>
      </c>
      <c r="B1691" s="59">
        <v>35424</v>
      </c>
      <c r="C1691" s="57">
        <f>YEAR(表_查询来自_northwind3[[#This Row],[订购日期]])</f>
        <v>1996</v>
      </c>
      <c r="D1691" s="1">
        <v>394</v>
      </c>
    </row>
    <row r="1692" spans="1:4" x14ac:dyDescent="0.25">
      <c r="A1692" s="1" t="s">
        <v>132</v>
      </c>
      <c r="B1692" s="59">
        <v>35438</v>
      </c>
      <c r="C1692" s="57">
        <f>YEAR(表_查询来自_northwind3[[#This Row],[订购日期]])</f>
        <v>1997</v>
      </c>
      <c r="D1692" s="1">
        <v>1379</v>
      </c>
    </row>
    <row r="1693" spans="1:4" x14ac:dyDescent="0.25">
      <c r="A1693" s="1" t="s">
        <v>132</v>
      </c>
      <c r="B1693" s="59">
        <v>35444</v>
      </c>
      <c r="C1693" s="57">
        <f>YEAR(表_查询来自_northwind3[[#This Row],[订购日期]])</f>
        <v>1997</v>
      </c>
      <c r="D1693" s="1">
        <v>1576</v>
      </c>
    </row>
    <row r="1694" spans="1:4" x14ac:dyDescent="0.25">
      <c r="A1694" s="1" t="s">
        <v>132</v>
      </c>
      <c r="B1694" s="59">
        <v>35479</v>
      </c>
      <c r="C1694" s="57">
        <f>YEAR(表_查询来自_northwind3[[#This Row],[订购日期]])</f>
        <v>1997</v>
      </c>
      <c r="D1694" s="1">
        <v>1379</v>
      </c>
    </row>
    <row r="1695" spans="1:4" x14ac:dyDescent="0.25">
      <c r="A1695" s="1" t="s">
        <v>132</v>
      </c>
      <c r="B1695" s="59">
        <v>35534</v>
      </c>
      <c r="C1695" s="57">
        <f>YEAR(表_查询来自_northwind3[[#This Row],[订购日期]])</f>
        <v>1997</v>
      </c>
      <c r="D1695" s="1">
        <v>147.9</v>
      </c>
    </row>
    <row r="1696" spans="1:4" x14ac:dyDescent="0.25">
      <c r="A1696" s="1" t="s">
        <v>132</v>
      </c>
      <c r="B1696" s="59">
        <v>35573</v>
      </c>
      <c r="C1696" s="57">
        <f>YEAR(表_查询来自_northwind3[[#This Row],[订购日期]])</f>
        <v>1997</v>
      </c>
      <c r="D1696" s="1">
        <v>1972</v>
      </c>
    </row>
    <row r="1697" spans="1:4" x14ac:dyDescent="0.25">
      <c r="A1697" s="1" t="s">
        <v>132</v>
      </c>
      <c r="B1697" s="59">
        <v>35580</v>
      </c>
      <c r="C1697" s="57">
        <f>YEAR(表_查询来自_northwind3[[#This Row],[订购日期]])</f>
        <v>1997</v>
      </c>
      <c r="D1697" s="1">
        <v>936.69999926537275</v>
      </c>
    </row>
    <row r="1698" spans="1:4" x14ac:dyDescent="0.25">
      <c r="A1698" s="1" t="s">
        <v>132</v>
      </c>
      <c r="B1698" s="59">
        <v>35587</v>
      </c>
      <c r="C1698" s="57">
        <f>YEAR(表_查询来自_northwind3[[#This Row],[订购日期]])</f>
        <v>1997</v>
      </c>
      <c r="D1698" s="1">
        <v>554.625</v>
      </c>
    </row>
    <row r="1699" spans="1:4" x14ac:dyDescent="0.25">
      <c r="A1699" s="1" t="s">
        <v>132</v>
      </c>
      <c r="B1699" s="59">
        <v>35590</v>
      </c>
      <c r="C1699" s="57">
        <f>YEAR(表_查询来自_northwind3[[#This Row],[订购日期]])</f>
        <v>1997</v>
      </c>
      <c r="D1699" s="1">
        <v>443.69999926537275</v>
      </c>
    </row>
    <row r="1700" spans="1:4" x14ac:dyDescent="0.25">
      <c r="A1700" s="1" t="s">
        <v>132</v>
      </c>
      <c r="B1700" s="59">
        <v>35600</v>
      </c>
      <c r="C1700" s="57">
        <f>YEAR(表_查询来自_northwind3[[#This Row],[订购日期]])</f>
        <v>1997</v>
      </c>
      <c r="D1700" s="1">
        <v>493</v>
      </c>
    </row>
    <row r="1701" spans="1:4" x14ac:dyDescent="0.25">
      <c r="A1701" s="1" t="s">
        <v>132</v>
      </c>
      <c r="B1701" s="59">
        <v>35626</v>
      </c>
      <c r="C1701" s="57">
        <f>YEAR(表_查询来自_northwind3[[#This Row],[订购日期]])</f>
        <v>1997</v>
      </c>
      <c r="D1701" s="1">
        <v>493</v>
      </c>
    </row>
    <row r="1702" spans="1:4" x14ac:dyDescent="0.25">
      <c r="A1702" s="1" t="s">
        <v>132</v>
      </c>
      <c r="B1702" s="59">
        <v>35633</v>
      </c>
      <c r="C1702" s="57">
        <f>YEAR(表_查询来自_northwind3[[#This Row],[订购日期]])</f>
        <v>1997</v>
      </c>
      <c r="D1702" s="1">
        <v>394.39999853074551</v>
      </c>
    </row>
    <row r="1703" spans="1:4" x14ac:dyDescent="0.25">
      <c r="A1703" s="1" t="s">
        <v>132</v>
      </c>
      <c r="B1703" s="59">
        <v>35653</v>
      </c>
      <c r="C1703" s="57">
        <f>YEAR(表_查询来自_northwind3[[#This Row],[订购日期]])</f>
        <v>1997</v>
      </c>
      <c r="D1703" s="1">
        <v>739.5</v>
      </c>
    </row>
    <row r="1704" spans="1:4" x14ac:dyDescent="0.25">
      <c r="A1704" s="1" t="s">
        <v>132</v>
      </c>
      <c r="B1704" s="59">
        <v>35657</v>
      </c>
      <c r="C1704" s="57">
        <f>YEAR(表_查询来自_northwind3[[#This Row],[订购日期]])</f>
        <v>1997</v>
      </c>
      <c r="D1704" s="1">
        <v>3352.3999764919281</v>
      </c>
    </row>
    <row r="1705" spans="1:4" x14ac:dyDescent="0.25">
      <c r="A1705" s="1" t="s">
        <v>132</v>
      </c>
      <c r="B1705" s="59">
        <v>35690</v>
      </c>
      <c r="C1705" s="57">
        <f>YEAR(表_查询来自_northwind3[[#This Row],[订购日期]])</f>
        <v>1997</v>
      </c>
      <c r="D1705" s="1">
        <v>493</v>
      </c>
    </row>
    <row r="1706" spans="1:4" x14ac:dyDescent="0.25">
      <c r="A1706" s="1" t="s">
        <v>132</v>
      </c>
      <c r="B1706" s="59">
        <v>35706</v>
      </c>
      <c r="C1706" s="57">
        <f>YEAR(表_查询来自_northwind3[[#This Row],[订购日期]])</f>
        <v>1997</v>
      </c>
      <c r="D1706" s="1">
        <v>2366.4</v>
      </c>
    </row>
    <row r="1707" spans="1:4" x14ac:dyDescent="0.25">
      <c r="A1707" s="1" t="s">
        <v>132</v>
      </c>
      <c r="B1707" s="59">
        <v>35730</v>
      </c>
      <c r="C1707" s="57">
        <f>YEAR(表_查询来自_northwind3[[#This Row],[订购日期]])</f>
        <v>1997</v>
      </c>
      <c r="D1707" s="1">
        <v>986</v>
      </c>
    </row>
    <row r="1708" spans="1:4" x14ac:dyDescent="0.25">
      <c r="A1708" s="1" t="s">
        <v>132</v>
      </c>
      <c r="B1708" s="59">
        <v>35753</v>
      </c>
      <c r="C1708" s="57">
        <f>YEAR(表_查询来自_northwind3[[#This Row],[订购日期]])</f>
        <v>1997</v>
      </c>
      <c r="D1708" s="1">
        <v>443.7</v>
      </c>
    </row>
    <row r="1709" spans="1:4" x14ac:dyDescent="0.25">
      <c r="A1709" s="1" t="s">
        <v>132</v>
      </c>
      <c r="B1709" s="59">
        <v>35761</v>
      </c>
      <c r="C1709" s="57">
        <f>YEAR(表_查询来自_northwind3[[#This Row],[订购日期]])</f>
        <v>1997</v>
      </c>
      <c r="D1709" s="1">
        <v>1479</v>
      </c>
    </row>
    <row r="1710" spans="1:4" x14ac:dyDescent="0.25">
      <c r="A1710" s="1" t="s">
        <v>132</v>
      </c>
      <c r="B1710" s="59">
        <v>35772</v>
      </c>
      <c r="C1710" s="57">
        <f>YEAR(表_查询来自_northwind3[[#This Row],[订购日期]])</f>
        <v>1997</v>
      </c>
      <c r="D1710" s="1">
        <v>739.5</v>
      </c>
    </row>
    <row r="1711" spans="1:4" x14ac:dyDescent="0.25">
      <c r="A1711" s="1" t="s">
        <v>132</v>
      </c>
      <c r="B1711" s="59">
        <v>35780</v>
      </c>
      <c r="C1711" s="57">
        <f>YEAR(表_查询来自_northwind3[[#This Row],[订购日期]])</f>
        <v>1997</v>
      </c>
      <c r="D1711" s="1">
        <v>986</v>
      </c>
    </row>
    <row r="1712" spans="1:4" x14ac:dyDescent="0.25">
      <c r="A1712" s="1" t="s">
        <v>132</v>
      </c>
      <c r="B1712" s="59">
        <v>35790</v>
      </c>
      <c r="C1712" s="57">
        <f>YEAR(表_查询来自_northwind3[[#This Row],[订购日期]])</f>
        <v>1997</v>
      </c>
      <c r="D1712" s="1">
        <v>98.6</v>
      </c>
    </row>
    <row r="1713" spans="1:4" x14ac:dyDescent="0.25">
      <c r="A1713" s="1" t="s">
        <v>132</v>
      </c>
      <c r="B1713" s="59">
        <v>35793</v>
      </c>
      <c r="C1713" s="57">
        <f>YEAR(表_查询来自_northwind3[[#This Row],[订购日期]])</f>
        <v>1997</v>
      </c>
      <c r="D1713" s="1">
        <v>184.875</v>
      </c>
    </row>
    <row r="1714" spans="1:4" x14ac:dyDescent="0.25">
      <c r="A1714" s="1" t="s">
        <v>132</v>
      </c>
      <c r="B1714" s="59">
        <v>35801</v>
      </c>
      <c r="C1714" s="57">
        <f>YEAR(表_查询来自_northwind3[[#This Row],[订购日期]])</f>
        <v>1998</v>
      </c>
      <c r="D1714" s="1">
        <v>936.69999926537275</v>
      </c>
    </row>
    <row r="1715" spans="1:4" x14ac:dyDescent="0.25">
      <c r="A1715" s="1" t="s">
        <v>132</v>
      </c>
      <c r="B1715" s="59">
        <v>35801</v>
      </c>
      <c r="C1715" s="57">
        <f>YEAR(表_查询来自_northwind3[[#This Row],[订购日期]])</f>
        <v>1998</v>
      </c>
      <c r="D1715" s="1">
        <v>1047.6249926537275</v>
      </c>
    </row>
    <row r="1716" spans="1:4" x14ac:dyDescent="0.25">
      <c r="A1716" s="1" t="s">
        <v>132</v>
      </c>
      <c r="B1716" s="59">
        <v>35803</v>
      </c>
      <c r="C1716" s="57">
        <f>YEAR(表_查询来自_northwind3[[#This Row],[订购日期]])</f>
        <v>1998</v>
      </c>
      <c r="D1716" s="1">
        <v>147.9</v>
      </c>
    </row>
    <row r="1717" spans="1:4" x14ac:dyDescent="0.25">
      <c r="A1717" s="1" t="s">
        <v>132</v>
      </c>
      <c r="B1717" s="59">
        <v>35821</v>
      </c>
      <c r="C1717" s="57">
        <f>YEAR(表_查询来自_northwind3[[#This Row],[订购日期]])</f>
        <v>1998</v>
      </c>
      <c r="D1717" s="1">
        <v>2465</v>
      </c>
    </row>
    <row r="1718" spans="1:4" x14ac:dyDescent="0.25">
      <c r="A1718" s="1" t="s">
        <v>132</v>
      </c>
      <c r="B1718" s="59">
        <v>35825</v>
      </c>
      <c r="C1718" s="57">
        <f>YEAR(表_查询来自_northwind3[[#This Row],[订购日期]])</f>
        <v>1998</v>
      </c>
      <c r="D1718" s="1">
        <v>147.9</v>
      </c>
    </row>
    <row r="1719" spans="1:4" x14ac:dyDescent="0.25">
      <c r="A1719" s="1" t="s">
        <v>132</v>
      </c>
      <c r="B1719" s="59">
        <v>35831</v>
      </c>
      <c r="C1719" s="57">
        <f>YEAR(表_查询来自_northwind3[[#This Row],[订购日期]])</f>
        <v>1998</v>
      </c>
      <c r="D1719" s="1">
        <v>936.69999926537275</v>
      </c>
    </row>
    <row r="1720" spans="1:4" x14ac:dyDescent="0.25">
      <c r="A1720" s="1" t="s">
        <v>132</v>
      </c>
      <c r="B1720" s="59">
        <v>35849</v>
      </c>
      <c r="C1720" s="57">
        <f>YEAR(表_查询来自_northwind3[[#This Row],[订购日期]])</f>
        <v>1998</v>
      </c>
      <c r="D1720" s="1">
        <v>251.42999823689462</v>
      </c>
    </row>
    <row r="1721" spans="1:4" x14ac:dyDescent="0.25">
      <c r="A1721" s="1" t="s">
        <v>132</v>
      </c>
      <c r="B1721" s="59">
        <v>35850</v>
      </c>
      <c r="C1721" s="57">
        <f>YEAR(表_查询来自_northwind3[[#This Row],[订购日期]])</f>
        <v>1998</v>
      </c>
      <c r="D1721" s="1">
        <v>1725.5</v>
      </c>
    </row>
    <row r="1722" spans="1:4" x14ac:dyDescent="0.25">
      <c r="A1722" s="1" t="s">
        <v>132</v>
      </c>
      <c r="B1722" s="59">
        <v>35860</v>
      </c>
      <c r="C1722" s="57">
        <f>YEAR(表_查询来自_northwind3[[#This Row],[订购日期]])</f>
        <v>1998</v>
      </c>
      <c r="D1722" s="1">
        <v>621.17999897152185</v>
      </c>
    </row>
    <row r="1723" spans="1:4" x14ac:dyDescent="0.25">
      <c r="A1723" s="1" t="s">
        <v>132</v>
      </c>
      <c r="B1723" s="59">
        <v>35865</v>
      </c>
      <c r="C1723" s="57">
        <f>YEAR(表_查询来自_northwind3[[#This Row],[订购日期]])</f>
        <v>1998</v>
      </c>
      <c r="D1723" s="1">
        <v>1109.25</v>
      </c>
    </row>
    <row r="1724" spans="1:4" x14ac:dyDescent="0.25">
      <c r="A1724" s="1" t="s">
        <v>132</v>
      </c>
      <c r="B1724" s="59">
        <v>35867</v>
      </c>
      <c r="C1724" s="57">
        <f>YEAR(表_查询来自_northwind3[[#This Row],[订购日期]])</f>
        <v>1998</v>
      </c>
      <c r="D1724" s="1">
        <v>2958</v>
      </c>
    </row>
    <row r="1725" spans="1:4" x14ac:dyDescent="0.25">
      <c r="A1725" s="1" t="s">
        <v>132</v>
      </c>
      <c r="B1725" s="59">
        <v>35874</v>
      </c>
      <c r="C1725" s="57">
        <f>YEAR(表_查询来自_northwind3[[#This Row],[订购日期]])</f>
        <v>1998</v>
      </c>
      <c r="D1725" s="1">
        <v>502.85999647378924</v>
      </c>
    </row>
    <row r="1726" spans="1:4" x14ac:dyDescent="0.25">
      <c r="A1726" s="1" t="s">
        <v>132</v>
      </c>
      <c r="B1726" s="59">
        <v>35885</v>
      </c>
      <c r="C1726" s="57">
        <f>YEAR(表_查询来自_northwind3[[#This Row],[订购日期]])</f>
        <v>1998</v>
      </c>
      <c r="D1726" s="1">
        <v>1774.799997061491</v>
      </c>
    </row>
    <row r="1727" spans="1:4" x14ac:dyDescent="0.25">
      <c r="A1727" s="1" t="s">
        <v>132</v>
      </c>
      <c r="B1727" s="59">
        <v>35901</v>
      </c>
      <c r="C1727" s="57">
        <f>YEAR(表_查询来自_northwind3[[#This Row],[订购日期]])</f>
        <v>1998</v>
      </c>
      <c r="D1727" s="1">
        <v>776.47499999999991</v>
      </c>
    </row>
    <row r="1728" spans="1:4" x14ac:dyDescent="0.25">
      <c r="A1728" s="1" t="s">
        <v>132</v>
      </c>
      <c r="B1728" s="59">
        <v>35908</v>
      </c>
      <c r="C1728" s="57">
        <f>YEAR(表_查询来自_northwind3[[#This Row],[订购日期]])</f>
        <v>1998</v>
      </c>
      <c r="D1728" s="1">
        <v>591.6</v>
      </c>
    </row>
    <row r="1729" spans="1:4" x14ac:dyDescent="0.25">
      <c r="A1729" s="1" t="s">
        <v>133</v>
      </c>
      <c r="B1729" s="59">
        <v>35289</v>
      </c>
      <c r="C1729" s="57">
        <f>YEAR(表_查询来自_northwind3[[#This Row],[订购日期]])</f>
        <v>1996</v>
      </c>
      <c r="D1729" s="1">
        <v>280.8</v>
      </c>
    </row>
    <row r="1730" spans="1:4" x14ac:dyDescent="0.25">
      <c r="A1730" s="1" t="s">
        <v>133</v>
      </c>
      <c r="B1730" s="59">
        <v>35306</v>
      </c>
      <c r="C1730" s="57">
        <f>YEAR(表_查询来自_northwind3[[#This Row],[订购日期]])</f>
        <v>1996</v>
      </c>
      <c r="D1730" s="1">
        <v>175.5</v>
      </c>
    </row>
    <row r="1731" spans="1:4" x14ac:dyDescent="0.25">
      <c r="A1731" s="1" t="s">
        <v>133</v>
      </c>
      <c r="B1731" s="59">
        <v>35346</v>
      </c>
      <c r="C1731" s="57">
        <f>YEAR(表_查询来自_northwind3[[#This Row],[订购日期]])</f>
        <v>1996</v>
      </c>
      <c r="D1731" s="1">
        <v>2386.7999832630157</v>
      </c>
    </row>
    <row r="1732" spans="1:4" x14ac:dyDescent="0.25">
      <c r="A1732" s="1" t="s">
        <v>133</v>
      </c>
      <c r="B1732" s="59">
        <v>35410</v>
      </c>
      <c r="C1732" s="57">
        <f>YEAR(表_查询来自_northwind3[[#This Row],[订购日期]])</f>
        <v>1996</v>
      </c>
      <c r="D1732" s="1">
        <v>505.43999916315079</v>
      </c>
    </row>
    <row r="1733" spans="1:4" x14ac:dyDescent="0.25">
      <c r="A1733" s="1" t="s">
        <v>133</v>
      </c>
      <c r="B1733" s="59">
        <v>35432</v>
      </c>
      <c r="C1733" s="57">
        <f>YEAR(表_查询来自_northwind3[[#This Row],[订购日期]])</f>
        <v>1997</v>
      </c>
      <c r="D1733" s="1">
        <v>2281.5</v>
      </c>
    </row>
    <row r="1734" spans="1:4" x14ac:dyDescent="0.25">
      <c r="A1734" s="1" t="s">
        <v>133</v>
      </c>
      <c r="B1734" s="59">
        <v>35459</v>
      </c>
      <c r="C1734" s="57">
        <f>YEAR(表_查询来自_northwind3[[#This Row],[订购日期]])</f>
        <v>1997</v>
      </c>
      <c r="D1734" s="1">
        <v>921.375</v>
      </c>
    </row>
    <row r="1735" spans="1:4" x14ac:dyDescent="0.25">
      <c r="A1735" s="1" t="s">
        <v>133</v>
      </c>
      <c r="B1735" s="59">
        <v>35601</v>
      </c>
      <c r="C1735" s="57">
        <f>YEAR(表_查询来自_northwind3[[#This Row],[订购日期]])</f>
        <v>1997</v>
      </c>
      <c r="D1735" s="1">
        <v>263.39999999999998</v>
      </c>
    </row>
    <row r="1736" spans="1:4" x14ac:dyDescent="0.25">
      <c r="A1736" s="1" t="s">
        <v>133</v>
      </c>
      <c r="B1736" s="59">
        <v>35622</v>
      </c>
      <c r="C1736" s="57">
        <f>YEAR(表_查询来自_northwind3[[#This Row],[订购日期]])</f>
        <v>1997</v>
      </c>
      <c r="D1736" s="1">
        <v>842.87999686002729</v>
      </c>
    </row>
    <row r="1737" spans="1:4" x14ac:dyDescent="0.25">
      <c r="A1737" s="1" t="s">
        <v>133</v>
      </c>
      <c r="B1737" s="59">
        <v>35753</v>
      </c>
      <c r="C1737" s="57">
        <f>YEAR(表_查询来自_northwind3[[#This Row],[订购日期]])</f>
        <v>1997</v>
      </c>
      <c r="D1737" s="1">
        <v>395.1</v>
      </c>
    </row>
    <row r="1738" spans="1:4" x14ac:dyDescent="0.25">
      <c r="A1738" s="1" t="s">
        <v>133</v>
      </c>
      <c r="B1738" s="59">
        <v>35786</v>
      </c>
      <c r="C1738" s="57">
        <f>YEAR(表_查询来自_northwind3[[#This Row],[订购日期]])</f>
        <v>1997</v>
      </c>
      <c r="D1738" s="1">
        <v>1317</v>
      </c>
    </row>
    <row r="1739" spans="1:4" x14ac:dyDescent="0.25">
      <c r="A1739" s="1" t="s">
        <v>133</v>
      </c>
      <c r="B1739" s="59">
        <v>35857</v>
      </c>
      <c r="C1739" s="57">
        <f>YEAR(表_查询来自_northwind3[[#This Row],[订购日期]])</f>
        <v>1998</v>
      </c>
      <c r="D1739" s="1">
        <v>1756</v>
      </c>
    </row>
    <row r="1740" spans="1:4" x14ac:dyDescent="0.25">
      <c r="A1740" s="1" t="s">
        <v>133</v>
      </c>
      <c r="B1740" s="59">
        <v>35879</v>
      </c>
      <c r="C1740" s="57">
        <f>YEAR(表_查询来自_northwind3[[#This Row],[订购日期]])</f>
        <v>1998</v>
      </c>
      <c r="D1740" s="1">
        <v>439</v>
      </c>
    </row>
    <row r="1741" spans="1:4" x14ac:dyDescent="0.25">
      <c r="A1741" s="1" t="s">
        <v>133</v>
      </c>
      <c r="B1741" s="59">
        <v>35880</v>
      </c>
      <c r="C1741" s="57">
        <f>YEAR(表_查询来自_northwind3[[#This Row],[订购日期]])</f>
        <v>1998</v>
      </c>
      <c r="D1741" s="1">
        <v>878</v>
      </c>
    </row>
    <row r="1742" spans="1:4" x14ac:dyDescent="0.25">
      <c r="A1742" s="1" t="s">
        <v>133</v>
      </c>
      <c r="B1742" s="59">
        <v>35880</v>
      </c>
      <c r="C1742" s="57">
        <f>YEAR(表_查询来自_northwind3[[#This Row],[订购日期]])</f>
        <v>1998</v>
      </c>
      <c r="D1742" s="1">
        <v>1536.5</v>
      </c>
    </row>
    <row r="1743" spans="1:4" x14ac:dyDescent="0.25">
      <c r="A1743" s="1" t="s">
        <v>133</v>
      </c>
      <c r="B1743" s="59">
        <v>35901</v>
      </c>
      <c r="C1743" s="57">
        <f>YEAR(表_查询来自_northwind3[[#This Row],[订购日期]])</f>
        <v>1998</v>
      </c>
      <c r="D1743" s="1">
        <v>526.79999999999995</v>
      </c>
    </row>
    <row r="1744" spans="1:4" x14ac:dyDescent="0.25">
      <c r="A1744" s="1" t="s">
        <v>133</v>
      </c>
      <c r="B1744" s="59">
        <v>35907</v>
      </c>
      <c r="C1744" s="57">
        <f>YEAR(表_查询来自_northwind3[[#This Row],[订购日期]])</f>
        <v>1998</v>
      </c>
      <c r="D1744" s="1">
        <v>1317</v>
      </c>
    </row>
    <row r="1745" spans="1:4" x14ac:dyDescent="0.25">
      <c r="A1745" s="1" t="s">
        <v>134</v>
      </c>
      <c r="B1745" s="59">
        <v>35303</v>
      </c>
      <c r="C1745" s="57">
        <f>YEAR(表_查询来自_northwind3[[#This Row],[订购日期]])</f>
        <v>1996</v>
      </c>
      <c r="D1745" s="1">
        <v>239.4</v>
      </c>
    </row>
    <row r="1746" spans="1:4" x14ac:dyDescent="0.25">
      <c r="A1746" s="1" t="s">
        <v>134</v>
      </c>
      <c r="B1746" s="59">
        <v>35369</v>
      </c>
      <c r="C1746" s="57">
        <f>YEAR(表_查询来自_northwind3[[#This Row],[订购日期]])</f>
        <v>1996</v>
      </c>
      <c r="D1746" s="1">
        <v>1330</v>
      </c>
    </row>
    <row r="1747" spans="1:4" x14ac:dyDescent="0.25">
      <c r="A1747" s="1" t="s">
        <v>134</v>
      </c>
      <c r="B1747" s="59">
        <v>35398</v>
      </c>
      <c r="C1747" s="57">
        <f>YEAR(表_查询来自_northwind3[[#This Row],[订购日期]])</f>
        <v>1996</v>
      </c>
      <c r="D1747" s="1">
        <v>837.89999861270189</v>
      </c>
    </row>
    <row r="1748" spans="1:4" x14ac:dyDescent="0.25">
      <c r="A1748" s="1" t="s">
        <v>134</v>
      </c>
      <c r="B1748" s="59">
        <v>35402</v>
      </c>
      <c r="C1748" s="57">
        <f>YEAR(表_查询来自_northwind3[[#This Row],[订购日期]])</f>
        <v>1996</v>
      </c>
      <c r="D1748" s="1">
        <v>798</v>
      </c>
    </row>
    <row r="1749" spans="1:4" x14ac:dyDescent="0.25">
      <c r="A1749" s="1" t="s">
        <v>134</v>
      </c>
      <c r="B1749" s="59">
        <v>35457</v>
      </c>
      <c r="C1749" s="57">
        <f>YEAR(表_查询来自_northwind3[[#This Row],[订购日期]])</f>
        <v>1997</v>
      </c>
      <c r="D1749" s="1">
        <v>186.2</v>
      </c>
    </row>
    <row r="1750" spans="1:4" x14ac:dyDescent="0.25">
      <c r="A1750" s="1" t="s">
        <v>134</v>
      </c>
      <c r="B1750" s="59">
        <v>35466</v>
      </c>
      <c r="C1750" s="57">
        <f>YEAR(表_查询来自_northwind3[[#This Row],[订购日期]])</f>
        <v>1997</v>
      </c>
      <c r="D1750" s="1">
        <v>718.19999881088734</v>
      </c>
    </row>
    <row r="1751" spans="1:4" x14ac:dyDescent="0.25">
      <c r="A1751" s="1" t="s">
        <v>134</v>
      </c>
      <c r="B1751" s="59">
        <v>35468</v>
      </c>
      <c r="C1751" s="57">
        <f>YEAR(表_查询来自_northwind3[[#This Row],[订购日期]])</f>
        <v>1997</v>
      </c>
      <c r="D1751" s="1">
        <v>159.6</v>
      </c>
    </row>
    <row r="1752" spans="1:4" x14ac:dyDescent="0.25">
      <c r="A1752" s="1" t="s">
        <v>134</v>
      </c>
      <c r="B1752" s="59">
        <v>35480</v>
      </c>
      <c r="C1752" s="57">
        <f>YEAR(表_查询来自_northwind3[[#This Row],[订购日期]])</f>
        <v>1997</v>
      </c>
      <c r="D1752" s="1">
        <v>837.89999861270189</v>
      </c>
    </row>
    <row r="1753" spans="1:4" x14ac:dyDescent="0.25">
      <c r="A1753" s="1" t="s">
        <v>134</v>
      </c>
      <c r="B1753" s="59">
        <v>35500</v>
      </c>
      <c r="C1753" s="57">
        <f>YEAR(表_查询来自_northwind3[[#This Row],[订购日期]])</f>
        <v>1997</v>
      </c>
      <c r="D1753" s="1">
        <v>212.8</v>
      </c>
    </row>
    <row r="1754" spans="1:4" x14ac:dyDescent="0.25">
      <c r="A1754" s="1" t="s">
        <v>134</v>
      </c>
      <c r="B1754" s="59">
        <v>35508</v>
      </c>
      <c r="C1754" s="57">
        <f>YEAR(表_查询来自_northwind3[[#This Row],[订购日期]])</f>
        <v>1997</v>
      </c>
      <c r="D1754" s="1">
        <v>798</v>
      </c>
    </row>
    <row r="1755" spans="1:4" x14ac:dyDescent="0.25">
      <c r="A1755" s="1" t="s">
        <v>134</v>
      </c>
      <c r="B1755" s="59">
        <v>35584</v>
      </c>
      <c r="C1755" s="57">
        <f>YEAR(表_查询来自_northwind3[[#This Row],[订购日期]])</f>
        <v>1997</v>
      </c>
      <c r="D1755" s="1">
        <v>997.5</v>
      </c>
    </row>
    <row r="1756" spans="1:4" x14ac:dyDescent="0.25">
      <c r="A1756" s="1" t="s">
        <v>134</v>
      </c>
      <c r="B1756" s="59">
        <v>35592</v>
      </c>
      <c r="C1756" s="57">
        <f>YEAR(表_查询来自_northwind3[[#This Row],[订购日期]])</f>
        <v>1997</v>
      </c>
      <c r="D1756" s="1">
        <v>538.6499991081655</v>
      </c>
    </row>
    <row r="1757" spans="1:4" x14ac:dyDescent="0.25">
      <c r="A1757" s="1" t="s">
        <v>134</v>
      </c>
      <c r="B1757" s="59">
        <v>35600</v>
      </c>
      <c r="C1757" s="57">
        <f>YEAR(表_查询来自_northwind3[[#This Row],[订购日期]])</f>
        <v>1997</v>
      </c>
      <c r="D1757" s="1">
        <v>199.5</v>
      </c>
    </row>
    <row r="1758" spans="1:4" x14ac:dyDescent="0.25">
      <c r="A1758" s="1" t="s">
        <v>134</v>
      </c>
      <c r="B1758" s="59">
        <v>35654</v>
      </c>
      <c r="C1758" s="57">
        <f>YEAR(表_查询来自_northwind3[[#This Row],[订购日期]])</f>
        <v>1997</v>
      </c>
      <c r="D1758" s="1">
        <v>299.25</v>
      </c>
    </row>
    <row r="1759" spans="1:4" x14ac:dyDescent="0.25">
      <c r="A1759" s="1" t="s">
        <v>134</v>
      </c>
      <c r="B1759" s="59">
        <v>35688</v>
      </c>
      <c r="C1759" s="57">
        <f>YEAR(表_查询来自_northwind3[[#This Row],[订购日期]])</f>
        <v>1997</v>
      </c>
      <c r="D1759" s="1">
        <v>448.87499925680459</v>
      </c>
    </row>
    <row r="1760" spans="1:4" x14ac:dyDescent="0.25">
      <c r="A1760" s="1" t="s">
        <v>134</v>
      </c>
      <c r="B1760" s="59">
        <v>35698</v>
      </c>
      <c r="C1760" s="57">
        <f>YEAR(表_查询来自_northwind3[[#This Row],[订购日期]])</f>
        <v>1997</v>
      </c>
      <c r="D1760" s="1">
        <v>931</v>
      </c>
    </row>
    <row r="1761" spans="1:4" x14ac:dyDescent="0.25">
      <c r="A1761" s="1" t="s">
        <v>134</v>
      </c>
      <c r="B1761" s="59">
        <v>35761</v>
      </c>
      <c r="C1761" s="57">
        <f>YEAR(表_查询来自_northwind3[[#This Row],[订购日期]])</f>
        <v>1997</v>
      </c>
      <c r="D1761" s="1">
        <v>798</v>
      </c>
    </row>
    <row r="1762" spans="1:4" x14ac:dyDescent="0.25">
      <c r="A1762" s="1" t="s">
        <v>134</v>
      </c>
      <c r="B1762" s="59">
        <v>35789</v>
      </c>
      <c r="C1762" s="57">
        <f>YEAR(表_查询来自_northwind3[[#This Row],[订购日期]])</f>
        <v>1997</v>
      </c>
      <c r="D1762" s="1">
        <v>930.99999653175473</v>
      </c>
    </row>
    <row r="1763" spans="1:4" x14ac:dyDescent="0.25">
      <c r="A1763" s="1" t="s">
        <v>134</v>
      </c>
      <c r="B1763" s="59">
        <v>35809</v>
      </c>
      <c r="C1763" s="57">
        <f>YEAR(表_查询来自_northwind3[[#This Row],[订购日期]])</f>
        <v>1998</v>
      </c>
      <c r="D1763" s="1">
        <v>99.75</v>
      </c>
    </row>
    <row r="1764" spans="1:4" x14ac:dyDescent="0.25">
      <c r="A1764" s="1" t="s">
        <v>134</v>
      </c>
      <c r="B1764" s="59">
        <v>35811</v>
      </c>
      <c r="C1764" s="57">
        <f>YEAR(表_查询来自_northwind3[[#This Row],[订购日期]])</f>
        <v>1998</v>
      </c>
      <c r="D1764" s="1">
        <v>997.5</v>
      </c>
    </row>
    <row r="1765" spans="1:4" x14ac:dyDescent="0.25">
      <c r="A1765" s="1" t="s">
        <v>134</v>
      </c>
      <c r="B1765" s="59">
        <v>35816</v>
      </c>
      <c r="C1765" s="57">
        <f>YEAR(表_查询来自_northwind3[[#This Row],[订购日期]])</f>
        <v>1998</v>
      </c>
      <c r="D1765" s="1">
        <v>1596</v>
      </c>
    </row>
    <row r="1766" spans="1:4" x14ac:dyDescent="0.25">
      <c r="A1766" s="1" t="s">
        <v>134</v>
      </c>
      <c r="B1766" s="59">
        <v>35824</v>
      </c>
      <c r="C1766" s="57">
        <f>YEAR(表_查询来自_northwind3[[#This Row],[订购日期]])</f>
        <v>1998</v>
      </c>
      <c r="D1766" s="1">
        <v>748.125</v>
      </c>
    </row>
    <row r="1767" spans="1:4" x14ac:dyDescent="0.25">
      <c r="A1767" s="1" t="s">
        <v>134</v>
      </c>
      <c r="B1767" s="59">
        <v>35831</v>
      </c>
      <c r="C1767" s="57">
        <f>YEAR(表_查询来自_northwind3[[#This Row],[订购日期]])</f>
        <v>1998</v>
      </c>
      <c r="D1767" s="1">
        <v>473.81249962840229</v>
      </c>
    </row>
    <row r="1768" spans="1:4" x14ac:dyDescent="0.25">
      <c r="A1768" s="1" t="s">
        <v>134</v>
      </c>
      <c r="B1768" s="59">
        <v>35835</v>
      </c>
      <c r="C1768" s="57">
        <f>YEAR(表_查询来自_northwind3[[#This Row],[订购日期]])</f>
        <v>1998</v>
      </c>
      <c r="D1768" s="1">
        <v>665</v>
      </c>
    </row>
    <row r="1769" spans="1:4" x14ac:dyDescent="0.25">
      <c r="A1769" s="1" t="s">
        <v>134</v>
      </c>
      <c r="B1769" s="59">
        <v>35872</v>
      </c>
      <c r="C1769" s="57">
        <f>YEAR(表_查询来自_northwind3[[#This Row],[订购日期]])</f>
        <v>1998</v>
      </c>
      <c r="D1769" s="1">
        <v>266</v>
      </c>
    </row>
    <row r="1770" spans="1:4" x14ac:dyDescent="0.25">
      <c r="A1770" s="1" t="s">
        <v>134</v>
      </c>
      <c r="B1770" s="59">
        <v>35877</v>
      </c>
      <c r="C1770" s="57">
        <f>YEAR(表_查询来自_northwind3[[#This Row],[订购日期]])</f>
        <v>1998</v>
      </c>
      <c r="D1770" s="1">
        <v>133</v>
      </c>
    </row>
    <row r="1771" spans="1:4" x14ac:dyDescent="0.25">
      <c r="A1771" s="1" t="s">
        <v>134</v>
      </c>
      <c r="B1771" s="59">
        <v>35902</v>
      </c>
      <c r="C1771" s="57">
        <f>YEAR(表_查询来自_northwind3[[#This Row],[订购日期]])</f>
        <v>1998</v>
      </c>
      <c r="D1771" s="1">
        <v>665</v>
      </c>
    </row>
    <row r="1772" spans="1:4" x14ac:dyDescent="0.25">
      <c r="A1772" s="1" t="s">
        <v>134</v>
      </c>
      <c r="B1772" s="59">
        <v>35912</v>
      </c>
      <c r="C1772" s="57">
        <f>YEAR(表_查询来自_northwind3[[#This Row],[订购日期]])</f>
        <v>1998</v>
      </c>
      <c r="D1772" s="1">
        <v>664.99999752268195</v>
      </c>
    </row>
    <row r="1773" spans="1:4" x14ac:dyDescent="0.25">
      <c r="A1773" s="1" t="s">
        <v>134</v>
      </c>
      <c r="B1773" s="59">
        <v>35920</v>
      </c>
      <c r="C1773" s="57">
        <f>YEAR(表_查询来自_northwind3[[#This Row],[订购日期]])</f>
        <v>1998</v>
      </c>
      <c r="D1773" s="1">
        <v>4322.5</v>
      </c>
    </row>
    <row r="1774" spans="1:4" x14ac:dyDescent="0.25">
      <c r="A1774" s="1" t="s">
        <v>134</v>
      </c>
      <c r="B1774" s="59">
        <v>35921</v>
      </c>
      <c r="C1774" s="57">
        <f>YEAR(表_查询来自_northwind3[[#This Row],[订购日期]])</f>
        <v>1998</v>
      </c>
      <c r="D1774" s="1">
        <v>64.505000044591725</v>
      </c>
    </row>
    <row r="1775" spans="1:4" x14ac:dyDescent="0.25">
      <c r="A1775" s="1" t="s">
        <v>135</v>
      </c>
      <c r="B1775" s="59">
        <v>35254</v>
      </c>
      <c r="C1775" s="57">
        <f>YEAR(表_查询来自_northwind3[[#This Row],[订购日期]])</f>
        <v>1996</v>
      </c>
      <c r="D1775" s="1">
        <v>214.19999849796295</v>
      </c>
    </row>
    <row r="1776" spans="1:4" x14ac:dyDescent="0.25">
      <c r="A1776" s="1" t="s">
        <v>135</v>
      </c>
      <c r="B1776" s="59">
        <v>35254</v>
      </c>
      <c r="C1776" s="57">
        <f>YEAR(表_查询来自_northwind3[[#This Row],[订购日期]])</f>
        <v>1996</v>
      </c>
      <c r="D1776" s="1">
        <v>336</v>
      </c>
    </row>
    <row r="1777" spans="1:4" x14ac:dyDescent="0.25">
      <c r="A1777" s="1" t="s">
        <v>135</v>
      </c>
      <c r="B1777" s="59">
        <v>35319</v>
      </c>
      <c r="C1777" s="57">
        <f>YEAR(表_查询来自_northwind3[[#This Row],[订购日期]])</f>
        <v>1996</v>
      </c>
      <c r="D1777" s="1">
        <v>453.59999924898148</v>
      </c>
    </row>
    <row r="1778" spans="1:4" x14ac:dyDescent="0.25">
      <c r="A1778" s="1" t="s">
        <v>135</v>
      </c>
      <c r="B1778" s="59">
        <v>35352</v>
      </c>
      <c r="C1778" s="57">
        <f>YEAR(表_查询来自_northwind3[[#This Row],[订购日期]])</f>
        <v>1996</v>
      </c>
      <c r="D1778" s="1">
        <v>672</v>
      </c>
    </row>
    <row r="1779" spans="1:4" x14ac:dyDescent="0.25">
      <c r="A1779" s="1" t="s">
        <v>135</v>
      </c>
      <c r="B1779" s="59">
        <v>35380</v>
      </c>
      <c r="C1779" s="57">
        <f>YEAR(表_查询来自_northwind3[[#This Row],[订购日期]])</f>
        <v>1996</v>
      </c>
      <c r="D1779" s="1">
        <v>159.59999987483025</v>
      </c>
    </row>
    <row r="1780" spans="1:4" x14ac:dyDescent="0.25">
      <c r="A1780" s="1" t="s">
        <v>135</v>
      </c>
      <c r="B1780" s="59">
        <v>35397</v>
      </c>
      <c r="C1780" s="57">
        <f>YEAR(表_查询来自_northwind3[[#This Row],[订购日期]])</f>
        <v>1996</v>
      </c>
      <c r="D1780" s="1">
        <v>84</v>
      </c>
    </row>
    <row r="1781" spans="1:4" x14ac:dyDescent="0.25">
      <c r="A1781" s="1" t="s">
        <v>135</v>
      </c>
      <c r="B1781" s="59">
        <v>35397</v>
      </c>
      <c r="C1781" s="57">
        <f>YEAR(表_查询来自_northwind3[[#This Row],[订购日期]])</f>
        <v>1996</v>
      </c>
      <c r="D1781" s="1">
        <v>252</v>
      </c>
    </row>
    <row r="1782" spans="1:4" x14ac:dyDescent="0.25">
      <c r="A1782" s="1" t="s">
        <v>135</v>
      </c>
      <c r="B1782" s="59">
        <v>35410</v>
      </c>
      <c r="C1782" s="57">
        <f>YEAR(表_查询来自_northwind3[[#This Row],[订购日期]])</f>
        <v>1996</v>
      </c>
      <c r="D1782" s="1">
        <v>302.39999949932098</v>
      </c>
    </row>
    <row r="1783" spans="1:4" x14ac:dyDescent="0.25">
      <c r="A1783" s="1" t="s">
        <v>135</v>
      </c>
      <c r="B1783" s="59">
        <v>35431</v>
      </c>
      <c r="C1783" s="57">
        <f>YEAR(表_查询来自_northwind3[[#This Row],[订购日期]])</f>
        <v>1997</v>
      </c>
      <c r="D1783" s="1">
        <v>336</v>
      </c>
    </row>
    <row r="1784" spans="1:4" x14ac:dyDescent="0.25">
      <c r="A1784" s="1" t="s">
        <v>135</v>
      </c>
      <c r="B1784" s="59">
        <v>35475</v>
      </c>
      <c r="C1784" s="57">
        <f>YEAR(表_查询来自_northwind3[[#This Row],[订购日期]])</f>
        <v>1997</v>
      </c>
      <c r="D1784" s="1">
        <v>588</v>
      </c>
    </row>
    <row r="1785" spans="1:4" x14ac:dyDescent="0.25">
      <c r="A1785" s="1" t="s">
        <v>135</v>
      </c>
      <c r="B1785" s="59">
        <v>35480</v>
      </c>
      <c r="C1785" s="57">
        <f>YEAR(表_查询来自_northwind3[[#This Row],[订购日期]])</f>
        <v>1997</v>
      </c>
      <c r="D1785" s="1">
        <v>423.35999929904938</v>
      </c>
    </row>
    <row r="1786" spans="1:4" x14ac:dyDescent="0.25">
      <c r="A1786" s="1" t="s">
        <v>135</v>
      </c>
      <c r="B1786" s="59">
        <v>35522</v>
      </c>
      <c r="C1786" s="57">
        <f>YEAR(表_查询来自_northwind3[[#This Row],[订购日期]])</f>
        <v>1997</v>
      </c>
      <c r="D1786" s="1">
        <v>226.79999962449074</v>
      </c>
    </row>
    <row r="1787" spans="1:4" x14ac:dyDescent="0.25">
      <c r="A1787" s="1" t="s">
        <v>135</v>
      </c>
      <c r="B1787" s="59">
        <v>35531</v>
      </c>
      <c r="C1787" s="57">
        <f>YEAR(表_查询来自_northwind3[[#This Row],[订购日期]])</f>
        <v>1997</v>
      </c>
      <c r="D1787" s="1">
        <v>421</v>
      </c>
    </row>
    <row r="1788" spans="1:4" x14ac:dyDescent="0.25">
      <c r="A1788" s="1" t="s">
        <v>135</v>
      </c>
      <c r="B1788" s="59">
        <v>35542</v>
      </c>
      <c r="C1788" s="57">
        <f>YEAR(表_查询来自_northwind3[[#This Row],[订购日期]])</f>
        <v>1997</v>
      </c>
      <c r="D1788" s="1">
        <v>820.95</v>
      </c>
    </row>
    <row r="1789" spans="1:4" x14ac:dyDescent="0.25">
      <c r="A1789" s="1" t="s">
        <v>135</v>
      </c>
      <c r="B1789" s="59">
        <v>35569</v>
      </c>
      <c r="C1789" s="57">
        <f>YEAR(表_查询来自_northwind3[[#This Row],[订购日期]])</f>
        <v>1997</v>
      </c>
      <c r="D1789" s="1">
        <v>682.01999887079</v>
      </c>
    </row>
    <row r="1790" spans="1:4" x14ac:dyDescent="0.25">
      <c r="A1790" s="1" t="s">
        <v>135</v>
      </c>
      <c r="B1790" s="59">
        <v>35607</v>
      </c>
      <c r="C1790" s="57">
        <f>YEAR(表_查询来自_northwind3[[#This Row],[订购日期]])</f>
        <v>1997</v>
      </c>
      <c r="D1790" s="1">
        <v>599.92499952949584</v>
      </c>
    </row>
    <row r="1791" spans="1:4" x14ac:dyDescent="0.25">
      <c r="A1791" s="1" t="s">
        <v>135</v>
      </c>
      <c r="B1791" s="59">
        <v>35622</v>
      </c>
      <c r="C1791" s="57">
        <f>YEAR(表_查询来自_northwind3[[#This Row],[订购日期]])</f>
        <v>1997</v>
      </c>
      <c r="D1791" s="1">
        <v>202.07999924719334</v>
      </c>
    </row>
    <row r="1792" spans="1:4" x14ac:dyDescent="0.25">
      <c r="A1792" s="1" t="s">
        <v>135</v>
      </c>
      <c r="B1792" s="59">
        <v>35662</v>
      </c>
      <c r="C1792" s="57">
        <f>YEAR(表_查询来自_northwind3[[#This Row],[订购日期]])</f>
        <v>1997</v>
      </c>
      <c r="D1792" s="1">
        <v>442.05</v>
      </c>
    </row>
    <row r="1793" spans="1:4" x14ac:dyDescent="0.25">
      <c r="A1793" s="1" t="s">
        <v>135</v>
      </c>
      <c r="B1793" s="59">
        <v>35683</v>
      </c>
      <c r="C1793" s="57">
        <f>YEAR(表_查询来自_northwind3[[#This Row],[订购日期]])</f>
        <v>1997</v>
      </c>
      <c r="D1793" s="1">
        <v>268.38749811798334</v>
      </c>
    </row>
    <row r="1794" spans="1:4" x14ac:dyDescent="0.25">
      <c r="A1794" s="1" t="s">
        <v>135</v>
      </c>
      <c r="B1794" s="59">
        <v>35685</v>
      </c>
      <c r="C1794" s="57">
        <f>YEAR(表_查询来自_northwind3[[#This Row],[订购日期]])</f>
        <v>1997</v>
      </c>
      <c r="D1794" s="1">
        <v>210.5</v>
      </c>
    </row>
    <row r="1795" spans="1:4" x14ac:dyDescent="0.25">
      <c r="A1795" s="1" t="s">
        <v>135</v>
      </c>
      <c r="B1795" s="59">
        <v>35690</v>
      </c>
      <c r="C1795" s="57">
        <f>YEAR(表_查询来自_northwind3[[#This Row],[订购日期]])</f>
        <v>1997</v>
      </c>
      <c r="D1795" s="1">
        <v>252.6</v>
      </c>
    </row>
    <row r="1796" spans="1:4" x14ac:dyDescent="0.25">
      <c r="A1796" s="1" t="s">
        <v>135</v>
      </c>
      <c r="B1796" s="59">
        <v>35712</v>
      </c>
      <c r="C1796" s="57">
        <f>YEAR(表_查询来自_northwind3[[#This Row],[订购日期]])</f>
        <v>1997</v>
      </c>
      <c r="D1796" s="1">
        <v>1299.8374989805743</v>
      </c>
    </row>
    <row r="1797" spans="1:4" x14ac:dyDescent="0.25">
      <c r="A1797" s="1" t="s">
        <v>135</v>
      </c>
      <c r="B1797" s="59">
        <v>35739</v>
      </c>
      <c r="C1797" s="57">
        <f>YEAR(表_查询来自_northwind3[[#This Row],[订购日期]])</f>
        <v>1997</v>
      </c>
      <c r="D1797" s="1">
        <v>199.97499984316528</v>
      </c>
    </row>
    <row r="1798" spans="1:4" x14ac:dyDescent="0.25">
      <c r="A1798" s="1" t="s">
        <v>135</v>
      </c>
      <c r="B1798" s="59">
        <v>35745</v>
      </c>
      <c r="C1798" s="57">
        <f>YEAR(表_查询来自_northwind3[[#This Row],[订购日期]])</f>
        <v>1997</v>
      </c>
      <c r="D1798" s="1">
        <v>842</v>
      </c>
    </row>
    <row r="1799" spans="1:4" x14ac:dyDescent="0.25">
      <c r="A1799" s="1" t="s">
        <v>135</v>
      </c>
      <c r="B1799" s="59">
        <v>35768</v>
      </c>
      <c r="C1799" s="57">
        <f>YEAR(表_查询来自_northwind3[[#This Row],[订购日期]])</f>
        <v>1997</v>
      </c>
      <c r="D1799" s="1">
        <v>1515.5999974906445</v>
      </c>
    </row>
    <row r="1800" spans="1:4" x14ac:dyDescent="0.25">
      <c r="A1800" s="1" t="s">
        <v>135</v>
      </c>
      <c r="B1800" s="59">
        <v>35795</v>
      </c>
      <c r="C1800" s="57">
        <f>YEAR(表_查询来自_northwind3[[#This Row],[订购日期]])</f>
        <v>1997</v>
      </c>
      <c r="D1800" s="1">
        <v>42.1</v>
      </c>
    </row>
    <row r="1801" spans="1:4" x14ac:dyDescent="0.25">
      <c r="A1801" s="1" t="s">
        <v>135</v>
      </c>
      <c r="B1801" s="59">
        <v>35822</v>
      </c>
      <c r="C1801" s="57">
        <f>YEAR(表_查询来自_northwind3[[#This Row],[订购日期]])</f>
        <v>1998</v>
      </c>
      <c r="D1801" s="1">
        <v>268.38749811798334</v>
      </c>
    </row>
    <row r="1802" spans="1:4" x14ac:dyDescent="0.25">
      <c r="A1802" s="1" t="s">
        <v>135</v>
      </c>
      <c r="B1802" s="59">
        <v>35831</v>
      </c>
      <c r="C1802" s="57">
        <f>YEAR(表_查询来自_northwind3[[#This Row],[订购日期]])</f>
        <v>1998</v>
      </c>
      <c r="D1802" s="1">
        <v>419.94749967064712</v>
      </c>
    </row>
    <row r="1803" spans="1:4" x14ac:dyDescent="0.25">
      <c r="A1803" s="1" t="s">
        <v>135</v>
      </c>
      <c r="B1803" s="59">
        <v>35836</v>
      </c>
      <c r="C1803" s="57">
        <f>YEAR(表_查询来自_northwind3[[#This Row],[订购日期]])</f>
        <v>1998</v>
      </c>
      <c r="D1803" s="1">
        <v>210.5</v>
      </c>
    </row>
    <row r="1804" spans="1:4" x14ac:dyDescent="0.25">
      <c r="A1804" s="1" t="s">
        <v>135</v>
      </c>
      <c r="B1804" s="59">
        <v>35838</v>
      </c>
      <c r="C1804" s="57">
        <f>YEAR(表_查询来自_northwind3[[#This Row],[订购日期]])</f>
        <v>1998</v>
      </c>
      <c r="D1804" s="1">
        <v>239.96999981179832</v>
      </c>
    </row>
    <row r="1805" spans="1:4" x14ac:dyDescent="0.25">
      <c r="A1805" s="1" t="s">
        <v>135</v>
      </c>
      <c r="B1805" s="59">
        <v>35850</v>
      </c>
      <c r="C1805" s="57">
        <f>YEAR(表_查询来自_northwind3[[#This Row],[订购日期]])</f>
        <v>1998</v>
      </c>
      <c r="D1805" s="1">
        <v>442.05</v>
      </c>
    </row>
    <row r="1806" spans="1:4" x14ac:dyDescent="0.25">
      <c r="A1806" s="1" t="s">
        <v>135</v>
      </c>
      <c r="B1806" s="59">
        <v>35900</v>
      </c>
      <c r="C1806" s="57">
        <f>YEAR(表_查询来自_northwind3[[#This Row],[订购日期]])</f>
        <v>1998</v>
      </c>
      <c r="D1806" s="1">
        <v>442.05</v>
      </c>
    </row>
    <row r="1807" spans="1:4" x14ac:dyDescent="0.25">
      <c r="A1807" s="1" t="s">
        <v>136</v>
      </c>
      <c r="B1807" s="59">
        <v>35317</v>
      </c>
      <c r="C1807" s="57">
        <f>YEAR(表_查询来自_northwind3[[#This Row],[订购日期]])</f>
        <v>1996</v>
      </c>
      <c r="D1807" s="1">
        <v>408</v>
      </c>
    </row>
    <row r="1808" spans="1:4" x14ac:dyDescent="0.25">
      <c r="A1808" s="1" t="s">
        <v>136</v>
      </c>
      <c r="B1808" s="59">
        <v>35472</v>
      </c>
      <c r="C1808" s="57">
        <f>YEAR(表_查询来自_northwind3[[#This Row],[订购日期]])</f>
        <v>1997</v>
      </c>
      <c r="D1808" s="1">
        <v>816</v>
      </c>
    </row>
    <row r="1809" spans="1:4" x14ac:dyDescent="0.25">
      <c r="A1809" s="1" t="s">
        <v>136</v>
      </c>
      <c r="B1809" s="59">
        <v>35503</v>
      </c>
      <c r="C1809" s="57">
        <f>YEAR(表_查询来自_northwind3[[#This Row],[订购日期]])</f>
        <v>1997</v>
      </c>
      <c r="D1809" s="1">
        <v>693.59999513626099</v>
      </c>
    </row>
    <row r="1810" spans="1:4" x14ac:dyDescent="0.25">
      <c r="A1810" s="1" t="s">
        <v>136</v>
      </c>
      <c r="B1810" s="59">
        <v>35522</v>
      </c>
      <c r="C1810" s="57">
        <f>YEAR(表_查询来自_northwind3[[#This Row],[订购日期]])</f>
        <v>1997</v>
      </c>
      <c r="D1810" s="1">
        <v>122.39999979734421</v>
      </c>
    </row>
    <row r="1811" spans="1:4" x14ac:dyDescent="0.25">
      <c r="A1811" s="1" t="s">
        <v>136</v>
      </c>
      <c r="B1811" s="59">
        <v>35559</v>
      </c>
      <c r="C1811" s="57">
        <f>YEAR(表_查询来自_northwind3[[#This Row],[订购日期]])</f>
        <v>1997</v>
      </c>
      <c r="D1811" s="1">
        <v>408</v>
      </c>
    </row>
    <row r="1812" spans="1:4" x14ac:dyDescent="0.25">
      <c r="A1812" s="1" t="s">
        <v>136</v>
      </c>
      <c r="B1812" s="59">
        <v>35698</v>
      </c>
      <c r="C1812" s="57">
        <f>YEAR(表_查询来自_northwind3[[#This Row],[订购日期]])</f>
        <v>1997</v>
      </c>
      <c r="D1812" s="1">
        <v>68</v>
      </c>
    </row>
    <row r="1813" spans="1:4" x14ac:dyDescent="0.25">
      <c r="A1813" s="1" t="s">
        <v>136</v>
      </c>
      <c r="B1813" s="59">
        <v>35775</v>
      </c>
      <c r="C1813" s="57">
        <f>YEAR(表_查询来自_northwind3[[#This Row],[订购日期]])</f>
        <v>1997</v>
      </c>
      <c r="D1813" s="1">
        <v>850</v>
      </c>
    </row>
    <row r="1814" spans="1:4" x14ac:dyDescent="0.25">
      <c r="A1814" s="1" t="s">
        <v>136</v>
      </c>
      <c r="B1814" s="59">
        <v>35921</v>
      </c>
      <c r="C1814" s="57">
        <f>YEAR(表_查询来自_northwind3[[#This Row],[订购日期]])</f>
        <v>1998</v>
      </c>
      <c r="D1814" s="1">
        <v>17</v>
      </c>
    </row>
    <row r="1815" spans="1:4" x14ac:dyDescent="0.25">
      <c r="A1815" s="1" t="s">
        <v>137</v>
      </c>
      <c r="B1815" s="59">
        <v>35296</v>
      </c>
      <c r="C1815" s="57">
        <f>YEAR(表_查询来自_northwind3[[#This Row],[订购日期]])</f>
        <v>1996</v>
      </c>
      <c r="D1815" s="1">
        <v>42</v>
      </c>
    </row>
    <row r="1816" spans="1:4" x14ac:dyDescent="0.25">
      <c r="A1816" s="1" t="s">
        <v>137</v>
      </c>
      <c r="B1816" s="59">
        <v>35530</v>
      </c>
      <c r="C1816" s="57">
        <f>YEAR(表_查询来自_northwind3[[#This Row],[订购日期]])</f>
        <v>1997</v>
      </c>
      <c r="D1816" s="1">
        <v>420</v>
      </c>
    </row>
    <row r="1817" spans="1:4" x14ac:dyDescent="0.25">
      <c r="A1817" s="1" t="s">
        <v>137</v>
      </c>
      <c r="B1817" s="59">
        <v>35571</v>
      </c>
      <c r="C1817" s="57">
        <f>YEAR(表_查询来自_northwind3[[#This Row],[订购日期]])</f>
        <v>1997</v>
      </c>
      <c r="D1817" s="1">
        <v>98</v>
      </c>
    </row>
    <row r="1818" spans="1:4" x14ac:dyDescent="0.25">
      <c r="A1818" s="1" t="s">
        <v>137</v>
      </c>
      <c r="B1818" s="59">
        <v>35689</v>
      </c>
      <c r="C1818" s="57">
        <f>YEAR(表_查询来自_northwind3[[#This Row],[订购日期]])</f>
        <v>1997</v>
      </c>
      <c r="D1818" s="1">
        <v>350</v>
      </c>
    </row>
    <row r="1819" spans="1:4" x14ac:dyDescent="0.25">
      <c r="A1819" s="1" t="s">
        <v>137</v>
      </c>
      <c r="B1819" s="59">
        <v>35776</v>
      </c>
      <c r="C1819" s="57">
        <f>YEAR(表_查询来自_northwind3[[#This Row],[订购日期]])</f>
        <v>1997</v>
      </c>
      <c r="D1819" s="1">
        <v>42</v>
      </c>
    </row>
    <row r="1820" spans="1:4" x14ac:dyDescent="0.25">
      <c r="A1820" s="1" t="s">
        <v>137</v>
      </c>
      <c r="B1820" s="59">
        <v>35828</v>
      </c>
      <c r="C1820" s="57">
        <f>YEAR(表_查询来自_northwind3[[#This Row],[订购日期]])</f>
        <v>1998</v>
      </c>
      <c r="D1820" s="1">
        <v>210</v>
      </c>
    </row>
    <row r="1821" spans="1:4" x14ac:dyDescent="0.25">
      <c r="A1821" s="1" t="s">
        <v>137</v>
      </c>
      <c r="B1821" s="59">
        <v>35852</v>
      </c>
      <c r="C1821" s="57">
        <f>YEAR(表_查询来自_northwind3[[#This Row],[订购日期]])</f>
        <v>1998</v>
      </c>
      <c r="D1821" s="1">
        <v>210</v>
      </c>
    </row>
    <row r="1822" spans="1:4" x14ac:dyDescent="0.25">
      <c r="A1822" s="1" t="s">
        <v>137</v>
      </c>
      <c r="B1822" s="59">
        <v>35857</v>
      </c>
      <c r="C1822" s="57">
        <f>YEAR(表_查询来自_northwind3[[#This Row],[订购日期]])</f>
        <v>1998</v>
      </c>
      <c r="D1822" s="1">
        <v>268.79999899864197</v>
      </c>
    </row>
    <row r="1823" spans="1:4" x14ac:dyDescent="0.25">
      <c r="A1823" s="1" t="s">
        <v>137</v>
      </c>
      <c r="B1823" s="59">
        <v>35864</v>
      </c>
      <c r="C1823" s="57">
        <f>YEAR(表_查询来自_northwind3[[#This Row],[订购日期]])</f>
        <v>1998</v>
      </c>
      <c r="D1823" s="1">
        <v>475.99999666213989</v>
      </c>
    </row>
    <row r="1824" spans="1:4" x14ac:dyDescent="0.25">
      <c r="A1824" s="1" t="s">
        <v>137</v>
      </c>
      <c r="B1824" s="59">
        <v>35913</v>
      </c>
      <c r="C1824" s="57">
        <f>YEAR(表_查询来自_northwind3[[#This Row],[订购日期]])</f>
        <v>1998</v>
      </c>
      <c r="D1824" s="1">
        <v>280</v>
      </c>
    </row>
    <row r="1825" spans="1:4" x14ac:dyDescent="0.25">
      <c r="A1825" s="1" t="s">
        <v>138</v>
      </c>
      <c r="B1825" s="59">
        <v>35300</v>
      </c>
      <c r="C1825" s="57">
        <f>YEAR(表_查询来自_northwind3[[#This Row],[订购日期]])</f>
        <v>1996</v>
      </c>
      <c r="D1825" s="1">
        <v>26.999999955296516</v>
      </c>
    </row>
    <row r="1826" spans="1:4" x14ac:dyDescent="0.25">
      <c r="A1826" s="1" t="s">
        <v>138</v>
      </c>
      <c r="B1826" s="59">
        <v>35317</v>
      </c>
      <c r="C1826" s="57">
        <f>YEAR(表_查询来自_northwind3[[#This Row],[订购日期]])</f>
        <v>1996</v>
      </c>
      <c r="D1826" s="1">
        <v>200</v>
      </c>
    </row>
    <row r="1827" spans="1:4" x14ac:dyDescent="0.25">
      <c r="A1827" s="1" t="s">
        <v>138</v>
      </c>
      <c r="B1827" s="59">
        <v>35319</v>
      </c>
      <c r="C1827" s="57">
        <f>YEAR(表_查询来自_northwind3[[#This Row],[订购日期]])</f>
        <v>1996</v>
      </c>
      <c r="D1827" s="1">
        <v>134.99999977648258</v>
      </c>
    </row>
    <row r="1828" spans="1:4" x14ac:dyDescent="0.25">
      <c r="A1828" s="1" t="s">
        <v>138</v>
      </c>
      <c r="B1828" s="59">
        <v>35325</v>
      </c>
      <c r="C1828" s="57">
        <f>YEAR(表_查询来自_northwind3[[#This Row],[订购日期]])</f>
        <v>1996</v>
      </c>
      <c r="D1828" s="1">
        <v>30</v>
      </c>
    </row>
    <row r="1829" spans="1:4" x14ac:dyDescent="0.25">
      <c r="A1829" s="1" t="s">
        <v>138</v>
      </c>
      <c r="B1829" s="59">
        <v>35352</v>
      </c>
      <c r="C1829" s="57">
        <f>YEAR(表_查询来自_northwind3[[#This Row],[订购日期]])</f>
        <v>1996</v>
      </c>
      <c r="D1829" s="1">
        <v>100</v>
      </c>
    </row>
    <row r="1830" spans="1:4" x14ac:dyDescent="0.25">
      <c r="A1830" s="1" t="s">
        <v>138</v>
      </c>
      <c r="B1830" s="59">
        <v>35359</v>
      </c>
      <c r="C1830" s="57">
        <f>YEAR(表_查询来自_northwind3[[#This Row],[订购日期]])</f>
        <v>1996</v>
      </c>
      <c r="D1830" s="1">
        <v>100</v>
      </c>
    </row>
    <row r="1831" spans="1:4" x14ac:dyDescent="0.25">
      <c r="A1831" s="1" t="s">
        <v>138</v>
      </c>
      <c r="B1831" s="59">
        <v>35369</v>
      </c>
      <c r="C1831" s="57">
        <f>YEAR(表_查询来自_northwind3[[#This Row],[订购日期]])</f>
        <v>1996</v>
      </c>
      <c r="D1831" s="1">
        <v>37.999999970197678</v>
      </c>
    </row>
    <row r="1832" spans="1:4" x14ac:dyDescent="0.25">
      <c r="A1832" s="1" t="s">
        <v>138</v>
      </c>
      <c r="B1832" s="59">
        <v>35416</v>
      </c>
      <c r="C1832" s="57">
        <f>YEAR(表_查询来自_northwind3[[#This Row],[订购日期]])</f>
        <v>1996</v>
      </c>
      <c r="D1832" s="1">
        <v>63.999999761581421</v>
      </c>
    </row>
    <row r="1833" spans="1:4" x14ac:dyDescent="0.25">
      <c r="A1833" s="1" t="s">
        <v>138</v>
      </c>
      <c r="B1833" s="59">
        <v>35430</v>
      </c>
      <c r="C1833" s="57">
        <f>YEAR(表_查询来自_northwind3[[#This Row],[订购日期]])</f>
        <v>1996</v>
      </c>
      <c r="D1833" s="1">
        <v>600</v>
      </c>
    </row>
    <row r="1834" spans="1:4" x14ac:dyDescent="0.25">
      <c r="A1834" s="1" t="s">
        <v>138</v>
      </c>
      <c r="B1834" s="59">
        <v>35446</v>
      </c>
      <c r="C1834" s="57">
        <f>YEAR(表_查询来自_northwind3[[#This Row],[订购日期]])</f>
        <v>1997</v>
      </c>
      <c r="D1834" s="1">
        <v>270</v>
      </c>
    </row>
    <row r="1835" spans="1:4" x14ac:dyDescent="0.25">
      <c r="A1835" s="1" t="s">
        <v>138</v>
      </c>
      <c r="B1835" s="59">
        <v>35453</v>
      </c>
      <c r="C1835" s="57">
        <f>YEAR(表_查询来自_northwind3[[#This Row],[订购日期]])</f>
        <v>1997</v>
      </c>
      <c r="D1835" s="1">
        <v>239.99999910593033</v>
      </c>
    </row>
    <row r="1836" spans="1:4" x14ac:dyDescent="0.25">
      <c r="A1836" s="1" t="s">
        <v>138</v>
      </c>
      <c r="B1836" s="59">
        <v>35489</v>
      </c>
      <c r="C1836" s="57">
        <f>YEAR(表_查询来自_northwind3[[#This Row],[订购日期]])</f>
        <v>1997</v>
      </c>
      <c r="D1836" s="1">
        <v>157.5</v>
      </c>
    </row>
    <row r="1837" spans="1:4" x14ac:dyDescent="0.25">
      <c r="A1837" s="1" t="s">
        <v>138</v>
      </c>
      <c r="B1837" s="59">
        <v>35520</v>
      </c>
      <c r="C1837" s="57">
        <f>YEAR(表_查询来自_northwind3[[#This Row],[订购日期]])</f>
        <v>1997</v>
      </c>
      <c r="D1837" s="1">
        <v>300</v>
      </c>
    </row>
    <row r="1838" spans="1:4" x14ac:dyDescent="0.25">
      <c r="A1838" s="1" t="s">
        <v>138</v>
      </c>
      <c r="B1838" s="59">
        <v>35549</v>
      </c>
      <c r="C1838" s="57">
        <f>YEAR(表_查询来自_northwind3[[#This Row],[订购日期]])</f>
        <v>1997</v>
      </c>
      <c r="D1838" s="1">
        <v>75</v>
      </c>
    </row>
    <row r="1839" spans="1:4" x14ac:dyDescent="0.25">
      <c r="A1839" s="1" t="s">
        <v>138</v>
      </c>
      <c r="B1839" s="59">
        <v>35557</v>
      </c>
      <c r="C1839" s="57">
        <f>YEAR(表_查询来自_northwind3[[#This Row],[订购日期]])</f>
        <v>1997</v>
      </c>
      <c r="D1839" s="1">
        <v>250</v>
      </c>
    </row>
    <row r="1840" spans="1:4" x14ac:dyDescent="0.25">
      <c r="A1840" s="1" t="s">
        <v>138</v>
      </c>
      <c r="B1840" s="59">
        <v>35569</v>
      </c>
      <c r="C1840" s="57">
        <f>YEAR(表_查询来自_northwind3[[#This Row],[订购日期]])</f>
        <v>1997</v>
      </c>
      <c r="D1840" s="1">
        <v>437.5</v>
      </c>
    </row>
    <row r="1841" spans="1:4" x14ac:dyDescent="0.25">
      <c r="A1841" s="1" t="s">
        <v>138</v>
      </c>
      <c r="B1841" s="59">
        <v>35643</v>
      </c>
      <c r="C1841" s="57">
        <f>YEAR(表_查询来自_northwind3[[#This Row],[订购日期]])</f>
        <v>1997</v>
      </c>
      <c r="D1841" s="1">
        <v>187.5</v>
      </c>
    </row>
    <row r="1842" spans="1:4" x14ac:dyDescent="0.25">
      <c r="A1842" s="1" t="s">
        <v>138</v>
      </c>
      <c r="B1842" s="59">
        <v>35648</v>
      </c>
      <c r="C1842" s="57">
        <f>YEAR(表_查询来自_northwind3[[#This Row],[订购日期]])</f>
        <v>1997</v>
      </c>
      <c r="D1842" s="1">
        <v>179.99999932944775</v>
      </c>
    </row>
    <row r="1843" spans="1:4" x14ac:dyDescent="0.25">
      <c r="A1843" s="1" t="s">
        <v>138</v>
      </c>
      <c r="B1843" s="59">
        <v>35682</v>
      </c>
      <c r="C1843" s="57">
        <f>YEAR(表_查询来自_northwind3[[#This Row],[订购日期]])</f>
        <v>1997</v>
      </c>
      <c r="D1843" s="1">
        <v>125</v>
      </c>
    </row>
    <row r="1844" spans="1:4" x14ac:dyDescent="0.25">
      <c r="A1844" s="1" t="s">
        <v>138</v>
      </c>
      <c r="B1844" s="59">
        <v>35713</v>
      </c>
      <c r="C1844" s="57">
        <f>YEAR(表_查询来自_northwind3[[#This Row],[订购日期]])</f>
        <v>1997</v>
      </c>
      <c r="D1844" s="1">
        <v>399.99999850988388</v>
      </c>
    </row>
    <row r="1845" spans="1:4" x14ac:dyDescent="0.25">
      <c r="A1845" s="1" t="s">
        <v>138</v>
      </c>
      <c r="B1845" s="59">
        <v>35732</v>
      </c>
      <c r="C1845" s="57">
        <f>YEAR(表_查询来自_northwind3[[#This Row],[订购日期]])</f>
        <v>1997</v>
      </c>
      <c r="D1845" s="1">
        <v>562.5</v>
      </c>
    </row>
    <row r="1846" spans="1:4" x14ac:dyDescent="0.25">
      <c r="A1846" s="1" t="s">
        <v>138</v>
      </c>
      <c r="B1846" s="59">
        <v>35761</v>
      </c>
      <c r="C1846" s="57">
        <f>YEAR(表_查询来自_northwind3[[#This Row],[订购日期]])</f>
        <v>1997</v>
      </c>
      <c r="D1846" s="1">
        <v>59.999999776482582</v>
      </c>
    </row>
    <row r="1847" spans="1:4" x14ac:dyDescent="0.25">
      <c r="A1847" s="1" t="s">
        <v>138</v>
      </c>
      <c r="B1847" s="59">
        <v>35769</v>
      </c>
      <c r="C1847" s="57">
        <f>YEAR(表_查询来自_northwind3[[#This Row],[订购日期]])</f>
        <v>1997</v>
      </c>
      <c r="D1847" s="1">
        <v>500</v>
      </c>
    </row>
    <row r="1848" spans="1:4" x14ac:dyDescent="0.25">
      <c r="A1848" s="1" t="s">
        <v>138</v>
      </c>
      <c r="B1848" s="59">
        <v>35786</v>
      </c>
      <c r="C1848" s="57">
        <f>YEAR(表_查询来自_northwind3[[#This Row],[订购日期]])</f>
        <v>1997</v>
      </c>
      <c r="D1848" s="1">
        <v>225</v>
      </c>
    </row>
    <row r="1849" spans="1:4" x14ac:dyDescent="0.25">
      <c r="A1849" s="1" t="s">
        <v>138</v>
      </c>
      <c r="B1849" s="59">
        <v>35787</v>
      </c>
      <c r="C1849" s="57">
        <f>YEAR(表_查询来自_northwind3[[#This Row],[订购日期]])</f>
        <v>1997</v>
      </c>
      <c r="D1849" s="1">
        <v>187.5</v>
      </c>
    </row>
    <row r="1850" spans="1:4" x14ac:dyDescent="0.25">
      <c r="A1850" s="1" t="s">
        <v>138</v>
      </c>
      <c r="B1850" s="59">
        <v>35808</v>
      </c>
      <c r="C1850" s="57">
        <f>YEAR(表_查询来自_northwind3[[#This Row],[订购日期]])</f>
        <v>1998</v>
      </c>
      <c r="D1850" s="1">
        <v>300</v>
      </c>
    </row>
    <row r="1851" spans="1:4" x14ac:dyDescent="0.25">
      <c r="A1851" s="1" t="s">
        <v>138</v>
      </c>
      <c r="B1851" s="59">
        <v>35815</v>
      </c>
      <c r="C1851" s="57">
        <f>YEAR(表_查询来自_northwind3[[#This Row],[订购日期]])</f>
        <v>1998</v>
      </c>
      <c r="D1851" s="1">
        <v>250</v>
      </c>
    </row>
    <row r="1852" spans="1:4" x14ac:dyDescent="0.25">
      <c r="A1852" s="1" t="s">
        <v>138</v>
      </c>
      <c r="B1852" s="59">
        <v>35830</v>
      </c>
      <c r="C1852" s="57">
        <f>YEAR(表_查询来自_northwind3[[#This Row],[订购日期]])</f>
        <v>1998</v>
      </c>
      <c r="D1852" s="1">
        <v>250</v>
      </c>
    </row>
    <row r="1853" spans="1:4" x14ac:dyDescent="0.25">
      <c r="A1853" s="1" t="s">
        <v>138</v>
      </c>
      <c r="B1853" s="59">
        <v>35842</v>
      </c>
      <c r="C1853" s="57">
        <f>YEAR(表_查询来自_northwind3[[#This Row],[订购日期]])</f>
        <v>1998</v>
      </c>
      <c r="D1853" s="1">
        <v>225</v>
      </c>
    </row>
    <row r="1854" spans="1:4" x14ac:dyDescent="0.25">
      <c r="A1854" s="1" t="s">
        <v>138</v>
      </c>
      <c r="B1854" s="59">
        <v>35850</v>
      </c>
      <c r="C1854" s="57">
        <f>YEAR(表_查询来自_northwind3[[#This Row],[订购日期]])</f>
        <v>1998</v>
      </c>
      <c r="D1854" s="1">
        <v>250</v>
      </c>
    </row>
    <row r="1855" spans="1:4" x14ac:dyDescent="0.25">
      <c r="A1855" s="1" t="s">
        <v>138</v>
      </c>
      <c r="B1855" s="59">
        <v>35865</v>
      </c>
      <c r="C1855" s="57">
        <f>YEAR(表_查询来自_northwind3[[#This Row],[订购日期]])</f>
        <v>1998</v>
      </c>
      <c r="D1855" s="1">
        <v>750</v>
      </c>
    </row>
    <row r="1856" spans="1:4" x14ac:dyDescent="0.25">
      <c r="A1856" s="1" t="s">
        <v>138</v>
      </c>
      <c r="B1856" s="59">
        <v>35894</v>
      </c>
      <c r="C1856" s="57">
        <f>YEAR(表_查询来自_northwind3[[#This Row],[订购日期]])</f>
        <v>1998</v>
      </c>
      <c r="D1856" s="1">
        <v>25</v>
      </c>
    </row>
    <row r="1857" spans="1:4" x14ac:dyDescent="0.25">
      <c r="A1857" s="1" t="s">
        <v>138</v>
      </c>
      <c r="B1857" s="59">
        <v>35909</v>
      </c>
      <c r="C1857" s="57">
        <f>YEAR(表_查询来自_northwind3[[#This Row],[订购日期]])</f>
        <v>1998</v>
      </c>
      <c r="D1857" s="1">
        <v>525</v>
      </c>
    </row>
    <row r="1858" spans="1:4" x14ac:dyDescent="0.25">
      <c r="A1858" s="1" t="s">
        <v>138</v>
      </c>
      <c r="B1858" s="59">
        <v>35916</v>
      </c>
      <c r="C1858" s="57">
        <f>YEAR(表_查询来自_northwind3[[#This Row],[订购日期]])</f>
        <v>1998</v>
      </c>
      <c r="D1858" s="1">
        <v>687.5</v>
      </c>
    </row>
    <row r="1859" spans="1:4" x14ac:dyDescent="0.25">
      <c r="A1859" s="1" t="s">
        <v>139</v>
      </c>
      <c r="B1859" s="59">
        <v>35311</v>
      </c>
      <c r="C1859" s="57">
        <f>YEAR(表_查询来自_northwind3[[#This Row],[订购日期]])</f>
        <v>1996</v>
      </c>
      <c r="D1859" s="1">
        <v>432</v>
      </c>
    </row>
    <row r="1860" spans="1:4" x14ac:dyDescent="0.25">
      <c r="A1860" s="1" t="s">
        <v>139</v>
      </c>
      <c r="B1860" s="59">
        <v>35326</v>
      </c>
      <c r="C1860" s="57">
        <f>YEAR(表_查询来自_northwind3[[#This Row],[订购日期]])</f>
        <v>1996</v>
      </c>
      <c r="D1860" s="1">
        <v>28.8</v>
      </c>
    </row>
    <row r="1861" spans="1:4" x14ac:dyDescent="0.25">
      <c r="A1861" s="1" t="s">
        <v>139</v>
      </c>
      <c r="B1861" s="59">
        <v>35328</v>
      </c>
      <c r="C1861" s="57">
        <f>YEAR(表_查询来自_northwind3[[#This Row],[订购日期]])</f>
        <v>1996</v>
      </c>
      <c r="D1861" s="1">
        <v>201.6</v>
      </c>
    </row>
    <row r="1862" spans="1:4" x14ac:dyDescent="0.25">
      <c r="A1862" s="1" t="s">
        <v>139</v>
      </c>
      <c r="B1862" s="59">
        <v>35380</v>
      </c>
      <c r="C1862" s="57">
        <f>YEAR(表_查询来自_northwind3[[#This Row],[订购日期]])</f>
        <v>1996</v>
      </c>
      <c r="D1862" s="1">
        <v>466.5599992275238</v>
      </c>
    </row>
    <row r="1863" spans="1:4" x14ac:dyDescent="0.25">
      <c r="A1863" s="1" t="s">
        <v>139</v>
      </c>
      <c r="B1863" s="59">
        <v>35387</v>
      </c>
      <c r="C1863" s="57">
        <f>YEAR(表_查询来自_northwind3[[#This Row],[订购日期]])</f>
        <v>1996</v>
      </c>
      <c r="D1863" s="1">
        <v>576</v>
      </c>
    </row>
    <row r="1864" spans="1:4" x14ac:dyDescent="0.25">
      <c r="A1864" s="1" t="s">
        <v>139</v>
      </c>
      <c r="B1864" s="59">
        <v>35395</v>
      </c>
      <c r="C1864" s="57">
        <f>YEAR(表_查询来自_northwind3[[#This Row],[订购日期]])</f>
        <v>1996</v>
      </c>
      <c r="D1864" s="1">
        <v>864</v>
      </c>
    </row>
    <row r="1865" spans="1:4" x14ac:dyDescent="0.25">
      <c r="A1865" s="1" t="s">
        <v>139</v>
      </c>
      <c r="B1865" s="59">
        <v>35423</v>
      </c>
      <c r="C1865" s="57">
        <f>YEAR(表_查询来自_northwind3[[#This Row],[订购日期]])</f>
        <v>1996</v>
      </c>
      <c r="D1865" s="1">
        <v>1440</v>
      </c>
    </row>
    <row r="1866" spans="1:4" x14ac:dyDescent="0.25">
      <c r="A1866" s="1" t="s">
        <v>139</v>
      </c>
      <c r="B1866" s="59">
        <v>35425</v>
      </c>
      <c r="C1866" s="57">
        <f>YEAR(表_查询来自_northwind3[[#This Row],[订购日期]])</f>
        <v>1996</v>
      </c>
      <c r="D1866" s="1">
        <v>230.4</v>
      </c>
    </row>
    <row r="1867" spans="1:4" x14ac:dyDescent="0.25">
      <c r="A1867" s="1" t="s">
        <v>139</v>
      </c>
      <c r="B1867" s="59">
        <v>35437</v>
      </c>
      <c r="C1867" s="57">
        <f>YEAR(表_查询来自_northwind3[[#This Row],[订购日期]])</f>
        <v>1997</v>
      </c>
      <c r="D1867" s="1">
        <v>432</v>
      </c>
    </row>
    <row r="1868" spans="1:4" x14ac:dyDescent="0.25">
      <c r="A1868" s="1" t="s">
        <v>139</v>
      </c>
      <c r="B1868" s="59">
        <v>35450</v>
      </c>
      <c r="C1868" s="57">
        <f>YEAR(表_查询来自_northwind3[[#This Row],[订购日期]])</f>
        <v>1997</v>
      </c>
      <c r="D1868" s="1">
        <v>547.19999957084656</v>
      </c>
    </row>
    <row r="1869" spans="1:4" x14ac:dyDescent="0.25">
      <c r="A1869" s="1" t="s">
        <v>139</v>
      </c>
      <c r="B1869" s="59">
        <v>35522</v>
      </c>
      <c r="C1869" s="57">
        <f>YEAR(表_查询来自_northwind3[[#This Row],[订购日期]])</f>
        <v>1997</v>
      </c>
      <c r="D1869" s="1">
        <v>259.19999957084656</v>
      </c>
    </row>
    <row r="1870" spans="1:4" x14ac:dyDescent="0.25">
      <c r="A1870" s="1" t="s">
        <v>139</v>
      </c>
      <c r="B1870" s="59">
        <v>35557</v>
      </c>
      <c r="C1870" s="57">
        <f>YEAR(表_查询来自_northwind3[[#This Row],[订购日期]])</f>
        <v>1997</v>
      </c>
      <c r="D1870" s="1">
        <v>360</v>
      </c>
    </row>
    <row r="1871" spans="1:4" x14ac:dyDescent="0.25">
      <c r="A1871" s="1" t="s">
        <v>139</v>
      </c>
      <c r="B1871" s="59">
        <v>35579</v>
      </c>
      <c r="C1871" s="57">
        <f>YEAR(表_查询来自_northwind3[[#This Row],[订购日期]])</f>
        <v>1997</v>
      </c>
      <c r="D1871" s="1">
        <v>648</v>
      </c>
    </row>
    <row r="1872" spans="1:4" x14ac:dyDescent="0.25">
      <c r="A1872" s="1" t="s">
        <v>139</v>
      </c>
      <c r="B1872" s="59">
        <v>35611</v>
      </c>
      <c r="C1872" s="57">
        <f>YEAR(表_查询来自_northwind3[[#This Row],[订购日期]])</f>
        <v>1997</v>
      </c>
      <c r="D1872" s="1">
        <v>305.99999785423279</v>
      </c>
    </row>
    <row r="1873" spans="1:4" x14ac:dyDescent="0.25">
      <c r="A1873" s="1" t="s">
        <v>139</v>
      </c>
      <c r="B1873" s="59">
        <v>35620</v>
      </c>
      <c r="C1873" s="57">
        <f>YEAR(表_查询来自_northwind3[[#This Row],[订购日期]])</f>
        <v>1997</v>
      </c>
      <c r="D1873" s="1">
        <v>575.99999785423279</v>
      </c>
    </row>
    <row r="1874" spans="1:4" x14ac:dyDescent="0.25">
      <c r="A1874" s="1" t="s">
        <v>139</v>
      </c>
      <c r="B1874" s="59">
        <v>35621</v>
      </c>
      <c r="C1874" s="57">
        <f>YEAR(表_查询来自_northwind3[[#This Row],[订购日期]])</f>
        <v>1997</v>
      </c>
      <c r="D1874" s="1">
        <v>1755</v>
      </c>
    </row>
    <row r="1875" spans="1:4" x14ac:dyDescent="0.25">
      <c r="A1875" s="1" t="s">
        <v>139</v>
      </c>
      <c r="B1875" s="59">
        <v>35663</v>
      </c>
      <c r="C1875" s="57">
        <f>YEAR(表_查询来自_northwind3[[#This Row],[订购日期]])</f>
        <v>1997</v>
      </c>
      <c r="D1875" s="1">
        <v>540</v>
      </c>
    </row>
    <row r="1876" spans="1:4" x14ac:dyDescent="0.25">
      <c r="A1876" s="1" t="s">
        <v>139</v>
      </c>
      <c r="B1876" s="59">
        <v>35685</v>
      </c>
      <c r="C1876" s="57">
        <f>YEAR(表_查询来自_northwind3[[#This Row],[订购日期]])</f>
        <v>1997</v>
      </c>
      <c r="D1876" s="1">
        <v>1295.9999951720238</v>
      </c>
    </row>
    <row r="1877" spans="1:4" x14ac:dyDescent="0.25">
      <c r="A1877" s="1" t="s">
        <v>139</v>
      </c>
      <c r="B1877" s="59">
        <v>35709</v>
      </c>
      <c r="C1877" s="57">
        <f>YEAR(表_查询来自_northwind3[[#This Row],[订购日期]])</f>
        <v>1997</v>
      </c>
      <c r="D1877" s="1">
        <v>917.99999356269836</v>
      </c>
    </row>
    <row r="1878" spans="1:4" x14ac:dyDescent="0.25">
      <c r="A1878" s="1" t="s">
        <v>139</v>
      </c>
      <c r="B1878" s="59">
        <v>35727</v>
      </c>
      <c r="C1878" s="57">
        <f>YEAR(表_查询来自_northwind3[[#This Row],[订购日期]])</f>
        <v>1997</v>
      </c>
      <c r="D1878" s="1">
        <v>854.99999932944775</v>
      </c>
    </row>
    <row r="1879" spans="1:4" x14ac:dyDescent="0.25">
      <c r="A1879" s="1" t="s">
        <v>139</v>
      </c>
      <c r="B1879" s="59">
        <v>35753</v>
      </c>
      <c r="C1879" s="57">
        <f>YEAR(表_查询来自_northwind3[[#This Row],[订购日期]])</f>
        <v>1997</v>
      </c>
      <c r="D1879" s="1">
        <v>1440</v>
      </c>
    </row>
    <row r="1880" spans="1:4" x14ac:dyDescent="0.25">
      <c r="A1880" s="1" t="s">
        <v>139</v>
      </c>
      <c r="B1880" s="59">
        <v>35753</v>
      </c>
      <c r="C1880" s="57">
        <f>YEAR(表_查询来自_northwind3[[#This Row],[订购日期]])</f>
        <v>1997</v>
      </c>
      <c r="D1880" s="1">
        <v>1080</v>
      </c>
    </row>
    <row r="1881" spans="1:4" x14ac:dyDescent="0.25">
      <c r="A1881" s="1" t="s">
        <v>139</v>
      </c>
      <c r="B1881" s="59">
        <v>35758</v>
      </c>
      <c r="C1881" s="57">
        <f>YEAR(表_查询来自_northwind3[[#This Row],[订购日期]])</f>
        <v>1997</v>
      </c>
      <c r="D1881" s="1">
        <v>108</v>
      </c>
    </row>
    <row r="1882" spans="1:4" x14ac:dyDescent="0.25">
      <c r="A1882" s="1" t="s">
        <v>139</v>
      </c>
      <c r="B1882" s="59">
        <v>35760</v>
      </c>
      <c r="C1882" s="57">
        <f>YEAR(表_查询来自_northwind3[[#This Row],[订购日期]])</f>
        <v>1997</v>
      </c>
      <c r="D1882" s="1">
        <v>675</v>
      </c>
    </row>
    <row r="1883" spans="1:4" x14ac:dyDescent="0.25">
      <c r="A1883" s="1" t="s">
        <v>139</v>
      </c>
      <c r="B1883" s="59">
        <v>35761</v>
      </c>
      <c r="C1883" s="57">
        <f>YEAR(表_查询来自_northwind3[[#This Row],[订购日期]])</f>
        <v>1997</v>
      </c>
      <c r="D1883" s="1">
        <v>575.99999785423279</v>
      </c>
    </row>
    <row r="1884" spans="1:4" x14ac:dyDescent="0.25">
      <c r="A1884" s="1" t="s">
        <v>139</v>
      </c>
      <c r="B1884" s="59">
        <v>35789</v>
      </c>
      <c r="C1884" s="57">
        <f>YEAR(表_查询来自_northwind3[[#This Row],[订购日期]])</f>
        <v>1997</v>
      </c>
      <c r="D1884" s="1">
        <v>691.19999742507935</v>
      </c>
    </row>
    <row r="1885" spans="1:4" x14ac:dyDescent="0.25">
      <c r="A1885" s="1" t="s">
        <v>139</v>
      </c>
      <c r="B1885" s="59">
        <v>35844</v>
      </c>
      <c r="C1885" s="57">
        <f>YEAR(表_查询来自_northwind3[[#This Row],[订购日期]])</f>
        <v>1998</v>
      </c>
      <c r="D1885" s="1">
        <v>1709.9999986588955</v>
      </c>
    </row>
    <row r="1886" spans="1:4" x14ac:dyDescent="0.25">
      <c r="A1886" s="1" t="s">
        <v>139</v>
      </c>
      <c r="B1886" s="59">
        <v>35873</v>
      </c>
      <c r="C1886" s="57">
        <f>YEAR(表_查询来自_northwind3[[#This Row],[订购日期]])</f>
        <v>1998</v>
      </c>
      <c r="D1886" s="1">
        <v>324</v>
      </c>
    </row>
    <row r="1887" spans="1:4" x14ac:dyDescent="0.25">
      <c r="A1887" s="1" t="s">
        <v>139</v>
      </c>
      <c r="B1887" s="59">
        <v>35874</v>
      </c>
      <c r="C1887" s="57">
        <f>YEAR(表_查询来自_northwind3[[#This Row],[订购日期]])</f>
        <v>1998</v>
      </c>
      <c r="D1887" s="1">
        <v>360</v>
      </c>
    </row>
    <row r="1888" spans="1:4" x14ac:dyDescent="0.25">
      <c r="A1888" s="1" t="s">
        <v>139</v>
      </c>
      <c r="B1888" s="59">
        <v>35899</v>
      </c>
      <c r="C1888" s="57">
        <f>YEAR(表_查询来自_northwind3[[#This Row],[订购日期]])</f>
        <v>1998</v>
      </c>
      <c r="D1888" s="1">
        <v>1080</v>
      </c>
    </row>
    <row r="1889" spans="1:4" x14ac:dyDescent="0.25">
      <c r="A1889" s="1" t="s">
        <v>139</v>
      </c>
      <c r="B1889" s="59">
        <v>35902</v>
      </c>
      <c r="C1889" s="57">
        <f>YEAR(表_查询来自_northwind3[[#This Row],[订购日期]])</f>
        <v>1998</v>
      </c>
      <c r="D1889" s="1">
        <v>1166.3999980688095</v>
      </c>
    </row>
    <row r="1890" spans="1:4" x14ac:dyDescent="0.25">
      <c r="A1890" s="1" t="s">
        <v>140</v>
      </c>
      <c r="B1890" s="59">
        <v>35265</v>
      </c>
      <c r="C1890" s="57">
        <f>YEAR(表_查询来自_northwind3[[#This Row],[订购日期]])</f>
        <v>1996</v>
      </c>
      <c r="D1890" s="1">
        <v>189</v>
      </c>
    </row>
    <row r="1891" spans="1:4" x14ac:dyDescent="0.25">
      <c r="A1891" s="1" t="s">
        <v>140</v>
      </c>
      <c r="B1891" s="59">
        <v>35271</v>
      </c>
      <c r="C1891" s="57">
        <f>YEAR(表_查询来自_northwind3[[#This Row],[订购日期]])</f>
        <v>1996</v>
      </c>
      <c r="D1891" s="1">
        <v>240</v>
      </c>
    </row>
    <row r="1892" spans="1:4" x14ac:dyDescent="0.25">
      <c r="A1892" s="1" t="s">
        <v>140</v>
      </c>
      <c r="B1892" s="59">
        <v>35314</v>
      </c>
      <c r="C1892" s="57">
        <f>YEAR(表_查询来自_northwind3[[#This Row],[订购日期]])</f>
        <v>1996</v>
      </c>
      <c r="D1892" s="1">
        <v>240</v>
      </c>
    </row>
    <row r="1893" spans="1:4" x14ac:dyDescent="0.25">
      <c r="A1893" s="1" t="s">
        <v>140</v>
      </c>
      <c r="B1893" s="59">
        <v>35326</v>
      </c>
      <c r="C1893" s="57">
        <f>YEAR(表_查询来自_northwind3[[#This Row],[订购日期]])</f>
        <v>1996</v>
      </c>
      <c r="D1893" s="1">
        <v>60</v>
      </c>
    </row>
    <row r="1894" spans="1:4" x14ac:dyDescent="0.25">
      <c r="A1894" s="1" t="s">
        <v>140</v>
      </c>
      <c r="B1894" s="59">
        <v>35334</v>
      </c>
      <c r="C1894" s="57">
        <f>YEAR(表_查询来自_northwind3[[#This Row],[订购日期]])</f>
        <v>1996</v>
      </c>
      <c r="D1894" s="1">
        <v>360</v>
      </c>
    </row>
    <row r="1895" spans="1:4" x14ac:dyDescent="0.25">
      <c r="A1895" s="1" t="s">
        <v>140</v>
      </c>
      <c r="B1895" s="59">
        <v>35411</v>
      </c>
      <c r="C1895" s="57">
        <f>YEAR(表_查询来自_northwind3[[#This Row],[订购日期]])</f>
        <v>1996</v>
      </c>
      <c r="D1895" s="1">
        <v>360</v>
      </c>
    </row>
    <row r="1896" spans="1:4" x14ac:dyDescent="0.25">
      <c r="A1896" s="1" t="s">
        <v>140</v>
      </c>
      <c r="B1896" s="59">
        <v>35419</v>
      </c>
      <c r="C1896" s="57">
        <f>YEAR(表_查询来自_northwind3[[#This Row],[订购日期]])</f>
        <v>1996</v>
      </c>
      <c r="D1896" s="1">
        <v>360</v>
      </c>
    </row>
    <row r="1897" spans="1:4" x14ac:dyDescent="0.25">
      <c r="A1897" s="1" t="s">
        <v>140</v>
      </c>
      <c r="B1897" s="59">
        <v>35451</v>
      </c>
      <c r="C1897" s="57">
        <f>YEAR(表_查询来自_northwind3[[#This Row],[订购日期]])</f>
        <v>1997</v>
      </c>
      <c r="D1897" s="1">
        <v>86.399999856948853</v>
      </c>
    </row>
    <row r="1898" spans="1:4" x14ac:dyDescent="0.25">
      <c r="A1898" s="1" t="s">
        <v>140</v>
      </c>
      <c r="B1898" s="59">
        <v>35482</v>
      </c>
      <c r="C1898" s="57">
        <f>YEAR(表_查询来自_northwind3[[#This Row],[订购日期]])</f>
        <v>1997</v>
      </c>
      <c r="D1898" s="1">
        <v>269.99999955296516</v>
      </c>
    </row>
    <row r="1899" spans="1:4" x14ac:dyDescent="0.25">
      <c r="A1899" s="1" t="s">
        <v>140</v>
      </c>
      <c r="B1899" s="59">
        <v>35506</v>
      </c>
      <c r="C1899" s="57">
        <f>YEAR(表_查询来自_northwind3[[#This Row],[订购日期]])</f>
        <v>1997</v>
      </c>
      <c r="D1899" s="1">
        <v>144</v>
      </c>
    </row>
    <row r="1900" spans="1:4" x14ac:dyDescent="0.25">
      <c r="A1900" s="1" t="s">
        <v>140</v>
      </c>
      <c r="B1900" s="59">
        <v>35514</v>
      </c>
      <c r="C1900" s="57">
        <f>YEAR(表_查询来自_northwind3[[#This Row],[订购日期]])</f>
        <v>1997</v>
      </c>
      <c r="D1900" s="1">
        <v>647.99999892711639</v>
      </c>
    </row>
    <row r="1901" spans="1:4" x14ac:dyDescent="0.25">
      <c r="A1901" s="1" t="s">
        <v>140</v>
      </c>
      <c r="B1901" s="59">
        <v>35535</v>
      </c>
      <c r="C1901" s="57">
        <f>YEAR(表_查询来自_northwind3[[#This Row],[订购日期]])</f>
        <v>1997</v>
      </c>
      <c r="D1901" s="1">
        <v>188.99999968707561</v>
      </c>
    </row>
    <row r="1902" spans="1:4" x14ac:dyDescent="0.25">
      <c r="A1902" s="1" t="s">
        <v>140</v>
      </c>
      <c r="B1902" s="59">
        <v>35544</v>
      </c>
      <c r="C1902" s="57">
        <f>YEAR(表_查询来自_northwind3[[#This Row],[订购日期]])</f>
        <v>1997</v>
      </c>
      <c r="D1902" s="1">
        <v>90</v>
      </c>
    </row>
    <row r="1903" spans="1:4" x14ac:dyDescent="0.25">
      <c r="A1903" s="1" t="s">
        <v>140</v>
      </c>
      <c r="B1903" s="59">
        <v>35565</v>
      </c>
      <c r="C1903" s="57">
        <f>YEAR(表_查询来自_northwind3[[#This Row],[订购日期]])</f>
        <v>1997</v>
      </c>
      <c r="D1903" s="1">
        <v>105</v>
      </c>
    </row>
    <row r="1904" spans="1:4" x14ac:dyDescent="0.25">
      <c r="A1904" s="1" t="s">
        <v>140</v>
      </c>
      <c r="B1904" s="59">
        <v>35642</v>
      </c>
      <c r="C1904" s="57">
        <f>YEAR(表_查询来自_northwind3[[#This Row],[订购日期]])</f>
        <v>1997</v>
      </c>
      <c r="D1904" s="1">
        <v>213.74999983236194</v>
      </c>
    </row>
    <row r="1905" spans="1:4" x14ac:dyDescent="0.25">
      <c r="A1905" s="1" t="s">
        <v>140</v>
      </c>
      <c r="B1905" s="59">
        <v>35647</v>
      </c>
      <c r="C1905" s="57">
        <f>YEAR(表_查询来自_northwind3[[#This Row],[订购日期]])</f>
        <v>1997</v>
      </c>
      <c r="D1905" s="1">
        <v>300</v>
      </c>
    </row>
    <row r="1906" spans="1:4" x14ac:dyDescent="0.25">
      <c r="A1906" s="1" t="s">
        <v>140</v>
      </c>
      <c r="B1906" s="59">
        <v>35663</v>
      </c>
      <c r="C1906" s="57">
        <f>YEAR(表_查询来自_northwind3[[#This Row],[订购日期]])</f>
        <v>1997</v>
      </c>
      <c r="D1906" s="1">
        <v>168.75</v>
      </c>
    </row>
    <row r="1907" spans="1:4" x14ac:dyDescent="0.25">
      <c r="A1907" s="1" t="s">
        <v>140</v>
      </c>
      <c r="B1907" s="59">
        <v>35678</v>
      </c>
      <c r="C1907" s="57">
        <f>YEAR(表_查询来自_northwind3[[#This Row],[订购日期]])</f>
        <v>1997</v>
      </c>
      <c r="D1907" s="1">
        <v>569.99999955296516</v>
      </c>
    </row>
    <row r="1908" spans="1:4" x14ac:dyDescent="0.25">
      <c r="A1908" s="1" t="s">
        <v>140</v>
      </c>
      <c r="B1908" s="59">
        <v>35709</v>
      </c>
      <c r="C1908" s="57">
        <f>YEAR(表_查询来自_northwind3[[#This Row],[订购日期]])</f>
        <v>1997</v>
      </c>
      <c r="D1908" s="1">
        <v>750</v>
      </c>
    </row>
    <row r="1909" spans="1:4" x14ac:dyDescent="0.25">
      <c r="A1909" s="1" t="s">
        <v>140</v>
      </c>
      <c r="B1909" s="59">
        <v>35711</v>
      </c>
      <c r="C1909" s="57">
        <f>YEAR(表_查询来自_northwind3[[#This Row],[订购日期]])</f>
        <v>1997</v>
      </c>
      <c r="D1909" s="1">
        <v>337.5</v>
      </c>
    </row>
    <row r="1910" spans="1:4" x14ac:dyDescent="0.25">
      <c r="A1910" s="1" t="s">
        <v>140</v>
      </c>
      <c r="B1910" s="59">
        <v>35712</v>
      </c>
      <c r="C1910" s="57">
        <f>YEAR(表_查询来自_northwind3[[#This Row],[订购日期]])</f>
        <v>1997</v>
      </c>
      <c r="D1910" s="1">
        <v>113.99999991059303</v>
      </c>
    </row>
    <row r="1911" spans="1:4" x14ac:dyDescent="0.25">
      <c r="A1911" s="1" t="s">
        <v>140</v>
      </c>
      <c r="B1911" s="59">
        <v>35719</v>
      </c>
      <c r="C1911" s="57">
        <f>YEAR(表_查询来自_northwind3[[#This Row],[订购日期]])</f>
        <v>1997</v>
      </c>
      <c r="D1911" s="1">
        <v>356.99999749660492</v>
      </c>
    </row>
    <row r="1912" spans="1:4" x14ac:dyDescent="0.25">
      <c r="A1912" s="1" t="s">
        <v>140</v>
      </c>
      <c r="B1912" s="59">
        <v>35762</v>
      </c>
      <c r="C1912" s="57">
        <f>YEAR(表_查询来自_northwind3[[#This Row],[订购日期]])</f>
        <v>1997</v>
      </c>
      <c r="D1912" s="1">
        <v>600</v>
      </c>
    </row>
    <row r="1913" spans="1:4" x14ac:dyDescent="0.25">
      <c r="A1913" s="1" t="s">
        <v>140</v>
      </c>
      <c r="B1913" s="59">
        <v>35780</v>
      </c>
      <c r="C1913" s="57">
        <f>YEAR(表_查询来自_northwind3[[#This Row],[订购日期]])</f>
        <v>1997</v>
      </c>
      <c r="D1913" s="1">
        <v>525</v>
      </c>
    </row>
    <row r="1914" spans="1:4" x14ac:dyDescent="0.25">
      <c r="A1914" s="1" t="s">
        <v>140</v>
      </c>
      <c r="B1914" s="59">
        <v>35796</v>
      </c>
      <c r="C1914" s="57">
        <f>YEAR(表_查询来自_northwind3[[#This Row],[订购日期]])</f>
        <v>1998</v>
      </c>
      <c r="D1914" s="1">
        <v>75</v>
      </c>
    </row>
    <row r="1915" spans="1:4" x14ac:dyDescent="0.25">
      <c r="A1915" s="1" t="s">
        <v>140</v>
      </c>
      <c r="B1915" s="59">
        <v>35803</v>
      </c>
      <c r="C1915" s="57">
        <f>YEAR(表_查询来自_northwind3[[#This Row],[订购日期]])</f>
        <v>1998</v>
      </c>
      <c r="D1915" s="1">
        <v>90</v>
      </c>
    </row>
    <row r="1916" spans="1:4" x14ac:dyDescent="0.25">
      <c r="A1916" s="1" t="s">
        <v>140</v>
      </c>
      <c r="B1916" s="59">
        <v>35804</v>
      </c>
      <c r="C1916" s="57">
        <f>YEAR(表_查询来自_northwind3[[#This Row],[订购日期]])</f>
        <v>1998</v>
      </c>
      <c r="D1916" s="1">
        <v>135</v>
      </c>
    </row>
    <row r="1917" spans="1:4" x14ac:dyDescent="0.25">
      <c r="A1917" s="1" t="s">
        <v>140</v>
      </c>
      <c r="B1917" s="59">
        <v>35810</v>
      </c>
      <c r="C1917" s="57">
        <f>YEAR(表_查询来自_northwind3[[#This Row],[订购日期]])</f>
        <v>1998</v>
      </c>
      <c r="D1917" s="1">
        <v>23.999999910593033</v>
      </c>
    </row>
    <row r="1918" spans="1:4" x14ac:dyDescent="0.25">
      <c r="A1918" s="1" t="s">
        <v>140</v>
      </c>
      <c r="B1918" s="59">
        <v>35815</v>
      </c>
      <c r="C1918" s="57">
        <f>YEAR(表_查询来自_northwind3[[#This Row],[订购日期]])</f>
        <v>1998</v>
      </c>
      <c r="D1918" s="1">
        <v>180</v>
      </c>
    </row>
    <row r="1919" spans="1:4" x14ac:dyDescent="0.25">
      <c r="A1919" s="1" t="s">
        <v>140</v>
      </c>
      <c r="B1919" s="59">
        <v>35817</v>
      </c>
      <c r="C1919" s="57">
        <f>YEAR(表_查询来自_northwind3[[#This Row],[订购日期]])</f>
        <v>1998</v>
      </c>
      <c r="D1919" s="1">
        <v>450</v>
      </c>
    </row>
    <row r="1920" spans="1:4" x14ac:dyDescent="0.25">
      <c r="A1920" s="1" t="s">
        <v>140</v>
      </c>
      <c r="B1920" s="59">
        <v>35818</v>
      </c>
      <c r="C1920" s="57">
        <f>YEAR(表_查询来自_northwind3[[#This Row],[订购日期]])</f>
        <v>1998</v>
      </c>
      <c r="D1920" s="1">
        <v>382.49999731779099</v>
      </c>
    </row>
    <row r="1921" spans="1:4" x14ac:dyDescent="0.25">
      <c r="A1921" s="1" t="s">
        <v>140</v>
      </c>
      <c r="B1921" s="59">
        <v>35824</v>
      </c>
      <c r="C1921" s="57">
        <f>YEAR(表_查询来自_northwind3[[#This Row],[订购日期]])</f>
        <v>1998</v>
      </c>
      <c r="D1921" s="1">
        <v>60</v>
      </c>
    </row>
    <row r="1922" spans="1:4" x14ac:dyDescent="0.25">
      <c r="A1922" s="1" t="s">
        <v>140</v>
      </c>
      <c r="B1922" s="59">
        <v>35836</v>
      </c>
      <c r="C1922" s="57">
        <f>YEAR(表_查询来自_northwind3[[#This Row],[订购日期]])</f>
        <v>1998</v>
      </c>
      <c r="D1922" s="1">
        <v>599.99999776482582</v>
      </c>
    </row>
    <row r="1923" spans="1:4" x14ac:dyDescent="0.25">
      <c r="A1923" s="1" t="s">
        <v>140</v>
      </c>
      <c r="B1923" s="59">
        <v>35838</v>
      </c>
      <c r="C1923" s="57">
        <f>YEAR(表_查询来自_northwind3[[#This Row],[订购日期]])</f>
        <v>1998</v>
      </c>
      <c r="D1923" s="1">
        <v>450</v>
      </c>
    </row>
    <row r="1924" spans="1:4" x14ac:dyDescent="0.25">
      <c r="A1924" s="1" t="s">
        <v>140</v>
      </c>
      <c r="B1924" s="59">
        <v>35846</v>
      </c>
      <c r="C1924" s="57">
        <f>YEAR(表_查询来自_northwind3[[#This Row],[订购日期]])</f>
        <v>1998</v>
      </c>
      <c r="D1924" s="1">
        <v>33.75</v>
      </c>
    </row>
    <row r="1925" spans="1:4" x14ac:dyDescent="0.25">
      <c r="A1925" s="1" t="s">
        <v>140</v>
      </c>
      <c r="B1925" s="59">
        <v>35886</v>
      </c>
      <c r="C1925" s="57">
        <f>YEAR(表_查询来自_northwind3[[#This Row],[订购日期]])</f>
        <v>1998</v>
      </c>
      <c r="D1925" s="1">
        <v>239.99999910593033</v>
      </c>
    </row>
    <row r="1926" spans="1:4" x14ac:dyDescent="0.25">
      <c r="A1926" s="1" t="s">
        <v>140</v>
      </c>
      <c r="B1926" s="59">
        <v>35898</v>
      </c>
      <c r="C1926" s="57">
        <f>YEAR(表_查询来自_northwind3[[#This Row],[订购日期]])</f>
        <v>1998</v>
      </c>
      <c r="D1926" s="1">
        <v>450</v>
      </c>
    </row>
    <row r="1927" spans="1:4" x14ac:dyDescent="0.25">
      <c r="A1927" s="1" t="s">
        <v>140</v>
      </c>
      <c r="B1927" s="59">
        <v>35906</v>
      </c>
      <c r="C1927" s="57">
        <f>YEAR(表_查询来自_northwind3[[#This Row],[订购日期]])</f>
        <v>1998</v>
      </c>
      <c r="D1927" s="1">
        <v>60</v>
      </c>
    </row>
    <row r="1928" spans="1:4" x14ac:dyDescent="0.25">
      <c r="A1928" s="1" t="s">
        <v>140</v>
      </c>
      <c r="B1928" s="59">
        <v>35914</v>
      </c>
      <c r="C1928" s="57">
        <f>YEAR(表_查询来自_northwind3[[#This Row],[订购日期]])</f>
        <v>1998</v>
      </c>
      <c r="D1928" s="1">
        <v>45</v>
      </c>
    </row>
    <row r="1929" spans="1:4" x14ac:dyDescent="0.25">
      <c r="A1929" s="1" t="s">
        <v>140</v>
      </c>
      <c r="B1929" s="59">
        <v>35915</v>
      </c>
      <c r="C1929" s="57">
        <f>YEAR(表_查询来自_northwind3[[#This Row],[订购日期]])</f>
        <v>1998</v>
      </c>
      <c r="D1929" s="1">
        <v>143.9999994635582</v>
      </c>
    </row>
    <row r="1930" spans="1:4" x14ac:dyDescent="0.25">
      <c r="A1930" s="1" t="s">
        <v>141</v>
      </c>
      <c r="B1930" s="59">
        <v>35283</v>
      </c>
      <c r="C1930" s="57">
        <f>YEAR(表_查询来自_northwind3[[#This Row],[订购日期]])</f>
        <v>1996</v>
      </c>
      <c r="D1930" s="1">
        <v>344</v>
      </c>
    </row>
    <row r="1931" spans="1:4" x14ac:dyDescent="0.25">
      <c r="A1931" s="1" t="s">
        <v>141</v>
      </c>
      <c r="B1931" s="59">
        <v>35320</v>
      </c>
      <c r="C1931" s="57">
        <f>YEAR(表_查询来自_northwind3[[#This Row],[订购日期]])</f>
        <v>1996</v>
      </c>
      <c r="D1931" s="1">
        <v>34.4</v>
      </c>
    </row>
    <row r="1932" spans="1:4" x14ac:dyDescent="0.25">
      <c r="A1932" s="1" t="s">
        <v>141</v>
      </c>
      <c r="B1932" s="59">
        <v>35327</v>
      </c>
      <c r="C1932" s="57">
        <f>YEAR(表_查询来自_northwind3[[#This Row],[订购日期]])</f>
        <v>1996</v>
      </c>
      <c r="D1932" s="1">
        <v>51.6</v>
      </c>
    </row>
    <row r="1933" spans="1:4" x14ac:dyDescent="0.25">
      <c r="A1933" s="1" t="s">
        <v>141</v>
      </c>
      <c r="B1933" s="59">
        <v>35341</v>
      </c>
      <c r="C1933" s="57">
        <f>YEAR(表_查询来自_northwind3[[#This Row],[订购日期]])</f>
        <v>1996</v>
      </c>
      <c r="D1933" s="1">
        <v>516</v>
      </c>
    </row>
    <row r="1934" spans="1:4" x14ac:dyDescent="0.25">
      <c r="A1934" s="1" t="s">
        <v>141</v>
      </c>
      <c r="B1934" s="59">
        <v>35356</v>
      </c>
      <c r="C1934" s="57">
        <f>YEAR(表_查询来自_northwind3[[#This Row],[订购日期]])</f>
        <v>1996</v>
      </c>
      <c r="D1934" s="1">
        <v>619.19999897480011</v>
      </c>
    </row>
    <row r="1935" spans="1:4" x14ac:dyDescent="0.25">
      <c r="A1935" s="1" t="s">
        <v>141</v>
      </c>
      <c r="B1935" s="59">
        <v>35395</v>
      </c>
      <c r="C1935" s="57">
        <f>YEAR(表_查询来自_northwind3[[#This Row],[订购日期]])</f>
        <v>1996</v>
      </c>
      <c r="D1935" s="1">
        <v>86</v>
      </c>
    </row>
    <row r="1936" spans="1:4" x14ac:dyDescent="0.25">
      <c r="A1936" s="1" t="s">
        <v>141</v>
      </c>
      <c r="B1936" s="59">
        <v>35404</v>
      </c>
      <c r="C1936" s="57">
        <f>YEAR(表_查询来自_northwind3[[#This Row],[订购日期]])</f>
        <v>1996</v>
      </c>
      <c r="D1936" s="1">
        <v>687.99999743700027</v>
      </c>
    </row>
    <row r="1937" spans="1:4" x14ac:dyDescent="0.25">
      <c r="A1937" s="1" t="s">
        <v>141</v>
      </c>
      <c r="B1937" s="59">
        <v>35409</v>
      </c>
      <c r="C1937" s="57">
        <f>YEAR(表_查询来自_northwind3[[#This Row],[订购日期]])</f>
        <v>1996</v>
      </c>
      <c r="D1937" s="1">
        <v>103.2</v>
      </c>
    </row>
    <row r="1938" spans="1:4" x14ac:dyDescent="0.25">
      <c r="A1938" s="1" t="s">
        <v>141</v>
      </c>
      <c r="B1938" s="59">
        <v>35417</v>
      </c>
      <c r="C1938" s="57">
        <f>YEAR(表_查询来自_northwind3[[#This Row],[订购日期]])</f>
        <v>1996</v>
      </c>
      <c r="D1938" s="1">
        <v>258</v>
      </c>
    </row>
    <row r="1939" spans="1:4" x14ac:dyDescent="0.25">
      <c r="A1939" s="1" t="s">
        <v>141</v>
      </c>
      <c r="B1939" s="59">
        <v>35426</v>
      </c>
      <c r="C1939" s="57">
        <f>YEAR(表_查询来自_northwind3[[#This Row],[订购日期]])</f>
        <v>1996</v>
      </c>
      <c r="D1939" s="1">
        <v>1032</v>
      </c>
    </row>
    <row r="1940" spans="1:4" x14ac:dyDescent="0.25">
      <c r="A1940" s="1" t="s">
        <v>141</v>
      </c>
      <c r="B1940" s="59">
        <v>35430</v>
      </c>
      <c r="C1940" s="57">
        <f>YEAR(表_查询来自_northwind3[[#This Row],[订购日期]])</f>
        <v>1996</v>
      </c>
      <c r="D1940" s="1">
        <v>516</v>
      </c>
    </row>
    <row r="1941" spans="1:4" x14ac:dyDescent="0.25">
      <c r="A1941" s="1" t="s">
        <v>141</v>
      </c>
      <c r="B1941" s="59">
        <v>35431</v>
      </c>
      <c r="C1941" s="57">
        <f>YEAR(表_查询来自_northwind3[[#This Row],[订购日期]])</f>
        <v>1997</v>
      </c>
      <c r="D1941" s="1">
        <v>1032</v>
      </c>
    </row>
    <row r="1942" spans="1:4" x14ac:dyDescent="0.25">
      <c r="A1942" s="1" t="s">
        <v>141</v>
      </c>
      <c r="B1942" s="59">
        <v>35437</v>
      </c>
      <c r="C1942" s="57">
        <f>YEAR(表_查询来自_northwind3[[#This Row],[订购日期]])</f>
        <v>1997</v>
      </c>
      <c r="D1942" s="1">
        <v>258</v>
      </c>
    </row>
    <row r="1943" spans="1:4" x14ac:dyDescent="0.25">
      <c r="A1943" s="1" t="s">
        <v>141</v>
      </c>
      <c r="B1943" s="59">
        <v>35475</v>
      </c>
      <c r="C1943" s="57">
        <f>YEAR(表_查询来自_northwind3[[#This Row],[订购日期]])</f>
        <v>1997</v>
      </c>
      <c r="D1943" s="1">
        <v>34.4</v>
      </c>
    </row>
    <row r="1944" spans="1:4" x14ac:dyDescent="0.25">
      <c r="A1944" s="1" t="s">
        <v>141</v>
      </c>
      <c r="B1944" s="59">
        <v>35485</v>
      </c>
      <c r="C1944" s="57">
        <f>YEAR(表_查询来自_northwind3[[#This Row],[订购日期]])</f>
        <v>1997</v>
      </c>
      <c r="D1944" s="1">
        <v>516</v>
      </c>
    </row>
    <row r="1945" spans="1:4" x14ac:dyDescent="0.25">
      <c r="A1945" s="1" t="s">
        <v>141</v>
      </c>
      <c r="B1945" s="59">
        <v>35487</v>
      </c>
      <c r="C1945" s="57">
        <f>YEAR(表_查询来自_northwind3[[#This Row],[订购日期]])</f>
        <v>1997</v>
      </c>
      <c r="D1945" s="1">
        <v>860</v>
      </c>
    </row>
    <row r="1946" spans="1:4" x14ac:dyDescent="0.25">
      <c r="A1946" s="1" t="s">
        <v>141</v>
      </c>
      <c r="B1946" s="59">
        <v>35502</v>
      </c>
      <c r="C1946" s="57">
        <f>YEAR(表_查询来自_northwind3[[#This Row],[订购日期]])</f>
        <v>1997</v>
      </c>
      <c r="D1946" s="1">
        <v>206.4</v>
      </c>
    </row>
    <row r="1947" spans="1:4" x14ac:dyDescent="0.25">
      <c r="A1947" s="1" t="s">
        <v>141</v>
      </c>
      <c r="B1947" s="59">
        <v>35569</v>
      </c>
      <c r="C1947" s="57">
        <f>YEAR(表_查询来自_northwind3[[#This Row],[订购日期]])</f>
        <v>1997</v>
      </c>
      <c r="D1947" s="1">
        <v>174.14999971166253</v>
      </c>
    </row>
    <row r="1948" spans="1:4" x14ac:dyDescent="0.25">
      <c r="A1948" s="1" t="s">
        <v>141</v>
      </c>
      <c r="B1948" s="59">
        <v>35625</v>
      </c>
      <c r="C1948" s="57">
        <f>YEAR(表_查询来自_northwind3[[#This Row],[订购日期]])</f>
        <v>1997</v>
      </c>
      <c r="D1948" s="1">
        <v>193.5</v>
      </c>
    </row>
    <row r="1949" spans="1:4" x14ac:dyDescent="0.25">
      <c r="A1949" s="1" t="s">
        <v>141</v>
      </c>
      <c r="B1949" s="59">
        <v>35632</v>
      </c>
      <c r="C1949" s="57">
        <f>YEAR(表_查询来自_northwind3[[#This Row],[订购日期]])</f>
        <v>1997</v>
      </c>
      <c r="D1949" s="1">
        <v>306.37499975971878</v>
      </c>
    </row>
    <row r="1950" spans="1:4" x14ac:dyDescent="0.25">
      <c r="A1950" s="1" t="s">
        <v>141</v>
      </c>
      <c r="B1950" s="59">
        <v>35642</v>
      </c>
      <c r="C1950" s="57">
        <f>YEAR(表_查询来自_northwind3[[#This Row],[订购日期]])</f>
        <v>1997</v>
      </c>
      <c r="D1950" s="1">
        <v>306.37499975971878</v>
      </c>
    </row>
    <row r="1951" spans="1:4" x14ac:dyDescent="0.25">
      <c r="A1951" s="1" t="s">
        <v>141</v>
      </c>
      <c r="B1951" s="59">
        <v>35647</v>
      </c>
      <c r="C1951" s="57">
        <f>YEAR(表_查询来自_northwind3[[#This Row],[订购日期]])</f>
        <v>1997</v>
      </c>
      <c r="D1951" s="1">
        <v>322.5</v>
      </c>
    </row>
    <row r="1952" spans="1:4" x14ac:dyDescent="0.25">
      <c r="A1952" s="1" t="s">
        <v>141</v>
      </c>
      <c r="B1952" s="59">
        <v>35653</v>
      </c>
      <c r="C1952" s="57">
        <f>YEAR(表_查询来自_northwind3[[#This Row],[订购日期]])</f>
        <v>1997</v>
      </c>
      <c r="D1952" s="1">
        <v>430</v>
      </c>
    </row>
    <row r="1953" spans="1:4" x14ac:dyDescent="0.25">
      <c r="A1953" s="1" t="s">
        <v>141</v>
      </c>
      <c r="B1953" s="59">
        <v>35669</v>
      </c>
      <c r="C1953" s="57">
        <f>YEAR(表_查询来自_northwind3[[#This Row],[订购日期]])</f>
        <v>1997</v>
      </c>
      <c r="D1953" s="1">
        <v>483.75</v>
      </c>
    </row>
    <row r="1954" spans="1:4" x14ac:dyDescent="0.25">
      <c r="A1954" s="1" t="s">
        <v>141</v>
      </c>
      <c r="B1954" s="59">
        <v>35685</v>
      </c>
      <c r="C1954" s="57">
        <f>YEAR(表_查询来自_northwind3[[#This Row],[订购日期]])</f>
        <v>1997</v>
      </c>
      <c r="D1954" s="1">
        <v>240.7999991029501</v>
      </c>
    </row>
    <row r="1955" spans="1:4" x14ac:dyDescent="0.25">
      <c r="A1955" s="1" t="s">
        <v>141</v>
      </c>
      <c r="B1955" s="59">
        <v>35690</v>
      </c>
      <c r="C1955" s="57">
        <f>YEAR(表_查询来自_northwind3[[#This Row],[订购日期]])</f>
        <v>1997</v>
      </c>
      <c r="D1955" s="1">
        <v>258</v>
      </c>
    </row>
    <row r="1956" spans="1:4" x14ac:dyDescent="0.25">
      <c r="A1956" s="1" t="s">
        <v>141</v>
      </c>
      <c r="B1956" s="59">
        <v>35713</v>
      </c>
      <c r="C1956" s="57">
        <f>YEAR(表_查询来自_northwind3[[#This Row],[订购日期]])</f>
        <v>1997</v>
      </c>
      <c r="D1956" s="1">
        <v>1031.9999961555004</v>
      </c>
    </row>
    <row r="1957" spans="1:4" x14ac:dyDescent="0.25">
      <c r="A1957" s="1" t="s">
        <v>141</v>
      </c>
      <c r="B1957" s="59">
        <v>35716</v>
      </c>
      <c r="C1957" s="57">
        <f>YEAR(表_查询来自_northwind3[[#This Row],[订购日期]])</f>
        <v>1997</v>
      </c>
      <c r="D1957" s="1">
        <v>365.49999743700027</v>
      </c>
    </row>
    <row r="1958" spans="1:4" x14ac:dyDescent="0.25">
      <c r="A1958" s="1" t="s">
        <v>141</v>
      </c>
      <c r="B1958" s="59">
        <v>35726</v>
      </c>
      <c r="C1958" s="57">
        <f>YEAR(表_查询来自_northwind3[[#This Row],[订购日期]])</f>
        <v>1997</v>
      </c>
      <c r="D1958" s="1">
        <v>645</v>
      </c>
    </row>
    <row r="1959" spans="1:4" x14ac:dyDescent="0.25">
      <c r="A1959" s="1" t="s">
        <v>141</v>
      </c>
      <c r="B1959" s="59">
        <v>35731</v>
      </c>
      <c r="C1959" s="57">
        <f>YEAR(表_查询来自_northwind3[[#This Row],[订购日期]])</f>
        <v>1997</v>
      </c>
      <c r="D1959" s="1">
        <v>172</v>
      </c>
    </row>
    <row r="1960" spans="1:4" x14ac:dyDescent="0.25">
      <c r="A1960" s="1" t="s">
        <v>141</v>
      </c>
      <c r="B1960" s="59">
        <v>35772</v>
      </c>
      <c r="C1960" s="57">
        <f>YEAR(表_查询来自_northwind3[[#This Row],[订购日期]])</f>
        <v>1997</v>
      </c>
      <c r="D1960" s="1">
        <v>258</v>
      </c>
    </row>
    <row r="1961" spans="1:4" x14ac:dyDescent="0.25">
      <c r="A1961" s="1" t="s">
        <v>141</v>
      </c>
      <c r="B1961" s="59">
        <v>35774</v>
      </c>
      <c r="C1961" s="57">
        <f>YEAR(表_查询来自_northwind3[[#This Row],[订购日期]])</f>
        <v>1997</v>
      </c>
      <c r="D1961" s="1">
        <v>344</v>
      </c>
    </row>
    <row r="1962" spans="1:4" x14ac:dyDescent="0.25">
      <c r="A1962" s="1" t="s">
        <v>141</v>
      </c>
      <c r="B1962" s="59">
        <v>35817</v>
      </c>
      <c r="C1962" s="57">
        <f>YEAR(表_查询来自_northwind3[[#This Row],[订购日期]])</f>
        <v>1998</v>
      </c>
      <c r="D1962" s="1">
        <v>945.99999647587538</v>
      </c>
    </row>
    <row r="1963" spans="1:4" x14ac:dyDescent="0.25">
      <c r="A1963" s="1" t="s">
        <v>141</v>
      </c>
      <c r="B1963" s="59">
        <v>35849</v>
      </c>
      <c r="C1963" s="57">
        <f>YEAR(表_查询来自_northwind3[[#This Row],[订购日期]])</f>
        <v>1998</v>
      </c>
      <c r="D1963" s="1">
        <v>645</v>
      </c>
    </row>
    <row r="1964" spans="1:4" x14ac:dyDescent="0.25">
      <c r="A1964" s="1" t="s">
        <v>141</v>
      </c>
      <c r="B1964" s="59">
        <v>35853</v>
      </c>
      <c r="C1964" s="57">
        <f>YEAR(表_查询来自_northwind3[[#This Row],[订购日期]])</f>
        <v>1998</v>
      </c>
      <c r="D1964" s="1">
        <v>537.5</v>
      </c>
    </row>
    <row r="1965" spans="1:4" x14ac:dyDescent="0.25">
      <c r="A1965" s="1" t="s">
        <v>141</v>
      </c>
      <c r="B1965" s="59">
        <v>35864</v>
      </c>
      <c r="C1965" s="57">
        <f>YEAR(表_查询来自_northwind3[[#This Row],[订购日期]])</f>
        <v>1998</v>
      </c>
      <c r="D1965" s="1">
        <v>564.375</v>
      </c>
    </row>
    <row r="1966" spans="1:4" x14ac:dyDescent="0.25">
      <c r="A1966" s="1" t="s">
        <v>141</v>
      </c>
      <c r="B1966" s="59">
        <v>35893</v>
      </c>
      <c r="C1966" s="57">
        <f>YEAR(表_查询来自_northwind3[[#This Row],[订购日期]])</f>
        <v>1998</v>
      </c>
      <c r="D1966" s="1">
        <v>451.5</v>
      </c>
    </row>
    <row r="1967" spans="1:4" x14ac:dyDescent="0.25">
      <c r="A1967" s="1" t="s">
        <v>141</v>
      </c>
      <c r="B1967" s="59">
        <v>35894</v>
      </c>
      <c r="C1967" s="57">
        <f>YEAR(表_查询来自_northwind3[[#This Row],[订购日期]])</f>
        <v>1998</v>
      </c>
      <c r="D1967" s="1">
        <v>430</v>
      </c>
    </row>
    <row r="1968" spans="1:4" x14ac:dyDescent="0.25">
      <c r="A1968" s="1" t="s">
        <v>141</v>
      </c>
      <c r="B1968" s="59">
        <v>35894</v>
      </c>
      <c r="C1968" s="57">
        <f>YEAR(表_查询来自_northwind3[[#This Row],[订购日期]])</f>
        <v>1998</v>
      </c>
      <c r="D1968" s="1">
        <v>1225.4999990388751</v>
      </c>
    </row>
    <row r="1969" spans="1:4" x14ac:dyDescent="0.25">
      <c r="A1969" s="1" t="s">
        <v>141</v>
      </c>
      <c r="B1969" s="59">
        <v>35900</v>
      </c>
      <c r="C1969" s="57">
        <f>YEAR(表_查询来自_northwind3[[#This Row],[订购日期]])</f>
        <v>1998</v>
      </c>
      <c r="D1969" s="1">
        <v>1075</v>
      </c>
    </row>
    <row r="1970" spans="1:4" x14ac:dyDescent="0.25">
      <c r="A1970" s="1" t="s">
        <v>141</v>
      </c>
      <c r="B1970" s="59">
        <v>35902</v>
      </c>
      <c r="C1970" s="57">
        <f>YEAR(表_查询来自_northwind3[[#This Row],[订购日期]])</f>
        <v>1998</v>
      </c>
      <c r="D1970" s="1">
        <v>344</v>
      </c>
    </row>
    <row r="1971" spans="1:4" x14ac:dyDescent="0.25">
      <c r="A1971" s="1" t="s">
        <v>141</v>
      </c>
      <c r="B1971" s="59">
        <v>35906</v>
      </c>
      <c r="C1971" s="57">
        <f>YEAR(表_查询来自_northwind3[[#This Row],[订购日期]])</f>
        <v>1998</v>
      </c>
      <c r="D1971" s="1">
        <v>645</v>
      </c>
    </row>
    <row r="1972" spans="1:4" x14ac:dyDescent="0.25">
      <c r="A1972" s="1" t="s">
        <v>142</v>
      </c>
      <c r="B1972" s="59">
        <v>35250</v>
      </c>
      <c r="C1972" s="57">
        <f>YEAR(表_查询来自_northwind3[[#This Row],[订购日期]])</f>
        <v>1996</v>
      </c>
      <c r="D1972" s="1">
        <v>174</v>
      </c>
    </row>
    <row r="1973" spans="1:4" x14ac:dyDescent="0.25">
      <c r="A1973" s="1" t="s">
        <v>142</v>
      </c>
      <c r="B1973" s="59">
        <v>35276</v>
      </c>
      <c r="C1973" s="57">
        <f>YEAR(表_查询来自_northwind3[[#This Row],[订购日期]])</f>
        <v>1996</v>
      </c>
      <c r="D1973" s="1">
        <v>111.2</v>
      </c>
    </row>
    <row r="1974" spans="1:4" x14ac:dyDescent="0.25">
      <c r="A1974" s="1" t="s">
        <v>142</v>
      </c>
      <c r="B1974" s="59">
        <v>35277</v>
      </c>
      <c r="C1974" s="57">
        <f>YEAR(表_查询来自_northwind3[[#This Row],[订购日期]])</f>
        <v>1996</v>
      </c>
      <c r="D1974" s="1">
        <v>528.19999958574772</v>
      </c>
    </row>
    <row r="1975" spans="1:4" x14ac:dyDescent="0.25">
      <c r="A1975" s="1" t="s">
        <v>142</v>
      </c>
      <c r="B1975" s="59">
        <v>35279</v>
      </c>
      <c r="C1975" s="57">
        <f>YEAR(表_查询来自_northwind3[[#This Row],[订购日期]])</f>
        <v>1996</v>
      </c>
      <c r="D1975" s="1">
        <v>667.2</v>
      </c>
    </row>
    <row r="1976" spans="1:4" x14ac:dyDescent="0.25">
      <c r="A1976" s="1" t="s">
        <v>142</v>
      </c>
      <c r="B1976" s="59">
        <v>35283</v>
      </c>
      <c r="C1976" s="57">
        <f>YEAR(表_查询来自_northwind3[[#This Row],[订购日期]])</f>
        <v>1996</v>
      </c>
      <c r="D1976" s="1">
        <v>194.6</v>
      </c>
    </row>
    <row r="1977" spans="1:4" x14ac:dyDescent="0.25">
      <c r="A1977" s="1" t="s">
        <v>142</v>
      </c>
      <c r="B1977" s="59">
        <v>35293</v>
      </c>
      <c r="C1977" s="57">
        <f>YEAR(表_查询来自_northwind3[[#This Row],[订购日期]])</f>
        <v>1996</v>
      </c>
      <c r="D1977" s="1">
        <v>83.4</v>
      </c>
    </row>
    <row r="1978" spans="1:4" x14ac:dyDescent="0.25">
      <c r="A1978" s="1" t="s">
        <v>142</v>
      </c>
      <c r="B1978" s="59">
        <v>35312</v>
      </c>
      <c r="C1978" s="57">
        <f>YEAR(表_查询来自_northwind3[[#This Row],[订购日期]])</f>
        <v>1996</v>
      </c>
      <c r="D1978" s="1">
        <v>556</v>
      </c>
    </row>
    <row r="1979" spans="1:4" x14ac:dyDescent="0.25">
      <c r="A1979" s="1" t="s">
        <v>142</v>
      </c>
      <c r="B1979" s="59">
        <v>35347</v>
      </c>
      <c r="C1979" s="57">
        <f>YEAR(表_查询来自_northwind3[[#This Row],[订购日期]])</f>
        <v>1996</v>
      </c>
      <c r="D1979" s="1">
        <v>1112</v>
      </c>
    </row>
    <row r="1980" spans="1:4" x14ac:dyDescent="0.25">
      <c r="A1980" s="1" t="s">
        <v>142</v>
      </c>
      <c r="B1980" s="59">
        <v>35354</v>
      </c>
      <c r="C1980" s="57">
        <f>YEAR(表_查询来自_northwind3[[#This Row],[订购日期]])</f>
        <v>1996</v>
      </c>
      <c r="D1980" s="1">
        <v>590.74999585747719</v>
      </c>
    </row>
    <row r="1981" spans="1:4" x14ac:dyDescent="0.25">
      <c r="A1981" s="1" t="s">
        <v>142</v>
      </c>
      <c r="B1981" s="59">
        <v>35362</v>
      </c>
      <c r="C1981" s="57">
        <f>YEAR(表_查询来自_northwind3[[#This Row],[订购日期]])</f>
        <v>1996</v>
      </c>
      <c r="D1981" s="1">
        <v>695</v>
      </c>
    </row>
    <row r="1982" spans="1:4" x14ac:dyDescent="0.25">
      <c r="A1982" s="1" t="s">
        <v>142</v>
      </c>
      <c r="B1982" s="59">
        <v>35403</v>
      </c>
      <c r="C1982" s="57">
        <f>YEAR(表_查询来自_northwind3[[#This Row],[订购日期]])</f>
        <v>1996</v>
      </c>
      <c r="D1982" s="1">
        <v>875.69999999999993</v>
      </c>
    </row>
    <row r="1983" spans="1:4" x14ac:dyDescent="0.25">
      <c r="A1983" s="1" t="s">
        <v>142</v>
      </c>
      <c r="B1983" s="59">
        <v>35422</v>
      </c>
      <c r="C1983" s="57">
        <f>YEAR(表_查询来自_northwind3[[#This Row],[订购日期]])</f>
        <v>1996</v>
      </c>
      <c r="D1983" s="1">
        <v>600.47999900579453</v>
      </c>
    </row>
    <row r="1984" spans="1:4" x14ac:dyDescent="0.25">
      <c r="A1984" s="1" t="s">
        <v>142</v>
      </c>
      <c r="B1984" s="59">
        <v>35426</v>
      </c>
      <c r="C1984" s="57">
        <f>YEAR(表_查询来自_northwind3[[#This Row],[订购日期]])</f>
        <v>1996</v>
      </c>
      <c r="D1984" s="1">
        <v>583.79999999999995</v>
      </c>
    </row>
    <row r="1985" spans="1:4" x14ac:dyDescent="0.25">
      <c r="A1985" s="1" t="s">
        <v>142</v>
      </c>
      <c r="B1985" s="59">
        <v>35465</v>
      </c>
      <c r="C1985" s="57">
        <f>YEAR(表_查询来自_northwind3[[#This Row],[订购日期]])</f>
        <v>1997</v>
      </c>
      <c r="D1985" s="1">
        <v>278</v>
      </c>
    </row>
    <row r="1986" spans="1:4" x14ac:dyDescent="0.25">
      <c r="A1986" s="1" t="s">
        <v>142</v>
      </c>
      <c r="B1986" s="59">
        <v>35488</v>
      </c>
      <c r="C1986" s="57">
        <f>YEAR(表_查询来自_northwind3[[#This Row],[订购日期]])</f>
        <v>1997</v>
      </c>
      <c r="D1986" s="1">
        <v>1112</v>
      </c>
    </row>
    <row r="1987" spans="1:4" x14ac:dyDescent="0.25">
      <c r="A1987" s="1" t="s">
        <v>142</v>
      </c>
      <c r="B1987" s="59">
        <v>35524</v>
      </c>
      <c r="C1987" s="57">
        <f>YEAR(表_查询来自_northwind3[[#This Row],[订购日期]])</f>
        <v>1997</v>
      </c>
      <c r="D1987" s="1">
        <v>695</v>
      </c>
    </row>
    <row r="1988" spans="1:4" x14ac:dyDescent="0.25">
      <c r="A1988" s="1" t="s">
        <v>142</v>
      </c>
      <c r="B1988" s="59">
        <v>35556</v>
      </c>
      <c r="C1988" s="57">
        <f>YEAR(表_查询来自_northwind3[[#This Row],[订购日期]])</f>
        <v>1997</v>
      </c>
      <c r="D1988" s="1">
        <v>313.2</v>
      </c>
    </row>
    <row r="1989" spans="1:4" x14ac:dyDescent="0.25">
      <c r="A1989" s="1" t="s">
        <v>142</v>
      </c>
      <c r="B1989" s="59">
        <v>35562</v>
      </c>
      <c r="C1989" s="57">
        <f>YEAR(表_查询来自_northwind3[[#This Row],[订购日期]])</f>
        <v>1997</v>
      </c>
      <c r="D1989" s="1">
        <v>835.2</v>
      </c>
    </row>
    <row r="1990" spans="1:4" x14ac:dyDescent="0.25">
      <c r="A1990" s="1" t="s">
        <v>142</v>
      </c>
      <c r="B1990" s="59">
        <v>35564</v>
      </c>
      <c r="C1990" s="57">
        <f>YEAR(表_查询来自_northwind3[[#This Row],[订购日期]])</f>
        <v>1997</v>
      </c>
      <c r="D1990" s="1">
        <v>730.8</v>
      </c>
    </row>
    <row r="1991" spans="1:4" x14ac:dyDescent="0.25">
      <c r="A1991" s="1" t="s">
        <v>142</v>
      </c>
      <c r="B1991" s="59">
        <v>35565</v>
      </c>
      <c r="C1991" s="57">
        <f>YEAR(表_查询来自_northwind3[[#This Row],[订购日期]])</f>
        <v>1997</v>
      </c>
      <c r="D1991" s="1">
        <v>34.799999999999997</v>
      </c>
    </row>
    <row r="1992" spans="1:4" x14ac:dyDescent="0.25">
      <c r="A1992" s="1" t="s">
        <v>142</v>
      </c>
      <c r="B1992" s="59">
        <v>35584</v>
      </c>
      <c r="C1992" s="57">
        <f>YEAR(表_查询来自_northwind3[[#This Row],[订购日期]])</f>
        <v>1997</v>
      </c>
      <c r="D1992" s="1">
        <v>835.2</v>
      </c>
    </row>
    <row r="1993" spans="1:4" x14ac:dyDescent="0.25">
      <c r="A1993" s="1" t="s">
        <v>142</v>
      </c>
      <c r="B1993" s="59">
        <v>35601</v>
      </c>
      <c r="C1993" s="57">
        <f>YEAR(表_查询来自_northwind3[[#This Row],[订购日期]])</f>
        <v>1997</v>
      </c>
      <c r="D1993" s="1">
        <v>1044</v>
      </c>
    </row>
    <row r="1994" spans="1:4" x14ac:dyDescent="0.25">
      <c r="A1994" s="1" t="s">
        <v>142</v>
      </c>
      <c r="B1994" s="59">
        <v>35633</v>
      </c>
      <c r="C1994" s="57">
        <f>YEAR(表_查询来自_northwind3[[#This Row],[订购日期]])</f>
        <v>1997</v>
      </c>
      <c r="D1994" s="1">
        <v>417.6</v>
      </c>
    </row>
    <row r="1995" spans="1:4" x14ac:dyDescent="0.25">
      <c r="A1995" s="1" t="s">
        <v>142</v>
      </c>
      <c r="B1995" s="59">
        <v>35662</v>
      </c>
      <c r="C1995" s="57">
        <f>YEAR(表_查询来自_northwind3[[#This Row],[订购日期]])</f>
        <v>1997</v>
      </c>
      <c r="D1995" s="1">
        <v>2088</v>
      </c>
    </row>
    <row r="1996" spans="1:4" x14ac:dyDescent="0.25">
      <c r="A1996" s="1" t="s">
        <v>142</v>
      </c>
      <c r="B1996" s="59">
        <v>35670</v>
      </c>
      <c r="C1996" s="57">
        <f>YEAR(表_查询来自_northwind3[[#This Row],[订购日期]])</f>
        <v>1997</v>
      </c>
      <c r="D1996" s="1">
        <v>522</v>
      </c>
    </row>
    <row r="1997" spans="1:4" x14ac:dyDescent="0.25">
      <c r="A1997" s="1" t="s">
        <v>142</v>
      </c>
      <c r="B1997" s="59">
        <v>35748</v>
      </c>
      <c r="C1997" s="57">
        <f>YEAR(表_查询来自_northwind3[[#This Row],[订购日期]])</f>
        <v>1997</v>
      </c>
      <c r="D1997" s="1">
        <v>1218</v>
      </c>
    </row>
    <row r="1998" spans="1:4" x14ac:dyDescent="0.25">
      <c r="A1998" s="1" t="s">
        <v>142</v>
      </c>
      <c r="B1998" s="59">
        <v>35752</v>
      </c>
      <c r="C1998" s="57">
        <f>YEAR(表_查询来自_northwind3[[#This Row],[订购日期]])</f>
        <v>1997</v>
      </c>
      <c r="D1998" s="1">
        <v>243.6</v>
      </c>
    </row>
    <row r="1999" spans="1:4" x14ac:dyDescent="0.25">
      <c r="A1999" s="1" t="s">
        <v>142</v>
      </c>
      <c r="B1999" s="59">
        <v>35782</v>
      </c>
      <c r="C1999" s="57">
        <f>YEAR(表_查询来自_northwind3[[#This Row],[订购日期]])</f>
        <v>1997</v>
      </c>
      <c r="D1999" s="1">
        <v>887.39999377727509</v>
      </c>
    </row>
    <row r="2000" spans="1:4" x14ac:dyDescent="0.25">
      <c r="A2000" s="1" t="s">
        <v>142</v>
      </c>
      <c r="B2000" s="59">
        <v>35790</v>
      </c>
      <c r="C2000" s="57">
        <f>YEAR(表_查询来自_northwind3[[#This Row],[订购日期]])</f>
        <v>1997</v>
      </c>
      <c r="D2000" s="1">
        <v>348</v>
      </c>
    </row>
    <row r="2001" spans="1:4" x14ac:dyDescent="0.25">
      <c r="A2001" s="1" t="s">
        <v>142</v>
      </c>
      <c r="B2001" s="59">
        <v>35797</v>
      </c>
      <c r="C2001" s="57">
        <f>YEAR(表_查询来自_northwind3[[#This Row],[订购日期]])</f>
        <v>1998</v>
      </c>
      <c r="D2001" s="1">
        <v>1252.7999979257584</v>
      </c>
    </row>
    <row r="2002" spans="1:4" x14ac:dyDescent="0.25">
      <c r="A2002" s="1" t="s">
        <v>142</v>
      </c>
      <c r="B2002" s="59">
        <v>35814</v>
      </c>
      <c r="C2002" s="57">
        <f>YEAR(表_查询来自_northwind3[[#This Row],[订购日期]])</f>
        <v>1998</v>
      </c>
      <c r="D2002" s="1">
        <v>469.79999922215939</v>
      </c>
    </row>
    <row r="2003" spans="1:4" x14ac:dyDescent="0.25">
      <c r="A2003" s="1" t="s">
        <v>142</v>
      </c>
      <c r="B2003" s="59">
        <v>35858</v>
      </c>
      <c r="C2003" s="57">
        <f>YEAR(表_查询来自_northwind3[[#This Row],[订购日期]])</f>
        <v>1998</v>
      </c>
      <c r="D2003" s="1">
        <v>348</v>
      </c>
    </row>
    <row r="2004" spans="1:4" x14ac:dyDescent="0.25">
      <c r="A2004" s="1" t="s">
        <v>142</v>
      </c>
      <c r="B2004" s="59">
        <v>35860</v>
      </c>
      <c r="C2004" s="57">
        <f>YEAR(表_查询来自_northwind3[[#This Row],[订购日期]])</f>
        <v>1998</v>
      </c>
      <c r="D2004" s="1">
        <v>556.79999999999995</v>
      </c>
    </row>
    <row r="2005" spans="1:4" x14ac:dyDescent="0.25">
      <c r="A2005" s="1" t="s">
        <v>142</v>
      </c>
      <c r="B2005" s="59">
        <v>35865</v>
      </c>
      <c r="C2005" s="57">
        <f>YEAR(表_查询来自_northwind3[[#This Row],[订购日期]])</f>
        <v>1998</v>
      </c>
      <c r="D2005" s="1">
        <v>1740</v>
      </c>
    </row>
    <row r="2006" spans="1:4" x14ac:dyDescent="0.25">
      <c r="A2006" s="1" t="s">
        <v>142</v>
      </c>
      <c r="B2006" s="59">
        <v>35872</v>
      </c>
      <c r="C2006" s="57">
        <f>YEAR(表_查询来自_northwind3[[#This Row],[订购日期]])</f>
        <v>1998</v>
      </c>
      <c r="D2006" s="1">
        <v>174</v>
      </c>
    </row>
    <row r="2007" spans="1:4" x14ac:dyDescent="0.25">
      <c r="A2007" s="1" t="s">
        <v>142</v>
      </c>
      <c r="B2007" s="59">
        <v>35885</v>
      </c>
      <c r="C2007" s="57">
        <f>YEAR(表_查询来自_northwind3[[#This Row],[订购日期]])</f>
        <v>1998</v>
      </c>
      <c r="D2007" s="1">
        <v>696</v>
      </c>
    </row>
    <row r="2008" spans="1:4" x14ac:dyDescent="0.25">
      <c r="A2008" s="1" t="s">
        <v>142</v>
      </c>
      <c r="B2008" s="59">
        <v>35886</v>
      </c>
      <c r="C2008" s="57">
        <f>YEAR(表_查询来自_northwind3[[#This Row],[订购日期]])</f>
        <v>1998</v>
      </c>
      <c r="D2008" s="1">
        <v>69.599999999999994</v>
      </c>
    </row>
    <row r="2009" spans="1:4" x14ac:dyDescent="0.25">
      <c r="A2009" s="1" t="s">
        <v>142</v>
      </c>
      <c r="B2009" s="59">
        <v>35899</v>
      </c>
      <c r="C2009" s="57">
        <f>YEAR(表_查询来自_northwind3[[#This Row],[订购日期]])</f>
        <v>1998</v>
      </c>
      <c r="D2009" s="1">
        <v>1218</v>
      </c>
    </row>
    <row r="2010" spans="1:4" x14ac:dyDescent="0.25">
      <c r="A2010" s="1" t="s">
        <v>143</v>
      </c>
      <c r="B2010" s="59">
        <v>35289</v>
      </c>
      <c r="C2010" s="57">
        <f>YEAR(表_查询来自_northwind3[[#This Row],[订购日期]])</f>
        <v>1996</v>
      </c>
      <c r="D2010" s="1">
        <v>300</v>
      </c>
    </row>
    <row r="2011" spans="1:4" x14ac:dyDescent="0.25">
      <c r="A2011" s="1" t="s">
        <v>143</v>
      </c>
      <c r="B2011" s="59">
        <v>35451</v>
      </c>
      <c r="C2011" s="57">
        <f>YEAR(表_查询来自_northwind3[[#This Row],[订购日期]])</f>
        <v>1997</v>
      </c>
      <c r="D2011" s="1">
        <v>215.99999964237213</v>
      </c>
    </row>
    <row r="2012" spans="1:4" x14ac:dyDescent="0.25">
      <c r="A2012" s="1" t="s">
        <v>143</v>
      </c>
      <c r="B2012" s="59">
        <v>35516</v>
      </c>
      <c r="C2012" s="57">
        <f>YEAR(表_查询来自_northwind3[[#This Row],[订购日期]])</f>
        <v>1997</v>
      </c>
      <c r="D2012" s="1">
        <v>191.99999928474426</v>
      </c>
    </row>
    <row r="2013" spans="1:4" x14ac:dyDescent="0.25">
      <c r="A2013" s="1" t="s">
        <v>143</v>
      </c>
      <c r="B2013" s="59">
        <v>35562</v>
      </c>
      <c r="C2013" s="57">
        <f>YEAR(表_查询来自_northwind3[[#This Row],[订购日期]])</f>
        <v>1997</v>
      </c>
      <c r="D2013" s="1">
        <v>341.9999997317791</v>
      </c>
    </row>
    <row r="2014" spans="1:4" x14ac:dyDescent="0.25">
      <c r="A2014" s="1" t="s">
        <v>143</v>
      </c>
      <c r="B2014" s="59">
        <v>35564</v>
      </c>
      <c r="C2014" s="57">
        <f>YEAR(表_查询来自_northwind3[[#This Row],[订购日期]])</f>
        <v>1997</v>
      </c>
      <c r="D2014" s="1">
        <v>135</v>
      </c>
    </row>
    <row r="2015" spans="1:4" x14ac:dyDescent="0.25">
      <c r="A2015" s="1" t="s">
        <v>143</v>
      </c>
      <c r="B2015" s="59">
        <v>35585</v>
      </c>
      <c r="C2015" s="57">
        <f>YEAR(表_查询来自_northwind3[[#This Row],[订购日期]])</f>
        <v>1997</v>
      </c>
      <c r="D2015" s="1">
        <v>45</v>
      </c>
    </row>
    <row r="2016" spans="1:4" x14ac:dyDescent="0.25">
      <c r="A2016" s="1" t="s">
        <v>143</v>
      </c>
      <c r="B2016" s="59">
        <v>35627</v>
      </c>
      <c r="C2016" s="57">
        <f>YEAR(表_查询来自_northwind3[[#This Row],[订购日期]])</f>
        <v>1997</v>
      </c>
      <c r="D2016" s="1">
        <v>450</v>
      </c>
    </row>
    <row r="2017" spans="1:4" x14ac:dyDescent="0.25">
      <c r="A2017" s="1" t="s">
        <v>143</v>
      </c>
      <c r="B2017" s="59">
        <v>35653</v>
      </c>
      <c r="C2017" s="57">
        <f>YEAR(表_查询来自_northwind3[[#This Row],[订购日期]])</f>
        <v>1997</v>
      </c>
      <c r="D2017" s="1">
        <v>446.24999687075615</v>
      </c>
    </row>
    <row r="2018" spans="1:4" x14ac:dyDescent="0.25">
      <c r="A2018" s="1" t="s">
        <v>143</v>
      </c>
      <c r="B2018" s="59">
        <v>35689</v>
      </c>
      <c r="C2018" s="57">
        <f>YEAR(表_查询来自_northwind3[[#This Row],[订购日期]])</f>
        <v>1997</v>
      </c>
      <c r="D2018" s="1">
        <v>750</v>
      </c>
    </row>
    <row r="2019" spans="1:4" x14ac:dyDescent="0.25">
      <c r="A2019" s="1" t="s">
        <v>143</v>
      </c>
      <c r="B2019" s="59">
        <v>35709</v>
      </c>
      <c r="C2019" s="57">
        <f>YEAR(表_查询来自_northwind3[[#This Row],[订购日期]])</f>
        <v>1997</v>
      </c>
      <c r="D2019" s="1">
        <v>191.24999865889549</v>
      </c>
    </row>
    <row r="2020" spans="1:4" x14ac:dyDescent="0.25">
      <c r="A2020" s="1" t="s">
        <v>143</v>
      </c>
      <c r="B2020" s="59">
        <v>35717</v>
      </c>
      <c r="C2020" s="57">
        <f>YEAR(表_查询来自_northwind3[[#This Row],[订购日期]])</f>
        <v>1997</v>
      </c>
      <c r="D2020" s="1">
        <v>525</v>
      </c>
    </row>
    <row r="2021" spans="1:4" x14ac:dyDescent="0.25">
      <c r="A2021" s="1" t="s">
        <v>143</v>
      </c>
      <c r="B2021" s="59">
        <v>35758</v>
      </c>
      <c r="C2021" s="57">
        <f>YEAR(表_查询来自_northwind3[[#This Row],[订购日期]])</f>
        <v>1997</v>
      </c>
      <c r="D2021" s="1">
        <v>225</v>
      </c>
    </row>
    <row r="2022" spans="1:4" x14ac:dyDescent="0.25">
      <c r="A2022" s="1" t="s">
        <v>143</v>
      </c>
      <c r="B2022" s="59">
        <v>35837</v>
      </c>
      <c r="C2022" s="57">
        <f>YEAR(表_查询来自_northwind3[[#This Row],[订购日期]])</f>
        <v>1998</v>
      </c>
      <c r="D2022" s="1">
        <v>150</v>
      </c>
    </row>
    <row r="2023" spans="1:4" x14ac:dyDescent="0.25">
      <c r="A2023" s="1" t="s">
        <v>143</v>
      </c>
      <c r="B2023" s="59">
        <v>35921</v>
      </c>
      <c r="C2023" s="57">
        <f>YEAR(表_查询来自_northwind3[[#This Row],[订购日期]])</f>
        <v>1998</v>
      </c>
      <c r="D2023" s="1">
        <v>29.700000006705523</v>
      </c>
    </row>
    <row r="2024" spans="1:4" x14ac:dyDescent="0.25">
      <c r="A2024" s="1" t="s">
        <v>144</v>
      </c>
      <c r="B2024" s="59">
        <v>35257</v>
      </c>
      <c r="C2024" s="57">
        <f>YEAR(表_查询来自_northwind3[[#This Row],[订购日期]])</f>
        <v>1996</v>
      </c>
      <c r="D2024" s="1">
        <v>168</v>
      </c>
    </row>
    <row r="2025" spans="1:4" x14ac:dyDescent="0.25">
      <c r="A2025" s="1" t="s">
        <v>144</v>
      </c>
      <c r="B2025" s="59">
        <v>35269</v>
      </c>
      <c r="C2025" s="57">
        <f>YEAR(表_查询来自_northwind3[[#This Row],[订购日期]])</f>
        <v>1996</v>
      </c>
      <c r="D2025" s="1">
        <v>216</v>
      </c>
    </row>
    <row r="2026" spans="1:4" x14ac:dyDescent="0.25">
      <c r="A2026" s="1" t="s">
        <v>144</v>
      </c>
      <c r="B2026" s="59">
        <v>35402</v>
      </c>
      <c r="C2026" s="57">
        <f>YEAR(表_查询来自_northwind3[[#This Row],[订购日期]])</f>
        <v>1996</v>
      </c>
      <c r="D2026" s="1">
        <v>135.99999904632568</v>
      </c>
    </row>
    <row r="2027" spans="1:4" x14ac:dyDescent="0.25">
      <c r="A2027" s="1" t="s">
        <v>144</v>
      </c>
      <c r="B2027" s="59">
        <v>35411</v>
      </c>
      <c r="C2027" s="57">
        <f>YEAR(表_查询来自_northwind3[[#This Row],[订购日期]])</f>
        <v>1996</v>
      </c>
      <c r="D2027" s="1">
        <v>112</v>
      </c>
    </row>
    <row r="2028" spans="1:4" x14ac:dyDescent="0.25">
      <c r="A2028" s="1" t="s">
        <v>144</v>
      </c>
      <c r="B2028" s="59">
        <v>35412</v>
      </c>
      <c r="C2028" s="57">
        <f>YEAR(表_查询来自_northwind3[[#This Row],[订购日期]])</f>
        <v>1996</v>
      </c>
      <c r="D2028" s="1">
        <v>400</v>
      </c>
    </row>
    <row r="2029" spans="1:4" x14ac:dyDescent="0.25">
      <c r="A2029" s="1" t="s">
        <v>144</v>
      </c>
      <c r="B2029" s="59">
        <v>35447</v>
      </c>
      <c r="C2029" s="57">
        <f>YEAR(表_查询来自_northwind3[[#This Row],[订购日期]])</f>
        <v>1997</v>
      </c>
      <c r="D2029" s="1">
        <v>120</v>
      </c>
    </row>
    <row r="2030" spans="1:4" x14ac:dyDescent="0.25">
      <c r="A2030" s="1" t="s">
        <v>144</v>
      </c>
      <c r="B2030" s="59">
        <v>35468</v>
      </c>
      <c r="C2030" s="57">
        <f>YEAR(表_查询来自_northwind3[[#This Row],[订购日期]])</f>
        <v>1997</v>
      </c>
      <c r="D2030" s="1">
        <v>240</v>
      </c>
    </row>
    <row r="2031" spans="1:4" x14ac:dyDescent="0.25">
      <c r="A2031" s="1" t="s">
        <v>144</v>
      </c>
      <c r="B2031" s="59">
        <v>35515</v>
      </c>
      <c r="C2031" s="57">
        <f>YEAR(表_查询来自_northwind3[[#This Row],[订购日期]])</f>
        <v>1997</v>
      </c>
      <c r="D2031" s="1">
        <v>128</v>
      </c>
    </row>
    <row r="2032" spans="1:4" x14ac:dyDescent="0.25">
      <c r="A2032" s="1" t="s">
        <v>144</v>
      </c>
      <c r="B2032" s="59">
        <v>35759</v>
      </c>
      <c r="C2032" s="57">
        <f>YEAR(表_查询来自_northwind3[[#This Row],[订购日期]])</f>
        <v>1997</v>
      </c>
      <c r="D2032" s="1">
        <v>50</v>
      </c>
    </row>
    <row r="2033" spans="1:4" x14ac:dyDescent="0.25">
      <c r="A2033" s="1" t="s">
        <v>144</v>
      </c>
      <c r="B2033" s="59">
        <v>35781</v>
      </c>
      <c r="C2033" s="57">
        <f>YEAR(表_查询来自_northwind3[[#This Row],[订购日期]])</f>
        <v>1997</v>
      </c>
      <c r="D2033" s="1">
        <v>350</v>
      </c>
    </row>
    <row r="2034" spans="1:4" x14ac:dyDescent="0.25">
      <c r="A2034" s="1" t="s">
        <v>144</v>
      </c>
      <c r="B2034" s="59">
        <v>35795</v>
      </c>
      <c r="C2034" s="57">
        <f>YEAR(表_查询来自_northwind3[[#This Row],[订购日期]])</f>
        <v>1997</v>
      </c>
      <c r="D2034" s="1">
        <v>112.5</v>
      </c>
    </row>
    <row r="2035" spans="1:4" x14ac:dyDescent="0.25">
      <c r="A2035" s="1" t="s">
        <v>144</v>
      </c>
      <c r="B2035" s="59">
        <v>35817</v>
      </c>
      <c r="C2035" s="57">
        <f>YEAR(表_查询来自_northwind3[[#This Row],[订购日期]])</f>
        <v>1998</v>
      </c>
      <c r="D2035" s="1">
        <v>200</v>
      </c>
    </row>
    <row r="2036" spans="1:4" x14ac:dyDescent="0.25">
      <c r="A2036" s="1" t="s">
        <v>144</v>
      </c>
      <c r="B2036" s="59">
        <v>35888</v>
      </c>
      <c r="C2036" s="57">
        <f>YEAR(表_查询来自_northwind3[[#This Row],[订购日期]])</f>
        <v>1998</v>
      </c>
      <c r="D2036" s="1">
        <v>200</v>
      </c>
    </row>
    <row r="2037" spans="1:4" x14ac:dyDescent="0.25">
      <c r="A2037" s="1" t="s">
        <v>145</v>
      </c>
      <c r="B2037" s="59">
        <v>35291</v>
      </c>
      <c r="C2037" s="57">
        <f>YEAR(表_查询来自_northwind3[[#This Row],[订购日期]])</f>
        <v>1996</v>
      </c>
      <c r="D2037" s="1">
        <v>186</v>
      </c>
    </row>
    <row r="2038" spans="1:4" x14ac:dyDescent="0.25">
      <c r="A2038" s="1" t="s">
        <v>145</v>
      </c>
      <c r="B2038" s="59">
        <v>35306</v>
      </c>
      <c r="C2038" s="57">
        <f>YEAR(表_查询来自_northwind3[[#This Row],[订购日期]])</f>
        <v>1996</v>
      </c>
      <c r="D2038" s="1">
        <v>37.200000000000003</v>
      </c>
    </row>
    <row r="2039" spans="1:4" x14ac:dyDescent="0.25">
      <c r="A2039" s="1" t="s">
        <v>145</v>
      </c>
      <c r="B2039" s="59">
        <v>35307</v>
      </c>
      <c r="C2039" s="57">
        <f>YEAR(表_查询来自_northwind3[[#This Row],[订购日期]])</f>
        <v>1996</v>
      </c>
      <c r="D2039" s="1">
        <v>37.200000000000003</v>
      </c>
    </row>
    <row r="2040" spans="1:4" x14ac:dyDescent="0.25">
      <c r="A2040" s="1" t="s">
        <v>145</v>
      </c>
      <c r="B2040" s="59">
        <v>35331</v>
      </c>
      <c r="C2040" s="57">
        <f>YEAR(表_查询来自_northwind3[[#This Row],[订购日期]])</f>
        <v>1996</v>
      </c>
      <c r="D2040" s="1">
        <v>62</v>
      </c>
    </row>
    <row r="2041" spans="1:4" x14ac:dyDescent="0.25">
      <c r="A2041" s="1" t="s">
        <v>145</v>
      </c>
      <c r="B2041" s="59">
        <v>35348</v>
      </c>
      <c r="C2041" s="57">
        <f>YEAR(表_查询来自_northwind3[[#This Row],[订购日期]])</f>
        <v>1996</v>
      </c>
      <c r="D2041" s="1">
        <v>310</v>
      </c>
    </row>
    <row r="2042" spans="1:4" x14ac:dyDescent="0.25">
      <c r="A2042" s="1" t="s">
        <v>145</v>
      </c>
      <c r="B2042" s="59">
        <v>35375</v>
      </c>
      <c r="C2042" s="57">
        <f>YEAR(表_查询来自_northwind3[[#This Row],[订购日期]])</f>
        <v>1996</v>
      </c>
      <c r="D2042" s="1">
        <v>31.619999778270724</v>
      </c>
    </row>
    <row r="2043" spans="1:4" x14ac:dyDescent="0.25">
      <c r="A2043" s="1" t="s">
        <v>145</v>
      </c>
      <c r="B2043" s="59">
        <v>35395</v>
      </c>
      <c r="C2043" s="57">
        <f>YEAR(表_查询来自_northwind3[[#This Row],[订购日期]])</f>
        <v>1996</v>
      </c>
      <c r="D2043" s="1">
        <v>74.400000000000006</v>
      </c>
    </row>
    <row r="2044" spans="1:4" x14ac:dyDescent="0.25">
      <c r="A2044" s="1" t="s">
        <v>145</v>
      </c>
      <c r="B2044" s="59">
        <v>35466</v>
      </c>
      <c r="C2044" s="57">
        <f>YEAR(表_查询来自_northwind3[[#This Row],[订购日期]])</f>
        <v>1997</v>
      </c>
      <c r="D2044" s="1">
        <v>133.91999977827072</v>
      </c>
    </row>
    <row r="2045" spans="1:4" x14ac:dyDescent="0.25">
      <c r="A2045" s="1" t="s">
        <v>145</v>
      </c>
      <c r="B2045" s="59">
        <v>35489</v>
      </c>
      <c r="C2045" s="57">
        <f>YEAR(表_查询来自_northwind3[[#This Row],[订购日期]])</f>
        <v>1997</v>
      </c>
      <c r="D2045" s="1">
        <v>18.600000000000001</v>
      </c>
    </row>
    <row r="2046" spans="1:4" x14ac:dyDescent="0.25">
      <c r="A2046" s="1" t="s">
        <v>145</v>
      </c>
      <c r="B2046" s="59">
        <v>35502</v>
      </c>
      <c r="C2046" s="57">
        <f>YEAR(表_查询来自_northwind3[[#This Row],[订购日期]])</f>
        <v>1997</v>
      </c>
      <c r="D2046" s="1">
        <v>62</v>
      </c>
    </row>
    <row r="2047" spans="1:4" x14ac:dyDescent="0.25">
      <c r="A2047" s="1" t="s">
        <v>145</v>
      </c>
      <c r="B2047" s="59">
        <v>35520</v>
      </c>
      <c r="C2047" s="57">
        <f>YEAR(表_查询来自_northwind3[[#This Row],[订购日期]])</f>
        <v>1997</v>
      </c>
      <c r="D2047" s="1">
        <v>223.2</v>
      </c>
    </row>
    <row r="2048" spans="1:4" x14ac:dyDescent="0.25">
      <c r="A2048" s="1" t="s">
        <v>145</v>
      </c>
      <c r="B2048" s="59">
        <v>35538</v>
      </c>
      <c r="C2048" s="57">
        <f>YEAR(表_查询来自_northwind3[[#This Row],[订购日期]])</f>
        <v>1997</v>
      </c>
      <c r="D2048" s="1">
        <v>251.0999995842576</v>
      </c>
    </row>
    <row r="2049" spans="1:4" x14ac:dyDescent="0.25">
      <c r="A2049" s="1" t="s">
        <v>145</v>
      </c>
      <c r="B2049" s="59">
        <v>35542</v>
      </c>
      <c r="C2049" s="57">
        <f>YEAR(表_查询来自_northwind3[[#This Row],[订购日期]])</f>
        <v>1997</v>
      </c>
      <c r="D2049" s="1">
        <v>387.5</v>
      </c>
    </row>
    <row r="2050" spans="1:4" x14ac:dyDescent="0.25">
      <c r="A2050" s="1" t="s">
        <v>145</v>
      </c>
      <c r="B2050" s="59">
        <v>35579</v>
      </c>
      <c r="C2050" s="57">
        <f>YEAR(表_查询来自_northwind3[[#This Row],[订购日期]])</f>
        <v>1997</v>
      </c>
      <c r="D2050" s="1">
        <v>232.5</v>
      </c>
    </row>
    <row r="2051" spans="1:4" x14ac:dyDescent="0.25">
      <c r="A2051" s="1" t="s">
        <v>145</v>
      </c>
      <c r="B2051" s="59">
        <v>35584</v>
      </c>
      <c r="C2051" s="57">
        <f>YEAR(表_查询来自_northwind3[[#This Row],[订购日期]])</f>
        <v>1997</v>
      </c>
      <c r="D2051" s="1">
        <v>155</v>
      </c>
    </row>
    <row r="2052" spans="1:4" x14ac:dyDescent="0.25">
      <c r="A2052" s="1" t="s">
        <v>145</v>
      </c>
      <c r="B2052" s="59">
        <v>35599</v>
      </c>
      <c r="C2052" s="57">
        <f>YEAR(表_查询来自_northwind3[[#This Row],[订购日期]])</f>
        <v>1997</v>
      </c>
      <c r="D2052" s="1">
        <v>104.624999826774</v>
      </c>
    </row>
    <row r="2053" spans="1:4" x14ac:dyDescent="0.25">
      <c r="A2053" s="1" t="s">
        <v>145</v>
      </c>
      <c r="B2053" s="59">
        <v>35604</v>
      </c>
      <c r="C2053" s="57">
        <f>YEAR(表_查询来自_northwind3[[#This Row],[订购日期]])</f>
        <v>1997</v>
      </c>
      <c r="D2053" s="1">
        <v>155</v>
      </c>
    </row>
    <row r="2054" spans="1:4" x14ac:dyDescent="0.25">
      <c r="A2054" s="1" t="s">
        <v>145</v>
      </c>
      <c r="B2054" s="59">
        <v>35606</v>
      </c>
      <c r="C2054" s="57">
        <f>YEAR(表_查询来自_northwind3[[#This Row],[订购日期]])</f>
        <v>1997</v>
      </c>
      <c r="D2054" s="1">
        <v>162.75</v>
      </c>
    </row>
    <row r="2055" spans="1:4" x14ac:dyDescent="0.25">
      <c r="A2055" s="1" t="s">
        <v>145</v>
      </c>
      <c r="B2055" s="59">
        <v>35607</v>
      </c>
      <c r="C2055" s="57">
        <f>YEAR(表_查询来自_northwind3[[#This Row],[订购日期]])</f>
        <v>1997</v>
      </c>
      <c r="D2055" s="1">
        <v>309.99999884516001</v>
      </c>
    </row>
    <row r="2056" spans="1:4" x14ac:dyDescent="0.25">
      <c r="A2056" s="1" t="s">
        <v>145</v>
      </c>
      <c r="B2056" s="59">
        <v>35622</v>
      </c>
      <c r="C2056" s="57">
        <f>YEAR(表_查询来自_northwind3[[#This Row],[订购日期]])</f>
        <v>1997</v>
      </c>
      <c r="D2056" s="1">
        <v>185.999999307096</v>
      </c>
    </row>
    <row r="2057" spans="1:4" x14ac:dyDescent="0.25">
      <c r="A2057" s="1" t="s">
        <v>145</v>
      </c>
      <c r="B2057" s="59">
        <v>35640</v>
      </c>
      <c r="C2057" s="57">
        <f>YEAR(表_查询来自_northwind3[[#This Row],[订购日期]])</f>
        <v>1997</v>
      </c>
      <c r="D2057" s="1">
        <v>310</v>
      </c>
    </row>
    <row r="2058" spans="1:4" x14ac:dyDescent="0.25">
      <c r="A2058" s="1" t="s">
        <v>145</v>
      </c>
      <c r="B2058" s="59">
        <v>35656</v>
      </c>
      <c r="C2058" s="57">
        <f>YEAR(表_查询来自_northwind3[[#This Row],[订购日期]])</f>
        <v>1997</v>
      </c>
      <c r="D2058" s="1">
        <v>55.799999907612801</v>
      </c>
    </row>
    <row r="2059" spans="1:4" x14ac:dyDescent="0.25">
      <c r="A2059" s="1" t="s">
        <v>145</v>
      </c>
      <c r="B2059" s="59">
        <v>35657</v>
      </c>
      <c r="C2059" s="57">
        <f>YEAR(表_查询来自_northwind3[[#This Row],[订购日期]])</f>
        <v>1997</v>
      </c>
      <c r="D2059" s="1">
        <v>15.5</v>
      </c>
    </row>
    <row r="2060" spans="1:4" x14ac:dyDescent="0.25">
      <c r="A2060" s="1" t="s">
        <v>145</v>
      </c>
      <c r="B2060" s="59">
        <v>35689</v>
      </c>
      <c r="C2060" s="57">
        <f>YEAR(表_查询来自_northwind3[[#This Row],[订购日期]])</f>
        <v>1997</v>
      </c>
      <c r="D2060" s="1">
        <v>193.75</v>
      </c>
    </row>
    <row r="2061" spans="1:4" x14ac:dyDescent="0.25">
      <c r="A2061" s="1" t="s">
        <v>145</v>
      </c>
      <c r="B2061" s="59">
        <v>35698</v>
      </c>
      <c r="C2061" s="57">
        <f>YEAR(表_查询来自_northwind3[[#This Row],[订购日期]])</f>
        <v>1997</v>
      </c>
      <c r="D2061" s="1">
        <v>232.5</v>
      </c>
    </row>
    <row r="2062" spans="1:4" x14ac:dyDescent="0.25">
      <c r="A2062" s="1" t="s">
        <v>145</v>
      </c>
      <c r="B2062" s="59">
        <v>35732</v>
      </c>
      <c r="C2062" s="57">
        <f>YEAR(表_查询来自_northwind3[[#This Row],[订购日期]])</f>
        <v>1997</v>
      </c>
      <c r="D2062" s="1">
        <v>325.5</v>
      </c>
    </row>
    <row r="2063" spans="1:4" x14ac:dyDescent="0.25">
      <c r="A2063" s="1" t="s">
        <v>145</v>
      </c>
      <c r="B2063" s="59">
        <v>35745</v>
      </c>
      <c r="C2063" s="57">
        <f>YEAR(表_查询来自_northwind3[[#This Row],[订购日期]])</f>
        <v>1997</v>
      </c>
      <c r="D2063" s="1">
        <v>155</v>
      </c>
    </row>
    <row r="2064" spans="1:4" x14ac:dyDescent="0.25">
      <c r="A2064" s="1" t="s">
        <v>145</v>
      </c>
      <c r="B2064" s="59">
        <v>35766</v>
      </c>
      <c r="C2064" s="57">
        <f>YEAR(表_查询来自_northwind3[[#This Row],[订购日期]])</f>
        <v>1997</v>
      </c>
      <c r="D2064" s="1">
        <v>139.5</v>
      </c>
    </row>
    <row r="2065" spans="1:4" x14ac:dyDescent="0.25">
      <c r="A2065" s="1" t="s">
        <v>145</v>
      </c>
      <c r="B2065" s="59">
        <v>35775</v>
      </c>
      <c r="C2065" s="57">
        <f>YEAR(表_查询来自_northwind3[[#This Row],[订购日期]])</f>
        <v>1997</v>
      </c>
      <c r="D2065" s="1">
        <v>43.399999838322401</v>
      </c>
    </row>
    <row r="2066" spans="1:4" x14ac:dyDescent="0.25">
      <c r="A2066" s="1" t="s">
        <v>145</v>
      </c>
      <c r="B2066" s="59">
        <v>35782</v>
      </c>
      <c r="C2066" s="57">
        <f>YEAR(表_查询来自_northwind3[[#This Row],[订购日期]])</f>
        <v>1997</v>
      </c>
      <c r="D2066" s="1">
        <v>77.5</v>
      </c>
    </row>
    <row r="2067" spans="1:4" x14ac:dyDescent="0.25">
      <c r="A2067" s="1" t="s">
        <v>145</v>
      </c>
      <c r="B2067" s="59">
        <v>35783</v>
      </c>
      <c r="C2067" s="57">
        <f>YEAR(表_查询来自_northwind3[[#This Row],[订购日期]])</f>
        <v>1997</v>
      </c>
      <c r="D2067" s="1">
        <v>260.39999902993441</v>
      </c>
    </row>
    <row r="2068" spans="1:4" x14ac:dyDescent="0.25">
      <c r="A2068" s="1" t="s">
        <v>145</v>
      </c>
      <c r="B2068" s="59">
        <v>35786</v>
      </c>
      <c r="C2068" s="57">
        <f>YEAR(表_查询来自_northwind3[[#This Row],[订购日期]])</f>
        <v>1997</v>
      </c>
      <c r="D2068" s="1">
        <v>294.499999769032</v>
      </c>
    </row>
    <row r="2069" spans="1:4" x14ac:dyDescent="0.25">
      <c r="A2069" s="1" t="s">
        <v>145</v>
      </c>
      <c r="B2069" s="59">
        <v>35802</v>
      </c>
      <c r="C2069" s="57">
        <f>YEAR(表_查询来自_northwind3[[#This Row],[订购日期]])</f>
        <v>1998</v>
      </c>
      <c r="D2069" s="1">
        <v>155</v>
      </c>
    </row>
    <row r="2070" spans="1:4" x14ac:dyDescent="0.25">
      <c r="A2070" s="1" t="s">
        <v>145</v>
      </c>
      <c r="B2070" s="59">
        <v>35844</v>
      </c>
      <c r="C2070" s="57">
        <f>YEAR(表_查询来自_northwind3[[#This Row],[订购日期]])</f>
        <v>1998</v>
      </c>
      <c r="D2070" s="1">
        <v>883.499999307096</v>
      </c>
    </row>
    <row r="2071" spans="1:4" x14ac:dyDescent="0.25">
      <c r="A2071" s="1" t="s">
        <v>145</v>
      </c>
      <c r="B2071" s="59">
        <v>35851</v>
      </c>
      <c r="C2071" s="57">
        <f>YEAR(表_查询来自_northwind3[[#This Row],[订购日期]])</f>
        <v>1998</v>
      </c>
      <c r="D2071" s="1">
        <v>108.5</v>
      </c>
    </row>
    <row r="2072" spans="1:4" x14ac:dyDescent="0.25">
      <c r="A2072" s="1" t="s">
        <v>145</v>
      </c>
      <c r="B2072" s="59">
        <v>35858</v>
      </c>
      <c r="C2072" s="57">
        <f>YEAR(表_查询来自_northwind3[[#This Row],[订购日期]])</f>
        <v>1998</v>
      </c>
      <c r="D2072" s="1">
        <v>46.5</v>
      </c>
    </row>
    <row r="2073" spans="1:4" x14ac:dyDescent="0.25">
      <c r="A2073" s="1" t="s">
        <v>145</v>
      </c>
      <c r="B2073" s="59">
        <v>35859</v>
      </c>
      <c r="C2073" s="57">
        <f>YEAR(表_查询来自_northwind3[[#This Row],[订购日期]])</f>
        <v>1998</v>
      </c>
      <c r="D2073" s="1">
        <v>379.75</v>
      </c>
    </row>
    <row r="2074" spans="1:4" x14ac:dyDescent="0.25">
      <c r="A2074" s="1" t="s">
        <v>145</v>
      </c>
      <c r="B2074" s="59">
        <v>35860</v>
      </c>
      <c r="C2074" s="57">
        <f>YEAR(表_查询来自_northwind3[[#This Row],[订购日期]])</f>
        <v>1998</v>
      </c>
      <c r="D2074" s="1">
        <v>139.499999769032</v>
      </c>
    </row>
    <row r="2075" spans="1:4" x14ac:dyDescent="0.25">
      <c r="A2075" s="1" t="s">
        <v>145</v>
      </c>
      <c r="B2075" s="59">
        <v>35870</v>
      </c>
      <c r="C2075" s="57">
        <f>YEAR(表_查询来自_northwind3[[#This Row],[订购日期]])</f>
        <v>1998</v>
      </c>
      <c r="D2075" s="1">
        <v>368.12499971129</v>
      </c>
    </row>
    <row r="2076" spans="1:4" x14ac:dyDescent="0.25">
      <c r="A2076" s="1" t="s">
        <v>145</v>
      </c>
      <c r="B2076" s="59">
        <v>35871</v>
      </c>
      <c r="C2076" s="57">
        <f>YEAR(表_查询来自_northwind3[[#This Row],[订购日期]])</f>
        <v>1998</v>
      </c>
      <c r="D2076" s="1">
        <v>74.399999722838402</v>
      </c>
    </row>
    <row r="2077" spans="1:4" x14ac:dyDescent="0.25">
      <c r="A2077" s="1" t="s">
        <v>145</v>
      </c>
      <c r="B2077" s="59">
        <v>35872</v>
      </c>
      <c r="C2077" s="57">
        <f>YEAR(表_查询来自_northwind3[[#This Row],[订购日期]])</f>
        <v>1998</v>
      </c>
      <c r="D2077" s="1">
        <v>131.74999907612801</v>
      </c>
    </row>
    <row r="2078" spans="1:4" x14ac:dyDescent="0.25">
      <c r="A2078" s="1" t="s">
        <v>145</v>
      </c>
      <c r="B2078" s="59">
        <v>35878</v>
      </c>
      <c r="C2078" s="57">
        <f>YEAR(表_查询来自_northwind3[[#This Row],[订购日期]])</f>
        <v>1998</v>
      </c>
      <c r="D2078" s="1">
        <v>77.5</v>
      </c>
    </row>
    <row r="2079" spans="1:4" x14ac:dyDescent="0.25">
      <c r="A2079" s="1" t="s">
        <v>145</v>
      </c>
      <c r="B2079" s="59">
        <v>35879</v>
      </c>
      <c r="C2079" s="57">
        <f>YEAR(表_查询来自_northwind3[[#This Row],[订购日期]])</f>
        <v>1998</v>
      </c>
      <c r="D2079" s="1">
        <v>77.5</v>
      </c>
    </row>
    <row r="2080" spans="1:4" x14ac:dyDescent="0.25">
      <c r="A2080" s="1" t="s">
        <v>145</v>
      </c>
      <c r="B2080" s="59">
        <v>35881</v>
      </c>
      <c r="C2080" s="57">
        <f>YEAR(表_查询来自_northwind3[[#This Row],[订购日期]])</f>
        <v>1998</v>
      </c>
      <c r="D2080" s="1">
        <v>247.99999907612801</v>
      </c>
    </row>
    <row r="2081" spans="1:4" x14ac:dyDescent="0.25">
      <c r="A2081" s="1" t="s">
        <v>145</v>
      </c>
      <c r="B2081" s="59">
        <v>35888</v>
      </c>
      <c r="C2081" s="57">
        <f>YEAR(表_查询来自_northwind3[[#This Row],[订购日期]])</f>
        <v>1998</v>
      </c>
      <c r="D2081" s="1">
        <v>232.5</v>
      </c>
    </row>
    <row r="2082" spans="1:4" x14ac:dyDescent="0.25">
      <c r="A2082" s="1" t="s">
        <v>145</v>
      </c>
      <c r="B2082" s="59">
        <v>35921</v>
      </c>
      <c r="C2082" s="57">
        <f>YEAR(表_查询来自_northwind3[[#This Row],[订购日期]])</f>
        <v>1998</v>
      </c>
      <c r="D2082" s="1">
        <v>31</v>
      </c>
    </row>
    <row r="2083" spans="1:4" x14ac:dyDescent="0.25">
      <c r="A2083" s="1" t="s">
        <v>146</v>
      </c>
      <c r="B2083" s="59">
        <v>35275</v>
      </c>
      <c r="C2083" s="57">
        <f>YEAR(表_查询来自_northwind3[[#This Row],[订购日期]])</f>
        <v>1996</v>
      </c>
      <c r="D2083" s="1">
        <v>183.59999871253967</v>
      </c>
    </row>
    <row r="2084" spans="1:4" x14ac:dyDescent="0.25">
      <c r="A2084" s="1" t="s">
        <v>146</v>
      </c>
      <c r="B2084" s="59">
        <v>35282</v>
      </c>
      <c r="C2084" s="57">
        <f>YEAR(表_查询来自_northwind3[[#This Row],[订购日期]])</f>
        <v>1996</v>
      </c>
      <c r="D2084" s="1">
        <v>451.43999964594838</v>
      </c>
    </row>
    <row r="2085" spans="1:4" x14ac:dyDescent="0.25">
      <c r="A2085" s="1" t="s">
        <v>146</v>
      </c>
      <c r="B2085" s="59">
        <v>35339</v>
      </c>
      <c r="C2085" s="57">
        <f>YEAR(表_查询来自_northwind3[[#This Row],[订购日期]])</f>
        <v>1996</v>
      </c>
      <c r="D2085" s="1">
        <v>86.4</v>
      </c>
    </row>
    <row r="2086" spans="1:4" x14ac:dyDescent="0.25">
      <c r="A2086" s="1" t="s">
        <v>146</v>
      </c>
      <c r="B2086" s="59">
        <v>35340</v>
      </c>
      <c r="C2086" s="57">
        <f>YEAR(表_查询来自_northwind3[[#This Row],[订购日期]])</f>
        <v>1996</v>
      </c>
      <c r="D2086" s="1">
        <v>432</v>
      </c>
    </row>
    <row r="2087" spans="1:4" x14ac:dyDescent="0.25">
      <c r="A2087" s="1" t="s">
        <v>146</v>
      </c>
      <c r="B2087" s="59">
        <v>35369</v>
      </c>
      <c r="C2087" s="57">
        <f>YEAR(表_查询来自_northwind3[[#This Row],[订购日期]])</f>
        <v>1996</v>
      </c>
      <c r="D2087" s="1">
        <v>216</v>
      </c>
    </row>
    <row r="2088" spans="1:4" x14ac:dyDescent="0.25">
      <c r="A2088" s="1" t="s">
        <v>146</v>
      </c>
      <c r="B2088" s="59">
        <v>35395</v>
      </c>
      <c r="C2088" s="57">
        <f>YEAR(表_查询来自_northwind3[[#This Row],[订购日期]])</f>
        <v>1996</v>
      </c>
      <c r="D2088" s="1">
        <v>172.8</v>
      </c>
    </row>
    <row r="2089" spans="1:4" x14ac:dyDescent="0.25">
      <c r="A2089" s="1" t="s">
        <v>146</v>
      </c>
      <c r="B2089" s="59">
        <v>35430</v>
      </c>
      <c r="C2089" s="57">
        <f>YEAR(表_查询来自_northwind3[[#This Row],[订购日期]])</f>
        <v>1996</v>
      </c>
      <c r="D2089" s="1">
        <v>504</v>
      </c>
    </row>
    <row r="2090" spans="1:4" x14ac:dyDescent="0.25">
      <c r="A2090" s="1" t="s">
        <v>146</v>
      </c>
      <c r="B2090" s="59">
        <v>35444</v>
      </c>
      <c r="C2090" s="57">
        <f>YEAR(表_查询来自_northwind3[[#This Row],[订购日期]])</f>
        <v>1997</v>
      </c>
      <c r="D2090" s="1">
        <v>201.6</v>
      </c>
    </row>
    <row r="2091" spans="1:4" x14ac:dyDescent="0.25">
      <c r="A2091" s="1" t="s">
        <v>146</v>
      </c>
      <c r="B2091" s="59">
        <v>35454</v>
      </c>
      <c r="C2091" s="57">
        <f>YEAR(表_查询来自_northwind3[[#This Row],[订购日期]])</f>
        <v>1997</v>
      </c>
      <c r="D2091" s="1">
        <v>216</v>
      </c>
    </row>
    <row r="2092" spans="1:4" x14ac:dyDescent="0.25">
      <c r="A2092" s="1" t="s">
        <v>146</v>
      </c>
      <c r="B2092" s="59">
        <v>35464</v>
      </c>
      <c r="C2092" s="57">
        <f>YEAR(表_查询来自_northwind3[[#This Row],[订购日期]])</f>
        <v>1997</v>
      </c>
      <c r="D2092" s="1">
        <v>220.3199984550476</v>
      </c>
    </row>
    <row r="2093" spans="1:4" x14ac:dyDescent="0.25">
      <c r="A2093" s="1" t="s">
        <v>146</v>
      </c>
      <c r="B2093" s="59">
        <v>35503</v>
      </c>
      <c r="C2093" s="57">
        <f>YEAR(表_查询来自_northwind3[[#This Row],[订购日期]])</f>
        <v>1997</v>
      </c>
      <c r="D2093" s="1">
        <v>514.07999639511104</v>
      </c>
    </row>
    <row r="2094" spans="1:4" x14ac:dyDescent="0.25">
      <c r="A2094" s="1" t="s">
        <v>146</v>
      </c>
      <c r="B2094" s="59">
        <v>35558</v>
      </c>
      <c r="C2094" s="57">
        <f>YEAR(表_查询来自_northwind3[[#This Row],[订购日期]])</f>
        <v>1997</v>
      </c>
      <c r="D2094" s="1">
        <v>900</v>
      </c>
    </row>
    <row r="2095" spans="1:4" x14ac:dyDescent="0.25">
      <c r="A2095" s="1" t="s">
        <v>146</v>
      </c>
      <c r="B2095" s="59">
        <v>35593</v>
      </c>
      <c r="C2095" s="57">
        <f>YEAR(表_查询来自_northwind3[[#This Row],[订购日期]])</f>
        <v>1997</v>
      </c>
      <c r="D2095" s="1">
        <v>180</v>
      </c>
    </row>
    <row r="2096" spans="1:4" x14ac:dyDescent="0.25">
      <c r="A2096" s="1" t="s">
        <v>146</v>
      </c>
      <c r="B2096" s="59">
        <v>35597</v>
      </c>
      <c r="C2096" s="57">
        <f>YEAR(表_查询来自_northwind3[[#This Row],[订购日期]])</f>
        <v>1997</v>
      </c>
      <c r="D2096" s="1">
        <v>540</v>
      </c>
    </row>
    <row r="2097" spans="1:4" x14ac:dyDescent="0.25">
      <c r="A2097" s="1" t="s">
        <v>146</v>
      </c>
      <c r="B2097" s="59">
        <v>35601</v>
      </c>
      <c r="C2097" s="57">
        <f>YEAR(表_查询来自_northwind3[[#This Row],[订购日期]])</f>
        <v>1997</v>
      </c>
      <c r="D2097" s="1">
        <v>180</v>
      </c>
    </row>
    <row r="2098" spans="1:4" x14ac:dyDescent="0.25">
      <c r="A2098" s="1" t="s">
        <v>146</v>
      </c>
      <c r="B2098" s="59">
        <v>35608</v>
      </c>
      <c r="C2098" s="57">
        <f>YEAR(表_查询来自_northwind3[[#This Row],[订购日期]])</f>
        <v>1997</v>
      </c>
      <c r="D2098" s="1">
        <v>252</v>
      </c>
    </row>
    <row r="2099" spans="1:4" x14ac:dyDescent="0.25">
      <c r="A2099" s="1" t="s">
        <v>146</v>
      </c>
      <c r="B2099" s="59">
        <v>35620</v>
      </c>
      <c r="C2099" s="57">
        <f>YEAR(表_查询来自_northwind3[[#This Row],[订购日期]])</f>
        <v>1997</v>
      </c>
      <c r="D2099" s="1">
        <v>57.599999785423279</v>
      </c>
    </row>
    <row r="2100" spans="1:4" x14ac:dyDescent="0.25">
      <c r="A2100" s="1" t="s">
        <v>146</v>
      </c>
      <c r="B2100" s="59">
        <v>35629</v>
      </c>
      <c r="C2100" s="57">
        <f>YEAR(表_查询来自_northwind3[[#This Row],[订购日期]])</f>
        <v>1997</v>
      </c>
      <c r="D2100" s="1">
        <v>161.9999997317791</v>
      </c>
    </row>
    <row r="2101" spans="1:4" x14ac:dyDescent="0.25">
      <c r="A2101" s="1" t="s">
        <v>146</v>
      </c>
      <c r="B2101" s="59">
        <v>35639</v>
      </c>
      <c r="C2101" s="57">
        <f>YEAR(表_查询来自_northwind3[[#This Row],[订购日期]])</f>
        <v>1997</v>
      </c>
      <c r="D2101" s="1">
        <v>1440</v>
      </c>
    </row>
    <row r="2102" spans="1:4" x14ac:dyDescent="0.25">
      <c r="A2102" s="1" t="s">
        <v>146</v>
      </c>
      <c r="B2102" s="59">
        <v>35655</v>
      </c>
      <c r="C2102" s="57">
        <f>YEAR(表_查询来自_northwind3[[#This Row],[订购日期]])</f>
        <v>1997</v>
      </c>
      <c r="D2102" s="1">
        <v>630</v>
      </c>
    </row>
    <row r="2103" spans="1:4" x14ac:dyDescent="0.25">
      <c r="A2103" s="1" t="s">
        <v>146</v>
      </c>
      <c r="B2103" s="59">
        <v>35684</v>
      </c>
      <c r="C2103" s="57">
        <f>YEAR(表_查询来自_northwind3[[#This Row],[订购日期]])</f>
        <v>1997</v>
      </c>
      <c r="D2103" s="1">
        <v>180</v>
      </c>
    </row>
    <row r="2104" spans="1:4" x14ac:dyDescent="0.25">
      <c r="A2104" s="1" t="s">
        <v>146</v>
      </c>
      <c r="B2104" s="59">
        <v>35716</v>
      </c>
      <c r="C2104" s="57">
        <f>YEAR(表_查询来自_northwind3[[#This Row],[订购日期]])</f>
        <v>1997</v>
      </c>
      <c r="D2104" s="1">
        <v>535.49999624490738</v>
      </c>
    </row>
    <row r="2105" spans="1:4" x14ac:dyDescent="0.25">
      <c r="A2105" s="1" t="s">
        <v>146</v>
      </c>
      <c r="B2105" s="59">
        <v>35716</v>
      </c>
      <c r="C2105" s="57">
        <f>YEAR(表_查询来自_northwind3[[#This Row],[订购日期]])</f>
        <v>1997</v>
      </c>
      <c r="D2105" s="1">
        <v>270</v>
      </c>
    </row>
    <row r="2106" spans="1:4" x14ac:dyDescent="0.25">
      <c r="A2106" s="1" t="s">
        <v>146</v>
      </c>
      <c r="B2106" s="59">
        <v>35740</v>
      </c>
      <c r="C2106" s="57">
        <f>YEAR(表_查询来自_northwind3[[#This Row],[订购日期]])</f>
        <v>1997</v>
      </c>
      <c r="D2106" s="1">
        <v>360</v>
      </c>
    </row>
    <row r="2107" spans="1:4" x14ac:dyDescent="0.25">
      <c r="A2107" s="1" t="s">
        <v>146</v>
      </c>
      <c r="B2107" s="59">
        <v>35741</v>
      </c>
      <c r="C2107" s="57">
        <f>YEAR(表_查询来自_northwind3[[#This Row],[订购日期]])</f>
        <v>1997</v>
      </c>
      <c r="D2107" s="1">
        <v>360</v>
      </c>
    </row>
    <row r="2108" spans="1:4" x14ac:dyDescent="0.25">
      <c r="A2108" s="1" t="s">
        <v>146</v>
      </c>
      <c r="B2108" s="59">
        <v>35754</v>
      </c>
      <c r="C2108" s="57">
        <f>YEAR(表_查询来自_northwind3[[#This Row],[订购日期]])</f>
        <v>1997</v>
      </c>
      <c r="D2108" s="1">
        <v>180</v>
      </c>
    </row>
    <row r="2109" spans="1:4" x14ac:dyDescent="0.25">
      <c r="A2109" s="1" t="s">
        <v>146</v>
      </c>
      <c r="B2109" s="59">
        <v>35796</v>
      </c>
      <c r="C2109" s="57">
        <f>YEAR(表_查询来自_northwind3[[#This Row],[订购日期]])</f>
        <v>1998</v>
      </c>
      <c r="D2109" s="1">
        <v>764.99999463558197</v>
      </c>
    </row>
    <row r="2110" spans="1:4" x14ac:dyDescent="0.25">
      <c r="A2110" s="1" t="s">
        <v>146</v>
      </c>
      <c r="B2110" s="59">
        <v>35811</v>
      </c>
      <c r="C2110" s="57">
        <f>YEAR(表_查询来自_northwind3[[#This Row],[订购日期]])</f>
        <v>1998</v>
      </c>
      <c r="D2110" s="1">
        <v>283.5</v>
      </c>
    </row>
    <row r="2111" spans="1:4" x14ac:dyDescent="0.25">
      <c r="A2111" s="1" t="s">
        <v>146</v>
      </c>
      <c r="B2111" s="59">
        <v>35824</v>
      </c>
      <c r="C2111" s="57">
        <f>YEAR(表_查询来自_northwind3[[#This Row],[订购日期]])</f>
        <v>1998</v>
      </c>
      <c r="D2111" s="1">
        <v>360</v>
      </c>
    </row>
    <row r="2112" spans="1:4" x14ac:dyDescent="0.25">
      <c r="A2112" s="1" t="s">
        <v>146</v>
      </c>
      <c r="B2112" s="59">
        <v>35836</v>
      </c>
      <c r="C2112" s="57">
        <f>YEAR(表_查询来自_northwind3[[#This Row],[订购日期]])</f>
        <v>1998</v>
      </c>
      <c r="D2112" s="1">
        <v>180</v>
      </c>
    </row>
    <row r="2113" spans="1:4" x14ac:dyDescent="0.25">
      <c r="A2113" s="1" t="s">
        <v>146</v>
      </c>
      <c r="B2113" s="59">
        <v>35859</v>
      </c>
      <c r="C2113" s="57">
        <f>YEAR(表_查询来自_northwind3[[#This Row],[订购日期]])</f>
        <v>1998</v>
      </c>
      <c r="D2113" s="1">
        <v>360</v>
      </c>
    </row>
    <row r="2114" spans="1:4" x14ac:dyDescent="0.25">
      <c r="A2114" s="1" t="s">
        <v>146</v>
      </c>
      <c r="B2114" s="59">
        <v>35859</v>
      </c>
      <c r="C2114" s="57">
        <f>YEAR(表_查询来自_northwind3[[#This Row],[订购日期]])</f>
        <v>1998</v>
      </c>
      <c r="D2114" s="1">
        <v>90</v>
      </c>
    </row>
    <row r="2115" spans="1:4" x14ac:dyDescent="0.25">
      <c r="A2115" s="1" t="s">
        <v>146</v>
      </c>
      <c r="B2115" s="59">
        <v>35873</v>
      </c>
      <c r="C2115" s="57">
        <f>YEAR(表_查询来自_northwind3[[#This Row],[订购日期]])</f>
        <v>1998</v>
      </c>
      <c r="D2115" s="1">
        <v>1080</v>
      </c>
    </row>
    <row r="2116" spans="1:4" x14ac:dyDescent="0.25">
      <c r="A2116" s="1" t="s">
        <v>146</v>
      </c>
      <c r="B2116" s="59">
        <v>35873</v>
      </c>
      <c r="C2116" s="57">
        <f>YEAR(表_查询来自_northwind3[[#This Row],[订购日期]])</f>
        <v>1998</v>
      </c>
      <c r="D2116" s="1">
        <v>792</v>
      </c>
    </row>
    <row r="2117" spans="1:4" x14ac:dyDescent="0.25">
      <c r="A2117" s="1" t="s">
        <v>146</v>
      </c>
      <c r="B2117" s="59">
        <v>35884</v>
      </c>
      <c r="C2117" s="57">
        <f>YEAR(表_查询来自_northwind3[[#This Row],[订购日期]])</f>
        <v>1998</v>
      </c>
      <c r="D2117" s="1">
        <v>180</v>
      </c>
    </row>
    <row r="2118" spans="1:4" x14ac:dyDescent="0.25">
      <c r="A2118" s="1" t="s">
        <v>146</v>
      </c>
      <c r="B2118" s="59">
        <v>35886</v>
      </c>
      <c r="C2118" s="57">
        <f>YEAR(表_查询来自_northwind3[[#This Row],[订购日期]])</f>
        <v>1998</v>
      </c>
      <c r="D2118" s="1">
        <v>1295.9999951720238</v>
      </c>
    </row>
    <row r="2119" spans="1:4" x14ac:dyDescent="0.25">
      <c r="A2119" s="1" t="s">
        <v>146</v>
      </c>
      <c r="B2119" s="59">
        <v>35892</v>
      </c>
      <c r="C2119" s="57">
        <f>YEAR(表_查询来自_northwind3[[#This Row],[订购日期]])</f>
        <v>1998</v>
      </c>
      <c r="D2119" s="1">
        <v>108</v>
      </c>
    </row>
    <row r="2120" spans="1:4" x14ac:dyDescent="0.25">
      <c r="A2120" s="1" t="s">
        <v>146</v>
      </c>
      <c r="B2120" s="59">
        <v>35912</v>
      </c>
      <c r="C2120" s="57">
        <f>YEAR(表_查询来自_northwind3[[#This Row],[订购日期]])</f>
        <v>1998</v>
      </c>
      <c r="D2120" s="1">
        <v>809.99999865889549</v>
      </c>
    </row>
    <row r="2121" spans="1:4" x14ac:dyDescent="0.25">
      <c r="A2121" s="1" t="s">
        <v>146</v>
      </c>
      <c r="B2121" s="59">
        <v>35921</v>
      </c>
      <c r="C2121" s="57">
        <f>YEAR(表_查询来自_northwind3[[#This Row],[订购日期]])</f>
        <v>1998</v>
      </c>
      <c r="D2121" s="1">
        <v>30.599999785423279</v>
      </c>
    </row>
    <row r="2122" spans="1:4" x14ac:dyDescent="0.25">
      <c r="A2122" s="1" t="s">
        <v>147</v>
      </c>
      <c r="B2122" s="59">
        <v>35261</v>
      </c>
      <c r="C2122" s="57">
        <f>YEAR(表_查询来自_northwind3[[#This Row],[订购日期]])</f>
        <v>1996</v>
      </c>
      <c r="D2122" s="1">
        <v>124.8</v>
      </c>
    </row>
    <row r="2123" spans="1:4" x14ac:dyDescent="0.25">
      <c r="A2123" s="1" t="s">
        <v>147</v>
      </c>
      <c r="B2123" s="59">
        <v>35262</v>
      </c>
      <c r="C2123" s="57">
        <f>YEAR(表_查询来自_northwind3[[#This Row],[订购日期]])</f>
        <v>1996</v>
      </c>
      <c r="D2123" s="1">
        <v>156</v>
      </c>
    </row>
    <row r="2124" spans="1:4" x14ac:dyDescent="0.25">
      <c r="A2124" s="1" t="s">
        <v>147</v>
      </c>
      <c r="B2124" s="59">
        <v>35304</v>
      </c>
      <c r="C2124" s="57">
        <f>YEAR(表_查询来自_northwind3[[#This Row],[订购日期]])</f>
        <v>1996</v>
      </c>
      <c r="D2124" s="1">
        <v>104</v>
      </c>
    </row>
    <row r="2125" spans="1:4" x14ac:dyDescent="0.25">
      <c r="A2125" s="1" t="s">
        <v>147</v>
      </c>
      <c r="B2125" s="59">
        <v>35397</v>
      </c>
      <c r="C2125" s="57">
        <f>YEAR(表_查询来自_northwind3[[#This Row],[订购日期]])</f>
        <v>1996</v>
      </c>
      <c r="D2125" s="1">
        <v>52</v>
      </c>
    </row>
    <row r="2126" spans="1:4" x14ac:dyDescent="0.25">
      <c r="A2126" s="1" t="s">
        <v>147</v>
      </c>
      <c r="B2126" s="59">
        <v>35397</v>
      </c>
      <c r="C2126" s="57">
        <f>YEAR(表_查询来自_northwind3[[#This Row],[订购日期]])</f>
        <v>1996</v>
      </c>
      <c r="D2126" s="1">
        <v>72.8</v>
      </c>
    </row>
    <row r="2127" spans="1:4" x14ac:dyDescent="0.25">
      <c r="A2127" s="1" t="s">
        <v>147</v>
      </c>
      <c r="B2127" s="59">
        <v>35430</v>
      </c>
      <c r="C2127" s="57">
        <f>YEAR(表_查询来自_northwind3[[#This Row],[订购日期]])</f>
        <v>1996</v>
      </c>
      <c r="D2127" s="1">
        <v>145.6</v>
      </c>
    </row>
    <row r="2128" spans="1:4" x14ac:dyDescent="0.25">
      <c r="A2128" s="1" t="s">
        <v>147</v>
      </c>
      <c r="B2128" s="59">
        <v>35446</v>
      </c>
      <c r="C2128" s="57">
        <f>YEAR(表_查询来自_northwind3[[#This Row],[订购日期]])</f>
        <v>1997</v>
      </c>
      <c r="D2128" s="1">
        <v>364</v>
      </c>
    </row>
    <row r="2129" spans="1:4" x14ac:dyDescent="0.25">
      <c r="A2129" s="1" t="s">
        <v>147</v>
      </c>
      <c r="B2129" s="59">
        <v>35451</v>
      </c>
      <c r="C2129" s="57">
        <f>YEAR(表_查询来自_northwind3[[#This Row],[订购日期]])</f>
        <v>1997</v>
      </c>
      <c r="D2129" s="1">
        <v>88.399999380111694</v>
      </c>
    </row>
    <row r="2130" spans="1:4" x14ac:dyDescent="0.25">
      <c r="A2130" s="1" t="s">
        <v>147</v>
      </c>
      <c r="B2130" s="59">
        <v>35480</v>
      </c>
      <c r="C2130" s="57">
        <f>YEAR(表_查询来自_northwind3[[#This Row],[订购日期]])</f>
        <v>1997</v>
      </c>
      <c r="D2130" s="1">
        <v>514.79999914765358</v>
      </c>
    </row>
    <row r="2131" spans="1:4" x14ac:dyDescent="0.25">
      <c r="A2131" s="1" t="s">
        <v>147</v>
      </c>
      <c r="B2131" s="59">
        <v>35513</v>
      </c>
      <c r="C2131" s="57">
        <f>YEAR(表_查询来自_northwind3[[#This Row],[订购日期]])</f>
        <v>1997</v>
      </c>
      <c r="D2131" s="1">
        <v>296.39999976754189</v>
      </c>
    </row>
    <row r="2132" spans="1:4" x14ac:dyDescent="0.25">
      <c r="A2132" s="1" t="s">
        <v>147</v>
      </c>
      <c r="B2132" s="59">
        <v>35520</v>
      </c>
      <c r="C2132" s="57">
        <f>YEAR(表_查询来自_northwind3[[#This Row],[订购日期]])</f>
        <v>1997</v>
      </c>
      <c r="D2132" s="1">
        <v>61.879999566078183</v>
      </c>
    </row>
    <row r="2133" spans="1:4" x14ac:dyDescent="0.25">
      <c r="A2133" s="1" t="s">
        <v>147</v>
      </c>
      <c r="B2133" s="59">
        <v>35523</v>
      </c>
      <c r="C2133" s="57">
        <f>YEAR(表_查询来自_northwind3[[#This Row],[订购日期]])</f>
        <v>1997</v>
      </c>
      <c r="D2133" s="1">
        <v>52</v>
      </c>
    </row>
    <row r="2134" spans="1:4" x14ac:dyDescent="0.25">
      <c r="A2134" s="1" t="s">
        <v>147</v>
      </c>
      <c r="B2134" s="59">
        <v>35524</v>
      </c>
      <c r="C2134" s="57">
        <f>YEAR(表_查询来自_northwind3[[#This Row],[订购日期]])</f>
        <v>1997</v>
      </c>
      <c r="D2134" s="1">
        <v>260</v>
      </c>
    </row>
    <row r="2135" spans="1:4" x14ac:dyDescent="0.25">
      <c r="A2135" s="1" t="s">
        <v>147</v>
      </c>
      <c r="B2135" s="59">
        <v>35580</v>
      </c>
      <c r="C2135" s="57">
        <f>YEAR(表_查询来自_northwind3[[#This Row],[订购日期]])</f>
        <v>1997</v>
      </c>
      <c r="D2135" s="1">
        <v>123.49999990314245</v>
      </c>
    </row>
    <row r="2136" spans="1:4" x14ac:dyDescent="0.25">
      <c r="A2136" s="1" t="s">
        <v>147</v>
      </c>
      <c r="B2136" s="59">
        <v>35604</v>
      </c>
      <c r="C2136" s="57">
        <f>YEAR(表_查询来自_northwind3[[#This Row],[订购日期]])</f>
        <v>1997</v>
      </c>
      <c r="D2136" s="1">
        <v>234</v>
      </c>
    </row>
    <row r="2137" spans="1:4" x14ac:dyDescent="0.25">
      <c r="A2137" s="1" t="s">
        <v>147</v>
      </c>
      <c r="B2137" s="59">
        <v>35613</v>
      </c>
      <c r="C2137" s="57">
        <f>YEAR(表_查询来自_northwind3[[#This Row],[订购日期]])</f>
        <v>1997</v>
      </c>
      <c r="D2137" s="1">
        <v>260</v>
      </c>
    </row>
    <row r="2138" spans="1:4" x14ac:dyDescent="0.25">
      <c r="A2138" s="1" t="s">
        <v>147</v>
      </c>
      <c r="B2138" s="59">
        <v>35618</v>
      </c>
      <c r="C2138" s="57">
        <f>YEAR(表_查询来自_northwind3[[#This Row],[订购日期]])</f>
        <v>1997</v>
      </c>
      <c r="D2138" s="1">
        <v>740.99999941885471</v>
      </c>
    </row>
    <row r="2139" spans="1:4" x14ac:dyDescent="0.25">
      <c r="A2139" s="1" t="s">
        <v>147</v>
      </c>
      <c r="B2139" s="59">
        <v>35628</v>
      </c>
      <c r="C2139" s="57">
        <f>YEAR(表_查询来自_northwind3[[#This Row],[订购日期]])</f>
        <v>1997</v>
      </c>
      <c r="D2139" s="1">
        <v>48.75</v>
      </c>
    </row>
    <row r="2140" spans="1:4" x14ac:dyDescent="0.25">
      <c r="A2140" s="1" t="s">
        <v>147</v>
      </c>
      <c r="B2140" s="59">
        <v>35669</v>
      </c>
      <c r="C2140" s="57">
        <f>YEAR(表_查询来自_northwind3[[#This Row],[订购日期]])</f>
        <v>1997</v>
      </c>
      <c r="D2140" s="1">
        <v>341.25</v>
      </c>
    </row>
    <row r="2141" spans="1:4" x14ac:dyDescent="0.25">
      <c r="A2141" s="1" t="s">
        <v>147</v>
      </c>
      <c r="B2141" s="59">
        <v>35678</v>
      </c>
      <c r="C2141" s="57">
        <f>YEAR(表_查询来自_northwind3[[#This Row],[订购日期]])</f>
        <v>1997</v>
      </c>
      <c r="D2141" s="1">
        <v>864.49999932199717</v>
      </c>
    </row>
    <row r="2142" spans="1:4" x14ac:dyDescent="0.25">
      <c r="A2142" s="1" t="s">
        <v>147</v>
      </c>
      <c r="B2142" s="59">
        <v>35705</v>
      </c>
      <c r="C2142" s="57">
        <f>YEAR(表_查询来自_northwind3[[#This Row],[订购日期]])</f>
        <v>1997</v>
      </c>
      <c r="D2142" s="1">
        <v>292.5</v>
      </c>
    </row>
    <row r="2143" spans="1:4" x14ac:dyDescent="0.25">
      <c r="A2143" s="1" t="s">
        <v>147</v>
      </c>
      <c r="B2143" s="59">
        <v>35744</v>
      </c>
      <c r="C2143" s="57">
        <f>YEAR(表_查询来自_northwind3[[#This Row],[订购日期]])</f>
        <v>1997</v>
      </c>
      <c r="D2143" s="1">
        <v>23.399999961256981</v>
      </c>
    </row>
    <row r="2144" spans="1:4" x14ac:dyDescent="0.25">
      <c r="A2144" s="1" t="s">
        <v>147</v>
      </c>
      <c r="B2144" s="59">
        <v>35780</v>
      </c>
      <c r="C2144" s="57">
        <f>YEAR(表_查询来自_northwind3[[#This Row],[订购日期]])</f>
        <v>1997</v>
      </c>
      <c r="D2144" s="1">
        <v>195</v>
      </c>
    </row>
    <row r="2145" spans="1:4" x14ac:dyDescent="0.25">
      <c r="A2145" s="1" t="s">
        <v>147</v>
      </c>
      <c r="B2145" s="59">
        <v>35797</v>
      </c>
      <c r="C2145" s="57">
        <f>YEAR(表_查询来自_northwind3[[#This Row],[订购日期]])</f>
        <v>1998</v>
      </c>
      <c r="D2145" s="1">
        <v>260</v>
      </c>
    </row>
    <row r="2146" spans="1:4" x14ac:dyDescent="0.25">
      <c r="A2146" s="1" t="s">
        <v>147</v>
      </c>
      <c r="B2146" s="59">
        <v>35804</v>
      </c>
      <c r="C2146" s="57">
        <f>YEAR(表_查询来自_northwind3[[#This Row],[订购日期]])</f>
        <v>1998</v>
      </c>
      <c r="D2146" s="1">
        <v>175.49999970942736</v>
      </c>
    </row>
    <row r="2147" spans="1:4" x14ac:dyDescent="0.25">
      <c r="A2147" s="1" t="s">
        <v>147</v>
      </c>
      <c r="B2147" s="59">
        <v>35815</v>
      </c>
      <c r="C2147" s="57">
        <f>YEAR(表_查询来自_northwind3[[#This Row],[订购日期]])</f>
        <v>1998</v>
      </c>
      <c r="D2147" s="1">
        <v>195</v>
      </c>
    </row>
    <row r="2148" spans="1:4" x14ac:dyDescent="0.25">
      <c r="A2148" s="1" t="s">
        <v>147</v>
      </c>
      <c r="B2148" s="59">
        <v>35838</v>
      </c>
      <c r="C2148" s="57">
        <f>YEAR(表_查询来自_northwind3[[#This Row],[订购日期]])</f>
        <v>1998</v>
      </c>
      <c r="D2148" s="1">
        <v>325</v>
      </c>
    </row>
    <row r="2149" spans="1:4" x14ac:dyDescent="0.25">
      <c r="A2149" s="1" t="s">
        <v>147</v>
      </c>
      <c r="B2149" s="59">
        <v>35839</v>
      </c>
      <c r="C2149" s="57">
        <f>YEAR(表_查询来自_northwind3[[#This Row],[订购日期]])</f>
        <v>1998</v>
      </c>
      <c r="D2149" s="1">
        <v>520</v>
      </c>
    </row>
    <row r="2150" spans="1:4" x14ac:dyDescent="0.25">
      <c r="A2150" s="1" t="s">
        <v>147</v>
      </c>
      <c r="B2150" s="59">
        <v>35859</v>
      </c>
      <c r="C2150" s="57">
        <f>YEAR(表_查询来自_northwind3[[#This Row],[订购日期]])</f>
        <v>1998</v>
      </c>
      <c r="D2150" s="1">
        <v>195</v>
      </c>
    </row>
    <row r="2151" spans="1:4" x14ac:dyDescent="0.25">
      <c r="A2151" s="1" t="s">
        <v>147</v>
      </c>
      <c r="B2151" s="59">
        <v>35866</v>
      </c>
      <c r="C2151" s="57">
        <f>YEAR(表_查询来自_northwind3[[#This Row],[订购日期]])</f>
        <v>1998</v>
      </c>
      <c r="D2151" s="1">
        <v>520</v>
      </c>
    </row>
    <row r="2152" spans="1:4" x14ac:dyDescent="0.25">
      <c r="A2152" s="1" t="s">
        <v>147</v>
      </c>
      <c r="B2152" s="59">
        <v>35884</v>
      </c>
      <c r="C2152" s="57">
        <f>YEAR(表_查询来自_northwind3[[#This Row],[订购日期]])</f>
        <v>1998</v>
      </c>
      <c r="D2152" s="1">
        <v>195</v>
      </c>
    </row>
    <row r="2153" spans="1:4" x14ac:dyDescent="0.25">
      <c r="A2153" s="1" t="s">
        <v>147</v>
      </c>
      <c r="B2153" s="59">
        <v>35888</v>
      </c>
      <c r="C2153" s="57">
        <f>YEAR(表_查询来自_northwind3[[#This Row],[订购日期]])</f>
        <v>1998</v>
      </c>
      <c r="D2153" s="1">
        <v>259.34999979659915</v>
      </c>
    </row>
    <row r="2154" spans="1:4" x14ac:dyDescent="0.25">
      <c r="A2154" s="1" t="s">
        <v>147</v>
      </c>
      <c r="B2154" s="59">
        <v>35891</v>
      </c>
      <c r="C2154" s="57">
        <f>YEAR(表_查询来自_northwind3[[#This Row],[订购日期]])</f>
        <v>1998</v>
      </c>
      <c r="D2154" s="1">
        <v>390</v>
      </c>
    </row>
    <row r="2155" spans="1:4" x14ac:dyDescent="0.25">
      <c r="A2155" s="1" t="s">
        <v>147</v>
      </c>
      <c r="B2155" s="59">
        <v>35895</v>
      </c>
      <c r="C2155" s="57">
        <f>YEAR(表_查询来自_northwind3[[#This Row],[订购日期]])</f>
        <v>1998</v>
      </c>
      <c r="D2155" s="1">
        <v>234</v>
      </c>
    </row>
    <row r="2156" spans="1:4" x14ac:dyDescent="0.25">
      <c r="A2156" s="1" t="s">
        <v>147</v>
      </c>
      <c r="B2156" s="59">
        <v>35915</v>
      </c>
      <c r="C2156" s="57">
        <f>YEAR(表_查询来自_northwind3[[#This Row],[订购日期]])</f>
        <v>1998</v>
      </c>
      <c r="D2156" s="1">
        <v>130</v>
      </c>
    </row>
    <row r="2157" spans="1:4" x14ac:dyDescent="0.25">
      <c r="A2157" s="1" t="s">
        <v>147</v>
      </c>
      <c r="B2157" s="59">
        <v>35919</v>
      </c>
      <c r="C2157" s="57">
        <f>YEAR(表_查询来自_northwind3[[#This Row],[订购日期]])</f>
        <v>1998</v>
      </c>
      <c r="D2157" s="1">
        <v>309.39999783039093</v>
      </c>
    </row>
    <row r="2158" spans="1:4" x14ac:dyDescent="0.25">
      <c r="A2158" s="1" t="s">
        <v>147</v>
      </c>
      <c r="B2158" s="59">
        <v>35921</v>
      </c>
      <c r="C2158" s="57">
        <f>YEAR(表_查询来自_northwind3[[#This Row],[订购日期]])</f>
        <v>1998</v>
      </c>
      <c r="D2158" s="1">
        <v>26</v>
      </c>
    </row>
  </sheetData>
  <phoneticPr fontId="18"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List Box 2">
              <controlPr defaultSize="0" autoLine="0" autoPict="0">
                <anchor moveWithCells="1">
                  <from>
                    <xdr:col>15</xdr:col>
                    <xdr:colOff>15240</xdr:colOff>
                    <xdr:row>13</xdr:row>
                    <xdr:rowOff>15240</xdr:rowOff>
                  </from>
                  <to>
                    <xdr:col>16</xdr:col>
                    <xdr:colOff>83820</xdr:colOff>
                    <xdr:row>15</xdr:row>
                    <xdr:rowOff>137160</xdr:rowOff>
                  </to>
                </anchor>
              </controlPr>
            </control>
          </mc:Choice>
        </mc:AlternateContent>
      </controls>
    </mc:Choice>
  </mc:AlternateContent>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151"/>
  <sheetViews>
    <sheetView topLeftCell="B1" workbookViewId="0">
      <selection activeCell="R9" sqref="R9"/>
    </sheetView>
  </sheetViews>
  <sheetFormatPr defaultColWidth="8.59765625" defaultRowHeight="15.6" x14ac:dyDescent="0.25"/>
  <cols>
    <col min="1" max="1" width="7.5" customWidth="1"/>
    <col min="2" max="2" width="14.19921875" style="12" customWidth="1"/>
    <col min="3" max="4" width="8.69921875" style="65" customWidth="1"/>
    <col min="5" max="16384" width="8.59765625" style="12"/>
  </cols>
  <sheetData>
    <row r="1" spans="1:17" ht="14.4" x14ac:dyDescent="0.25">
      <c r="A1" s="23" t="s">
        <v>14</v>
      </c>
      <c r="B1" s="23" t="s">
        <v>15</v>
      </c>
      <c r="C1" s="63" t="s">
        <v>148</v>
      </c>
      <c r="D1" s="63" t="s">
        <v>149</v>
      </c>
      <c r="E1" s="23" t="s">
        <v>16</v>
      </c>
      <c r="F1" s="23" t="s">
        <v>17</v>
      </c>
      <c r="G1" s="23" t="s">
        <v>18</v>
      </c>
      <c r="H1" s="23" t="s">
        <v>19</v>
      </c>
      <c r="I1" s="23" t="s">
        <v>20</v>
      </c>
      <c r="L1" s="63" t="s">
        <v>148</v>
      </c>
      <c r="M1" s="63" t="s">
        <v>149</v>
      </c>
      <c r="N1" s="23" t="s">
        <v>16</v>
      </c>
      <c r="P1" s="66" t="str">
        <f>M1</f>
        <v>年季度</v>
      </c>
      <c r="Q1" s="66" t="str">
        <f>L1</f>
        <v>年份</v>
      </c>
    </row>
    <row r="2" spans="1:17" ht="14.4" x14ac:dyDescent="0.25">
      <c r="A2" s="24">
        <v>10001</v>
      </c>
      <c r="B2" s="25">
        <v>43291</v>
      </c>
      <c r="C2" s="64">
        <f>YEAR(B2)</f>
        <v>2018</v>
      </c>
      <c r="D2" s="64" t="str">
        <f>YEAR(B2)&amp;"年"&amp;ROUNDUP(MONTH(B2)/3,0)&amp;"季度"</f>
        <v>2018年3季度</v>
      </c>
      <c r="E2" s="26" t="s">
        <v>21</v>
      </c>
      <c r="F2" s="24">
        <v>34.799999999999997</v>
      </c>
      <c r="G2" s="24">
        <v>5</v>
      </c>
      <c r="H2" s="27">
        <v>174</v>
      </c>
      <c r="I2" s="26" t="s">
        <v>22</v>
      </c>
      <c r="K2" s="12" t="str">
        <f>L2&amp;"年"</f>
        <v>2018年</v>
      </c>
      <c r="L2" s="64">
        <v>2018</v>
      </c>
      <c r="M2" s="64" t="s">
        <v>150</v>
      </c>
      <c r="N2" s="26" t="s">
        <v>21</v>
      </c>
      <c r="P2" s="66"/>
      <c r="Q2" s="66" cm="1">
        <f t="array" ref="Q2">INDEX(L2:L4,L5)</f>
        <v>2019</v>
      </c>
    </row>
    <row r="3" spans="1:17" ht="14.4" x14ac:dyDescent="0.25">
      <c r="A3" s="24">
        <v>10001</v>
      </c>
      <c r="B3" s="25">
        <v>43291</v>
      </c>
      <c r="C3" s="64">
        <f t="shared" ref="C3:C66" si="0">YEAR(B3)</f>
        <v>2018</v>
      </c>
      <c r="D3" s="64" t="str">
        <f t="shared" ref="D3:D66" si="1">YEAR(B3)&amp;"年"&amp;ROUNDUP(MONTH(B3)/3,0)&amp;"季度"</f>
        <v>2018年3季度</v>
      </c>
      <c r="E3" s="26" t="s">
        <v>21</v>
      </c>
      <c r="F3" s="24">
        <v>9.8000000000000007</v>
      </c>
      <c r="G3" s="24">
        <v>10</v>
      </c>
      <c r="H3" s="27">
        <v>98</v>
      </c>
      <c r="I3" s="26" t="s">
        <v>22</v>
      </c>
      <c r="K3" s="12" t="str">
        <f t="shared" ref="K3:K4" si="2">L3&amp;"年"</f>
        <v>2019年</v>
      </c>
      <c r="L3" s="64">
        <v>2019</v>
      </c>
      <c r="M3" s="64" t="s">
        <v>151</v>
      </c>
      <c r="N3" s="26" t="s">
        <v>28</v>
      </c>
    </row>
    <row r="4" spans="1:17" ht="14.4" x14ac:dyDescent="0.25">
      <c r="A4" s="24">
        <v>10001</v>
      </c>
      <c r="B4" s="25">
        <v>43291</v>
      </c>
      <c r="C4" s="64">
        <f t="shared" si="0"/>
        <v>2018</v>
      </c>
      <c r="D4" s="64" t="str">
        <f t="shared" si="1"/>
        <v>2018年3季度</v>
      </c>
      <c r="E4" s="26" t="s">
        <v>21</v>
      </c>
      <c r="F4" s="24">
        <v>14</v>
      </c>
      <c r="G4" s="24">
        <v>12</v>
      </c>
      <c r="H4" s="27">
        <v>168</v>
      </c>
      <c r="I4" s="26" t="s">
        <v>22</v>
      </c>
      <c r="K4" s="12" t="str">
        <f t="shared" si="2"/>
        <v>2020年</v>
      </c>
      <c r="L4" s="64">
        <v>2020</v>
      </c>
      <c r="M4" s="64" t="s">
        <v>152</v>
      </c>
      <c r="N4" s="26" t="s">
        <v>29</v>
      </c>
      <c r="P4" s="12" t="s">
        <v>160</v>
      </c>
    </row>
    <row r="5" spans="1:17" ht="14.4" x14ac:dyDescent="0.25">
      <c r="A5" s="24">
        <v>10002</v>
      </c>
      <c r="B5" s="25">
        <v>43293</v>
      </c>
      <c r="C5" s="64">
        <f t="shared" si="0"/>
        <v>2018</v>
      </c>
      <c r="D5" s="64" t="str">
        <f t="shared" si="1"/>
        <v>2018年3季度</v>
      </c>
      <c r="E5" s="26" t="s">
        <v>21</v>
      </c>
      <c r="F5" s="24">
        <v>18.600000000000001</v>
      </c>
      <c r="G5" s="24">
        <v>9</v>
      </c>
      <c r="H5" s="27">
        <v>167.4</v>
      </c>
      <c r="I5" s="26" t="s">
        <v>23</v>
      </c>
      <c r="L5" s="12">
        <v>2</v>
      </c>
      <c r="M5" s="64" t="s">
        <v>153</v>
      </c>
      <c r="P5" s="12" t="s">
        <v>161</v>
      </c>
    </row>
    <row r="6" spans="1:17" ht="14.4" x14ac:dyDescent="0.25">
      <c r="A6" s="24">
        <v>10006</v>
      </c>
      <c r="B6" s="25">
        <v>43303</v>
      </c>
      <c r="C6" s="64">
        <f t="shared" si="0"/>
        <v>2018</v>
      </c>
      <c r="D6" s="64" t="str">
        <f t="shared" si="1"/>
        <v>2018年3季度</v>
      </c>
      <c r="E6" s="26" t="s">
        <v>21</v>
      </c>
      <c r="F6" s="24">
        <v>16</v>
      </c>
      <c r="G6" s="24">
        <v>40</v>
      </c>
      <c r="H6" s="27">
        <v>640</v>
      </c>
      <c r="I6" s="26" t="s">
        <v>22</v>
      </c>
      <c r="M6" s="64" t="s">
        <v>154</v>
      </c>
      <c r="P6" s="12">
        <v>2</v>
      </c>
    </row>
    <row r="7" spans="1:17" ht="14.4" x14ac:dyDescent="0.25">
      <c r="A7" s="24">
        <v>10006</v>
      </c>
      <c r="B7" s="25">
        <v>43303</v>
      </c>
      <c r="C7" s="64">
        <f t="shared" si="0"/>
        <v>2018</v>
      </c>
      <c r="D7" s="64" t="str">
        <f t="shared" si="1"/>
        <v>2018年3季度</v>
      </c>
      <c r="E7" s="26" t="s">
        <v>21</v>
      </c>
      <c r="F7" s="24">
        <v>10</v>
      </c>
      <c r="G7" s="24">
        <v>20</v>
      </c>
      <c r="H7" s="27">
        <v>200</v>
      </c>
      <c r="I7" s="26" t="s">
        <v>22</v>
      </c>
      <c r="M7" s="64" t="s">
        <v>155</v>
      </c>
    </row>
    <row r="8" spans="1:17" ht="14.4" x14ac:dyDescent="0.25">
      <c r="A8" s="24">
        <v>10006</v>
      </c>
      <c r="B8" s="25">
        <v>43303</v>
      </c>
      <c r="C8" s="64">
        <f t="shared" si="0"/>
        <v>2018</v>
      </c>
      <c r="D8" s="64" t="str">
        <f t="shared" si="1"/>
        <v>2018年3季度</v>
      </c>
      <c r="E8" s="26" t="s">
        <v>21</v>
      </c>
      <c r="F8" s="24">
        <v>14.4</v>
      </c>
      <c r="G8" s="24">
        <v>42</v>
      </c>
      <c r="H8" s="27">
        <v>604.79999999999995</v>
      </c>
      <c r="I8" s="26" t="s">
        <v>22</v>
      </c>
      <c r="M8" s="64" t="s">
        <v>156</v>
      </c>
    </row>
    <row r="9" spans="1:17" ht="14.4" x14ac:dyDescent="0.25">
      <c r="A9" s="24">
        <v>10007</v>
      </c>
      <c r="B9" s="25">
        <v>43305</v>
      </c>
      <c r="C9" s="64">
        <f t="shared" si="0"/>
        <v>2018</v>
      </c>
      <c r="D9" s="64" t="str">
        <f t="shared" si="1"/>
        <v>2018年3季度</v>
      </c>
      <c r="E9" s="26" t="s">
        <v>21</v>
      </c>
      <c r="F9" s="24">
        <v>3.6</v>
      </c>
      <c r="G9" s="24">
        <v>15</v>
      </c>
      <c r="H9" s="27">
        <v>54</v>
      </c>
      <c r="I9" s="26" t="s">
        <v>24</v>
      </c>
      <c r="M9" s="64" t="s">
        <v>157</v>
      </c>
    </row>
    <row r="10" spans="1:17" ht="14.4" x14ac:dyDescent="0.25">
      <c r="A10" s="24">
        <v>10010</v>
      </c>
      <c r="B10" s="25">
        <v>43315</v>
      </c>
      <c r="C10" s="64">
        <f t="shared" si="0"/>
        <v>2018</v>
      </c>
      <c r="D10" s="64" t="str">
        <f t="shared" si="1"/>
        <v>2018年3季度</v>
      </c>
      <c r="E10" s="26" t="s">
        <v>21</v>
      </c>
      <c r="F10" s="24">
        <v>35.1</v>
      </c>
      <c r="G10" s="24">
        <v>25</v>
      </c>
      <c r="H10" s="27">
        <v>877.5</v>
      </c>
      <c r="I10" s="26" t="s">
        <v>23</v>
      </c>
      <c r="M10" s="64" t="s">
        <v>158</v>
      </c>
    </row>
    <row r="11" spans="1:17" ht="14.4" x14ac:dyDescent="0.25">
      <c r="A11" s="24">
        <v>10011</v>
      </c>
      <c r="B11" s="25">
        <v>43317</v>
      </c>
      <c r="C11" s="64">
        <f t="shared" si="0"/>
        <v>2018</v>
      </c>
      <c r="D11" s="64" t="str">
        <f t="shared" si="1"/>
        <v>2018年3季度</v>
      </c>
      <c r="E11" s="26" t="s">
        <v>21</v>
      </c>
      <c r="F11" s="24">
        <v>25.6</v>
      </c>
      <c r="G11" s="24">
        <v>6</v>
      </c>
      <c r="H11" s="27">
        <v>153.6</v>
      </c>
      <c r="I11" s="26" t="s">
        <v>23</v>
      </c>
      <c r="M11" s="64" t="s">
        <v>159</v>
      </c>
    </row>
    <row r="12" spans="1:17" ht="14.4" x14ac:dyDescent="0.25">
      <c r="A12" s="24">
        <v>10011</v>
      </c>
      <c r="B12" s="25">
        <v>43317</v>
      </c>
      <c r="C12" s="64">
        <f t="shared" si="0"/>
        <v>2018</v>
      </c>
      <c r="D12" s="64" t="str">
        <f t="shared" si="1"/>
        <v>2018年3季度</v>
      </c>
      <c r="E12" s="26" t="s">
        <v>21</v>
      </c>
      <c r="F12" s="24">
        <v>17</v>
      </c>
      <c r="G12" s="24">
        <v>65</v>
      </c>
      <c r="H12" s="27">
        <v>1105</v>
      </c>
      <c r="I12" s="26" t="s">
        <v>23</v>
      </c>
    </row>
    <row r="13" spans="1:17" ht="14.4" x14ac:dyDescent="0.25">
      <c r="A13" s="24">
        <v>10011</v>
      </c>
      <c r="B13" s="25">
        <v>43317</v>
      </c>
      <c r="C13" s="64">
        <f t="shared" si="0"/>
        <v>2018</v>
      </c>
      <c r="D13" s="64" t="str">
        <f t="shared" si="1"/>
        <v>2018年3季度</v>
      </c>
      <c r="E13" s="26" t="s">
        <v>21</v>
      </c>
      <c r="F13" s="24">
        <v>15.2</v>
      </c>
      <c r="G13" s="24">
        <v>50</v>
      </c>
      <c r="H13" s="27">
        <v>760</v>
      </c>
      <c r="I13" s="26" t="s">
        <v>23</v>
      </c>
      <c r="M13" s="12">
        <f>IF($P$6=1,DSUM(A:I,H1,P1:Q2),DCOUNT(A:I,A1,P1:Q2))</f>
        <v>457</v>
      </c>
      <c r="P13" s="12">
        <f>IF($P$6=1,DSUM(A:I,H1,P1:P2),DCOUNT(A:I,A1,P1:P2))</f>
        <v>1150</v>
      </c>
    </row>
    <row r="14" spans="1:17" ht="14.4" x14ac:dyDescent="0.25">
      <c r="A14" s="24">
        <v>10016</v>
      </c>
      <c r="B14" s="25">
        <v>43329</v>
      </c>
      <c r="C14" s="64">
        <f t="shared" si="0"/>
        <v>2018</v>
      </c>
      <c r="D14" s="64" t="str">
        <f t="shared" si="1"/>
        <v>2018年3季度</v>
      </c>
      <c r="E14" s="26" t="s">
        <v>21</v>
      </c>
      <c r="F14" s="24">
        <v>3.6</v>
      </c>
      <c r="G14" s="24">
        <v>28</v>
      </c>
      <c r="H14" s="27">
        <v>100.8</v>
      </c>
      <c r="I14" s="26" t="s">
        <v>22</v>
      </c>
      <c r="L14" s="64" t="s">
        <v>150</v>
      </c>
      <c r="M14" s="12">
        <f t="dataTable" ref="M14:M23" dt2D="0" dtr="0" r1="P2" ca="1"/>
        <v>0</v>
      </c>
      <c r="O14" s="64" t="s">
        <v>150</v>
      </c>
      <c r="P14" s="12">
        <f t="dataTable" ref="P14:P23" dt2D="0" dtr="0" r1="P2"/>
        <v>89</v>
      </c>
    </row>
    <row r="15" spans="1:17" ht="14.4" x14ac:dyDescent="0.25">
      <c r="A15" s="24">
        <v>10016</v>
      </c>
      <c r="B15" s="25">
        <v>43329</v>
      </c>
      <c r="C15" s="64">
        <f t="shared" si="0"/>
        <v>2018</v>
      </c>
      <c r="D15" s="64" t="str">
        <f t="shared" si="1"/>
        <v>2018年3季度</v>
      </c>
      <c r="E15" s="26" t="s">
        <v>21</v>
      </c>
      <c r="F15" s="24">
        <v>20.7</v>
      </c>
      <c r="G15" s="24">
        <v>60</v>
      </c>
      <c r="H15" s="27">
        <v>1242</v>
      </c>
      <c r="I15" s="26" t="s">
        <v>22</v>
      </c>
      <c r="L15" s="64" t="s">
        <v>151</v>
      </c>
      <c r="M15" s="12">
        <v>0</v>
      </c>
      <c r="O15" s="64" t="s">
        <v>151</v>
      </c>
      <c r="P15" s="12">
        <v>95</v>
      </c>
    </row>
    <row r="16" spans="1:17" ht="14.4" x14ac:dyDescent="0.25">
      <c r="A16" s="24">
        <v>10017</v>
      </c>
      <c r="B16" s="25">
        <v>43331</v>
      </c>
      <c r="C16" s="64">
        <f t="shared" si="0"/>
        <v>2018</v>
      </c>
      <c r="D16" s="64" t="str">
        <f t="shared" si="1"/>
        <v>2018年3季度</v>
      </c>
      <c r="E16" s="26" t="s">
        <v>21</v>
      </c>
      <c r="F16" s="24">
        <v>15.2</v>
      </c>
      <c r="G16" s="24">
        <v>35</v>
      </c>
      <c r="H16" s="27">
        <v>532</v>
      </c>
      <c r="I16" s="26" t="s">
        <v>22</v>
      </c>
      <c r="L16" s="64" t="s">
        <v>152</v>
      </c>
      <c r="M16" s="12">
        <v>98</v>
      </c>
      <c r="O16" s="64" t="s">
        <v>152</v>
      </c>
      <c r="P16" s="12">
        <v>98</v>
      </c>
    </row>
    <row r="17" spans="1:16" ht="14.4" x14ac:dyDescent="0.25">
      <c r="A17" s="24">
        <v>10017</v>
      </c>
      <c r="B17" s="25">
        <v>43331</v>
      </c>
      <c r="C17" s="64">
        <f t="shared" si="0"/>
        <v>2018</v>
      </c>
      <c r="D17" s="64" t="str">
        <f t="shared" si="1"/>
        <v>2018年3季度</v>
      </c>
      <c r="E17" s="26" t="s">
        <v>21</v>
      </c>
      <c r="F17" s="24">
        <v>7.7</v>
      </c>
      <c r="G17" s="24">
        <v>25</v>
      </c>
      <c r="H17" s="27">
        <v>192.5</v>
      </c>
      <c r="I17" s="26" t="s">
        <v>22</v>
      </c>
      <c r="L17" s="64" t="s">
        <v>153</v>
      </c>
      <c r="M17" s="12">
        <v>117</v>
      </c>
      <c r="O17" s="64" t="s">
        <v>153</v>
      </c>
      <c r="P17" s="12">
        <v>117</v>
      </c>
    </row>
    <row r="18" spans="1:16" ht="14.4" x14ac:dyDescent="0.25">
      <c r="A18" s="24">
        <v>10022</v>
      </c>
      <c r="B18" s="25">
        <v>43345</v>
      </c>
      <c r="C18" s="64">
        <f t="shared" si="0"/>
        <v>2018</v>
      </c>
      <c r="D18" s="64" t="str">
        <f t="shared" si="1"/>
        <v>2018年3季度</v>
      </c>
      <c r="E18" s="26" t="s">
        <v>21</v>
      </c>
      <c r="F18" s="24">
        <v>27.8</v>
      </c>
      <c r="G18" s="24">
        <v>20</v>
      </c>
      <c r="H18" s="27">
        <v>556</v>
      </c>
      <c r="I18" s="26" t="s">
        <v>23</v>
      </c>
      <c r="L18" s="64" t="s">
        <v>154</v>
      </c>
      <c r="M18" s="12">
        <v>123</v>
      </c>
      <c r="O18" s="64" t="s">
        <v>154</v>
      </c>
      <c r="P18" s="12">
        <v>123</v>
      </c>
    </row>
    <row r="19" spans="1:16" ht="14.4" x14ac:dyDescent="0.25">
      <c r="A19" s="24">
        <v>10023</v>
      </c>
      <c r="B19" s="25">
        <v>43347</v>
      </c>
      <c r="C19" s="64">
        <f t="shared" si="0"/>
        <v>2018</v>
      </c>
      <c r="D19" s="64" t="str">
        <f t="shared" si="1"/>
        <v>2018年3季度</v>
      </c>
      <c r="E19" s="26" t="s">
        <v>21</v>
      </c>
      <c r="F19" s="24">
        <v>36.799999999999997</v>
      </c>
      <c r="G19" s="24">
        <v>25</v>
      </c>
      <c r="H19" s="27">
        <v>920</v>
      </c>
      <c r="I19" s="26" t="s">
        <v>22</v>
      </c>
      <c r="L19" s="64" t="s">
        <v>155</v>
      </c>
      <c r="M19" s="12">
        <v>119</v>
      </c>
      <c r="O19" s="64" t="s">
        <v>155</v>
      </c>
      <c r="P19" s="12">
        <v>119</v>
      </c>
    </row>
    <row r="20" spans="1:16" ht="14.4" x14ac:dyDescent="0.25">
      <c r="A20" s="24">
        <v>10023</v>
      </c>
      <c r="B20" s="25">
        <v>43347</v>
      </c>
      <c r="C20" s="64">
        <f t="shared" si="0"/>
        <v>2018</v>
      </c>
      <c r="D20" s="64" t="str">
        <f t="shared" si="1"/>
        <v>2018年3季度</v>
      </c>
      <c r="E20" s="26" t="s">
        <v>21</v>
      </c>
      <c r="F20" s="24">
        <v>15.2</v>
      </c>
      <c r="G20" s="24">
        <v>30</v>
      </c>
      <c r="H20" s="27">
        <v>456</v>
      </c>
      <c r="I20" s="26" t="s">
        <v>22</v>
      </c>
      <c r="L20" s="64" t="s">
        <v>156</v>
      </c>
      <c r="M20" s="12">
        <v>0</v>
      </c>
      <c r="O20" s="64" t="s">
        <v>156</v>
      </c>
      <c r="P20" s="12">
        <v>135</v>
      </c>
    </row>
    <row r="21" spans="1:16" ht="14.4" x14ac:dyDescent="0.25">
      <c r="A21" s="24">
        <v>10024</v>
      </c>
      <c r="B21" s="25">
        <v>43347</v>
      </c>
      <c r="C21" s="64">
        <f t="shared" si="0"/>
        <v>2018</v>
      </c>
      <c r="D21" s="64" t="str">
        <f t="shared" si="1"/>
        <v>2018年3季度</v>
      </c>
      <c r="E21" s="26" t="s">
        <v>21</v>
      </c>
      <c r="F21" s="24">
        <v>2</v>
      </c>
      <c r="G21" s="24">
        <v>24</v>
      </c>
      <c r="H21" s="27">
        <v>48</v>
      </c>
      <c r="I21" s="26" t="s">
        <v>23</v>
      </c>
      <c r="L21" s="64" t="s">
        <v>157</v>
      </c>
      <c r="M21" s="12">
        <v>0</v>
      </c>
      <c r="O21" s="64" t="s">
        <v>157</v>
      </c>
      <c r="P21" s="12">
        <v>119</v>
      </c>
    </row>
    <row r="22" spans="1:16" ht="14.4" x14ac:dyDescent="0.25">
      <c r="A22" s="24">
        <v>10028</v>
      </c>
      <c r="B22" s="25">
        <v>43359</v>
      </c>
      <c r="C22" s="64">
        <f t="shared" si="0"/>
        <v>2018</v>
      </c>
      <c r="D22" s="64" t="str">
        <f t="shared" si="1"/>
        <v>2018年3季度</v>
      </c>
      <c r="E22" s="26" t="s">
        <v>21</v>
      </c>
      <c r="F22" s="24">
        <v>44</v>
      </c>
      <c r="G22" s="24">
        <v>6</v>
      </c>
      <c r="H22" s="27">
        <v>264</v>
      </c>
      <c r="I22" s="26" t="s">
        <v>22</v>
      </c>
      <c r="L22" s="64" t="s">
        <v>158</v>
      </c>
      <c r="M22" s="12">
        <v>0</v>
      </c>
      <c r="O22" s="64" t="s">
        <v>158</v>
      </c>
      <c r="P22" s="12">
        <v>118</v>
      </c>
    </row>
    <row r="23" spans="1:16" ht="14.4" x14ac:dyDescent="0.25">
      <c r="A23" s="24">
        <v>10029</v>
      </c>
      <c r="B23" s="25">
        <v>43361</v>
      </c>
      <c r="C23" s="64">
        <f t="shared" si="0"/>
        <v>2018</v>
      </c>
      <c r="D23" s="64" t="str">
        <f t="shared" si="1"/>
        <v>2018年3季度</v>
      </c>
      <c r="E23" s="26" t="s">
        <v>21</v>
      </c>
      <c r="F23" s="24">
        <v>4.8</v>
      </c>
      <c r="G23" s="24">
        <v>10</v>
      </c>
      <c r="H23" s="27">
        <v>48</v>
      </c>
      <c r="I23" s="26" t="s">
        <v>23</v>
      </c>
      <c r="L23" s="64" t="s">
        <v>159</v>
      </c>
      <c r="M23" s="12">
        <v>0</v>
      </c>
      <c r="O23" s="64" t="s">
        <v>159</v>
      </c>
      <c r="P23" s="12">
        <v>137</v>
      </c>
    </row>
    <row r="24" spans="1:16" ht="14.4" x14ac:dyDescent="0.25">
      <c r="A24" s="24">
        <v>10029</v>
      </c>
      <c r="B24" s="25">
        <v>43361</v>
      </c>
      <c r="C24" s="64">
        <f t="shared" si="0"/>
        <v>2018</v>
      </c>
      <c r="D24" s="64" t="str">
        <f t="shared" si="1"/>
        <v>2018年3季度</v>
      </c>
      <c r="E24" s="26" t="s">
        <v>21</v>
      </c>
      <c r="F24" s="24">
        <v>24.8</v>
      </c>
      <c r="G24" s="24">
        <v>15</v>
      </c>
      <c r="H24" s="27">
        <v>372</v>
      </c>
      <c r="I24" s="26" t="s">
        <v>23</v>
      </c>
    </row>
    <row r="25" spans="1:16" ht="14.4" x14ac:dyDescent="0.25">
      <c r="A25" s="24">
        <v>10030</v>
      </c>
      <c r="B25" s="25">
        <v>43363</v>
      </c>
      <c r="C25" s="64">
        <f t="shared" si="0"/>
        <v>2018</v>
      </c>
      <c r="D25" s="64" t="str">
        <f t="shared" si="1"/>
        <v>2018年3季度</v>
      </c>
      <c r="E25" s="26" t="s">
        <v>21</v>
      </c>
      <c r="F25" s="24">
        <v>36.4</v>
      </c>
      <c r="G25" s="24">
        <v>20</v>
      </c>
      <c r="H25" s="27">
        <v>728</v>
      </c>
      <c r="I25" s="26" t="s">
        <v>23</v>
      </c>
    </row>
    <row r="26" spans="1:16" ht="14.4" x14ac:dyDescent="0.25">
      <c r="A26" s="24">
        <v>10032</v>
      </c>
      <c r="B26" s="25">
        <v>43371</v>
      </c>
      <c r="C26" s="64">
        <f t="shared" si="0"/>
        <v>2018</v>
      </c>
      <c r="D26" s="64" t="str">
        <f t="shared" si="1"/>
        <v>2018年3季度</v>
      </c>
      <c r="E26" s="26" t="s">
        <v>21</v>
      </c>
      <c r="F26" s="24">
        <v>31.2</v>
      </c>
      <c r="G26" s="24">
        <v>15</v>
      </c>
      <c r="H26" s="27">
        <v>468</v>
      </c>
      <c r="I26" s="26" t="s">
        <v>23</v>
      </c>
    </row>
    <row r="27" spans="1:16" ht="14.4" x14ac:dyDescent="0.25">
      <c r="A27" s="24">
        <v>10036</v>
      </c>
      <c r="B27" s="25">
        <v>43377</v>
      </c>
      <c r="C27" s="64">
        <f t="shared" si="0"/>
        <v>2018</v>
      </c>
      <c r="D27" s="64" t="str">
        <f t="shared" si="1"/>
        <v>2018年4季度</v>
      </c>
      <c r="E27" s="26" t="s">
        <v>21</v>
      </c>
      <c r="F27" s="24">
        <v>12.4</v>
      </c>
      <c r="G27" s="24">
        <v>20</v>
      </c>
      <c r="H27" s="27">
        <v>248</v>
      </c>
      <c r="I27" s="26" t="s">
        <v>22</v>
      </c>
    </row>
    <row r="28" spans="1:16" ht="14.4" x14ac:dyDescent="0.25">
      <c r="A28" s="24">
        <v>10036</v>
      </c>
      <c r="B28" s="25">
        <v>43377</v>
      </c>
      <c r="C28" s="64">
        <f t="shared" si="0"/>
        <v>2018</v>
      </c>
      <c r="D28" s="64" t="str">
        <f t="shared" si="1"/>
        <v>2018年4季度</v>
      </c>
      <c r="E28" s="26" t="s">
        <v>21</v>
      </c>
      <c r="F28" s="24">
        <v>27.8</v>
      </c>
      <c r="G28" s="24">
        <v>3</v>
      </c>
      <c r="H28" s="27">
        <v>83.4</v>
      </c>
      <c r="I28" s="26" t="s">
        <v>22</v>
      </c>
    </row>
    <row r="29" spans="1:16" ht="14.4" x14ac:dyDescent="0.25">
      <c r="A29" s="24">
        <v>10036</v>
      </c>
      <c r="B29" s="25">
        <v>43377</v>
      </c>
      <c r="C29" s="64">
        <f t="shared" si="0"/>
        <v>2018</v>
      </c>
      <c r="D29" s="64" t="str">
        <f t="shared" si="1"/>
        <v>2018年4季度</v>
      </c>
      <c r="E29" s="26" t="s">
        <v>21</v>
      </c>
      <c r="F29" s="24">
        <v>27.2</v>
      </c>
      <c r="G29" s="24">
        <v>35</v>
      </c>
      <c r="H29" s="27">
        <v>952</v>
      </c>
      <c r="I29" s="26" t="s">
        <v>22</v>
      </c>
    </row>
    <row r="30" spans="1:16" ht="14.4" x14ac:dyDescent="0.25">
      <c r="A30" s="24">
        <v>10036</v>
      </c>
      <c r="B30" s="25">
        <v>43377</v>
      </c>
      <c r="C30" s="64">
        <f t="shared" si="0"/>
        <v>2018</v>
      </c>
      <c r="D30" s="64" t="str">
        <f t="shared" si="1"/>
        <v>2018年4季度</v>
      </c>
      <c r="E30" s="26" t="s">
        <v>21</v>
      </c>
      <c r="F30" s="24">
        <v>7.3</v>
      </c>
      <c r="G30" s="24">
        <v>18</v>
      </c>
      <c r="H30" s="27">
        <v>131.4</v>
      </c>
      <c r="I30" s="26" t="s">
        <v>22</v>
      </c>
    </row>
    <row r="31" spans="1:16" ht="14.4" x14ac:dyDescent="0.25">
      <c r="A31" s="24">
        <v>10040</v>
      </c>
      <c r="B31" s="25">
        <v>43389</v>
      </c>
      <c r="C31" s="64">
        <f t="shared" si="0"/>
        <v>2018</v>
      </c>
      <c r="D31" s="64" t="str">
        <f t="shared" si="1"/>
        <v>2018年4季度</v>
      </c>
      <c r="E31" s="26" t="s">
        <v>21</v>
      </c>
      <c r="F31" s="24">
        <v>11.2</v>
      </c>
      <c r="G31" s="24">
        <v>20</v>
      </c>
      <c r="H31" s="27">
        <v>224</v>
      </c>
      <c r="I31" s="26" t="s">
        <v>25</v>
      </c>
    </row>
    <row r="32" spans="1:16" ht="14.4" x14ac:dyDescent="0.25">
      <c r="A32" s="24">
        <v>10040</v>
      </c>
      <c r="B32" s="25">
        <v>43389</v>
      </c>
      <c r="C32" s="64">
        <f t="shared" si="0"/>
        <v>2018</v>
      </c>
      <c r="D32" s="64" t="str">
        <f t="shared" si="1"/>
        <v>2018年4季度</v>
      </c>
      <c r="E32" s="26" t="s">
        <v>21</v>
      </c>
      <c r="F32" s="24">
        <v>9.6</v>
      </c>
      <c r="G32" s="24">
        <v>15</v>
      </c>
      <c r="H32" s="27">
        <v>144</v>
      </c>
      <c r="I32" s="26" t="s">
        <v>25</v>
      </c>
    </row>
    <row r="33" spans="1:9" ht="14.4" x14ac:dyDescent="0.25">
      <c r="A33" s="24">
        <v>10041</v>
      </c>
      <c r="B33" s="25">
        <v>43391</v>
      </c>
      <c r="C33" s="64">
        <f t="shared" si="0"/>
        <v>2018</v>
      </c>
      <c r="D33" s="64" t="str">
        <f t="shared" si="1"/>
        <v>2018年4季度</v>
      </c>
      <c r="E33" s="26" t="s">
        <v>21</v>
      </c>
      <c r="F33" s="24">
        <v>5.9</v>
      </c>
      <c r="G33" s="24">
        <v>10</v>
      </c>
      <c r="H33" s="27">
        <v>59</v>
      </c>
      <c r="I33" s="26" t="s">
        <v>22</v>
      </c>
    </row>
    <row r="34" spans="1:9" ht="14.4" x14ac:dyDescent="0.25">
      <c r="A34" s="24">
        <v>10041</v>
      </c>
      <c r="B34" s="25">
        <v>43391</v>
      </c>
      <c r="C34" s="64">
        <f t="shared" si="0"/>
        <v>2018</v>
      </c>
      <c r="D34" s="64" t="str">
        <f t="shared" si="1"/>
        <v>2018年4季度</v>
      </c>
      <c r="E34" s="26" t="s">
        <v>21</v>
      </c>
      <c r="F34" s="24">
        <v>10</v>
      </c>
      <c r="G34" s="24">
        <v>3</v>
      </c>
      <c r="H34" s="27">
        <v>30</v>
      </c>
      <c r="I34" s="26" t="s">
        <v>22</v>
      </c>
    </row>
    <row r="35" spans="1:9" ht="14.4" x14ac:dyDescent="0.25">
      <c r="A35" s="24">
        <v>10044</v>
      </c>
      <c r="B35" s="25">
        <v>43399</v>
      </c>
      <c r="C35" s="64">
        <f t="shared" si="0"/>
        <v>2018</v>
      </c>
      <c r="D35" s="64" t="str">
        <f t="shared" si="1"/>
        <v>2018年4季度</v>
      </c>
      <c r="E35" s="26" t="s">
        <v>21</v>
      </c>
      <c r="F35" s="24">
        <v>42.4</v>
      </c>
      <c r="G35" s="24">
        <v>2</v>
      </c>
      <c r="H35" s="27">
        <v>84.8</v>
      </c>
      <c r="I35" s="26" t="s">
        <v>23</v>
      </c>
    </row>
    <row r="36" spans="1:9" ht="14.4" x14ac:dyDescent="0.25">
      <c r="A36" s="24">
        <v>10044</v>
      </c>
      <c r="B36" s="25">
        <v>43399</v>
      </c>
      <c r="C36" s="64">
        <f t="shared" si="0"/>
        <v>2018</v>
      </c>
      <c r="D36" s="64" t="str">
        <f t="shared" si="1"/>
        <v>2018年4季度</v>
      </c>
      <c r="E36" s="26" t="s">
        <v>21</v>
      </c>
      <c r="F36" s="24">
        <v>15.5</v>
      </c>
      <c r="G36" s="24">
        <v>24</v>
      </c>
      <c r="H36" s="27">
        <v>372</v>
      </c>
      <c r="I36" s="26" t="s">
        <v>23</v>
      </c>
    </row>
    <row r="37" spans="1:9" ht="14.4" x14ac:dyDescent="0.25">
      <c r="A37" s="24">
        <v>10045</v>
      </c>
      <c r="B37" s="25">
        <v>43401</v>
      </c>
      <c r="C37" s="64">
        <f t="shared" si="0"/>
        <v>2018</v>
      </c>
      <c r="D37" s="64" t="str">
        <f t="shared" si="1"/>
        <v>2018年4季度</v>
      </c>
      <c r="E37" s="26" t="s">
        <v>21</v>
      </c>
      <c r="F37" s="24">
        <v>64.8</v>
      </c>
      <c r="G37" s="24">
        <v>20</v>
      </c>
      <c r="H37" s="27">
        <v>1296</v>
      </c>
      <c r="I37" s="26" t="s">
        <v>23</v>
      </c>
    </row>
    <row r="38" spans="1:9" ht="14.4" x14ac:dyDescent="0.25">
      <c r="A38" s="24">
        <v>10046</v>
      </c>
      <c r="B38" s="25">
        <v>43403</v>
      </c>
      <c r="C38" s="64">
        <f t="shared" si="0"/>
        <v>2018</v>
      </c>
      <c r="D38" s="64" t="str">
        <f t="shared" si="1"/>
        <v>2018年4季度</v>
      </c>
      <c r="E38" s="26" t="s">
        <v>21</v>
      </c>
      <c r="F38" s="24">
        <v>35.1</v>
      </c>
      <c r="G38" s="24">
        <v>5</v>
      </c>
      <c r="H38" s="27">
        <v>175.5</v>
      </c>
      <c r="I38" s="26" t="s">
        <v>23</v>
      </c>
    </row>
    <row r="39" spans="1:9" ht="14.4" x14ac:dyDescent="0.25">
      <c r="A39" s="24">
        <v>10047</v>
      </c>
      <c r="B39" s="25">
        <v>43405</v>
      </c>
      <c r="C39" s="64">
        <f t="shared" si="0"/>
        <v>2018</v>
      </c>
      <c r="D39" s="64" t="str">
        <f t="shared" si="1"/>
        <v>2018年4季度</v>
      </c>
      <c r="E39" s="26" t="s">
        <v>21</v>
      </c>
      <c r="F39" s="24">
        <v>31.2</v>
      </c>
      <c r="G39" s="24">
        <v>15</v>
      </c>
      <c r="H39" s="27">
        <v>468</v>
      </c>
      <c r="I39" s="26" t="s">
        <v>22</v>
      </c>
    </row>
    <row r="40" spans="1:9" ht="14.4" x14ac:dyDescent="0.25">
      <c r="A40" s="24">
        <v>10048</v>
      </c>
      <c r="B40" s="25">
        <v>43411</v>
      </c>
      <c r="C40" s="64">
        <f t="shared" si="0"/>
        <v>2018</v>
      </c>
      <c r="D40" s="64" t="str">
        <f t="shared" si="1"/>
        <v>2018年4季度</v>
      </c>
      <c r="E40" s="26" t="s">
        <v>21</v>
      </c>
      <c r="F40" s="24">
        <v>30.4</v>
      </c>
      <c r="G40" s="24">
        <v>4</v>
      </c>
      <c r="H40" s="27">
        <v>121.6</v>
      </c>
      <c r="I40" s="26" t="s">
        <v>22</v>
      </c>
    </row>
    <row r="41" spans="1:9" ht="14.4" x14ac:dyDescent="0.25">
      <c r="A41" s="24">
        <v>10049</v>
      </c>
      <c r="B41" s="25">
        <v>43413</v>
      </c>
      <c r="C41" s="64">
        <f t="shared" si="0"/>
        <v>2018</v>
      </c>
      <c r="D41" s="64" t="str">
        <f t="shared" si="1"/>
        <v>2018年4季度</v>
      </c>
      <c r="E41" s="26" t="s">
        <v>21</v>
      </c>
      <c r="F41" s="24">
        <v>28.8</v>
      </c>
      <c r="G41" s="24">
        <v>15</v>
      </c>
      <c r="H41" s="27">
        <v>432</v>
      </c>
      <c r="I41" s="26" t="s">
        <v>25</v>
      </c>
    </row>
    <row r="42" spans="1:9" ht="14.4" x14ac:dyDescent="0.25">
      <c r="A42" s="24">
        <v>10049</v>
      </c>
      <c r="B42" s="25">
        <v>43413</v>
      </c>
      <c r="C42" s="64">
        <f t="shared" si="0"/>
        <v>2018</v>
      </c>
      <c r="D42" s="64" t="str">
        <f t="shared" si="1"/>
        <v>2018年4季度</v>
      </c>
      <c r="E42" s="26" t="s">
        <v>21</v>
      </c>
      <c r="F42" s="24">
        <v>16.8</v>
      </c>
      <c r="G42" s="24">
        <v>12</v>
      </c>
      <c r="H42" s="27">
        <v>201.6</v>
      </c>
      <c r="I42" s="26" t="s">
        <v>25</v>
      </c>
    </row>
    <row r="43" spans="1:9" ht="14.4" x14ac:dyDescent="0.25">
      <c r="A43" s="24">
        <v>10049</v>
      </c>
      <c r="B43" s="25">
        <v>43413</v>
      </c>
      <c r="C43" s="64">
        <f t="shared" si="0"/>
        <v>2018</v>
      </c>
      <c r="D43" s="64" t="str">
        <f t="shared" si="1"/>
        <v>2018年4季度</v>
      </c>
      <c r="E43" s="26" t="s">
        <v>21</v>
      </c>
      <c r="F43" s="24">
        <v>13.9</v>
      </c>
      <c r="G43" s="24">
        <v>30</v>
      </c>
      <c r="H43" s="27">
        <v>417</v>
      </c>
      <c r="I43" s="26" t="s">
        <v>25</v>
      </c>
    </row>
    <row r="44" spans="1:9" ht="14.4" x14ac:dyDescent="0.25">
      <c r="A44" s="24">
        <v>10054</v>
      </c>
      <c r="B44" s="25">
        <v>43425</v>
      </c>
      <c r="C44" s="64">
        <f t="shared" si="0"/>
        <v>2018</v>
      </c>
      <c r="D44" s="64" t="str">
        <f t="shared" si="1"/>
        <v>2018年4季度</v>
      </c>
      <c r="E44" s="26" t="s">
        <v>21</v>
      </c>
      <c r="F44" s="24">
        <v>30.4</v>
      </c>
      <c r="G44" s="24">
        <v>20</v>
      </c>
      <c r="H44" s="27">
        <v>608</v>
      </c>
      <c r="I44" s="26" t="s">
        <v>22</v>
      </c>
    </row>
    <row r="45" spans="1:9" ht="14.4" x14ac:dyDescent="0.25">
      <c r="A45" s="24">
        <v>10054</v>
      </c>
      <c r="B45" s="25">
        <v>43425</v>
      </c>
      <c r="C45" s="64">
        <f t="shared" si="0"/>
        <v>2018</v>
      </c>
      <c r="D45" s="64" t="str">
        <f t="shared" si="1"/>
        <v>2018年4季度</v>
      </c>
      <c r="E45" s="26" t="s">
        <v>21</v>
      </c>
      <c r="F45" s="24">
        <v>14.7</v>
      </c>
      <c r="G45" s="24">
        <v>10</v>
      </c>
      <c r="H45" s="27">
        <v>147</v>
      </c>
      <c r="I45" s="26" t="s">
        <v>22</v>
      </c>
    </row>
    <row r="46" spans="1:9" ht="14.4" x14ac:dyDescent="0.25">
      <c r="A46" s="24">
        <v>10055</v>
      </c>
      <c r="B46" s="25">
        <v>43427</v>
      </c>
      <c r="C46" s="64">
        <f t="shared" si="0"/>
        <v>2018</v>
      </c>
      <c r="D46" s="64" t="str">
        <f t="shared" si="1"/>
        <v>2018年4季度</v>
      </c>
      <c r="E46" s="26" t="s">
        <v>21</v>
      </c>
      <c r="F46" s="24">
        <v>36.4</v>
      </c>
      <c r="G46" s="24">
        <v>28</v>
      </c>
      <c r="H46" s="27">
        <v>1019.2</v>
      </c>
      <c r="I46" s="26" t="s">
        <v>23</v>
      </c>
    </row>
    <row r="47" spans="1:9" ht="14.4" x14ac:dyDescent="0.25">
      <c r="A47" s="24">
        <v>10055</v>
      </c>
      <c r="B47" s="25">
        <v>43427</v>
      </c>
      <c r="C47" s="64">
        <f t="shared" si="0"/>
        <v>2018</v>
      </c>
      <c r="D47" s="64" t="str">
        <f t="shared" si="1"/>
        <v>2018年4季度</v>
      </c>
      <c r="E47" s="26" t="s">
        <v>21</v>
      </c>
      <c r="F47" s="24">
        <v>36.799999999999997</v>
      </c>
      <c r="G47" s="24">
        <v>12</v>
      </c>
      <c r="H47" s="27">
        <v>441.6</v>
      </c>
      <c r="I47" s="26" t="s">
        <v>23</v>
      </c>
    </row>
    <row r="48" spans="1:9" ht="14.4" x14ac:dyDescent="0.25">
      <c r="A48" s="24">
        <v>10058</v>
      </c>
      <c r="B48" s="25">
        <v>43433</v>
      </c>
      <c r="C48" s="64">
        <f t="shared" si="0"/>
        <v>2018</v>
      </c>
      <c r="D48" s="64" t="str">
        <f t="shared" si="1"/>
        <v>2018年4季度</v>
      </c>
      <c r="E48" s="26" t="s">
        <v>21</v>
      </c>
      <c r="F48" s="24">
        <v>50</v>
      </c>
      <c r="G48" s="24">
        <v>25</v>
      </c>
      <c r="H48" s="27">
        <v>1250</v>
      </c>
      <c r="I48" s="26" t="s">
        <v>22</v>
      </c>
    </row>
    <row r="49" spans="1:9" ht="14.4" x14ac:dyDescent="0.25">
      <c r="A49" s="24">
        <v>10058</v>
      </c>
      <c r="B49" s="25">
        <v>43433</v>
      </c>
      <c r="C49" s="64">
        <f t="shared" si="0"/>
        <v>2018</v>
      </c>
      <c r="D49" s="64" t="str">
        <f t="shared" si="1"/>
        <v>2018年4季度</v>
      </c>
      <c r="E49" s="26" t="s">
        <v>21</v>
      </c>
      <c r="F49" s="24">
        <v>14.4</v>
      </c>
      <c r="G49" s="24">
        <v>30</v>
      </c>
      <c r="H49" s="27">
        <v>432</v>
      </c>
      <c r="I49" s="26" t="s">
        <v>22</v>
      </c>
    </row>
    <row r="50" spans="1:9" ht="14.4" x14ac:dyDescent="0.25">
      <c r="A50" s="24">
        <v>10059</v>
      </c>
      <c r="B50" s="25">
        <v>43439</v>
      </c>
      <c r="C50" s="64">
        <f t="shared" si="0"/>
        <v>2018</v>
      </c>
      <c r="D50" s="64" t="str">
        <f t="shared" si="1"/>
        <v>2018年4季度</v>
      </c>
      <c r="E50" s="26" t="s">
        <v>21</v>
      </c>
      <c r="F50" s="24">
        <v>20.7</v>
      </c>
      <c r="G50" s="24">
        <v>10</v>
      </c>
      <c r="H50" s="27">
        <v>207</v>
      </c>
      <c r="I50" s="26" t="s">
        <v>22</v>
      </c>
    </row>
    <row r="51" spans="1:9" ht="14.4" x14ac:dyDescent="0.25">
      <c r="A51" s="24">
        <v>10059</v>
      </c>
      <c r="B51" s="25">
        <v>43439</v>
      </c>
      <c r="C51" s="64">
        <f t="shared" si="0"/>
        <v>2018</v>
      </c>
      <c r="D51" s="64" t="str">
        <f t="shared" si="1"/>
        <v>2018年4季度</v>
      </c>
      <c r="E51" s="26" t="s">
        <v>21</v>
      </c>
      <c r="F51" s="24">
        <v>26.2</v>
      </c>
      <c r="G51" s="24">
        <v>10</v>
      </c>
      <c r="H51" s="27">
        <v>262</v>
      </c>
      <c r="I51" s="26" t="s">
        <v>22</v>
      </c>
    </row>
    <row r="52" spans="1:9" ht="14.4" x14ac:dyDescent="0.25">
      <c r="A52" s="24">
        <v>10072</v>
      </c>
      <c r="B52" s="25">
        <v>43471</v>
      </c>
      <c r="C52" s="64">
        <f t="shared" si="0"/>
        <v>2019</v>
      </c>
      <c r="D52" s="64" t="str">
        <f t="shared" si="1"/>
        <v>2019年1季度</v>
      </c>
      <c r="E52" s="26" t="s">
        <v>21</v>
      </c>
      <c r="F52" s="24">
        <v>31.2</v>
      </c>
      <c r="G52" s="24">
        <v>8</v>
      </c>
      <c r="H52" s="27">
        <v>249.6</v>
      </c>
      <c r="I52" s="26" t="s">
        <v>25</v>
      </c>
    </row>
    <row r="53" spans="1:9" ht="14.4" x14ac:dyDescent="0.25">
      <c r="A53" s="24">
        <v>10073</v>
      </c>
      <c r="B53" s="25">
        <v>43473</v>
      </c>
      <c r="C53" s="64">
        <f t="shared" si="0"/>
        <v>2019</v>
      </c>
      <c r="D53" s="64" t="str">
        <f t="shared" si="1"/>
        <v>2019年1季度</v>
      </c>
      <c r="E53" s="26" t="s">
        <v>21</v>
      </c>
      <c r="F53" s="24">
        <v>17.2</v>
      </c>
      <c r="G53" s="24">
        <v>30</v>
      </c>
      <c r="H53" s="27">
        <v>516</v>
      </c>
      <c r="I53" s="26" t="s">
        <v>23</v>
      </c>
    </row>
    <row r="54" spans="1:9" ht="14.4" x14ac:dyDescent="0.25">
      <c r="A54" s="24">
        <v>10074</v>
      </c>
      <c r="B54" s="25">
        <v>43473</v>
      </c>
      <c r="C54" s="64">
        <f t="shared" si="0"/>
        <v>2019</v>
      </c>
      <c r="D54" s="64" t="str">
        <f t="shared" si="1"/>
        <v>2019年1季度</v>
      </c>
      <c r="E54" s="26" t="s">
        <v>21</v>
      </c>
      <c r="F54" s="24">
        <v>14.4</v>
      </c>
      <c r="G54" s="24">
        <v>10</v>
      </c>
      <c r="H54" s="27">
        <v>144</v>
      </c>
      <c r="I54" s="26" t="s">
        <v>26</v>
      </c>
    </row>
    <row r="55" spans="1:9" ht="14.4" x14ac:dyDescent="0.25">
      <c r="A55" s="24">
        <v>10075</v>
      </c>
      <c r="B55" s="25">
        <v>43475</v>
      </c>
      <c r="C55" s="64">
        <f t="shared" si="0"/>
        <v>2019</v>
      </c>
      <c r="D55" s="64" t="str">
        <f t="shared" si="1"/>
        <v>2019年1季度</v>
      </c>
      <c r="E55" s="26" t="s">
        <v>21</v>
      </c>
      <c r="F55" s="24">
        <v>5.6</v>
      </c>
      <c r="G55" s="24">
        <v>20</v>
      </c>
      <c r="H55" s="27">
        <v>112</v>
      </c>
      <c r="I55" s="26" t="s">
        <v>27</v>
      </c>
    </row>
    <row r="56" spans="1:9" ht="14.4" x14ac:dyDescent="0.25">
      <c r="A56" s="24">
        <v>10076</v>
      </c>
      <c r="B56" s="25">
        <v>43481</v>
      </c>
      <c r="C56" s="64">
        <f t="shared" si="0"/>
        <v>2019</v>
      </c>
      <c r="D56" s="64" t="str">
        <f t="shared" si="1"/>
        <v>2019年1季度</v>
      </c>
      <c r="E56" s="26" t="s">
        <v>21</v>
      </c>
      <c r="F56" s="24">
        <v>14.4</v>
      </c>
      <c r="G56" s="24">
        <v>4</v>
      </c>
      <c r="H56" s="27">
        <v>57.6</v>
      </c>
      <c r="I56" s="26" t="s">
        <v>22</v>
      </c>
    </row>
    <row r="57" spans="1:9" ht="14.4" x14ac:dyDescent="0.25">
      <c r="A57" s="24">
        <v>10080</v>
      </c>
      <c r="B57" s="25">
        <v>43489</v>
      </c>
      <c r="C57" s="64">
        <f t="shared" si="0"/>
        <v>2019</v>
      </c>
      <c r="D57" s="64" t="str">
        <f t="shared" si="1"/>
        <v>2019年1季度</v>
      </c>
      <c r="E57" s="26" t="s">
        <v>21</v>
      </c>
      <c r="F57" s="24">
        <v>16.8</v>
      </c>
      <c r="G57" s="24">
        <v>50</v>
      </c>
      <c r="H57" s="27">
        <v>840</v>
      </c>
      <c r="I57" s="26" t="s">
        <v>27</v>
      </c>
    </row>
    <row r="58" spans="1:9" ht="14.4" x14ac:dyDescent="0.25">
      <c r="A58" s="24">
        <v>10080</v>
      </c>
      <c r="B58" s="25">
        <v>43489</v>
      </c>
      <c r="C58" s="64">
        <f t="shared" si="0"/>
        <v>2019</v>
      </c>
      <c r="D58" s="64" t="str">
        <f t="shared" si="1"/>
        <v>2019年1季度</v>
      </c>
      <c r="E58" s="26" t="s">
        <v>21</v>
      </c>
      <c r="F58" s="24">
        <v>15.2</v>
      </c>
      <c r="G58" s="24">
        <v>25</v>
      </c>
      <c r="H58" s="27">
        <v>380</v>
      </c>
      <c r="I58" s="26" t="s">
        <v>27</v>
      </c>
    </row>
    <row r="59" spans="1:9" ht="14.4" x14ac:dyDescent="0.25">
      <c r="A59" s="24">
        <v>10080</v>
      </c>
      <c r="B59" s="25">
        <v>43489</v>
      </c>
      <c r="C59" s="64">
        <f t="shared" si="0"/>
        <v>2019</v>
      </c>
      <c r="D59" s="64" t="str">
        <f t="shared" si="1"/>
        <v>2019年1季度</v>
      </c>
      <c r="E59" s="26" t="s">
        <v>21</v>
      </c>
      <c r="F59" s="24">
        <v>20.7</v>
      </c>
      <c r="G59" s="24">
        <v>35</v>
      </c>
      <c r="H59" s="27">
        <v>724.5</v>
      </c>
      <c r="I59" s="26" t="s">
        <v>27</v>
      </c>
    </row>
    <row r="60" spans="1:9" ht="14.4" x14ac:dyDescent="0.25">
      <c r="A60" s="24">
        <v>10080</v>
      </c>
      <c r="B60" s="25">
        <v>43489</v>
      </c>
      <c r="C60" s="64">
        <f t="shared" si="0"/>
        <v>2019</v>
      </c>
      <c r="D60" s="64" t="str">
        <f t="shared" si="1"/>
        <v>2019年1季度</v>
      </c>
      <c r="E60" s="26" t="s">
        <v>21</v>
      </c>
      <c r="F60" s="24">
        <v>10.6</v>
      </c>
      <c r="G60" s="24">
        <v>30</v>
      </c>
      <c r="H60" s="27">
        <v>318</v>
      </c>
      <c r="I60" s="26" t="s">
        <v>27</v>
      </c>
    </row>
    <row r="61" spans="1:9" ht="14.4" x14ac:dyDescent="0.25">
      <c r="A61" s="24">
        <v>10090</v>
      </c>
      <c r="B61" s="25">
        <v>43515</v>
      </c>
      <c r="C61" s="64">
        <f t="shared" si="0"/>
        <v>2019</v>
      </c>
      <c r="D61" s="64" t="str">
        <f t="shared" si="1"/>
        <v>2019年1季度</v>
      </c>
      <c r="E61" s="26" t="s">
        <v>21</v>
      </c>
      <c r="F61" s="24">
        <v>24.9</v>
      </c>
      <c r="G61" s="24">
        <v>24</v>
      </c>
      <c r="H61" s="27">
        <v>597.6</v>
      </c>
      <c r="I61" s="26" t="s">
        <v>22</v>
      </c>
    </row>
    <row r="62" spans="1:9" ht="14.4" x14ac:dyDescent="0.25">
      <c r="A62" s="24">
        <v>10090</v>
      </c>
      <c r="B62" s="25">
        <v>43515</v>
      </c>
      <c r="C62" s="64">
        <f t="shared" si="0"/>
        <v>2019</v>
      </c>
      <c r="D62" s="64" t="str">
        <f t="shared" si="1"/>
        <v>2019年1季度</v>
      </c>
      <c r="E62" s="26" t="s">
        <v>21</v>
      </c>
      <c r="F62" s="24">
        <v>7.2</v>
      </c>
      <c r="G62" s="24">
        <v>40</v>
      </c>
      <c r="H62" s="27">
        <v>288</v>
      </c>
      <c r="I62" s="26" t="s">
        <v>22</v>
      </c>
    </row>
    <row r="63" spans="1:9" ht="14.4" x14ac:dyDescent="0.25">
      <c r="A63" s="24">
        <v>10090</v>
      </c>
      <c r="B63" s="25">
        <v>43515</v>
      </c>
      <c r="C63" s="64">
        <f t="shared" si="0"/>
        <v>2019</v>
      </c>
      <c r="D63" s="64" t="str">
        <f t="shared" si="1"/>
        <v>2019年1季度</v>
      </c>
      <c r="E63" s="26" t="s">
        <v>21</v>
      </c>
      <c r="F63" s="24">
        <v>27.8</v>
      </c>
      <c r="G63" s="24">
        <v>25</v>
      </c>
      <c r="H63" s="27">
        <v>695</v>
      </c>
      <c r="I63" s="26" t="s">
        <v>22</v>
      </c>
    </row>
    <row r="64" spans="1:9" ht="14.4" x14ac:dyDescent="0.25">
      <c r="A64" s="24">
        <v>10091</v>
      </c>
      <c r="B64" s="25">
        <v>43517</v>
      </c>
      <c r="C64" s="64">
        <f t="shared" si="0"/>
        <v>2019</v>
      </c>
      <c r="D64" s="64" t="str">
        <f t="shared" si="1"/>
        <v>2019年1季度</v>
      </c>
      <c r="E64" s="26" t="s">
        <v>21</v>
      </c>
      <c r="F64" s="24">
        <v>20.7</v>
      </c>
      <c r="G64" s="24">
        <v>15</v>
      </c>
      <c r="H64" s="27">
        <v>310.5</v>
      </c>
      <c r="I64" s="26" t="s">
        <v>22</v>
      </c>
    </row>
    <row r="65" spans="1:9" ht="14.4" x14ac:dyDescent="0.25">
      <c r="A65" s="24">
        <v>10095</v>
      </c>
      <c r="B65" s="25">
        <v>43527</v>
      </c>
      <c r="C65" s="64">
        <f t="shared" si="0"/>
        <v>2019</v>
      </c>
      <c r="D65" s="64" t="str">
        <f t="shared" si="1"/>
        <v>2019年1季度</v>
      </c>
      <c r="E65" s="26" t="s">
        <v>21</v>
      </c>
      <c r="F65" s="24">
        <v>19.2</v>
      </c>
      <c r="G65" s="24">
        <v>40</v>
      </c>
      <c r="H65" s="27">
        <v>768</v>
      </c>
      <c r="I65" s="26" t="s">
        <v>27</v>
      </c>
    </row>
    <row r="66" spans="1:9" ht="14.4" x14ac:dyDescent="0.25">
      <c r="A66" s="24">
        <v>10095</v>
      </c>
      <c r="B66" s="25">
        <v>43527</v>
      </c>
      <c r="C66" s="64">
        <f t="shared" si="0"/>
        <v>2019</v>
      </c>
      <c r="D66" s="64" t="str">
        <f t="shared" si="1"/>
        <v>2019年1季度</v>
      </c>
      <c r="E66" s="26" t="s">
        <v>21</v>
      </c>
      <c r="F66" s="24">
        <v>10</v>
      </c>
      <c r="G66" s="24">
        <v>56</v>
      </c>
      <c r="H66" s="27">
        <v>560</v>
      </c>
      <c r="I66" s="26" t="s">
        <v>27</v>
      </c>
    </row>
    <row r="67" spans="1:9" ht="14.4" x14ac:dyDescent="0.25">
      <c r="A67" s="24">
        <v>10096</v>
      </c>
      <c r="B67" s="25">
        <v>43529</v>
      </c>
      <c r="C67" s="64">
        <f t="shared" ref="C67:C130" si="3">YEAR(B67)</f>
        <v>2019</v>
      </c>
      <c r="D67" s="64" t="str">
        <f t="shared" ref="D67:D130" si="4">YEAR(B67)&amp;"年"&amp;ROUNDUP(MONTH(B67)/3,0)&amp;"季度"</f>
        <v>2019年1季度</v>
      </c>
      <c r="E67" s="26" t="s">
        <v>21</v>
      </c>
      <c r="F67" s="24">
        <v>10</v>
      </c>
      <c r="G67" s="24">
        <v>4</v>
      </c>
      <c r="H67" s="27">
        <v>40</v>
      </c>
      <c r="I67" s="26" t="s">
        <v>22</v>
      </c>
    </row>
    <row r="68" spans="1:9" ht="14.4" x14ac:dyDescent="0.25">
      <c r="A68" s="24">
        <v>10096</v>
      </c>
      <c r="B68" s="25">
        <v>43529</v>
      </c>
      <c r="C68" s="64">
        <f t="shared" si="3"/>
        <v>2019</v>
      </c>
      <c r="D68" s="64" t="str">
        <f t="shared" si="4"/>
        <v>2019年1季度</v>
      </c>
      <c r="E68" s="26" t="s">
        <v>21</v>
      </c>
      <c r="F68" s="24">
        <v>26.6</v>
      </c>
      <c r="G68" s="24">
        <v>50</v>
      </c>
      <c r="H68" s="27">
        <v>1330</v>
      </c>
      <c r="I68" s="26" t="s">
        <v>22</v>
      </c>
    </row>
    <row r="69" spans="1:9" ht="14.4" x14ac:dyDescent="0.25">
      <c r="A69" s="24">
        <v>10099</v>
      </c>
      <c r="B69" s="25">
        <v>43539</v>
      </c>
      <c r="C69" s="64">
        <f t="shared" si="3"/>
        <v>2019</v>
      </c>
      <c r="D69" s="64" t="str">
        <f t="shared" si="4"/>
        <v>2019年1季度</v>
      </c>
      <c r="E69" s="26" t="s">
        <v>21</v>
      </c>
      <c r="F69" s="24">
        <v>31.2</v>
      </c>
      <c r="G69" s="24">
        <v>36</v>
      </c>
      <c r="H69" s="27">
        <v>1123.2</v>
      </c>
      <c r="I69" s="26" t="s">
        <v>22</v>
      </c>
    </row>
    <row r="70" spans="1:9" ht="14.4" x14ac:dyDescent="0.25">
      <c r="A70" s="24">
        <v>10102</v>
      </c>
      <c r="B70" s="25">
        <v>43545</v>
      </c>
      <c r="C70" s="64">
        <f t="shared" si="3"/>
        <v>2019</v>
      </c>
      <c r="D70" s="64" t="str">
        <f t="shared" si="4"/>
        <v>2019年1季度</v>
      </c>
      <c r="E70" s="26" t="s">
        <v>21</v>
      </c>
      <c r="F70" s="24">
        <v>5.9</v>
      </c>
      <c r="G70" s="24">
        <v>24</v>
      </c>
      <c r="H70" s="27">
        <v>141.6</v>
      </c>
      <c r="I70" s="26" t="s">
        <v>22</v>
      </c>
    </row>
    <row r="71" spans="1:9" ht="14.4" x14ac:dyDescent="0.25">
      <c r="A71" s="24">
        <v>10103</v>
      </c>
      <c r="B71" s="25">
        <v>43551</v>
      </c>
      <c r="C71" s="64">
        <f t="shared" si="3"/>
        <v>2019</v>
      </c>
      <c r="D71" s="64" t="str">
        <f t="shared" si="4"/>
        <v>2019年1季度</v>
      </c>
      <c r="E71" s="26" t="s">
        <v>21</v>
      </c>
      <c r="F71" s="24">
        <v>13</v>
      </c>
      <c r="G71" s="24">
        <v>15</v>
      </c>
      <c r="H71" s="27">
        <v>195</v>
      </c>
      <c r="I71" s="26" t="s">
        <v>27</v>
      </c>
    </row>
    <row r="72" spans="1:9" ht="14.4" x14ac:dyDescent="0.25">
      <c r="A72" s="24">
        <v>10103</v>
      </c>
      <c r="B72" s="25">
        <v>43551</v>
      </c>
      <c r="C72" s="64">
        <f t="shared" si="3"/>
        <v>2019</v>
      </c>
      <c r="D72" s="64" t="str">
        <f t="shared" si="4"/>
        <v>2019年1季度</v>
      </c>
      <c r="E72" s="26" t="s">
        <v>21</v>
      </c>
      <c r="F72" s="24">
        <v>28.8</v>
      </c>
      <c r="G72" s="24">
        <v>18</v>
      </c>
      <c r="H72" s="27">
        <v>518.4</v>
      </c>
      <c r="I72" s="26" t="s">
        <v>27</v>
      </c>
    </row>
    <row r="73" spans="1:9" ht="14.4" x14ac:dyDescent="0.25">
      <c r="A73" s="24">
        <v>10104</v>
      </c>
      <c r="B73" s="25">
        <v>43551</v>
      </c>
      <c r="C73" s="64">
        <f t="shared" si="3"/>
        <v>2019</v>
      </c>
      <c r="D73" s="64" t="str">
        <f t="shared" si="4"/>
        <v>2019年1季度</v>
      </c>
      <c r="E73" s="26" t="s">
        <v>21</v>
      </c>
      <c r="F73" s="24">
        <v>7.7</v>
      </c>
      <c r="G73" s="24">
        <v>13</v>
      </c>
      <c r="H73" s="27">
        <v>100.1</v>
      </c>
      <c r="I73" s="26" t="s">
        <v>23</v>
      </c>
    </row>
    <row r="74" spans="1:9" ht="14.4" x14ac:dyDescent="0.25">
      <c r="A74" s="24">
        <v>10113</v>
      </c>
      <c r="B74" s="25">
        <v>43573</v>
      </c>
      <c r="C74" s="64">
        <f t="shared" si="3"/>
        <v>2019</v>
      </c>
      <c r="D74" s="64" t="str">
        <f t="shared" si="4"/>
        <v>2019年2季度</v>
      </c>
      <c r="E74" s="26" t="s">
        <v>21</v>
      </c>
      <c r="F74" s="24">
        <v>99</v>
      </c>
      <c r="G74" s="24">
        <v>35</v>
      </c>
      <c r="H74" s="27">
        <v>3465</v>
      </c>
      <c r="I74" s="26" t="s">
        <v>23</v>
      </c>
    </row>
    <row r="75" spans="1:9" ht="14.4" x14ac:dyDescent="0.25">
      <c r="A75" s="24">
        <v>10113</v>
      </c>
      <c r="B75" s="25">
        <v>43573</v>
      </c>
      <c r="C75" s="64">
        <f t="shared" si="3"/>
        <v>2019</v>
      </c>
      <c r="D75" s="64" t="str">
        <f t="shared" si="4"/>
        <v>2019年2季度</v>
      </c>
      <c r="E75" s="26" t="s">
        <v>21</v>
      </c>
      <c r="F75" s="24">
        <v>5.9</v>
      </c>
      <c r="G75" s="24">
        <v>28</v>
      </c>
      <c r="H75" s="27">
        <v>165.2</v>
      </c>
      <c r="I75" s="26" t="s">
        <v>23</v>
      </c>
    </row>
    <row r="76" spans="1:9" ht="14.4" x14ac:dyDescent="0.25">
      <c r="A76" s="24">
        <v>10113</v>
      </c>
      <c r="B76" s="25">
        <v>43573</v>
      </c>
      <c r="C76" s="64">
        <f t="shared" si="3"/>
        <v>2019</v>
      </c>
      <c r="D76" s="64" t="str">
        <f t="shared" si="4"/>
        <v>2019年2季度</v>
      </c>
      <c r="E76" s="26" t="s">
        <v>21</v>
      </c>
      <c r="F76" s="24">
        <v>36.4</v>
      </c>
      <c r="G76" s="24">
        <v>30</v>
      </c>
      <c r="H76" s="27">
        <v>1092</v>
      </c>
      <c r="I76" s="26" t="s">
        <v>23</v>
      </c>
    </row>
    <row r="77" spans="1:9" ht="14.4" x14ac:dyDescent="0.25">
      <c r="A77" s="24">
        <v>10113</v>
      </c>
      <c r="B77" s="25">
        <v>43573</v>
      </c>
      <c r="C77" s="64">
        <f t="shared" si="3"/>
        <v>2019</v>
      </c>
      <c r="D77" s="64" t="str">
        <f t="shared" si="4"/>
        <v>2019年2季度</v>
      </c>
      <c r="E77" s="26" t="s">
        <v>21</v>
      </c>
      <c r="F77" s="24">
        <v>16</v>
      </c>
      <c r="G77" s="24">
        <v>35</v>
      </c>
      <c r="H77" s="27">
        <v>560</v>
      </c>
      <c r="I77" s="26" t="s">
        <v>23</v>
      </c>
    </row>
    <row r="78" spans="1:9" ht="14.4" x14ac:dyDescent="0.25">
      <c r="A78" s="24">
        <v>10126</v>
      </c>
      <c r="B78" s="25">
        <v>43599</v>
      </c>
      <c r="C78" s="64">
        <f t="shared" si="3"/>
        <v>2019</v>
      </c>
      <c r="D78" s="64" t="str">
        <f t="shared" si="4"/>
        <v>2019年2季度</v>
      </c>
      <c r="E78" s="26" t="s">
        <v>21</v>
      </c>
      <c r="F78" s="24">
        <v>17.2</v>
      </c>
      <c r="G78" s="24">
        <v>50</v>
      </c>
      <c r="H78" s="27">
        <v>860</v>
      </c>
      <c r="I78" s="26" t="s">
        <v>26</v>
      </c>
    </row>
    <row r="79" spans="1:9" ht="14.4" x14ac:dyDescent="0.25">
      <c r="A79" s="24">
        <v>10126</v>
      </c>
      <c r="B79" s="25">
        <v>43599</v>
      </c>
      <c r="C79" s="64">
        <f t="shared" si="3"/>
        <v>2019</v>
      </c>
      <c r="D79" s="64" t="str">
        <f t="shared" si="4"/>
        <v>2019年2季度</v>
      </c>
      <c r="E79" s="26" t="s">
        <v>21</v>
      </c>
      <c r="F79" s="24">
        <v>10.6</v>
      </c>
      <c r="G79" s="24">
        <v>80</v>
      </c>
      <c r="H79" s="27">
        <v>848</v>
      </c>
      <c r="I79" s="26" t="s">
        <v>26</v>
      </c>
    </row>
    <row r="80" spans="1:9" ht="14.4" x14ac:dyDescent="0.25">
      <c r="A80" s="24">
        <v>10127</v>
      </c>
      <c r="B80" s="25">
        <v>43599</v>
      </c>
      <c r="C80" s="64">
        <f t="shared" si="3"/>
        <v>2019</v>
      </c>
      <c r="D80" s="64" t="str">
        <f t="shared" si="4"/>
        <v>2019年2季度</v>
      </c>
      <c r="E80" s="26" t="s">
        <v>21</v>
      </c>
      <c r="F80" s="24">
        <v>10</v>
      </c>
      <c r="G80" s="24">
        <v>30</v>
      </c>
      <c r="H80" s="27">
        <v>300</v>
      </c>
      <c r="I80" s="26" t="s">
        <v>22</v>
      </c>
    </row>
    <row r="81" spans="1:9" ht="14.4" x14ac:dyDescent="0.25">
      <c r="A81" s="24">
        <v>10127</v>
      </c>
      <c r="B81" s="25">
        <v>43599</v>
      </c>
      <c r="C81" s="64">
        <f t="shared" si="3"/>
        <v>2019</v>
      </c>
      <c r="D81" s="64" t="str">
        <f t="shared" si="4"/>
        <v>2019年2季度</v>
      </c>
      <c r="E81" s="26" t="s">
        <v>21</v>
      </c>
      <c r="F81" s="24">
        <v>10.6</v>
      </c>
      <c r="G81" s="24">
        <v>15</v>
      </c>
      <c r="H81" s="27">
        <v>159</v>
      </c>
      <c r="I81" s="26" t="s">
        <v>22</v>
      </c>
    </row>
    <row r="82" spans="1:9" ht="14.4" x14ac:dyDescent="0.25">
      <c r="A82" s="24">
        <v>10140</v>
      </c>
      <c r="B82" s="25">
        <v>43625</v>
      </c>
      <c r="C82" s="64">
        <f t="shared" si="3"/>
        <v>2019</v>
      </c>
      <c r="D82" s="64" t="str">
        <f t="shared" si="4"/>
        <v>2019年2季度</v>
      </c>
      <c r="E82" s="26" t="s">
        <v>21</v>
      </c>
      <c r="F82" s="24">
        <v>44</v>
      </c>
      <c r="G82" s="24">
        <v>12</v>
      </c>
      <c r="H82" s="27">
        <v>528</v>
      </c>
      <c r="I82" s="26" t="s">
        <v>27</v>
      </c>
    </row>
    <row r="83" spans="1:9" ht="14.4" x14ac:dyDescent="0.25">
      <c r="A83" s="24">
        <v>10140</v>
      </c>
      <c r="B83" s="25">
        <v>43625</v>
      </c>
      <c r="C83" s="64">
        <f t="shared" si="3"/>
        <v>2019</v>
      </c>
      <c r="D83" s="64" t="str">
        <f t="shared" si="4"/>
        <v>2019年2季度</v>
      </c>
      <c r="E83" s="26" t="s">
        <v>21</v>
      </c>
      <c r="F83" s="24">
        <v>17.2</v>
      </c>
      <c r="G83" s="24">
        <v>15</v>
      </c>
      <c r="H83" s="27">
        <v>258</v>
      </c>
      <c r="I83" s="26" t="s">
        <v>27</v>
      </c>
    </row>
    <row r="84" spans="1:9" ht="14.4" x14ac:dyDescent="0.25">
      <c r="A84" s="24">
        <v>10140</v>
      </c>
      <c r="B84" s="25">
        <v>43625</v>
      </c>
      <c r="C84" s="64">
        <f t="shared" si="3"/>
        <v>2019</v>
      </c>
      <c r="D84" s="64" t="str">
        <f t="shared" si="4"/>
        <v>2019年2季度</v>
      </c>
      <c r="E84" s="26" t="s">
        <v>21</v>
      </c>
      <c r="F84" s="24">
        <v>3.6</v>
      </c>
      <c r="G84" s="24">
        <v>15</v>
      </c>
      <c r="H84" s="27">
        <v>54</v>
      </c>
      <c r="I84" s="26" t="s">
        <v>27</v>
      </c>
    </row>
    <row r="85" spans="1:9" ht="14.4" x14ac:dyDescent="0.25">
      <c r="A85" s="24">
        <v>10140</v>
      </c>
      <c r="B85" s="25">
        <v>43625</v>
      </c>
      <c r="C85" s="64">
        <f t="shared" si="3"/>
        <v>2019</v>
      </c>
      <c r="D85" s="64" t="str">
        <f t="shared" si="4"/>
        <v>2019年2季度</v>
      </c>
      <c r="E85" s="26" t="s">
        <v>21</v>
      </c>
      <c r="F85" s="24">
        <v>36.4</v>
      </c>
      <c r="G85" s="24">
        <v>6</v>
      </c>
      <c r="H85" s="27">
        <v>218.4</v>
      </c>
      <c r="I85" s="26" t="s">
        <v>27</v>
      </c>
    </row>
    <row r="86" spans="1:9" ht="14.4" x14ac:dyDescent="0.25">
      <c r="A86" s="24">
        <v>10152</v>
      </c>
      <c r="B86" s="25">
        <v>43651</v>
      </c>
      <c r="C86" s="64">
        <f t="shared" si="3"/>
        <v>2019</v>
      </c>
      <c r="D86" s="64" t="str">
        <f t="shared" si="4"/>
        <v>2019年3季度</v>
      </c>
      <c r="E86" s="26" t="s">
        <v>21</v>
      </c>
      <c r="F86" s="24">
        <v>10</v>
      </c>
      <c r="G86" s="24">
        <v>60</v>
      </c>
      <c r="H86" s="27">
        <v>600</v>
      </c>
      <c r="I86" s="26" t="s">
        <v>26</v>
      </c>
    </row>
    <row r="87" spans="1:9" ht="14.4" x14ac:dyDescent="0.25">
      <c r="A87" s="24">
        <v>10152</v>
      </c>
      <c r="B87" s="25">
        <v>43651</v>
      </c>
      <c r="C87" s="64">
        <f t="shared" si="3"/>
        <v>2019</v>
      </c>
      <c r="D87" s="64" t="str">
        <f t="shared" si="4"/>
        <v>2019年3季度</v>
      </c>
      <c r="E87" s="26" t="s">
        <v>21</v>
      </c>
      <c r="F87" s="24">
        <v>17.2</v>
      </c>
      <c r="G87" s="24">
        <v>30</v>
      </c>
      <c r="H87" s="27">
        <v>516</v>
      </c>
      <c r="I87" s="26" t="s">
        <v>26</v>
      </c>
    </row>
    <row r="88" spans="1:9" ht="14.4" x14ac:dyDescent="0.25">
      <c r="A88" s="24">
        <v>10153</v>
      </c>
      <c r="B88" s="25">
        <v>43653</v>
      </c>
      <c r="C88" s="64">
        <f t="shared" si="3"/>
        <v>2019</v>
      </c>
      <c r="D88" s="64" t="str">
        <f t="shared" si="4"/>
        <v>2019年3季度</v>
      </c>
      <c r="E88" s="26" t="s">
        <v>21</v>
      </c>
      <c r="F88" s="24">
        <v>14.4</v>
      </c>
      <c r="G88" s="24">
        <v>35</v>
      </c>
      <c r="H88" s="27">
        <v>504</v>
      </c>
      <c r="I88" s="26" t="s">
        <v>23</v>
      </c>
    </row>
    <row r="89" spans="1:9" ht="14.4" x14ac:dyDescent="0.25">
      <c r="A89" s="24">
        <v>10153</v>
      </c>
      <c r="B89" s="25">
        <v>43653</v>
      </c>
      <c r="C89" s="64">
        <f t="shared" si="3"/>
        <v>2019</v>
      </c>
      <c r="D89" s="64" t="str">
        <f t="shared" si="4"/>
        <v>2019年3季度</v>
      </c>
      <c r="E89" s="26" t="s">
        <v>21</v>
      </c>
      <c r="F89" s="24">
        <v>16</v>
      </c>
      <c r="G89" s="24">
        <v>30</v>
      </c>
      <c r="H89" s="27">
        <v>480</v>
      </c>
      <c r="I89" s="26" t="s">
        <v>23</v>
      </c>
    </row>
    <row r="90" spans="1:9" ht="14.4" x14ac:dyDescent="0.25">
      <c r="A90" s="24">
        <v>10164</v>
      </c>
      <c r="B90" s="25">
        <v>43671</v>
      </c>
      <c r="C90" s="64">
        <f t="shared" si="3"/>
        <v>2019</v>
      </c>
      <c r="D90" s="64" t="str">
        <f t="shared" si="4"/>
        <v>2019年3季度</v>
      </c>
      <c r="E90" s="26" t="s">
        <v>21</v>
      </c>
      <c r="F90" s="24">
        <v>44</v>
      </c>
      <c r="G90" s="24">
        <v>9</v>
      </c>
      <c r="H90" s="27">
        <v>396</v>
      </c>
      <c r="I90" s="26" t="s">
        <v>22</v>
      </c>
    </row>
    <row r="91" spans="1:9" ht="14.4" x14ac:dyDescent="0.25">
      <c r="A91" s="24">
        <v>10164</v>
      </c>
      <c r="B91" s="25">
        <v>43671</v>
      </c>
      <c r="C91" s="64">
        <f t="shared" si="3"/>
        <v>2019</v>
      </c>
      <c r="D91" s="64" t="str">
        <f t="shared" si="4"/>
        <v>2019年3季度</v>
      </c>
      <c r="E91" s="26" t="s">
        <v>21</v>
      </c>
      <c r="F91" s="24">
        <v>15.5</v>
      </c>
      <c r="G91" s="24">
        <v>40</v>
      </c>
      <c r="H91" s="27">
        <v>620</v>
      </c>
      <c r="I91" s="26" t="s">
        <v>22</v>
      </c>
    </row>
    <row r="92" spans="1:9" ht="14.4" x14ac:dyDescent="0.25">
      <c r="A92" s="24">
        <v>10165</v>
      </c>
      <c r="B92" s="25">
        <v>43677</v>
      </c>
      <c r="C92" s="64">
        <f t="shared" si="3"/>
        <v>2019</v>
      </c>
      <c r="D92" s="64" t="str">
        <f t="shared" si="4"/>
        <v>2019年3季度</v>
      </c>
      <c r="E92" s="26" t="s">
        <v>21</v>
      </c>
      <c r="F92" s="24">
        <v>18.600000000000001</v>
      </c>
      <c r="G92" s="24">
        <v>20</v>
      </c>
      <c r="H92" s="27">
        <v>372</v>
      </c>
      <c r="I92" s="26" t="s">
        <v>22</v>
      </c>
    </row>
    <row r="93" spans="1:9" ht="14.4" x14ac:dyDescent="0.25">
      <c r="A93" s="24">
        <v>10166</v>
      </c>
      <c r="B93" s="25">
        <v>43679</v>
      </c>
      <c r="C93" s="64">
        <f t="shared" si="3"/>
        <v>2019</v>
      </c>
      <c r="D93" s="64" t="str">
        <f t="shared" si="4"/>
        <v>2019年3季度</v>
      </c>
      <c r="E93" s="26" t="s">
        <v>21</v>
      </c>
      <c r="F93" s="24">
        <v>39.4</v>
      </c>
      <c r="G93" s="24">
        <v>40</v>
      </c>
      <c r="H93" s="27">
        <v>1576</v>
      </c>
      <c r="I93" s="26" t="s">
        <v>27</v>
      </c>
    </row>
    <row r="94" spans="1:9" ht="14.4" x14ac:dyDescent="0.25">
      <c r="A94" s="24">
        <v>10168</v>
      </c>
      <c r="B94" s="25">
        <v>43681</v>
      </c>
      <c r="C94" s="64">
        <f t="shared" si="3"/>
        <v>2019</v>
      </c>
      <c r="D94" s="64" t="str">
        <f t="shared" si="4"/>
        <v>2019年3季度</v>
      </c>
      <c r="E94" s="26" t="s">
        <v>21</v>
      </c>
      <c r="F94" s="24">
        <v>31.2</v>
      </c>
      <c r="G94" s="24">
        <v>2</v>
      </c>
      <c r="H94" s="27">
        <v>62.4</v>
      </c>
      <c r="I94" s="26" t="s">
        <v>23</v>
      </c>
    </row>
    <row r="95" spans="1:9" ht="14.4" x14ac:dyDescent="0.25">
      <c r="A95" s="24">
        <v>10176</v>
      </c>
      <c r="B95" s="25">
        <v>43697</v>
      </c>
      <c r="C95" s="64">
        <f t="shared" si="3"/>
        <v>2019</v>
      </c>
      <c r="D95" s="64" t="str">
        <f t="shared" si="4"/>
        <v>2019年3季度</v>
      </c>
      <c r="E95" s="26" t="s">
        <v>21</v>
      </c>
      <c r="F95" s="24">
        <v>44</v>
      </c>
      <c r="G95" s="24">
        <v>20</v>
      </c>
      <c r="H95" s="27">
        <v>880</v>
      </c>
      <c r="I95" s="26" t="s">
        <v>26</v>
      </c>
    </row>
    <row r="96" spans="1:9" ht="14.4" x14ac:dyDescent="0.25">
      <c r="A96" s="24">
        <v>10177</v>
      </c>
      <c r="B96" s="25">
        <v>43697</v>
      </c>
      <c r="C96" s="64">
        <f t="shared" si="3"/>
        <v>2019</v>
      </c>
      <c r="D96" s="64" t="str">
        <f t="shared" si="4"/>
        <v>2019年3季度</v>
      </c>
      <c r="E96" s="26" t="s">
        <v>21</v>
      </c>
      <c r="F96" s="24">
        <v>210.8</v>
      </c>
      <c r="G96" s="24">
        <v>49</v>
      </c>
      <c r="H96" s="27">
        <v>10329.200000000001</v>
      </c>
      <c r="I96" s="26" t="s">
        <v>22</v>
      </c>
    </row>
    <row r="97" spans="1:9" ht="14.4" x14ac:dyDescent="0.25">
      <c r="A97" s="24">
        <v>10177</v>
      </c>
      <c r="B97" s="25">
        <v>43697</v>
      </c>
      <c r="C97" s="64">
        <f t="shared" si="3"/>
        <v>2019</v>
      </c>
      <c r="D97" s="64" t="str">
        <f t="shared" si="4"/>
        <v>2019年3季度</v>
      </c>
      <c r="E97" s="26" t="s">
        <v>21</v>
      </c>
      <c r="F97" s="24">
        <v>14.4</v>
      </c>
      <c r="G97" s="24">
        <v>60</v>
      </c>
      <c r="H97" s="27">
        <v>864</v>
      </c>
      <c r="I97" s="26" t="s">
        <v>22</v>
      </c>
    </row>
    <row r="98" spans="1:9" ht="14.4" x14ac:dyDescent="0.25">
      <c r="A98" s="24">
        <v>10177</v>
      </c>
      <c r="B98" s="25">
        <v>43697</v>
      </c>
      <c r="C98" s="64">
        <f t="shared" si="3"/>
        <v>2019</v>
      </c>
      <c r="D98" s="64" t="str">
        <f t="shared" si="4"/>
        <v>2019年3季度</v>
      </c>
      <c r="E98" s="26" t="s">
        <v>21</v>
      </c>
      <c r="F98" s="24">
        <v>10</v>
      </c>
      <c r="G98" s="24">
        <v>30</v>
      </c>
      <c r="H98" s="27">
        <v>300</v>
      </c>
      <c r="I98" s="26" t="s">
        <v>22</v>
      </c>
    </row>
    <row r="99" spans="1:9" ht="14.4" x14ac:dyDescent="0.25">
      <c r="A99" s="24">
        <v>10183</v>
      </c>
      <c r="B99" s="25">
        <v>43711</v>
      </c>
      <c r="C99" s="64">
        <f t="shared" si="3"/>
        <v>2019</v>
      </c>
      <c r="D99" s="64" t="str">
        <f t="shared" si="4"/>
        <v>2019年3季度</v>
      </c>
      <c r="E99" s="26" t="s">
        <v>21</v>
      </c>
      <c r="F99" s="24">
        <v>31.2</v>
      </c>
      <c r="G99" s="24">
        <v>45</v>
      </c>
      <c r="H99" s="27">
        <v>1404</v>
      </c>
      <c r="I99" s="26" t="s">
        <v>27</v>
      </c>
    </row>
    <row r="100" spans="1:9" ht="14.4" x14ac:dyDescent="0.25">
      <c r="A100" s="24">
        <v>10184</v>
      </c>
      <c r="B100" s="25">
        <v>43711</v>
      </c>
      <c r="C100" s="64">
        <f t="shared" si="3"/>
        <v>2019</v>
      </c>
      <c r="D100" s="64" t="str">
        <f t="shared" si="4"/>
        <v>2019年3季度</v>
      </c>
      <c r="E100" s="26" t="s">
        <v>21</v>
      </c>
      <c r="F100" s="24">
        <v>31.2</v>
      </c>
      <c r="G100" s="24">
        <v>50</v>
      </c>
      <c r="H100" s="27">
        <v>1560</v>
      </c>
      <c r="I100" s="26" t="s">
        <v>26</v>
      </c>
    </row>
    <row r="101" spans="1:9" ht="14.4" x14ac:dyDescent="0.25">
      <c r="A101" s="24">
        <v>10195</v>
      </c>
      <c r="B101" s="25">
        <v>43735</v>
      </c>
      <c r="C101" s="64">
        <f t="shared" si="3"/>
        <v>2019</v>
      </c>
      <c r="D101" s="64" t="str">
        <f t="shared" si="4"/>
        <v>2019年3季度</v>
      </c>
      <c r="E101" s="26" t="s">
        <v>21</v>
      </c>
      <c r="F101" s="24">
        <v>13.6</v>
      </c>
      <c r="G101" s="24">
        <v>60</v>
      </c>
      <c r="H101" s="27">
        <v>816</v>
      </c>
      <c r="I101" s="26" t="s">
        <v>25</v>
      </c>
    </row>
    <row r="102" spans="1:9" ht="14.4" x14ac:dyDescent="0.25">
      <c r="A102" s="24">
        <v>10195</v>
      </c>
      <c r="B102" s="25">
        <v>43735</v>
      </c>
      <c r="C102" s="64">
        <f t="shared" si="3"/>
        <v>2019</v>
      </c>
      <c r="D102" s="64" t="str">
        <f t="shared" si="4"/>
        <v>2019年3季度</v>
      </c>
      <c r="E102" s="26" t="s">
        <v>21</v>
      </c>
      <c r="F102" s="24">
        <v>5.9</v>
      </c>
      <c r="G102" s="24">
        <v>80</v>
      </c>
      <c r="H102" s="27">
        <v>472</v>
      </c>
      <c r="I102" s="26" t="s">
        <v>25</v>
      </c>
    </row>
    <row r="103" spans="1:9" ht="14.4" x14ac:dyDescent="0.25">
      <c r="A103" s="24">
        <v>10196</v>
      </c>
      <c r="B103" s="25">
        <v>43737</v>
      </c>
      <c r="C103" s="64">
        <f t="shared" si="3"/>
        <v>2019</v>
      </c>
      <c r="D103" s="64" t="str">
        <f t="shared" si="4"/>
        <v>2019年3季度</v>
      </c>
      <c r="E103" s="26" t="s">
        <v>21</v>
      </c>
      <c r="F103" s="24">
        <v>16.8</v>
      </c>
      <c r="G103" s="24">
        <v>6</v>
      </c>
      <c r="H103" s="27">
        <v>100.8</v>
      </c>
      <c r="I103" s="26" t="s">
        <v>22</v>
      </c>
    </row>
    <row r="104" spans="1:9" ht="14.4" x14ac:dyDescent="0.25">
      <c r="A104" s="24">
        <v>10196</v>
      </c>
      <c r="B104" s="25">
        <v>43737</v>
      </c>
      <c r="C104" s="64">
        <f t="shared" si="3"/>
        <v>2019</v>
      </c>
      <c r="D104" s="64" t="str">
        <f t="shared" si="4"/>
        <v>2019年3季度</v>
      </c>
      <c r="E104" s="26" t="s">
        <v>21</v>
      </c>
      <c r="F104" s="24">
        <v>36.4</v>
      </c>
      <c r="G104" s="24">
        <v>12</v>
      </c>
      <c r="H104" s="27">
        <v>436.8</v>
      </c>
      <c r="I104" s="26" t="s">
        <v>22</v>
      </c>
    </row>
    <row r="105" spans="1:9" ht="14.4" x14ac:dyDescent="0.25">
      <c r="A105" s="24">
        <v>10202</v>
      </c>
      <c r="B105" s="25">
        <v>43749</v>
      </c>
      <c r="C105" s="64">
        <f t="shared" si="3"/>
        <v>2019</v>
      </c>
      <c r="D105" s="64" t="str">
        <f t="shared" si="4"/>
        <v>2019年4季度</v>
      </c>
      <c r="E105" s="26" t="s">
        <v>21</v>
      </c>
      <c r="F105" s="24">
        <v>5.6</v>
      </c>
      <c r="G105" s="24">
        <v>20</v>
      </c>
      <c r="H105" s="27">
        <v>112</v>
      </c>
      <c r="I105" s="26" t="s">
        <v>27</v>
      </c>
    </row>
    <row r="106" spans="1:9" ht="14.4" x14ac:dyDescent="0.25">
      <c r="A106" s="24">
        <v>10203</v>
      </c>
      <c r="B106" s="25">
        <v>43751</v>
      </c>
      <c r="C106" s="64">
        <f t="shared" si="3"/>
        <v>2019</v>
      </c>
      <c r="D106" s="64" t="str">
        <f t="shared" si="4"/>
        <v>2019年4季度</v>
      </c>
      <c r="E106" s="26" t="s">
        <v>21</v>
      </c>
      <c r="F106" s="24">
        <v>24.8</v>
      </c>
      <c r="G106" s="24">
        <v>20</v>
      </c>
      <c r="H106" s="27">
        <v>496</v>
      </c>
      <c r="I106" s="26" t="s">
        <v>23</v>
      </c>
    </row>
    <row r="107" spans="1:9" ht="14.4" x14ac:dyDescent="0.25">
      <c r="A107" s="24">
        <v>10203</v>
      </c>
      <c r="B107" s="25">
        <v>43751</v>
      </c>
      <c r="C107" s="64">
        <f t="shared" si="3"/>
        <v>2019</v>
      </c>
      <c r="D107" s="64" t="str">
        <f t="shared" si="4"/>
        <v>2019年4季度</v>
      </c>
      <c r="E107" s="26" t="s">
        <v>21</v>
      </c>
      <c r="F107" s="24">
        <v>5.9</v>
      </c>
      <c r="G107" s="24">
        <v>6</v>
      </c>
      <c r="H107" s="27">
        <v>35.4</v>
      </c>
      <c r="I107" s="26" t="s">
        <v>23</v>
      </c>
    </row>
    <row r="108" spans="1:9" ht="14.4" x14ac:dyDescent="0.25">
      <c r="A108" s="24">
        <v>10204</v>
      </c>
      <c r="B108" s="25">
        <v>43751</v>
      </c>
      <c r="C108" s="64">
        <f t="shared" si="3"/>
        <v>2019</v>
      </c>
      <c r="D108" s="64" t="str">
        <f t="shared" si="4"/>
        <v>2019年4季度</v>
      </c>
      <c r="E108" s="26" t="s">
        <v>21</v>
      </c>
      <c r="F108" s="24">
        <v>19.2</v>
      </c>
      <c r="G108" s="24">
        <v>120</v>
      </c>
      <c r="H108" s="27">
        <v>2304</v>
      </c>
      <c r="I108" s="26" t="s">
        <v>26</v>
      </c>
    </row>
    <row r="109" spans="1:9" ht="14.4" x14ac:dyDescent="0.25">
      <c r="A109" s="24">
        <v>10214</v>
      </c>
      <c r="B109" s="25">
        <v>43769</v>
      </c>
      <c r="C109" s="64">
        <f t="shared" si="3"/>
        <v>2019</v>
      </c>
      <c r="D109" s="64" t="str">
        <f t="shared" si="4"/>
        <v>2019年4季度</v>
      </c>
      <c r="E109" s="26" t="s">
        <v>21</v>
      </c>
      <c r="F109" s="24">
        <v>8</v>
      </c>
      <c r="G109" s="24">
        <v>40</v>
      </c>
      <c r="H109" s="27">
        <v>320</v>
      </c>
      <c r="I109" s="26" t="s">
        <v>23</v>
      </c>
    </row>
    <row r="110" spans="1:9" ht="14.4" x14ac:dyDescent="0.25">
      <c r="A110" s="24">
        <v>10215</v>
      </c>
      <c r="B110" s="25">
        <v>43775</v>
      </c>
      <c r="C110" s="64">
        <f t="shared" si="3"/>
        <v>2019</v>
      </c>
      <c r="D110" s="64" t="str">
        <f t="shared" si="4"/>
        <v>2019年4季度</v>
      </c>
      <c r="E110" s="26" t="s">
        <v>21</v>
      </c>
      <c r="F110" s="24">
        <v>4.8</v>
      </c>
      <c r="G110" s="24">
        <v>1</v>
      </c>
      <c r="H110" s="27">
        <v>4.8</v>
      </c>
      <c r="I110" s="26" t="s">
        <v>23</v>
      </c>
    </row>
    <row r="111" spans="1:9" ht="14.4" x14ac:dyDescent="0.25">
      <c r="A111" s="24">
        <v>10215</v>
      </c>
      <c r="B111" s="25">
        <v>43775</v>
      </c>
      <c r="C111" s="64">
        <f t="shared" si="3"/>
        <v>2019</v>
      </c>
      <c r="D111" s="64" t="str">
        <f t="shared" si="4"/>
        <v>2019年4季度</v>
      </c>
      <c r="E111" s="26" t="s">
        <v>21</v>
      </c>
      <c r="F111" s="24">
        <v>7.2</v>
      </c>
      <c r="G111" s="24">
        <v>21</v>
      </c>
      <c r="H111" s="27">
        <v>151.19999999999999</v>
      </c>
      <c r="I111" s="26" t="s">
        <v>23</v>
      </c>
    </row>
    <row r="112" spans="1:9" ht="14.4" x14ac:dyDescent="0.25">
      <c r="A112" s="24">
        <v>10216</v>
      </c>
      <c r="B112" s="25">
        <v>43777</v>
      </c>
      <c r="C112" s="64">
        <f t="shared" si="3"/>
        <v>2019</v>
      </c>
      <c r="D112" s="64" t="str">
        <f t="shared" si="4"/>
        <v>2019年4季度</v>
      </c>
      <c r="E112" s="26" t="s">
        <v>21</v>
      </c>
      <c r="F112" s="24">
        <v>11.2</v>
      </c>
      <c r="G112" s="24">
        <v>50</v>
      </c>
      <c r="H112" s="27">
        <v>560</v>
      </c>
      <c r="I112" s="26" t="s">
        <v>26</v>
      </c>
    </row>
    <row r="113" spans="1:9" ht="14.4" x14ac:dyDescent="0.25">
      <c r="A113" s="24">
        <v>10221</v>
      </c>
      <c r="B113" s="25">
        <v>43783</v>
      </c>
      <c r="C113" s="64">
        <f t="shared" si="3"/>
        <v>2019</v>
      </c>
      <c r="D113" s="64" t="str">
        <f t="shared" si="4"/>
        <v>2019年4季度</v>
      </c>
      <c r="E113" s="26" t="s">
        <v>21</v>
      </c>
      <c r="F113" s="24">
        <v>20.7</v>
      </c>
      <c r="G113" s="24">
        <v>8</v>
      </c>
      <c r="H113" s="27">
        <v>165.6</v>
      </c>
      <c r="I113" s="26" t="s">
        <v>22</v>
      </c>
    </row>
    <row r="114" spans="1:9" ht="14.4" x14ac:dyDescent="0.25">
      <c r="A114" s="24">
        <v>10222</v>
      </c>
      <c r="B114" s="25">
        <v>43789</v>
      </c>
      <c r="C114" s="64">
        <f t="shared" si="3"/>
        <v>2019</v>
      </c>
      <c r="D114" s="64" t="str">
        <f t="shared" si="4"/>
        <v>2019年4季度</v>
      </c>
      <c r="E114" s="26" t="s">
        <v>21</v>
      </c>
      <c r="F114" s="24">
        <v>13.9</v>
      </c>
      <c r="G114" s="24">
        <v>35</v>
      </c>
      <c r="H114" s="27">
        <v>486.5</v>
      </c>
      <c r="I114" s="26" t="s">
        <v>23</v>
      </c>
    </row>
    <row r="115" spans="1:9" ht="14.4" x14ac:dyDescent="0.25">
      <c r="A115" s="24">
        <v>10222</v>
      </c>
      <c r="B115" s="25">
        <v>43789</v>
      </c>
      <c r="C115" s="64">
        <f t="shared" si="3"/>
        <v>2019</v>
      </c>
      <c r="D115" s="64" t="str">
        <f t="shared" si="4"/>
        <v>2019年4季度</v>
      </c>
      <c r="E115" s="26" t="s">
        <v>21</v>
      </c>
      <c r="F115" s="24">
        <v>15.2</v>
      </c>
      <c r="G115" s="24">
        <v>40</v>
      </c>
      <c r="H115" s="27">
        <v>608</v>
      </c>
      <c r="I115" s="26" t="s">
        <v>23</v>
      </c>
    </row>
    <row r="116" spans="1:9" ht="14.4" x14ac:dyDescent="0.25">
      <c r="A116" s="24">
        <v>10222</v>
      </c>
      <c r="B116" s="25">
        <v>43789</v>
      </c>
      <c r="C116" s="64">
        <f t="shared" si="3"/>
        <v>2019</v>
      </c>
      <c r="D116" s="64" t="str">
        <f t="shared" si="4"/>
        <v>2019年4季度</v>
      </c>
      <c r="E116" s="26" t="s">
        <v>21</v>
      </c>
      <c r="F116" s="24">
        <v>15.5</v>
      </c>
      <c r="G116" s="24">
        <v>2</v>
      </c>
      <c r="H116" s="27">
        <v>31</v>
      </c>
      <c r="I116" s="26" t="s">
        <v>23</v>
      </c>
    </row>
    <row r="117" spans="1:9" ht="14.4" x14ac:dyDescent="0.25">
      <c r="A117" s="24">
        <v>10227</v>
      </c>
      <c r="B117" s="25">
        <v>43795</v>
      </c>
      <c r="C117" s="64">
        <f t="shared" si="3"/>
        <v>2019</v>
      </c>
      <c r="D117" s="64" t="str">
        <f t="shared" si="4"/>
        <v>2019年4季度</v>
      </c>
      <c r="E117" s="26" t="s">
        <v>21</v>
      </c>
      <c r="F117" s="24">
        <v>6.2</v>
      </c>
      <c r="G117" s="24">
        <v>10</v>
      </c>
      <c r="H117" s="27">
        <v>62</v>
      </c>
      <c r="I117" s="26" t="s">
        <v>23</v>
      </c>
    </row>
    <row r="118" spans="1:9" ht="14.4" x14ac:dyDescent="0.25">
      <c r="A118" s="24">
        <v>10228</v>
      </c>
      <c r="B118" s="25">
        <v>43797</v>
      </c>
      <c r="C118" s="64">
        <f t="shared" si="3"/>
        <v>2019</v>
      </c>
      <c r="D118" s="64" t="str">
        <f t="shared" si="4"/>
        <v>2019年4季度</v>
      </c>
      <c r="E118" s="26" t="s">
        <v>21</v>
      </c>
      <c r="F118" s="24">
        <v>13.6</v>
      </c>
      <c r="G118" s="24">
        <v>60</v>
      </c>
      <c r="H118" s="27">
        <v>816</v>
      </c>
      <c r="I118" s="26" t="s">
        <v>23</v>
      </c>
    </row>
    <row r="119" spans="1:9" ht="14.4" x14ac:dyDescent="0.25">
      <c r="A119" s="24">
        <v>10228</v>
      </c>
      <c r="B119" s="25">
        <v>43797</v>
      </c>
      <c r="C119" s="64">
        <f t="shared" si="3"/>
        <v>2019</v>
      </c>
      <c r="D119" s="64" t="str">
        <f t="shared" si="4"/>
        <v>2019年4季度</v>
      </c>
      <c r="E119" s="26" t="s">
        <v>21</v>
      </c>
      <c r="F119" s="24">
        <v>10</v>
      </c>
      <c r="G119" s="24">
        <v>35</v>
      </c>
      <c r="H119" s="27">
        <v>350</v>
      </c>
      <c r="I119" s="26" t="s">
        <v>23</v>
      </c>
    </row>
    <row r="120" spans="1:9" ht="14.4" x14ac:dyDescent="0.25">
      <c r="A120" s="24">
        <v>10228</v>
      </c>
      <c r="B120" s="25">
        <v>43797</v>
      </c>
      <c r="C120" s="64">
        <f t="shared" si="3"/>
        <v>2019</v>
      </c>
      <c r="D120" s="64" t="str">
        <f t="shared" si="4"/>
        <v>2019年4季度</v>
      </c>
      <c r="E120" s="26" t="s">
        <v>21</v>
      </c>
      <c r="F120" s="24">
        <v>14.4</v>
      </c>
      <c r="G120" s="24">
        <v>42</v>
      </c>
      <c r="H120" s="27">
        <v>604.79999999999995</v>
      </c>
      <c r="I120" s="26" t="s">
        <v>23</v>
      </c>
    </row>
    <row r="121" spans="1:9" ht="14.4" x14ac:dyDescent="0.25">
      <c r="A121" s="24">
        <v>10235</v>
      </c>
      <c r="B121" s="25">
        <v>43811</v>
      </c>
      <c r="C121" s="64">
        <f t="shared" si="3"/>
        <v>2019</v>
      </c>
      <c r="D121" s="64" t="str">
        <f t="shared" si="4"/>
        <v>2019年4季度</v>
      </c>
      <c r="E121" s="26" t="s">
        <v>21</v>
      </c>
      <c r="F121" s="24">
        <v>14.7</v>
      </c>
      <c r="G121" s="24">
        <v>10</v>
      </c>
      <c r="H121" s="27">
        <v>147</v>
      </c>
      <c r="I121" s="26" t="s">
        <v>22</v>
      </c>
    </row>
    <row r="122" spans="1:9" ht="14.4" x14ac:dyDescent="0.25">
      <c r="A122" s="24">
        <v>10236</v>
      </c>
      <c r="B122" s="25">
        <v>43817</v>
      </c>
      <c r="C122" s="64">
        <f t="shared" si="3"/>
        <v>2019</v>
      </c>
      <c r="D122" s="64" t="str">
        <f t="shared" si="4"/>
        <v>2019年4季度</v>
      </c>
      <c r="E122" s="26" t="s">
        <v>21</v>
      </c>
      <c r="F122" s="24">
        <v>11.2</v>
      </c>
      <c r="G122" s="24">
        <v>35</v>
      </c>
      <c r="H122" s="27">
        <v>392</v>
      </c>
      <c r="I122" s="26" t="s">
        <v>22</v>
      </c>
    </row>
    <row r="123" spans="1:9" ht="14.4" x14ac:dyDescent="0.25">
      <c r="A123" s="24">
        <v>10236</v>
      </c>
      <c r="B123" s="25">
        <v>43817</v>
      </c>
      <c r="C123" s="64">
        <f t="shared" si="3"/>
        <v>2019</v>
      </c>
      <c r="D123" s="64" t="str">
        <f t="shared" si="4"/>
        <v>2019年4季度</v>
      </c>
      <c r="E123" s="26" t="s">
        <v>21</v>
      </c>
      <c r="F123" s="24">
        <v>10.4</v>
      </c>
      <c r="G123" s="24">
        <v>30</v>
      </c>
      <c r="H123" s="27">
        <v>312</v>
      </c>
      <c r="I123" s="26" t="s">
        <v>22</v>
      </c>
    </row>
    <row r="124" spans="1:9" ht="14.4" x14ac:dyDescent="0.25">
      <c r="A124" s="24">
        <v>10237</v>
      </c>
      <c r="B124" s="25">
        <v>43817</v>
      </c>
      <c r="C124" s="64">
        <f t="shared" si="3"/>
        <v>2019</v>
      </c>
      <c r="D124" s="64" t="str">
        <f t="shared" si="4"/>
        <v>2019年4季度</v>
      </c>
      <c r="E124" s="26" t="s">
        <v>21</v>
      </c>
      <c r="F124" s="24">
        <v>8</v>
      </c>
      <c r="G124" s="24">
        <v>14</v>
      </c>
      <c r="H124" s="27">
        <v>112</v>
      </c>
      <c r="I124" s="26" t="s">
        <v>23</v>
      </c>
    </row>
    <row r="125" spans="1:9" ht="14.4" x14ac:dyDescent="0.25">
      <c r="A125" s="24">
        <v>10242</v>
      </c>
      <c r="B125" s="25">
        <v>43825</v>
      </c>
      <c r="C125" s="64">
        <f t="shared" si="3"/>
        <v>2019</v>
      </c>
      <c r="D125" s="64" t="str">
        <f t="shared" si="4"/>
        <v>2019年4季度</v>
      </c>
      <c r="E125" s="26" t="s">
        <v>21</v>
      </c>
      <c r="F125" s="24">
        <v>13.9</v>
      </c>
      <c r="G125" s="24">
        <v>18</v>
      </c>
      <c r="H125" s="27">
        <v>250.2</v>
      </c>
      <c r="I125" s="26" t="s">
        <v>23</v>
      </c>
    </row>
    <row r="126" spans="1:9" ht="14.4" x14ac:dyDescent="0.25">
      <c r="A126" s="24">
        <v>10243</v>
      </c>
      <c r="B126" s="25">
        <v>43831</v>
      </c>
      <c r="C126" s="64">
        <f t="shared" si="3"/>
        <v>2020</v>
      </c>
      <c r="D126" s="64" t="str">
        <f t="shared" si="4"/>
        <v>2020年1季度</v>
      </c>
      <c r="E126" s="26" t="s">
        <v>21</v>
      </c>
      <c r="F126" s="24">
        <v>10</v>
      </c>
      <c r="G126" s="24">
        <v>30</v>
      </c>
      <c r="H126" s="27">
        <v>300</v>
      </c>
      <c r="I126" s="26" t="s">
        <v>23</v>
      </c>
    </row>
    <row r="127" spans="1:9" ht="14.4" x14ac:dyDescent="0.25">
      <c r="A127" s="24">
        <v>10243</v>
      </c>
      <c r="B127" s="25">
        <v>43831</v>
      </c>
      <c r="C127" s="64">
        <f t="shared" si="3"/>
        <v>2020</v>
      </c>
      <c r="D127" s="64" t="str">
        <f t="shared" si="4"/>
        <v>2020年1季度</v>
      </c>
      <c r="E127" s="26" t="s">
        <v>21</v>
      </c>
      <c r="F127" s="24">
        <v>6.2</v>
      </c>
      <c r="G127" s="24">
        <v>36</v>
      </c>
      <c r="H127" s="27">
        <v>223.2</v>
      </c>
      <c r="I127" s="26" t="s">
        <v>23</v>
      </c>
    </row>
    <row r="128" spans="1:9" ht="14.4" x14ac:dyDescent="0.25">
      <c r="A128" s="24">
        <v>10243</v>
      </c>
      <c r="B128" s="25">
        <v>43831</v>
      </c>
      <c r="C128" s="64">
        <f t="shared" si="3"/>
        <v>2020</v>
      </c>
      <c r="D128" s="64" t="str">
        <f t="shared" si="4"/>
        <v>2020年1季度</v>
      </c>
      <c r="E128" s="26" t="s">
        <v>21</v>
      </c>
      <c r="F128" s="24">
        <v>44</v>
      </c>
      <c r="G128" s="24">
        <v>60</v>
      </c>
      <c r="H128" s="27">
        <v>2640</v>
      </c>
      <c r="I128" s="26" t="s">
        <v>23</v>
      </c>
    </row>
    <row r="129" spans="1:9" ht="14.4" x14ac:dyDescent="0.25">
      <c r="A129" s="24">
        <v>10250</v>
      </c>
      <c r="B129" s="25">
        <v>43839</v>
      </c>
      <c r="C129" s="64">
        <f t="shared" si="3"/>
        <v>2020</v>
      </c>
      <c r="D129" s="64" t="str">
        <f t="shared" si="4"/>
        <v>2020年1季度</v>
      </c>
      <c r="E129" s="26" t="s">
        <v>21</v>
      </c>
      <c r="F129" s="24">
        <v>27.8</v>
      </c>
      <c r="G129" s="24">
        <v>25</v>
      </c>
      <c r="H129" s="27">
        <v>695</v>
      </c>
      <c r="I129" s="26" t="s">
        <v>22</v>
      </c>
    </row>
    <row r="130" spans="1:9" ht="14.4" x14ac:dyDescent="0.25">
      <c r="A130" s="24">
        <v>10251</v>
      </c>
      <c r="B130" s="25">
        <v>43845</v>
      </c>
      <c r="C130" s="64">
        <f t="shared" si="3"/>
        <v>2020</v>
      </c>
      <c r="D130" s="64" t="str">
        <f t="shared" si="4"/>
        <v>2020年1季度</v>
      </c>
      <c r="E130" s="26" t="s">
        <v>21</v>
      </c>
      <c r="F130" s="24">
        <v>14</v>
      </c>
      <c r="G130" s="24">
        <v>30</v>
      </c>
      <c r="H130" s="27">
        <v>420</v>
      </c>
      <c r="I130" s="26" t="s">
        <v>22</v>
      </c>
    </row>
    <row r="131" spans="1:9" ht="14.4" x14ac:dyDescent="0.25">
      <c r="A131" s="24">
        <v>10251</v>
      </c>
      <c r="B131" s="25">
        <v>43845</v>
      </c>
      <c r="C131" s="64">
        <f t="shared" ref="C131:C194" si="5">YEAR(B131)</f>
        <v>2020</v>
      </c>
      <c r="D131" s="64" t="str">
        <f t="shared" ref="D131:D194" si="6">YEAR(B131)&amp;"年"&amp;ROUNDUP(MONTH(B131)/3,0)&amp;"季度"</f>
        <v>2020年1季度</v>
      </c>
      <c r="E131" s="26" t="s">
        <v>21</v>
      </c>
      <c r="F131" s="24">
        <v>18.399999999999999</v>
      </c>
      <c r="G131" s="24">
        <v>5</v>
      </c>
      <c r="H131" s="27">
        <v>92</v>
      </c>
      <c r="I131" s="26" t="s">
        <v>22</v>
      </c>
    </row>
    <row r="132" spans="1:9" ht="14.4" x14ac:dyDescent="0.25">
      <c r="A132" s="24">
        <v>10251</v>
      </c>
      <c r="B132" s="25">
        <v>43845</v>
      </c>
      <c r="C132" s="64">
        <f t="shared" si="5"/>
        <v>2020</v>
      </c>
      <c r="D132" s="64" t="str">
        <f t="shared" si="6"/>
        <v>2020年1季度</v>
      </c>
      <c r="E132" s="26" t="s">
        <v>21</v>
      </c>
      <c r="F132" s="24">
        <v>4.5</v>
      </c>
      <c r="G132" s="24">
        <v>14</v>
      </c>
      <c r="H132" s="27">
        <v>63</v>
      </c>
      <c r="I132" s="26" t="s">
        <v>22</v>
      </c>
    </row>
    <row r="133" spans="1:9" ht="14.4" x14ac:dyDescent="0.25">
      <c r="A133" s="24">
        <v>10256</v>
      </c>
      <c r="B133" s="25">
        <v>43853</v>
      </c>
      <c r="C133" s="64">
        <f t="shared" si="5"/>
        <v>2020</v>
      </c>
      <c r="D133" s="64" t="str">
        <f t="shared" si="6"/>
        <v>2020年1季度</v>
      </c>
      <c r="E133" s="26" t="s">
        <v>21</v>
      </c>
      <c r="F133" s="24">
        <v>21.05</v>
      </c>
      <c r="G133" s="24">
        <v>20</v>
      </c>
      <c r="H133" s="27">
        <v>421</v>
      </c>
      <c r="I133" s="26" t="s">
        <v>22</v>
      </c>
    </row>
    <row r="134" spans="1:9" ht="14.4" x14ac:dyDescent="0.25">
      <c r="A134" s="24">
        <v>10256</v>
      </c>
      <c r="B134" s="25">
        <v>43853</v>
      </c>
      <c r="C134" s="64">
        <f t="shared" si="5"/>
        <v>2020</v>
      </c>
      <c r="D134" s="64" t="str">
        <f t="shared" si="6"/>
        <v>2020年1季度</v>
      </c>
      <c r="E134" s="26" t="s">
        <v>21</v>
      </c>
      <c r="F134" s="24">
        <v>23.25</v>
      </c>
      <c r="G134" s="24">
        <v>70</v>
      </c>
      <c r="H134" s="27">
        <v>1627.5</v>
      </c>
      <c r="I134" s="26" t="s">
        <v>22</v>
      </c>
    </row>
    <row r="135" spans="1:9" ht="14.4" x14ac:dyDescent="0.25">
      <c r="A135" s="24">
        <v>10257</v>
      </c>
      <c r="B135" s="25">
        <v>43853</v>
      </c>
      <c r="C135" s="64">
        <f t="shared" si="5"/>
        <v>2020</v>
      </c>
      <c r="D135" s="64" t="str">
        <f t="shared" si="6"/>
        <v>2020年1季度</v>
      </c>
      <c r="E135" s="26" t="s">
        <v>21</v>
      </c>
      <c r="F135" s="24">
        <v>32.799999999999997</v>
      </c>
      <c r="G135" s="24">
        <v>10</v>
      </c>
      <c r="H135" s="27">
        <v>328</v>
      </c>
      <c r="I135" s="26" t="s">
        <v>27</v>
      </c>
    </row>
    <row r="136" spans="1:9" ht="14.4" x14ac:dyDescent="0.25">
      <c r="A136" s="24">
        <v>10257</v>
      </c>
      <c r="B136" s="25">
        <v>43853</v>
      </c>
      <c r="C136" s="64">
        <f t="shared" si="5"/>
        <v>2020</v>
      </c>
      <c r="D136" s="64" t="str">
        <f t="shared" si="6"/>
        <v>2020年1季度</v>
      </c>
      <c r="E136" s="26" t="s">
        <v>21</v>
      </c>
      <c r="F136" s="24">
        <v>28.5</v>
      </c>
      <c r="G136" s="24">
        <v>25</v>
      </c>
      <c r="H136" s="27">
        <v>712.5</v>
      </c>
      <c r="I136" s="26" t="s">
        <v>27</v>
      </c>
    </row>
    <row r="137" spans="1:9" ht="14.4" x14ac:dyDescent="0.25">
      <c r="A137" s="24">
        <v>10264</v>
      </c>
      <c r="B137" s="25">
        <v>43867</v>
      </c>
      <c r="C137" s="64">
        <f t="shared" si="5"/>
        <v>2020</v>
      </c>
      <c r="D137" s="64" t="str">
        <f t="shared" si="6"/>
        <v>2020年1季度</v>
      </c>
      <c r="E137" s="26" t="s">
        <v>21</v>
      </c>
      <c r="F137" s="24">
        <v>30</v>
      </c>
      <c r="G137" s="24">
        <v>50</v>
      </c>
      <c r="H137" s="27">
        <v>1500</v>
      </c>
      <c r="I137" s="26" t="s">
        <v>22</v>
      </c>
    </row>
    <row r="138" spans="1:9" ht="14.4" x14ac:dyDescent="0.25">
      <c r="A138" s="24">
        <v>10264</v>
      </c>
      <c r="B138" s="25">
        <v>43867</v>
      </c>
      <c r="C138" s="64">
        <f t="shared" si="5"/>
        <v>2020</v>
      </c>
      <c r="D138" s="64" t="str">
        <f t="shared" si="6"/>
        <v>2020年1季度</v>
      </c>
      <c r="E138" s="26" t="s">
        <v>21</v>
      </c>
      <c r="F138" s="24">
        <v>22</v>
      </c>
      <c r="G138" s="24">
        <v>50</v>
      </c>
      <c r="H138" s="27">
        <v>1100</v>
      </c>
      <c r="I138" s="26" t="s">
        <v>22</v>
      </c>
    </row>
    <row r="139" spans="1:9" ht="14.4" x14ac:dyDescent="0.25">
      <c r="A139" s="24">
        <v>10264</v>
      </c>
      <c r="B139" s="25">
        <v>43867</v>
      </c>
      <c r="C139" s="64">
        <f t="shared" si="5"/>
        <v>2020</v>
      </c>
      <c r="D139" s="64" t="str">
        <f t="shared" si="6"/>
        <v>2020年1季度</v>
      </c>
      <c r="E139" s="26" t="s">
        <v>21</v>
      </c>
      <c r="F139" s="24">
        <v>40</v>
      </c>
      <c r="G139" s="24">
        <v>10</v>
      </c>
      <c r="H139" s="27">
        <v>400</v>
      </c>
      <c r="I139" s="26" t="s">
        <v>22</v>
      </c>
    </row>
    <row r="140" spans="1:9" ht="14.4" x14ac:dyDescent="0.25">
      <c r="A140" s="24">
        <v>10265</v>
      </c>
      <c r="B140" s="25">
        <v>43873</v>
      </c>
      <c r="C140" s="64">
        <f t="shared" si="5"/>
        <v>2020</v>
      </c>
      <c r="D140" s="64" t="str">
        <f t="shared" si="6"/>
        <v>2020年1季度</v>
      </c>
      <c r="E140" s="26" t="s">
        <v>21</v>
      </c>
      <c r="F140" s="24">
        <v>12</v>
      </c>
      <c r="G140" s="24">
        <v>9</v>
      </c>
      <c r="H140" s="27">
        <v>108</v>
      </c>
      <c r="I140" s="26" t="s">
        <v>22</v>
      </c>
    </row>
    <row r="141" spans="1:9" ht="14.4" x14ac:dyDescent="0.25">
      <c r="A141" s="24">
        <v>10267</v>
      </c>
      <c r="B141" s="25">
        <v>43875</v>
      </c>
      <c r="C141" s="64">
        <f t="shared" si="5"/>
        <v>2020</v>
      </c>
      <c r="D141" s="64" t="str">
        <f t="shared" si="6"/>
        <v>2020年1季度</v>
      </c>
      <c r="E141" s="26" t="s">
        <v>21</v>
      </c>
      <c r="F141" s="24">
        <v>45.6</v>
      </c>
      <c r="G141" s="24">
        <v>35</v>
      </c>
      <c r="H141" s="27">
        <v>1596</v>
      </c>
      <c r="I141" s="26" t="s">
        <v>22</v>
      </c>
    </row>
    <row r="142" spans="1:9" ht="14.4" x14ac:dyDescent="0.25">
      <c r="A142" s="24">
        <v>10268</v>
      </c>
      <c r="B142" s="25">
        <v>43877</v>
      </c>
      <c r="C142" s="64">
        <f t="shared" si="5"/>
        <v>2020</v>
      </c>
      <c r="D142" s="64" t="str">
        <f t="shared" si="6"/>
        <v>2020年1季度</v>
      </c>
      <c r="E142" s="26" t="s">
        <v>21</v>
      </c>
      <c r="F142" s="24">
        <v>2.5</v>
      </c>
      <c r="G142" s="24">
        <v>16</v>
      </c>
      <c r="H142" s="27">
        <v>40</v>
      </c>
      <c r="I142" s="26" t="s">
        <v>26</v>
      </c>
    </row>
    <row r="143" spans="1:9" ht="14.4" x14ac:dyDescent="0.25">
      <c r="A143" s="24">
        <v>10268</v>
      </c>
      <c r="B143" s="25">
        <v>43877</v>
      </c>
      <c r="C143" s="64">
        <f t="shared" si="5"/>
        <v>2020</v>
      </c>
      <c r="D143" s="64" t="str">
        <f t="shared" si="6"/>
        <v>2020年1季度</v>
      </c>
      <c r="E143" s="26" t="s">
        <v>21</v>
      </c>
      <c r="F143" s="24">
        <v>17.45</v>
      </c>
      <c r="G143" s="24">
        <v>50</v>
      </c>
      <c r="H143" s="27">
        <v>872.5</v>
      </c>
      <c r="I143" s="26" t="s">
        <v>26</v>
      </c>
    </row>
    <row r="144" spans="1:9" ht="14.4" x14ac:dyDescent="0.25">
      <c r="A144" s="24">
        <v>10268</v>
      </c>
      <c r="B144" s="25">
        <v>43877</v>
      </c>
      <c r="C144" s="64">
        <f t="shared" si="5"/>
        <v>2020</v>
      </c>
      <c r="D144" s="64" t="str">
        <f t="shared" si="6"/>
        <v>2020年1季度</v>
      </c>
      <c r="E144" s="26" t="s">
        <v>21</v>
      </c>
      <c r="F144" s="24">
        <v>97</v>
      </c>
      <c r="G144" s="24">
        <v>16</v>
      </c>
      <c r="H144" s="27">
        <v>1552</v>
      </c>
      <c r="I144" s="26" t="s">
        <v>26</v>
      </c>
    </row>
    <row r="145" spans="1:9" ht="14.4" x14ac:dyDescent="0.25">
      <c r="A145" s="24">
        <v>10272</v>
      </c>
      <c r="B145" s="25">
        <v>43887</v>
      </c>
      <c r="C145" s="64">
        <f t="shared" si="5"/>
        <v>2020</v>
      </c>
      <c r="D145" s="64" t="str">
        <f t="shared" si="6"/>
        <v>2020年1季度</v>
      </c>
      <c r="E145" s="26" t="s">
        <v>21</v>
      </c>
      <c r="F145" s="24">
        <v>38</v>
      </c>
      <c r="G145" s="24">
        <v>40</v>
      </c>
      <c r="H145" s="27">
        <v>1520</v>
      </c>
      <c r="I145" s="26" t="s">
        <v>22</v>
      </c>
    </row>
    <row r="146" spans="1:9" ht="14.4" x14ac:dyDescent="0.25">
      <c r="A146" s="24">
        <v>10272</v>
      </c>
      <c r="B146" s="25">
        <v>43887</v>
      </c>
      <c r="C146" s="64">
        <f t="shared" si="5"/>
        <v>2020</v>
      </c>
      <c r="D146" s="64" t="str">
        <f t="shared" si="6"/>
        <v>2020年1季度</v>
      </c>
      <c r="E146" s="26" t="s">
        <v>21</v>
      </c>
      <c r="F146" s="24">
        <v>34</v>
      </c>
      <c r="G146" s="24">
        <v>10</v>
      </c>
      <c r="H146" s="27">
        <v>340</v>
      </c>
      <c r="I146" s="26" t="s">
        <v>22</v>
      </c>
    </row>
    <row r="147" spans="1:9" ht="14.4" x14ac:dyDescent="0.25">
      <c r="A147" s="24">
        <v>10272</v>
      </c>
      <c r="B147" s="25">
        <v>43887</v>
      </c>
      <c r="C147" s="64">
        <f t="shared" si="5"/>
        <v>2020</v>
      </c>
      <c r="D147" s="64" t="str">
        <f t="shared" si="6"/>
        <v>2020年1季度</v>
      </c>
      <c r="E147" s="26" t="s">
        <v>21</v>
      </c>
      <c r="F147" s="24">
        <v>31</v>
      </c>
      <c r="G147" s="24">
        <v>16</v>
      </c>
      <c r="H147" s="27">
        <v>496</v>
      </c>
      <c r="I147" s="26" t="s">
        <v>22</v>
      </c>
    </row>
    <row r="148" spans="1:9" ht="14.4" x14ac:dyDescent="0.25">
      <c r="A148" s="24">
        <v>10273</v>
      </c>
      <c r="B148" s="25">
        <v>43889</v>
      </c>
      <c r="C148" s="64">
        <f t="shared" si="5"/>
        <v>2020</v>
      </c>
      <c r="D148" s="64" t="str">
        <f t="shared" si="6"/>
        <v>2020年1季度</v>
      </c>
      <c r="E148" s="26" t="s">
        <v>21</v>
      </c>
      <c r="F148" s="24">
        <v>4.5</v>
      </c>
      <c r="G148" s="24">
        <v>8</v>
      </c>
      <c r="H148" s="27">
        <v>36</v>
      </c>
      <c r="I148" s="26" t="s">
        <v>26</v>
      </c>
    </row>
    <row r="149" spans="1:9" ht="14.4" x14ac:dyDescent="0.25">
      <c r="A149" s="24">
        <v>10276</v>
      </c>
      <c r="B149" s="25">
        <v>43893</v>
      </c>
      <c r="C149" s="64">
        <f t="shared" si="5"/>
        <v>2020</v>
      </c>
      <c r="D149" s="64" t="str">
        <f t="shared" si="6"/>
        <v>2020年1季度</v>
      </c>
      <c r="E149" s="26" t="s">
        <v>21</v>
      </c>
      <c r="F149" s="24">
        <v>39</v>
      </c>
      <c r="G149" s="24">
        <v>25</v>
      </c>
      <c r="H149" s="27">
        <v>975</v>
      </c>
      <c r="I149" s="26" t="s">
        <v>23</v>
      </c>
    </row>
    <row r="150" spans="1:9" ht="14.4" x14ac:dyDescent="0.25">
      <c r="A150" s="24">
        <v>10277</v>
      </c>
      <c r="B150" s="25">
        <v>43893</v>
      </c>
      <c r="C150" s="64">
        <f t="shared" si="5"/>
        <v>2020</v>
      </c>
      <c r="D150" s="64" t="str">
        <f t="shared" si="6"/>
        <v>2020年1季度</v>
      </c>
      <c r="E150" s="26" t="s">
        <v>21</v>
      </c>
      <c r="F150" s="24">
        <v>7.45</v>
      </c>
      <c r="G150" s="24">
        <v>15</v>
      </c>
      <c r="H150" s="27">
        <v>111.75</v>
      </c>
      <c r="I150" s="26" t="s">
        <v>27</v>
      </c>
    </row>
    <row r="151" spans="1:9" ht="14.4" x14ac:dyDescent="0.25">
      <c r="A151" s="24">
        <v>10277</v>
      </c>
      <c r="B151" s="25">
        <v>43893</v>
      </c>
      <c r="C151" s="64">
        <f t="shared" si="5"/>
        <v>2020</v>
      </c>
      <c r="D151" s="64" t="str">
        <f t="shared" si="6"/>
        <v>2020年1季度</v>
      </c>
      <c r="E151" s="26" t="s">
        <v>21</v>
      </c>
      <c r="F151" s="24">
        <v>46</v>
      </c>
      <c r="G151" s="24">
        <v>60</v>
      </c>
      <c r="H151" s="27">
        <v>2760</v>
      </c>
      <c r="I151" s="26" t="s">
        <v>27</v>
      </c>
    </row>
    <row r="152" spans="1:9" ht="14.4" x14ac:dyDescent="0.25">
      <c r="A152" s="24">
        <v>10278</v>
      </c>
      <c r="B152" s="25">
        <v>43895</v>
      </c>
      <c r="C152" s="64">
        <f t="shared" si="5"/>
        <v>2020</v>
      </c>
      <c r="D152" s="64" t="str">
        <f t="shared" si="6"/>
        <v>2020年1季度</v>
      </c>
      <c r="E152" s="26" t="s">
        <v>21</v>
      </c>
      <c r="F152" s="24">
        <v>19</v>
      </c>
      <c r="G152" s="24">
        <v>30</v>
      </c>
      <c r="H152" s="27">
        <v>570</v>
      </c>
      <c r="I152" s="26" t="s">
        <v>23</v>
      </c>
    </row>
    <row r="153" spans="1:9" ht="14.4" x14ac:dyDescent="0.25">
      <c r="A153" s="24">
        <v>10278</v>
      </c>
      <c r="B153" s="25">
        <v>43895</v>
      </c>
      <c r="C153" s="64">
        <f t="shared" si="5"/>
        <v>2020</v>
      </c>
      <c r="D153" s="64" t="str">
        <f t="shared" si="6"/>
        <v>2020年1季度</v>
      </c>
      <c r="E153" s="26" t="s">
        <v>21</v>
      </c>
      <c r="F153" s="24">
        <v>18.399999999999999</v>
      </c>
      <c r="G153" s="24">
        <v>15</v>
      </c>
      <c r="H153" s="27">
        <v>276</v>
      </c>
      <c r="I153" s="26" t="s">
        <v>23</v>
      </c>
    </row>
    <row r="154" spans="1:9" ht="14.4" x14ac:dyDescent="0.25">
      <c r="A154" s="24">
        <v>10283</v>
      </c>
      <c r="B154" s="25">
        <v>43907</v>
      </c>
      <c r="C154" s="64">
        <f t="shared" si="5"/>
        <v>2020</v>
      </c>
      <c r="D154" s="64" t="str">
        <f t="shared" si="6"/>
        <v>2020年1季度</v>
      </c>
      <c r="E154" s="26" t="s">
        <v>21</v>
      </c>
      <c r="F154" s="24">
        <v>39</v>
      </c>
      <c r="G154" s="24">
        <v>40</v>
      </c>
      <c r="H154" s="27">
        <v>1560</v>
      </c>
      <c r="I154" s="26" t="s">
        <v>22</v>
      </c>
    </row>
    <row r="155" spans="1:9" ht="14.4" x14ac:dyDescent="0.25">
      <c r="A155" s="24">
        <v>10283</v>
      </c>
      <c r="B155" s="25">
        <v>43907</v>
      </c>
      <c r="C155" s="64">
        <f t="shared" si="5"/>
        <v>2020</v>
      </c>
      <c r="D155" s="64" t="str">
        <f t="shared" si="6"/>
        <v>2020年1季度</v>
      </c>
      <c r="E155" s="26" t="s">
        <v>21</v>
      </c>
      <c r="F155" s="24">
        <v>28.5</v>
      </c>
      <c r="G155" s="24">
        <v>20</v>
      </c>
      <c r="H155" s="27">
        <v>570</v>
      </c>
      <c r="I155" s="26" t="s">
        <v>22</v>
      </c>
    </row>
    <row r="156" spans="1:9" ht="14.4" x14ac:dyDescent="0.25">
      <c r="A156" s="24">
        <v>10284</v>
      </c>
      <c r="B156" s="25">
        <v>43907</v>
      </c>
      <c r="C156" s="64">
        <f t="shared" si="5"/>
        <v>2020</v>
      </c>
      <c r="D156" s="64" t="str">
        <f t="shared" si="6"/>
        <v>2020年1季度</v>
      </c>
      <c r="E156" s="26" t="s">
        <v>21</v>
      </c>
      <c r="F156" s="24">
        <v>55</v>
      </c>
      <c r="G156" s="24">
        <v>2</v>
      </c>
      <c r="H156" s="27">
        <v>110</v>
      </c>
      <c r="I156" s="26" t="s">
        <v>23</v>
      </c>
    </row>
    <row r="157" spans="1:9" ht="14.4" x14ac:dyDescent="0.25">
      <c r="A157" s="24">
        <v>10285</v>
      </c>
      <c r="B157" s="25">
        <v>43909</v>
      </c>
      <c r="C157" s="64">
        <f t="shared" si="5"/>
        <v>2020</v>
      </c>
      <c r="D157" s="64" t="str">
        <f t="shared" si="6"/>
        <v>2020年1季度</v>
      </c>
      <c r="E157" s="26" t="s">
        <v>21</v>
      </c>
      <c r="F157" s="24">
        <v>17</v>
      </c>
      <c r="G157" s="24">
        <v>24</v>
      </c>
      <c r="H157" s="27">
        <v>408</v>
      </c>
      <c r="I157" s="26" t="s">
        <v>23</v>
      </c>
    </row>
    <row r="158" spans="1:9" ht="14.4" x14ac:dyDescent="0.25">
      <c r="A158" s="24">
        <v>10285</v>
      </c>
      <c r="B158" s="25">
        <v>43909</v>
      </c>
      <c r="C158" s="64">
        <f t="shared" si="5"/>
        <v>2020</v>
      </c>
      <c r="D158" s="64" t="str">
        <f t="shared" si="6"/>
        <v>2020年1季度</v>
      </c>
      <c r="E158" s="26" t="s">
        <v>21</v>
      </c>
      <c r="F158" s="24">
        <v>25.89</v>
      </c>
      <c r="G158" s="24">
        <v>15</v>
      </c>
      <c r="H158" s="27">
        <v>388.35</v>
      </c>
      <c r="I158" s="26" t="s">
        <v>23</v>
      </c>
    </row>
    <row r="159" spans="1:9" ht="14.4" x14ac:dyDescent="0.25">
      <c r="A159" s="24">
        <v>10290</v>
      </c>
      <c r="B159" s="25">
        <v>43919</v>
      </c>
      <c r="C159" s="64">
        <f t="shared" si="5"/>
        <v>2020</v>
      </c>
      <c r="D159" s="64" t="str">
        <f t="shared" si="6"/>
        <v>2020年1季度</v>
      </c>
      <c r="E159" s="26" t="s">
        <v>21</v>
      </c>
      <c r="F159" s="24">
        <v>12.5</v>
      </c>
      <c r="G159" s="24">
        <v>30</v>
      </c>
      <c r="H159" s="27">
        <v>375</v>
      </c>
      <c r="I159" s="26" t="s">
        <v>27</v>
      </c>
    </row>
    <row r="160" spans="1:9" ht="14.4" x14ac:dyDescent="0.25">
      <c r="A160" s="24">
        <v>10290</v>
      </c>
      <c r="B160" s="25">
        <v>43919</v>
      </c>
      <c r="C160" s="64">
        <f t="shared" si="5"/>
        <v>2020</v>
      </c>
      <c r="D160" s="64" t="str">
        <f t="shared" si="6"/>
        <v>2020年1季度</v>
      </c>
      <c r="E160" s="26" t="s">
        <v>21</v>
      </c>
      <c r="F160" s="24">
        <v>13.25</v>
      </c>
      <c r="G160" s="24">
        <v>20</v>
      </c>
      <c r="H160" s="27">
        <v>265</v>
      </c>
      <c r="I160" s="26" t="s">
        <v>27</v>
      </c>
    </row>
    <row r="161" spans="1:9" ht="14.4" x14ac:dyDescent="0.25">
      <c r="A161" s="24">
        <v>10290</v>
      </c>
      <c r="B161" s="25">
        <v>43919</v>
      </c>
      <c r="C161" s="64">
        <f t="shared" si="5"/>
        <v>2020</v>
      </c>
      <c r="D161" s="64" t="str">
        <f t="shared" si="6"/>
        <v>2020年1季度</v>
      </c>
      <c r="E161" s="26" t="s">
        <v>21</v>
      </c>
      <c r="F161" s="24">
        <v>34.799999999999997</v>
      </c>
      <c r="G161" s="24">
        <v>21</v>
      </c>
      <c r="H161" s="27">
        <v>730.8</v>
      </c>
      <c r="I161" s="26" t="s">
        <v>27</v>
      </c>
    </row>
    <row r="162" spans="1:9" ht="14.4" x14ac:dyDescent="0.25">
      <c r="A162" s="24">
        <v>10290</v>
      </c>
      <c r="B162" s="25">
        <v>43919</v>
      </c>
      <c r="C162" s="64">
        <f t="shared" si="5"/>
        <v>2020</v>
      </c>
      <c r="D162" s="64" t="str">
        <f t="shared" si="6"/>
        <v>2020年1季度</v>
      </c>
      <c r="E162" s="26" t="s">
        <v>21</v>
      </c>
      <c r="F162" s="24">
        <v>53</v>
      </c>
      <c r="G162" s="24">
        <v>6</v>
      </c>
      <c r="H162" s="27">
        <v>318</v>
      </c>
      <c r="I162" s="26" t="s">
        <v>27</v>
      </c>
    </row>
    <row r="163" spans="1:9" ht="14.4" x14ac:dyDescent="0.25">
      <c r="A163" s="24">
        <v>10294</v>
      </c>
      <c r="B163" s="25">
        <v>43929</v>
      </c>
      <c r="C163" s="64">
        <f t="shared" si="5"/>
        <v>2020</v>
      </c>
      <c r="D163" s="64" t="str">
        <f t="shared" si="6"/>
        <v>2020年2季度</v>
      </c>
      <c r="E163" s="26" t="s">
        <v>21</v>
      </c>
      <c r="F163" s="24">
        <v>21.5</v>
      </c>
      <c r="G163" s="24">
        <v>9</v>
      </c>
      <c r="H163" s="27">
        <v>193.5</v>
      </c>
      <c r="I163" s="26" t="s">
        <v>22</v>
      </c>
    </row>
    <row r="164" spans="1:9" ht="14.4" x14ac:dyDescent="0.25">
      <c r="A164" s="24">
        <v>10294</v>
      </c>
      <c r="B164" s="25">
        <v>43929</v>
      </c>
      <c r="C164" s="64">
        <f t="shared" si="5"/>
        <v>2020</v>
      </c>
      <c r="D164" s="64" t="str">
        <f t="shared" si="6"/>
        <v>2020年2季度</v>
      </c>
      <c r="E164" s="26" t="s">
        <v>21</v>
      </c>
      <c r="F164" s="24">
        <v>263.5</v>
      </c>
      <c r="G164" s="24">
        <v>4</v>
      </c>
      <c r="H164" s="27">
        <v>1054</v>
      </c>
      <c r="I164" s="26" t="s">
        <v>22</v>
      </c>
    </row>
    <row r="165" spans="1:9" ht="14.4" x14ac:dyDescent="0.25">
      <c r="A165" s="24">
        <v>10294</v>
      </c>
      <c r="B165" s="25">
        <v>43929</v>
      </c>
      <c r="C165" s="64">
        <f t="shared" si="5"/>
        <v>2020</v>
      </c>
      <c r="D165" s="64" t="str">
        <f t="shared" si="6"/>
        <v>2020年2季度</v>
      </c>
      <c r="E165" s="26" t="s">
        <v>21</v>
      </c>
      <c r="F165" s="24">
        <v>21.05</v>
      </c>
      <c r="G165" s="24">
        <v>36</v>
      </c>
      <c r="H165" s="27">
        <v>757.8</v>
      </c>
      <c r="I165" s="26" t="s">
        <v>22</v>
      </c>
    </row>
    <row r="166" spans="1:9" ht="14.4" x14ac:dyDescent="0.25">
      <c r="A166" s="24">
        <v>10294</v>
      </c>
      <c r="B166" s="25">
        <v>43929</v>
      </c>
      <c r="C166" s="64">
        <f t="shared" si="5"/>
        <v>2020</v>
      </c>
      <c r="D166" s="64" t="str">
        <f t="shared" si="6"/>
        <v>2020年2季度</v>
      </c>
      <c r="E166" s="26" t="s">
        <v>21</v>
      </c>
      <c r="F166" s="24">
        <v>4.5</v>
      </c>
      <c r="G166" s="24">
        <v>35</v>
      </c>
      <c r="H166" s="27">
        <v>157.5</v>
      </c>
      <c r="I166" s="26" t="s">
        <v>22</v>
      </c>
    </row>
    <row r="167" spans="1:9" ht="14.4" x14ac:dyDescent="0.25">
      <c r="A167" s="24">
        <v>10299</v>
      </c>
      <c r="B167" s="25">
        <v>43937</v>
      </c>
      <c r="C167" s="64">
        <f t="shared" si="5"/>
        <v>2020</v>
      </c>
      <c r="D167" s="64" t="str">
        <f t="shared" si="6"/>
        <v>2020年2季度</v>
      </c>
      <c r="E167" s="26" t="s">
        <v>21</v>
      </c>
      <c r="F167" s="24">
        <v>49.3</v>
      </c>
      <c r="G167" s="24">
        <v>40</v>
      </c>
      <c r="H167" s="27">
        <v>1972</v>
      </c>
      <c r="I167" s="26" t="s">
        <v>23</v>
      </c>
    </row>
    <row r="168" spans="1:9" ht="14.4" x14ac:dyDescent="0.25">
      <c r="A168" s="24">
        <v>10300</v>
      </c>
      <c r="B168" s="25">
        <v>43937</v>
      </c>
      <c r="C168" s="64">
        <f t="shared" si="5"/>
        <v>2020</v>
      </c>
      <c r="D168" s="64" t="str">
        <f t="shared" si="6"/>
        <v>2020年2季度</v>
      </c>
      <c r="E168" s="26" t="s">
        <v>21</v>
      </c>
      <c r="F168" s="24">
        <v>19</v>
      </c>
      <c r="G168" s="24">
        <v>60</v>
      </c>
      <c r="H168" s="27">
        <v>1140</v>
      </c>
      <c r="I168" s="26" t="s">
        <v>23</v>
      </c>
    </row>
    <row r="169" spans="1:9" ht="14.4" x14ac:dyDescent="0.25">
      <c r="A169" s="24">
        <v>10300</v>
      </c>
      <c r="B169" s="25">
        <v>43937</v>
      </c>
      <c r="C169" s="64">
        <f t="shared" si="5"/>
        <v>2020</v>
      </c>
      <c r="D169" s="64" t="str">
        <f t="shared" si="6"/>
        <v>2020年2季度</v>
      </c>
      <c r="E169" s="26" t="s">
        <v>21</v>
      </c>
      <c r="F169" s="24">
        <v>32</v>
      </c>
      <c r="G169" s="24">
        <v>24</v>
      </c>
      <c r="H169" s="27">
        <v>768</v>
      </c>
      <c r="I169" s="26" t="s">
        <v>23</v>
      </c>
    </row>
    <row r="170" spans="1:9" ht="14.4" x14ac:dyDescent="0.25">
      <c r="A170" s="24">
        <v>10301</v>
      </c>
      <c r="B170" s="25">
        <v>43943</v>
      </c>
      <c r="C170" s="64">
        <f t="shared" si="5"/>
        <v>2020</v>
      </c>
      <c r="D170" s="64" t="str">
        <f t="shared" si="6"/>
        <v>2020年2季度</v>
      </c>
      <c r="E170" s="26" t="s">
        <v>21</v>
      </c>
      <c r="F170" s="24">
        <v>9.65</v>
      </c>
      <c r="G170" s="24">
        <v>14</v>
      </c>
      <c r="H170" s="27">
        <v>135.1</v>
      </c>
      <c r="I170" s="26" t="s">
        <v>22</v>
      </c>
    </row>
    <row r="171" spans="1:9" ht="14.4" x14ac:dyDescent="0.25">
      <c r="A171" s="24">
        <v>10303</v>
      </c>
      <c r="B171" s="25">
        <v>43947</v>
      </c>
      <c r="C171" s="64">
        <f t="shared" si="5"/>
        <v>2020</v>
      </c>
      <c r="D171" s="64" t="str">
        <f t="shared" si="6"/>
        <v>2020年2季度</v>
      </c>
      <c r="E171" s="26" t="s">
        <v>21</v>
      </c>
      <c r="F171" s="24">
        <v>39</v>
      </c>
      <c r="G171" s="24">
        <v>8</v>
      </c>
      <c r="H171" s="27">
        <v>312</v>
      </c>
      <c r="I171" s="26" t="s">
        <v>26</v>
      </c>
    </row>
    <row r="172" spans="1:9" ht="14.4" x14ac:dyDescent="0.25">
      <c r="A172" s="24">
        <v>10306</v>
      </c>
      <c r="B172" s="25">
        <v>43951</v>
      </c>
      <c r="C172" s="64">
        <f t="shared" si="5"/>
        <v>2020</v>
      </c>
      <c r="D172" s="64" t="str">
        <f t="shared" si="6"/>
        <v>2020年2季度</v>
      </c>
      <c r="E172" s="26" t="s">
        <v>21</v>
      </c>
      <c r="F172" s="24">
        <v>21</v>
      </c>
      <c r="G172" s="24">
        <v>24</v>
      </c>
      <c r="H172" s="27">
        <v>504</v>
      </c>
      <c r="I172" s="26" t="s">
        <v>27</v>
      </c>
    </row>
    <row r="173" spans="1:9" ht="14.4" x14ac:dyDescent="0.25">
      <c r="A173" s="24">
        <v>10306</v>
      </c>
      <c r="B173" s="25">
        <v>43951</v>
      </c>
      <c r="C173" s="64">
        <f t="shared" si="5"/>
        <v>2020</v>
      </c>
      <c r="D173" s="64" t="str">
        <f t="shared" si="6"/>
        <v>2020年2季度</v>
      </c>
      <c r="E173" s="26" t="s">
        <v>21</v>
      </c>
      <c r="F173" s="24">
        <v>21</v>
      </c>
      <c r="G173" s="24">
        <v>15</v>
      </c>
      <c r="H173" s="27">
        <v>315</v>
      </c>
      <c r="I173" s="26" t="s">
        <v>27</v>
      </c>
    </row>
    <row r="174" spans="1:9" ht="14.4" x14ac:dyDescent="0.25">
      <c r="A174" s="24">
        <v>10306</v>
      </c>
      <c r="B174" s="25">
        <v>43951</v>
      </c>
      <c r="C174" s="64">
        <f t="shared" si="5"/>
        <v>2020</v>
      </c>
      <c r="D174" s="64" t="str">
        <f t="shared" si="6"/>
        <v>2020年2季度</v>
      </c>
      <c r="E174" s="26" t="s">
        <v>21</v>
      </c>
      <c r="F174" s="24">
        <v>18</v>
      </c>
      <c r="G174" s="24">
        <v>6</v>
      </c>
      <c r="H174" s="27">
        <v>108</v>
      </c>
      <c r="I174" s="26" t="s">
        <v>27</v>
      </c>
    </row>
    <row r="175" spans="1:9" ht="14.4" x14ac:dyDescent="0.25">
      <c r="A175" s="24">
        <v>10306</v>
      </c>
      <c r="B175" s="25">
        <v>43951</v>
      </c>
      <c r="C175" s="64">
        <f t="shared" si="5"/>
        <v>2020</v>
      </c>
      <c r="D175" s="64" t="str">
        <f t="shared" si="6"/>
        <v>2020年2季度</v>
      </c>
      <c r="E175" s="26" t="s">
        <v>21</v>
      </c>
      <c r="F175" s="24">
        <v>17.45</v>
      </c>
      <c r="G175" s="24">
        <v>14</v>
      </c>
      <c r="H175" s="27">
        <v>244.3</v>
      </c>
      <c r="I175" s="26" t="s">
        <v>27</v>
      </c>
    </row>
    <row r="176" spans="1:9" ht="14.4" x14ac:dyDescent="0.25">
      <c r="A176" s="24">
        <v>10308</v>
      </c>
      <c r="B176" s="25">
        <v>43957</v>
      </c>
      <c r="C176" s="64">
        <f t="shared" si="5"/>
        <v>2020</v>
      </c>
      <c r="D176" s="64" t="str">
        <f t="shared" si="6"/>
        <v>2020年2季度</v>
      </c>
      <c r="E176" s="26" t="s">
        <v>21</v>
      </c>
      <c r="F176" s="24">
        <v>53</v>
      </c>
      <c r="G176" s="24">
        <v>20</v>
      </c>
      <c r="H176" s="27">
        <v>1060</v>
      </c>
      <c r="I176" s="26" t="s">
        <v>23</v>
      </c>
    </row>
    <row r="177" spans="1:9" ht="14.4" x14ac:dyDescent="0.25">
      <c r="A177" s="24">
        <v>10309</v>
      </c>
      <c r="B177" s="25">
        <v>43959</v>
      </c>
      <c r="C177" s="64">
        <f t="shared" si="5"/>
        <v>2020</v>
      </c>
      <c r="D177" s="64" t="str">
        <f t="shared" si="6"/>
        <v>2020年2季度</v>
      </c>
      <c r="E177" s="26" t="s">
        <v>21</v>
      </c>
      <c r="F177" s="24">
        <v>34.799999999999997</v>
      </c>
      <c r="G177" s="24">
        <v>24</v>
      </c>
      <c r="H177" s="27">
        <v>835.2</v>
      </c>
      <c r="I177" s="26" t="s">
        <v>22</v>
      </c>
    </row>
    <row r="178" spans="1:9" ht="14.4" x14ac:dyDescent="0.25">
      <c r="A178" s="24">
        <v>10310</v>
      </c>
      <c r="B178" s="25">
        <v>43959</v>
      </c>
      <c r="C178" s="64">
        <f t="shared" si="5"/>
        <v>2020</v>
      </c>
      <c r="D178" s="64" t="str">
        <f t="shared" si="6"/>
        <v>2020年2季度</v>
      </c>
      <c r="E178" s="26" t="s">
        <v>21</v>
      </c>
      <c r="F178" s="24">
        <v>7.75</v>
      </c>
      <c r="G178" s="24">
        <v>20</v>
      </c>
      <c r="H178" s="27">
        <v>155</v>
      </c>
      <c r="I178" s="26" t="s">
        <v>22</v>
      </c>
    </row>
    <row r="179" spans="1:9" ht="14.4" x14ac:dyDescent="0.25">
      <c r="A179" s="24">
        <v>10310</v>
      </c>
      <c r="B179" s="25">
        <v>43959</v>
      </c>
      <c r="C179" s="64">
        <f t="shared" si="5"/>
        <v>2020</v>
      </c>
      <c r="D179" s="64" t="str">
        <f t="shared" si="6"/>
        <v>2020年2季度</v>
      </c>
      <c r="E179" s="26" t="s">
        <v>21</v>
      </c>
      <c r="F179" s="24">
        <v>33.25</v>
      </c>
      <c r="G179" s="24">
        <v>30</v>
      </c>
      <c r="H179" s="27">
        <v>997.5</v>
      </c>
      <c r="I179" s="26" t="s">
        <v>22</v>
      </c>
    </row>
    <row r="180" spans="1:9" ht="14.4" x14ac:dyDescent="0.25">
      <c r="A180" s="24">
        <v>10317</v>
      </c>
      <c r="B180" s="25">
        <v>43973</v>
      </c>
      <c r="C180" s="64">
        <f t="shared" si="5"/>
        <v>2020</v>
      </c>
      <c r="D180" s="64" t="str">
        <f t="shared" si="6"/>
        <v>2020年2季度</v>
      </c>
      <c r="E180" s="26" t="s">
        <v>21</v>
      </c>
      <c r="F180" s="24">
        <v>39</v>
      </c>
      <c r="G180" s="24">
        <v>16</v>
      </c>
      <c r="H180" s="27">
        <v>624</v>
      </c>
      <c r="I180" s="26" t="s">
        <v>27</v>
      </c>
    </row>
    <row r="181" spans="1:9" ht="14.4" x14ac:dyDescent="0.25">
      <c r="A181" s="24">
        <v>10320</v>
      </c>
      <c r="B181" s="25">
        <v>43977</v>
      </c>
      <c r="C181" s="64">
        <f t="shared" si="5"/>
        <v>2020</v>
      </c>
      <c r="D181" s="64" t="str">
        <f t="shared" si="6"/>
        <v>2020年2季度</v>
      </c>
      <c r="E181" s="26" t="s">
        <v>21</v>
      </c>
      <c r="F181" s="24">
        <v>55</v>
      </c>
      <c r="G181" s="24">
        <v>40</v>
      </c>
      <c r="H181" s="27">
        <v>2200</v>
      </c>
      <c r="I181" s="26" t="s">
        <v>22</v>
      </c>
    </row>
    <row r="182" spans="1:9" ht="14.4" x14ac:dyDescent="0.25">
      <c r="A182" s="24">
        <v>10321</v>
      </c>
      <c r="B182" s="25">
        <v>43979</v>
      </c>
      <c r="C182" s="64">
        <f t="shared" si="5"/>
        <v>2020</v>
      </c>
      <c r="D182" s="64" t="str">
        <f t="shared" si="6"/>
        <v>2020年2季度</v>
      </c>
      <c r="E182" s="26" t="s">
        <v>21</v>
      </c>
      <c r="F182" s="24">
        <v>31</v>
      </c>
      <c r="G182" s="24">
        <v>5</v>
      </c>
      <c r="H182" s="27">
        <v>155</v>
      </c>
      <c r="I182" s="26" t="s">
        <v>27</v>
      </c>
    </row>
    <row r="183" spans="1:9" ht="14.4" x14ac:dyDescent="0.25">
      <c r="A183" s="24">
        <v>10322</v>
      </c>
      <c r="B183" s="25">
        <v>43985</v>
      </c>
      <c r="C183" s="64">
        <f t="shared" si="5"/>
        <v>2020</v>
      </c>
      <c r="D183" s="64" t="str">
        <f t="shared" si="6"/>
        <v>2020年2季度</v>
      </c>
      <c r="E183" s="26" t="s">
        <v>21</v>
      </c>
      <c r="F183" s="24">
        <v>12.5</v>
      </c>
      <c r="G183" s="24">
        <v>35</v>
      </c>
      <c r="H183" s="27">
        <v>437.5</v>
      </c>
      <c r="I183" s="26" t="s">
        <v>22</v>
      </c>
    </row>
    <row r="184" spans="1:9" ht="14.4" x14ac:dyDescent="0.25">
      <c r="A184" s="24">
        <v>10322</v>
      </c>
      <c r="B184" s="25">
        <v>43985</v>
      </c>
      <c r="C184" s="64">
        <f t="shared" si="5"/>
        <v>2020</v>
      </c>
      <c r="D184" s="64" t="str">
        <f t="shared" si="6"/>
        <v>2020年2季度</v>
      </c>
      <c r="E184" s="26" t="s">
        <v>21</v>
      </c>
      <c r="F184" s="24">
        <v>18</v>
      </c>
      <c r="G184" s="24">
        <v>30</v>
      </c>
      <c r="H184" s="27">
        <v>540</v>
      </c>
      <c r="I184" s="26" t="s">
        <v>22</v>
      </c>
    </row>
    <row r="185" spans="1:9" ht="14.4" x14ac:dyDescent="0.25">
      <c r="A185" s="24">
        <v>10326</v>
      </c>
      <c r="B185" s="25">
        <v>43991</v>
      </c>
      <c r="C185" s="64">
        <f t="shared" si="5"/>
        <v>2020</v>
      </c>
      <c r="D185" s="64" t="str">
        <f t="shared" si="6"/>
        <v>2020年2季度</v>
      </c>
      <c r="E185" s="26" t="s">
        <v>21</v>
      </c>
      <c r="F185" s="24">
        <v>39</v>
      </c>
      <c r="G185" s="24">
        <v>18</v>
      </c>
      <c r="H185" s="27">
        <v>702</v>
      </c>
      <c r="I185" s="26" t="s">
        <v>26</v>
      </c>
    </row>
    <row r="186" spans="1:9" ht="14.4" x14ac:dyDescent="0.25">
      <c r="A186" s="24">
        <v>10327</v>
      </c>
      <c r="B186" s="25">
        <v>43991</v>
      </c>
      <c r="C186" s="64">
        <f t="shared" si="5"/>
        <v>2020</v>
      </c>
      <c r="D186" s="64" t="str">
        <f t="shared" si="6"/>
        <v>2020年2季度</v>
      </c>
      <c r="E186" s="26" t="s">
        <v>21</v>
      </c>
      <c r="F186" s="24">
        <v>49.3</v>
      </c>
      <c r="G186" s="24">
        <v>10</v>
      </c>
      <c r="H186" s="27">
        <v>493</v>
      </c>
      <c r="I186" s="26" t="s">
        <v>22</v>
      </c>
    </row>
    <row r="187" spans="1:9" ht="14.4" x14ac:dyDescent="0.25">
      <c r="A187" s="24">
        <v>10328</v>
      </c>
      <c r="B187" s="25">
        <v>43993</v>
      </c>
      <c r="C187" s="64">
        <f t="shared" si="5"/>
        <v>2020</v>
      </c>
      <c r="D187" s="64" t="str">
        <f t="shared" si="6"/>
        <v>2020年2季度</v>
      </c>
      <c r="E187" s="26" t="s">
        <v>21</v>
      </c>
      <c r="F187" s="24">
        <v>18</v>
      </c>
      <c r="G187" s="24">
        <v>10</v>
      </c>
      <c r="H187" s="27">
        <v>180</v>
      </c>
      <c r="I187" s="26" t="s">
        <v>23</v>
      </c>
    </row>
    <row r="188" spans="1:9" ht="14.4" x14ac:dyDescent="0.25">
      <c r="A188" s="24">
        <v>10328</v>
      </c>
      <c r="B188" s="25">
        <v>43993</v>
      </c>
      <c r="C188" s="64">
        <f t="shared" si="5"/>
        <v>2020</v>
      </c>
      <c r="D188" s="64" t="str">
        <f t="shared" si="6"/>
        <v>2020年2季度</v>
      </c>
      <c r="E188" s="26" t="s">
        <v>21</v>
      </c>
      <c r="F188" s="24">
        <v>34.799999999999997</v>
      </c>
      <c r="G188" s="24">
        <v>30</v>
      </c>
      <c r="H188" s="27">
        <v>1044</v>
      </c>
      <c r="I188" s="26" t="s">
        <v>23</v>
      </c>
    </row>
    <row r="189" spans="1:9" ht="14.4" x14ac:dyDescent="0.25">
      <c r="A189" s="24">
        <v>10328</v>
      </c>
      <c r="B189" s="25">
        <v>43993</v>
      </c>
      <c r="C189" s="64">
        <f t="shared" si="5"/>
        <v>2020</v>
      </c>
      <c r="D189" s="64" t="str">
        <f t="shared" si="6"/>
        <v>2020年2季度</v>
      </c>
      <c r="E189" s="26" t="s">
        <v>21</v>
      </c>
      <c r="F189" s="24">
        <v>55</v>
      </c>
      <c r="G189" s="24">
        <v>12</v>
      </c>
      <c r="H189" s="27">
        <v>660</v>
      </c>
      <c r="I189" s="26" t="s">
        <v>23</v>
      </c>
    </row>
    <row r="190" spans="1:9" ht="14.4" x14ac:dyDescent="0.25">
      <c r="A190" s="24">
        <v>10334</v>
      </c>
      <c r="B190" s="25">
        <v>44005</v>
      </c>
      <c r="C190" s="64">
        <f t="shared" si="5"/>
        <v>2020</v>
      </c>
      <c r="D190" s="64" t="str">
        <f t="shared" si="6"/>
        <v>2020年2季度</v>
      </c>
      <c r="E190" s="26" t="s">
        <v>21</v>
      </c>
      <c r="F190" s="24">
        <v>7.75</v>
      </c>
      <c r="G190" s="24">
        <v>50</v>
      </c>
      <c r="H190" s="27">
        <v>387.5</v>
      </c>
      <c r="I190" s="26" t="s">
        <v>22</v>
      </c>
    </row>
    <row r="191" spans="1:9" ht="14.4" x14ac:dyDescent="0.25">
      <c r="A191" s="24">
        <v>10335</v>
      </c>
      <c r="B191" s="25">
        <v>44007</v>
      </c>
      <c r="C191" s="64">
        <f t="shared" si="5"/>
        <v>2020</v>
      </c>
      <c r="D191" s="64" t="str">
        <f t="shared" si="6"/>
        <v>2020年2季度</v>
      </c>
      <c r="E191" s="26" t="s">
        <v>21</v>
      </c>
      <c r="F191" s="24">
        <v>18</v>
      </c>
      <c r="G191" s="24">
        <v>14</v>
      </c>
      <c r="H191" s="27">
        <v>252</v>
      </c>
      <c r="I191" s="26" t="s">
        <v>27</v>
      </c>
    </row>
    <row r="192" spans="1:9" ht="14.4" x14ac:dyDescent="0.25">
      <c r="A192" s="24">
        <v>10335</v>
      </c>
      <c r="B192" s="25">
        <v>44007</v>
      </c>
      <c r="C192" s="64">
        <f t="shared" si="5"/>
        <v>2020</v>
      </c>
      <c r="D192" s="64" t="str">
        <f t="shared" si="6"/>
        <v>2020年2季度</v>
      </c>
      <c r="E192" s="26" t="s">
        <v>21</v>
      </c>
      <c r="F192" s="24">
        <v>19.5</v>
      </c>
      <c r="G192" s="24">
        <v>4</v>
      </c>
      <c r="H192" s="27">
        <v>78</v>
      </c>
      <c r="I192" s="26" t="s">
        <v>27</v>
      </c>
    </row>
    <row r="193" spans="1:9" ht="14.4" x14ac:dyDescent="0.25">
      <c r="A193" s="24">
        <v>10336</v>
      </c>
      <c r="B193" s="25">
        <v>44013</v>
      </c>
      <c r="C193" s="64">
        <f t="shared" si="5"/>
        <v>2020</v>
      </c>
      <c r="D193" s="64" t="str">
        <f t="shared" si="6"/>
        <v>2020年3季度</v>
      </c>
      <c r="E193" s="26" t="s">
        <v>21</v>
      </c>
      <c r="F193" s="24">
        <v>123.79</v>
      </c>
      <c r="G193" s="24">
        <v>10</v>
      </c>
      <c r="H193" s="27">
        <v>1237.9000000000001</v>
      </c>
      <c r="I193" s="26" t="s">
        <v>22</v>
      </c>
    </row>
    <row r="194" spans="1:9" ht="14.4" x14ac:dyDescent="0.25">
      <c r="A194" s="24">
        <v>10344</v>
      </c>
      <c r="B194" s="25">
        <v>44027</v>
      </c>
      <c r="C194" s="64">
        <f t="shared" si="5"/>
        <v>2020</v>
      </c>
      <c r="D194" s="64" t="str">
        <f t="shared" si="6"/>
        <v>2020年3季度</v>
      </c>
      <c r="E194" s="26" t="s">
        <v>21</v>
      </c>
      <c r="F194" s="24">
        <v>30</v>
      </c>
      <c r="G194" s="24">
        <v>10</v>
      </c>
      <c r="H194" s="27">
        <v>300</v>
      </c>
      <c r="I194" s="26" t="s">
        <v>27</v>
      </c>
    </row>
    <row r="195" spans="1:9" ht="14.4" x14ac:dyDescent="0.25">
      <c r="A195" s="24">
        <v>10344</v>
      </c>
      <c r="B195" s="25">
        <v>44027</v>
      </c>
      <c r="C195" s="64">
        <f t="shared" ref="C195:C258" si="7">YEAR(B195)</f>
        <v>2020</v>
      </c>
      <c r="D195" s="64" t="str">
        <f t="shared" ref="D195:D258" si="8">YEAR(B195)&amp;"年"&amp;ROUNDUP(MONTH(B195)/3,0)&amp;"季度"</f>
        <v>2020年3季度</v>
      </c>
      <c r="E195" s="26" t="s">
        <v>21</v>
      </c>
      <c r="F195" s="24">
        <v>10</v>
      </c>
      <c r="G195" s="24">
        <v>14</v>
      </c>
      <c r="H195" s="27">
        <v>140</v>
      </c>
      <c r="I195" s="26" t="s">
        <v>27</v>
      </c>
    </row>
    <row r="196" spans="1:9" ht="14.4" x14ac:dyDescent="0.25">
      <c r="A196" s="24">
        <v>10345</v>
      </c>
      <c r="B196" s="25">
        <v>44029</v>
      </c>
      <c r="C196" s="64">
        <f t="shared" si="7"/>
        <v>2020</v>
      </c>
      <c r="D196" s="64" t="str">
        <f t="shared" si="8"/>
        <v>2020年3季度</v>
      </c>
      <c r="E196" s="26" t="s">
        <v>21</v>
      </c>
      <c r="F196" s="24">
        <v>15.5</v>
      </c>
      <c r="G196" s="24">
        <v>25</v>
      </c>
      <c r="H196" s="27">
        <v>387.5</v>
      </c>
      <c r="I196" s="26" t="s">
        <v>23</v>
      </c>
    </row>
    <row r="197" spans="1:9" ht="14.4" x14ac:dyDescent="0.25">
      <c r="A197" s="24">
        <v>10345</v>
      </c>
      <c r="B197" s="25">
        <v>44029</v>
      </c>
      <c r="C197" s="64">
        <f t="shared" si="7"/>
        <v>2020</v>
      </c>
      <c r="D197" s="64" t="str">
        <f t="shared" si="8"/>
        <v>2020年3季度</v>
      </c>
      <c r="E197" s="26" t="s">
        <v>21</v>
      </c>
      <c r="F197" s="24">
        <v>31.23</v>
      </c>
      <c r="G197" s="24">
        <v>5</v>
      </c>
      <c r="H197" s="27">
        <v>156.15</v>
      </c>
      <c r="I197" s="26" t="s">
        <v>23</v>
      </c>
    </row>
    <row r="198" spans="1:9" ht="14.4" x14ac:dyDescent="0.25">
      <c r="A198" s="24">
        <v>10350</v>
      </c>
      <c r="B198" s="25">
        <v>44035</v>
      </c>
      <c r="C198" s="64">
        <f t="shared" si="7"/>
        <v>2020</v>
      </c>
      <c r="D198" s="64" t="str">
        <f t="shared" si="8"/>
        <v>2020年3季度</v>
      </c>
      <c r="E198" s="26" t="s">
        <v>21</v>
      </c>
      <c r="F198" s="24">
        <v>4.5</v>
      </c>
      <c r="G198" s="24">
        <v>35</v>
      </c>
      <c r="H198" s="27">
        <v>157.5</v>
      </c>
      <c r="I198" s="26" t="s">
        <v>22</v>
      </c>
    </row>
    <row r="199" spans="1:9" ht="14.4" x14ac:dyDescent="0.25">
      <c r="A199" s="24">
        <v>10350</v>
      </c>
      <c r="B199" s="25">
        <v>44035</v>
      </c>
      <c r="C199" s="64">
        <f t="shared" si="7"/>
        <v>2020</v>
      </c>
      <c r="D199" s="64" t="str">
        <f t="shared" si="8"/>
        <v>2020年3季度</v>
      </c>
      <c r="E199" s="26" t="s">
        <v>21</v>
      </c>
      <c r="F199" s="24">
        <v>19.5</v>
      </c>
      <c r="G199" s="24">
        <v>20</v>
      </c>
      <c r="H199" s="27">
        <v>390</v>
      </c>
      <c r="I199" s="26" t="s">
        <v>22</v>
      </c>
    </row>
    <row r="200" spans="1:9" ht="14.4" x14ac:dyDescent="0.25">
      <c r="A200" s="24">
        <v>10350</v>
      </c>
      <c r="B200" s="25">
        <v>44035</v>
      </c>
      <c r="C200" s="64">
        <f t="shared" si="7"/>
        <v>2020</v>
      </c>
      <c r="D200" s="64" t="str">
        <f t="shared" si="8"/>
        <v>2020年3季度</v>
      </c>
      <c r="E200" s="26" t="s">
        <v>21</v>
      </c>
      <c r="F200" s="24">
        <v>21.05</v>
      </c>
      <c r="G200" s="24">
        <v>12</v>
      </c>
      <c r="H200" s="27">
        <v>252.6</v>
      </c>
      <c r="I200" s="26" t="s">
        <v>22</v>
      </c>
    </row>
    <row r="201" spans="1:9" ht="14.4" x14ac:dyDescent="0.25">
      <c r="A201" s="24">
        <v>10351</v>
      </c>
      <c r="B201" s="25">
        <v>44041</v>
      </c>
      <c r="C201" s="64">
        <f t="shared" si="7"/>
        <v>2020</v>
      </c>
      <c r="D201" s="64" t="str">
        <f t="shared" si="8"/>
        <v>2020年3季度</v>
      </c>
      <c r="E201" s="26" t="s">
        <v>21</v>
      </c>
      <c r="F201" s="24">
        <v>21.5</v>
      </c>
      <c r="G201" s="24">
        <v>9</v>
      </c>
      <c r="H201" s="27">
        <v>193.5</v>
      </c>
      <c r="I201" s="26" t="s">
        <v>27</v>
      </c>
    </row>
    <row r="202" spans="1:9" ht="14.4" x14ac:dyDescent="0.25">
      <c r="A202" s="24">
        <v>10358</v>
      </c>
      <c r="B202" s="25">
        <v>44055</v>
      </c>
      <c r="C202" s="64">
        <f t="shared" si="7"/>
        <v>2020</v>
      </c>
      <c r="D202" s="64" t="str">
        <f t="shared" si="8"/>
        <v>2020年3季度</v>
      </c>
      <c r="E202" s="26" t="s">
        <v>21</v>
      </c>
      <c r="F202" s="24">
        <v>17.45</v>
      </c>
      <c r="G202" s="24">
        <v>30</v>
      </c>
      <c r="H202" s="27">
        <v>523.5</v>
      </c>
      <c r="I202" s="26" t="s">
        <v>23</v>
      </c>
    </row>
    <row r="203" spans="1:9" ht="14.4" x14ac:dyDescent="0.25">
      <c r="A203" s="24">
        <v>10359</v>
      </c>
      <c r="B203" s="25">
        <v>44057</v>
      </c>
      <c r="C203" s="64">
        <f t="shared" si="7"/>
        <v>2020</v>
      </c>
      <c r="D203" s="64" t="str">
        <f t="shared" si="8"/>
        <v>2020年3季度</v>
      </c>
      <c r="E203" s="26" t="s">
        <v>21</v>
      </c>
      <c r="F203" s="24">
        <v>22</v>
      </c>
      <c r="G203" s="24">
        <v>20</v>
      </c>
      <c r="H203" s="27">
        <v>440</v>
      </c>
      <c r="I203" s="26" t="s">
        <v>25</v>
      </c>
    </row>
    <row r="204" spans="1:9" ht="14.4" x14ac:dyDescent="0.25">
      <c r="A204" s="24">
        <v>10359</v>
      </c>
      <c r="B204" s="25">
        <v>44057</v>
      </c>
      <c r="C204" s="64">
        <f t="shared" si="7"/>
        <v>2020</v>
      </c>
      <c r="D204" s="64" t="str">
        <f t="shared" si="8"/>
        <v>2020年3季度</v>
      </c>
      <c r="E204" s="26" t="s">
        <v>21</v>
      </c>
      <c r="F204" s="24">
        <v>24</v>
      </c>
      <c r="G204" s="24">
        <v>20</v>
      </c>
      <c r="H204" s="27">
        <v>480</v>
      </c>
      <c r="I204" s="26" t="s">
        <v>25</v>
      </c>
    </row>
    <row r="205" spans="1:9" ht="14.4" x14ac:dyDescent="0.25">
      <c r="A205" s="24">
        <v>10359</v>
      </c>
      <c r="B205" s="25">
        <v>44057</v>
      </c>
      <c r="C205" s="64">
        <f t="shared" si="7"/>
        <v>2020</v>
      </c>
      <c r="D205" s="64" t="str">
        <f t="shared" si="8"/>
        <v>2020年3季度</v>
      </c>
      <c r="E205" s="26" t="s">
        <v>21</v>
      </c>
      <c r="F205" s="24">
        <v>49.3</v>
      </c>
      <c r="G205" s="24">
        <v>10</v>
      </c>
      <c r="H205" s="27">
        <v>493</v>
      </c>
      <c r="I205" s="26" t="s">
        <v>25</v>
      </c>
    </row>
    <row r="206" spans="1:9" ht="14.4" x14ac:dyDescent="0.25">
      <c r="A206" s="24">
        <v>10365</v>
      </c>
      <c r="B206" s="25">
        <v>44069</v>
      </c>
      <c r="C206" s="64">
        <f t="shared" si="7"/>
        <v>2020</v>
      </c>
      <c r="D206" s="64" t="str">
        <f t="shared" si="8"/>
        <v>2020年3季度</v>
      </c>
      <c r="E206" s="26" t="s">
        <v>21</v>
      </c>
      <c r="F206" s="24">
        <v>19</v>
      </c>
      <c r="G206" s="24">
        <v>55</v>
      </c>
      <c r="H206" s="27">
        <v>1045</v>
      </c>
      <c r="I206" s="26" t="s">
        <v>22</v>
      </c>
    </row>
    <row r="207" spans="1:9" ht="14.4" x14ac:dyDescent="0.25">
      <c r="A207" s="24">
        <v>10365</v>
      </c>
      <c r="B207" s="25">
        <v>44069</v>
      </c>
      <c r="C207" s="64">
        <f t="shared" si="7"/>
        <v>2020</v>
      </c>
      <c r="D207" s="64" t="str">
        <f t="shared" si="8"/>
        <v>2020年3季度</v>
      </c>
      <c r="E207" s="26" t="s">
        <v>21</v>
      </c>
      <c r="F207" s="24">
        <v>20</v>
      </c>
      <c r="G207" s="24">
        <v>18</v>
      </c>
      <c r="H207" s="27">
        <v>360</v>
      </c>
      <c r="I207" s="26" t="s">
        <v>22</v>
      </c>
    </row>
    <row r="208" spans="1:9" ht="14.4" x14ac:dyDescent="0.25">
      <c r="A208" s="24">
        <v>10365</v>
      </c>
      <c r="B208" s="25">
        <v>44069</v>
      </c>
      <c r="C208" s="64">
        <f t="shared" si="7"/>
        <v>2020</v>
      </c>
      <c r="D208" s="64" t="str">
        <f t="shared" si="8"/>
        <v>2020年3季度</v>
      </c>
      <c r="E208" s="26" t="s">
        <v>21</v>
      </c>
      <c r="F208" s="24">
        <v>18</v>
      </c>
      <c r="G208" s="24">
        <v>80</v>
      </c>
      <c r="H208" s="27">
        <v>1440</v>
      </c>
      <c r="I208" s="26" t="s">
        <v>22</v>
      </c>
    </row>
    <row r="209" spans="1:9" ht="14.4" x14ac:dyDescent="0.25">
      <c r="A209" s="24">
        <v>10365</v>
      </c>
      <c r="B209" s="25">
        <v>44069</v>
      </c>
      <c r="C209" s="64">
        <f t="shared" si="7"/>
        <v>2020</v>
      </c>
      <c r="D209" s="64" t="str">
        <f t="shared" si="8"/>
        <v>2020年3季度</v>
      </c>
      <c r="E209" s="26" t="s">
        <v>21</v>
      </c>
      <c r="F209" s="24">
        <v>31</v>
      </c>
      <c r="G209" s="24">
        <v>70</v>
      </c>
      <c r="H209" s="27">
        <v>2170</v>
      </c>
      <c r="I209" s="26" t="s">
        <v>22</v>
      </c>
    </row>
    <row r="210" spans="1:9" ht="14.4" x14ac:dyDescent="0.25">
      <c r="A210" s="24">
        <v>10371</v>
      </c>
      <c r="B210" s="25">
        <v>44077</v>
      </c>
      <c r="C210" s="64">
        <f t="shared" si="7"/>
        <v>2020</v>
      </c>
      <c r="D210" s="64" t="str">
        <f t="shared" si="8"/>
        <v>2020年3季度</v>
      </c>
      <c r="E210" s="26" t="s">
        <v>21</v>
      </c>
      <c r="F210" s="24">
        <v>12.5</v>
      </c>
      <c r="G210" s="24">
        <v>15</v>
      </c>
      <c r="H210" s="27">
        <v>187.5</v>
      </c>
      <c r="I210" s="26" t="s">
        <v>23</v>
      </c>
    </row>
    <row r="211" spans="1:9" ht="14.4" x14ac:dyDescent="0.25">
      <c r="A211" s="24">
        <v>10371</v>
      </c>
      <c r="B211" s="25">
        <v>44077</v>
      </c>
      <c r="C211" s="64">
        <f t="shared" si="7"/>
        <v>2020</v>
      </c>
      <c r="D211" s="64" t="str">
        <f t="shared" si="8"/>
        <v>2020年3季度</v>
      </c>
      <c r="E211" s="26" t="s">
        <v>21</v>
      </c>
      <c r="F211" s="24">
        <v>38</v>
      </c>
      <c r="G211" s="24">
        <v>20</v>
      </c>
      <c r="H211" s="27">
        <v>760</v>
      </c>
      <c r="I211" s="26" t="s">
        <v>23</v>
      </c>
    </row>
    <row r="212" spans="1:9" ht="14.4" x14ac:dyDescent="0.25">
      <c r="A212" s="24">
        <v>10371</v>
      </c>
      <c r="B212" s="25">
        <v>44077</v>
      </c>
      <c r="C212" s="64">
        <f t="shared" si="7"/>
        <v>2020</v>
      </c>
      <c r="D212" s="64" t="str">
        <f t="shared" si="8"/>
        <v>2020年3季度</v>
      </c>
      <c r="E212" s="26" t="s">
        <v>21</v>
      </c>
      <c r="F212" s="24">
        <v>25</v>
      </c>
      <c r="G212" s="24">
        <v>70</v>
      </c>
      <c r="H212" s="27">
        <v>1750</v>
      </c>
      <c r="I212" s="26" t="s">
        <v>23</v>
      </c>
    </row>
    <row r="213" spans="1:9" ht="14.4" x14ac:dyDescent="0.25">
      <c r="A213" s="24">
        <v>10372</v>
      </c>
      <c r="B213" s="25">
        <v>44083</v>
      </c>
      <c r="C213" s="64">
        <f t="shared" si="7"/>
        <v>2020</v>
      </c>
      <c r="D213" s="64" t="str">
        <f t="shared" si="8"/>
        <v>2020年3季度</v>
      </c>
      <c r="E213" s="26" t="s">
        <v>21</v>
      </c>
      <c r="F213" s="24">
        <v>21</v>
      </c>
      <c r="G213" s="24">
        <v>40</v>
      </c>
      <c r="H213" s="27">
        <v>840</v>
      </c>
      <c r="I213" s="26" t="s">
        <v>23</v>
      </c>
    </row>
    <row r="214" spans="1:9" ht="14.4" x14ac:dyDescent="0.25">
      <c r="A214" s="24">
        <v>10377</v>
      </c>
      <c r="B214" s="25">
        <v>44089</v>
      </c>
      <c r="C214" s="64">
        <f t="shared" si="7"/>
        <v>2020</v>
      </c>
      <c r="D214" s="64" t="str">
        <f t="shared" si="8"/>
        <v>2020年3季度</v>
      </c>
      <c r="E214" s="26" t="s">
        <v>21</v>
      </c>
      <c r="F214" s="24">
        <v>123.79</v>
      </c>
      <c r="G214" s="24">
        <v>6</v>
      </c>
      <c r="H214" s="27">
        <v>742.74</v>
      </c>
      <c r="I214" s="26" t="s">
        <v>27</v>
      </c>
    </row>
    <row r="215" spans="1:9" ht="14.4" x14ac:dyDescent="0.25">
      <c r="A215" s="24">
        <v>10377</v>
      </c>
      <c r="B215" s="25">
        <v>44089</v>
      </c>
      <c r="C215" s="64">
        <f t="shared" si="7"/>
        <v>2020</v>
      </c>
      <c r="D215" s="64" t="str">
        <f t="shared" si="8"/>
        <v>2020年3季度</v>
      </c>
      <c r="E215" s="26" t="s">
        <v>21</v>
      </c>
      <c r="F215" s="24">
        <v>45.6</v>
      </c>
      <c r="G215" s="24">
        <v>10</v>
      </c>
      <c r="H215" s="27">
        <v>456</v>
      </c>
      <c r="I215" s="26" t="s">
        <v>27</v>
      </c>
    </row>
    <row r="216" spans="1:9" ht="14.4" x14ac:dyDescent="0.25">
      <c r="A216" s="24">
        <v>10377</v>
      </c>
      <c r="B216" s="25">
        <v>44089</v>
      </c>
      <c r="C216" s="64">
        <f t="shared" si="7"/>
        <v>2020</v>
      </c>
      <c r="D216" s="64" t="str">
        <f t="shared" si="8"/>
        <v>2020年3季度</v>
      </c>
      <c r="E216" s="26" t="s">
        <v>21</v>
      </c>
      <c r="F216" s="24">
        <v>19.45</v>
      </c>
      <c r="G216" s="24">
        <v>10</v>
      </c>
      <c r="H216" s="27">
        <v>194.5</v>
      </c>
      <c r="I216" s="26" t="s">
        <v>27</v>
      </c>
    </row>
    <row r="217" spans="1:9" ht="14.4" x14ac:dyDescent="0.25">
      <c r="A217" s="24">
        <v>10378</v>
      </c>
      <c r="B217" s="25">
        <v>44091</v>
      </c>
      <c r="C217" s="64">
        <f t="shared" si="7"/>
        <v>2020</v>
      </c>
      <c r="D217" s="64" t="str">
        <f t="shared" si="8"/>
        <v>2020年3季度</v>
      </c>
      <c r="E217" s="26" t="s">
        <v>21</v>
      </c>
      <c r="F217" s="24">
        <v>14</v>
      </c>
      <c r="G217" s="24">
        <v>5</v>
      </c>
      <c r="H217" s="27">
        <v>70</v>
      </c>
      <c r="I217" s="26" t="s">
        <v>22</v>
      </c>
    </row>
    <row r="218" spans="1:9" ht="14.4" x14ac:dyDescent="0.25">
      <c r="A218" s="24">
        <v>10385</v>
      </c>
      <c r="B218" s="25">
        <v>44103</v>
      </c>
      <c r="C218" s="64">
        <f t="shared" si="7"/>
        <v>2020</v>
      </c>
      <c r="D218" s="64" t="str">
        <f t="shared" si="8"/>
        <v>2020年3季度</v>
      </c>
      <c r="E218" s="26" t="s">
        <v>21</v>
      </c>
      <c r="F218" s="24">
        <v>19</v>
      </c>
      <c r="G218" s="24">
        <v>30</v>
      </c>
      <c r="H218" s="27">
        <v>570</v>
      </c>
      <c r="I218" s="26" t="s">
        <v>22</v>
      </c>
    </row>
    <row r="219" spans="1:9" ht="14.4" x14ac:dyDescent="0.25">
      <c r="A219" s="24">
        <v>10386</v>
      </c>
      <c r="B219" s="25">
        <v>44105</v>
      </c>
      <c r="C219" s="64">
        <f t="shared" si="7"/>
        <v>2020</v>
      </c>
      <c r="D219" s="64" t="str">
        <f t="shared" si="8"/>
        <v>2020年4季度</v>
      </c>
      <c r="E219" s="26" t="s">
        <v>21</v>
      </c>
      <c r="F219" s="24">
        <v>38</v>
      </c>
      <c r="G219" s="24">
        <v>36</v>
      </c>
      <c r="H219" s="27">
        <v>1368</v>
      </c>
      <c r="I219" s="26" t="s">
        <v>22</v>
      </c>
    </row>
    <row r="220" spans="1:9" ht="14.4" x14ac:dyDescent="0.25">
      <c r="A220" s="24">
        <v>10386</v>
      </c>
      <c r="B220" s="25">
        <v>44105</v>
      </c>
      <c r="C220" s="64">
        <f t="shared" si="7"/>
        <v>2020</v>
      </c>
      <c r="D220" s="64" t="str">
        <f t="shared" si="8"/>
        <v>2020年4季度</v>
      </c>
      <c r="E220" s="26" t="s">
        <v>21</v>
      </c>
      <c r="F220" s="24">
        <v>31.23</v>
      </c>
      <c r="G220" s="24">
        <v>35</v>
      </c>
      <c r="H220" s="27">
        <v>1093.05</v>
      </c>
      <c r="I220" s="26" t="s">
        <v>22</v>
      </c>
    </row>
    <row r="221" spans="1:9" ht="14.4" x14ac:dyDescent="0.25">
      <c r="A221" s="24">
        <v>10386</v>
      </c>
      <c r="B221" s="25">
        <v>44105</v>
      </c>
      <c r="C221" s="64">
        <f t="shared" si="7"/>
        <v>2020</v>
      </c>
      <c r="D221" s="64" t="str">
        <f t="shared" si="8"/>
        <v>2020年4季度</v>
      </c>
      <c r="E221" s="26" t="s">
        <v>21</v>
      </c>
      <c r="F221" s="24">
        <v>49.3</v>
      </c>
      <c r="G221" s="24">
        <v>80</v>
      </c>
      <c r="H221" s="27">
        <v>3944</v>
      </c>
      <c r="I221" s="26" t="s">
        <v>22</v>
      </c>
    </row>
    <row r="222" spans="1:9" ht="14.4" x14ac:dyDescent="0.25">
      <c r="A222" s="24">
        <v>10391</v>
      </c>
      <c r="B222" s="25">
        <v>44115</v>
      </c>
      <c r="C222" s="64">
        <f t="shared" si="7"/>
        <v>2020</v>
      </c>
      <c r="D222" s="64" t="str">
        <f t="shared" si="8"/>
        <v>2020年4季度</v>
      </c>
      <c r="E222" s="26" t="s">
        <v>21</v>
      </c>
      <c r="F222" s="24">
        <v>34.799999999999997</v>
      </c>
      <c r="G222" s="24">
        <v>60</v>
      </c>
      <c r="H222" s="27">
        <v>2088</v>
      </c>
      <c r="I222" s="26" t="s">
        <v>22</v>
      </c>
    </row>
    <row r="223" spans="1:9" ht="14.4" x14ac:dyDescent="0.25">
      <c r="A223" s="24">
        <v>10391</v>
      </c>
      <c r="B223" s="25">
        <v>44115</v>
      </c>
      <c r="C223" s="64">
        <f t="shared" si="7"/>
        <v>2020</v>
      </c>
      <c r="D223" s="64" t="str">
        <f t="shared" si="8"/>
        <v>2020年4季度</v>
      </c>
      <c r="E223" s="26" t="s">
        <v>21</v>
      </c>
      <c r="F223" s="24">
        <v>9.5</v>
      </c>
      <c r="G223" s="24">
        <v>20</v>
      </c>
      <c r="H223" s="27">
        <v>190</v>
      </c>
      <c r="I223" s="26" t="s">
        <v>22</v>
      </c>
    </row>
    <row r="224" spans="1:9" ht="14.4" x14ac:dyDescent="0.25">
      <c r="A224" s="24">
        <v>10392</v>
      </c>
      <c r="B224" s="25">
        <v>44115</v>
      </c>
      <c r="C224" s="64">
        <f t="shared" si="7"/>
        <v>2020</v>
      </c>
      <c r="D224" s="64" t="str">
        <f t="shared" si="8"/>
        <v>2020年4季度</v>
      </c>
      <c r="E224" s="26" t="s">
        <v>21</v>
      </c>
      <c r="F224" s="24">
        <v>62.5</v>
      </c>
      <c r="G224" s="24">
        <v>8</v>
      </c>
      <c r="H224" s="27">
        <v>500</v>
      </c>
      <c r="I224" s="26" t="s">
        <v>22</v>
      </c>
    </row>
    <row r="225" spans="1:9" ht="14.4" x14ac:dyDescent="0.25">
      <c r="A225" s="24">
        <v>10393</v>
      </c>
      <c r="B225" s="25">
        <v>44117</v>
      </c>
      <c r="C225" s="64">
        <f t="shared" si="7"/>
        <v>2020</v>
      </c>
      <c r="D225" s="64" t="str">
        <f t="shared" si="8"/>
        <v>2020年4季度</v>
      </c>
      <c r="E225" s="26" t="s">
        <v>21</v>
      </c>
      <c r="F225" s="24">
        <v>15</v>
      </c>
      <c r="G225" s="24">
        <v>15</v>
      </c>
      <c r="H225" s="27">
        <v>225</v>
      </c>
      <c r="I225" s="26" t="s">
        <v>27</v>
      </c>
    </row>
    <row r="226" spans="1:9" ht="14.4" x14ac:dyDescent="0.25">
      <c r="A226" s="24">
        <v>10399</v>
      </c>
      <c r="B226" s="25">
        <v>44129</v>
      </c>
      <c r="C226" s="64">
        <f t="shared" si="7"/>
        <v>2020</v>
      </c>
      <c r="D226" s="64" t="str">
        <f t="shared" si="8"/>
        <v>2020年4季度</v>
      </c>
      <c r="E226" s="26" t="s">
        <v>21</v>
      </c>
      <c r="F226" s="24">
        <v>13</v>
      </c>
      <c r="G226" s="24">
        <v>35</v>
      </c>
      <c r="H226" s="27">
        <v>455</v>
      </c>
      <c r="I226" s="26" t="s">
        <v>22</v>
      </c>
    </row>
    <row r="227" spans="1:9" ht="14.4" x14ac:dyDescent="0.25">
      <c r="A227" s="24">
        <v>10399</v>
      </c>
      <c r="B227" s="25">
        <v>44129</v>
      </c>
      <c r="C227" s="64">
        <f t="shared" si="7"/>
        <v>2020</v>
      </c>
      <c r="D227" s="64" t="str">
        <f t="shared" si="8"/>
        <v>2020年4季度</v>
      </c>
      <c r="E227" s="26" t="s">
        <v>21</v>
      </c>
      <c r="F227" s="24">
        <v>31</v>
      </c>
      <c r="G227" s="24">
        <v>18</v>
      </c>
      <c r="H227" s="27">
        <v>558</v>
      </c>
      <c r="I227" s="26" t="s">
        <v>22</v>
      </c>
    </row>
    <row r="228" spans="1:9" ht="14.4" x14ac:dyDescent="0.25">
      <c r="A228" s="24">
        <v>10399</v>
      </c>
      <c r="B228" s="25">
        <v>44129</v>
      </c>
      <c r="C228" s="64">
        <f t="shared" si="7"/>
        <v>2020</v>
      </c>
      <c r="D228" s="64" t="str">
        <f t="shared" si="8"/>
        <v>2020年4季度</v>
      </c>
      <c r="E228" s="26" t="s">
        <v>21</v>
      </c>
      <c r="F228" s="24">
        <v>18</v>
      </c>
      <c r="G228" s="24">
        <v>15</v>
      </c>
      <c r="H228" s="27">
        <v>270</v>
      </c>
      <c r="I228" s="26" t="s">
        <v>22</v>
      </c>
    </row>
    <row r="229" spans="1:9" ht="14.4" x14ac:dyDescent="0.25">
      <c r="A229" s="24">
        <v>10400</v>
      </c>
      <c r="B229" s="25">
        <v>44129</v>
      </c>
      <c r="C229" s="64">
        <f t="shared" si="7"/>
        <v>2020</v>
      </c>
      <c r="D229" s="64" t="str">
        <f t="shared" si="8"/>
        <v>2020年4季度</v>
      </c>
      <c r="E229" s="26" t="s">
        <v>21</v>
      </c>
      <c r="F229" s="24">
        <v>18</v>
      </c>
      <c r="G229" s="24">
        <v>20</v>
      </c>
      <c r="H229" s="27">
        <v>360</v>
      </c>
      <c r="I229" s="26" t="s">
        <v>23</v>
      </c>
    </row>
    <row r="230" spans="1:9" ht="14.4" x14ac:dyDescent="0.25">
      <c r="A230" s="24">
        <v>10407</v>
      </c>
      <c r="B230" s="25">
        <v>44141</v>
      </c>
      <c r="C230" s="64">
        <f t="shared" si="7"/>
        <v>2020</v>
      </c>
      <c r="D230" s="64" t="str">
        <f t="shared" si="8"/>
        <v>2020年4季度</v>
      </c>
      <c r="E230" s="26" t="s">
        <v>21</v>
      </c>
      <c r="F230" s="24">
        <v>18</v>
      </c>
      <c r="G230" s="24">
        <v>20</v>
      </c>
      <c r="H230" s="27">
        <v>360</v>
      </c>
      <c r="I230" s="26" t="s">
        <v>23</v>
      </c>
    </row>
    <row r="231" spans="1:9" ht="14.4" x14ac:dyDescent="0.25">
      <c r="A231" s="24">
        <v>10407</v>
      </c>
      <c r="B231" s="25">
        <v>44141</v>
      </c>
      <c r="C231" s="64">
        <f t="shared" si="7"/>
        <v>2020</v>
      </c>
      <c r="D231" s="64" t="str">
        <f t="shared" si="8"/>
        <v>2020年4季度</v>
      </c>
      <c r="E231" s="26" t="s">
        <v>21</v>
      </c>
      <c r="F231" s="24">
        <v>7.45</v>
      </c>
      <c r="G231" s="24">
        <v>6</v>
      </c>
      <c r="H231" s="27">
        <v>44.7</v>
      </c>
      <c r="I231" s="26" t="s">
        <v>23</v>
      </c>
    </row>
    <row r="232" spans="1:9" ht="14.4" x14ac:dyDescent="0.25">
      <c r="A232" s="24">
        <v>10407</v>
      </c>
      <c r="B232" s="25">
        <v>44141</v>
      </c>
      <c r="C232" s="64">
        <f t="shared" si="7"/>
        <v>2020</v>
      </c>
      <c r="D232" s="64" t="str">
        <f t="shared" si="8"/>
        <v>2020年4季度</v>
      </c>
      <c r="E232" s="26" t="s">
        <v>21</v>
      </c>
      <c r="F232" s="24">
        <v>22</v>
      </c>
      <c r="G232" s="24">
        <v>12</v>
      </c>
      <c r="H232" s="27">
        <v>264</v>
      </c>
      <c r="I232" s="26" t="s">
        <v>23</v>
      </c>
    </row>
    <row r="233" spans="1:9" ht="14.4" x14ac:dyDescent="0.25">
      <c r="A233" s="24">
        <v>10408</v>
      </c>
      <c r="B233" s="25">
        <v>44143</v>
      </c>
      <c r="C233" s="64">
        <f t="shared" si="7"/>
        <v>2020</v>
      </c>
      <c r="D233" s="64" t="str">
        <f t="shared" si="8"/>
        <v>2020年4季度</v>
      </c>
      <c r="E233" s="26" t="s">
        <v>21</v>
      </c>
      <c r="F233" s="24">
        <v>9.65</v>
      </c>
      <c r="G233" s="24">
        <v>20</v>
      </c>
      <c r="H233" s="27">
        <v>193</v>
      </c>
      <c r="I233" s="26" t="s">
        <v>22</v>
      </c>
    </row>
    <row r="234" spans="1:9" ht="14.4" x14ac:dyDescent="0.25">
      <c r="A234" s="24">
        <v>10412</v>
      </c>
      <c r="B234" s="25">
        <v>44147</v>
      </c>
      <c r="C234" s="64">
        <f t="shared" si="7"/>
        <v>2020</v>
      </c>
      <c r="D234" s="64" t="str">
        <f t="shared" si="8"/>
        <v>2020年4季度</v>
      </c>
      <c r="E234" s="26" t="s">
        <v>21</v>
      </c>
      <c r="F234" s="24">
        <v>15</v>
      </c>
      <c r="G234" s="24">
        <v>40</v>
      </c>
      <c r="H234" s="27">
        <v>600</v>
      </c>
      <c r="I234" s="26" t="s">
        <v>22</v>
      </c>
    </row>
    <row r="235" spans="1:9" ht="14.4" x14ac:dyDescent="0.25">
      <c r="A235" s="24">
        <v>10412</v>
      </c>
      <c r="B235" s="25">
        <v>44147</v>
      </c>
      <c r="C235" s="64">
        <f t="shared" si="7"/>
        <v>2020</v>
      </c>
      <c r="D235" s="64" t="str">
        <f t="shared" si="8"/>
        <v>2020年4季度</v>
      </c>
      <c r="E235" s="26" t="s">
        <v>21</v>
      </c>
      <c r="F235" s="24">
        <v>12.5</v>
      </c>
      <c r="G235" s="24">
        <v>20</v>
      </c>
      <c r="H235" s="27">
        <v>250</v>
      </c>
      <c r="I235" s="26" t="s">
        <v>22</v>
      </c>
    </row>
    <row r="236" spans="1:9" ht="14.4" x14ac:dyDescent="0.25">
      <c r="A236" s="24">
        <v>10413</v>
      </c>
      <c r="B236" s="25">
        <v>44153</v>
      </c>
      <c r="C236" s="64">
        <f t="shared" si="7"/>
        <v>2020</v>
      </c>
      <c r="D236" s="64" t="str">
        <f t="shared" si="8"/>
        <v>2020年4季度</v>
      </c>
      <c r="E236" s="26" t="s">
        <v>21</v>
      </c>
      <c r="F236" s="24">
        <v>81</v>
      </c>
      <c r="G236" s="24">
        <v>21</v>
      </c>
      <c r="H236" s="27">
        <v>1701</v>
      </c>
      <c r="I236" s="26" t="s">
        <v>22</v>
      </c>
    </row>
    <row r="237" spans="1:9" ht="14.4" x14ac:dyDescent="0.25">
      <c r="A237" s="24">
        <v>10414</v>
      </c>
      <c r="B237" s="25">
        <v>44155</v>
      </c>
      <c r="C237" s="64">
        <f t="shared" si="7"/>
        <v>2020</v>
      </c>
      <c r="D237" s="64" t="str">
        <f t="shared" si="8"/>
        <v>2020年4季度</v>
      </c>
      <c r="E237" s="26" t="s">
        <v>21</v>
      </c>
      <c r="F237" s="24">
        <v>18</v>
      </c>
      <c r="G237" s="24">
        <v>3</v>
      </c>
      <c r="H237" s="27">
        <v>54</v>
      </c>
      <c r="I237" s="26" t="s">
        <v>26</v>
      </c>
    </row>
    <row r="238" spans="1:9" ht="14.4" x14ac:dyDescent="0.25">
      <c r="A238" s="24">
        <v>10420</v>
      </c>
      <c r="B238" s="25">
        <v>44161</v>
      </c>
      <c r="C238" s="64">
        <f t="shared" si="7"/>
        <v>2020</v>
      </c>
      <c r="D238" s="64" t="str">
        <f t="shared" si="8"/>
        <v>2020年4季度</v>
      </c>
      <c r="E238" s="26" t="s">
        <v>21</v>
      </c>
      <c r="F238" s="24">
        <v>36</v>
      </c>
      <c r="G238" s="24">
        <v>45</v>
      </c>
      <c r="H238" s="27">
        <v>1620</v>
      </c>
      <c r="I238" s="26" t="s">
        <v>22</v>
      </c>
    </row>
    <row r="239" spans="1:9" ht="14.4" x14ac:dyDescent="0.25">
      <c r="A239" s="24">
        <v>10421</v>
      </c>
      <c r="B239" s="25">
        <v>44167</v>
      </c>
      <c r="C239" s="64">
        <f t="shared" si="7"/>
        <v>2020</v>
      </c>
      <c r="D239" s="64" t="str">
        <f t="shared" si="8"/>
        <v>2020年4季度</v>
      </c>
      <c r="E239" s="26" t="s">
        <v>21</v>
      </c>
      <c r="F239" s="24">
        <v>24</v>
      </c>
      <c r="G239" s="24">
        <v>4</v>
      </c>
      <c r="H239" s="27">
        <v>96</v>
      </c>
      <c r="I239" s="26" t="s">
        <v>22</v>
      </c>
    </row>
    <row r="240" spans="1:9" ht="14.4" x14ac:dyDescent="0.25">
      <c r="A240" s="24">
        <v>10421</v>
      </c>
      <c r="B240" s="25">
        <v>44167</v>
      </c>
      <c r="C240" s="64">
        <f t="shared" si="7"/>
        <v>2020</v>
      </c>
      <c r="D240" s="64" t="str">
        <f t="shared" si="8"/>
        <v>2020年4季度</v>
      </c>
      <c r="E240" s="26" t="s">
        <v>21</v>
      </c>
      <c r="F240" s="24">
        <v>33.25</v>
      </c>
      <c r="G240" s="24">
        <v>15</v>
      </c>
      <c r="H240" s="27">
        <v>498.75</v>
      </c>
      <c r="I240" s="26" t="s">
        <v>22</v>
      </c>
    </row>
    <row r="241" spans="1:9" ht="14.4" x14ac:dyDescent="0.25">
      <c r="A241" s="24">
        <v>10421</v>
      </c>
      <c r="B241" s="25">
        <v>44167</v>
      </c>
      <c r="C241" s="64">
        <f t="shared" si="7"/>
        <v>2020</v>
      </c>
      <c r="D241" s="64" t="str">
        <f t="shared" si="8"/>
        <v>2020年4季度</v>
      </c>
      <c r="E241" s="26" t="s">
        <v>21</v>
      </c>
      <c r="F241" s="24">
        <v>12.5</v>
      </c>
      <c r="G241" s="24">
        <v>8</v>
      </c>
      <c r="H241" s="27">
        <v>100</v>
      </c>
      <c r="I241" s="26" t="s">
        <v>22</v>
      </c>
    </row>
    <row r="242" spans="1:9" ht="14.4" x14ac:dyDescent="0.25">
      <c r="A242" s="24">
        <v>10427</v>
      </c>
      <c r="B242" s="25">
        <v>44173</v>
      </c>
      <c r="C242" s="64">
        <f t="shared" si="7"/>
        <v>2020</v>
      </c>
      <c r="D242" s="64" t="str">
        <f t="shared" si="8"/>
        <v>2020年4季度</v>
      </c>
      <c r="E242" s="26" t="s">
        <v>21</v>
      </c>
      <c r="F242" s="24">
        <v>9</v>
      </c>
      <c r="G242" s="24">
        <v>5</v>
      </c>
      <c r="H242" s="27">
        <v>45</v>
      </c>
      <c r="I242" s="26" t="s">
        <v>25</v>
      </c>
    </row>
    <row r="243" spans="1:9" ht="14.4" x14ac:dyDescent="0.25">
      <c r="A243" s="24">
        <v>10428</v>
      </c>
      <c r="B243" s="25">
        <v>44175</v>
      </c>
      <c r="C243" s="64">
        <f t="shared" si="7"/>
        <v>2020</v>
      </c>
      <c r="D243" s="64" t="str">
        <f t="shared" si="8"/>
        <v>2020年4季度</v>
      </c>
      <c r="E243" s="26" t="s">
        <v>21</v>
      </c>
      <c r="F243" s="24">
        <v>13.25</v>
      </c>
      <c r="G243" s="24">
        <v>30</v>
      </c>
      <c r="H243" s="27">
        <v>397.5</v>
      </c>
      <c r="I243" s="26" t="s">
        <v>23</v>
      </c>
    </row>
    <row r="244" spans="1:9" ht="14.4" x14ac:dyDescent="0.25">
      <c r="A244" s="24">
        <v>10428</v>
      </c>
      <c r="B244" s="25">
        <v>44175</v>
      </c>
      <c r="C244" s="64">
        <f t="shared" si="7"/>
        <v>2020</v>
      </c>
      <c r="D244" s="64" t="str">
        <f t="shared" si="8"/>
        <v>2020年4季度</v>
      </c>
      <c r="E244" s="26" t="s">
        <v>21</v>
      </c>
      <c r="F244" s="24">
        <v>32.799999999999997</v>
      </c>
      <c r="G244" s="24">
        <v>10</v>
      </c>
      <c r="H244" s="27">
        <v>328</v>
      </c>
      <c r="I244" s="26" t="s">
        <v>23</v>
      </c>
    </row>
    <row r="245" spans="1:9" ht="14.4" x14ac:dyDescent="0.25">
      <c r="A245" s="24">
        <v>10428</v>
      </c>
      <c r="B245" s="25">
        <v>44175</v>
      </c>
      <c r="C245" s="64">
        <f t="shared" si="7"/>
        <v>2020</v>
      </c>
      <c r="D245" s="64" t="str">
        <f t="shared" si="8"/>
        <v>2020年4季度</v>
      </c>
      <c r="E245" s="26" t="s">
        <v>21</v>
      </c>
      <c r="F245" s="24">
        <v>23.25</v>
      </c>
      <c r="G245" s="24">
        <v>30</v>
      </c>
      <c r="H245" s="27">
        <v>697.5</v>
      </c>
      <c r="I245" s="26" t="s">
        <v>23</v>
      </c>
    </row>
    <row r="246" spans="1:9" ht="14.4" x14ac:dyDescent="0.25">
      <c r="A246" s="24">
        <v>10433</v>
      </c>
      <c r="B246" s="25">
        <v>44185</v>
      </c>
      <c r="C246" s="64">
        <f t="shared" si="7"/>
        <v>2020</v>
      </c>
      <c r="D246" s="64" t="str">
        <f t="shared" si="8"/>
        <v>2020年4季度</v>
      </c>
      <c r="E246" s="26" t="s">
        <v>21</v>
      </c>
      <c r="F246" s="24">
        <v>14</v>
      </c>
      <c r="G246" s="24">
        <v>40</v>
      </c>
      <c r="H246" s="27">
        <v>560</v>
      </c>
      <c r="I246" s="26" t="s">
        <v>22</v>
      </c>
    </row>
    <row r="247" spans="1:9" ht="14.4" x14ac:dyDescent="0.25">
      <c r="A247" s="24">
        <v>10433</v>
      </c>
      <c r="B247" s="25">
        <v>44185</v>
      </c>
      <c r="C247" s="64">
        <f t="shared" si="7"/>
        <v>2020</v>
      </c>
      <c r="D247" s="64" t="str">
        <f t="shared" si="8"/>
        <v>2020年4季度</v>
      </c>
      <c r="E247" s="26" t="s">
        <v>21</v>
      </c>
      <c r="F247" s="24">
        <v>17.45</v>
      </c>
      <c r="G247" s="24">
        <v>50</v>
      </c>
      <c r="H247" s="27">
        <v>872.5</v>
      </c>
      <c r="I247" s="26" t="s">
        <v>22</v>
      </c>
    </row>
    <row r="248" spans="1:9" ht="14.4" x14ac:dyDescent="0.25">
      <c r="A248" s="24">
        <v>10434</v>
      </c>
      <c r="B248" s="25">
        <v>44187</v>
      </c>
      <c r="C248" s="64">
        <f t="shared" si="7"/>
        <v>2020</v>
      </c>
      <c r="D248" s="64" t="str">
        <f t="shared" si="8"/>
        <v>2020年4季度</v>
      </c>
      <c r="E248" s="26" t="s">
        <v>21</v>
      </c>
      <c r="F248" s="24">
        <v>9.1999999999999993</v>
      </c>
      <c r="G248" s="24">
        <v>30</v>
      </c>
      <c r="H248" s="27">
        <v>276</v>
      </c>
      <c r="I248" s="26" t="s">
        <v>23</v>
      </c>
    </row>
    <row r="249" spans="1:9" ht="14.4" x14ac:dyDescent="0.25">
      <c r="A249" s="24">
        <v>10434</v>
      </c>
      <c r="B249" s="25">
        <v>44187</v>
      </c>
      <c r="C249" s="64">
        <f t="shared" si="7"/>
        <v>2020</v>
      </c>
      <c r="D249" s="64" t="str">
        <f t="shared" si="8"/>
        <v>2020年4季度</v>
      </c>
      <c r="E249" s="26" t="s">
        <v>21</v>
      </c>
      <c r="F249" s="24">
        <v>10</v>
      </c>
      <c r="G249" s="24">
        <v>12</v>
      </c>
      <c r="H249" s="27">
        <v>120</v>
      </c>
      <c r="I249" s="26" t="s">
        <v>23</v>
      </c>
    </row>
    <row r="250" spans="1:9" ht="14.4" x14ac:dyDescent="0.25">
      <c r="A250" s="24">
        <v>10002</v>
      </c>
      <c r="B250" s="25">
        <v>43293</v>
      </c>
      <c r="C250" s="64">
        <f t="shared" si="7"/>
        <v>2018</v>
      </c>
      <c r="D250" s="64" t="str">
        <f t="shared" si="8"/>
        <v>2018年3季度</v>
      </c>
      <c r="E250" s="26" t="s">
        <v>28</v>
      </c>
      <c r="F250" s="24">
        <v>42.4</v>
      </c>
      <c r="G250" s="24">
        <v>40</v>
      </c>
      <c r="H250" s="27">
        <v>1696</v>
      </c>
      <c r="I250" s="26" t="s">
        <v>23</v>
      </c>
    </row>
    <row r="251" spans="1:9" ht="14.4" x14ac:dyDescent="0.25">
      <c r="A251" s="24">
        <v>10003</v>
      </c>
      <c r="B251" s="25">
        <v>43299</v>
      </c>
      <c r="C251" s="64">
        <f t="shared" si="7"/>
        <v>2018</v>
      </c>
      <c r="D251" s="64" t="str">
        <f t="shared" si="8"/>
        <v>2018年3季度</v>
      </c>
      <c r="E251" s="26" t="s">
        <v>28</v>
      </c>
      <c r="F251" s="24">
        <v>7.7</v>
      </c>
      <c r="G251" s="24">
        <v>10</v>
      </c>
      <c r="H251" s="27">
        <v>77</v>
      </c>
      <c r="I251" s="26" t="s">
        <v>22</v>
      </c>
    </row>
    <row r="252" spans="1:9" ht="14.4" x14ac:dyDescent="0.25">
      <c r="A252" s="24">
        <v>10003</v>
      </c>
      <c r="B252" s="25">
        <v>43299</v>
      </c>
      <c r="C252" s="64">
        <f t="shared" si="7"/>
        <v>2018</v>
      </c>
      <c r="D252" s="64" t="str">
        <f t="shared" si="8"/>
        <v>2018年3季度</v>
      </c>
      <c r="E252" s="26" t="s">
        <v>28</v>
      </c>
      <c r="F252" s="24">
        <v>42.4</v>
      </c>
      <c r="G252" s="24">
        <v>35</v>
      </c>
      <c r="H252" s="27">
        <v>1484</v>
      </c>
      <c r="I252" s="26" t="s">
        <v>22</v>
      </c>
    </row>
    <row r="253" spans="1:9" ht="14.4" x14ac:dyDescent="0.25">
      <c r="A253" s="24">
        <v>10007</v>
      </c>
      <c r="B253" s="25">
        <v>43305</v>
      </c>
      <c r="C253" s="64">
        <f t="shared" si="7"/>
        <v>2018</v>
      </c>
      <c r="D253" s="64" t="str">
        <f t="shared" si="8"/>
        <v>2018年3季度</v>
      </c>
      <c r="E253" s="26" t="s">
        <v>28</v>
      </c>
      <c r="F253" s="24">
        <v>19.2</v>
      </c>
      <c r="G253" s="24">
        <v>21</v>
      </c>
      <c r="H253" s="27">
        <v>403.2</v>
      </c>
      <c r="I253" s="26" t="s">
        <v>24</v>
      </c>
    </row>
    <row r="254" spans="1:9" ht="14.4" x14ac:dyDescent="0.25">
      <c r="A254" s="24">
        <v>10007</v>
      </c>
      <c r="B254" s="25">
        <v>43305</v>
      </c>
      <c r="C254" s="64">
        <f t="shared" si="7"/>
        <v>2018</v>
      </c>
      <c r="D254" s="64" t="str">
        <f t="shared" si="8"/>
        <v>2018年3季度</v>
      </c>
      <c r="E254" s="26" t="s">
        <v>28</v>
      </c>
      <c r="F254" s="24">
        <v>8</v>
      </c>
      <c r="G254" s="24">
        <v>21</v>
      </c>
      <c r="H254" s="27">
        <v>168</v>
      </c>
      <c r="I254" s="26" t="s">
        <v>24</v>
      </c>
    </row>
    <row r="255" spans="1:9" ht="14.4" x14ac:dyDescent="0.25">
      <c r="A255" s="24">
        <v>10008</v>
      </c>
      <c r="B255" s="25">
        <v>43307</v>
      </c>
      <c r="C255" s="64">
        <f t="shared" si="7"/>
        <v>2018</v>
      </c>
      <c r="D255" s="64" t="str">
        <f t="shared" si="8"/>
        <v>2018年3季度</v>
      </c>
      <c r="E255" s="26" t="s">
        <v>28</v>
      </c>
      <c r="F255" s="24">
        <v>15.2</v>
      </c>
      <c r="G255" s="24">
        <v>25</v>
      </c>
      <c r="H255" s="27">
        <v>380</v>
      </c>
      <c r="I255" s="26" t="s">
        <v>22</v>
      </c>
    </row>
    <row r="256" spans="1:9" ht="14.4" x14ac:dyDescent="0.25">
      <c r="A256" s="24">
        <v>10012</v>
      </c>
      <c r="B256" s="25">
        <v>43319</v>
      </c>
      <c r="C256" s="64">
        <f t="shared" si="7"/>
        <v>2018</v>
      </c>
      <c r="D256" s="64" t="str">
        <f t="shared" si="8"/>
        <v>2018年3季度</v>
      </c>
      <c r="E256" s="26" t="s">
        <v>28</v>
      </c>
      <c r="F256" s="24">
        <v>8</v>
      </c>
      <c r="G256" s="24">
        <v>10</v>
      </c>
      <c r="H256" s="27">
        <v>80</v>
      </c>
      <c r="I256" s="26" t="s">
        <v>23</v>
      </c>
    </row>
    <row r="257" spans="1:9" ht="14.4" x14ac:dyDescent="0.25">
      <c r="A257" s="24">
        <v>10012</v>
      </c>
      <c r="B257" s="25">
        <v>43319</v>
      </c>
      <c r="C257" s="64">
        <f t="shared" si="7"/>
        <v>2018</v>
      </c>
      <c r="D257" s="64" t="str">
        <f t="shared" si="8"/>
        <v>2018年3季度</v>
      </c>
      <c r="E257" s="26" t="s">
        <v>28</v>
      </c>
      <c r="F257" s="24">
        <v>20.8</v>
      </c>
      <c r="G257" s="24">
        <v>1</v>
      </c>
      <c r="H257" s="27">
        <v>20.8</v>
      </c>
      <c r="I257" s="26" t="s">
        <v>23</v>
      </c>
    </row>
    <row r="258" spans="1:9" ht="14.4" x14ac:dyDescent="0.25">
      <c r="A258" s="24">
        <v>10013</v>
      </c>
      <c r="B258" s="25">
        <v>43321</v>
      </c>
      <c r="C258" s="64">
        <f t="shared" si="7"/>
        <v>2018</v>
      </c>
      <c r="D258" s="64" t="str">
        <f t="shared" si="8"/>
        <v>2018年3季度</v>
      </c>
      <c r="E258" s="26" t="s">
        <v>28</v>
      </c>
      <c r="F258" s="24">
        <v>12</v>
      </c>
      <c r="G258" s="24">
        <v>21</v>
      </c>
      <c r="H258" s="27">
        <v>252</v>
      </c>
      <c r="I258" s="26" t="s">
        <v>22</v>
      </c>
    </row>
    <row r="259" spans="1:9" ht="14.4" x14ac:dyDescent="0.25">
      <c r="A259" s="24">
        <v>10018</v>
      </c>
      <c r="B259" s="25">
        <v>43333</v>
      </c>
      <c r="C259" s="64">
        <f t="shared" ref="C259:C322" si="9">YEAR(B259)</f>
        <v>2018</v>
      </c>
      <c r="D259" s="64" t="str">
        <f t="shared" ref="D259:D322" si="10">YEAR(B259)&amp;"年"&amp;ROUNDUP(MONTH(B259)/3,0)&amp;"季度"</f>
        <v>2018年3季度</v>
      </c>
      <c r="E259" s="26" t="s">
        <v>28</v>
      </c>
      <c r="F259" s="24">
        <v>31.2</v>
      </c>
      <c r="G259" s="24">
        <v>30</v>
      </c>
      <c r="H259" s="27">
        <v>936</v>
      </c>
      <c r="I259" s="26" t="s">
        <v>24</v>
      </c>
    </row>
    <row r="260" spans="1:9" ht="14.4" x14ac:dyDescent="0.25">
      <c r="A260" s="24">
        <v>10018</v>
      </c>
      <c r="B260" s="25">
        <v>43333</v>
      </c>
      <c r="C260" s="64">
        <f t="shared" si="9"/>
        <v>2018</v>
      </c>
      <c r="D260" s="64" t="str">
        <f t="shared" si="10"/>
        <v>2018年3季度</v>
      </c>
      <c r="E260" s="26" t="s">
        <v>28</v>
      </c>
      <c r="F260" s="24">
        <v>12</v>
      </c>
      <c r="G260" s="24">
        <v>20</v>
      </c>
      <c r="H260" s="27">
        <v>240</v>
      </c>
      <c r="I260" s="26" t="s">
        <v>24</v>
      </c>
    </row>
    <row r="261" spans="1:9" ht="14.4" x14ac:dyDescent="0.25">
      <c r="A261" s="24">
        <v>10019</v>
      </c>
      <c r="B261" s="25">
        <v>43335</v>
      </c>
      <c r="C261" s="64">
        <f t="shared" si="9"/>
        <v>2018</v>
      </c>
      <c r="D261" s="64" t="str">
        <f t="shared" si="10"/>
        <v>2018年3季度</v>
      </c>
      <c r="E261" s="26" t="s">
        <v>28</v>
      </c>
      <c r="F261" s="24">
        <v>30.4</v>
      </c>
      <c r="G261" s="24">
        <v>12</v>
      </c>
      <c r="H261" s="27">
        <v>364.8</v>
      </c>
      <c r="I261" s="26" t="s">
        <v>22</v>
      </c>
    </row>
    <row r="262" spans="1:9" ht="14.4" x14ac:dyDescent="0.25">
      <c r="A262" s="24">
        <v>10025</v>
      </c>
      <c r="B262" s="25">
        <v>43349</v>
      </c>
      <c r="C262" s="64">
        <f t="shared" si="9"/>
        <v>2018</v>
      </c>
      <c r="D262" s="64" t="str">
        <f t="shared" si="10"/>
        <v>2018年3季度</v>
      </c>
      <c r="E262" s="26" t="s">
        <v>28</v>
      </c>
      <c r="F262" s="24">
        <v>10</v>
      </c>
      <c r="G262" s="24">
        <v>40</v>
      </c>
      <c r="H262" s="27">
        <v>400</v>
      </c>
      <c r="I262" s="26" t="s">
        <v>22</v>
      </c>
    </row>
    <row r="263" spans="1:9" ht="14.4" x14ac:dyDescent="0.25">
      <c r="A263" s="24">
        <v>10025</v>
      </c>
      <c r="B263" s="25">
        <v>43349</v>
      </c>
      <c r="C263" s="64">
        <f t="shared" si="9"/>
        <v>2018</v>
      </c>
      <c r="D263" s="64" t="str">
        <f t="shared" si="10"/>
        <v>2018年3季度</v>
      </c>
      <c r="E263" s="26" t="s">
        <v>28</v>
      </c>
      <c r="F263" s="24">
        <v>64.8</v>
      </c>
      <c r="G263" s="24">
        <v>6</v>
      </c>
      <c r="H263" s="27">
        <v>388.8</v>
      </c>
      <c r="I263" s="26" t="s">
        <v>22</v>
      </c>
    </row>
    <row r="264" spans="1:9" ht="14.4" x14ac:dyDescent="0.25">
      <c r="A264" s="24">
        <v>10025</v>
      </c>
      <c r="B264" s="25">
        <v>43349</v>
      </c>
      <c r="C264" s="64">
        <f t="shared" si="9"/>
        <v>2018</v>
      </c>
      <c r="D264" s="64" t="str">
        <f t="shared" si="10"/>
        <v>2018年3季度</v>
      </c>
      <c r="E264" s="26" t="s">
        <v>28</v>
      </c>
      <c r="F264" s="24">
        <v>27.8</v>
      </c>
      <c r="G264" s="24">
        <v>24</v>
      </c>
      <c r="H264" s="27">
        <v>667.2</v>
      </c>
      <c r="I264" s="26" t="s">
        <v>22</v>
      </c>
    </row>
    <row r="265" spans="1:9" ht="14.4" x14ac:dyDescent="0.25">
      <c r="A265" s="24">
        <v>10030</v>
      </c>
      <c r="B265" s="25">
        <v>43363</v>
      </c>
      <c r="C265" s="64">
        <f t="shared" si="9"/>
        <v>2018</v>
      </c>
      <c r="D265" s="64" t="str">
        <f t="shared" si="10"/>
        <v>2018年3季度</v>
      </c>
      <c r="E265" s="26" t="s">
        <v>28</v>
      </c>
      <c r="F265" s="24">
        <v>39.4</v>
      </c>
      <c r="G265" s="24">
        <v>12</v>
      </c>
      <c r="H265" s="27">
        <v>472.8</v>
      </c>
      <c r="I265" s="26" t="s">
        <v>23</v>
      </c>
    </row>
    <row r="266" spans="1:9" ht="14.4" x14ac:dyDescent="0.25">
      <c r="A266" s="24">
        <v>10031</v>
      </c>
      <c r="B266" s="25">
        <v>43369</v>
      </c>
      <c r="C266" s="64">
        <f t="shared" si="9"/>
        <v>2018</v>
      </c>
      <c r="D266" s="64" t="str">
        <f t="shared" si="10"/>
        <v>2018年3季度</v>
      </c>
      <c r="E266" s="26" t="s">
        <v>28</v>
      </c>
      <c r="F266" s="24">
        <v>44</v>
      </c>
      <c r="G266" s="24">
        <v>15</v>
      </c>
      <c r="H266" s="27">
        <v>660</v>
      </c>
      <c r="I266" s="26" t="s">
        <v>23</v>
      </c>
    </row>
    <row r="267" spans="1:9" ht="14.4" x14ac:dyDescent="0.25">
      <c r="A267" s="24">
        <v>10031</v>
      </c>
      <c r="B267" s="25">
        <v>43369</v>
      </c>
      <c r="C267" s="64">
        <f t="shared" si="9"/>
        <v>2018</v>
      </c>
      <c r="D267" s="64" t="str">
        <f t="shared" si="10"/>
        <v>2018年3季度</v>
      </c>
      <c r="E267" s="26" t="s">
        <v>28</v>
      </c>
      <c r="F267" s="24">
        <v>35.1</v>
      </c>
      <c r="G267" s="24">
        <v>8</v>
      </c>
      <c r="H267" s="27">
        <v>280.8</v>
      </c>
      <c r="I267" s="26" t="s">
        <v>23</v>
      </c>
    </row>
    <row r="268" spans="1:9" ht="14.4" x14ac:dyDescent="0.25">
      <c r="A268" s="24">
        <v>10037</v>
      </c>
      <c r="B268" s="25">
        <v>43383</v>
      </c>
      <c r="C268" s="64">
        <f t="shared" si="9"/>
        <v>2018</v>
      </c>
      <c r="D268" s="64" t="str">
        <f t="shared" si="10"/>
        <v>2018年4季度</v>
      </c>
      <c r="E268" s="26" t="s">
        <v>28</v>
      </c>
      <c r="F268" s="24">
        <v>35.1</v>
      </c>
      <c r="G268" s="24">
        <v>15</v>
      </c>
      <c r="H268" s="27">
        <v>526.5</v>
      </c>
      <c r="I268" s="26" t="s">
        <v>23</v>
      </c>
    </row>
    <row r="269" spans="1:9" ht="14.4" x14ac:dyDescent="0.25">
      <c r="A269" s="24">
        <v>10037</v>
      </c>
      <c r="B269" s="25">
        <v>43383</v>
      </c>
      <c r="C269" s="64">
        <f t="shared" si="9"/>
        <v>2018</v>
      </c>
      <c r="D269" s="64" t="str">
        <f t="shared" si="10"/>
        <v>2018年4季度</v>
      </c>
      <c r="E269" s="26" t="s">
        <v>28</v>
      </c>
      <c r="F269" s="24">
        <v>27.2</v>
      </c>
      <c r="G269" s="24">
        <v>20</v>
      </c>
      <c r="H269" s="27">
        <v>544</v>
      </c>
      <c r="I269" s="26" t="s">
        <v>23</v>
      </c>
    </row>
    <row r="270" spans="1:9" ht="14.4" x14ac:dyDescent="0.25">
      <c r="A270" s="24">
        <v>10037</v>
      </c>
      <c r="B270" s="25">
        <v>43383</v>
      </c>
      <c r="C270" s="64">
        <f t="shared" si="9"/>
        <v>2018</v>
      </c>
      <c r="D270" s="64" t="str">
        <f t="shared" si="10"/>
        <v>2018年4季度</v>
      </c>
      <c r="E270" s="26" t="s">
        <v>28</v>
      </c>
      <c r="F270" s="24">
        <v>15.5</v>
      </c>
      <c r="G270" s="24">
        <v>21</v>
      </c>
      <c r="H270" s="27">
        <v>325.5</v>
      </c>
      <c r="I270" s="26" t="s">
        <v>23</v>
      </c>
    </row>
    <row r="271" spans="1:9" ht="14.4" x14ac:dyDescent="0.25">
      <c r="A271" s="24">
        <v>10042</v>
      </c>
      <c r="B271" s="25">
        <v>43397</v>
      </c>
      <c r="C271" s="64">
        <f t="shared" si="9"/>
        <v>2018</v>
      </c>
      <c r="D271" s="64" t="str">
        <f t="shared" si="10"/>
        <v>2018年4季度</v>
      </c>
      <c r="E271" s="26" t="s">
        <v>28</v>
      </c>
      <c r="F271" s="24">
        <v>26.6</v>
      </c>
      <c r="G271" s="24">
        <v>9</v>
      </c>
      <c r="H271" s="27">
        <v>239.4</v>
      </c>
      <c r="I271" s="26" t="s">
        <v>23</v>
      </c>
    </row>
    <row r="272" spans="1:9" ht="14.4" x14ac:dyDescent="0.25">
      <c r="A272" s="24">
        <v>10042</v>
      </c>
      <c r="B272" s="25">
        <v>43397</v>
      </c>
      <c r="C272" s="64">
        <f t="shared" si="9"/>
        <v>2018</v>
      </c>
      <c r="D272" s="64" t="str">
        <f t="shared" si="10"/>
        <v>2018年4季度</v>
      </c>
      <c r="E272" s="26" t="s">
        <v>28</v>
      </c>
      <c r="F272" s="24">
        <v>8</v>
      </c>
      <c r="G272" s="24">
        <v>30</v>
      </c>
      <c r="H272" s="27">
        <v>240</v>
      </c>
      <c r="I272" s="26" t="s">
        <v>23</v>
      </c>
    </row>
    <row r="273" spans="1:9" ht="14.4" x14ac:dyDescent="0.25">
      <c r="A273" s="24">
        <v>10043</v>
      </c>
      <c r="B273" s="25">
        <v>43399</v>
      </c>
      <c r="C273" s="64">
        <f t="shared" si="9"/>
        <v>2018</v>
      </c>
      <c r="D273" s="64" t="str">
        <f t="shared" si="10"/>
        <v>2018年4季度</v>
      </c>
      <c r="E273" s="26" t="s">
        <v>28</v>
      </c>
      <c r="F273" s="24">
        <v>16</v>
      </c>
      <c r="G273" s="24">
        <v>15</v>
      </c>
      <c r="H273" s="27">
        <v>240</v>
      </c>
      <c r="I273" s="26" t="s">
        <v>27</v>
      </c>
    </row>
    <row r="274" spans="1:9" ht="14.4" x14ac:dyDescent="0.25">
      <c r="A274" s="24">
        <v>10046</v>
      </c>
      <c r="B274" s="25">
        <v>43403</v>
      </c>
      <c r="C274" s="64">
        <f t="shared" si="9"/>
        <v>2018</v>
      </c>
      <c r="D274" s="64" t="str">
        <f t="shared" si="10"/>
        <v>2018年4季度</v>
      </c>
      <c r="E274" s="26" t="s">
        <v>28</v>
      </c>
      <c r="F274" s="24">
        <v>50</v>
      </c>
      <c r="G274" s="24">
        <v>12</v>
      </c>
      <c r="H274" s="27">
        <v>600</v>
      </c>
      <c r="I274" s="26" t="s">
        <v>23</v>
      </c>
    </row>
    <row r="275" spans="1:9" ht="14.4" x14ac:dyDescent="0.25">
      <c r="A275" s="24">
        <v>10046</v>
      </c>
      <c r="B275" s="25">
        <v>43403</v>
      </c>
      <c r="C275" s="64">
        <f t="shared" si="9"/>
        <v>2018</v>
      </c>
      <c r="D275" s="64" t="str">
        <f t="shared" si="10"/>
        <v>2018年4季度</v>
      </c>
      <c r="E275" s="26" t="s">
        <v>28</v>
      </c>
      <c r="F275" s="24">
        <v>3.6</v>
      </c>
      <c r="G275" s="24">
        <v>10</v>
      </c>
      <c r="H275" s="27">
        <v>36</v>
      </c>
      <c r="I275" s="26" t="s">
        <v>23</v>
      </c>
    </row>
    <row r="276" spans="1:9" ht="14.4" x14ac:dyDescent="0.25">
      <c r="A276" s="24">
        <v>10046</v>
      </c>
      <c r="B276" s="25">
        <v>43403</v>
      </c>
      <c r="C276" s="64">
        <f t="shared" si="9"/>
        <v>2018</v>
      </c>
      <c r="D276" s="64" t="str">
        <f t="shared" si="10"/>
        <v>2018年4季度</v>
      </c>
      <c r="E276" s="26" t="s">
        <v>28</v>
      </c>
      <c r="F276" s="24">
        <v>6.2</v>
      </c>
      <c r="G276" s="24">
        <v>6</v>
      </c>
      <c r="H276" s="27">
        <v>37.200000000000003</v>
      </c>
      <c r="I276" s="26" t="s">
        <v>23</v>
      </c>
    </row>
    <row r="277" spans="1:9" ht="14.4" x14ac:dyDescent="0.25">
      <c r="A277" s="24">
        <v>10050</v>
      </c>
      <c r="B277" s="25">
        <v>43415</v>
      </c>
      <c r="C277" s="64">
        <f t="shared" si="9"/>
        <v>2018</v>
      </c>
      <c r="D277" s="64" t="str">
        <f t="shared" si="10"/>
        <v>2018年4季度</v>
      </c>
      <c r="E277" s="26" t="s">
        <v>28</v>
      </c>
      <c r="F277" s="24">
        <v>27.8</v>
      </c>
      <c r="G277" s="24">
        <v>20</v>
      </c>
      <c r="H277" s="27">
        <v>556</v>
      </c>
      <c r="I277" s="26" t="s">
        <v>25</v>
      </c>
    </row>
    <row r="278" spans="1:9" ht="14.4" x14ac:dyDescent="0.25">
      <c r="A278" s="24">
        <v>10050</v>
      </c>
      <c r="B278" s="25">
        <v>43415</v>
      </c>
      <c r="C278" s="64">
        <f t="shared" si="9"/>
        <v>2018</v>
      </c>
      <c r="D278" s="64" t="str">
        <f t="shared" si="10"/>
        <v>2018年4季度</v>
      </c>
      <c r="E278" s="26" t="s">
        <v>28</v>
      </c>
      <c r="F278" s="24">
        <v>14.4</v>
      </c>
      <c r="G278" s="24">
        <v>60</v>
      </c>
      <c r="H278" s="27">
        <v>864</v>
      </c>
      <c r="I278" s="26" t="s">
        <v>25</v>
      </c>
    </row>
    <row r="279" spans="1:9" ht="14.4" x14ac:dyDescent="0.25">
      <c r="A279" s="24">
        <v>10051</v>
      </c>
      <c r="B279" s="25">
        <v>43417</v>
      </c>
      <c r="C279" s="64">
        <f t="shared" si="9"/>
        <v>2018</v>
      </c>
      <c r="D279" s="64" t="str">
        <f t="shared" si="10"/>
        <v>2018年4季度</v>
      </c>
      <c r="E279" s="26" t="s">
        <v>28</v>
      </c>
      <c r="F279" s="24">
        <v>15.2</v>
      </c>
      <c r="G279" s="24">
        <v>40</v>
      </c>
      <c r="H279" s="27">
        <v>608</v>
      </c>
      <c r="I279" s="26" t="s">
        <v>22</v>
      </c>
    </row>
    <row r="280" spans="1:9" ht="14.4" x14ac:dyDescent="0.25">
      <c r="A280" s="24">
        <v>10055</v>
      </c>
      <c r="B280" s="25">
        <v>43427</v>
      </c>
      <c r="C280" s="64">
        <f t="shared" si="9"/>
        <v>2018</v>
      </c>
      <c r="D280" s="64" t="str">
        <f t="shared" si="10"/>
        <v>2018年4季度</v>
      </c>
      <c r="E280" s="26" t="s">
        <v>28</v>
      </c>
      <c r="F280" s="24">
        <v>31.2</v>
      </c>
      <c r="G280" s="24">
        <v>40</v>
      </c>
      <c r="H280" s="27">
        <v>1248</v>
      </c>
      <c r="I280" s="26" t="s">
        <v>23</v>
      </c>
    </row>
    <row r="281" spans="1:9" ht="14.4" x14ac:dyDescent="0.25">
      <c r="A281" s="24">
        <v>10056</v>
      </c>
      <c r="B281" s="25">
        <v>43429</v>
      </c>
      <c r="C281" s="64">
        <f t="shared" si="9"/>
        <v>2018</v>
      </c>
      <c r="D281" s="64" t="str">
        <f t="shared" si="10"/>
        <v>2018年4季度</v>
      </c>
      <c r="E281" s="26" t="s">
        <v>28</v>
      </c>
      <c r="F281" s="24">
        <v>14.7</v>
      </c>
      <c r="G281" s="24">
        <v>40</v>
      </c>
      <c r="H281" s="27">
        <v>588</v>
      </c>
      <c r="I281" s="26" t="s">
        <v>23</v>
      </c>
    </row>
    <row r="282" spans="1:9" ht="14.4" x14ac:dyDescent="0.25">
      <c r="A282" s="24">
        <v>10056</v>
      </c>
      <c r="B282" s="25">
        <v>43429</v>
      </c>
      <c r="C282" s="64">
        <f t="shared" si="9"/>
        <v>2018</v>
      </c>
      <c r="D282" s="64" t="str">
        <f t="shared" si="10"/>
        <v>2018年4季度</v>
      </c>
      <c r="E282" s="26" t="s">
        <v>28</v>
      </c>
      <c r="F282" s="24">
        <v>16.8</v>
      </c>
      <c r="G282" s="24">
        <v>30</v>
      </c>
      <c r="H282" s="27">
        <v>504</v>
      </c>
      <c r="I282" s="26" t="s">
        <v>23</v>
      </c>
    </row>
    <row r="283" spans="1:9" ht="14.4" x14ac:dyDescent="0.25">
      <c r="A283" s="24">
        <v>10059</v>
      </c>
      <c r="B283" s="25">
        <v>43439</v>
      </c>
      <c r="C283" s="64">
        <f t="shared" si="9"/>
        <v>2018</v>
      </c>
      <c r="D283" s="64" t="str">
        <f t="shared" si="10"/>
        <v>2018年4季度</v>
      </c>
      <c r="E283" s="26" t="s">
        <v>28</v>
      </c>
      <c r="F283" s="24">
        <v>5.9</v>
      </c>
      <c r="G283" s="24">
        <v>5</v>
      </c>
      <c r="H283" s="27">
        <v>29.5</v>
      </c>
      <c r="I283" s="26" t="s">
        <v>22</v>
      </c>
    </row>
    <row r="284" spans="1:9" ht="14.4" x14ac:dyDescent="0.25">
      <c r="A284" s="24">
        <v>10060</v>
      </c>
      <c r="B284" s="25">
        <v>43441</v>
      </c>
      <c r="C284" s="64">
        <f t="shared" si="9"/>
        <v>2018</v>
      </c>
      <c r="D284" s="64" t="str">
        <f t="shared" si="10"/>
        <v>2018年4季度</v>
      </c>
      <c r="E284" s="26" t="s">
        <v>28</v>
      </c>
      <c r="F284" s="24">
        <v>10</v>
      </c>
      <c r="G284" s="24">
        <v>3</v>
      </c>
      <c r="H284" s="27">
        <v>30</v>
      </c>
      <c r="I284" s="26" t="s">
        <v>23</v>
      </c>
    </row>
    <row r="285" spans="1:9" ht="14.4" x14ac:dyDescent="0.25">
      <c r="A285" s="24">
        <v>10060</v>
      </c>
      <c r="B285" s="25">
        <v>43441</v>
      </c>
      <c r="C285" s="64">
        <f t="shared" si="9"/>
        <v>2018</v>
      </c>
      <c r="D285" s="64" t="str">
        <f t="shared" si="10"/>
        <v>2018年4季度</v>
      </c>
      <c r="E285" s="26" t="s">
        <v>28</v>
      </c>
      <c r="F285" s="24">
        <v>39.4</v>
      </c>
      <c r="G285" s="24">
        <v>10</v>
      </c>
      <c r="H285" s="27">
        <v>394</v>
      </c>
      <c r="I285" s="26" t="s">
        <v>23</v>
      </c>
    </row>
    <row r="286" spans="1:9" ht="14.4" x14ac:dyDescent="0.25">
      <c r="A286" s="24">
        <v>10076</v>
      </c>
      <c r="B286" s="25">
        <v>43481</v>
      </c>
      <c r="C286" s="64">
        <f t="shared" si="9"/>
        <v>2019</v>
      </c>
      <c r="D286" s="64" t="str">
        <f t="shared" si="10"/>
        <v>2019年1季度</v>
      </c>
      <c r="E286" s="26" t="s">
        <v>28</v>
      </c>
      <c r="F286" s="24">
        <v>11.2</v>
      </c>
      <c r="G286" s="24">
        <v>4</v>
      </c>
      <c r="H286" s="27">
        <v>44.8</v>
      </c>
      <c r="I286" s="26" t="s">
        <v>22</v>
      </c>
    </row>
    <row r="287" spans="1:9" ht="14.4" x14ac:dyDescent="0.25">
      <c r="A287" s="24">
        <v>10076</v>
      </c>
      <c r="B287" s="25">
        <v>43481</v>
      </c>
      <c r="C287" s="64">
        <f t="shared" si="9"/>
        <v>2019</v>
      </c>
      <c r="D287" s="64" t="str">
        <f t="shared" si="10"/>
        <v>2019年1季度</v>
      </c>
      <c r="E287" s="26" t="s">
        <v>28</v>
      </c>
      <c r="F287" s="24">
        <v>12.4</v>
      </c>
      <c r="G287" s="24">
        <v>5</v>
      </c>
      <c r="H287" s="27">
        <v>62</v>
      </c>
      <c r="I287" s="26" t="s">
        <v>22</v>
      </c>
    </row>
    <row r="288" spans="1:9" ht="14.4" x14ac:dyDescent="0.25">
      <c r="A288" s="24">
        <v>10077</v>
      </c>
      <c r="B288" s="25">
        <v>43483</v>
      </c>
      <c r="C288" s="64">
        <f t="shared" si="9"/>
        <v>2019</v>
      </c>
      <c r="D288" s="64" t="str">
        <f t="shared" si="10"/>
        <v>2019年1季度</v>
      </c>
      <c r="E288" s="26" t="s">
        <v>28</v>
      </c>
      <c r="F288" s="24">
        <v>35.1</v>
      </c>
      <c r="G288" s="24">
        <v>80</v>
      </c>
      <c r="H288" s="27">
        <v>2808</v>
      </c>
      <c r="I288" s="26" t="s">
        <v>27</v>
      </c>
    </row>
    <row r="289" spans="1:9" ht="14.4" x14ac:dyDescent="0.25">
      <c r="A289" s="24">
        <v>10081</v>
      </c>
      <c r="B289" s="25">
        <v>43495</v>
      </c>
      <c r="C289" s="64">
        <f t="shared" si="9"/>
        <v>2019</v>
      </c>
      <c r="D289" s="64" t="str">
        <f t="shared" si="10"/>
        <v>2019年1季度</v>
      </c>
      <c r="E289" s="26" t="s">
        <v>28</v>
      </c>
      <c r="F289" s="24">
        <v>10</v>
      </c>
      <c r="G289" s="24">
        <v>10</v>
      </c>
      <c r="H289" s="27">
        <v>100</v>
      </c>
      <c r="I289" s="26" t="s">
        <v>22</v>
      </c>
    </row>
    <row r="290" spans="1:9" ht="14.4" x14ac:dyDescent="0.25">
      <c r="A290" s="24">
        <v>10081</v>
      </c>
      <c r="B290" s="25">
        <v>43495</v>
      </c>
      <c r="C290" s="64">
        <f t="shared" si="9"/>
        <v>2019</v>
      </c>
      <c r="D290" s="64" t="str">
        <f t="shared" si="10"/>
        <v>2019年1季度</v>
      </c>
      <c r="E290" s="26" t="s">
        <v>28</v>
      </c>
      <c r="F290" s="24">
        <v>16.8</v>
      </c>
      <c r="G290" s="24">
        <v>40</v>
      </c>
      <c r="H290" s="27">
        <v>672</v>
      </c>
      <c r="I290" s="26" t="s">
        <v>22</v>
      </c>
    </row>
    <row r="291" spans="1:9" ht="14.4" x14ac:dyDescent="0.25">
      <c r="A291" s="24">
        <v>10081</v>
      </c>
      <c r="B291" s="25">
        <v>43495</v>
      </c>
      <c r="C291" s="64">
        <f t="shared" si="9"/>
        <v>2019</v>
      </c>
      <c r="D291" s="64" t="str">
        <f t="shared" si="10"/>
        <v>2019年1季度</v>
      </c>
      <c r="E291" s="26" t="s">
        <v>28</v>
      </c>
      <c r="F291" s="24">
        <v>44</v>
      </c>
      <c r="G291" s="24">
        <v>9</v>
      </c>
      <c r="H291" s="27">
        <v>396</v>
      </c>
      <c r="I291" s="26" t="s">
        <v>22</v>
      </c>
    </row>
    <row r="292" spans="1:9" ht="14.4" x14ac:dyDescent="0.25">
      <c r="A292" s="24">
        <v>10088</v>
      </c>
      <c r="B292" s="25">
        <v>43511</v>
      </c>
      <c r="C292" s="64">
        <f t="shared" si="9"/>
        <v>2019</v>
      </c>
      <c r="D292" s="64" t="str">
        <f t="shared" si="10"/>
        <v>2019年1季度</v>
      </c>
      <c r="E292" s="26" t="s">
        <v>28</v>
      </c>
      <c r="F292" s="24">
        <v>42.4</v>
      </c>
      <c r="G292" s="24">
        <v>48</v>
      </c>
      <c r="H292" s="27">
        <v>2035.2</v>
      </c>
      <c r="I292" s="26" t="s">
        <v>26</v>
      </c>
    </row>
    <row r="293" spans="1:9" ht="14.4" x14ac:dyDescent="0.25">
      <c r="A293" s="24">
        <v>10091</v>
      </c>
      <c r="B293" s="25">
        <v>43517</v>
      </c>
      <c r="C293" s="64">
        <f t="shared" si="9"/>
        <v>2019</v>
      </c>
      <c r="D293" s="64" t="str">
        <f t="shared" si="10"/>
        <v>2019年1季度</v>
      </c>
      <c r="E293" s="26" t="s">
        <v>28</v>
      </c>
      <c r="F293" s="24">
        <v>31.2</v>
      </c>
      <c r="G293" s="24">
        <v>20</v>
      </c>
      <c r="H293" s="27">
        <v>624</v>
      </c>
      <c r="I293" s="26" t="s">
        <v>22</v>
      </c>
    </row>
    <row r="294" spans="1:9" ht="14.4" x14ac:dyDescent="0.25">
      <c r="A294" s="24">
        <v>10092</v>
      </c>
      <c r="B294" s="25">
        <v>43523</v>
      </c>
      <c r="C294" s="64">
        <f t="shared" si="9"/>
        <v>2019</v>
      </c>
      <c r="D294" s="64" t="str">
        <f t="shared" si="10"/>
        <v>2019年1季度</v>
      </c>
      <c r="E294" s="26" t="s">
        <v>28</v>
      </c>
      <c r="F294" s="24">
        <v>39.4</v>
      </c>
      <c r="G294" s="24">
        <v>28</v>
      </c>
      <c r="H294" s="27">
        <v>1103.2</v>
      </c>
      <c r="I294" s="26" t="s">
        <v>22</v>
      </c>
    </row>
    <row r="295" spans="1:9" ht="14.4" x14ac:dyDescent="0.25">
      <c r="A295" s="24">
        <v>10092</v>
      </c>
      <c r="B295" s="25">
        <v>43523</v>
      </c>
      <c r="C295" s="64">
        <f t="shared" si="9"/>
        <v>2019</v>
      </c>
      <c r="D295" s="64" t="str">
        <f t="shared" si="10"/>
        <v>2019年1季度</v>
      </c>
      <c r="E295" s="26" t="s">
        <v>28</v>
      </c>
      <c r="F295" s="24">
        <v>31.2</v>
      </c>
      <c r="G295" s="24">
        <v>70</v>
      </c>
      <c r="H295" s="27">
        <v>2184</v>
      </c>
      <c r="I295" s="26" t="s">
        <v>22</v>
      </c>
    </row>
    <row r="296" spans="1:9" ht="14.4" x14ac:dyDescent="0.25">
      <c r="A296" s="24">
        <v>10096</v>
      </c>
      <c r="B296" s="25">
        <v>43529</v>
      </c>
      <c r="C296" s="64">
        <f t="shared" si="9"/>
        <v>2019</v>
      </c>
      <c r="D296" s="64" t="str">
        <f t="shared" si="10"/>
        <v>2019年1季度</v>
      </c>
      <c r="E296" s="26" t="s">
        <v>28</v>
      </c>
      <c r="F296" s="24">
        <v>14.4</v>
      </c>
      <c r="G296" s="24">
        <v>15</v>
      </c>
      <c r="H296" s="27">
        <v>216</v>
      </c>
      <c r="I296" s="26" t="s">
        <v>22</v>
      </c>
    </row>
    <row r="297" spans="1:9" ht="14.4" x14ac:dyDescent="0.25">
      <c r="A297" s="24">
        <v>10097</v>
      </c>
      <c r="B297" s="25">
        <v>43531</v>
      </c>
      <c r="C297" s="64">
        <f t="shared" si="9"/>
        <v>2019</v>
      </c>
      <c r="D297" s="64" t="str">
        <f t="shared" si="10"/>
        <v>2019年1季度</v>
      </c>
      <c r="E297" s="26" t="s">
        <v>28</v>
      </c>
      <c r="F297" s="24">
        <v>17.600000000000001</v>
      </c>
      <c r="G297" s="24">
        <v>35</v>
      </c>
      <c r="H297" s="27">
        <v>616</v>
      </c>
      <c r="I297" s="26" t="s">
        <v>22</v>
      </c>
    </row>
    <row r="298" spans="1:9" ht="14.4" x14ac:dyDescent="0.25">
      <c r="A298" s="24">
        <v>10097</v>
      </c>
      <c r="B298" s="25">
        <v>43531</v>
      </c>
      <c r="C298" s="64">
        <f t="shared" si="9"/>
        <v>2019</v>
      </c>
      <c r="D298" s="64" t="str">
        <f t="shared" si="10"/>
        <v>2019年1季度</v>
      </c>
      <c r="E298" s="26" t="s">
        <v>28</v>
      </c>
      <c r="F298" s="24">
        <v>32</v>
      </c>
      <c r="G298" s="24">
        <v>70</v>
      </c>
      <c r="H298" s="27">
        <v>2240</v>
      </c>
      <c r="I298" s="26" t="s">
        <v>22</v>
      </c>
    </row>
    <row r="299" spans="1:9" ht="14.4" x14ac:dyDescent="0.25">
      <c r="A299" s="24">
        <v>10104</v>
      </c>
      <c r="B299" s="25">
        <v>43551</v>
      </c>
      <c r="C299" s="64">
        <f t="shared" si="9"/>
        <v>2019</v>
      </c>
      <c r="D299" s="64" t="str">
        <f t="shared" si="10"/>
        <v>2019年1季度</v>
      </c>
      <c r="E299" s="26" t="s">
        <v>28</v>
      </c>
      <c r="F299" s="24">
        <v>15.5</v>
      </c>
      <c r="G299" s="24">
        <v>77</v>
      </c>
      <c r="H299" s="27">
        <v>1193.5</v>
      </c>
      <c r="I299" s="26" t="s">
        <v>23</v>
      </c>
    </row>
    <row r="300" spans="1:9" ht="14.4" x14ac:dyDescent="0.25">
      <c r="A300" s="24">
        <v>10104</v>
      </c>
      <c r="B300" s="25">
        <v>43551</v>
      </c>
      <c r="C300" s="64">
        <f t="shared" si="9"/>
        <v>2019</v>
      </c>
      <c r="D300" s="64" t="str">
        <f t="shared" si="10"/>
        <v>2019年1季度</v>
      </c>
      <c r="E300" s="26" t="s">
        <v>28</v>
      </c>
      <c r="F300" s="24">
        <v>210.8</v>
      </c>
      <c r="G300" s="24">
        <v>20</v>
      </c>
      <c r="H300" s="27">
        <v>4216</v>
      </c>
      <c r="I300" s="26" t="s">
        <v>23</v>
      </c>
    </row>
    <row r="301" spans="1:9" ht="14.4" x14ac:dyDescent="0.25">
      <c r="A301" s="24">
        <v>10104</v>
      </c>
      <c r="B301" s="25">
        <v>43551</v>
      </c>
      <c r="C301" s="64">
        <f t="shared" si="9"/>
        <v>2019</v>
      </c>
      <c r="D301" s="64" t="str">
        <f t="shared" si="10"/>
        <v>2019年1季度</v>
      </c>
      <c r="E301" s="26" t="s">
        <v>28</v>
      </c>
      <c r="F301" s="24">
        <v>16.8</v>
      </c>
      <c r="G301" s="24">
        <v>10</v>
      </c>
      <c r="H301" s="27">
        <v>168</v>
      </c>
      <c r="I301" s="26" t="s">
        <v>23</v>
      </c>
    </row>
    <row r="302" spans="1:9" ht="14.4" x14ac:dyDescent="0.25">
      <c r="A302" s="24">
        <v>10113</v>
      </c>
      <c r="B302" s="25">
        <v>43573</v>
      </c>
      <c r="C302" s="64">
        <f t="shared" si="9"/>
        <v>2019</v>
      </c>
      <c r="D302" s="64" t="str">
        <f t="shared" si="10"/>
        <v>2019年2季度</v>
      </c>
      <c r="E302" s="26" t="s">
        <v>28</v>
      </c>
      <c r="F302" s="24">
        <v>210.8</v>
      </c>
      <c r="G302" s="24">
        <v>10</v>
      </c>
      <c r="H302" s="27">
        <v>2108</v>
      </c>
      <c r="I302" s="26" t="s">
        <v>23</v>
      </c>
    </row>
    <row r="303" spans="1:9" ht="14.4" x14ac:dyDescent="0.25">
      <c r="A303" s="24">
        <v>10114</v>
      </c>
      <c r="B303" s="25">
        <v>43573</v>
      </c>
      <c r="C303" s="64">
        <f t="shared" si="9"/>
        <v>2019</v>
      </c>
      <c r="D303" s="64" t="str">
        <f t="shared" si="10"/>
        <v>2019年2季度</v>
      </c>
      <c r="E303" s="26" t="s">
        <v>28</v>
      </c>
      <c r="F303" s="24">
        <v>14.4</v>
      </c>
      <c r="G303" s="24">
        <v>54</v>
      </c>
      <c r="H303" s="27">
        <v>777.6</v>
      </c>
      <c r="I303" s="26" t="s">
        <v>26</v>
      </c>
    </row>
    <row r="304" spans="1:9" ht="14.4" x14ac:dyDescent="0.25">
      <c r="A304" s="24">
        <v>10114</v>
      </c>
      <c r="B304" s="25">
        <v>43573</v>
      </c>
      <c r="C304" s="64">
        <f t="shared" si="9"/>
        <v>2019</v>
      </c>
      <c r="D304" s="64" t="str">
        <f t="shared" si="10"/>
        <v>2019年2季度</v>
      </c>
      <c r="E304" s="26" t="s">
        <v>28</v>
      </c>
      <c r="F304" s="24">
        <v>27.2</v>
      </c>
      <c r="G304" s="24">
        <v>55</v>
      </c>
      <c r="H304" s="27">
        <v>1496</v>
      </c>
      <c r="I304" s="26" t="s">
        <v>26</v>
      </c>
    </row>
    <row r="305" spans="1:9" ht="14.4" x14ac:dyDescent="0.25">
      <c r="A305" s="24">
        <v>10115</v>
      </c>
      <c r="B305" s="25">
        <v>43579</v>
      </c>
      <c r="C305" s="64">
        <f t="shared" si="9"/>
        <v>2019</v>
      </c>
      <c r="D305" s="64" t="str">
        <f t="shared" si="10"/>
        <v>2019年2季度</v>
      </c>
      <c r="E305" s="26" t="s">
        <v>28</v>
      </c>
      <c r="F305" s="24">
        <v>42.4</v>
      </c>
      <c r="G305" s="24">
        <v>20</v>
      </c>
      <c r="H305" s="27">
        <v>848</v>
      </c>
      <c r="I305" s="26" t="s">
        <v>22</v>
      </c>
    </row>
    <row r="306" spans="1:9" ht="14.4" x14ac:dyDescent="0.25">
      <c r="A306" s="24">
        <v>10128</v>
      </c>
      <c r="B306" s="25">
        <v>43601</v>
      </c>
      <c r="C306" s="64">
        <f t="shared" si="9"/>
        <v>2019</v>
      </c>
      <c r="D306" s="64" t="str">
        <f t="shared" si="10"/>
        <v>2019年2季度</v>
      </c>
      <c r="E306" s="26" t="s">
        <v>28</v>
      </c>
      <c r="F306" s="24">
        <v>18.600000000000001</v>
      </c>
      <c r="G306" s="24">
        <v>15</v>
      </c>
      <c r="H306" s="27">
        <v>279</v>
      </c>
      <c r="I306" s="26" t="s">
        <v>23</v>
      </c>
    </row>
    <row r="307" spans="1:9" ht="14.4" x14ac:dyDescent="0.25">
      <c r="A307" s="24">
        <v>10128</v>
      </c>
      <c r="B307" s="25">
        <v>43601</v>
      </c>
      <c r="C307" s="64">
        <f t="shared" si="9"/>
        <v>2019</v>
      </c>
      <c r="D307" s="64" t="str">
        <f t="shared" si="10"/>
        <v>2019年2季度</v>
      </c>
      <c r="E307" s="26" t="s">
        <v>28</v>
      </c>
      <c r="F307" s="24">
        <v>5.9</v>
      </c>
      <c r="G307" s="24">
        <v>10</v>
      </c>
      <c r="H307" s="27">
        <v>59</v>
      </c>
      <c r="I307" s="26" t="s">
        <v>23</v>
      </c>
    </row>
    <row r="308" spans="1:9" ht="14.4" x14ac:dyDescent="0.25">
      <c r="A308" s="24">
        <v>10129</v>
      </c>
      <c r="B308" s="25">
        <v>43607</v>
      </c>
      <c r="C308" s="64">
        <f t="shared" si="9"/>
        <v>2019</v>
      </c>
      <c r="D308" s="64" t="str">
        <f t="shared" si="10"/>
        <v>2019年2季度</v>
      </c>
      <c r="E308" s="26" t="s">
        <v>28</v>
      </c>
      <c r="F308" s="24">
        <v>10</v>
      </c>
      <c r="G308" s="24">
        <v>42</v>
      </c>
      <c r="H308" s="27">
        <v>420</v>
      </c>
      <c r="I308" s="26" t="s">
        <v>22</v>
      </c>
    </row>
    <row r="309" spans="1:9" ht="14.4" x14ac:dyDescent="0.25">
      <c r="A309" s="24">
        <v>10141</v>
      </c>
      <c r="B309" s="25">
        <v>43627</v>
      </c>
      <c r="C309" s="64">
        <f t="shared" si="9"/>
        <v>2019</v>
      </c>
      <c r="D309" s="64" t="str">
        <f t="shared" si="10"/>
        <v>2019年2季度</v>
      </c>
      <c r="E309" s="26" t="s">
        <v>28</v>
      </c>
      <c r="F309" s="24">
        <v>5.6</v>
      </c>
      <c r="G309" s="24">
        <v>20</v>
      </c>
      <c r="H309" s="27">
        <v>112</v>
      </c>
      <c r="I309" s="26" t="s">
        <v>23</v>
      </c>
    </row>
    <row r="310" spans="1:9" ht="14.4" x14ac:dyDescent="0.25">
      <c r="A310" s="24">
        <v>10141</v>
      </c>
      <c r="B310" s="25">
        <v>43627</v>
      </c>
      <c r="C310" s="64">
        <f t="shared" si="9"/>
        <v>2019</v>
      </c>
      <c r="D310" s="64" t="str">
        <f t="shared" si="10"/>
        <v>2019年2季度</v>
      </c>
      <c r="E310" s="26" t="s">
        <v>28</v>
      </c>
      <c r="F310" s="24">
        <v>7.6</v>
      </c>
      <c r="G310" s="24">
        <v>15</v>
      </c>
      <c r="H310" s="27">
        <v>114</v>
      </c>
      <c r="I310" s="26" t="s">
        <v>23</v>
      </c>
    </row>
    <row r="311" spans="1:9" ht="14.4" x14ac:dyDescent="0.25">
      <c r="A311" s="24">
        <v>10141</v>
      </c>
      <c r="B311" s="25">
        <v>43627</v>
      </c>
      <c r="C311" s="64">
        <f t="shared" si="9"/>
        <v>2019</v>
      </c>
      <c r="D311" s="64" t="str">
        <f t="shared" si="10"/>
        <v>2019年2季度</v>
      </c>
      <c r="E311" s="26" t="s">
        <v>28</v>
      </c>
      <c r="F311" s="24">
        <v>26.2</v>
      </c>
      <c r="G311" s="24">
        <v>40</v>
      </c>
      <c r="H311" s="27">
        <v>1048</v>
      </c>
      <c r="I311" s="26" t="s">
        <v>23</v>
      </c>
    </row>
    <row r="312" spans="1:9" ht="14.4" x14ac:dyDescent="0.25">
      <c r="A312" s="24">
        <v>10150</v>
      </c>
      <c r="B312" s="25">
        <v>43643</v>
      </c>
      <c r="C312" s="64">
        <f t="shared" si="9"/>
        <v>2019</v>
      </c>
      <c r="D312" s="64" t="str">
        <f t="shared" si="10"/>
        <v>2019年2季度</v>
      </c>
      <c r="E312" s="26" t="s">
        <v>28</v>
      </c>
      <c r="F312" s="24">
        <v>42.4</v>
      </c>
      <c r="G312" s="24">
        <v>18</v>
      </c>
      <c r="H312" s="27">
        <v>763.2</v>
      </c>
      <c r="I312" s="26" t="s">
        <v>22</v>
      </c>
    </row>
    <row r="313" spans="1:9" ht="14.4" x14ac:dyDescent="0.25">
      <c r="A313" s="24">
        <v>10153</v>
      </c>
      <c r="B313" s="25">
        <v>43653</v>
      </c>
      <c r="C313" s="64">
        <f t="shared" si="9"/>
        <v>2019</v>
      </c>
      <c r="D313" s="64" t="str">
        <f t="shared" si="10"/>
        <v>2019年3季度</v>
      </c>
      <c r="E313" s="26" t="s">
        <v>28</v>
      </c>
      <c r="F313" s="24">
        <v>99</v>
      </c>
      <c r="G313" s="24">
        <v>21</v>
      </c>
      <c r="H313" s="27">
        <v>2079</v>
      </c>
      <c r="I313" s="26" t="s">
        <v>23</v>
      </c>
    </row>
    <row r="314" spans="1:9" ht="14.4" x14ac:dyDescent="0.25">
      <c r="A314" s="24">
        <v>10154</v>
      </c>
      <c r="B314" s="25">
        <v>43653</v>
      </c>
      <c r="C314" s="64">
        <f t="shared" si="9"/>
        <v>2019</v>
      </c>
      <c r="D314" s="64" t="str">
        <f t="shared" si="10"/>
        <v>2019年3季度</v>
      </c>
      <c r="E314" s="26" t="s">
        <v>28</v>
      </c>
      <c r="F314" s="24">
        <v>20.7</v>
      </c>
      <c r="G314" s="24">
        <v>18</v>
      </c>
      <c r="H314" s="27">
        <v>372.6</v>
      </c>
      <c r="I314" s="26" t="s">
        <v>26</v>
      </c>
    </row>
    <row r="315" spans="1:9" ht="14.4" x14ac:dyDescent="0.25">
      <c r="A315" s="24">
        <v>10154</v>
      </c>
      <c r="B315" s="25">
        <v>43653</v>
      </c>
      <c r="C315" s="64">
        <f t="shared" si="9"/>
        <v>2019</v>
      </c>
      <c r="D315" s="64" t="str">
        <f t="shared" si="10"/>
        <v>2019年3季度</v>
      </c>
      <c r="E315" s="26" t="s">
        <v>28</v>
      </c>
      <c r="F315" s="24">
        <v>30.4</v>
      </c>
      <c r="G315" s="24">
        <v>70</v>
      </c>
      <c r="H315" s="27">
        <v>2128</v>
      </c>
      <c r="I315" s="26" t="s">
        <v>26</v>
      </c>
    </row>
    <row r="316" spans="1:9" ht="14.4" x14ac:dyDescent="0.25">
      <c r="A316" s="24">
        <v>10166</v>
      </c>
      <c r="B316" s="25">
        <v>43679</v>
      </c>
      <c r="C316" s="64">
        <f t="shared" si="9"/>
        <v>2019</v>
      </c>
      <c r="D316" s="64" t="str">
        <f t="shared" si="10"/>
        <v>2019年3季度</v>
      </c>
      <c r="E316" s="26" t="s">
        <v>28</v>
      </c>
      <c r="F316" s="24">
        <v>14.4</v>
      </c>
      <c r="G316" s="24">
        <v>24</v>
      </c>
      <c r="H316" s="27">
        <v>345.6</v>
      </c>
      <c r="I316" s="26" t="s">
        <v>27</v>
      </c>
    </row>
    <row r="317" spans="1:9" ht="14.4" x14ac:dyDescent="0.25">
      <c r="A317" s="24">
        <v>10166</v>
      </c>
      <c r="B317" s="25">
        <v>43679</v>
      </c>
      <c r="C317" s="64">
        <f t="shared" si="9"/>
        <v>2019</v>
      </c>
      <c r="D317" s="64" t="str">
        <f t="shared" si="10"/>
        <v>2019年3季度</v>
      </c>
      <c r="E317" s="26" t="s">
        <v>28</v>
      </c>
      <c r="F317" s="24">
        <v>14.4</v>
      </c>
      <c r="G317" s="24">
        <v>14</v>
      </c>
      <c r="H317" s="27">
        <v>201.6</v>
      </c>
      <c r="I317" s="26" t="s">
        <v>27</v>
      </c>
    </row>
    <row r="318" spans="1:9" ht="14.4" x14ac:dyDescent="0.25">
      <c r="A318" s="24">
        <v>10167</v>
      </c>
      <c r="B318" s="25">
        <v>43679</v>
      </c>
      <c r="C318" s="64">
        <f t="shared" si="9"/>
        <v>2019</v>
      </c>
      <c r="D318" s="64" t="str">
        <f t="shared" si="10"/>
        <v>2019年3季度</v>
      </c>
      <c r="E318" s="26" t="s">
        <v>28</v>
      </c>
      <c r="F318" s="24">
        <v>2</v>
      </c>
      <c r="G318" s="24">
        <v>50</v>
      </c>
      <c r="H318" s="27">
        <v>100</v>
      </c>
      <c r="I318" s="26" t="s">
        <v>25</v>
      </c>
    </row>
    <row r="319" spans="1:9" ht="14.4" x14ac:dyDescent="0.25">
      <c r="A319" s="24">
        <v>10178</v>
      </c>
      <c r="B319" s="25">
        <v>43699</v>
      </c>
      <c r="C319" s="64">
        <f t="shared" si="9"/>
        <v>2019</v>
      </c>
      <c r="D319" s="64" t="str">
        <f t="shared" si="10"/>
        <v>2019年3季度</v>
      </c>
      <c r="E319" s="26" t="s">
        <v>28</v>
      </c>
      <c r="F319" s="24">
        <v>14.4</v>
      </c>
      <c r="G319" s="24">
        <v>20</v>
      </c>
      <c r="H319" s="27">
        <v>288</v>
      </c>
      <c r="I319" s="26" t="s">
        <v>27</v>
      </c>
    </row>
    <row r="320" spans="1:9" ht="14.4" x14ac:dyDescent="0.25">
      <c r="A320" s="24">
        <v>10178</v>
      </c>
      <c r="B320" s="25">
        <v>43699</v>
      </c>
      <c r="C320" s="64">
        <f t="shared" si="9"/>
        <v>2019</v>
      </c>
      <c r="D320" s="64" t="str">
        <f t="shared" si="10"/>
        <v>2019年3季度</v>
      </c>
      <c r="E320" s="26" t="s">
        <v>28</v>
      </c>
      <c r="F320" s="24">
        <v>19.2</v>
      </c>
      <c r="G320" s="24">
        <v>10</v>
      </c>
      <c r="H320" s="27">
        <v>192</v>
      </c>
      <c r="I320" s="26" t="s">
        <v>27</v>
      </c>
    </row>
    <row r="321" spans="1:9" ht="14.4" x14ac:dyDescent="0.25">
      <c r="A321" s="24">
        <v>10179</v>
      </c>
      <c r="B321" s="25">
        <v>43705</v>
      </c>
      <c r="C321" s="64">
        <f t="shared" si="9"/>
        <v>2019</v>
      </c>
      <c r="D321" s="64" t="str">
        <f t="shared" si="10"/>
        <v>2019年3季度</v>
      </c>
      <c r="E321" s="26" t="s">
        <v>28</v>
      </c>
      <c r="F321" s="24">
        <v>30.4</v>
      </c>
      <c r="G321" s="24">
        <v>5</v>
      </c>
      <c r="H321" s="27">
        <v>152</v>
      </c>
      <c r="I321" s="26" t="s">
        <v>25</v>
      </c>
    </row>
    <row r="322" spans="1:9" ht="14.4" x14ac:dyDescent="0.25">
      <c r="A322" s="24">
        <v>10197</v>
      </c>
      <c r="B322" s="25">
        <v>43737</v>
      </c>
      <c r="C322" s="64">
        <f t="shared" si="9"/>
        <v>2019</v>
      </c>
      <c r="D322" s="64" t="str">
        <f t="shared" si="10"/>
        <v>2019年3季度</v>
      </c>
      <c r="E322" s="26" t="s">
        <v>28</v>
      </c>
      <c r="F322" s="24">
        <v>7.7</v>
      </c>
      <c r="G322" s="24">
        <v>30</v>
      </c>
      <c r="H322" s="27">
        <v>231</v>
      </c>
      <c r="I322" s="26" t="s">
        <v>23</v>
      </c>
    </row>
    <row r="323" spans="1:9" ht="14.4" x14ac:dyDescent="0.25">
      <c r="A323" s="24">
        <v>10197</v>
      </c>
      <c r="B323" s="25">
        <v>43737</v>
      </c>
      <c r="C323" s="64">
        <f t="shared" ref="C323:C386" si="11">YEAR(B323)</f>
        <v>2019</v>
      </c>
      <c r="D323" s="64" t="str">
        <f t="shared" ref="D323:D386" si="12">YEAR(B323)&amp;"年"&amp;ROUNDUP(MONTH(B323)/3,0)&amp;"季度"</f>
        <v>2019年3季度</v>
      </c>
      <c r="E323" s="26" t="s">
        <v>28</v>
      </c>
      <c r="F323" s="24">
        <v>24.9</v>
      </c>
      <c r="G323" s="24">
        <v>15</v>
      </c>
      <c r="H323" s="27">
        <v>373.5</v>
      </c>
      <c r="I323" s="26" t="s">
        <v>23</v>
      </c>
    </row>
    <row r="324" spans="1:9" ht="14.4" x14ac:dyDescent="0.25">
      <c r="A324" s="24">
        <v>10197</v>
      </c>
      <c r="B324" s="25">
        <v>43737</v>
      </c>
      <c r="C324" s="64">
        <f t="shared" si="11"/>
        <v>2019</v>
      </c>
      <c r="D324" s="64" t="str">
        <f t="shared" si="12"/>
        <v>2019年3季度</v>
      </c>
      <c r="E324" s="26" t="s">
        <v>28</v>
      </c>
      <c r="F324" s="24">
        <v>31.2</v>
      </c>
      <c r="G324" s="24">
        <v>10</v>
      </c>
      <c r="H324" s="27">
        <v>312</v>
      </c>
      <c r="I324" s="26" t="s">
        <v>23</v>
      </c>
    </row>
    <row r="325" spans="1:9" ht="14.4" x14ac:dyDescent="0.25">
      <c r="A325" s="24">
        <v>10204</v>
      </c>
      <c r="B325" s="25">
        <v>43751</v>
      </c>
      <c r="C325" s="64">
        <f t="shared" si="11"/>
        <v>2019</v>
      </c>
      <c r="D325" s="64" t="str">
        <f t="shared" si="12"/>
        <v>2019年4季度</v>
      </c>
      <c r="E325" s="26" t="s">
        <v>28</v>
      </c>
      <c r="F325" s="24">
        <v>26.6</v>
      </c>
      <c r="G325" s="24">
        <v>35</v>
      </c>
      <c r="H325" s="27">
        <v>931</v>
      </c>
      <c r="I325" s="26" t="s">
        <v>26</v>
      </c>
    </row>
    <row r="326" spans="1:9" ht="14.4" x14ac:dyDescent="0.25">
      <c r="A326" s="24">
        <v>10204</v>
      </c>
      <c r="B326" s="25">
        <v>43751</v>
      </c>
      <c r="C326" s="64">
        <f t="shared" si="11"/>
        <v>2019</v>
      </c>
      <c r="D326" s="64" t="str">
        <f t="shared" si="12"/>
        <v>2019年4季度</v>
      </c>
      <c r="E326" s="26" t="s">
        <v>28</v>
      </c>
      <c r="F326" s="24">
        <v>16.8</v>
      </c>
      <c r="G326" s="24">
        <v>28</v>
      </c>
      <c r="H326" s="27">
        <v>470.4</v>
      </c>
      <c r="I326" s="26" t="s">
        <v>26</v>
      </c>
    </row>
    <row r="327" spans="1:9" ht="14.4" x14ac:dyDescent="0.25">
      <c r="A327" s="24">
        <v>10204</v>
      </c>
      <c r="B327" s="25">
        <v>43751</v>
      </c>
      <c r="C327" s="64">
        <f t="shared" si="11"/>
        <v>2019</v>
      </c>
      <c r="D327" s="64" t="str">
        <f t="shared" si="12"/>
        <v>2019年4季度</v>
      </c>
      <c r="E327" s="26" t="s">
        <v>28</v>
      </c>
      <c r="F327" s="24">
        <v>10.4</v>
      </c>
      <c r="G327" s="24">
        <v>55</v>
      </c>
      <c r="H327" s="27">
        <v>572</v>
      </c>
      <c r="I327" s="26" t="s">
        <v>26</v>
      </c>
    </row>
    <row r="328" spans="1:9" ht="14.4" x14ac:dyDescent="0.25">
      <c r="A328" s="24">
        <v>10216</v>
      </c>
      <c r="B328" s="25">
        <v>43777</v>
      </c>
      <c r="C328" s="64">
        <f t="shared" si="11"/>
        <v>2019</v>
      </c>
      <c r="D328" s="64" t="str">
        <f t="shared" si="12"/>
        <v>2019年4季度</v>
      </c>
      <c r="E328" s="26" t="s">
        <v>28</v>
      </c>
      <c r="F328" s="24">
        <v>7.3</v>
      </c>
      <c r="G328" s="24">
        <v>21</v>
      </c>
      <c r="H328" s="27">
        <v>153.30000000000001</v>
      </c>
      <c r="I328" s="26" t="s">
        <v>26</v>
      </c>
    </row>
    <row r="329" spans="1:9" ht="14.4" x14ac:dyDescent="0.25">
      <c r="A329" s="24">
        <v>10217</v>
      </c>
      <c r="B329" s="25">
        <v>43777</v>
      </c>
      <c r="C329" s="64">
        <f t="shared" si="11"/>
        <v>2019</v>
      </c>
      <c r="D329" s="64" t="str">
        <f t="shared" si="12"/>
        <v>2019年4季度</v>
      </c>
      <c r="E329" s="26" t="s">
        <v>28</v>
      </c>
      <c r="F329" s="24">
        <v>36.799999999999997</v>
      </c>
      <c r="G329" s="24">
        <v>3</v>
      </c>
      <c r="H329" s="27">
        <v>110.4</v>
      </c>
      <c r="I329" s="26" t="s">
        <v>23</v>
      </c>
    </row>
    <row r="330" spans="1:9" ht="14.4" x14ac:dyDescent="0.25">
      <c r="A330" s="24">
        <v>10217</v>
      </c>
      <c r="B330" s="25">
        <v>43777</v>
      </c>
      <c r="C330" s="64">
        <f t="shared" si="11"/>
        <v>2019</v>
      </c>
      <c r="D330" s="64" t="str">
        <f t="shared" si="12"/>
        <v>2019年4季度</v>
      </c>
      <c r="E330" s="26" t="s">
        <v>28</v>
      </c>
      <c r="F330" s="24">
        <v>17.600000000000001</v>
      </c>
      <c r="G330" s="24">
        <v>16</v>
      </c>
      <c r="H330" s="27">
        <v>281.60000000000002</v>
      </c>
      <c r="I330" s="26" t="s">
        <v>23</v>
      </c>
    </row>
    <row r="331" spans="1:9" ht="14.4" x14ac:dyDescent="0.25">
      <c r="A331" s="24">
        <v>10223</v>
      </c>
      <c r="B331" s="25">
        <v>43791</v>
      </c>
      <c r="C331" s="64">
        <f t="shared" si="11"/>
        <v>2019</v>
      </c>
      <c r="D331" s="64" t="str">
        <f t="shared" si="12"/>
        <v>2019年4季度</v>
      </c>
      <c r="E331" s="26" t="s">
        <v>28</v>
      </c>
      <c r="F331" s="24">
        <v>7.2</v>
      </c>
      <c r="G331" s="24">
        <v>15</v>
      </c>
      <c r="H331" s="27">
        <v>108</v>
      </c>
      <c r="I331" s="26" t="s">
        <v>22</v>
      </c>
    </row>
    <row r="332" spans="1:9" ht="14.4" x14ac:dyDescent="0.25">
      <c r="A332" s="24">
        <v>10223</v>
      </c>
      <c r="B332" s="25">
        <v>43791</v>
      </c>
      <c r="C332" s="64">
        <f t="shared" si="11"/>
        <v>2019</v>
      </c>
      <c r="D332" s="64" t="str">
        <f t="shared" si="12"/>
        <v>2019年4季度</v>
      </c>
      <c r="E332" s="26" t="s">
        <v>28</v>
      </c>
      <c r="F332" s="24">
        <v>26.6</v>
      </c>
      <c r="G332" s="24">
        <v>8</v>
      </c>
      <c r="H332" s="27">
        <v>212.8</v>
      </c>
      <c r="I332" s="26" t="s">
        <v>22</v>
      </c>
    </row>
    <row r="333" spans="1:9" ht="14.4" x14ac:dyDescent="0.25">
      <c r="A333" s="24">
        <v>10223</v>
      </c>
      <c r="B333" s="25">
        <v>43791</v>
      </c>
      <c r="C333" s="64">
        <f t="shared" si="11"/>
        <v>2019</v>
      </c>
      <c r="D333" s="64" t="str">
        <f t="shared" si="12"/>
        <v>2019年4季度</v>
      </c>
      <c r="E333" s="26" t="s">
        <v>28</v>
      </c>
      <c r="F333" s="24">
        <v>50</v>
      </c>
      <c r="G333" s="24">
        <v>30</v>
      </c>
      <c r="H333" s="27">
        <v>1500</v>
      </c>
      <c r="I333" s="26" t="s">
        <v>22</v>
      </c>
    </row>
    <row r="334" spans="1:9" ht="14.4" x14ac:dyDescent="0.25">
      <c r="A334" s="24">
        <v>10225</v>
      </c>
      <c r="B334" s="25">
        <v>43793</v>
      </c>
      <c r="C334" s="64">
        <f t="shared" si="11"/>
        <v>2019</v>
      </c>
      <c r="D334" s="64" t="str">
        <f t="shared" si="12"/>
        <v>2019年4季度</v>
      </c>
      <c r="E334" s="26" t="s">
        <v>28</v>
      </c>
      <c r="F334" s="24">
        <v>42.4</v>
      </c>
      <c r="G334" s="24">
        <v>18</v>
      </c>
      <c r="H334" s="27">
        <v>763.2</v>
      </c>
      <c r="I334" s="26" t="s">
        <v>23</v>
      </c>
    </row>
    <row r="335" spans="1:9" ht="14.4" x14ac:dyDescent="0.25">
      <c r="A335" s="24">
        <v>10229</v>
      </c>
      <c r="B335" s="25">
        <v>43803</v>
      </c>
      <c r="C335" s="64">
        <f t="shared" si="11"/>
        <v>2019</v>
      </c>
      <c r="D335" s="64" t="str">
        <f t="shared" si="12"/>
        <v>2019年4季度</v>
      </c>
      <c r="E335" s="26" t="s">
        <v>28</v>
      </c>
      <c r="F335" s="24">
        <v>12</v>
      </c>
      <c r="G335" s="24">
        <v>12</v>
      </c>
      <c r="H335" s="27">
        <v>144</v>
      </c>
      <c r="I335" s="26" t="s">
        <v>23</v>
      </c>
    </row>
    <row r="336" spans="1:9" ht="14.4" x14ac:dyDescent="0.25">
      <c r="A336" s="24">
        <v>10229</v>
      </c>
      <c r="B336" s="25">
        <v>43803</v>
      </c>
      <c r="C336" s="64">
        <f t="shared" si="11"/>
        <v>2019</v>
      </c>
      <c r="D336" s="64" t="str">
        <f t="shared" si="12"/>
        <v>2019年4季度</v>
      </c>
      <c r="E336" s="26" t="s">
        <v>28</v>
      </c>
      <c r="F336" s="24">
        <v>19.2</v>
      </c>
      <c r="G336" s="24">
        <v>2</v>
      </c>
      <c r="H336" s="27">
        <v>38.4</v>
      </c>
      <c r="I336" s="26" t="s">
        <v>23</v>
      </c>
    </row>
    <row r="337" spans="1:9" ht="14.4" x14ac:dyDescent="0.25">
      <c r="A337" s="24">
        <v>10230</v>
      </c>
      <c r="B337" s="25">
        <v>43803</v>
      </c>
      <c r="C337" s="64">
        <f t="shared" si="11"/>
        <v>2019</v>
      </c>
      <c r="D337" s="64" t="str">
        <f t="shared" si="12"/>
        <v>2019年4季度</v>
      </c>
      <c r="E337" s="26" t="s">
        <v>28</v>
      </c>
      <c r="F337" s="24">
        <v>14.4</v>
      </c>
      <c r="G337" s="24">
        <v>20</v>
      </c>
      <c r="H337" s="27">
        <v>288</v>
      </c>
      <c r="I337" s="26" t="s">
        <v>23</v>
      </c>
    </row>
    <row r="338" spans="1:9" ht="14.4" x14ac:dyDescent="0.25">
      <c r="A338" s="24">
        <v>10237</v>
      </c>
      <c r="B338" s="25">
        <v>43817</v>
      </c>
      <c r="C338" s="64">
        <f t="shared" si="11"/>
        <v>2019</v>
      </c>
      <c r="D338" s="64" t="str">
        <f t="shared" si="12"/>
        <v>2019年4季度</v>
      </c>
      <c r="E338" s="26" t="s">
        <v>28</v>
      </c>
      <c r="F338" s="24">
        <v>42.4</v>
      </c>
      <c r="G338" s="24">
        <v>3</v>
      </c>
      <c r="H338" s="27">
        <v>127.2</v>
      </c>
      <c r="I338" s="26" t="s">
        <v>23</v>
      </c>
    </row>
    <row r="339" spans="1:9" ht="14.4" x14ac:dyDescent="0.25">
      <c r="A339" s="24">
        <v>10237</v>
      </c>
      <c r="B339" s="25">
        <v>43817</v>
      </c>
      <c r="C339" s="64">
        <f t="shared" si="11"/>
        <v>2019</v>
      </c>
      <c r="D339" s="64" t="str">
        <f t="shared" si="12"/>
        <v>2019年4季度</v>
      </c>
      <c r="E339" s="26" t="s">
        <v>28</v>
      </c>
      <c r="F339" s="24">
        <v>14.7</v>
      </c>
      <c r="G339" s="24">
        <v>10</v>
      </c>
      <c r="H339" s="27">
        <v>147</v>
      </c>
      <c r="I339" s="26" t="s">
        <v>23</v>
      </c>
    </row>
    <row r="340" spans="1:9" ht="14.4" x14ac:dyDescent="0.25">
      <c r="A340" s="24">
        <v>10238</v>
      </c>
      <c r="B340" s="25">
        <v>43819</v>
      </c>
      <c r="C340" s="64">
        <f t="shared" si="11"/>
        <v>2019</v>
      </c>
      <c r="D340" s="64" t="str">
        <f t="shared" si="12"/>
        <v>2019年4季度</v>
      </c>
      <c r="E340" s="26" t="s">
        <v>28</v>
      </c>
      <c r="F340" s="24">
        <v>12</v>
      </c>
      <c r="G340" s="24">
        <v>60</v>
      </c>
      <c r="H340" s="27">
        <v>720</v>
      </c>
      <c r="I340" s="26" t="s">
        <v>22</v>
      </c>
    </row>
    <row r="341" spans="1:9" ht="14.4" x14ac:dyDescent="0.25">
      <c r="A341" s="24">
        <v>10239</v>
      </c>
      <c r="B341" s="25">
        <v>43821</v>
      </c>
      <c r="C341" s="64">
        <f t="shared" si="11"/>
        <v>2019</v>
      </c>
      <c r="D341" s="64" t="str">
        <f t="shared" si="12"/>
        <v>2019年4季度</v>
      </c>
      <c r="E341" s="26" t="s">
        <v>28</v>
      </c>
      <c r="F341" s="24">
        <v>42.4</v>
      </c>
      <c r="G341" s="24">
        <v>25</v>
      </c>
      <c r="H341" s="27">
        <v>1060</v>
      </c>
      <c r="I341" s="26" t="s">
        <v>26</v>
      </c>
    </row>
    <row r="342" spans="1:9" ht="14.4" x14ac:dyDescent="0.25">
      <c r="A342" s="24">
        <v>10244</v>
      </c>
      <c r="B342" s="25">
        <v>43831</v>
      </c>
      <c r="C342" s="64">
        <f t="shared" si="11"/>
        <v>2020</v>
      </c>
      <c r="D342" s="64" t="str">
        <f t="shared" si="12"/>
        <v>2020年1季度</v>
      </c>
      <c r="E342" s="26" t="s">
        <v>28</v>
      </c>
      <c r="F342" s="24">
        <v>10.4</v>
      </c>
      <c r="G342" s="24">
        <v>7</v>
      </c>
      <c r="H342" s="27">
        <v>72.8</v>
      </c>
      <c r="I342" s="26" t="s">
        <v>23</v>
      </c>
    </row>
    <row r="343" spans="1:9" ht="14.4" x14ac:dyDescent="0.25">
      <c r="A343" s="24">
        <v>10244</v>
      </c>
      <c r="B343" s="25">
        <v>43831</v>
      </c>
      <c r="C343" s="64">
        <f t="shared" si="11"/>
        <v>2020</v>
      </c>
      <c r="D343" s="64" t="str">
        <f t="shared" si="12"/>
        <v>2020年1季度</v>
      </c>
      <c r="E343" s="26" t="s">
        <v>28</v>
      </c>
      <c r="F343" s="24">
        <v>15.5</v>
      </c>
      <c r="G343" s="24">
        <v>15</v>
      </c>
      <c r="H343" s="27">
        <v>232.5</v>
      </c>
      <c r="I343" s="26" t="s">
        <v>23</v>
      </c>
    </row>
    <row r="344" spans="1:9" ht="14.4" x14ac:dyDescent="0.25">
      <c r="A344" s="24">
        <v>10245</v>
      </c>
      <c r="B344" s="25">
        <v>43833</v>
      </c>
      <c r="C344" s="64">
        <f t="shared" si="11"/>
        <v>2020</v>
      </c>
      <c r="D344" s="64" t="str">
        <f t="shared" si="12"/>
        <v>2020年1季度</v>
      </c>
      <c r="E344" s="26" t="s">
        <v>28</v>
      </c>
      <c r="F344" s="24">
        <v>11.2</v>
      </c>
      <c r="G344" s="24">
        <v>60</v>
      </c>
      <c r="H344" s="27">
        <v>672</v>
      </c>
      <c r="I344" s="26" t="s">
        <v>22</v>
      </c>
    </row>
    <row r="345" spans="1:9" ht="14.4" x14ac:dyDescent="0.25">
      <c r="A345" s="24">
        <v>10252</v>
      </c>
      <c r="B345" s="25">
        <v>43847</v>
      </c>
      <c r="C345" s="64">
        <f t="shared" si="11"/>
        <v>2020</v>
      </c>
      <c r="D345" s="64" t="str">
        <f t="shared" si="12"/>
        <v>2020年1季度</v>
      </c>
      <c r="E345" s="26" t="s">
        <v>28</v>
      </c>
      <c r="F345" s="24">
        <v>20</v>
      </c>
      <c r="G345" s="24">
        <v>25</v>
      </c>
      <c r="H345" s="27">
        <v>500</v>
      </c>
      <c r="I345" s="26" t="s">
        <v>22</v>
      </c>
    </row>
    <row r="346" spans="1:9" ht="14.4" x14ac:dyDescent="0.25">
      <c r="A346" s="24">
        <v>10252</v>
      </c>
      <c r="B346" s="25">
        <v>43847</v>
      </c>
      <c r="C346" s="64">
        <f t="shared" si="11"/>
        <v>2020</v>
      </c>
      <c r="D346" s="64" t="str">
        <f t="shared" si="12"/>
        <v>2020年1季度</v>
      </c>
      <c r="E346" s="26" t="s">
        <v>28</v>
      </c>
      <c r="F346" s="24">
        <v>45.6</v>
      </c>
      <c r="G346" s="24">
        <v>20</v>
      </c>
      <c r="H346" s="27">
        <v>912</v>
      </c>
      <c r="I346" s="26" t="s">
        <v>22</v>
      </c>
    </row>
    <row r="347" spans="1:9" ht="14.4" x14ac:dyDescent="0.25">
      <c r="A347" s="24">
        <v>10253</v>
      </c>
      <c r="B347" s="25">
        <v>43849</v>
      </c>
      <c r="C347" s="64">
        <f t="shared" si="11"/>
        <v>2020</v>
      </c>
      <c r="D347" s="64" t="str">
        <f t="shared" si="12"/>
        <v>2020年1季度</v>
      </c>
      <c r="E347" s="26" t="s">
        <v>28</v>
      </c>
      <c r="F347" s="24">
        <v>45.6</v>
      </c>
      <c r="G347" s="24">
        <v>8</v>
      </c>
      <c r="H347" s="27">
        <v>364.8</v>
      </c>
      <c r="I347" s="26" t="s">
        <v>25</v>
      </c>
    </row>
    <row r="348" spans="1:9" ht="14.4" x14ac:dyDescent="0.25">
      <c r="A348" s="24">
        <v>10257</v>
      </c>
      <c r="B348" s="25">
        <v>43853</v>
      </c>
      <c r="C348" s="64">
        <f t="shared" si="11"/>
        <v>2020</v>
      </c>
      <c r="D348" s="64" t="str">
        <f t="shared" si="12"/>
        <v>2020年1季度</v>
      </c>
      <c r="E348" s="26" t="s">
        <v>28</v>
      </c>
      <c r="F348" s="24">
        <v>19</v>
      </c>
      <c r="G348" s="24">
        <v>12</v>
      </c>
      <c r="H348" s="27">
        <v>228</v>
      </c>
      <c r="I348" s="26" t="s">
        <v>27</v>
      </c>
    </row>
    <row r="349" spans="1:9" ht="14.4" x14ac:dyDescent="0.25">
      <c r="A349" s="24">
        <v>10257</v>
      </c>
      <c r="B349" s="25">
        <v>43853</v>
      </c>
      <c r="C349" s="64">
        <f t="shared" si="11"/>
        <v>2020</v>
      </c>
      <c r="D349" s="64" t="str">
        <f t="shared" si="12"/>
        <v>2020年1季度</v>
      </c>
      <c r="E349" s="26" t="s">
        <v>28</v>
      </c>
      <c r="F349" s="24">
        <v>10</v>
      </c>
      <c r="G349" s="24">
        <v>12</v>
      </c>
      <c r="H349" s="27">
        <v>120</v>
      </c>
      <c r="I349" s="26" t="s">
        <v>27</v>
      </c>
    </row>
    <row r="350" spans="1:9" ht="14.4" x14ac:dyDescent="0.25">
      <c r="A350" s="24">
        <v>10258</v>
      </c>
      <c r="B350" s="25">
        <v>43859</v>
      </c>
      <c r="C350" s="64">
        <f t="shared" si="11"/>
        <v>2020</v>
      </c>
      <c r="D350" s="64" t="str">
        <f t="shared" si="12"/>
        <v>2020年1季度</v>
      </c>
      <c r="E350" s="26" t="s">
        <v>28</v>
      </c>
      <c r="F350" s="24">
        <v>49.3</v>
      </c>
      <c r="G350" s="24">
        <v>3</v>
      </c>
      <c r="H350" s="27">
        <v>147.9</v>
      </c>
      <c r="I350" s="26" t="s">
        <v>23</v>
      </c>
    </row>
    <row r="351" spans="1:9" ht="14.4" x14ac:dyDescent="0.25">
      <c r="A351" s="24">
        <v>10265</v>
      </c>
      <c r="B351" s="25">
        <v>43873</v>
      </c>
      <c r="C351" s="64">
        <f t="shared" si="11"/>
        <v>2020</v>
      </c>
      <c r="D351" s="64" t="str">
        <f t="shared" si="12"/>
        <v>2020年1季度</v>
      </c>
      <c r="E351" s="26" t="s">
        <v>28</v>
      </c>
      <c r="F351" s="24">
        <v>9.5</v>
      </c>
      <c r="G351" s="24">
        <v>6</v>
      </c>
      <c r="H351" s="27">
        <v>57</v>
      </c>
      <c r="I351" s="26" t="s">
        <v>22</v>
      </c>
    </row>
    <row r="352" spans="1:9" ht="14.4" x14ac:dyDescent="0.25">
      <c r="A352" s="24">
        <v>10265</v>
      </c>
      <c r="B352" s="25">
        <v>43873</v>
      </c>
      <c r="C352" s="64">
        <f t="shared" si="11"/>
        <v>2020</v>
      </c>
      <c r="D352" s="64" t="str">
        <f t="shared" si="12"/>
        <v>2020年1季度</v>
      </c>
      <c r="E352" s="26" t="s">
        <v>28</v>
      </c>
      <c r="F352" s="24">
        <v>4.5</v>
      </c>
      <c r="G352" s="24">
        <v>10</v>
      </c>
      <c r="H352" s="27">
        <v>45</v>
      </c>
      <c r="I352" s="26" t="s">
        <v>22</v>
      </c>
    </row>
    <row r="353" spans="1:9" ht="14.4" x14ac:dyDescent="0.25">
      <c r="A353" s="24">
        <v>10265</v>
      </c>
      <c r="B353" s="25">
        <v>43873</v>
      </c>
      <c r="C353" s="64">
        <f t="shared" si="11"/>
        <v>2020</v>
      </c>
      <c r="D353" s="64" t="str">
        <f t="shared" si="12"/>
        <v>2020年1季度</v>
      </c>
      <c r="E353" s="26" t="s">
        <v>28</v>
      </c>
      <c r="F353" s="24">
        <v>34</v>
      </c>
      <c r="G353" s="24">
        <v>12</v>
      </c>
      <c r="H353" s="27">
        <v>408</v>
      </c>
      <c r="I353" s="26" t="s">
        <v>22</v>
      </c>
    </row>
    <row r="354" spans="1:9" ht="14.4" x14ac:dyDescent="0.25">
      <c r="A354" s="24">
        <v>10268</v>
      </c>
      <c r="B354" s="25">
        <v>43877</v>
      </c>
      <c r="C354" s="64">
        <f t="shared" si="11"/>
        <v>2020</v>
      </c>
      <c r="D354" s="64" t="str">
        <f t="shared" si="12"/>
        <v>2020年1季度</v>
      </c>
      <c r="E354" s="26" t="s">
        <v>28</v>
      </c>
      <c r="F354" s="24">
        <v>34</v>
      </c>
      <c r="G354" s="24">
        <v>84</v>
      </c>
      <c r="H354" s="27">
        <v>2856</v>
      </c>
      <c r="I354" s="26" t="s">
        <v>26</v>
      </c>
    </row>
    <row r="355" spans="1:9" ht="14.4" x14ac:dyDescent="0.25">
      <c r="A355" s="24">
        <v>10268</v>
      </c>
      <c r="B355" s="25">
        <v>43877</v>
      </c>
      <c r="C355" s="64">
        <f t="shared" si="11"/>
        <v>2020</v>
      </c>
      <c r="D355" s="64" t="str">
        <f t="shared" si="12"/>
        <v>2020年1季度</v>
      </c>
      <c r="E355" s="26" t="s">
        <v>28</v>
      </c>
      <c r="F355" s="24">
        <v>43.9</v>
      </c>
      <c r="G355" s="24">
        <v>120</v>
      </c>
      <c r="H355" s="27">
        <v>5268</v>
      </c>
      <c r="I355" s="26" t="s">
        <v>26</v>
      </c>
    </row>
    <row r="356" spans="1:9" ht="14.4" x14ac:dyDescent="0.25">
      <c r="A356" s="24">
        <v>10269</v>
      </c>
      <c r="B356" s="25">
        <v>43879</v>
      </c>
      <c r="C356" s="64">
        <f t="shared" si="11"/>
        <v>2020</v>
      </c>
      <c r="D356" s="64" t="str">
        <f t="shared" si="12"/>
        <v>2020年1季度</v>
      </c>
      <c r="E356" s="26" t="s">
        <v>28</v>
      </c>
      <c r="F356" s="24">
        <v>14</v>
      </c>
      <c r="G356" s="24">
        <v>20</v>
      </c>
      <c r="H356" s="27">
        <v>280</v>
      </c>
      <c r="I356" s="26" t="s">
        <v>25</v>
      </c>
    </row>
    <row r="357" spans="1:9" ht="14.4" x14ac:dyDescent="0.25">
      <c r="A357" s="24">
        <v>10273</v>
      </c>
      <c r="B357" s="25">
        <v>43889</v>
      </c>
      <c r="C357" s="64">
        <f t="shared" si="11"/>
        <v>2020</v>
      </c>
      <c r="D357" s="64" t="str">
        <f t="shared" si="12"/>
        <v>2020年1季度</v>
      </c>
      <c r="E357" s="26" t="s">
        <v>28</v>
      </c>
      <c r="F357" s="24">
        <v>32.799999999999997</v>
      </c>
      <c r="G357" s="24">
        <v>5</v>
      </c>
      <c r="H357" s="27">
        <v>164</v>
      </c>
      <c r="I357" s="26" t="s">
        <v>26</v>
      </c>
    </row>
    <row r="358" spans="1:9" ht="14.4" x14ac:dyDescent="0.25">
      <c r="A358" s="24">
        <v>10274</v>
      </c>
      <c r="B358" s="25">
        <v>43889</v>
      </c>
      <c r="C358" s="64">
        <f t="shared" si="11"/>
        <v>2020</v>
      </c>
      <c r="D358" s="64" t="str">
        <f t="shared" si="12"/>
        <v>2020年1季度</v>
      </c>
      <c r="E358" s="26" t="s">
        <v>28</v>
      </c>
      <c r="F358" s="24">
        <v>18</v>
      </c>
      <c r="G358" s="24">
        <v>3</v>
      </c>
      <c r="H358" s="27">
        <v>54</v>
      </c>
      <c r="I358" s="26" t="s">
        <v>22</v>
      </c>
    </row>
    <row r="359" spans="1:9" ht="14.4" x14ac:dyDescent="0.25">
      <c r="A359" s="24">
        <v>10274</v>
      </c>
      <c r="B359" s="25">
        <v>43889</v>
      </c>
      <c r="C359" s="64">
        <f t="shared" si="11"/>
        <v>2020</v>
      </c>
      <c r="D359" s="64" t="str">
        <f t="shared" si="12"/>
        <v>2020年1季度</v>
      </c>
      <c r="E359" s="26" t="s">
        <v>28</v>
      </c>
      <c r="F359" s="24">
        <v>9.65</v>
      </c>
      <c r="G359" s="24">
        <v>10</v>
      </c>
      <c r="H359" s="27">
        <v>96.5</v>
      </c>
      <c r="I359" s="26" t="s">
        <v>22</v>
      </c>
    </row>
    <row r="360" spans="1:9" ht="14.4" x14ac:dyDescent="0.25">
      <c r="A360" s="24">
        <v>10279</v>
      </c>
      <c r="B360" s="25">
        <v>43901</v>
      </c>
      <c r="C360" s="64">
        <f t="shared" si="11"/>
        <v>2020</v>
      </c>
      <c r="D360" s="64" t="str">
        <f t="shared" si="12"/>
        <v>2020年1季度</v>
      </c>
      <c r="E360" s="26" t="s">
        <v>28</v>
      </c>
      <c r="F360" s="24">
        <v>6</v>
      </c>
      <c r="G360" s="24">
        <v>10</v>
      </c>
      <c r="H360" s="27">
        <v>60</v>
      </c>
      <c r="I360" s="26" t="s">
        <v>22</v>
      </c>
    </row>
    <row r="361" spans="1:9" ht="14.4" x14ac:dyDescent="0.25">
      <c r="A361" s="24">
        <v>10279</v>
      </c>
      <c r="B361" s="25">
        <v>43901</v>
      </c>
      <c r="C361" s="64">
        <f t="shared" si="11"/>
        <v>2020</v>
      </c>
      <c r="D361" s="64" t="str">
        <f t="shared" si="12"/>
        <v>2020年1季度</v>
      </c>
      <c r="E361" s="26" t="s">
        <v>28</v>
      </c>
      <c r="F361" s="24">
        <v>18</v>
      </c>
      <c r="G361" s="24">
        <v>8</v>
      </c>
      <c r="H361" s="27">
        <v>144</v>
      </c>
      <c r="I361" s="26" t="s">
        <v>22</v>
      </c>
    </row>
    <row r="362" spans="1:9" ht="14.4" x14ac:dyDescent="0.25">
      <c r="A362" s="24">
        <v>10279</v>
      </c>
      <c r="B362" s="25">
        <v>43901</v>
      </c>
      <c r="C362" s="64">
        <f t="shared" si="11"/>
        <v>2020</v>
      </c>
      <c r="D362" s="64" t="str">
        <f t="shared" si="12"/>
        <v>2020年1季度</v>
      </c>
      <c r="E362" s="26" t="s">
        <v>28</v>
      </c>
      <c r="F362" s="24">
        <v>38</v>
      </c>
      <c r="G362" s="24">
        <v>30</v>
      </c>
      <c r="H362" s="27">
        <v>1140</v>
      </c>
      <c r="I362" s="26" t="s">
        <v>22</v>
      </c>
    </row>
    <row r="363" spans="1:9" ht="14.4" x14ac:dyDescent="0.25">
      <c r="A363" s="24">
        <v>10286</v>
      </c>
      <c r="B363" s="25">
        <v>43915</v>
      </c>
      <c r="C363" s="64">
        <f t="shared" si="11"/>
        <v>2020</v>
      </c>
      <c r="D363" s="64" t="str">
        <f t="shared" si="12"/>
        <v>2020年1季度</v>
      </c>
      <c r="E363" s="26" t="s">
        <v>28</v>
      </c>
      <c r="F363" s="24">
        <v>34.799999999999997</v>
      </c>
      <c r="G363" s="24">
        <v>24</v>
      </c>
      <c r="H363" s="27">
        <v>835.2</v>
      </c>
      <c r="I363" s="26" t="s">
        <v>27</v>
      </c>
    </row>
    <row r="364" spans="1:9" ht="14.4" x14ac:dyDescent="0.25">
      <c r="A364" s="24">
        <v>10286</v>
      </c>
      <c r="B364" s="25">
        <v>43915</v>
      </c>
      <c r="C364" s="64">
        <f t="shared" si="11"/>
        <v>2020</v>
      </c>
      <c r="D364" s="64" t="str">
        <f t="shared" si="12"/>
        <v>2020年1季度</v>
      </c>
      <c r="E364" s="26" t="s">
        <v>28</v>
      </c>
      <c r="F364" s="24">
        <v>22</v>
      </c>
      <c r="G364" s="24">
        <v>50</v>
      </c>
      <c r="H364" s="27">
        <v>1100</v>
      </c>
      <c r="I364" s="26" t="s">
        <v>27</v>
      </c>
    </row>
    <row r="365" spans="1:9" ht="14.4" x14ac:dyDescent="0.25">
      <c r="A365" s="24">
        <v>10286</v>
      </c>
      <c r="B365" s="25">
        <v>43915</v>
      </c>
      <c r="C365" s="64">
        <f t="shared" si="11"/>
        <v>2020</v>
      </c>
      <c r="D365" s="64" t="str">
        <f t="shared" si="12"/>
        <v>2020年1季度</v>
      </c>
      <c r="E365" s="26" t="s">
        <v>28</v>
      </c>
      <c r="F365" s="24">
        <v>15</v>
      </c>
      <c r="G365" s="24">
        <v>24</v>
      </c>
      <c r="H365" s="27">
        <v>360</v>
      </c>
      <c r="I365" s="26" t="s">
        <v>27</v>
      </c>
    </row>
    <row r="366" spans="1:9" ht="14.4" x14ac:dyDescent="0.25">
      <c r="A366" s="24">
        <v>10290</v>
      </c>
      <c r="B366" s="25">
        <v>43919</v>
      </c>
      <c r="C366" s="64">
        <f t="shared" si="11"/>
        <v>2020</v>
      </c>
      <c r="D366" s="64" t="str">
        <f t="shared" si="12"/>
        <v>2020年1季度</v>
      </c>
      <c r="E366" s="26" t="s">
        <v>28</v>
      </c>
      <c r="F366" s="24">
        <v>15</v>
      </c>
      <c r="G366" s="24">
        <v>9</v>
      </c>
      <c r="H366" s="27">
        <v>135</v>
      </c>
      <c r="I366" s="26" t="s">
        <v>27</v>
      </c>
    </row>
    <row r="367" spans="1:9" ht="14.4" x14ac:dyDescent="0.25">
      <c r="A367" s="24">
        <v>10291</v>
      </c>
      <c r="B367" s="25">
        <v>43921</v>
      </c>
      <c r="C367" s="64">
        <f t="shared" si="11"/>
        <v>2020</v>
      </c>
      <c r="D367" s="64" t="str">
        <f t="shared" si="12"/>
        <v>2020年1季度</v>
      </c>
      <c r="E367" s="26" t="s">
        <v>28</v>
      </c>
      <c r="F367" s="24">
        <v>15</v>
      </c>
      <c r="G367" s="24">
        <v>7</v>
      </c>
      <c r="H367" s="27">
        <v>105</v>
      </c>
      <c r="I367" s="26" t="s">
        <v>23</v>
      </c>
    </row>
    <row r="368" spans="1:9" ht="14.4" x14ac:dyDescent="0.25">
      <c r="A368" s="24">
        <v>10291</v>
      </c>
      <c r="B368" s="25">
        <v>43921</v>
      </c>
      <c r="C368" s="64">
        <f t="shared" si="11"/>
        <v>2020</v>
      </c>
      <c r="D368" s="64" t="str">
        <f t="shared" si="12"/>
        <v>2020年1季度</v>
      </c>
      <c r="E368" s="26" t="s">
        <v>28</v>
      </c>
      <c r="F368" s="24">
        <v>34.799999999999997</v>
      </c>
      <c r="G368" s="24">
        <v>1</v>
      </c>
      <c r="H368" s="27">
        <v>34.799999999999997</v>
      </c>
      <c r="I368" s="26" t="s">
        <v>23</v>
      </c>
    </row>
    <row r="369" spans="1:9" ht="14.4" x14ac:dyDescent="0.25">
      <c r="A369" s="24">
        <v>10295</v>
      </c>
      <c r="B369" s="25">
        <v>43931</v>
      </c>
      <c r="C369" s="64">
        <f t="shared" si="11"/>
        <v>2020</v>
      </c>
      <c r="D369" s="64" t="str">
        <f t="shared" si="12"/>
        <v>2020年2季度</v>
      </c>
      <c r="E369" s="26" t="s">
        <v>28</v>
      </c>
      <c r="F369" s="24">
        <v>7.45</v>
      </c>
      <c r="G369" s="24">
        <v>24</v>
      </c>
      <c r="H369" s="27">
        <v>178.8</v>
      </c>
      <c r="I369" s="26" t="s">
        <v>22</v>
      </c>
    </row>
    <row r="370" spans="1:9" ht="14.4" x14ac:dyDescent="0.25">
      <c r="A370" s="24">
        <v>10295</v>
      </c>
      <c r="B370" s="25">
        <v>43931</v>
      </c>
      <c r="C370" s="64">
        <f t="shared" si="11"/>
        <v>2020</v>
      </c>
      <c r="D370" s="64" t="str">
        <f t="shared" si="12"/>
        <v>2020年2季度</v>
      </c>
      <c r="E370" s="26" t="s">
        <v>28</v>
      </c>
      <c r="F370" s="24">
        <v>21</v>
      </c>
      <c r="G370" s="24">
        <v>15</v>
      </c>
      <c r="H370" s="27">
        <v>315</v>
      </c>
      <c r="I370" s="26" t="s">
        <v>22</v>
      </c>
    </row>
    <row r="371" spans="1:9" ht="14.4" x14ac:dyDescent="0.25">
      <c r="A371" s="24">
        <v>10296</v>
      </c>
      <c r="B371" s="25">
        <v>43933</v>
      </c>
      <c r="C371" s="64">
        <f t="shared" si="11"/>
        <v>2020</v>
      </c>
      <c r="D371" s="64" t="str">
        <f t="shared" si="12"/>
        <v>2020年2季度</v>
      </c>
      <c r="E371" s="26" t="s">
        <v>28</v>
      </c>
      <c r="F371" s="24">
        <v>38</v>
      </c>
      <c r="G371" s="24">
        <v>30</v>
      </c>
      <c r="H371" s="27">
        <v>1140</v>
      </c>
      <c r="I371" s="26" t="s">
        <v>26</v>
      </c>
    </row>
    <row r="372" spans="1:9" ht="14.4" x14ac:dyDescent="0.25">
      <c r="A372" s="24">
        <v>10301</v>
      </c>
      <c r="B372" s="25">
        <v>43943</v>
      </c>
      <c r="C372" s="64">
        <f t="shared" si="11"/>
        <v>2020</v>
      </c>
      <c r="D372" s="64" t="str">
        <f t="shared" si="12"/>
        <v>2020年2季度</v>
      </c>
      <c r="E372" s="26" t="s">
        <v>28</v>
      </c>
      <c r="F372" s="24">
        <v>14</v>
      </c>
      <c r="G372" s="24">
        <v>10</v>
      </c>
      <c r="H372" s="27">
        <v>140</v>
      </c>
      <c r="I372" s="26" t="s">
        <v>22</v>
      </c>
    </row>
    <row r="373" spans="1:9" ht="14.4" x14ac:dyDescent="0.25">
      <c r="A373" s="24">
        <v>10302</v>
      </c>
      <c r="B373" s="25">
        <v>43945</v>
      </c>
      <c r="C373" s="64">
        <f t="shared" si="11"/>
        <v>2020</v>
      </c>
      <c r="D373" s="64" t="str">
        <f t="shared" si="12"/>
        <v>2020年2季度</v>
      </c>
      <c r="E373" s="26" t="s">
        <v>28</v>
      </c>
      <c r="F373" s="24">
        <v>12.5</v>
      </c>
      <c r="G373" s="24">
        <v>55</v>
      </c>
      <c r="H373" s="27">
        <v>687.5</v>
      </c>
      <c r="I373" s="26" t="s">
        <v>22</v>
      </c>
    </row>
    <row r="374" spans="1:9" ht="14.4" x14ac:dyDescent="0.25">
      <c r="A374" s="24">
        <v>10302</v>
      </c>
      <c r="B374" s="25">
        <v>43945</v>
      </c>
      <c r="C374" s="64">
        <f t="shared" si="11"/>
        <v>2020</v>
      </c>
      <c r="D374" s="64" t="str">
        <f t="shared" si="12"/>
        <v>2020年2季度</v>
      </c>
      <c r="E374" s="26" t="s">
        <v>28</v>
      </c>
      <c r="F374" s="24">
        <v>53</v>
      </c>
      <c r="G374" s="24">
        <v>48</v>
      </c>
      <c r="H374" s="27">
        <v>2544</v>
      </c>
      <c r="I374" s="26" t="s">
        <v>22</v>
      </c>
    </row>
    <row r="375" spans="1:9" ht="14.4" x14ac:dyDescent="0.25">
      <c r="A375" s="24">
        <v>10307</v>
      </c>
      <c r="B375" s="25">
        <v>43951</v>
      </c>
      <c r="C375" s="64">
        <f t="shared" si="11"/>
        <v>2020</v>
      </c>
      <c r="D375" s="64" t="str">
        <f t="shared" si="12"/>
        <v>2020年2季度</v>
      </c>
      <c r="E375" s="26" t="s">
        <v>28</v>
      </c>
      <c r="F375" s="24">
        <v>9</v>
      </c>
      <c r="G375" s="24">
        <v>20</v>
      </c>
      <c r="H375" s="27">
        <v>180</v>
      </c>
      <c r="I375" s="26" t="s">
        <v>22</v>
      </c>
    </row>
    <row r="376" spans="1:9" ht="14.4" x14ac:dyDescent="0.25">
      <c r="A376" s="24">
        <v>10307</v>
      </c>
      <c r="B376" s="25">
        <v>43951</v>
      </c>
      <c r="C376" s="64">
        <f t="shared" si="11"/>
        <v>2020</v>
      </c>
      <c r="D376" s="64" t="str">
        <f t="shared" si="12"/>
        <v>2020年2季度</v>
      </c>
      <c r="E376" s="26" t="s">
        <v>28</v>
      </c>
      <c r="F376" s="24">
        <v>49.3</v>
      </c>
      <c r="G376" s="24">
        <v>20</v>
      </c>
      <c r="H376" s="27">
        <v>986</v>
      </c>
      <c r="I376" s="26" t="s">
        <v>22</v>
      </c>
    </row>
    <row r="377" spans="1:9" ht="14.4" x14ac:dyDescent="0.25">
      <c r="A377" s="24">
        <v>10307</v>
      </c>
      <c r="B377" s="25">
        <v>43951</v>
      </c>
      <c r="C377" s="64">
        <f t="shared" si="11"/>
        <v>2020</v>
      </c>
      <c r="D377" s="64" t="str">
        <f t="shared" si="12"/>
        <v>2020年2季度</v>
      </c>
      <c r="E377" s="26" t="s">
        <v>28</v>
      </c>
      <c r="F377" s="24">
        <v>13</v>
      </c>
      <c r="G377" s="24">
        <v>10</v>
      </c>
      <c r="H377" s="27">
        <v>130</v>
      </c>
      <c r="I377" s="26" t="s">
        <v>22</v>
      </c>
    </row>
    <row r="378" spans="1:9" ht="14.4" x14ac:dyDescent="0.25">
      <c r="A378" s="24">
        <v>10311</v>
      </c>
      <c r="B378" s="25">
        <v>43961</v>
      </c>
      <c r="C378" s="64">
        <f t="shared" si="11"/>
        <v>2020</v>
      </c>
      <c r="D378" s="64" t="str">
        <f t="shared" si="12"/>
        <v>2020年2季度</v>
      </c>
      <c r="E378" s="26" t="s">
        <v>28</v>
      </c>
      <c r="F378" s="24">
        <v>53</v>
      </c>
      <c r="G378" s="24">
        <v>20</v>
      </c>
      <c r="H378" s="27">
        <v>1060</v>
      </c>
      <c r="I378" s="26" t="s">
        <v>25</v>
      </c>
    </row>
    <row r="379" spans="1:9" ht="14.4" x14ac:dyDescent="0.25">
      <c r="A379" s="24">
        <v>10311</v>
      </c>
      <c r="B379" s="25">
        <v>43961</v>
      </c>
      <c r="C379" s="64">
        <f t="shared" si="11"/>
        <v>2020</v>
      </c>
      <c r="D379" s="64" t="str">
        <f t="shared" si="12"/>
        <v>2020年2季度</v>
      </c>
      <c r="E379" s="26" t="s">
        <v>28</v>
      </c>
      <c r="F379" s="24">
        <v>32.799999999999997</v>
      </c>
      <c r="G379" s="24">
        <v>18</v>
      </c>
      <c r="H379" s="27">
        <v>590.4</v>
      </c>
      <c r="I379" s="26" t="s">
        <v>25</v>
      </c>
    </row>
    <row r="380" spans="1:9" ht="14.4" x14ac:dyDescent="0.25">
      <c r="A380" s="24">
        <v>10311</v>
      </c>
      <c r="B380" s="25">
        <v>43961</v>
      </c>
      <c r="C380" s="64">
        <f t="shared" si="11"/>
        <v>2020</v>
      </c>
      <c r="D380" s="64" t="str">
        <f t="shared" si="12"/>
        <v>2020年2季度</v>
      </c>
      <c r="E380" s="26" t="s">
        <v>28</v>
      </c>
      <c r="F380" s="24">
        <v>9.5</v>
      </c>
      <c r="G380" s="24">
        <v>25</v>
      </c>
      <c r="H380" s="27">
        <v>237.5</v>
      </c>
      <c r="I380" s="26" t="s">
        <v>25</v>
      </c>
    </row>
    <row r="381" spans="1:9" ht="14.4" x14ac:dyDescent="0.25">
      <c r="A381" s="24">
        <v>10314</v>
      </c>
      <c r="B381" s="25">
        <v>43965</v>
      </c>
      <c r="C381" s="64">
        <f t="shared" si="11"/>
        <v>2020</v>
      </c>
      <c r="D381" s="64" t="str">
        <f t="shared" si="12"/>
        <v>2020年2季度</v>
      </c>
      <c r="E381" s="26" t="s">
        <v>28</v>
      </c>
      <c r="F381" s="24">
        <v>53</v>
      </c>
      <c r="G381" s="24">
        <v>50</v>
      </c>
      <c r="H381" s="27">
        <v>2650</v>
      </c>
      <c r="I381" s="26" t="s">
        <v>22</v>
      </c>
    </row>
    <row r="382" spans="1:9" ht="14.4" x14ac:dyDescent="0.25">
      <c r="A382" s="24">
        <v>10320</v>
      </c>
      <c r="B382" s="25">
        <v>43977</v>
      </c>
      <c r="C382" s="64">
        <f t="shared" si="11"/>
        <v>2020</v>
      </c>
      <c r="D382" s="64" t="str">
        <f t="shared" si="12"/>
        <v>2020年2季度</v>
      </c>
      <c r="E382" s="26" t="s">
        <v>28</v>
      </c>
      <c r="F382" s="24">
        <v>53</v>
      </c>
      <c r="G382" s="24">
        <v>3</v>
      </c>
      <c r="H382" s="27">
        <v>159</v>
      </c>
      <c r="I382" s="26" t="s">
        <v>22</v>
      </c>
    </row>
    <row r="383" spans="1:9" ht="14.4" x14ac:dyDescent="0.25">
      <c r="A383" s="24">
        <v>10323</v>
      </c>
      <c r="B383" s="25">
        <v>43987</v>
      </c>
      <c r="C383" s="64">
        <f t="shared" si="11"/>
        <v>2020</v>
      </c>
      <c r="D383" s="64" t="str">
        <f t="shared" si="12"/>
        <v>2020年2季度</v>
      </c>
      <c r="E383" s="26" t="s">
        <v>28</v>
      </c>
      <c r="F383" s="24">
        <v>21</v>
      </c>
      <c r="G383" s="24">
        <v>15</v>
      </c>
      <c r="H383" s="27">
        <v>315</v>
      </c>
      <c r="I383" s="26" t="s">
        <v>22</v>
      </c>
    </row>
    <row r="384" spans="1:9" ht="14.4" x14ac:dyDescent="0.25">
      <c r="A384" s="24">
        <v>10323</v>
      </c>
      <c r="B384" s="25">
        <v>43987</v>
      </c>
      <c r="C384" s="64">
        <f t="shared" si="11"/>
        <v>2020</v>
      </c>
      <c r="D384" s="64" t="str">
        <f t="shared" si="12"/>
        <v>2020年2季度</v>
      </c>
      <c r="E384" s="26" t="s">
        <v>28</v>
      </c>
      <c r="F384" s="24">
        <v>38</v>
      </c>
      <c r="G384" s="24">
        <v>60</v>
      </c>
      <c r="H384" s="27">
        <v>2280</v>
      </c>
      <c r="I384" s="26" t="s">
        <v>22</v>
      </c>
    </row>
    <row r="385" spans="1:9" ht="14.4" x14ac:dyDescent="0.25">
      <c r="A385" s="24">
        <v>10324</v>
      </c>
      <c r="B385" s="25">
        <v>43987</v>
      </c>
      <c r="C385" s="64">
        <f t="shared" si="11"/>
        <v>2020</v>
      </c>
      <c r="D385" s="64" t="str">
        <f t="shared" si="12"/>
        <v>2020年2季度</v>
      </c>
      <c r="E385" s="26" t="s">
        <v>28</v>
      </c>
      <c r="F385" s="24">
        <v>14</v>
      </c>
      <c r="G385" s="24">
        <v>28</v>
      </c>
      <c r="H385" s="27">
        <v>392</v>
      </c>
      <c r="I385" s="26" t="s">
        <v>22</v>
      </c>
    </row>
    <row r="386" spans="1:9" ht="14.4" x14ac:dyDescent="0.25">
      <c r="A386" s="24">
        <v>10328</v>
      </c>
      <c r="B386" s="25">
        <v>43993</v>
      </c>
      <c r="C386" s="64">
        <f t="shared" si="11"/>
        <v>2020</v>
      </c>
      <c r="D386" s="64" t="str">
        <f t="shared" si="12"/>
        <v>2020年2季度</v>
      </c>
      <c r="E386" s="26" t="s">
        <v>28</v>
      </c>
      <c r="F386" s="24">
        <v>43.9</v>
      </c>
      <c r="G386" s="24">
        <v>6</v>
      </c>
      <c r="H386" s="27">
        <v>263.39999999999998</v>
      </c>
      <c r="I386" s="26" t="s">
        <v>23</v>
      </c>
    </row>
    <row r="387" spans="1:9" ht="14.4" x14ac:dyDescent="0.25">
      <c r="A387" s="24">
        <v>10329</v>
      </c>
      <c r="B387" s="25">
        <v>43999</v>
      </c>
      <c r="C387" s="64">
        <f t="shared" ref="C387:C450" si="13">YEAR(B387)</f>
        <v>2020</v>
      </c>
      <c r="D387" s="64" t="str">
        <f t="shared" ref="D387:D450" si="14">YEAR(B387)&amp;"年"&amp;ROUNDUP(MONTH(B387)/3,0)&amp;"季度"</f>
        <v>2020年2季度</v>
      </c>
      <c r="E387" s="26" t="s">
        <v>28</v>
      </c>
      <c r="F387" s="24">
        <v>19.45</v>
      </c>
      <c r="G387" s="24">
        <v>21</v>
      </c>
      <c r="H387" s="27">
        <v>408.45</v>
      </c>
      <c r="I387" s="26" t="s">
        <v>23</v>
      </c>
    </row>
    <row r="388" spans="1:9" ht="14.4" x14ac:dyDescent="0.25">
      <c r="A388" s="24">
        <v>10329</v>
      </c>
      <c r="B388" s="25">
        <v>43999</v>
      </c>
      <c r="C388" s="64">
        <f t="shared" si="13"/>
        <v>2020</v>
      </c>
      <c r="D388" s="64" t="str">
        <f t="shared" si="14"/>
        <v>2020年2季度</v>
      </c>
      <c r="E388" s="26" t="s">
        <v>28</v>
      </c>
      <c r="F388" s="24">
        <v>18</v>
      </c>
      <c r="G388" s="24">
        <v>10</v>
      </c>
      <c r="H388" s="27">
        <v>180</v>
      </c>
      <c r="I388" s="26" t="s">
        <v>23</v>
      </c>
    </row>
    <row r="389" spans="1:9" ht="14.4" x14ac:dyDescent="0.25">
      <c r="A389" s="24">
        <v>10336</v>
      </c>
      <c r="B389" s="25">
        <v>44013</v>
      </c>
      <c r="C389" s="64">
        <f t="shared" si="13"/>
        <v>2020</v>
      </c>
      <c r="D389" s="64" t="str">
        <f t="shared" si="14"/>
        <v>2020年3季度</v>
      </c>
      <c r="E389" s="26" t="s">
        <v>28</v>
      </c>
      <c r="F389" s="24">
        <v>36</v>
      </c>
      <c r="G389" s="24">
        <v>10</v>
      </c>
      <c r="H389" s="27">
        <v>360</v>
      </c>
      <c r="I389" s="26" t="s">
        <v>22</v>
      </c>
    </row>
    <row r="390" spans="1:9" ht="14.4" x14ac:dyDescent="0.25">
      <c r="A390" s="24">
        <v>10336</v>
      </c>
      <c r="B390" s="25">
        <v>44013</v>
      </c>
      <c r="C390" s="64">
        <f t="shared" si="13"/>
        <v>2020</v>
      </c>
      <c r="D390" s="64" t="str">
        <f t="shared" si="14"/>
        <v>2020年3季度</v>
      </c>
      <c r="E390" s="26" t="s">
        <v>28</v>
      </c>
      <c r="F390" s="24">
        <v>34</v>
      </c>
      <c r="G390" s="24">
        <v>24</v>
      </c>
      <c r="H390" s="27">
        <v>816</v>
      </c>
      <c r="I390" s="26" t="s">
        <v>22</v>
      </c>
    </row>
    <row r="391" spans="1:9" ht="14.4" x14ac:dyDescent="0.25">
      <c r="A391" s="24">
        <v>10337</v>
      </c>
      <c r="B391" s="25">
        <v>44013</v>
      </c>
      <c r="C391" s="64">
        <f t="shared" si="13"/>
        <v>2020</v>
      </c>
      <c r="D391" s="64" t="str">
        <f t="shared" si="14"/>
        <v>2020年3季度</v>
      </c>
      <c r="E391" s="26" t="s">
        <v>28</v>
      </c>
      <c r="F391" s="24">
        <v>12.5</v>
      </c>
      <c r="G391" s="24">
        <v>50</v>
      </c>
      <c r="H391" s="27">
        <v>625</v>
      </c>
      <c r="I391" s="26" t="s">
        <v>22</v>
      </c>
    </row>
    <row r="392" spans="1:9" ht="14.4" x14ac:dyDescent="0.25">
      <c r="A392" s="24">
        <v>10346</v>
      </c>
      <c r="B392" s="25">
        <v>44031</v>
      </c>
      <c r="C392" s="64">
        <f t="shared" si="13"/>
        <v>2020</v>
      </c>
      <c r="D392" s="64" t="str">
        <f t="shared" si="14"/>
        <v>2020年3季度</v>
      </c>
      <c r="E392" s="26" t="s">
        <v>28</v>
      </c>
      <c r="F392" s="24">
        <v>36</v>
      </c>
      <c r="G392" s="24">
        <v>20</v>
      </c>
      <c r="H392" s="27">
        <v>720</v>
      </c>
      <c r="I392" s="26" t="s">
        <v>22</v>
      </c>
    </row>
    <row r="393" spans="1:9" ht="14.4" x14ac:dyDescent="0.25">
      <c r="A393" s="24">
        <v>10346</v>
      </c>
      <c r="B393" s="25">
        <v>44031</v>
      </c>
      <c r="C393" s="64">
        <f t="shared" si="13"/>
        <v>2020</v>
      </c>
      <c r="D393" s="64" t="str">
        <f t="shared" si="14"/>
        <v>2020年3季度</v>
      </c>
      <c r="E393" s="26" t="s">
        <v>28</v>
      </c>
      <c r="F393" s="24">
        <v>81</v>
      </c>
      <c r="G393" s="24">
        <v>21</v>
      </c>
      <c r="H393" s="27">
        <v>1701</v>
      </c>
      <c r="I393" s="26" t="s">
        <v>22</v>
      </c>
    </row>
    <row r="394" spans="1:9" ht="14.4" x14ac:dyDescent="0.25">
      <c r="A394" s="24">
        <v>10346</v>
      </c>
      <c r="B394" s="25">
        <v>44031</v>
      </c>
      <c r="C394" s="64">
        <f t="shared" si="13"/>
        <v>2020</v>
      </c>
      <c r="D394" s="64" t="str">
        <f t="shared" si="14"/>
        <v>2020年3季度</v>
      </c>
      <c r="E394" s="26" t="s">
        <v>28</v>
      </c>
      <c r="F394" s="24">
        <v>18</v>
      </c>
      <c r="G394" s="24">
        <v>4</v>
      </c>
      <c r="H394" s="27">
        <v>72</v>
      </c>
      <c r="I394" s="26" t="s">
        <v>22</v>
      </c>
    </row>
    <row r="395" spans="1:9" ht="14.4" x14ac:dyDescent="0.25">
      <c r="A395" s="24">
        <v>10351</v>
      </c>
      <c r="B395" s="25">
        <v>44041</v>
      </c>
      <c r="C395" s="64">
        <f t="shared" si="13"/>
        <v>2020</v>
      </c>
      <c r="D395" s="64" t="str">
        <f t="shared" si="14"/>
        <v>2020年3季度</v>
      </c>
      <c r="E395" s="26" t="s">
        <v>28</v>
      </c>
      <c r="F395" s="24">
        <v>43.9</v>
      </c>
      <c r="G395" s="24">
        <v>50</v>
      </c>
      <c r="H395" s="27">
        <v>2195</v>
      </c>
      <c r="I395" s="26" t="s">
        <v>27</v>
      </c>
    </row>
    <row r="396" spans="1:9" ht="14.4" x14ac:dyDescent="0.25">
      <c r="A396" s="24">
        <v>10352</v>
      </c>
      <c r="B396" s="25">
        <v>44043</v>
      </c>
      <c r="C396" s="64">
        <f t="shared" si="13"/>
        <v>2020</v>
      </c>
      <c r="D396" s="64" t="str">
        <f t="shared" si="14"/>
        <v>2020年3季度</v>
      </c>
      <c r="E396" s="26" t="s">
        <v>28</v>
      </c>
      <c r="F396" s="24">
        <v>49.3</v>
      </c>
      <c r="G396" s="24">
        <v>10</v>
      </c>
      <c r="H396" s="27">
        <v>493</v>
      </c>
      <c r="I396" s="26" t="s">
        <v>23</v>
      </c>
    </row>
    <row r="397" spans="1:9" ht="14.4" x14ac:dyDescent="0.25">
      <c r="A397" s="24">
        <v>10353</v>
      </c>
      <c r="B397" s="25">
        <v>44045</v>
      </c>
      <c r="C397" s="64">
        <f t="shared" si="13"/>
        <v>2020</v>
      </c>
      <c r="D397" s="64" t="str">
        <f t="shared" si="14"/>
        <v>2020年3季度</v>
      </c>
      <c r="E397" s="26" t="s">
        <v>28</v>
      </c>
      <c r="F397" s="24">
        <v>7.45</v>
      </c>
      <c r="G397" s="24">
        <v>4</v>
      </c>
      <c r="H397" s="27">
        <v>29.8</v>
      </c>
      <c r="I397" s="26" t="s">
        <v>22</v>
      </c>
    </row>
    <row r="398" spans="1:9" ht="14.4" x14ac:dyDescent="0.25">
      <c r="A398" s="24">
        <v>10360</v>
      </c>
      <c r="B398" s="25">
        <v>44057</v>
      </c>
      <c r="C398" s="64">
        <f t="shared" si="13"/>
        <v>2020</v>
      </c>
      <c r="D398" s="64" t="str">
        <f t="shared" si="14"/>
        <v>2020年3季度</v>
      </c>
      <c r="E398" s="26" t="s">
        <v>28</v>
      </c>
      <c r="F398" s="24">
        <v>30</v>
      </c>
      <c r="G398" s="24">
        <v>45</v>
      </c>
      <c r="H398" s="27">
        <v>1350</v>
      </c>
      <c r="I398" s="26" t="s">
        <v>22</v>
      </c>
    </row>
    <row r="399" spans="1:9" ht="14.4" x14ac:dyDescent="0.25">
      <c r="A399" s="24">
        <v>10360</v>
      </c>
      <c r="B399" s="25">
        <v>44057</v>
      </c>
      <c r="C399" s="64">
        <f t="shared" si="13"/>
        <v>2020</v>
      </c>
      <c r="D399" s="64" t="str">
        <f t="shared" si="14"/>
        <v>2020年3季度</v>
      </c>
      <c r="E399" s="26" t="s">
        <v>28</v>
      </c>
      <c r="F399" s="24">
        <v>2.5</v>
      </c>
      <c r="G399" s="24">
        <v>14</v>
      </c>
      <c r="H399" s="27">
        <v>35</v>
      </c>
      <c r="I399" s="26" t="s">
        <v>22</v>
      </c>
    </row>
    <row r="400" spans="1:9" ht="14.4" x14ac:dyDescent="0.25">
      <c r="A400" s="24">
        <v>10360</v>
      </c>
      <c r="B400" s="25">
        <v>44057</v>
      </c>
      <c r="C400" s="64">
        <f t="shared" si="13"/>
        <v>2020</v>
      </c>
      <c r="D400" s="64" t="str">
        <f t="shared" si="14"/>
        <v>2020年3季度</v>
      </c>
      <c r="E400" s="26" t="s">
        <v>28</v>
      </c>
      <c r="F400" s="24">
        <v>39</v>
      </c>
      <c r="G400" s="24">
        <v>100</v>
      </c>
      <c r="H400" s="27">
        <v>3900</v>
      </c>
      <c r="I400" s="26" t="s">
        <v>22</v>
      </c>
    </row>
    <row r="401" spans="1:9" ht="14.4" x14ac:dyDescent="0.25">
      <c r="A401" s="24">
        <v>10366</v>
      </c>
      <c r="B401" s="25">
        <v>44071</v>
      </c>
      <c r="C401" s="64">
        <f t="shared" si="13"/>
        <v>2020</v>
      </c>
      <c r="D401" s="64" t="str">
        <f t="shared" si="14"/>
        <v>2020年3季度</v>
      </c>
      <c r="E401" s="26" t="s">
        <v>28</v>
      </c>
      <c r="F401" s="24">
        <v>7.75</v>
      </c>
      <c r="G401" s="24">
        <v>40</v>
      </c>
      <c r="H401" s="27">
        <v>310</v>
      </c>
      <c r="I401" s="26" t="s">
        <v>23</v>
      </c>
    </row>
    <row r="402" spans="1:9" ht="14.4" x14ac:dyDescent="0.25">
      <c r="A402" s="24">
        <v>10366</v>
      </c>
      <c r="B402" s="25">
        <v>44071</v>
      </c>
      <c r="C402" s="64">
        <f t="shared" si="13"/>
        <v>2020</v>
      </c>
      <c r="D402" s="64" t="str">
        <f t="shared" si="14"/>
        <v>2020年3季度</v>
      </c>
      <c r="E402" s="26" t="s">
        <v>28</v>
      </c>
      <c r="F402" s="24">
        <v>6</v>
      </c>
      <c r="G402" s="24">
        <v>8</v>
      </c>
      <c r="H402" s="27">
        <v>48</v>
      </c>
      <c r="I402" s="26" t="s">
        <v>23</v>
      </c>
    </row>
    <row r="403" spans="1:9" ht="14.4" x14ac:dyDescent="0.25">
      <c r="A403" s="24">
        <v>10367</v>
      </c>
      <c r="B403" s="25">
        <v>44071</v>
      </c>
      <c r="C403" s="64">
        <f t="shared" si="13"/>
        <v>2020</v>
      </c>
      <c r="D403" s="64" t="str">
        <f t="shared" si="14"/>
        <v>2020年3季度</v>
      </c>
      <c r="E403" s="26" t="s">
        <v>28</v>
      </c>
      <c r="F403" s="24">
        <v>21</v>
      </c>
      <c r="G403" s="24">
        <v>14</v>
      </c>
      <c r="H403" s="27">
        <v>294</v>
      </c>
      <c r="I403" s="26" t="s">
        <v>22</v>
      </c>
    </row>
    <row r="404" spans="1:9" ht="14.4" x14ac:dyDescent="0.25">
      <c r="A404" s="24">
        <v>10372</v>
      </c>
      <c r="B404" s="25">
        <v>44083</v>
      </c>
      <c r="C404" s="64">
        <f t="shared" si="13"/>
        <v>2020</v>
      </c>
      <c r="D404" s="64" t="str">
        <f t="shared" si="14"/>
        <v>2020年3季度</v>
      </c>
      <c r="E404" s="26" t="s">
        <v>28</v>
      </c>
      <c r="F404" s="24">
        <v>10</v>
      </c>
      <c r="G404" s="24">
        <v>42</v>
      </c>
      <c r="H404" s="27">
        <v>420</v>
      </c>
      <c r="I404" s="26" t="s">
        <v>23</v>
      </c>
    </row>
    <row r="405" spans="1:9" ht="14.4" x14ac:dyDescent="0.25">
      <c r="A405" s="24">
        <v>10373</v>
      </c>
      <c r="B405" s="25">
        <v>44085</v>
      </c>
      <c r="C405" s="64">
        <f t="shared" si="13"/>
        <v>2020</v>
      </c>
      <c r="D405" s="64" t="str">
        <f t="shared" si="14"/>
        <v>2020年3季度</v>
      </c>
      <c r="E405" s="26" t="s">
        <v>28</v>
      </c>
      <c r="F405" s="24">
        <v>4.5</v>
      </c>
      <c r="G405" s="24">
        <v>5</v>
      </c>
      <c r="H405" s="27">
        <v>22.5</v>
      </c>
      <c r="I405" s="26" t="s">
        <v>27</v>
      </c>
    </row>
    <row r="406" spans="1:9" ht="14.4" x14ac:dyDescent="0.25">
      <c r="A406" s="24">
        <v>10373</v>
      </c>
      <c r="B406" s="25">
        <v>44085</v>
      </c>
      <c r="C406" s="64">
        <f t="shared" si="13"/>
        <v>2020</v>
      </c>
      <c r="D406" s="64" t="str">
        <f t="shared" si="14"/>
        <v>2020年3季度</v>
      </c>
      <c r="E406" s="26" t="s">
        <v>28</v>
      </c>
      <c r="F406" s="24">
        <v>7</v>
      </c>
      <c r="G406" s="24">
        <v>5</v>
      </c>
      <c r="H406" s="27">
        <v>35</v>
      </c>
      <c r="I406" s="26" t="s">
        <v>27</v>
      </c>
    </row>
    <row r="407" spans="1:9" ht="14.4" x14ac:dyDescent="0.25">
      <c r="A407" s="24">
        <v>10378</v>
      </c>
      <c r="B407" s="25">
        <v>44091</v>
      </c>
      <c r="C407" s="64">
        <f t="shared" si="13"/>
        <v>2020</v>
      </c>
      <c r="D407" s="64" t="str">
        <f t="shared" si="14"/>
        <v>2020年3季度</v>
      </c>
      <c r="E407" s="26" t="s">
        <v>28</v>
      </c>
      <c r="F407" s="24">
        <v>23.25</v>
      </c>
      <c r="G407" s="24">
        <v>3</v>
      </c>
      <c r="H407" s="27">
        <v>69.75</v>
      </c>
      <c r="I407" s="26" t="s">
        <v>22</v>
      </c>
    </row>
    <row r="408" spans="1:9" ht="14.4" x14ac:dyDescent="0.25">
      <c r="A408" s="24">
        <v>10378</v>
      </c>
      <c r="B408" s="25">
        <v>44091</v>
      </c>
      <c r="C408" s="64">
        <f t="shared" si="13"/>
        <v>2020</v>
      </c>
      <c r="D408" s="64" t="str">
        <f t="shared" si="14"/>
        <v>2020年3季度</v>
      </c>
      <c r="E408" s="26" t="s">
        <v>28</v>
      </c>
      <c r="F408" s="24">
        <v>34</v>
      </c>
      <c r="G408" s="24">
        <v>10</v>
      </c>
      <c r="H408" s="27">
        <v>340</v>
      </c>
      <c r="I408" s="26" t="s">
        <v>22</v>
      </c>
    </row>
    <row r="409" spans="1:9" ht="14.4" x14ac:dyDescent="0.25">
      <c r="A409" s="24">
        <v>10379</v>
      </c>
      <c r="B409" s="25">
        <v>44097</v>
      </c>
      <c r="C409" s="64">
        <f t="shared" si="13"/>
        <v>2020</v>
      </c>
      <c r="D409" s="64" t="str">
        <f t="shared" si="14"/>
        <v>2020年3季度</v>
      </c>
      <c r="E409" s="26" t="s">
        <v>28</v>
      </c>
      <c r="F409" s="24">
        <v>32.799999999999997</v>
      </c>
      <c r="G409" s="24">
        <v>12</v>
      </c>
      <c r="H409" s="27">
        <v>393.6</v>
      </c>
      <c r="I409" s="26" t="s">
        <v>23</v>
      </c>
    </row>
    <row r="410" spans="1:9" ht="14.4" x14ac:dyDescent="0.25">
      <c r="A410" s="24">
        <v>10386</v>
      </c>
      <c r="B410" s="25">
        <v>44105</v>
      </c>
      <c r="C410" s="64">
        <f t="shared" si="13"/>
        <v>2020</v>
      </c>
      <c r="D410" s="64" t="str">
        <f t="shared" si="14"/>
        <v>2020年4季度</v>
      </c>
      <c r="E410" s="26" t="s">
        <v>28</v>
      </c>
      <c r="F410" s="24">
        <v>6</v>
      </c>
      <c r="G410" s="24">
        <v>13</v>
      </c>
      <c r="H410" s="27">
        <v>78</v>
      </c>
      <c r="I410" s="26" t="s">
        <v>22</v>
      </c>
    </row>
    <row r="411" spans="1:9" ht="14.4" x14ac:dyDescent="0.25">
      <c r="A411" s="24">
        <v>10387</v>
      </c>
      <c r="B411" s="25">
        <v>44105</v>
      </c>
      <c r="C411" s="64">
        <f t="shared" si="13"/>
        <v>2020</v>
      </c>
      <c r="D411" s="64" t="str">
        <f t="shared" si="14"/>
        <v>2020年4季度</v>
      </c>
      <c r="E411" s="26" t="s">
        <v>28</v>
      </c>
      <c r="F411" s="24">
        <v>53</v>
      </c>
      <c r="G411" s="24">
        <v>15</v>
      </c>
      <c r="H411" s="27">
        <v>795</v>
      </c>
      <c r="I411" s="26" t="s">
        <v>23</v>
      </c>
    </row>
    <row r="412" spans="1:9" ht="14.4" x14ac:dyDescent="0.25">
      <c r="A412" s="24">
        <v>10387</v>
      </c>
      <c r="B412" s="25">
        <v>44105</v>
      </c>
      <c r="C412" s="64">
        <f t="shared" si="13"/>
        <v>2020</v>
      </c>
      <c r="D412" s="64" t="str">
        <f t="shared" si="14"/>
        <v>2020年4季度</v>
      </c>
      <c r="E412" s="26" t="s">
        <v>28</v>
      </c>
      <c r="F412" s="24">
        <v>30</v>
      </c>
      <c r="G412" s="24">
        <v>35</v>
      </c>
      <c r="H412" s="27">
        <v>1050</v>
      </c>
      <c r="I412" s="26" t="s">
        <v>23</v>
      </c>
    </row>
    <row r="413" spans="1:9" ht="14.4" x14ac:dyDescent="0.25">
      <c r="A413" s="24">
        <v>10393</v>
      </c>
      <c r="B413" s="25">
        <v>44117</v>
      </c>
      <c r="C413" s="64">
        <f t="shared" si="13"/>
        <v>2020</v>
      </c>
      <c r="D413" s="64" t="str">
        <f t="shared" si="14"/>
        <v>2020年4季度</v>
      </c>
      <c r="E413" s="26" t="s">
        <v>28</v>
      </c>
      <c r="F413" s="24">
        <v>36</v>
      </c>
      <c r="G413" s="24">
        <v>20</v>
      </c>
      <c r="H413" s="27">
        <v>720</v>
      </c>
      <c r="I413" s="26" t="s">
        <v>27</v>
      </c>
    </row>
    <row r="414" spans="1:9" ht="14.4" x14ac:dyDescent="0.25">
      <c r="A414" s="24">
        <v>10394</v>
      </c>
      <c r="B414" s="25">
        <v>44119</v>
      </c>
      <c r="C414" s="64">
        <f t="shared" si="13"/>
        <v>2020</v>
      </c>
      <c r="D414" s="64" t="str">
        <f t="shared" si="14"/>
        <v>2020年4季度</v>
      </c>
      <c r="E414" s="26" t="s">
        <v>28</v>
      </c>
      <c r="F414" s="24">
        <v>19</v>
      </c>
      <c r="G414" s="24">
        <v>50</v>
      </c>
      <c r="H414" s="27">
        <v>950</v>
      </c>
      <c r="I414" s="26" t="s">
        <v>26</v>
      </c>
    </row>
    <row r="415" spans="1:9" ht="14.4" x14ac:dyDescent="0.25">
      <c r="A415" s="24">
        <v>10394</v>
      </c>
      <c r="B415" s="25">
        <v>44119</v>
      </c>
      <c r="C415" s="64">
        <f t="shared" si="13"/>
        <v>2020</v>
      </c>
      <c r="D415" s="64" t="str">
        <f t="shared" si="14"/>
        <v>2020年4季度</v>
      </c>
      <c r="E415" s="26" t="s">
        <v>28</v>
      </c>
      <c r="F415" s="24">
        <v>18.399999999999999</v>
      </c>
      <c r="G415" s="24">
        <v>60</v>
      </c>
      <c r="H415" s="27">
        <v>1104</v>
      </c>
      <c r="I415" s="26" t="s">
        <v>26</v>
      </c>
    </row>
    <row r="416" spans="1:9" ht="14.4" x14ac:dyDescent="0.25">
      <c r="A416" s="24">
        <v>10400</v>
      </c>
      <c r="B416" s="25">
        <v>44129</v>
      </c>
      <c r="C416" s="64">
        <f t="shared" si="13"/>
        <v>2020</v>
      </c>
      <c r="D416" s="64" t="str">
        <f t="shared" si="14"/>
        <v>2020年4季度</v>
      </c>
      <c r="E416" s="26" t="s">
        <v>28</v>
      </c>
      <c r="F416" s="24">
        <v>9.1999999999999993</v>
      </c>
      <c r="G416" s="24">
        <v>30</v>
      </c>
      <c r="H416" s="27">
        <v>276</v>
      </c>
      <c r="I416" s="26" t="s">
        <v>23</v>
      </c>
    </row>
    <row r="417" spans="1:9" ht="14.4" x14ac:dyDescent="0.25">
      <c r="A417" s="24">
        <v>10401</v>
      </c>
      <c r="B417" s="25">
        <v>44131</v>
      </c>
      <c r="C417" s="64">
        <f t="shared" si="13"/>
        <v>2020</v>
      </c>
      <c r="D417" s="64" t="str">
        <f t="shared" si="14"/>
        <v>2020年4季度</v>
      </c>
      <c r="E417" s="26" t="s">
        <v>28</v>
      </c>
      <c r="F417" s="24">
        <v>4.5</v>
      </c>
      <c r="G417" s="24">
        <v>15</v>
      </c>
      <c r="H417" s="27">
        <v>67.5</v>
      </c>
      <c r="I417" s="26" t="s">
        <v>22</v>
      </c>
    </row>
    <row r="418" spans="1:9" ht="14.4" x14ac:dyDescent="0.25">
      <c r="A418" s="24">
        <v>10401</v>
      </c>
      <c r="B418" s="25">
        <v>44131</v>
      </c>
      <c r="C418" s="64">
        <f t="shared" si="13"/>
        <v>2020</v>
      </c>
      <c r="D418" s="64" t="str">
        <f t="shared" si="14"/>
        <v>2020年4季度</v>
      </c>
      <c r="E418" s="26" t="s">
        <v>28</v>
      </c>
      <c r="F418" s="24">
        <v>21</v>
      </c>
      <c r="G418" s="24">
        <v>15</v>
      </c>
      <c r="H418" s="27">
        <v>315</v>
      </c>
      <c r="I418" s="26" t="s">
        <v>22</v>
      </c>
    </row>
    <row r="419" spans="1:9" ht="14.4" x14ac:dyDescent="0.25">
      <c r="A419" s="24">
        <v>10409</v>
      </c>
      <c r="B419" s="25">
        <v>44145</v>
      </c>
      <c r="C419" s="64">
        <f t="shared" si="13"/>
        <v>2020</v>
      </c>
      <c r="D419" s="64" t="str">
        <f t="shared" si="14"/>
        <v>2020年4季度</v>
      </c>
      <c r="E419" s="26" t="s">
        <v>28</v>
      </c>
      <c r="F419" s="24">
        <v>9.5</v>
      </c>
      <c r="G419" s="24">
        <v>6</v>
      </c>
      <c r="H419" s="27">
        <v>57</v>
      </c>
      <c r="I419" s="26" t="s">
        <v>23</v>
      </c>
    </row>
    <row r="420" spans="1:9" ht="14.4" x14ac:dyDescent="0.25">
      <c r="A420" s="24">
        <v>10409</v>
      </c>
      <c r="B420" s="25">
        <v>44145</v>
      </c>
      <c r="C420" s="64">
        <f t="shared" si="13"/>
        <v>2020</v>
      </c>
      <c r="D420" s="64" t="str">
        <f t="shared" si="14"/>
        <v>2020年4季度</v>
      </c>
      <c r="E420" s="26" t="s">
        <v>28</v>
      </c>
      <c r="F420" s="24">
        <v>23.25</v>
      </c>
      <c r="G420" s="24">
        <v>3</v>
      </c>
      <c r="H420" s="27">
        <v>69.75</v>
      </c>
      <c r="I420" s="26" t="s">
        <v>23</v>
      </c>
    </row>
    <row r="421" spans="1:9" ht="14.4" x14ac:dyDescent="0.25">
      <c r="A421" s="24">
        <v>10409</v>
      </c>
      <c r="B421" s="25">
        <v>44145</v>
      </c>
      <c r="C421" s="64">
        <f t="shared" si="13"/>
        <v>2020</v>
      </c>
      <c r="D421" s="64" t="str">
        <f t="shared" si="14"/>
        <v>2020年4季度</v>
      </c>
      <c r="E421" s="26" t="s">
        <v>28</v>
      </c>
      <c r="F421" s="24">
        <v>19.45</v>
      </c>
      <c r="G421" s="24">
        <v>28</v>
      </c>
      <c r="H421" s="27">
        <v>544.6</v>
      </c>
      <c r="I421" s="26" t="s">
        <v>23</v>
      </c>
    </row>
    <row r="422" spans="1:9" ht="14.4" x14ac:dyDescent="0.25">
      <c r="A422" s="24">
        <v>10414</v>
      </c>
      <c r="B422" s="25">
        <v>44155</v>
      </c>
      <c r="C422" s="64">
        <f t="shared" si="13"/>
        <v>2020</v>
      </c>
      <c r="D422" s="64" t="str">
        <f t="shared" si="14"/>
        <v>2020年4季度</v>
      </c>
      <c r="E422" s="26" t="s">
        <v>28</v>
      </c>
      <c r="F422" s="24">
        <v>13.25</v>
      </c>
      <c r="G422" s="24">
        <v>49</v>
      </c>
      <c r="H422" s="27">
        <v>649.25</v>
      </c>
      <c r="I422" s="26" t="s">
        <v>26</v>
      </c>
    </row>
    <row r="423" spans="1:9" ht="14.4" x14ac:dyDescent="0.25">
      <c r="A423" s="24">
        <v>10415</v>
      </c>
      <c r="B423" s="25">
        <v>44155</v>
      </c>
      <c r="C423" s="64">
        <f t="shared" si="13"/>
        <v>2020</v>
      </c>
      <c r="D423" s="64" t="str">
        <f t="shared" si="14"/>
        <v>2020年4季度</v>
      </c>
      <c r="E423" s="26" t="s">
        <v>28</v>
      </c>
      <c r="F423" s="24">
        <v>12.5</v>
      </c>
      <c r="G423" s="24">
        <v>10</v>
      </c>
      <c r="H423" s="27">
        <v>125</v>
      </c>
      <c r="I423" s="26" t="s">
        <v>22</v>
      </c>
    </row>
    <row r="424" spans="1:9" ht="14.4" x14ac:dyDescent="0.25">
      <c r="A424" s="24">
        <v>10416</v>
      </c>
      <c r="B424" s="25">
        <v>44157</v>
      </c>
      <c r="C424" s="64">
        <f t="shared" si="13"/>
        <v>2020</v>
      </c>
      <c r="D424" s="64" t="str">
        <f t="shared" si="14"/>
        <v>2020年4季度</v>
      </c>
      <c r="E424" s="26" t="s">
        <v>28</v>
      </c>
      <c r="F424" s="24">
        <v>14</v>
      </c>
      <c r="G424" s="24">
        <v>30</v>
      </c>
      <c r="H424" s="27">
        <v>420</v>
      </c>
      <c r="I424" s="26" t="s">
        <v>23</v>
      </c>
    </row>
    <row r="425" spans="1:9" ht="14.4" x14ac:dyDescent="0.25">
      <c r="A425" s="24">
        <v>10416</v>
      </c>
      <c r="B425" s="25">
        <v>44157</v>
      </c>
      <c r="C425" s="64">
        <f t="shared" si="13"/>
        <v>2020</v>
      </c>
      <c r="D425" s="64" t="str">
        <f t="shared" si="14"/>
        <v>2020年4季度</v>
      </c>
      <c r="E425" s="26" t="s">
        <v>28</v>
      </c>
      <c r="F425" s="24">
        <v>53</v>
      </c>
      <c r="G425" s="24">
        <v>20</v>
      </c>
      <c r="H425" s="27">
        <v>1060</v>
      </c>
      <c r="I425" s="26" t="s">
        <v>23</v>
      </c>
    </row>
    <row r="426" spans="1:9" ht="14.4" x14ac:dyDescent="0.25">
      <c r="A426" s="24">
        <v>10418</v>
      </c>
      <c r="B426" s="25">
        <v>44159</v>
      </c>
      <c r="C426" s="64">
        <f t="shared" si="13"/>
        <v>2020</v>
      </c>
      <c r="D426" s="64" t="str">
        <f t="shared" si="14"/>
        <v>2020年4季度</v>
      </c>
      <c r="E426" s="26" t="s">
        <v>28</v>
      </c>
      <c r="F426" s="24">
        <v>53</v>
      </c>
      <c r="G426" s="24">
        <v>20</v>
      </c>
      <c r="H426" s="27">
        <v>1060</v>
      </c>
      <c r="I426" s="26" t="s">
        <v>22</v>
      </c>
    </row>
    <row r="427" spans="1:9" ht="14.4" x14ac:dyDescent="0.25">
      <c r="A427" s="24">
        <v>10422</v>
      </c>
      <c r="B427" s="25">
        <v>44167</v>
      </c>
      <c r="C427" s="64">
        <f t="shared" si="13"/>
        <v>2020</v>
      </c>
      <c r="D427" s="64" t="str">
        <f t="shared" si="14"/>
        <v>2020年4季度</v>
      </c>
      <c r="E427" s="26" t="s">
        <v>28</v>
      </c>
      <c r="F427" s="24">
        <v>19</v>
      </c>
      <c r="G427" s="24">
        <v>30</v>
      </c>
      <c r="H427" s="27">
        <v>570</v>
      </c>
      <c r="I427" s="26" t="s">
        <v>27</v>
      </c>
    </row>
    <row r="428" spans="1:9" ht="14.4" x14ac:dyDescent="0.25">
      <c r="A428" s="24">
        <v>10423</v>
      </c>
      <c r="B428" s="25">
        <v>44169</v>
      </c>
      <c r="C428" s="64">
        <f t="shared" si="13"/>
        <v>2020</v>
      </c>
      <c r="D428" s="64" t="str">
        <f t="shared" si="14"/>
        <v>2020年4季度</v>
      </c>
      <c r="E428" s="26" t="s">
        <v>28</v>
      </c>
      <c r="F428" s="24">
        <v>14</v>
      </c>
      <c r="G428" s="24">
        <v>25</v>
      </c>
      <c r="H428" s="27">
        <v>350</v>
      </c>
      <c r="I428" s="26" t="s">
        <v>26</v>
      </c>
    </row>
    <row r="429" spans="1:9" ht="14.4" x14ac:dyDescent="0.25">
      <c r="A429" s="24">
        <v>10423</v>
      </c>
      <c r="B429" s="25">
        <v>44169</v>
      </c>
      <c r="C429" s="64">
        <f t="shared" si="13"/>
        <v>2020</v>
      </c>
      <c r="D429" s="64" t="str">
        <f t="shared" si="14"/>
        <v>2020年4季度</v>
      </c>
      <c r="E429" s="26" t="s">
        <v>28</v>
      </c>
      <c r="F429" s="24">
        <v>15</v>
      </c>
      <c r="G429" s="24">
        <v>50</v>
      </c>
      <c r="H429" s="27">
        <v>750</v>
      </c>
      <c r="I429" s="26" t="s">
        <v>26</v>
      </c>
    </row>
    <row r="430" spans="1:9" ht="14.4" x14ac:dyDescent="0.25">
      <c r="A430" s="24">
        <v>10429</v>
      </c>
      <c r="B430" s="25">
        <v>44181</v>
      </c>
      <c r="C430" s="64">
        <f t="shared" si="13"/>
        <v>2020</v>
      </c>
      <c r="D430" s="64" t="str">
        <f t="shared" si="14"/>
        <v>2020年4季度</v>
      </c>
      <c r="E430" s="26" t="s">
        <v>28</v>
      </c>
      <c r="F430" s="24">
        <v>19.45</v>
      </c>
      <c r="G430" s="24">
        <v>21</v>
      </c>
      <c r="H430" s="27">
        <v>408.45</v>
      </c>
      <c r="I430" s="26" t="s">
        <v>23</v>
      </c>
    </row>
    <row r="431" spans="1:9" ht="14.4" x14ac:dyDescent="0.25">
      <c r="A431" s="24">
        <v>10429</v>
      </c>
      <c r="B431" s="25">
        <v>44181</v>
      </c>
      <c r="C431" s="64">
        <f t="shared" si="13"/>
        <v>2020</v>
      </c>
      <c r="D431" s="64" t="str">
        <f t="shared" si="14"/>
        <v>2020年4季度</v>
      </c>
      <c r="E431" s="26" t="s">
        <v>28</v>
      </c>
      <c r="F431" s="24">
        <v>31</v>
      </c>
      <c r="G431" s="24">
        <v>2</v>
      </c>
      <c r="H431" s="27">
        <v>62</v>
      </c>
      <c r="I431" s="26" t="s">
        <v>23</v>
      </c>
    </row>
    <row r="432" spans="1:9" ht="14.4" x14ac:dyDescent="0.25">
      <c r="A432" s="24">
        <v>10429</v>
      </c>
      <c r="B432" s="25">
        <v>44181</v>
      </c>
      <c r="C432" s="64">
        <f t="shared" si="13"/>
        <v>2020</v>
      </c>
      <c r="D432" s="64" t="str">
        <f t="shared" si="14"/>
        <v>2020年4季度</v>
      </c>
      <c r="E432" s="26" t="s">
        <v>28</v>
      </c>
      <c r="F432" s="24">
        <v>9.1999999999999993</v>
      </c>
      <c r="G432" s="24">
        <v>7</v>
      </c>
      <c r="H432" s="27">
        <v>64.400000000000006</v>
      </c>
      <c r="I432" s="26" t="s">
        <v>23</v>
      </c>
    </row>
    <row r="433" spans="1:9" ht="14.4" x14ac:dyDescent="0.25">
      <c r="A433" s="24">
        <v>10434</v>
      </c>
      <c r="B433" s="25">
        <v>44187</v>
      </c>
      <c r="C433" s="64">
        <f t="shared" si="13"/>
        <v>2020</v>
      </c>
      <c r="D433" s="64" t="str">
        <f t="shared" si="14"/>
        <v>2020年4季度</v>
      </c>
      <c r="E433" s="26" t="s">
        <v>28</v>
      </c>
      <c r="F433" s="24">
        <v>33.25</v>
      </c>
      <c r="G433" s="24">
        <v>28</v>
      </c>
      <c r="H433" s="27">
        <v>931</v>
      </c>
      <c r="I433" s="26" t="s">
        <v>23</v>
      </c>
    </row>
    <row r="434" spans="1:9" ht="14.4" x14ac:dyDescent="0.25">
      <c r="A434" s="24">
        <v>10435</v>
      </c>
      <c r="B434" s="25">
        <v>44187</v>
      </c>
      <c r="C434" s="64">
        <f t="shared" si="13"/>
        <v>2020</v>
      </c>
      <c r="D434" s="64" t="str">
        <f t="shared" si="14"/>
        <v>2020年4季度</v>
      </c>
      <c r="E434" s="26" t="s">
        <v>28</v>
      </c>
      <c r="F434" s="24">
        <v>7.75</v>
      </c>
      <c r="G434" s="24">
        <v>30</v>
      </c>
      <c r="H434" s="27">
        <v>232.5</v>
      </c>
      <c r="I434" s="26" t="s">
        <v>22</v>
      </c>
    </row>
    <row r="435" spans="1:9" ht="14.4" x14ac:dyDescent="0.25">
      <c r="A435" s="24">
        <v>10435</v>
      </c>
      <c r="B435" s="25">
        <v>44187</v>
      </c>
      <c r="C435" s="64">
        <f t="shared" si="13"/>
        <v>2020</v>
      </c>
      <c r="D435" s="64" t="str">
        <f t="shared" si="14"/>
        <v>2020年4季度</v>
      </c>
      <c r="E435" s="26" t="s">
        <v>28</v>
      </c>
      <c r="F435" s="24">
        <v>2.5</v>
      </c>
      <c r="G435" s="24">
        <v>30</v>
      </c>
      <c r="H435" s="27">
        <v>75</v>
      </c>
      <c r="I435" s="26" t="s">
        <v>22</v>
      </c>
    </row>
    <row r="436" spans="1:9" ht="14.4" x14ac:dyDescent="0.25">
      <c r="A436" s="24">
        <v>10003</v>
      </c>
      <c r="B436" s="25">
        <v>43299</v>
      </c>
      <c r="C436" s="64">
        <f t="shared" si="13"/>
        <v>2018</v>
      </c>
      <c r="D436" s="64" t="str">
        <f t="shared" si="14"/>
        <v>2018年3季度</v>
      </c>
      <c r="E436" s="26" t="s">
        <v>29</v>
      </c>
      <c r="F436" s="24">
        <v>16.8</v>
      </c>
      <c r="G436" s="24">
        <v>15</v>
      </c>
      <c r="H436" s="27">
        <v>252</v>
      </c>
      <c r="I436" s="26" t="s">
        <v>22</v>
      </c>
    </row>
    <row r="437" spans="1:9" ht="14.4" x14ac:dyDescent="0.25">
      <c r="A437" s="24">
        <v>10004</v>
      </c>
      <c r="B437" s="25">
        <v>43299</v>
      </c>
      <c r="C437" s="64">
        <f t="shared" si="13"/>
        <v>2018</v>
      </c>
      <c r="D437" s="64" t="str">
        <f t="shared" si="14"/>
        <v>2018年3季度</v>
      </c>
      <c r="E437" s="26" t="s">
        <v>29</v>
      </c>
      <c r="F437" s="24">
        <v>15.6</v>
      </c>
      <c r="G437" s="24">
        <v>15</v>
      </c>
      <c r="H437" s="27">
        <v>234</v>
      </c>
      <c r="I437" s="26" t="s">
        <v>23</v>
      </c>
    </row>
    <row r="438" spans="1:9" ht="14.4" x14ac:dyDescent="0.25">
      <c r="A438" s="24">
        <v>10004</v>
      </c>
      <c r="B438" s="25">
        <v>43299</v>
      </c>
      <c r="C438" s="64">
        <f t="shared" si="13"/>
        <v>2018</v>
      </c>
      <c r="D438" s="64" t="str">
        <f t="shared" si="14"/>
        <v>2018年3季度</v>
      </c>
      <c r="E438" s="26" t="s">
        <v>29</v>
      </c>
      <c r="F438" s="24">
        <v>16.8</v>
      </c>
      <c r="G438" s="24">
        <v>6</v>
      </c>
      <c r="H438" s="27">
        <v>100.8</v>
      </c>
      <c r="I438" s="26" t="s">
        <v>23</v>
      </c>
    </row>
    <row r="439" spans="1:9" ht="14.4" x14ac:dyDescent="0.25">
      <c r="A439" s="24">
        <v>10004</v>
      </c>
      <c r="B439" s="25">
        <v>43299</v>
      </c>
      <c r="C439" s="64">
        <f t="shared" si="13"/>
        <v>2018</v>
      </c>
      <c r="D439" s="64" t="str">
        <f t="shared" si="14"/>
        <v>2018年3季度</v>
      </c>
      <c r="E439" s="26" t="s">
        <v>29</v>
      </c>
      <c r="F439" s="24">
        <v>16.8</v>
      </c>
      <c r="G439" s="24">
        <v>20</v>
      </c>
      <c r="H439" s="27">
        <v>336</v>
      </c>
      <c r="I439" s="26" t="s">
        <v>23</v>
      </c>
    </row>
    <row r="440" spans="1:9" ht="14.4" x14ac:dyDescent="0.25">
      <c r="A440" s="24">
        <v>10005</v>
      </c>
      <c r="B440" s="25">
        <v>43301</v>
      </c>
      <c r="C440" s="64">
        <f t="shared" si="13"/>
        <v>2018</v>
      </c>
      <c r="D440" s="64" t="str">
        <f t="shared" si="14"/>
        <v>2018年3季度</v>
      </c>
      <c r="E440" s="26" t="s">
        <v>29</v>
      </c>
      <c r="F440" s="24">
        <v>2</v>
      </c>
      <c r="G440" s="24">
        <v>25</v>
      </c>
      <c r="H440" s="27">
        <v>50</v>
      </c>
      <c r="I440" s="26" t="s">
        <v>26</v>
      </c>
    </row>
    <row r="441" spans="1:9" ht="14.4" x14ac:dyDescent="0.25">
      <c r="A441" s="24">
        <v>10005</v>
      </c>
      <c r="B441" s="25">
        <v>43301</v>
      </c>
      <c r="C441" s="64">
        <f t="shared" si="13"/>
        <v>2018</v>
      </c>
      <c r="D441" s="64" t="str">
        <f t="shared" si="14"/>
        <v>2018年3季度</v>
      </c>
      <c r="E441" s="26" t="s">
        <v>29</v>
      </c>
      <c r="F441" s="24">
        <v>64.8</v>
      </c>
      <c r="G441" s="24">
        <v>40</v>
      </c>
      <c r="H441" s="27">
        <v>2592</v>
      </c>
      <c r="I441" s="26" t="s">
        <v>26</v>
      </c>
    </row>
    <row r="442" spans="1:9" ht="14.4" x14ac:dyDescent="0.25">
      <c r="A442" s="24">
        <v>10005</v>
      </c>
      <c r="B442" s="25">
        <v>43301</v>
      </c>
      <c r="C442" s="64">
        <f t="shared" si="13"/>
        <v>2018</v>
      </c>
      <c r="D442" s="64" t="str">
        <f t="shared" si="14"/>
        <v>2018年3季度</v>
      </c>
      <c r="E442" s="26" t="s">
        <v>29</v>
      </c>
      <c r="F442" s="24">
        <v>27.2</v>
      </c>
      <c r="G442" s="24">
        <v>40</v>
      </c>
      <c r="H442" s="27">
        <v>1088</v>
      </c>
      <c r="I442" s="26" t="s">
        <v>26</v>
      </c>
    </row>
    <row r="443" spans="1:9" ht="14.4" x14ac:dyDescent="0.25">
      <c r="A443" s="24">
        <v>10008</v>
      </c>
      <c r="B443" s="25">
        <v>43307</v>
      </c>
      <c r="C443" s="64">
        <f t="shared" si="13"/>
        <v>2018</v>
      </c>
      <c r="D443" s="64" t="str">
        <f t="shared" si="14"/>
        <v>2018年3季度</v>
      </c>
      <c r="E443" s="26" t="s">
        <v>29</v>
      </c>
      <c r="F443" s="24">
        <v>15.2</v>
      </c>
      <c r="G443" s="24">
        <v>20</v>
      </c>
      <c r="H443" s="27">
        <v>304</v>
      </c>
      <c r="I443" s="26" t="s">
        <v>22</v>
      </c>
    </row>
    <row r="444" spans="1:9" ht="14.4" x14ac:dyDescent="0.25">
      <c r="A444" s="24">
        <v>10008</v>
      </c>
      <c r="B444" s="25">
        <v>43307</v>
      </c>
      <c r="C444" s="64">
        <f t="shared" si="13"/>
        <v>2018</v>
      </c>
      <c r="D444" s="64" t="str">
        <f t="shared" si="14"/>
        <v>2018年3季度</v>
      </c>
      <c r="E444" s="26" t="s">
        <v>29</v>
      </c>
      <c r="F444" s="24">
        <v>13.9</v>
      </c>
      <c r="G444" s="24">
        <v>35</v>
      </c>
      <c r="H444" s="27">
        <v>486.5</v>
      </c>
      <c r="I444" s="26" t="s">
        <v>22</v>
      </c>
    </row>
    <row r="445" spans="1:9" ht="14.4" x14ac:dyDescent="0.25">
      <c r="A445" s="24">
        <v>10008</v>
      </c>
      <c r="B445" s="25">
        <v>43307</v>
      </c>
      <c r="C445" s="64">
        <f t="shared" si="13"/>
        <v>2018</v>
      </c>
      <c r="D445" s="64" t="str">
        <f t="shared" si="14"/>
        <v>2018年3季度</v>
      </c>
      <c r="E445" s="26" t="s">
        <v>29</v>
      </c>
      <c r="F445" s="24">
        <v>44</v>
      </c>
      <c r="G445" s="24">
        <v>30</v>
      </c>
      <c r="H445" s="27">
        <v>1320</v>
      </c>
      <c r="I445" s="26" t="s">
        <v>22</v>
      </c>
    </row>
    <row r="446" spans="1:9" ht="14.4" x14ac:dyDescent="0.25">
      <c r="A446" s="24">
        <v>10009</v>
      </c>
      <c r="B446" s="25">
        <v>43313</v>
      </c>
      <c r="C446" s="64">
        <f t="shared" si="13"/>
        <v>2018</v>
      </c>
      <c r="D446" s="64" t="str">
        <f t="shared" si="14"/>
        <v>2018年3季度</v>
      </c>
      <c r="E446" s="26" t="s">
        <v>29</v>
      </c>
      <c r="F446" s="24">
        <v>26.2</v>
      </c>
      <c r="G446" s="24">
        <v>15</v>
      </c>
      <c r="H446" s="27">
        <v>393</v>
      </c>
      <c r="I446" s="26" t="s">
        <v>23</v>
      </c>
    </row>
    <row r="447" spans="1:9" ht="14.4" x14ac:dyDescent="0.25">
      <c r="A447" s="24">
        <v>10009</v>
      </c>
      <c r="B447" s="25">
        <v>43313</v>
      </c>
      <c r="C447" s="64">
        <f t="shared" si="13"/>
        <v>2018</v>
      </c>
      <c r="D447" s="64" t="str">
        <f t="shared" si="14"/>
        <v>2018年3季度</v>
      </c>
      <c r="E447" s="26" t="s">
        <v>29</v>
      </c>
      <c r="F447" s="24">
        <v>10.4</v>
      </c>
      <c r="G447" s="24">
        <v>12</v>
      </c>
      <c r="H447" s="27">
        <v>124.8</v>
      </c>
      <c r="I447" s="26" t="s">
        <v>23</v>
      </c>
    </row>
    <row r="448" spans="1:9" ht="14.4" x14ac:dyDescent="0.25">
      <c r="A448" s="24">
        <v>10010</v>
      </c>
      <c r="B448" s="25">
        <v>43315</v>
      </c>
      <c r="C448" s="64">
        <f t="shared" si="13"/>
        <v>2018</v>
      </c>
      <c r="D448" s="64" t="str">
        <f t="shared" si="14"/>
        <v>2018年3季度</v>
      </c>
      <c r="E448" s="26" t="s">
        <v>29</v>
      </c>
      <c r="F448" s="24">
        <v>14.4</v>
      </c>
      <c r="G448" s="24">
        <v>6</v>
      </c>
      <c r="H448" s="27">
        <v>86.4</v>
      </c>
      <c r="I448" s="26" t="s">
        <v>23</v>
      </c>
    </row>
    <row r="449" spans="1:9" ht="14.4" x14ac:dyDescent="0.25">
      <c r="A449" s="24">
        <v>10010</v>
      </c>
      <c r="B449" s="25">
        <v>43315</v>
      </c>
      <c r="C449" s="64">
        <f t="shared" si="13"/>
        <v>2018</v>
      </c>
      <c r="D449" s="64" t="str">
        <f t="shared" si="14"/>
        <v>2018年3季度</v>
      </c>
      <c r="E449" s="26" t="s">
        <v>29</v>
      </c>
      <c r="F449" s="24">
        <v>10.4</v>
      </c>
      <c r="G449" s="24">
        <v>15</v>
      </c>
      <c r="H449" s="27">
        <v>156</v>
      </c>
      <c r="I449" s="26" t="s">
        <v>23</v>
      </c>
    </row>
    <row r="450" spans="1:9" ht="14.4" x14ac:dyDescent="0.25">
      <c r="A450" s="24">
        <v>10013</v>
      </c>
      <c r="B450" s="25">
        <v>43321</v>
      </c>
      <c r="C450" s="64">
        <f t="shared" si="13"/>
        <v>2018</v>
      </c>
      <c r="D450" s="64" t="str">
        <f t="shared" si="14"/>
        <v>2018年3季度</v>
      </c>
      <c r="E450" s="26" t="s">
        <v>29</v>
      </c>
      <c r="F450" s="24">
        <v>7.7</v>
      </c>
      <c r="G450" s="24">
        <v>16</v>
      </c>
      <c r="H450" s="27">
        <v>123.2</v>
      </c>
      <c r="I450" s="26" t="s">
        <v>22</v>
      </c>
    </row>
    <row r="451" spans="1:9" ht="14.4" x14ac:dyDescent="0.25">
      <c r="A451" s="24">
        <v>10013</v>
      </c>
      <c r="B451" s="25">
        <v>43321</v>
      </c>
      <c r="C451" s="64">
        <f t="shared" ref="C451:C514" si="15">YEAR(B451)</f>
        <v>2018</v>
      </c>
      <c r="D451" s="64" t="str">
        <f t="shared" ref="D451:D514" si="16">YEAR(B451)&amp;"年"&amp;ROUNDUP(MONTH(B451)/3,0)&amp;"季度"</f>
        <v>2018年3季度</v>
      </c>
      <c r="E451" s="26" t="s">
        <v>29</v>
      </c>
      <c r="F451" s="24">
        <v>39.4</v>
      </c>
      <c r="G451" s="24">
        <v>15</v>
      </c>
      <c r="H451" s="27">
        <v>591</v>
      </c>
      <c r="I451" s="26" t="s">
        <v>22</v>
      </c>
    </row>
    <row r="452" spans="1:9" ht="14.4" x14ac:dyDescent="0.25">
      <c r="A452" s="24">
        <v>10013</v>
      </c>
      <c r="B452" s="25">
        <v>43321</v>
      </c>
      <c r="C452" s="64">
        <f t="shared" si="15"/>
        <v>2018</v>
      </c>
      <c r="D452" s="64" t="str">
        <f t="shared" si="16"/>
        <v>2018年3季度</v>
      </c>
      <c r="E452" s="26" t="s">
        <v>29</v>
      </c>
      <c r="F452" s="24">
        <v>15.6</v>
      </c>
      <c r="G452" s="24">
        <v>50</v>
      </c>
      <c r="H452" s="27">
        <v>780</v>
      </c>
      <c r="I452" s="26" t="s">
        <v>22</v>
      </c>
    </row>
    <row r="453" spans="1:9" ht="14.4" x14ac:dyDescent="0.25">
      <c r="A453" s="24">
        <v>10014</v>
      </c>
      <c r="B453" s="25">
        <v>43321</v>
      </c>
      <c r="C453" s="64">
        <f t="shared" si="15"/>
        <v>2018</v>
      </c>
      <c r="D453" s="64" t="str">
        <f t="shared" si="16"/>
        <v>2018年3季度</v>
      </c>
      <c r="E453" s="26" t="s">
        <v>29</v>
      </c>
      <c r="F453" s="24">
        <v>14.4</v>
      </c>
      <c r="G453" s="24">
        <v>20</v>
      </c>
      <c r="H453" s="27">
        <v>288</v>
      </c>
      <c r="I453" s="26" t="s">
        <v>23</v>
      </c>
    </row>
    <row r="454" spans="1:9" ht="14.4" x14ac:dyDescent="0.25">
      <c r="A454" s="24">
        <v>10014</v>
      </c>
      <c r="B454" s="25">
        <v>43321</v>
      </c>
      <c r="C454" s="64">
        <f t="shared" si="15"/>
        <v>2018</v>
      </c>
      <c r="D454" s="64" t="str">
        <f t="shared" si="16"/>
        <v>2018年3季度</v>
      </c>
      <c r="E454" s="26" t="s">
        <v>29</v>
      </c>
      <c r="F454" s="24">
        <v>8</v>
      </c>
      <c r="G454" s="24">
        <v>20</v>
      </c>
      <c r="H454" s="27">
        <v>160</v>
      </c>
      <c r="I454" s="26" t="s">
        <v>23</v>
      </c>
    </row>
    <row r="455" spans="1:9" ht="14.4" x14ac:dyDescent="0.25">
      <c r="A455" s="24">
        <v>10015</v>
      </c>
      <c r="B455" s="25">
        <v>43327</v>
      </c>
      <c r="C455" s="64">
        <f t="shared" si="15"/>
        <v>2018</v>
      </c>
      <c r="D455" s="64" t="str">
        <f t="shared" si="16"/>
        <v>2018年3季度</v>
      </c>
      <c r="E455" s="26" t="s">
        <v>29</v>
      </c>
      <c r="F455" s="24">
        <v>24</v>
      </c>
      <c r="G455" s="24">
        <v>15</v>
      </c>
      <c r="H455" s="27">
        <v>360</v>
      </c>
      <c r="I455" s="26" t="s">
        <v>23</v>
      </c>
    </row>
    <row r="456" spans="1:9" ht="14.4" x14ac:dyDescent="0.25">
      <c r="A456" s="24">
        <v>10015</v>
      </c>
      <c r="B456" s="25">
        <v>43327</v>
      </c>
      <c r="C456" s="64">
        <f t="shared" si="15"/>
        <v>2018</v>
      </c>
      <c r="D456" s="64" t="str">
        <f t="shared" si="16"/>
        <v>2018年3季度</v>
      </c>
      <c r="E456" s="26" t="s">
        <v>29</v>
      </c>
      <c r="F456" s="24">
        <v>30.4</v>
      </c>
      <c r="G456" s="24">
        <v>2</v>
      </c>
      <c r="H456" s="27">
        <v>60.8</v>
      </c>
      <c r="I456" s="26" t="s">
        <v>23</v>
      </c>
    </row>
    <row r="457" spans="1:9" ht="14.4" x14ac:dyDescent="0.25">
      <c r="A457" s="24">
        <v>10015</v>
      </c>
      <c r="B457" s="25">
        <v>43327</v>
      </c>
      <c r="C457" s="64">
        <f t="shared" si="15"/>
        <v>2018</v>
      </c>
      <c r="D457" s="64" t="str">
        <f t="shared" si="16"/>
        <v>2018年3季度</v>
      </c>
      <c r="E457" s="26" t="s">
        <v>29</v>
      </c>
      <c r="F457" s="24">
        <v>17</v>
      </c>
      <c r="G457" s="24">
        <v>12</v>
      </c>
      <c r="H457" s="27">
        <v>204</v>
      </c>
      <c r="I457" s="26" t="s">
        <v>23</v>
      </c>
    </row>
    <row r="458" spans="1:9" ht="14.4" x14ac:dyDescent="0.25">
      <c r="A458" s="24">
        <v>10016</v>
      </c>
      <c r="B458" s="25">
        <v>43329</v>
      </c>
      <c r="C458" s="64">
        <f t="shared" si="15"/>
        <v>2018</v>
      </c>
      <c r="D458" s="64" t="str">
        <f t="shared" si="16"/>
        <v>2018年3季度</v>
      </c>
      <c r="E458" s="26" t="s">
        <v>29</v>
      </c>
      <c r="F458" s="24">
        <v>13.9</v>
      </c>
      <c r="G458" s="24">
        <v>60</v>
      </c>
      <c r="H458" s="27">
        <v>834</v>
      </c>
      <c r="I458" s="26" t="s">
        <v>22</v>
      </c>
    </row>
    <row r="459" spans="1:9" ht="14.4" x14ac:dyDescent="0.25">
      <c r="A459" s="24">
        <v>10016</v>
      </c>
      <c r="B459" s="25">
        <v>43329</v>
      </c>
      <c r="C459" s="64">
        <f t="shared" si="15"/>
        <v>2018</v>
      </c>
      <c r="D459" s="64" t="str">
        <f t="shared" si="16"/>
        <v>2018年3季度</v>
      </c>
      <c r="E459" s="26" t="s">
        <v>29</v>
      </c>
      <c r="F459" s="24">
        <v>8</v>
      </c>
      <c r="G459" s="24">
        <v>36</v>
      </c>
      <c r="H459" s="27">
        <v>288</v>
      </c>
      <c r="I459" s="26" t="s">
        <v>22</v>
      </c>
    </row>
    <row r="460" spans="1:9" ht="14.4" x14ac:dyDescent="0.25">
      <c r="A460" s="24">
        <v>10020</v>
      </c>
      <c r="B460" s="25">
        <v>43341</v>
      </c>
      <c r="C460" s="64">
        <f t="shared" si="15"/>
        <v>2018</v>
      </c>
      <c r="D460" s="64" t="str">
        <f t="shared" si="16"/>
        <v>2018年3季度</v>
      </c>
      <c r="E460" s="26" t="s">
        <v>29</v>
      </c>
      <c r="F460" s="24">
        <v>14.7</v>
      </c>
      <c r="G460" s="24">
        <v>50</v>
      </c>
      <c r="H460" s="27">
        <v>735</v>
      </c>
      <c r="I460" s="26" t="s">
        <v>23</v>
      </c>
    </row>
    <row r="461" spans="1:9" ht="14.4" x14ac:dyDescent="0.25">
      <c r="A461" s="24">
        <v>10020</v>
      </c>
      <c r="B461" s="25">
        <v>43341</v>
      </c>
      <c r="C461" s="64">
        <f t="shared" si="15"/>
        <v>2018</v>
      </c>
      <c r="D461" s="64" t="str">
        <f t="shared" si="16"/>
        <v>2018年3季度</v>
      </c>
      <c r="E461" s="26" t="s">
        <v>29</v>
      </c>
      <c r="F461" s="24">
        <v>14.4</v>
      </c>
      <c r="G461" s="24">
        <v>15</v>
      </c>
      <c r="H461" s="27">
        <v>216</v>
      </c>
      <c r="I461" s="26" t="s">
        <v>23</v>
      </c>
    </row>
    <row r="462" spans="1:9" ht="14.4" x14ac:dyDescent="0.25">
      <c r="A462" s="24">
        <v>10020</v>
      </c>
      <c r="B462" s="25">
        <v>43341</v>
      </c>
      <c r="C462" s="64">
        <f t="shared" si="15"/>
        <v>2018</v>
      </c>
      <c r="D462" s="64" t="str">
        <f t="shared" si="16"/>
        <v>2018年3季度</v>
      </c>
      <c r="E462" s="26" t="s">
        <v>29</v>
      </c>
      <c r="F462" s="24">
        <v>44</v>
      </c>
      <c r="G462" s="24">
        <v>70</v>
      </c>
      <c r="H462" s="27">
        <v>3080</v>
      </c>
      <c r="I462" s="26" t="s">
        <v>23</v>
      </c>
    </row>
    <row r="463" spans="1:9" ht="14.4" x14ac:dyDescent="0.25">
      <c r="A463" s="24">
        <v>10021</v>
      </c>
      <c r="B463" s="25">
        <v>43343</v>
      </c>
      <c r="C463" s="64">
        <f t="shared" si="15"/>
        <v>2018</v>
      </c>
      <c r="D463" s="64" t="str">
        <f t="shared" si="16"/>
        <v>2018年3季度</v>
      </c>
      <c r="E463" s="26" t="s">
        <v>29</v>
      </c>
      <c r="F463" s="24">
        <v>27.8</v>
      </c>
      <c r="G463" s="24">
        <v>4</v>
      </c>
      <c r="H463" s="27">
        <v>111.2</v>
      </c>
      <c r="I463" s="26" t="s">
        <v>23</v>
      </c>
    </row>
    <row r="464" spans="1:9" ht="14.4" x14ac:dyDescent="0.25">
      <c r="A464" s="24">
        <v>10021</v>
      </c>
      <c r="B464" s="25">
        <v>43343</v>
      </c>
      <c r="C464" s="64">
        <f t="shared" si="15"/>
        <v>2018</v>
      </c>
      <c r="D464" s="64" t="str">
        <f t="shared" si="16"/>
        <v>2018年3季度</v>
      </c>
      <c r="E464" s="26" t="s">
        <v>29</v>
      </c>
      <c r="F464" s="24">
        <v>99</v>
      </c>
      <c r="G464" s="24">
        <v>10</v>
      </c>
      <c r="H464" s="27">
        <v>990</v>
      </c>
      <c r="I464" s="26" t="s">
        <v>23</v>
      </c>
    </row>
    <row r="465" spans="1:9" ht="14.4" x14ac:dyDescent="0.25">
      <c r="A465" s="24">
        <v>10022</v>
      </c>
      <c r="B465" s="25">
        <v>43345</v>
      </c>
      <c r="C465" s="64">
        <f t="shared" si="15"/>
        <v>2018</v>
      </c>
      <c r="D465" s="64" t="str">
        <f t="shared" si="16"/>
        <v>2018年3季度</v>
      </c>
      <c r="E465" s="26" t="s">
        <v>29</v>
      </c>
      <c r="F465" s="24">
        <v>2</v>
      </c>
      <c r="G465" s="24">
        <v>60</v>
      </c>
      <c r="H465" s="27">
        <v>120</v>
      </c>
      <c r="I465" s="26" t="s">
        <v>23</v>
      </c>
    </row>
    <row r="466" spans="1:9" ht="14.4" x14ac:dyDescent="0.25">
      <c r="A466" s="24">
        <v>10026</v>
      </c>
      <c r="B466" s="25">
        <v>43355</v>
      </c>
      <c r="C466" s="64">
        <f t="shared" si="15"/>
        <v>2018</v>
      </c>
      <c r="D466" s="64" t="str">
        <f t="shared" si="16"/>
        <v>2018年3季度</v>
      </c>
      <c r="E466" s="26" t="s">
        <v>29</v>
      </c>
      <c r="F466" s="24">
        <v>10</v>
      </c>
      <c r="G466" s="24">
        <v>15</v>
      </c>
      <c r="H466" s="27">
        <v>150</v>
      </c>
      <c r="I466" s="26" t="s">
        <v>23</v>
      </c>
    </row>
    <row r="467" spans="1:9" ht="14.4" x14ac:dyDescent="0.25">
      <c r="A467" s="24">
        <v>10026</v>
      </c>
      <c r="B467" s="25">
        <v>43355</v>
      </c>
      <c r="C467" s="64">
        <f t="shared" si="15"/>
        <v>2018</v>
      </c>
      <c r="D467" s="64" t="str">
        <f t="shared" si="16"/>
        <v>2018年3季度</v>
      </c>
      <c r="E467" s="26" t="s">
        <v>29</v>
      </c>
      <c r="F467" s="24">
        <v>14.4</v>
      </c>
      <c r="G467" s="24">
        <v>33</v>
      </c>
      <c r="H467" s="27">
        <v>475.2</v>
      </c>
      <c r="I467" s="26" t="s">
        <v>23</v>
      </c>
    </row>
    <row r="468" spans="1:9" ht="14.4" x14ac:dyDescent="0.25">
      <c r="A468" s="24">
        <v>10026</v>
      </c>
      <c r="B468" s="25">
        <v>43355</v>
      </c>
      <c r="C468" s="64">
        <f t="shared" si="15"/>
        <v>2018</v>
      </c>
      <c r="D468" s="64" t="str">
        <f t="shared" si="16"/>
        <v>2018年3季度</v>
      </c>
      <c r="E468" s="26" t="s">
        <v>29</v>
      </c>
      <c r="F468" s="24">
        <v>14.7</v>
      </c>
      <c r="G468" s="24">
        <v>60</v>
      </c>
      <c r="H468" s="27">
        <v>882</v>
      </c>
      <c r="I468" s="26" t="s">
        <v>23</v>
      </c>
    </row>
    <row r="469" spans="1:9" ht="14.4" x14ac:dyDescent="0.25">
      <c r="A469" s="24">
        <v>10026</v>
      </c>
      <c r="B469" s="25">
        <v>43355</v>
      </c>
      <c r="C469" s="64">
        <f t="shared" si="15"/>
        <v>2018</v>
      </c>
      <c r="D469" s="64" t="str">
        <f t="shared" si="16"/>
        <v>2018年3季度</v>
      </c>
      <c r="E469" s="26" t="s">
        <v>29</v>
      </c>
      <c r="F469" s="24">
        <v>2</v>
      </c>
      <c r="G469" s="24">
        <v>20</v>
      </c>
      <c r="H469" s="27">
        <v>40</v>
      </c>
      <c r="I469" s="26" t="s">
        <v>23</v>
      </c>
    </row>
    <row r="470" spans="1:9" ht="14.4" x14ac:dyDescent="0.25">
      <c r="A470" s="24">
        <v>10026</v>
      </c>
      <c r="B470" s="25">
        <v>43355</v>
      </c>
      <c r="C470" s="64">
        <f t="shared" si="15"/>
        <v>2018</v>
      </c>
      <c r="D470" s="64" t="str">
        <f t="shared" si="16"/>
        <v>2018年3季度</v>
      </c>
      <c r="E470" s="26" t="s">
        <v>29</v>
      </c>
      <c r="F470" s="24">
        <v>24.8</v>
      </c>
      <c r="G470" s="24">
        <v>24</v>
      </c>
      <c r="H470" s="27">
        <v>595.20000000000005</v>
      </c>
      <c r="I470" s="26" t="s">
        <v>23</v>
      </c>
    </row>
    <row r="471" spans="1:9" ht="14.4" x14ac:dyDescent="0.25">
      <c r="A471" s="24">
        <v>10027</v>
      </c>
      <c r="B471" s="25">
        <v>43357</v>
      </c>
      <c r="C471" s="64">
        <f t="shared" si="15"/>
        <v>2018</v>
      </c>
      <c r="D471" s="64" t="str">
        <f t="shared" si="16"/>
        <v>2018年3季度</v>
      </c>
      <c r="E471" s="26" t="s">
        <v>29</v>
      </c>
      <c r="F471" s="24">
        <v>17.2</v>
      </c>
      <c r="G471" s="24">
        <v>20</v>
      </c>
      <c r="H471" s="27">
        <v>344</v>
      </c>
      <c r="I471" s="26" t="s">
        <v>22</v>
      </c>
    </row>
    <row r="472" spans="1:9" ht="14.4" x14ac:dyDescent="0.25">
      <c r="A472" s="24">
        <v>10027</v>
      </c>
      <c r="B472" s="25">
        <v>43357</v>
      </c>
      <c r="C472" s="64">
        <f t="shared" si="15"/>
        <v>2018</v>
      </c>
      <c r="D472" s="64" t="str">
        <f t="shared" si="16"/>
        <v>2018年3季度</v>
      </c>
      <c r="E472" s="26" t="s">
        <v>29</v>
      </c>
      <c r="F472" s="24">
        <v>27.8</v>
      </c>
      <c r="G472" s="24">
        <v>7</v>
      </c>
      <c r="H472" s="27">
        <v>194.6</v>
      </c>
      <c r="I472" s="26" t="s">
        <v>22</v>
      </c>
    </row>
    <row r="473" spans="1:9" ht="14.4" x14ac:dyDescent="0.25">
      <c r="A473" s="24">
        <v>10028</v>
      </c>
      <c r="B473" s="25">
        <v>43359</v>
      </c>
      <c r="C473" s="64">
        <f t="shared" si="15"/>
        <v>2018</v>
      </c>
      <c r="D473" s="64" t="str">
        <f t="shared" si="16"/>
        <v>2018年3季度</v>
      </c>
      <c r="E473" s="26" t="s">
        <v>29</v>
      </c>
      <c r="F473" s="24">
        <v>3.6</v>
      </c>
      <c r="G473" s="24">
        <v>12</v>
      </c>
      <c r="H473" s="27">
        <v>43.2</v>
      </c>
      <c r="I473" s="26" t="s">
        <v>22</v>
      </c>
    </row>
    <row r="474" spans="1:9" ht="14.4" x14ac:dyDescent="0.25">
      <c r="A474" s="24">
        <v>10031</v>
      </c>
      <c r="B474" s="25">
        <v>43369</v>
      </c>
      <c r="C474" s="64">
        <f t="shared" si="15"/>
        <v>2018</v>
      </c>
      <c r="D474" s="64" t="str">
        <f t="shared" si="16"/>
        <v>2018年3季度</v>
      </c>
      <c r="E474" s="26" t="s">
        <v>29</v>
      </c>
      <c r="F474" s="24">
        <v>15.5</v>
      </c>
      <c r="G474" s="24">
        <v>16</v>
      </c>
      <c r="H474" s="27">
        <v>248</v>
      </c>
      <c r="I474" s="26" t="s">
        <v>23</v>
      </c>
    </row>
    <row r="475" spans="1:9" ht="14.4" x14ac:dyDescent="0.25">
      <c r="A475" s="24">
        <v>10031</v>
      </c>
      <c r="B475" s="25">
        <v>43369</v>
      </c>
      <c r="C475" s="64">
        <f t="shared" si="15"/>
        <v>2018</v>
      </c>
      <c r="D475" s="64" t="str">
        <f t="shared" si="16"/>
        <v>2018年3季度</v>
      </c>
      <c r="E475" s="26" t="s">
        <v>29</v>
      </c>
      <c r="F475" s="24">
        <v>12</v>
      </c>
      <c r="G475" s="24">
        <v>25</v>
      </c>
      <c r="H475" s="27">
        <v>300</v>
      </c>
      <c r="I475" s="26" t="s">
        <v>23</v>
      </c>
    </row>
    <row r="476" spans="1:9" ht="14.4" x14ac:dyDescent="0.25">
      <c r="A476" s="24">
        <v>10033</v>
      </c>
      <c r="B476" s="25">
        <v>43373</v>
      </c>
      <c r="C476" s="64">
        <f t="shared" si="15"/>
        <v>2018</v>
      </c>
      <c r="D476" s="64" t="str">
        <f t="shared" si="16"/>
        <v>2018年3季度</v>
      </c>
      <c r="E476" s="26" t="s">
        <v>29</v>
      </c>
      <c r="F476" s="24">
        <v>19.2</v>
      </c>
      <c r="G476" s="24">
        <v>20</v>
      </c>
      <c r="H476" s="27">
        <v>384</v>
      </c>
      <c r="I476" s="26" t="s">
        <v>23</v>
      </c>
    </row>
    <row r="477" spans="1:9" ht="14.4" x14ac:dyDescent="0.25">
      <c r="A477" s="24">
        <v>10033</v>
      </c>
      <c r="B477" s="25">
        <v>43373</v>
      </c>
      <c r="C477" s="64">
        <f t="shared" si="15"/>
        <v>2018</v>
      </c>
      <c r="D477" s="64" t="str">
        <f t="shared" si="16"/>
        <v>2018年3季度</v>
      </c>
      <c r="E477" s="26" t="s">
        <v>29</v>
      </c>
      <c r="F477" s="24">
        <v>6.2</v>
      </c>
      <c r="G477" s="24">
        <v>30</v>
      </c>
      <c r="H477" s="27">
        <v>186</v>
      </c>
      <c r="I477" s="26" t="s">
        <v>23</v>
      </c>
    </row>
    <row r="478" spans="1:9" ht="14.4" x14ac:dyDescent="0.25">
      <c r="A478" s="24">
        <v>10033</v>
      </c>
      <c r="B478" s="25">
        <v>43373</v>
      </c>
      <c r="C478" s="64">
        <f t="shared" si="15"/>
        <v>2018</v>
      </c>
      <c r="D478" s="64" t="str">
        <f t="shared" si="16"/>
        <v>2018年3季度</v>
      </c>
      <c r="E478" s="26" t="s">
        <v>29</v>
      </c>
      <c r="F478" s="24">
        <v>3.6</v>
      </c>
      <c r="G478" s="24">
        <v>12</v>
      </c>
      <c r="H478" s="27">
        <v>43.2</v>
      </c>
      <c r="I478" s="26" t="s">
        <v>23</v>
      </c>
    </row>
    <row r="479" spans="1:9" ht="14.4" x14ac:dyDescent="0.25">
      <c r="A479" s="24">
        <v>10034</v>
      </c>
      <c r="B479" s="25">
        <v>43373</v>
      </c>
      <c r="C479" s="64">
        <f t="shared" si="15"/>
        <v>2018</v>
      </c>
      <c r="D479" s="64" t="str">
        <f t="shared" si="16"/>
        <v>2018年3季度</v>
      </c>
      <c r="E479" s="26" t="s">
        <v>29</v>
      </c>
      <c r="F479" s="24">
        <v>14.4</v>
      </c>
      <c r="G479" s="24">
        <v>4</v>
      </c>
      <c r="H479" s="27">
        <v>57.6</v>
      </c>
      <c r="I479" s="26" t="s">
        <v>23</v>
      </c>
    </row>
    <row r="480" spans="1:9" ht="14.4" x14ac:dyDescent="0.25">
      <c r="A480" s="24">
        <v>10034</v>
      </c>
      <c r="B480" s="25">
        <v>43373</v>
      </c>
      <c r="C480" s="64">
        <f t="shared" si="15"/>
        <v>2018</v>
      </c>
      <c r="D480" s="64" t="str">
        <f t="shared" si="16"/>
        <v>2018年3季度</v>
      </c>
      <c r="E480" s="26" t="s">
        <v>29</v>
      </c>
      <c r="F480" s="24">
        <v>7.3</v>
      </c>
      <c r="G480" s="24">
        <v>1</v>
      </c>
      <c r="H480" s="27">
        <v>7.3</v>
      </c>
      <c r="I480" s="26" t="s">
        <v>23</v>
      </c>
    </row>
    <row r="481" spans="1:9" ht="14.4" x14ac:dyDescent="0.25">
      <c r="A481" s="24">
        <v>10034</v>
      </c>
      <c r="B481" s="25">
        <v>43373</v>
      </c>
      <c r="C481" s="64">
        <f t="shared" si="15"/>
        <v>2018</v>
      </c>
      <c r="D481" s="64" t="str">
        <f t="shared" si="16"/>
        <v>2018年3季度</v>
      </c>
      <c r="E481" s="26" t="s">
        <v>29</v>
      </c>
      <c r="F481" s="24">
        <v>3.6</v>
      </c>
      <c r="G481" s="24">
        <v>6</v>
      </c>
      <c r="H481" s="27">
        <v>21.6</v>
      </c>
      <c r="I481" s="26" t="s">
        <v>23</v>
      </c>
    </row>
    <row r="482" spans="1:9" ht="14.4" x14ac:dyDescent="0.25">
      <c r="A482" s="24">
        <v>10035</v>
      </c>
      <c r="B482" s="25">
        <v>43375</v>
      </c>
      <c r="C482" s="64">
        <f t="shared" si="15"/>
        <v>2018</v>
      </c>
      <c r="D482" s="64" t="str">
        <f t="shared" si="16"/>
        <v>2018年4季度</v>
      </c>
      <c r="E482" s="26" t="s">
        <v>29</v>
      </c>
      <c r="F482" s="24">
        <v>20.7</v>
      </c>
      <c r="G482" s="24">
        <v>6</v>
      </c>
      <c r="H482" s="27">
        <v>124.2</v>
      </c>
      <c r="I482" s="26" t="s">
        <v>23</v>
      </c>
    </row>
    <row r="483" spans="1:9" ht="14.4" x14ac:dyDescent="0.25">
      <c r="A483" s="24">
        <v>10035</v>
      </c>
      <c r="B483" s="25">
        <v>43375</v>
      </c>
      <c r="C483" s="64">
        <f t="shared" si="15"/>
        <v>2018</v>
      </c>
      <c r="D483" s="64" t="str">
        <f t="shared" si="16"/>
        <v>2018年4季度</v>
      </c>
      <c r="E483" s="26" t="s">
        <v>29</v>
      </c>
      <c r="F483" s="24">
        <v>15.6</v>
      </c>
      <c r="G483" s="24">
        <v>2</v>
      </c>
      <c r="H483" s="27">
        <v>31.2</v>
      </c>
      <c r="I483" s="26" t="s">
        <v>23</v>
      </c>
    </row>
    <row r="484" spans="1:9" ht="14.4" x14ac:dyDescent="0.25">
      <c r="A484" s="24">
        <v>10037</v>
      </c>
      <c r="B484" s="25">
        <v>43383</v>
      </c>
      <c r="C484" s="64">
        <f t="shared" si="15"/>
        <v>2018</v>
      </c>
      <c r="D484" s="64" t="str">
        <f t="shared" si="16"/>
        <v>2018年4季度</v>
      </c>
      <c r="E484" s="26" t="s">
        <v>29</v>
      </c>
      <c r="F484" s="24">
        <v>11.2</v>
      </c>
      <c r="G484" s="24">
        <v>5</v>
      </c>
      <c r="H484" s="27">
        <v>56</v>
      </c>
      <c r="I484" s="26" t="s">
        <v>23</v>
      </c>
    </row>
    <row r="485" spans="1:9" ht="14.4" x14ac:dyDescent="0.25">
      <c r="A485" s="24">
        <v>10038</v>
      </c>
      <c r="B485" s="25">
        <v>43385</v>
      </c>
      <c r="C485" s="64">
        <f t="shared" si="15"/>
        <v>2018</v>
      </c>
      <c r="D485" s="64" t="str">
        <f t="shared" si="16"/>
        <v>2018年4季度</v>
      </c>
      <c r="E485" s="26" t="s">
        <v>29</v>
      </c>
      <c r="F485" s="24">
        <v>26.2</v>
      </c>
      <c r="G485" s="24">
        <v>36</v>
      </c>
      <c r="H485" s="27">
        <v>943.2</v>
      </c>
      <c r="I485" s="26" t="s">
        <v>23</v>
      </c>
    </row>
    <row r="486" spans="1:9" ht="14.4" x14ac:dyDescent="0.25">
      <c r="A486" s="24">
        <v>10038</v>
      </c>
      <c r="B486" s="25">
        <v>43385</v>
      </c>
      <c r="C486" s="64">
        <f t="shared" si="15"/>
        <v>2018</v>
      </c>
      <c r="D486" s="64" t="str">
        <f t="shared" si="16"/>
        <v>2018年4季度</v>
      </c>
      <c r="E486" s="26" t="s">
        <v>29</v>
      </c>
      <c r="F486" s="24">
        <v>14.4</v>
      </c>
      <c r="G486" s="24">
        <v>45</v>
      </c>
      <c r="H486" s="27">
        <v>648</v>
      </c>
      <c r="I486" s="26" t="s">
        <v>23</v>
      </c>
    </row>
    <row r="487" spans="1:9" ht="14.4" x14ac:dyDescent="0.25">
      <c r="A487" s="24">
        <v>10038</v>
      </c>
      <c r="B487" s="25">
        <v>43385</v>
      </c>
      <c r="C487" s="64">
        <f t="shared" si="15"/>
        <v>2018</v>
      </c>
      <c r="D487" s="64" t="str">
        <f t="shared" si="16"/>
        <v>2018年4季度</v>
      </c>
      <c r="E487" s="26" t="s">
        <v>29</v>
      </c>
      <c r="F487" s="24">
        <v>14.7</v>
      </c>
      <c r="G487" s="24">
        <v>40</v>
      </c>
      <c r="H487" s="27">
        <v>588</v>
      </c>
      <c r="I487" s="26" t="s">
        <v>23</v>
      </c>
    </row>
    <row r="488" spans="1:9" ht="14.4" x14ac:dyDescent="0.25">
      <c r="A488" s="24">
        <v>10039</v>
      </c>
      <c r="B488" s="25">
        <v>43387</v>
      </c>
      <c r="C488" s="64">
        <f t="shared" si="15"/>
        <v>2018</v>
      </c>
      <c r="D488" s="64" t="str">
        <f t="shared" si="16"/>
        <v>2018年4季度</v>
      </c>
      <c r="E488" s="26" t="s">
        <v>29</v>
      </c>
      <c r="F488" s="24">
        <v>14.4</v>
      </c>
      <c r="G488" s="24">
        <v>100</v>
      </c>
      <c r="H488" s="27">
        <v>1440</v>
      </c>
      <c r="I488" s="26" t="s">
        <v>23</v>
      </c>
    </row>
    <row r="489" spans="1:9" ht="14.4" x14ac:dyDescent="0.25">
      <c r="A489" s="24">
        <v>10039</v>
      </c>
      <c r="B489" s="25">
        <v>43387</v>
      </c>
      <c r="C489" s="64">
        <f t="shared" si="15"/>
        <v>2018</v>
      </c>
      <c r="D489" s="64" t="str">
        <f t="shared" si="16"/>
        <v>2018年4季度</v>
      </c>
      <c r="E489" s="26" t="s">
        <v>29</v>
      </c>
      <c r="F489" s="24">
        <v>39.4</v>
      </c>
      <c r="G489" s="24">
        <v>40</v>
      </c>
      <c r="H489" s="27">
        <v>1576</v>
      </c>
      <c r="I489" s="26" t="s">
        <v>23</v>
      </c>
    </row>
    <row r="490" spans="1:9" ht="14.4" x14ac:dyDescent="0.25">
      <c r="A490" s="24">
        <v>10040</v>
      </c>
      <c r="B490" s="25">
        <v>43389</v>
      </c>
      <c r="C490" s="64">
        <f t="shared" si="15"/>
        <v>2018</v>
      </c>
      <c r="D490" s="64" t="str">
        <f t="shared" si="16"/>
        <v>2018年4季度</v>
      </c>
      <c r="E490" s="26" t="s">
        <v>29</v>
      </c>
      <c r="F490" s="24">
        <v>13.9</v>
      </c>
      <c r="G490" s="24">
        <v>40</v>
      </c>
      <c r="H490" s="27">
        <v>556</v>
      </c>
      <c r="I490" s="26" t="s">
        <v>25</v>
      </c>
    </row>
    <row r="491" spans="1:9" ht="14.4" x14ac:dyDescent="0.25">
      <c r="A491" s="24">
        <v>10043</v>
      </c>
      <c r="B491" s="25">
        <v>43399</v>
      </c>
      <c r="C491" s="64">
        <f t="shared" si="15"/>
        <v>2018</v>
      </c>
      <c r="D491" s="64" t="str">
        <f t="shared" si="16"/>
        <v>2018年4季度</v>
      </c>
      <c r="E491" s="26" t="s">
        <v>29</v>
      </c>
      <c r="F491" s="24">
        <v>17</v>
      </c>
      <c r="G491" s="24">
        <v>20</v>
      </c>
      <c r="H491" s="27">
        <v>340</v>
      </c>
      <c r="I491" s="26" t="s">
        <v>27</v>
      </c>
    </row>
    <row r="492" spans="1:9" ht="14.4" x14ac:dyDescent="0.25">
      <c r="A492" s="24">
        <v>10043</v>
      </c>
      <c r="B492" s="25">
        <v>43399</v>
      </c>
      <c r="C492" s="64">
        <f t="shared" si="15"/>
        <v>2018</v>
      </c>
      <c r="D492" s="64" t="str">
        <f t="shared" si="16"/>
        <v>2018年4季度</v>
      </c>
      <c r="E492" s="26" t="s">
        <v>29</v>
      </c>
      <c r="F492" s="24">
        <v>10.4</v>
      </c>
      <c r="G492" s="24">
        <v>10</v>
      </c>
      <c r="H492" s="27">
        <v>104</v>
      </c>
      <c r="I492" s="26" t="s">
        <v>27</v>
      </c>
    </row>
    <row r="493" spans="1:9" ht="14.4" x14ac:dyDescent="0.25">
      <c r="A493" s="24">
        <v>10043</v>
      </c>
      <c r="B493" s="25">
        <v>43399</v>
      </c>
      <c r="C493" s="64">
        <f t="shared" si="15"/>
        <v>2018</v>
      </c>
      <c r="D493" s="64" t="str">
        <f t="shared" si="16"/>
        <v>2018年4季度</v>
      </c>
      <c r="E493" s="26" t="s">
        <v>29</v>
      </c>
      <c r="F493" s="24">
        <v>99</v>
      </c>
      <c r="G493" s="24">
        <v>15</v>
      </c>
      <c r="H493" s="27">
        <v>1485</v>
      </c>
      <c r="I493" s="26" t="s">
        <v>27</v>
      </c>
    </row>
    <row r="494" spans="1:9" ht="14.4" x14ac:dyDescent="0.25">
      <c r="A494" s="24">
        <v>10044</v>
      </c>
      <c r="B494" s="25">
        <v>43399</v>
      </c>
      <c r="C494" s="64">
        <f t="shared" si="15"/>
        <v>2018</v>
      </c>
      <c r="D494" s="64" t="str">
        <f t="shared" si="16"/>
        <v>2018年4季度</v>
      </c>
      <c r="E494" s="26" t="s">
        <v>29</v>
      </c>
      <c r="F494" s="24">
        <v>4.8</v>
      </c>
      <c r="G494" s="24">
        <v>20</v>
      </c>
      <c r="H494" s="27">
        <v>96</v>
      </c>
      <c r="I494" s="26" t="s">
        <v>23</v>
      </c>
    </row>
    <row r="495" spans="1:9" ht="14.4" x14ac:dyDescent="0.25">
      <c r="A495" s="24">
        <v>10047</v>
      </c>
      <c r="B495" s="25">
        <v>43405</v>
      </c>
      <c r="C495" s="64">
        <f t="shared" si="15"/>
        <v>2018</v>
      </c>
      <c r="D495" s="64" t="str">
        <f t="shared" si="16"/>
        <v>2018年4季度</v>
      </c>
      <c r="E495" s="26" t="s">
        <v>29</v>
      </c>
      <c r="F495" s="24">
        <v>36.799999999999997</v>
      </c>
      <c r="G495" s="24">
        <v>15</v>
      </c>
      <c r="H495" s="27">
        <v>552</v>
      </c>
      <c r="I495" s="26" t="s">
        <v>22</v>
      </c>
    </row>
    <row r="496" spans="1:9" ht="14.4" x14ac:dyDescent="0.25">
      <c r="A496" s="24">
        <v>10047</v>
      </c>
      <c r="B496" s="25">
        <v>43405</v>
      </c>
      <c r="C496" s="64">
        <f t="shared" si="15"/>
        <v>2018</v>
      </c>
      <c r="D496" s="64" t="str">
        <f t="shared" si="16"/>
        <v>2018年4季度</v>
      </c>
      <c r="E496" s="26" t="s">
        <v>29</v>
      </c>
      <c r="F496" s="24">
        <v>14.4</v>
      </c>
      <c r="G496" s="24">
        <v>18</v>
      </c>
      <c r="H496" s="27">
        <v>259.2</v>
      </c>
      <c r="I496" s="26" t="s">
        <v>22</v>
      </c>
    </row>
    <row r="497" spans="1:9" ht="14.4" x14ac:dyDescent="0.25">
      <c r="A497" s="24">
        <v>10047</v>
      </c>
      <c r="B497" s="25">
        <v>43405</v>
      </c>
      <c r="C497" s="64">
        <f t="shared" si="15"/>
        <v>2018</v>
      </c>
      <c r="D497" s="64" t="str">
        <f t="shared" si="16"/>
        <v>2018年4季度</v>
      </c>
      <c r="E497" s="26" t="s">
        <v>29</v>
      </c>
      <c r="F497" s="24">
        <v>27.2</v>
      </c>
      <c r="G497" s="24">
        <v>21</v>
      </c>
      <c r="H497" s="27">
        <v>571.20000000000005</v>
      </c>
      <c r="I497" s="26" t="s">
        <v>22</v>
      </c>
    </row>
    <row r="498" spans="1:9" ht="14.4" x14ac:dyDescent="0.25">
      <c r="A498" s="24">
        <v>10047</v>
      </c>
      <c r="B498" s="25">
        <v>43405</v>
      </c>
      <c r="C498" s="64">
        <f t="shared" si="15"/>
        <v>2018</v>
      </c>
      <c r="D498" s="64" t="str">
        <f t="shared" si="16"/>
        <v>2018年4季度</v>
      </c>
      <c r="E498" s="26" t="s">
        <v>29</v>
      </c>
      <c r="F498" s="24">
        <v>6.2</v>
      </c>
      <c r="G498" s="24">
        <v>6</v>
      </c>
      <c r="H498" s="27">
        <v>37.200000000000003</v>
      </c>
      <c r="I498" s="26" t="s">
        <v>22</v>
      </c>
    </row>
    <row r="499" spans="1:9" ht="14.4" x14ac:dyDescent="0.25">
      <c r="A499" s="24">
        <v>10051</v>
      </c>
      <c r="B499" s="25">
        <v>43417</v>
      </c>
      <c r="C499" s="64">
        <f t="shared" si="15"/>
        <v>2018</v>
      </c>
      <c r="D499" s="64" t="str">
        <f t="shared" si="16"/>
        <v>2018年4季度</v>
      </c>
      <c r="E499" s="26" t="s">
        <v>29</v>
      </c>
      <c r="F499" s="24">
        <v>39.4</v>
      </c>
      <c r="G499" s="24">
        <v>15</v>
      </c>
      <c r="H499" s="27">
        <v>591</v>
      </c>
      <c r="I499" s="26" t="s">
        <v>22</v>
      </c>
    </row>
    <row r="500" spans="1:9" ht="14.4" x14ac:dyDescent="0.25">
      <c r="A500" s="24">
        <v>10051</v>
      </c>
      <c r="B500" s="25">
        <v>43417</v>
      </c>
      <c r="C500" s="64">
        <f t="shared" si="15"/>
        <v>2018</v>
      </c>
      <c r="D500" s="64" t="str">
        <f t="shared" si="16"/>
        <v>2018年4季度</v>
      </c>
      <c r="E500" s="26" t="s">
        <v>29</v>
      </c>
      <c r="F500" s="24">
        <v>44</v>
      </c>
      <c r="G500" s="24">
        <v>30</v>
      </c>
      <c r="H500" s="27">
        <v>1320</v>
      </c>
      <c r="I500" s="26" t="s">
        <v>22</v>
      </c>
    </row>
    <row r="501" spans="1:9" ht="14.4" x14ac:dyDescent="0.25">
      <c r="A501" s="24">
        <v>10051</v>
      </c>
      <c r="B501" s="25">
        <v>43417</v>
      </c>
      <c r="C501" s="64">
        <f t="shared" si="15"/>
        <v>2018</v>
      </c>
      <c r="D501" s="64" t="str">
        <f t="shared" si="16"/>
        <v>2018年4季度</v>
      </c>
      <c r="E501" s="26" t="s">
        <v>29</v>
      </c>
      <c r="F501" s="24">
        <v>15.2</v>
      </c>
      <c r="G501" s="24">
        <v>40</v>
      </c>
      <c r="H501" s="27">
        <v>608</v>
      </c>
      <c r="I501" s="26" t="s">
        <v>22</v>
      </c>
    </row>
    <row r="502" spans="1:9" ht="14.4" x14ac:dyDescent="0.25">
      <c r="A502" s="24">
        <v>10052</v>
      </c>
      <c r="B502" s="25">
        <v>43419</v>
      </c>
      <c r="C502" s="64">
        <f t="shared" si="15"/>
        <v>2018</v>
      </c>
      <c r="D502" s="64" t="str">
        <f t="shared" si="16"/>
        <v>2018年4季度</v>
      </c>
      <c r="E502" s="26" t="s">
        <v>29</v>
      </c>
      <c r="F502" s="24">
        <v>7.3</v>
      </c>
      <c r="G502" s="24">
        <v>15</v>
      </c>
      <c r="H502" s="27">
        <v>109.5</v>
      </c>
      <c r="I502" s="26" t="s">
        <v>23</v>
      </c>
    </row>
    <row r="503" spans="1:9" ht="14.4" x14ac:dyDescent="0.25">
      <c r="A503" s="24">
        <v>10052</v>
      </c>
      <c r="B503" s="25">
        <v>43419</v>
      </c>
      <c r="C503" s="64">
        <f t="shared" si="15"/>
        <v>2018</v>
      </c>
      <c r="D503" s="64" t="str">
        <f t="shared" si="16"/>
        <v>2018年4季度</v>
      </c>
      <c r="E503" s="26" t="s">
        <v>29</v>
      </c>
      <c r="F503" s="24">
        <v>12</v>
      </c>
      <c r="G503" s="24">
        <v>20</v>
      </c>
      <c r="H503" s="27">
        <v>240</v>
      </c>
      <c r="I503" s="26" t="s">
        <v>23</v>
      </c>
    </row>
    <row r="504" spans="1:9" ht="14.4" x14ac:dyDescent="0.25">
      <c r="A504" s="24">
        <v>10053</v>
      </c>
      <c r="B504" s="25">
        <v>43425</v>
      </c>
      <c r="C504" s="64">
        <f t="shared" si="15"/>
        <v>2018</v>
      </c>
      <c r="D504" s="64" t="str">
        <f t="shared" si="16"/>
        <v>2018年4季度</v>
      </c>
      <c r="E504" s="26" t="s">
        <v>29</v>
      </c>
      <c r="F504" s="24">
        <v>10</v>
      </c>
      <c r="G504" s="24">
        <v>20</v>
      </c>
      <c r="H504" s="27">
        <v>200</v>
      </c>
      <c r="I504" s="26" t="s">
        <v>25</v>
      </c>
    </row>
    <row r="505" spans="1:9" ht="14.4" x14ac:dyDescent="0.25">
      <c r="A505" s="24">
        <v>10053</v>
      </c>
      <c r="B505" s="25">
        <v>43425</v>
      </c>
      <c r="C505" s="64">
        <f t="shared" si="15"/>
        <v>2018</v>
      </c>
      <c r="D505" s="64" t="str">
        <f t="shared" si="16"/>
        <v>2018年4季度</v>
      </c>
      <c r="E505" s="26" t="s">
        <v>29</v>
      </c>
      <c r="F505" s="24">
        <v>13.6</v>
      </c>
      <c r="G505" s="24">
        <v>30</v>
      </c>
      <c r="H505" s="27">
        <v>408</v>
      </c>
      <c r="I505" s="26" t="s">
        <v>25</v>
      </c>
    </row>
    <row r="506" spans="1:9" ht="14.4" x14ac:dyDescent="0.25">
      <c r="A506" s="24">
        <v>10056</v>
      </c>
      <c r="B506" s="25">
        <v>43429</v>
      </c>
      <c r="C506" s="64">
        <f t="shared" si="15"/>
        <v>2018</v>
      </c>
      <c r="D506" s="64" t="str">
        <f t="shared" si="16"/>
        <v>2018年4季度</v>
      </c>
      <c r="E506" s="26" t="s">
        <v>29</v>
      </c>
      <c r="F506" s="24">
        <v>10</v>
      </c>
      <c r="G506" s="24">
        <v>15</v>
      </c>
      <c r="H506" s="27">
        <v>150</v>
      </c>
      <c r="I506" s="26" t="s">
        <v>23</v>
      </c>
    </row>
    <row r="507" spans="1:9" ht="14.4" x14ac:dyDescent="0.25">
      <c r="A507" s="24">
        <v>10057</v>
      </c>
      <c r="B507" s="25">
        <v>43431</v>
      </c>
      <c r="C507" s="64">
        <f t="shared" si="15"/>
        <v>2018</v>
      </c>
      <c r="D507" s="64" t="str">
        <f t="shared" si="16"/>
        <v>2018年4季度</v>
      </c>
      <c r="E507" s="26" t="s">
        <v>29</v>
      </c>
      <c r="F507" s="24">
        <v>16</v>
      </c>
      <c r="G507" s="24">
        <v>30</v>
      </c>
      <c r="H507" s="27">
        <v>480</v>
      </c>
      <c r="I507" s="26" t="s">
        <v>23</v>
      </c>
    </row>
    <row r="508" spans="1:9" ht="14.4" x14ac:dyDescent="0.25">
      <c r="A508" s="24">
        <v>10057</v>
      </c>
      <c r="B508" s="25">
        <v>43431</v>
      </c>
      <c r="C508" s="64">
        <f t="shared" si="15"/>
        <v>2018</v>
      </c>
      <c r="D508" s="64" t="str">
        <f t="shared" si="16"/>
        <v>2018年4季度</v>
      </c>
      <c r="E508" s="26" t="s">
        <v>29</v>
      </c>
      <c r="F508" s="24">
        <v>44</v>
      </c>
      <c r="G508" s="24">
        <v>10</v>
      </c>
      <c r="H508" s="27">
        <v>440</v>
      </c>
      <c r="I508" s="26" t="s">
        <v>23</v>
      </c>
    </row>
    <row r="509" spans="1:9" ht="14.4" x14ac:dyDescent="0.25">
      <c r="A509" s="24">
        <v>10057</v>
      </c>
      <c r="B509" s="25">
        <v>43431</v>
      </c>
      <c r="C509" s="64">
        <f t="shared" si="15"/>
        <v>2018</v>
      </c>
      <c r="D509" s="64" t="str">
        <f t="shared" si="16"/>
        <v>2018年4季度</v>
      </c>
      <c r="E509" s="26" t="s">
        <v>29</v>
      </c>
      <c r="F509" s="24">
        <v>17.2</v>
      </c>
      <c r="G509" s="24">
        <v>2</v>
      </c>
      <c r="H509" s="27">
        <v>34.4</v>
      </c>
      <c r="I509" s="26" t="s">
        <v>23</v>
      </c>
    </row>
    <row r="510" spans="1:9" ht="14.4" x14ac:dyDescent="0.25">
      <c r="A510" s="24">
        <v>10058</v>
      </c>
      <c r="B510" s="25">
        <v>43433</v>
      </c>
      <c r="C510" s="64">
        <f t="shared" si="15"/>
        <v>2018</v>
      </c>
      <c r="D510" s="64" t="str">
        <f t="shared" si="16"/>
        <v>2018年4季度</v>
      </c>
      <c r="E510" s="26" t="s">
        <v>29</v>
      </c>
      <c r="F510" s="24">
        <v>99</v>
      </c>
      <c r="G510" s="24">
        <v>25</v>
      </c>
      <c r="H510" s="27">
        <v>2475</v>
      </c>
      <c r="I510" s="26" t="s">
        <v>22</v>
      </c>
    </row>
    <row r="511" spans="1:9" ht="14.4" x14ac:dyDescent="0.25">
      <c r="A511" s="24">
        <v>10061</v>
      </c>
      <c r="B511" s="25">
        <v>43443</v>
      </c>
      <c r="C511" s="64">
        <f t="shared" si="15"/>
        <v>2018</v>
      </c>
      <c r="D511" s="64" t="str">
        <f t="shared" si="16"/>
        <v>2018年4季度</v>
      </c>
      <c r="E511" s="26" t="s">
        <v>29</v>
      </c>
      <c r="F511" s="24">
        <v>12</v>
      </c>
      <c r="G511" s="24">
        <v>5</v>
      </c>
      <c r="H511" s="27">
        <v>60</v>
      </c>
      <c r="I511" s="26" t="s">
        <v>25</v>
      </c>
    </row>
    <row r="512" spans="1:9" ht="14.4" x14ac:dyDescent="0.25">
      <c r="A512" s="24">
        <v>10061</v>
      </c>
      <c r="B512" s="25">
        <v>43443</v>
      </c>
      <c r="C512" s="64">
        <f t="shared" si="15"/>
        <v>2018</v>
      </c>
      <c r="D512" s="64" t="str">
        <f t="shared" si="16"/>
        <v>2018年4季度</v>
      </c>
      <c r="E512" s="26" t="s">
        <v>29</v>
      </c>
      <c r="F512" s="24">
        <v>28.8</v>
      </c>
      <c r="G512" s="24">
        <v>1</v>
      </c>
      <c r="H512" s="27">
        <v>28.8</v>
      </c>
      <c r="I512" s="26" t="s">
        <v>25</v>
      </c>
    </row>
    <row r="513" spans="1:9" ht="14.4" x14ac:dyDescent="0.25">
      <c r="A513" s="24">
        <v>10062</v>
      </c>
      <c r="B513" s="25">
        <v>43445</v>
      </c>
      <c r="C513" s="64">
        <f t="shared" si="15"/>
        <v>2018</v>
      </c>
      <c r="D513" s="64" t="str">
        <f t="shared" si="16"/>
        <v>2018年4季度</v>
      </c>
      <c r="E513" s="26" t="s">
        <v>29</v>
      </c>
      <c r="F513" s="24">
        <v>17.600000000000001</v>
      </c>
      <c r="G513" s="24">
        <v>20</v>
      </c>
      <c r="H513" s="27">
        <v>352</v>
      </c>
      <c r="I513" s="26" t="s">
        <v>26</v>
      </c>
    </row>
    <row r="514" spans="1:9" ht="14.4" x14ac:dyDescent="0.25">
      <c r="A514" s="24">
        <v>10062</v>
      </c>
      <c r="B514" s="25">
        <v>43445</v>
      </c>
      <c r="C514" s="64">
        <f t="shared" si="15"/>
        <v>2018</v>
      </c>
      <c r="D514" s="64" t="str">
        <f t="shared" si="16"/>
        <v>2018年4季度</v>
      </c>
      <c r="E514" s="26" t="s">
        <v>29</v>
      </c>
      <c r="F514" s="24">
        <v>36.799999999999997</v>
      </c>
      <c r="G514" s="24">
        <v>20</v>
      </c>
      <c r="H514" s="27">
        <v>736</v>
      </c>
      <c r="I514" s="26" t="s">
        <v>26</v>
      </c>
    </row>
    <row r="515" spans="1:9" ht="14.4" x14ac:dyDescent="0.25">
      <c r="A515" s="24">
        <v>10062</v>
      </c>
      <c r="B515" s="25">
        <v>43445</v>
      </c>
      <c r="C515" s="64">
        <f t="shared" ref="C515:C578" si="17">YEAR(B515)</f>
        <v>2018</v>
      </c>
      <c r="D515" s="64" t="str">
        <f t="shared" ref="D515:D578" si="18">YEAR(B515)&amp;"年"&amp;ROUNDUP(MONTH(B515)/3,0)&amp;"季度"</f>
        <v>2018年4季度</v>
      </c>
      <c r="E515" s="26" t="s">
        <v>29</v>
      </c>
      <c r="F515" s="24">
        <v>20</v>
      </c>
      <c r="G515" s="24">
        <v>30</v>
      </c>
      <c r="H515" s="27">
        <v>600</v>
      </c>
      <c r="I515" s="26" t="s">
        <v>26</v>
      </c>
    </row>
    <row r="516" spans="1:9" ht="14.4" x14ac:dyDescent="0.25">
      <c r="A516" s="24">
        <v>10062</v>
      </c>
      <c r="B516" s="25">
        <v>43445</v>
      </c>
      <c r="C516" s="64">
        <f t="shared" si="17"/>
        <v>2018</v>
      </c>
      <c r="D516" s="64" t="str">
        <f t="shared" si="18"/>
        <v>2018年4季度</v>
      </c>
      <c r="E516" s="26" t="s">
        <v>29</v>
      </c>
      <c r="F516" s="24">
        <v>17.2</v>
      </c>
      <c r="G516" s="24">
        <v>3</v>
      </c>
      <c r="H516" s="27">
        <v>51.6</v>
      </c>
      <c r="I516" s="26" t="s">
        <v>26</v>
      </c>
    </row>
    <row r="517" spans="1:9" ht="14.4" x14ac:dyDescent="0.25">
      <c r="A517" s="24">
        <v>10062</v>
      </c>
      <c r="B517" s="25">
        <v>43445</v>
      </c>
      <c r="C517" s="64">
        <f t="shared" si="17"/>
        <v>2018</v>
      </c>
      <c r="D517" s="64" t="str">
        <f t="shared" si="18"/>
        <v>2018年4季度</v>
      </c>
      <c r="E517" s="26" t="s">
        <v>29</v>
      </c>
      <c r="F517" s="24">
        <v>11.2</v>
      </c>
      <c r="G517" s="24">
        <v>2</v>
      </c>
      <c r="H517" s="27">
        <v>22.4</v>
      </c>
      <c r="I517" s="26" t="s">
        <v>26</v>
      </c>
    </row>
    <row r="518" spans="1:9" ht="14.4" x14ac:dyDescent="0.25">
      <c r="A518" s="24">
        <v>10063</v>
      </c>
      <c r="B518" s="25">
        <v>43447</v>
      </c>
      <c r="C518" s="64">
        <f t="shared" si="17"/>
        <v>2018</v>
      </c>
      <c r="D518" s="64" t="str">
        <f t="shared" si="18"/>
        <v>2018年4季度</v>
      </c>
      <c r="E518" s="26" t="s">
        <v>29</v>
      </c>
      <c r="F518" s="24">
        <v>39.4</v>
      </c>
      <c r="G518" s="24">
        <v>5</v>
      </c>
      <c r="H518" s="27">
        <v>197</v>
      </c>
      <c r="I518" s="26" t="s">
        <v>22</v>
      </c>
    </row>
    <row r="519" spans="1:9" ht="14.4" x14ac:dyDescent="0.25">
      <c r="A519" s="24">
        <v>10063</v>
      </c>
      <c r="B519" s="25">
        <v>43447</v>
      </c>
      <c r="C519" s="64">
        <f t="shared" si="17"/>
        <v>2018</v>
      </c>
      <c r="D519" s="64" t="str">
        <f t="shared" si="18"/>
        <v>2018年4季度</v>
      </c>
      <c r="E519" s="26" t="s">
        <v>29</v>
      </c>
      <c r="F519" s="24">
        <v>13.9</v>
      </c>
      <c r="G519" s="24">
        <v>10</v>
      </c>
      <c r="H519" s="27">
        <v>139</v>
      </c>
      <c r="I519" s="26" t="s">
        <v>22</v>
      </c>
    </row>
    <row r="520" spans="1:9" ht="14.4" x14ac:dyDescent="0.25">
      <c r="A520" s="24">
        <v>10064</v>
      </c>
      <c r="B520" s="25">
        <v>43447</v>
      </c>
      <c r="C520" s="64">
        <f t="shared" si="17"/>
        <v>2018</v>
      </c>
      <c r="D520" s="64" t="str">
        <f t="shared" si="18"/>
        <v>2018年4季度</v>
      </c>
      <c r="E520" s="26" t="s">
        <v>29</v>
      </c>
      <c r="F520" s="24">
        <v>11.2</v>
      </c>
      <c r="G520" s="24">
        <v>6</v>
      </c>
      <c r="H520" s="27">
        <v>67.2</v>
      </c>
      <c r="I520" s="26" t="s">
        <v>27</v>
      </c>
    </row>
    <row r="521" spans="1:9" ht="14.4" x14ac:dyDescent="0.25">
      <c r="A521" s="24">
        <v>10064</v>
      </c>
      <c r="B521" s="25">
        <v>43447</v>
      </c>
      <c r="C521" s="64">
        <f t="shared" si="17"/>
        <v>2018</v>
      </c>
      <c r="D521" s="64" t="str">
        <f t="shared" si="18"/>
        <v>2018年4季度</v>
      </c>
      <c r="E521" s="26" t="s">
        <v>29</v>
      </c>
      <c r="F521" s="24">
        <v>28.8</v>
      </c>
      <c r="G521" s="24">
        <v>7</v>
      </c>
      <c r="H521" s="27">
        <v>201.6</v>
      </c>
      <c r="I521" s="26" t="s">
        <v>27</v>
      </c>
    </row>
    <row r="522" spans="1:9" ht="14.4" x14ac:dyDescent="0.25">
      <c r="A522" s="24">
        <v>10065</v>
      </c>
      <c r="B522" s="25">
        <v>43453</v>
      </c>
      <c r="C522" s="64">
        <f t="shared" si="17"/>
        <v>2018</v>
      </c>
      <c r="D522" s="64" t="str">
        <f t="shared" si="18"/>
        <v>2018年4季度</v>
      </c>
      <c r="E522" s="26" t="s">
        <v>29</v>
      </c>
      <c r="F522" s="24">
        <v>36.799999999999997</v>
      </c>
      <c r="G522" s="24">
        <v>24</v>
      </c>
      <c r="H522" s="27">
        <v>883.2</v>
      </c>
      <c r="I522" s="26" t="s">
        <v>22</v>
      </c>
    </row>
    <row r="523" spans="1:9" ht="14.4" x14ac:dyDescent="0.25">
      <c r="A523" s="24">
        <v>10065</v>
      </c>
      <c r="B523" s="25">
        <v>43453</v>
      </c>
      <c r="C523" s="64">
        <f t="shared" si="17"/>
        <v>2018</v>
      </c>
      <c r="D523" s="64" t="str">
        <f t="shared" si="18"/>
        <v>2018年4季度</v>
      </c>
      <c r="E523" s="26" t="s">
        <v>29</v>
      </c>
      <c r="F523" s="24">
        <v>26.2</v>
      </c>
      <c r="G523" s="24">
        <v>20</v>
      </c>
      <c r="H523" s="27">
        <v>524</v>
      </c>
      <c r="I523" s="26" t="s">
        <v>22</v>
      </c>
    </row>
    <row r="524" spans="1:9" ht="14.4" x14ac:dyDescent="0.25">
      <c r="A524" s="24">
        <v>10065</v>
      </c>
      <c r="B524" s="25">
        <v>43453</v>
      </c>
      <c r="C524" s="64">
        <f t="shared" si="17"/>
        <v>2018</v>
      </c>
      <c r="D524" s="64" t="str">
        <f t="shared" si="18"/>
        <v>2018年4季度</v>
      </c>
      <c r="E524" s="26" t="s">
        <v>29</v>
      </c>
      <c r="F524" s="24">
        <v>36.4</v>
      </c>
      <c r="G524" s="24">
        <v>4</v>
      </c>
      <c r="H524" s="27">
        <v>145.6</v>
      </c>
      <c r="I524" s="26" t="s">
        <v>22</v>
      </c>
    </row>
    <row r="525" spans="1:9" ht="14.4" x14ac:dyDescent="0.25">
      <c r="A525" s="24">
        <v>10065</v>
      </c>
      <c r="B525" s="25">
        <v>43453</v>
      </c>
      <c r="C525" s="64">
        <f t="shared" si="17"/>
        <v>2018</v>
      </c>
      <c r="D525" s="64" t="str">
        <f t="shared" si="18"/>
        <v>2018年4季度</v>
      </c>
      <c r="E525" s="26" t="s">
        <v>29</v>
      </c>
      <c r="F525" s="24">
        <v>6.2</v>
      </c>
      <c r="G525" s="24">
        <v>10</v>
      </c>
      <c r="H525" s="27">
        <v>62</v>
      </c>
      <c r="I525" s="26" t="s">
        <v>22</v>
      </c>
    </row>
    <row r="526" spans="1:9" ht="14.4" x14ac:dyDescent="0.25">
      <c r="A526" s="24">
        <v>10066</v>
      </c>
      <c r="B526" s="25">
        <v>43455</v>
      </c>
      <c r="C526" s="64">
        <f t="shared" si="17"/>
        <v>2018</v>
      </c>
      <c r="D526" s="64" t="str">
        <f t="shared" si="18"/>
        <v>2018年4季度</v>
      </c>
      <c r="E526" s="26" t="s">
        <v>29</v>
      </c>
      <c r="F526" s="24">
        <v>15.2</v>
      </c>
      <c r="G526" s="24">
        <v>12</v>
      </c>
      <c r="H526" s="27">
        <v>182.4</v>
      </c>
      <c r="I526" s="26" t="s">
        <v>22</v>
      </c>
    </row>
    <row r="527" spans="1:9" ht="14.4" x14ac:dyDescent="0.25">
      <c r="A527" s="24">
        <v>10067</v>
      </c>
      <c r="B527" s="25">
        <v>43457</v>
      </c>
      <c r="C527" s="64">
        <f t="shared" si="17"/>
        <v>2018</v>
      </c>
      <c r="D527" s="64" t="str">
        <f t="shared" si="18"/>
        <v>2018年4季度</v>
      </c>
      <c r="E527" s="26" t="s">
        <v>29</v>
      </c>
      <c r="F527" s="24">
        <v>10.6</v>
      </c>
      <c r="G527" s="24">
        <v>30</v>
      </c>
      <c r="H527" s="27">
        <v>318</v>
      </c>
      <c r="I527" s="26" t="s">
        <v>22</v>
      </c>
    </row>
    <row r="528" spans="1:9" ht="14.4" x14ac:dyDescent="0.25">
      <c r="A528" s="24">
        <v>10067</v>
      </c>
      <c r="B528" s="25">
        <v>43457</v>
      </c>
      <c r="C528" s="64">
        <f t="shared" si="17"/>
        <v>2018</v>
      </c>
      <c r="D528" s="64" t="str">
        <f t="shared" si="18"/>
        <v>2018年4季度</v>
      </c>
      <c r="E528" s="26" t="s">
        <v>29</v>
      </c>
      <c r="F528" s="24">
        <v>39.4</v>
      </c>
      <c r="G528" s="24">
        <v>25</v>
      </c>
      <c r="H528" s="27">
        <v>985</v>
      </c>
      <c r="I528" s="26" t="s">
        <v>22</v>
      </c>
    </row>
    <row r="529" spans="1:9" ht="14.4" x14ac:dyDescent="0.25">
      <c r="A529" s="24">
        <v>10067</v>
      </c>
      <c r="B529" s="25">
        <v>43457</v>
      </c>
      <c r="C529" s="64">
        <f t="shared" si="17"/>
        <v>2018</v>
      </c>
      <c r="D529" s="64" t="str">
        <f t="shared" si="18"/>
        <v>2018年4季度</v>
      </c>
      <c r="E529" s="26" t="s">
        <v>29</v>
      </c>
      <c r="F529" s="24">
        <v>25.6</v>
      </c>
      <c r="G529" s="24">
        <v>40</v>
      </c>
      <c r="H529" s="27">
        <v>1024</v>
      </c>
      <c r="I529" s="26" t="s">
        <v>22</v>
      </c>
    </row>
    <row r="530" spans="1:9" ht="14.4" x14ac:dyDescent="0.25">
      <c r="A530" s="24">
        <v>10068</v>
      </c>
      <c r="B530" s="25">
        <v>43459</v>
      </c>
      <c r="C530" s="64">
        <f t="shared" si="17"/>
        <v>2018</v>
      </c>
      <c r="D530" s="64" t="str">
        <f t="shared" si="18"/>
        <v>2018年4季度</v>
      </c>
      <c r="E530" s="26" t="s">
        <v>29</v>
      </c>
      <c r="F530" s="24">
        <v>12</v>
      </c>
      <c r="G530" s="24">
        <v>30</v>
      </c>
      <c r="H530" s="27">
        <v>360</v>
      </c>
      <c r="I530" s="26" t="s">
        <v>26</v>
      </c>
    </row>
    <row r="531" spans="1:9" ht="14.4" x14ac:dyDescent="0.25">
      <c r="A531" s="24">
        <v>10068</v>
      </c>
      <c r="B531" s="25">
        <v>43459</v>
      </c>
      <c r="C531" s="64">
        <f t="shared" si="17"/>
        <v>2018</v>
      </c>
      <c r="D531" s="64" t="str">
        <f t="shared" si="18"/>
        <v>2018年4季度</v>
      </c>
      <c r="E531" s="26" t="s">
        <v>29</v>
      </c>
      <c r="F531" s="24">
        <v>11.2</v>
      </c>
      <c r="G531" s="24">
        <v>14</v>
      </c>
      <c r="H531" s="27">
        <v>156.80000000000001</v>
      </c>
      <c r="I531" s="26" t="s">
        <v>26</v>
      </c>
    </row>
    <row r="532" spans="1:9" ht="14.4" x14ac:dyDescent="0.25">
      <c r="A532" s="24">
        <v>10069</v>
      </c>
      <c r="B532" s="25">
        <v>43461</v>
      </c>
      <c r="C532" s="64">
        <f t="shared" si="17"/>
        <v>2018</v>
      </c>
      <c r="D532" s="64" t="str">
        <f t="shared" si="18"/>
        <v>2018年4季度</v>
      </c>
      <c r="E532" s="26" t="s">
        <v>29</v>
      </c>
      <c r="F532" s="24">
        <v>39.4</v>
      </c>
      <c r="G532" s="24">
        <v>70</v>
      </c>
      <c r="H532" s="27">
        <v>2758</v>
      </c>
      <c r="I532" s="26" t="s">
        <v>22</v>
      </c>
    </row>
    <row r="533" spans="1:9" ht="14.4" x14ac:dyDescent="0.25">
      <c r="A533" s="24">
        <v>10069</v>
      </c>
      <c r="B533" s="25">
        <v>43461</v>
      </c>
      <c r="C533" s="64">
        <f t="shared" si="17"/>
        <v>2018</v>
      </c>
      <c r="D533" s="64" t="str">
        <f t="shared" si="18"/>
        <v>2018年4季度</v>
      </c>
      <c r="E533" s="26" t="s">
        <v>29</v>
      </c>
      <c r="F533" s="24">
        <v>7.7</v>
      </c>
      <c r="G533" s="24">
        <v>10</v>
      </c>
      <c r="H533" s="27">
        <v>77</v>
      </c>
      <c r="I533" s="26" t="s">
        <v>22</v>
      </c>
    </row>
    <row r="534" spans="1:9" ht="14.4" x14ac:dyDescent="0.25">
      <c r="A534" s="24">
        <v>10070</v>
      </c>
      <c r="B534" s="25">
        <v>43467</v>
      </c>
      <c r="C534" s="64">
        <f t="shared" si="17"/>
        <v>2019</v>
      </c>
      <c r="D534" s="64" t="str">
        <f t="shared" si="18"/>
        <v>2019年1季度</v>
      </c>
      <c r="E534" s="26" t="s">
        <v>29</v>
      </c>
      <c r="F534" s="24">
        <v>14.4</v>
      </c>
      <c r="G534" s="24">
        <v>20</v>
      </c>
      <c r="H534" s="27">
        <v>288</v>
      </c>
      <c r="I534" s="26" t="s">
        <v>23</v>
      </c>
    </row>
    <row r="535" spans="1:9" ht="14.4" x14ac:dyDescent="0.25">
      <c r="A535" s="24">
        <v>10071</v>
      </c>
      <c r="B535" s="25">
        <v>43469</v>
      </c>
      <c r="C535" s="64">
        <f t="shared" si="17"/>
        <v>2019</v>
      </c>
      <c r="D535" s="64" t="str">
        <f t="shared" si="18"/>
        <v>2019年1季度</v>
      </c>
      <c r="E535" s="26" t="s">
        <v>29</v>
      </c>
      <c r="F535" s="24">
        <v>14.4</v>
      </c>
      <c r="G535" s="24">
        <v>6</v>
      </c>
      <c r="H535" s="27">
        <v>86.4</v>
      </c>
      <c r="I535" s="26" t="s">
        <v>26</v>
      </c>
    </row>
    <row r="536" spans="1:9" ht="14.4" x14ac:dyDescent="0.25">
      <c r="A536" s="24">
        <v>10071</v>
      </c>
      <c r="B536" s="25">
        <v>43469</v>
      </c>
      <c r="C536" s="64">
        <f t="shared" si="17"/>
        <v>2019</v>
      </c>
      <c r="D536" s="64" t="str">
        <f t="shared" si="18"/>
        <v>2019年1季度</v>
      </c>
      <c r="E536" s="26" t="s">
        <v>29</v>
      </c>
      <c r="F536" s="24">
        <v>7.7</v>
      </c>
      <c r="G536" s="24">
        <v>20</v>
      </c>
      <c r="H536" s="27">
        <v>154</v>
      </c>
      <c r="I536" s="26" t="s">
        <v>26</v>
      </c>
    </row>
    <row r="537" spans="1:9" ht="14.4" x14ac:dyDescent="0.25">
      <c r="A537" s="24">
        <v>10072</v>
      </c>
      <c r="B537" s="25">
        <v>43471</v>
      </c>
      <c r="C537" s="64">
        <f t="shared" si="17"/>
        <v>2019</v>
      </c>
      <c r="D537" s="64" t="str">
        <f t="shared" si="18"/>
        <v>2019年1季度</v>
      </c>
      <c r="E537" s="26" t="s">
        <v>29</v>
      </c>
      <c r="F537" s="24">
        <v>14.4</v>
      </c>
      <c r="G537" s="24">
        <v>30</v>
      </c>
      <c r="H537" s="27">
        <v>432</v>
      </c>
      <c r="I537" s="26" t="s">
        <v>25</v>
      </c>
    </row>
    <row r="538" spans="1:9" ht="14.4" x14ac:dyDescent="0.25">
      <c r="A538" s="24">
        <v>10072</v>
      </c>
      <c r="B538" s="25">
        <v>43471</v>
      </c>
      <c r="C538" s="64">
        <f t="shared" si="17"/>
        <v>2019</v>
      </c>
      <c r="D538" s="64" t="str">
        <f t="shared" si="18"/>
        <v>2019年1季度</v>
      </c>
      <c r="E538" s="26" t="s">
        <v>29</v>
      </c>
      <c r="F538" s="24">
        <v>36.4</v>
      </c>
      <c r="G538" s="24">
        <v>14</v>
      </c>
      <c r="H538" s="27">
        <v>509.6</v>
      </c>
      <c r="I538" s="26" t="s">
        <v>25</v>
      </c>
    </row>
    <row r="539" spans="1:9" ht="14.4" x14ac:dyDescent="0.25">
      <c r="A539" s="24">
        <v>10077</v>
      </c>
      <c r="B539" s="25">
        <v>43483</v>
      </c>
      <c r="C539" s="64">
        <f t="shared" si="17"/>
        <v>2019</v>
      </c>
      <c r="D539" s="64" t="str">
        <f t="shared" si="18"/>
        <v>2019年1季度</v>
      </c>
      <c r="E539" s="26" t="s">
        <v>29</v>
      </c>
      <c r="F539" s="24">
        <v>14.4</v>
      </c>
      <c r="G539" s="24">
        <v>70</v>
      </c>
      <c r="H539" s="27">
        <v>1008</v>
      </c>
      <c r="I539" s="26" t="s">
        <v>27</v>
      </c>
    </row>
    <row r="540" spans="1:9" ht="14.4" x14ac:dyDescent="0.25">
      <c r="A540" s="24">
        <v>10077</v>
      </c>
      <c r="B540" s="25">
        <v>43483</v>
      </c>
      <c r="C540" s="64">
        <f t="shared" si="17"/>
        <v>2019</v>
      </c>
      <c r="D540" s="64" t="str">
        <f t="shared" si="18"/>
        <v>2019年1季度</v>
      </c>
      <c r="E540" s="26" t="s">
        <v>29</v>
      </c>
      <c r="F540" s="24">
        <v>44</v>
      </c>
      <c r="G540" s="24">
        <v>40</v>
      </c>
      <c r="H540" s="27">
        <v>1760</v>
      </c>
      <c r="I540" s="26" t="s">
        <v>27</v>
      </c>
    </row>
    <row r="541" spans="1:9" ht="14.4" x14ac:dyDescent="0.25">
      <c r="A541" s="24">
        <v>10077</v>
      </c>
      <c r="B541" s="25">
        <v>43483</v>
      </c>
      <c r="C541" s="64">
        <f t="shared" si="17"/>
        <v>2019</v>
      </c>
      <c r="D541" s="64" t="str">
        <f t="shared" si="18"/>
        <v>2019年1季度</v>
      </c>
      <c r="E541" s="26" t="s">
        <v>29</v>
      </c>
      <c r="F541" s="24">
        <v>13.9</v>
      </c>
      <c r="G541" s="24">
        <v>21</v>
      </c>
      <c r="H541" s="27">
        <v>291.89999999999998</v>
      </c>
      <c r="I541" s="26" t="s">
        <v>27</v>
      </c>
    </row>
    <row r="542" spans="1:9" ht="14.4" x14ac:dyDescent="0.25">
      <c r="A542" s="24">
        <v>10077</v>
      </c>
      <c r="B542" s="25">
        <v>43483</v>
      </c>
      <c r="C542" s="64">
        <f t="shared" si="17"/>
        <v>2019</v>
      </c>
      <c r="D542" s="64" t="str">
        <f t="shared" si="18"/>
        <v>2019年1季度</v>
      </c>
      <c r="E542" s="26" t="s">
        <v>29</v>
      </c>
      <c r="F542" s="24">
        <v>9.6</v>
      </c>
      <c r="G542" s="24">
        <v>30</v>
      </c>
      <c r="H542" s="27">
        <v>288</v>
      </c>
      <c r="I542" s="26" t="s">
        <v>27</v>
      </c>
    </row>
    <row r="543" spans="1:9" ht="14.4" x14ac:dyDescent="0.25">
      <c r="A543" s="24">
        <v>10078</v>
      </c>
      <c r="B543" s="25">
        <v>43485</v>
      </c>
      <c r="C543" s="64">
        <f t="shared" si="17"/>
        <v>2019</v>
      </c>
      <c r="D543" s="64" t="str">
        <f t="shared" si="18"/>
        <v>2019年1季度</v>
      </c>
      <c r="E543" s="26" t="s">
        <v>29</v>
      </c>
      <c r="F543" s="24">
        <v>27.8</v>
      </c>
      <c r="G543" s="24">
        <v>40</v>
      </c>
      <c r="H543" s="27">
        <v>1112</v>
      </c>
      <c r="I543" s="26" t="s">
        <v>25</v>
      </c>
    </row>
    <row r="544" spans="1:9" ht="14.4" x14ac:dyDescent="0.25">
      <c r="A544" s="24">
        <v>10078</v>
      </c>
      <c r="B544" s="25">
        <v>43485</v>
      </c>
      <c r="C544" s="64">
        <f t="shared" si="17"/>
        <v>2019</v>
      </c>
      <c r="D544" s="64" t="str">
        <f t="shared" si="18"/>
        <v>2019年1季度</v>
      </c>
      <c r="E544" s="26" t="s">
        <v>29</v>
      </c>
      <c r="F544" s="24">
        <v>20</v>
      </c>
      <c r="G544" s="24">
        <v>6</v>
      </c>
      <c r="H544" s="27">
        <v>120</v>
      </c>
      <c r="I544" s="26" t="s">
        <v>25</v>
      </c>
    </row>
    <row r="545" spans="1:9" ht="14.4" x14ac:dyDescent="0.25">
      <c r="A545" s="24">
        <v>10078</v>
      </c>
      <c r="B545" s="25">
        <v>43485</v>
      </c>
      <c r="C545" s="64">
        <f t="shared" si="17"/>
        <v>2019</v>
      </c>
      <c r="D545" s="64" t="str">
        <f t="shared" si="18"/>
        <v>2019年1季度</v>
      </c>
      <c r="E545" s="26" t="s">
        <v>29</v>
      </c>
      <c r="F545" s="24">
        <v>10</v>
      </c>
      <c r="G545" s="24">
        <v>4</v>
      </c>
      <c r="H545" s="27">
        <v>40</v>
      </c>
      <c r="I545" s="26" t="s">
        <v>25</v>
      </c>
    </row>
    <row r="546" spans="1:9" ht="14.4" x14ac:dyDescent="0.25">
      <c r="A546" s="24">
        <v>10078</v>
      </c>
      <c r="B546" s="25">
        <v>43485</v>
      </c>
      <c r="C546" s="64">
        <f t="shared" si="17"/>
        <v>2019</v>
      </c>
      <c r="D546" s="64" t="str">
        <f t="shared" si="18"/>
        <v>2019年1季度</v>
      </c>
      <c r="E546" s="26" t="s">
        <v>29</v>
      </c>
      <c r="F546" s="24">
        <v>18.600000000000001</v>
      </c>
      <c r="G546" s="24">
        <v>9</v>
      </c>
      <c r="H546" s="27">
        <v>167.4</v>
      </c>
      <c r="I546" s="26" t="s">
        <v>25</v>
      </c>
    </row>
    <row r="547" spans="1:9" ht="14.4" x14ac:dyDescent="0.25">
      <c r="A547" s="24">
        <v>10078</v>
      </c>
      <c r="B547" s="25">
        <v>43485</v>
      </c>
      <c r="C547" s="64">
        <f t="shared" si="17"/>
        <v>2019</v>
      </c>
      <c r="D547" s="64" t="str">
        <f t="shared" si="18"/>
        <v>2019年1季度</v>
      </c>
      <c r="E547" s="26" t="s">
        <v>29</v>
      </c>
      <c r="F547" s="24">
        <v>4.8</v>
      </c>
      <c r="G547" s="24">
        <v>12</v>
      </c>
      <c r="H547" s="27">
        <v>57.6</v>
      </c>
      <c r="I547" s="26" t="s">
        <v>25</v>
      </c>
    </row>
    <row r="548" spans="1:9" ht="14.4" x14ac:dyDescent="0.25">
      <c r="A548" s="24">
        <v>10079</v>
      </c>
      <c r="B548" s="25">
        <v>43487</v>
      </c>
      <c r="C548" s="64">
        <f t="shared" si="17"/>
        <v>2019</v>
      </c>
      <c r="D548" s="64" t="str">
        <f t="shared" si="18"/>
        <v>2019年1季度</v>
      </c>
      <c r="E548" s="26" t="s">
        <v>29</v>
      </c>
      <c r="F548" s="24">
        <v>6.2</v>
      </c>
      <c r="G548" s="24">
        <v>50</v>
      </c>
      <c r="H548" s="27">
        <v>310</v>
      </c>
      <c r="I548" s="26" t="s">
        <v>25</v>
      </c>
    </row>
    <row r="549" spans="1:9" ht="14.4" x14ac:dyDescent="0.25">
      <c r="A549" s="24">
        <v>10079</v>
      </c>
      <c r="B549" s="25">
        <v>43487</v>
      </c>
      <c r="C549" s="64">
        <f t="shared" si="17"/>
        <v>2019</v>
      </c>
      <c r="D549" s="64" t="str">
        <f t="shared" si="18"/>
        <v>2019年1季度</v>
      </c>
      <c r="E549" s="26" t="s">
        <v>29</v>
      </c>
      <c r="F549" s="24">
        <v>15.6</v>
      </c>
      <c r="G549" s="24">
        <v>16</v>
      </c>
      <c r="H549" s="27">
        <v>249.6</v>
      </c>
      <c r="I549" s="26" t="s">
        <v>25</v>
      </c>
    </row>
    <row r="550" spans="1:9" ht="14.4" x14ac:dyDescent="0.25">
      <c r="A550" s="24">
        <v>10079</v>
      </c>
      <c r="B550" s="25">
        <v>43487</v>
      </c>
      <c r="C550" s="64">
        <f t="shared" si="17"/>
        <v>2019</v>
      </c>
      <c r="D550" s="64" t="str">
        <f t="shared" si="18"/>
        <v>2019年1季度</v>
      </c>
      <c r="E550" s="26" t="s">
        <v>29</v>
      </c>
      <c r="F550" s="24">
        <v>17.600000000000001</v>
      </c>
      <c r="G550" s="24">
        <v>24</v>
      </c>
      <c r="H550" s="27">
        <v>422.4</v>
      </c>
      <c r="I550" s="26" t="s">
        <v>25</v>
      </c>
    </row>
    <row r="551" spans="1:9" ht="14.4" x14ac:dyDescent="0.25">
      <c r="A551" s="24">
        <v>10082</v>
      </c>
      <c r="B551" s="25">
        <v>43497</v>
      </c>
      <c r="C551" s="64">
        <f t="shared" si="17"/>
        <v>2019</v>
      </c>
      <c r="D551" s="64" t="str">
        <f t="shared" si="18"/>
        <v>2019年1季度</v>
      </c>
      <c r="E551" s="26" t="s">
        <v>29</v>
      </c>
      <c r="F551" s="24">
        <v>30.4</v>
      </c>
      <c r="G551" s="24">
        <v>12</v>
      </c>
      <c r="H551" s="27">
        <v>364.8</v>
      </c>
      <c r="I551" s="26" t="s">
        <v>22</v>
      </c>
    </row>
    <row r="552" spans="1:9" ht="14.4" x14ac:dyDescent="0.25">
      <c r="A552" s="24">
        <v>10082</v>
      </c>
      <c r="B552" s="25">
        <v>43497</v>
      </c>
      <c r="C552" s="64">
        <f t="shared" si="17"/>
        <v>2019</v>
      </c>
      <c r="D552" s="64" t="str">
        <f t="shared" si="18"/>
        <v>2019年1季度</v>
      </c>
      <c r="E552" s="26" t="s">
        <v>29</v>
      </c>
      <c r="F552" s="24">
        <v>210.8</v>
      </c>
      <c r="G552" s="24">
        <v>20</v>
      </c>
      <c r="H552" s="27">
        <v>4216</v>
      </c>
      <c r="I552" s="26" t="s">
        <v>22</v>
      </c>
    </row>
    <row r="553" spans="1:9" ht="14.4" x14ac:dyDescent="0.25">
      <c r="A553" s="24">
        <v>10082</v>
      </c>
      <c r="B553" s="25">
        <v>43497</v>
      </c>
      <c r="C553" s="64">
        <f t="shared" si="17"/>
        <v>2019</v>
      </c>
      <c r="D553" s="64" t="str">
        <f t="shared" si="18"/>
        <v>2019年1季度</v>
      </c>
      <c r="E553" s="26" t="s">
        <v>29</v>
      </c>
      <c r="F553" s="24">
        <v>20.7</v>
      </c>
      <c r="G553" s="24">
        <v>8</v>
      </c>
      <c r="H553" s="27">
        <v>165.6</v>
      </c>
      <c r="I553" s="26" t="s">
        <v>22</v>
      </c>
    </row>
    <row r="554" spans="1:9" ht="14.4" x14ac:dyDescent="0.25">
      <c r="A554" s="24">
        <v>10082</v>
      </c>
      <c r="B554" s="25">
        <v>43497</v>
      </c>
      <c r="C554" s="64">
        <f t="shared" si="17"/>
        <v>2019</v>
      </c>
      <c r="D554" s="64" t="str">
        <f t="shared" si="18"/>
        <v>2019年1季度</v>
      </c>
      <c r="E554" s="26" t="s">
        <v>29</v>
      </c>
      <c r="F554" s="24">
        <v>7.3</v>
      </c>
      <c r="G554" s="24">
        <v>10</v>
      </c>
      <c r="H554" s="27">
        <v>73</v>
      </c>
      <c r="I554" s="26" t="s">
        <v>22</v>
      </c>
    </row>
    <row r="555" spans="1:9" ht="14.4" x14ac:dyDescent="0.25">
      <c r="A555" s="24">
        <v>10083</v>
      </c>
      <c r="B555" s="25">
        <v>43499</v>
      </c>
      <c r="C555" s="64">
        <f t="shared" si="17"/>
        <v>2019</v>
      </c>
      <c r="D555" s="64" t="str">
        <f t="shared" si="18"/>
        <v>2019年1季度</v>
      </c>
      <c r="E555" s="26" t="s">
        <v>29</v>
      </c>
      <c r="F555" s="24">
        <v>24.9</v>
      </c>
      <c r="G555" s="24">
        <v>50</v>
      </c>
      <c r="H555" s="27">
        <v>1245</v>
      </c>
      <c r="I555" s="26" t="s">
        <v>23</v>
      </c>
    </row>
    <row r="556" spans="1:9" ht="14.4" x14ac:dyDescent="0.25">
      <c r="A556" s="24">
        <v>10083</v>
      </c>
      <c r="B556" s="25">
        <v>43499</v>
      </c>
      <c r="C556" s="64">
        <f t="shared" si="17"/>
        <v>2019</v>
      </c>
      <c r="D556" s="64" t="str">
        <f t="shared" si="18"/>
        <v>2019年1季度</v>
      </c>
      <c r="E556" s="26" t="s">
        <v>29</v>
      </c>
      <c r="F556" s="24">
        <v>27.8</v>
      </c>
      <c r="G556" s="24">
        <v>25</v>
      </c>
      <c r="H556" s="27">
        <v>695</v>
      </c>
      <c r="I556" s="26" t="s">
        <v>23</v>
      </c>
    </row>
    <row r="557" spans="1:9" ht="14.4" x14ac:dyDescent="0.25">
      <c r="A557" s="24">
        <v>10084</v>
      </c>
      <c r="B557" s="25">
        <v>43499</v>
      </c>
      <c r="C557" s="64">
        <f t="shared" si="17"/>
        <v>2019</v>
      </c>
      <c r="D557" s="64" t="str">
        <f t="shared" si="18"/>
        <v>2019年1季度</v>
      </c>
      <c r="E557" s="26" t="s">
        <v>29</v>
      </c>
      <c r="F557" s="24">
        <v>5.9</v>
      </c>
      <c r="G557" s="24">
        <v>15</v>
      </c>
      <c r="H557" s="27">
        <v>88.5</v>
      </c>
      <c r="I557" s="26" t="s">
        <v>27</v>
      </c>
    </row>
    <row r="558" spans="1:9" ht="14.4" x14ac:dyDescent="0.25">
      <c r="A558" s="24">
        <v>10085</v>
      </c>
      <c r="B558" s="25">
        <v>43501</v>
      </c>
      <c r="C558" s="64">
        <f t="shared" si="17"/>
        <v>2019</v>
      </c>
      <c r="D558" s="64" t="str">
        <f t="shared" si="18"/>
        <v>2019年1季度</v>
      </c>
      <c r="E558" s="26" t="s">
        <v>29</v>
      </c>
      <c r="F558" s="24">
        <v>50</v>
      </c>
      <c r="G558" s="24">
        <v>40</v>
      </c>
      <c r="H558" s="27">
        <v>2000</v>
      </c>
      <c r="I558" s="26" t="s">
        <v>26</v>
      </c>
    </row>
    <row r="559" spans="1:9" ht="14.4" x14ac:dyDescent="0.25">
      <c r="A559" s="24">
        <v>10085</v>
      </c>
      <c r="B559" s="25">
        <v>43501</v>
      </c>
      <c r="C559" s="64">
        <f t="shared" si="17"/>
        <v>2019</v>
      </c>
      <c r="D559" s="64" t="str">
        <f t="shared" si="18"/>
        <v>2019年1季度</v>
      </c>
      <c r="E559" s="26" t="s">
        <v>29</v>
      </c>
      <c r="F559" s="24">
        <v>7.6</v>
      </c>
      <c r="G559" s="24">
        <v>16</v>
      </c>
      <c r="H559" s="27">
        <v>121.6</v>
      </c>
      <c r="I559" s="26" t="s">
        <v>26</v>
      </c>
    </row>
    <row r="560" spans="1:9" ht="14.4" x14ac:dyDescent="0.25">
      <c r="A560" s="24">
        <v>10085</v>
      </c>
      <c r="B560" s="25">
        <v>43501</v>
      </c>
      <c r="C560" s="64">
        <f t="shared" si="17"/>
        <v>2019</v>
      </c>
      <c r="D560" s="64" t="str">
        <f t="shared" si="18"/>
        <v>2019年1季度</v>
      </c>
      <c r="E560" s="26" t="s">
        <v>29</v>
      </c>
      <c r="F560" s="24">
        <v>11.2</v>
      </c>
      <c r="G560" s="24">
        <v>10</v>
      </c>
      <c r="H560" s="27">
        <v>112</v>
      </c>
      <c r="I560" s="26" t="s">
        <v>26</v>
      </c>
    </row>
    <row r="561" spans="1:9" ht="14.4" x14ac:dyDescent="0.25">
      <c r="A561" s="24">
        <v>10086</v>
      </c>
      <c r="B561" s="25">
        <v>43503</v>
      </c>
      <c r="C561" s="64">
        <f t="shared" si="17"/>
        <v>2019</v>
      </c>
      <c r="D561" s="64" t="str">
        <f t="shared" si="18"/>
        <v>2019年1季度</v>
      </c>
      <c r="E561" s="26" t="s">
        <v>29</v>
      </c>
      <c r="F561" s="24">
        <v>8</v>
      </c>
      <c r="G561" s="24">
        <v>10</v>
      </c>
      <c r="H561" s="27">
        <v>80</v>
      </c>
      <c r="I561" s="26" t="s">
        <v>22</v>
      </c>
    </row>
    <row r="562" spans="1:9" ht="14.4" x14ac:dyDescent="0.25">
      <c r="A562" s="24">
        <v>10086</v>
      </c>
      <c r="B562" s="25">
        <v>43503</v>
      </c>
      <c r="C562" s="64">
        <f t="shared" si="17"/>
        <v>2019</v>
      </c>
      <c r="D562" s="64" t="str">
        <f t="shared" si="18"/>
        <v>2019年1季度</v>
      </c>
      <c r="E562" s="26" t="s">
        <v>29</v>
      </c>
      <c r="F562" s="24">
        <v>17.2</v>
      </c>
      <c r="G562" s="24">
        <v>40</v>
      </c>
      <c r="H562" s="27">
        <v>688</v>
      </c>
      <c r="I562" s="26" t="s">
        <v>22</v>
      </c>
    </row>
    <row r="563" spans="1:9" ht="14.4" x14ac:dyDescent="0.25">
      <c r="A563" s="24">
        <v>10086</v>
      </c>
      <c r="B563" s="25">
        <v>43503</v>
      </c>
      <c r="C563" s="64">
        <f t="shared" si="17"/>
        <v>2019</v>
      </c>
      <c r="D563" s="64" t="str">
        <f t="shared" si="18"/>
        <v>2019年1季度</v>
      </c>
      <c r="E563" s="26" t="s">
        <v>29</v>
      </c>
      <c r="F563" s="24">
        <v>18.600000000000001</v>
      </c>
      <c r="G563" s="24">
        <v>10</v>
      </c>
      <c r="H563" s="27">
        <v>186</v>
      </c>
      <c r="I563" s="26" t="s">
        <v>22</v>
      </c>
    </row>
    <row r="564" spans="1:9" ht="14.4" x14ac:dyDescent="0.25">
      <c r="A564" s="24">
        <v>10087</v>
      </c>
      <c r="B564" s="25">
        <v>43509</v>
      </c>
      <c r="C564" s="64">
        <f t="shared" si="17"/>
        <v>2019</v>
      </c>
      <c r="D564" s="64" t="str">
        <f t="shared" si="18"/>
        <v>2019年1季度</v>
      </c>
      <c r="E564" s="26" t="s">
        <v>29</v>
      </c>
      <c r="F564" s="24">
        <v>10</v>
      </c>
      <c r="G564" s="24">
        <v>10</v>
      </c>
      <c r="H564" s="27">
        <v>100</v>
      </c>
      <c r="I564" s="26" t="s">
        <v>22</v>
      </c>
    </row>
    <row r="565" spans="1:9" ht="14.4" x14ac:dyDescent="0.25">
      <c r="A565" s="24">
        <v>10087</v>
      </c>
      <c r="B565" s="25">
        <v>43509</v>
      </c>
      <c r="C565" s="64">
        <f t="shared" si="17"/>
        <v>2019</v>
      </c>
      <c r="D565" s="64" t="str">
        <f t="shared" si="18"/>
        <v>2019年1季度</v>
      </c>
      <c r="E565" s="26" t="s">
        <v>29</v>
      </c>
      <c r="F565" s="24">
        <v>5.6</v>
      </c>
      <c r="G565" s="24">
        <v>8</v>
      </c>
      <c r="H565" s="27">
        <v>44.8</v>
      </c>
      <c r="I565" s="26" t="s">
        <v>22</v>
      </c>
    </row>
    <row r="566" spans="1:9" ht="14.4" x14ac:dyDescent="0.25">
      <c r="A566" s="24">
        <v>10088</v>
      </c>
      <c r="B566" s="25">
        <v>43511</v>
      </c>
      <c r="C566" s="64">
        <f t="shared" si="17"/>
        <v>2019</v>
      </c>
      <c r="D566" s="64" t="str">
        <f t="shared" si="18"/>
        <v>2019年1季度</v>
      </c>
      <c r="E566" s="26" t="s">
        <v>29</v>
      </c>
      <c r="F566" s="24">
        <v>25.6</v>
      </c>
      <c r="G566" s="24">
        <v>6</v>
      </c>
      <c r="H566" s="27">
        <v>153.6</v>
      </c>
      <c r="I566" s="26" t="s">
        <v>26</v>
      </c>
    </row>
    <row r="567" spans="1:9" ht="14.4" x14ac:dyDescent="0.25">
      <c r="A567" s="24">
        <v>10088</v>
      </c>
      <c r="B567" s="25">
        <v>43511</v>
      </c>
      <c r="C567" s="64">
        <f t="shared" si="17"/>
        <v>2019</v>
      </c>
      <c r="D567" s="64" t="str">
        <f t="shared" si="18"/>
        <v>2019年1季度</v>
      </c>
      <c r="E567" s="26" t="s">
        <v>29</v>
      </c>
      <c r="F567" s="24">
        <v>15.2</v>
      </c>
      <c r="G567" s="24">
        <v>7</v>
      </c>
      <c r="H567" s="27">
        <v>106.4</v>
      </c>
      <c r="I567" s="26" t="s">
        <v>26</v>
      </c>
    </row>
    <row r="568" spans="1:9" ht="14.4" x14ac:dyDescent="0.25">
      <c r="A568" s="24">
        <v>10088</v>
      </c>
      <c r="B568" s="25">
        <v>43511</v>
      </c>
      <c r="C568" s="64">
        <f t="shared" si="17"/>
        <v>2019</v>
      </c>
      <c r="D568" s="64" t="str">
        <f t="shared" si="18"/>
        <v>2019年1季度</v>
      </c>
      <c r="E568" s="26" t="s">
        <v>29</v>
      </c>
      <c r="F568" s="24">
        <v>10</v>
      </c>
      <c r="G568" s="24">
        <v>25</v>
      </c>
      <c r="H568" s="27">
        <v>250</v>
      </c>
      <c r="I568" s="26" t="s">
        <v>26</v>
      </c>
    </row>
    <row r="569" spans="1:9" ht="14.4" x14ac:dyDescent="0.25">
      <c r="A569" s="24">
        <v>10089</v>
      </c>
      <c r="B569" s="25">
        <v>43513</v>
      </c>
      <c r="C569" s="64">
        <f t="shared" si="17"/>
        <v>2019</v>
      </c>
      <c r="D569" s="64" t="str">
        <f t="shared" si="18"/>
        <v>2019年1季度</v>
      </c>
      <c r="E569" s="26" t="s">
        <v>29</v>
      </c>
      <c r="F569" s="24">
        <v>17.600000000000001</v>
      </c>
      <c r="G569" s="24">
        <v>18</v>
      </c>
      <c r="H569" s="27">
        <v>316.8</v>
      </c>
      <c r="I569" s="26" t="s">
        <v>22</v>
      </c>
    </row>
    <row r="570" spans="1:9" ht="14.4" x14ac:dyDescent="0.25">
      <c r="A570" s="24">
        <v>10090</v>
      </c>
      <c r="B570" s="25">
        <v>43515</v>
      </c>
      <c r="C570" s="64">
        <f t="shared" si="17"/>
        <v>2019</v>
      </c>
      <c r="D570" s="64" t="str">
        <f t="shared" si="18"/>
        <v>2019年1季度</v>
      </c>
      <c r="E570" s="26" t="s">
        <v>29</v>
      </c>
      <c r="F570" s="24">
        <v>15.2</v>
      </c>
      <c r="G570" s="24">
        <v>20</v>
      </c>
      <c r="H570" s="27">
        <v>304</v>
      </c>
      <c r="I570" s="26" t="s">
        <v>22</v>
      </c>
    </row>
    <row r="571" spans="1:9" ht="14.4" x14ac:dyDescent="0.25">
      <c r="A571" s="24">
        <v>10090</v>
      </c>
      <c r="B571" s="25">
        <v>43515</v>
      </c>
      <c r="C571" s="64">
        <f t="shared" si="17"/>
        <v>2019</v>
      </c>
      <c r="D571" s="64" t="str">
        <f t="shared" si="18"/>
        <v>2019年1季度</v>
      </c>
      <c r="E571" s="26" t="s">
        <v>29</v>
      </c>
      <c r="F571" s="24">
        <v>20.8</v>
      </c>
      <c r="G571" s="24">
        <v>28</v>
      </c>
      <c r="H571" s="27">
        <v>582.4</v>
      </c>
      <c r="I571" s="26" t="s">
        <v>22</v>
      </c>
    </row>
    <row r="572" spans="1:9" ht="14.4" x14ac:dyDescent="0.25">
      <c r="A572" s="24">
        <v>10092</v>
      </c>
      <c r="B572" s="25">
        <v>43523</v>
      </c>
      <c r="C572" s="64">
        <f t="shared" si="17"/>
        <v>2019</v>
      </c>
      <c r="D572" s="64" t="str">
        <f t="shared" si="18"/>
        <v>2019年1季度</v>
      </c>
      <c r="E572" s="26" t="s">
        <v>29</v>
      </c>
      <c r="F572" s="24">
        <v>17.600000000000001</v>
      </c>
      <c r="G572" s="24">
        <v>10</v>
      </c>
      <c r="H572" s="27">
        <v>176</v>
      </c>
      <c r="I572" s="26" t="s">
        <v>22</v>
      </c>
    </row>
    <row r="573" spans="1:9" ht="14.4" x14ac:dyDescent="0.25">
      <c r="A573" s="24">
        <v>10093</v>
      </c>
      <c r="B573" s="25">
        <v>43525</v>
      </c>
      <c r="C573" s="64">
        <f t="shared" si="17"/>
        <v>2019</v>
      </c>
      <c r="D573" s="64" t="str">
        <f t="shared" si="18"/>
        <v>2019年1季度</v>
      </c>
      <c r="E573" s="26" t="s">
        <v>29</v>
      </c>
      <c r="F573" s="24">
        <v>36.799999999999997</v>
      </c>
      <c r="G573" s="24">
        <v>40</v>
      </c>
      <c r="H573" s="27">
        <v>1472</v>
      </c>
      <c r="I573" s="26" t="s">
        <v>27</v>
      </c>
    </row>
    <row r="574" spans="1:9" ht="14.4" x14ac:dyDescent="0.25">
      <c r="A574" s="24">
        <v>10093</v>
      </c>
      <c r="B574" s="25">
        <v>43525</v>
      </c>
      <c r="C574" s="64">
        <f t="shared" si="17"/>
        <v>2019</v>
      </c>
      <c r="D574" s="64" t="str">
        <f t="shared" si="18"/>
        <v>2019年1季度</v>
      </c>
      <c r="E574" s="26" t="s">
        <v>29</v>
      </c>
      <c r="F574" s="24">
        <v>50</v>
      </c>
      <c r="G574" s="24">
        <v>20</v>
      </c>
      <c r="H574" s="27">
        <v>1000</v>
      </c>
      <c r="I574" s="26" t="s">
        <v>27</v>
      </c>
    </row>
    <row r="575" spans="1:9" ht="14.4" x14ac:dyDescent="0.25">
      <c r="A575" s="24">
        <v>10093</v>
      </c>
      <c r="B575" s="25">
        <v>43525</v>
      </c>
      <c r="C575" s="64">
        <f t="shared" si="17"/>
        <v>2019</v>
      </c>
      <c r="D575" s="64" t="str">
        <f t="shared" si="18"/>
        <v>2019年1季度</v>
      </c>
      <c r="E575" s="26" t="s">
        <v>29</v>
      </c>
      <c r="F575" s="24">
        <v>7.7</v>
      </c>
      <c r="G575" s="24">
        <v>12</v>
      </c>
      <c r="H575" s="27">
        <v>92.4</v>
      </c>
      <c r="I575" s="26" t="s">
        <v>27</v>
      </c>
    </row>
    <row r="576" spans="1:9" ht="14.4" x14ac:dyDescent="0.25">
      <c r="A576" s="24">
        <v>10094</v>
      </c>
      <c r="B576" s="25">
        <v>43525</v>
      </c>
      <c r="C576" s="64">
        <f t="shared" si="17"/>
        <v>2019</v>
      </c>
      <c r="D576" s="64" t="str">
        <f t="shared" si="18"/>
        <v>2019年1季度</v>
      </c>
      <c r="E576" s="26" t="s">
        <v>29</v>
      </c>
      <c r="F576" s="24">
        <v>44</v>
      </c>
      <c r="G576" s="24">
        <v>9</v>
      </c>
      <c r="H576" s="27">
        <v>396</v>
      </c>
      <c r="I576" s="26" t="s">
        <v>26</v>
      </c>
    </row>
    <row r="577" spans="1:9" ht="14.4" x14ac:dyDescent="0.25">
      <c r="A577" s="24">
        <v>10094</v>
      </c>
      <c r="B577" s="25">
        <v>43525</v>
      </c>
      <c r="C577" s="64">
        <f t="shared" si="17"/>
        <v>2019</v>
      </c>
      <c r="D577" s="64" t="str">
        <f t="shared" si="18"/>
        <v>2019年1季度</v>
      </c>
      <c r="E577" s="26" t="s">
        <v>29</v>
      </c>
      <c r="F577" s="24">
        <v>2</v>
      </c>
      <c r="G577" s="24">
        <v>8</v>
      </c>
      <c r="H577" s="27">
        <v>16</v>
      </c>
      <c r="I577" s="26" t="s">
        <v>26</v>
      </c>
    </row>
    <row r="578" spans="1:9" ht="14.4" x14ac:dyDescent="0.25">
      <c r="A578" s="24">
        <v>10095</v>
      </c>
      <c r="B578" s="25">
        <v>43527</v>
      </c>
      <c r="C578" s="64">
        <f t="shared" si="17"/>
        <v>2019</v>
      </c>
      <c r="D578" s="64" t="str">
        <f t="shared" si="18"/>
        <v>2019年1季度</v>
      </c>
      <c r="E578" s="26" t="s">
        <v>29</v>
      </c>
      <c r="F578" s="24">
        <v>15.2</v>
      </c>
      <c r="G578" s="24">
        <v>24</v>
      </c>
      <c r="H578" s="27">
        <v>364.8</v>
      </c>
      <c r="I578" s="26" t="s">
        <v>27</v>
      </c>
    </row>
    <row r="579" spans="1:9" ht="14.4" x14ac:dyDescent="0.25">
      <c r="A579" s="24">
        <v>10095</v>
      </c>
      <c r="B579" s="25">
        <v>43527</v>
      </c>
      <c r="C579" s="64">
        <f t="shared" ref="C579:C642" si="19">YEAR(B579)</f>
        <v>2019</v>
      </c>
      <c r="D579" s="64" t="str">
        <f t="shared" ref="D579:D642" si="20">YEAR(B579)&amp;"年"&amp;ROUNDUP(MONTH(B579)/3,0)&amp;"季度"</f>
        <v>2019年1季度</v>
      </c>
      <c r="E579" s="26" t="s">
        <v>29</v>
      </c>
      <c r="F579" s="24">
        <v>15.2</v>
      </c>
      <c r="G579" s="24">
        <v>40</v>
      </c>
      <c r="H579" s="27">
        <v>608</v>
      </c>
      <c r="I579" s="26" t="s">
        <v>27</v>
      </c>
    </row>
    <row r="580" spans="1:9" ht="14.4" x14ac:dyDescent="0.25">
      <c r="A580" s="24">
        <v>10098</v>
      </c>
      <c r="B580" s="25">
        <v>43537</v>
      </c>
      <c r="C580" s="64">
        <f t="shared" si="19"/>
        <v>2019</v>
      </c>
      <c r="D580" s="64" t="str">
        <f t="shared" si="20"/>
        <v>2019年1季度</v>
      </c>
      <c r="E580" s="26" t="s">
        <v>29</v>
      </c>
      <c r="F580" s="24">
        <v>7.3</v>
      </c>
      <c r="G580" s="24">
        <v>80</v>
      </c>
      <c r="H580" s="27">
        <v>584</v>
      </c>
      <c r="I580" s="26" t="s">
        <v>26</v>
      </c>
    </row>
    <row r="581" spans="1:9" ht="14.4" x14ac:dyDescent="0.25">
      <c r="A581" s="24">
        <v>10098</v>
      </c>
      <c r="B581" s="25">
        <v>43537</v>
      </c>
      <c r="C581" s="64">
        <f t="shared" si="19"/>
        <v>2019</v>
      </c>
      <c r="D581" s="64" t="str">
        <f t="shared" si="20"/>
        <v>2019年1季度</v>
      </c>
      <c r="E581" s="26" t="s">
        <v>29</v>
      </c>
      <c r="F581" s="24">
        <v>11.2</v>
      </c>
      <c r="G581" s="24">
        <v>9</v>
      </c>
      <c r="H581" s="27">
        <v>100.8</v>
      </c>
      <c r="I581" s="26" t="s">
        <v>26</v>
      </c>
    </row>
    <row r="582" spans="1:9" ht="14.4" x14ac:dyDescent="0.25">
      <c r="A582" s="24">
        <v>10098</v>
      </c>
      <c r="B582" s="25">
        <v>43537</v>
      </c>
      <c r="C582" s="64">
        <f t="shared" si="19"/>
        <v>2019</v>
      </c>
      <c r="D582" s="64" t="str">
        <f t="shared" si="20"/>
        <v>2019年1季度</v>
      </c>
      <c r="E582" s="26" t="s">
        <v>29</v>
      </c>
      <c r="F582" s="24">
        <v>32</v>
      </c>
      <c r="G582" s="24">
        <v>70</v>
      </c>
      <c r="H582" s="27">
        <v>2240</v>
      </c>
      <c r="I582" s="26" t="s">
        <v>26</v>
      </c>
    </row>
    <row r="583" spans="1:9" ht="14.4" x14ac:dyDescent="0.25">
      <c r="A583" s="24">
        <v>10099</v>
      </c>
      <c r="B583" s="25">
        <v>43539</v>
      </c>
      <c r="C583" s="64">
        <f t="shared" si="19"/>
        <v>2019</v>
      </c>
      <c r="D583" s="64" t="str">
        <f t="shared" si="20"/>
        <v>2019年1季度</v>
      </c>
      <c r="E583" s="26" t="s">
        <v>29</v>
      </c>
      <c r="F583" s="24">
        <v>30.4</v>
      </c>
      <c r="G583" s="24">
        <v>20</v>
      </c>
      <c r="H583" s="27">
        <v>608</v>
      </c>
      <c r="I583" s="26" t="s">
        <v>22</v>
      </c>
    </row>
    <row r="584" spans="1:9" ht="14.4" x14ac:dyDescent="0.25">
      <c r="A584" s="24">
        <v>10100</v>
      </c>
      <c r="B584" s="25">
        <v>43541</v>
      </c>
      <c r="C584" s="64">
        <f t="shared" si="19"/>
        <v>2019</v>
      </c>
      <c r="D584" s="64" t="str">
        <f t="shared" si="20"/>
        <v>2019年1季度</v>
      </c>
      <c r="E584" s="26" t="s">
        <v>29</v>
      </c>
      <c r="F584" s="24">
        <v>6.2</v>
      </c>
      <c r="G584" s="24">
        <v>6</v>
      </c>
      <c r="H584" s="27">
        <v>37.200000000000003</v>
      </c>
      <c r="I584" s="26" t="s">
        <v>22</v>
      </c>
    </row>
    <row r="585" spans="1:9" ht="14.4" x14ac:dyDescent="0.25">
      <c r="A585" s="24">
        <v>10100</v>
      </c>
      <c r="B585" s="25">
        <v>43541</v>
      </c>
      <c r="C585" s="64">
        <f t="shared" si="19"/>
        <v>2019</v>
      </c>
      <c r="D585" s="64" t="str">
        <f t="shared" si="20"/>
        <v>2019年1季度</v>
      </c>
      <c r="E585" s="26" t="s">
        <v>29</v>
      </c>
      <c r="F585" s="24">
        <v>14.4</v>
      </c>
      <c r="G585" s="24">
        <v>50</v>
      </c>
      <c r="H585" s="27">
        <v>720</v>
      </c>
      <c r="I585" s="26" t="s">
        <v>22</v>
      </c>
    </row>
    <row r="586" spans="1:9" ht="14.4" x14ac:dyDescent="0.25">
      <c r="A586" s="24">
        <v>10100</v>
      </c>
      <c r="B586" s="25">
        <v>43541</v>
      </c>
      <c r="C586" s="64">
        <f t="shared" si="19"/>
        <v>2019</v>
      </c>
      <c r="D586" s="64" t="str">
        <f t="shared" si="20"/>
        <v>2019年1季度</v>
      </c>
      <c r="E586" s="26" t="s">
        <v>29</v>
      </c>
      <c r="F586" s="24">
        <v>11.2</v>
      </c>
      <c r="G586" s="24">
        <v>10</v>
      </c>
      <c r="H586" s="27">
        <v>112</v>
      </c>
      <c r="I586" s="26" t="s">
        <v>22</v>
      </c>
    </row>
    <row r="587" spans="1:9" ht="14.4" x14ac:dyDescent="0.25">
      <c r="A587" s="24">
        <v>10100</v>
      </c>
      <c r="B587" s="25">
        <v>43541</v>
      </c>
      <c r="C587" s="64">
        <f t="shared" si="19"/>
        <v>2019</v>
      </c>
      <c r="D587" s="64" t="str">
        <f t="shared" si="20"/>
        <v>2019年1季度</v>
      </c>
      <c r="E587" s="26" t="s">
        <v>29</v>
      </c>
      <c r="F587" s="24">
        <v>14.7</v>
      </c>
      <c r="G587" s="24">
        <v>4</v>
      </c>
      <c r="H587" s="27">
        <v>58.8</v>
      </c>
      <c r="I587" s="26" t="s">
        <v>22</v>
      </c>
    </row>
    <row r="588" spans="1:9" ht="14.4" x14ac:dyDescent="0.25">
      <c r="A588" s="24">
        <v>10101</v>
      </c>
      <c r="B588" s="25">
        <v>43543</v>
      </c>
      <c r="C588" s="64">
        <f t="shared" si="19"/>
        <v>2019</v>
      </c>
      <c r="D588" s="64" t="str">
        <f t="shared" si="20"/>
        <v>2019年1季度</v>
      </c>
      <c r="E588" s="26" t="s">
        <v>29</v>
      </c>
      <c r="F588" s="24">
        <v>14.4</v>
      </c>
      <c r="G588" s="24">
        <v>15</v>
      </c>
      <c r="H588" s="27">
        <v>216</v>
      </c>
      <c r="I588" s="26" t="s">
        <v>22</v>
      </c>
    </row>
    <row r="589" spans="1:9" ht="14.4" x14ac:dyDescent="0.25">
      <c r="A589" s="24">
        <v>10101</v>
      </c>
      <c r="B589" s="25">
        <v>43543</v>
      </c>
      <c r="C589" s="64">
        <f t="shared" si="19"/>
        <v>2019</v>
      </c>
      <c r="D589" s="64" t="str">
        <f t="shared" si="20"/>
        <v>2019年1季度</v>
      </c>
      <c r="E589" s="26" t="s">
        <v>29</v>
      </c>
      <c r="F589" s="24">
        <v>7.2</v>
      </c>
      <c r="G589" s="24">
        <v>25</v>
      </c>
      <c r="H589" s="27">
        <v>180</v>
      </c>
      <c r="I589" s="26" t="s">
        <v>22</v>
      </c>
    </row>
    <row r="590" spans="1:9" ht="14.4" x14ac:dyDescent="0.25">
      <c r="A590" s="24">
        <v>10105</v>
      </c>
      <c r="B590" s="25">
        <v>43553</v>
      </c>
      <c r="C590" s="64">
        <f t="shared" si="19"/>
        <v>2019</v>
      </c>
      <c r="D590" s="64" t="str">
        <f t="shared" si="20"/>
        <v>2019年1季度</v>
      </c>
      <c r="E590" s="26" t="s">
        <v>29</v>
      </c>
      <c r="F590" s="24">
        <v>5.9</v>
      </c>
      <c r="G590" s="24">
        <v>20</v>
      </c>
      <c r="H590" s="27">
        <v>118</v>
      </c>
      <c r="I590" s="26" t="s">
        <v>22</v>
      </c>
    </row>
    <row r="591" spans="1:9" ht="14.4" x14ac:dyDescent="0.25">
      <c r="A591" s="24">
        <v>10105</v>
      </c>
      <c r="B591" s="25">
        <v>43553</v>
      </c>
      <c r="C591" s="64">
        <f t="shared" si="19"/>
        <v>2019</v>
      </c>
      <c r="D591" s="64" t="str">
        <f t="shared" si="20"/>
        <v>2019年1季度</v>
      </c>
      <c r="E591" s="26" t="s">
        <v>29</v>
      </c>
      <c r="F591" s="24">
        <v>3.6</v>
      </c>
      <c r="G591" s="24">
        <v>10</v>
      </c>
      <c r="H591" s="27">
        <v>36</v>
      </c>
      <c r="I591" s="26" t="s">
        <v>22</v>
      </c>
    </row>
    <row r="592" spans="1:9" ht="14.4" x14ac:dyDescent="0.25">
      <c r="A592" s="24">
        <v>10106</v>
      </c>
      <c r="B592" s="25">
        <v>43555</v>
      </c>
      <c r="C592" s="64">
        <f t="shared" si="19"/>
        <v>2019</v>
      </c>
      <c r="D592" s="64" t="str">
        <f t="shared" si="20"/>
        <v>2019年1季度</v>
      </c>
      <c r="E592" s="26" t="s">
        <v>29</v>
      </c>
      <c r="F592" s="24">
        <v>210.8</v>
      </c>
      <c r="G592" s="24">
        <v>50</v>
      </c>
      <c r="H592" s="27">
        <v>10540</v>
      </c>
      <c r="I592" s="26" t="s">
        <v>22</v>
      </c>
    </row>
    <row r="593" spans="1:9" ht="14.4" x14ac:dyDescent="0.25">
      <c r="A593" s="24">
        <v>10106</v>
      </c>
      <c r="B593" s="25">
        <v>43555</v>
      </c>
      <c r="C593" s="64">
        <f t="shared" si="19"/>
        <v>2019</v>
      </c>
      <c r="D593" s="64" t="str">
        <f t="shared" si="20"/>
        <v>2019年1季度</v>
      </c>
      <c r="E593" s="26" t="s">
        <v>29</v>
      </c>
      <c r="F593" s="24">
        <v>16.8</v>
      </c>
      <c r="G593" s="24">
        <v>12</v>
      </c>
      <c r="H593" s="27">
        <v>201.6</v>
      </c>
      <c r="I593" s="26" t="s">
        <v>22</v>
      </c>
    </row>
    <row r="594" spans="1:9" ht="14.4" x14ac:dyDescent="0.25">
      <c r="A594" s="24">
        <v>10107</v>
      </c>
      <c r="B594" s="25">
        <v>43557</v>
      </c>
      <c r="C594" s="64">
        <f t="shared" si="19"/>
        <v>2019</v>
      </c>
      <c r="D594" s="64" t="str">
        <f t="shared" si="20"/>
        <v>2019年2季度</v>
      </c>
      <c r="E594" s="26" t="s">
        <v>29</v>
      </c>
      <c r="F594" s="24">
        <v>14.4</v>
      </c>
      <c r="G594" s="24">
        <v>12</v>
      </c>
      <c r="H594" s="27">
        <v>172.8</v>
      </c>
      <c r="I594" s="26" t="s">
        <v>27</v>
      </c>
    </row>
    <row r="595" spans="1:9" ht="14.4" x14ac:dyDescent="0.25">
      <c r="A595" s="24">
        <v>10107</v>
      </c>
      <c r="B595" s="25">
        <v>43557</v>
      </c>
      <c r="C595" s="64">
        <f t="shared" si="19"/>
        <v>2019</v>
      </c>
      <c r="D595" s="64" t="str">
        <f t="shared" si="20"/>
        <v>2019年2季度</v>
      </c>
      <c r="E595" s="26" t="s">
        <v>29</v>
      </c>
      <c r="F595" s="24">
        <v>99</v>
      </c>
      <c r="G595" s="24">
        <v>4</v>
      </c>
      <c r="H595" s="27">
        <v>396</v>
      </c>
      <c r="I595" s="26" t="s">
        <v>27</v>
      </c>
    </row>
    <row r="596" spans="1:9" ht="14.4" x14ac:dyDescent="0.25">
      <c r="A596" s="24">
        <v>10108</v>
      </c>
      <c r="B596" s="25">
        <v>43559</v>
      </c>
      <c r="C596" s="64">
        <f t="shared" si="19"/>
        <v>2019</v>
      </c>
      <c r="D596" s="64" t="str">
        <f t="shared" si="20"/>
        <v>2019年2季度</v>
      </c>
      <c r="E596" s="26" t="s">
        <v>29</v>
      </c>
      <c r="F596" s="24">
        <v>3.6</v>
      </c>
      <c r="G596" s="24">
        <v>25</v>
      </c>
      <c r="H596" s="27">
        <v>90</v>
      </c>
      <c r="I596" s="26" t="s">
        <v>23</v>
      </c>
    </row>
    <row r="597" spans="1:9" ht="14.4" x14ac:dyDescent="0.25">
      <c r="A597" s="24">
        <v>10108</v>
      </c>
      <c r="B597" s="25">
        <v>43559</v>
      </c>
      <c r="C597" s="64">
        <f t="shared" si="19"/>
        <v>2019</v>
      </c>
      <c r="D597" s="64" t="str">
        <f t="shared" si="20"/>
        <v>2019年2季度</v>
      </c>
      <c r="E597" s="26" t="s">
        <v>29</v>
      </c>
      <c r="F597" s="24">
        <v>15.6</v>
      </c>
      <c r="G597" s="24">
        <v>25</v>
      </c>
      <c r="H597" s="27">
        <v>390</v>
      </c>
      <c r="I597" s="26" t="s">
        <v>23</v>
      </c>
    </row>
    <row r="598" spans="1:9" ht="14.4" x14ac:dyDescent="0.25">
      <c r="A598" s="24">
        <v>10109</v>
      </c>
      <c r="B598" s="25">
        <v>43565</v>
      </c>
      <c r="C598" s="64">
        <f t="shared" si="19"/>
        <v>2019</v>
      </c>
      <c r="D598" s="64" t="str">
        <f t="shared" si="20"/>
        <v>2019年2季度</v>
      </c>
      <c r="E598" s="26" t="s">
        <v>29</v>
      </c>
      <c r="F598" s="24">
        <v>19.2</v>
      </c>
      <c r="G598" s="24">
        <v>12</v>
      </c>
      <c r="H598" s="27">
        <v>230.4</v>
      </c>
      <c r="I598" s="26" t="s">
        <v>25</v>
      </c>
    </row>
    <row r="599" spans="1:9" ht="14.4" x14ac:dyDescent="0.25">
      <c r="A599" s="24">
        <v>10109</v>
      </c>
      <c r="B599" s="25">
        <v>43565</v>
      </c>
      <c r="C599" s="64">
        <f t="shared" si="19"/>
        <v>2019</v>
      </c>
      <c r="D599" s="64" t="str">
        <f t="shared" si="20"/>
        <v>2019年2季度</v>
      </c>
      <c r="E599" s="26" t="s">
        <v>29</v>
      </c>
      <c r="F599" s="24">
        <v>28.8</v>
      </c>
      <c r="G599" s="24">
        <v>20</v>
      </c>
      <c r="H599" s="27">
        <v>576</v>
      </c>
      <c r="I599" s="26" t="s">
        <v>25</v>
      </c>
    </row>
    <row r="600" spans="1:9" ht="14.4" x14ac:dyDescent="0.25">
      <c r="A600" s="24">
        <v>10109</v>
      </c>
      <c r="B600" s="25">
        <v>43565</v>
      </c>
      <c r="C600" s="64">
        <f t="shared" si="19"/>
        <v>2019</v>
      </c>
      <c r="D600" s="64" t="str">
        <f t="shared" si="20"/>
        <v>2019年2季度</v>
      </c>
      <c r="E600" s="26" t="s">
        <v>29</v>
      </c>
      <c r="F600" s="24">
        <v>10</v>
      </c>
      <c r="G600" s="24">
        <v>30</v>
      </c>
      <c r="H600" s="27">
        <v>300</v>
      </c>
      <c r="I600" s="26" t="s">
        <v>25</v>
      </c>
    </row>
    <row r="601" spans="1:9" ht="14.4" x14ac:dyDescent="0.25">
      <c r="A601" s="24">
        <v>10110</v>
      </c>
      <c r="B601" s="25">
        <v>43567</v>
      </c>
      <c r="C601" s="64">
        <f t="shared" si="19"/>
        <v>2019</v>
      </c>
      <c r="D601" s="64" t="str">
        <f t="shared" si="20"/>
        <v>2019年2季度</v>
      </c>
      <c r="E601" s="26" t="s">
        <v>29</v>
      </c>
      <c r="F601" s="24">
        <v>27.2</v>
      </c>
      <c r="G601" s="24">
        <v>8</v>
      </c>
      <c r="H601" s="27">
        <v>217.6</v>
      </c>
      <c r="I601" s="26" t="s">
        <v>23</v>
      </c>
    </row>
    <row r="602" spans="1:9" ht="14.4" x14ac:dyDescent="0.25">
      <c r="A602" s="24">
        <v>10110</v>
      </c>
      <c r="B602" s="25">
        <v>43567</v>
      </c>
      <c r="C602" s="64">
        <f t="shared" si="19"/>
        <v>2019</v>
      </c>
      <c r="D602" s="64" t="str">
        <f t="shared" si="20"/>
        <v>2019年2季度</v>
      </c>
      <c r="E602" s="26" t="s">
        <v>29</v>
      </c>
      <c r="F602" s="24">
        <v>24.9</v>
      </c>
      <c r="G602" s="24">
        <v>16</v>
      </c>
      <c r="H602" s="27">
        <v>398.4</v>
      </c>
      <c r="I602" s="26" t="s">
        <v>23</v>
      </c>
    </row>
    <row r="603" spans="1:9" ht="14.4" x14ac:dyDescent="0.25">
      <c r="A603" s="24">
        <v>10110</v>
      </c>
      <c r="B603" s="25">
        <v>43567</v>
      </c>
      <c r="C603" s="64">
        <f t="shared" si="19"/>
        <v>2019</v>
      </c>
      <c r="D603" s="64" t="str">
        <f t="shared" si="20"/>
        <v>2019年2季度</v>
      </c>
      <c r="E603" s="26" t="s">
        <v>29</v>
      </c>
      <c r="F603" s="24">
        <v>24.8</v>
      </c>
      <c r="G603" s="24">
        <v>30</v>
      </c>
      <c r="H603" s="27">
        <v>744</v>
      </c>
      <c r="I603" s="26" t="s">
        <v>23</v>
      </c>
    </row>
    <row r="604" spans="1:9" ht="14.4" x14ac:dyDescent="0.25">
      <c r="A604" s="24">
        <v>10111</v>
      </c>
      <c r="B604" s="25">
        <v>43569</v>
      </c>
      <c r="C604" s="64">
        <f t="shared" si="19"/>
        <v>2019</v>
      </c>
      <c r="D604" s="64" t="str">
        <f t="shared" si="20"/>
        <v>2019年2季度</v>
      </c>
      <c r="E604" s="26" t="s">
        <v>29</v>
      </c>
      <c r="F604" s="24">
        <v>11.2</v>
      </c>
      <c r="G604" s="24">
        <v>10</v>
      </c>
      <c r="H604" s="27">
        <v>112</v>
      </c>
      <c r="I604" s="26" t="s">
        <v>22</v>
      </c>
    </row>
    <row r="605" spans="1:9" ht="14.4" x14ac:dyDescent="0.25">
      <c r="A605" s="24">
        <v>10111</v>
      </c>
      <c r="B605" s="25">
        <v>43569</v>
      </c>
      <c r="C605" s="64">
        <f t="shared" si="19"/>
        <v>2019</v>
      </c>
      <c r="D605" s="64" t="str">
        <f t="shared" si="20"/>
        <v>2019年2季度</v>
      </c>
      <c r="E605" s="26" t="s">
        <v>29</v>
      </c>
      <c r="F605" s="24">
        <v>3.6</v>
      </c>
      <c r="G605" s="24">
        <v>10</v>
      </c>
      <c r="H605" s="27">
        <v>36</v>
      </c>
      <c r="I605" s="26" t="s">
        <v>22</v>
      </c>
    </row>
    <row r="606" spans="1:9" ht="14.4" x14ac:dyDescent="0.25">
      <c r="A606" s="24">
        <v>10111</v>
      </c>
      <c r="B606" s="25">
        <v>43569</v>
      </c>
      <c r="C606" s="64">
        <f t="shared" si="19"/>
        <v>2019</v>
      </c>
      <c r="D606" s="64" t="str">
        <f t="shared" si="20"/>
        <v>2019年2季度</v>
      </c>
      <c r="E606" s="26" t="s">
        <v>29</v>
      </c>
      <c r="F606" s="24">
        <v>15.2</v>
      </c>
      <c r="G606" s="24">
        <v>20</v>
      </c>
      <c r="H606" s="27">
        <v>304</v>
      </c>
      <c r="I606" s="26" t="s">
        <v>22</v>
      </c>
    </row>
    <row r="607" spans="1:9" ht="14.4" x14ac:dyDescent="0.25">
      <c r="A607" s="24">
        <v>10112</v>
      </c>
      <c r="B607" s="25">
        <v>43571</v>
      </c>
      <c r="C607" s="64">
        <f t="shared" si="19"/>
        <v>2019</v>
      </c>
      <c r="D607" s="64" t="str">
        <f t="shared" si="20"/>
        <v>2019年2季度</v>
      </c>
      <c r="E607" s="26" t="s">
        <v>29</v>
      </c>
      <c r="F607" s="24">
        <v>10</v>
      </c>
      <c r="G607" s="24">
        <v>70</v>
      </c>
      <c r="H607" s="27">
        <v>700</v>
      </c>
      <c r="I607" s="26" t="s">
        <v>23</v>
      </c>
    </row>
    <row r="608" spans="1:9" ht="14.4" x14ac:dyDescent="0.25">
      <c r="A608" s="24">
        <v>10112</v>
      </c>
      <c r="B608" s="25">
        <v>43571</v>
      </c>
      <c r="C608" s="64">
        <f t="shared" si="19"/>
        <v>2019</v>
      </c>
      <c r="D608" s="64" t="str">
        <f t="shared" si="20"/>
        <v>2019年2季度</v>
      </c>
      <c r="E608" s="26" t="s">
        <v>29</v>
      </c>
      <c r="F608" s="24">
        <v>27.2</v>
      </c>
      <c r="G608" s="24">
        <v>80</v>
      </c>
      <c r="H608" s="27">
        <v>2176</v>
      </c>
      <c r="I608" s="26" t="s">
        <v>23</v>
      </c>
    </row>
    <row r="609" spans="1:9" ht="14.4" x14ac:dyDescent="0.25">
      <c r="A609" s="24">
        <v>10112</v>
      </c>
      <c r="B609" s="25">
        <v>43571</v>
      </c>
      <c r="C609" s="64">
        <f t="shared" si="19"/>
        <v>2019</v>
      </c>
      <c r="D609" s="64" t="str">
        <f t="shared" si="20"/>
        <v>2019年2季度</v>
      </c>
      <c r="E609" s="26" t="s">
        <v>29</v>
      </c>
      <c r="F609" s="24">
        <v>13.9</v>
      </c>
      <c r="G609" s="24">
        <v>56</v>
      </c>
      <c r="H609" s="27">
        <v>778.4</v>
      </c>
      <c r="I609" s="26" t="s">
        <v>23</v>
      </c>
    </row>
    <row r="610" spans="1:9" ht="14.4" x14ac:dyDescent="0.25">
      <c r="A610" s="24">
        <v>10115</v>
      </c>
      <c r="B610" s="25">
        <v>43579</v>
      </c>
      <c r="C610" s="64">
        <f t="shared" si="19"/>
        <v>2019</v>
      </c>
      <c r="D610" s="64" t="str">
        <f t="shared" si="20"/>
        <v>2019年2季度</v>
      </c>
      <c r="E610" s="26" t="s">
        <v>29</v>
      </c>
      <c r="F610" s="24">
        <v>5.9</v>
      </c>
      <c r="G610" s="24">
        <v>24</v>
      </c>
      <c r="H610" s="27">
        <v>141.6</v>
      </c>
      <c r="I610" s="26" t="s">
        <v>22</v>
      </c>
    </row>
    <row r="611" spans="1:9" ht="14.4" x14ac:dyDescent="0.25">
      <c r="A611" s="24">
        <v>10115</v>
      </c>
      <c r="B611" s="25">
        <v>43579</v>
      </c>
      <c r="C611" s="64">
        <f t="shared" si="19"/>
        <v>2019</v>
      </c>
      <c r="D611" s="64" t="str">
        <f t="shared" si="20"/>
        <v>2019年2季度</v>
      </c>
      <c r="E611" s="26" t="s">
        <v>29</v>
      </c>
      <c r="F611" s="24">
        <v>11.2</v>
      </c>
      <c r="G611" s="24">
        <v>50</v>
      </c>
      <c r="H611" s="27">
        <v>560</v>
      </c>
      <c r="I611" s="26" t="s">
        <v>22</v>
      </c>
    </row>
    <row r="612" spans="1:9" ht="14.4" x14ac:dyDescent="0.25">
      <c r="A612" s="24">
        <v>10116</v>
      </c>
      <c r="B612" s="25">
        <v>43581</v>
      </c>
      <c r="C612" s="64">
        <f t="shared" si="19"/>
        <v>2019</v>
      </c>
      <c r="D612" s="64" t="str">
        <f t="shared" si="20"/>
        <v>2019年2季度</v>
      </c>
      <c r="E612" s="26" t="s">
        <v>29</v>
      </c>
      <c r="F612" s="24">
        <v>14.4</v>
      </c>
      <c r="G612" s="24">
        <v>12</v>
      </c>
      <c r="H612" s="27">
        <v>172.8</v>
      </c>
      <c r="I612" s="26" t="s">
        <v>22</v>
      </c>
    </row>
    <row r="613" spans="1:9" ht="14.4" x14ac:dyDescent="0.25">
      <c r="A613" s="24">
        <v>10116</v>
      </c>
      <c r="B613" s="25">
        <v>43581</v>
      </c>
      <c r="C613" s="64">
        <f t="shared" si="19"/>
        <v>2019</v>
      </c>
      <c r="D613" s="64" t="str">
        <f t="shared" si="20"/>
        <v>2019年2季度</v>
      </c>
      <c r="E613" s="26" t="s">
        <v>29</v>
      </c>
      <c r="F613" s="24">
        <v>6.2</v>
      </c>
      <c r="G613" s="24">
        <v>12</v>
      </c>
      <c r="H613" s="27">
        <v>74.400000000000006</v>
      </c>
      <c r="I613" s="26" t="s">
        <v>22</v>
      </c>
    </row>
    <row r="614" spans="1:9" ht="14.4" x14ac:dyDescent="0.25">
      <c r="A614" s="24">
        <v>10116</v>
      </c>
      <c r="B614" s="25">
        <v>43581</v>
      </c>
      <c r="C614" s="64">
        <f t="shared" si="19"/>
        <v>2019</v>
      </c>
      <c r="D614" s="64" t="str">
        <f t="shared" si="20"/>
        <v>2019年2季度</v>
      </c>
      <c r="E614" s="26" t="s">
        <v>29</v>
      </c>
      <c r="F614" s="24">
        <v>10</v>
      </c>
      <c r="G614" s="24">
        <v>20</v>
      </c>
      <c r="H614" s="27">
        <v>200</v>
      </c>
      <c r="I614" s="26" t="s">
        <v>22</v>
      </c>
    </row>
    <row r="615" spans="1:9" ht="14.4" x14ac:dyDescent="0.25">
      <c r="A615" s="24">
        <v>10117</v>
      </c>
      <c r="B615" s="25">
        <v>43581</v>
      </c>
      <c r="C615" s="64">
        <f t="shared" si="19"/>
        <v>2019</v>
      </c>
      <c r="D615" s="64" t="str">
        <f t="shared" si="20"/>
        <v>2019年2季度</v>
      </c>
      <c r="E615" s="26" t="s">
        <v>29</v>
      </c>
      <c r="F615" s="24">
        <v>17.2</v>
      </c>
      <c r="G615" s="24">
        <v>5</v>
      </c>
      <c r="H615" s="27">
        <v>86</v>
      </c>
      <c r="I615" s="26" t="s">
        <v>23</v>
      </c>
    </row>
    <row r="616" spans="1:9" ht="14.4" x14ac:dyDescent="0.25">
      <c r="A616" s="24">
        <v>10117</v>
      </c>
      <c r="B616" s="25">
        <v>43581</v>
      </c>
      <c r="C616" s="64">
        <f t="shared" si="19"/>
        <v>2019</v>
      </c>
      <c r="D616" s="64" t="str">
        <f t="shared" si="20"/>
        <v>2019年2季度</v>
      </c>
      <c r="E616" s="26" t="s">
        <v>29</v>
      </c>
      <c r="F616" s="24">
        <v>28.8</v>
      </c>
      <c r="G616" s="24">
        <v>30</v>
      </c>
      <c r="H616" s="27">
        <v>864</v>
      </c>
      <c r="I616" s="26" t="s">
        <v>23</v>
      </c>
    </row>
    <row r="617" spans="1:9" ht="14.4" x14ac:dyDescent="0.25">
      <c r="A617" s="24">
        <v>10118</v>
      </c>
      <c r="B617" s="25">
        <v>43583</v>
      </c>
      <c r="C617" s="64">
        <f t="shared" si="19"/>
        <v>2019</v>
      </c>
      <c r="D617" s="64" t="str">
        <f t="shared" si="20"/>
        <v>2019年2季度</v>
      </c>
      <c r="E617" s="26" t="s">
        <v>29</v>
      </c>
      <c r="F617" s="24">
        <v>16.8</v>
      </c>
      <c r="G617" s="24">
        <v>24</v>
      </c>
      <c r="H617" s="27">
        <v>403.2</v>
      </c>
      <c r="I617" s="26" t="s">
        <v>22</v>
      </c>
    </row>
    <row r="618" spans="1:9" ht="14.4" x14ac:dyDescent="0.25">
      <c r="A618" s="24">
        <v>10119</v>
      </c>
      <c r="B618" s="25">
        <v>43585</v>
      </c>
      <c r="C618" s="64">
        <f t="shared" si="19"/>
        <v>2019</v>
      </c>
      <c r="D618" s="64" t="str">
        <f t="shared" si="20"/>
        <v>2019年2季度</v>
      </c>
      <c r="E618" s="26" t="s">
        <v>29</v>
      </c>
      <c r="F618" s="24">
        <v>16.8</v>
      </c>
      <c r="G618" s="24">
        <v>5</v>
      </c>
      <c r="H618" s="27">
        <v>84</v>
      </c>
      <c r="I618" s="26" t="s">
        <v>25</v>
      </c>
    </row>
    <row r="619" spans="1:9" ht="14.4" x14ac:dyDescent="0.25">
      <c r="A619" s="24">
        <v>10119</v>
      </c>
      <c r="B619" s="25">
        <v>43585</v>
      </c>
      <c r="C619" s="64">
        <f t="shared" si="19"/>
        <v>2019</v>
      </c>
      <c r="D619" s="64" t="str">
        <f t="shared" si="20"/>
        <v>2019年2季度</v>
      </c>
      <c r="E619" s="26" t="s">
        <v>29</v>
      </c>
      <c r="F619" s="24">
        <v>10.4</v>
      </c>
      <c r="G619" s="24">
        <v>5</v>
      </c>
      <c r="H619" s="27">
        <v>52</v>
      </c>
      <c r="I619" s="26" t="s">
        <v>25</v>
      </c>
    </row>
    <row r="620" spans="1:9" ht="14.4" x14ac:dyDescent="0.25">
      <c r="A620" s="24">
        <v>10120</v>
      </c>
      <c r="B620" s="25">
        <v>43585</v>
      </c>
      <c r="C620" s="64">
        <f t="shared" si="19"/>
        <v>2019</v>
      </c>
      <c r="D620" s="64" t="str">
        <f t="shared" si="20"/>
        <v>2019年2季度</v>
      </c>
      <c r="E620" s="26" t="s">
        <v>29</v>
      </c>
      <c r="F620" s="24">
        <v>5.9</v>
      </c>
      <c r="G620" s="24">
        <v>18</v>
      </c>
      <c r="H620" s="27">
        <v>106.2</v>
      </c>
      <c r="I620" s="26" t="s">
        <v>22</v>
      </c>
    </row>
    <row r="621" spans="1:9" ht="14.4" x14ac:dyDescent="0.25">
      <c r="A621" s="24">
        <v>10120</v>
      </c>
      <c r="B621" s="25">
        <v>43585</v>
      </c>
      <c r="C621" s="64">
        <f t="shared" si="19"/>
        <v>2019</v>
      </c>
      <c r="D621" s="64" t="str">
        <f t="shared" si="20"/>
        <v>2019年2季度</v>
      </c>
      <c r="E621" s="26" t="s">
        <v>29</v>
      </c>
      <c r="F621" s="24">
        <v>16.8</v>
      </c>
      <c r="G621" s="24">
        <v>15</v>
      </c>
      <c r="H621" s="27">
        <v>252</v>
      </c>
      <c r="I621" s="26" t="s">
        <v>22</v>
      </c>
    </row>
    <row r="622" spans="1:9" ht="14.4" x14ac:dyDescent="0.25">
      <c r="A622" s="24">
        <v>10120</v>
      </c>
      <c r="B622" s="25">
        <v>43585</v>
      </c>
      <c r="C622" s="64">
        <f t="shared" si="19"/>
        <v>2019</v>
      </c>
      <c r="D622" s="64" t="str">
        <f t="shared" si="20"/>
        <v>2019年2季度</v>
      </c>
      <c r="E622" s="26" t="s">
        <v>29</v>
      </c>
      <c r="F622" s="24">
        <v>10.4</v>
      </c>
      <c r="G622" s="24">
        <v>7</v>
      </c>
      <c r="H622" s="27">
        <v>72.8</v>
      </c>
      <c r="I622" s="26" t="s">
        <v>22</v>
      </c>
    </row>
    <row r="623" spans="1:9" ht="14.4" x14ac:dyDescent="0.25">
      <c r="A623" s="24">
        <v>10120</v>
      </c>
      <c r="B623" s="25">
        <v>43585</v>
      </c>
      <c r="C623" s="64">
        <f t="shared" si="19"/>
        <v>2019</v>
      </c>
      <c r="D623" s="64" t="str">
        <f t="shared" si="20"/>
        <v>2019年2季度</v>
      </c>
      <c r="E623" s="26" t="s">
        <v>29</v>
      </c>
      <c r="F623" s="24">
        <v>11.2</v>
      </c>
      <c r="G623" s="24">
        <v>36</v>
      </c>
      <c r="H623" s="27">
        <v>403.2</v>
      </c>
      <c r="I623" s="26" t="s">
        <v>22</v>
      </c>
    </row>
    <row r="624" spans="1:9" ht="14.4" x14ac:dyDescent="0.25">
      <c r="A624" s="24">
        <v>10121</v>
      </c>
      <c r="B624" s="25">
        <v>43587</v>
      </c>
      <c r="C624" s="64">
        <f t="shared" si="19"/>
        <v>2019</v>
      </c>
      <c r="D624" s="64" t="str">
        <f t="shared" si="20"/>
        <v>2019年2季度</v>
      </c>
      <c r="E624" s="26" t="s">
        <v>29</v>
      </c>
      <c r="F624" s="24">
        <v>15.6</v>
      </c>
      <c r="G624" s="24">
        <v>25</v>
      </c>
      <c r="H624" s="27">
        <v>390</v>
      </c>
      <c r="I624" s="26" t="s">
        <v>26</v>
      </c>
    </row>
    <row r="625" spans="1:9" ht="14.4" x14ac:dyDescent="0.25">
      <c r="A625" s="24">
        <v>10121</v>
      </c>
      <c r="B625" s="25">
        <v>43587</v>
      </c>
      <c r="C625" s="64">
        <f t="shared" si="19"/>
        <v>2019</v>
      </c>
      <c r="D625" s="64" t="str">
        <f t="shared" si="20"/>
        <v>2019年2季度</v>
      </c>
      <c r="E625" s="26" t="s">
        <v>29</v>
      </c>
      <c r="F625" s="24">
        <v>26.6</v>
      </c>
      <c r="G625" s="24">
        <v>35</v>
      </c>
      <c r="H625" s="27">
        <v>931</v>
      </c>
      <c r="I625" s="26" t="s">
        <v>26</v>
      </c>
    </row>
    <row r="626" spans="1:9" ht="14.4" x14ac:dyDescent="0.25">
      <c r="A626" s="24">
        <v>10121</v>
      </c>
      <c r="B626" s="25">
        <v>43587</v>
      </c>
      <c r="C626" s="64">
        <f t="shared" si="19"/>
        <v>2019</v>
      </c>
      <c r="D626" s="64" t="str">
        <f t="shared" si="20"/>
        <v>2019年2季度</v>
      </c>
      <c r="E626" s="26" t="s">
        <v>29</v>
      </c>
      <c r="F626" s="24">
        <v>8</v>
      </c>
      <c r="G626" s="24">
        <v>5</v>
      </c>
      <c r="H626" s="27">
        <v>40</v>
      </c>
      <c r="I626" s="26" t="s">
        <v>26</v>
      </c>
    </row>
    <row r="627" spans="1:9" ht="14.4" x14ac:dyDescent="0.25">
      <c r="A627" s="24">
        <v>10121</v>
      </c>
      <c r="B627" s="25">
        <v>43587</v>
      </c>
      <c r="C627" s="64">
        <f t="shared" si="19"/>
        <v>2019</v>
      </c>
      <c r="D627" s="64" t="str">
        <f t="shared" si="20"/>
        <v>2019年2季度</v>
      </c>
      <c r="E627" s="26" t="s">
        <v>29</v>
      </c>
      <c r="F627" s="24">
        <v>36.4</v>
      </c>
      <c r="G627" s="24">
        <v>13</v>
      </c>
      <c r="H627" s="27">
        <v>473.2</v>
      </c>
      <c r="I627" s="26" t="s">
        <v>26</v>
      </c>
    </row>
    <row r="628" spans="1:9" ht="14.4" x14ac:dyDescent="0.25">
      <c r="A628" s="24">
        <v>10122</v>
      </c>
      <c r="B628" s="25">
        <v>43593</v>
      </c>
      <c r="C628" s="64">
        <f t="shared" si="19"/>
        <v>2019</v>
      </c>
      <c r="D628" s="64" t="str">
        <f t="shared" si="20"/>
        <v>2019年2季度</v>
      </c>
      <c r="E628" s="26" t="s">
        <v>29</v>
      </c>
      <c r="F628" s="24">
        <v>99</v>
      </c>
      <c r="G628" s="24">
        <v>20</v>
      </c>
      <c r="H628" s="27">
        <v>1980</v>
      </c>
      <c r="I628" s="26" t="s">
        <v>22</v>
      </c>
    </row>
    <row r="629" spans="1:9" ht="14.4" x14ac:dyDescent="0.25">
      <c r="A629" s="24">
        <v>10122</v>
      </c>
      <c r="B629" s="25">
        <v>43593</v>
      </c>
      <c r="C629" s="64">
        <f t="shared" si="19"/>
        <v>2019</v>
      </c>
      <c r="D629" s="64" t="str">
        <f t="shared" si="20"/>
        <v>2019年2季度</v>
      </c>
      <c r="E629" s="26" t="s">
        <v>29</v>
      </c>
      <c r="F629" s="24">
        <v>30.4</v>
      </c>
      <c r="G629" s="24">
        <v>18</v>
      </c>
      <c r="H629" s="27">
        <v>547.20000000000005</v>
      </c>
      <c r="I629" s="26" t="s">
        <v>22</v>
      </c>
    </row>
    <row r="630" spans="1:9" ht="14.4" x14ac:dyDescent="0.25">
      <c r="A630" s="24">
        <v>10123</v>
      </c>
      <c r="B630" s="25">
        <v>43595</v>
      </c>
      <c r="C630" s="64">
        <f t="shared" si="19"/>
        <v>2019</v>
      </c>
      <c r="D630" s="64" t="str">
        <f t="shared" si="20"/>
        <v>2019年2季度</v>
      </c>
      <c r="E630" s="26" t="s">
        <v>29</v>
      </c>
      <c r="F630" s="24">
        <v>14.4</v>
      </c>
      <c r="G630" s="24">
        <v>15</v>
      </c>
      <c r="H630" s="27">
        <v>216</v>
      </c>
      <c r="I630" s="26" t="s">
        <v>26</v>
      </c>
    </row>
    <row r="631" spans="1:9" ht="14.4" x14ac:dyDescent="0.25">
      <c r="A631" s="24">
        <v>10123</v>
      </c>
      <c r="B631" s="25">
        <v>43595</v>
      </c>
      <c r="C631" s="64">
        <f t="shared" si="19"/>
        <v>2019</v>
      </c>
      <c r="D631" s="64" t="str">
        <f t="shared" si="20"/>
        <v>2019年2季度</v>
      </c>
      <c r="E631" s="26" t="s">
        <v>29</v>
      </c>
      <c r="F631" s="24">
        <v>26.6</v>
      </c>
      <c r="G631" s="24">
        <v>30</v>
      </c>
      <c r="H631" s="27">
        <v>798</v>
      </c>
      <c r="I631" s="26" t="s">
        <v>26</v>
      </c>
    </row>
    <row r="632" spans="1:9" ht="14.4" x14ac:dyDescent="0.25">
      <c r="A632" s="24">
        <v>10123</v>
      </c>
      <c r="B632" s="25">
        <v>43595</v>
      </c>
      <c r="C632" s="64">
        <f t="shared" si="19"/>
        <v>2019</v>
      </c>
      <c r="D632" s="64" t="str">
        <f t="shared" si="20"/>
        <v>2019年2季度</v>
      </c>
      <c r="E632" s="26" t="s">
        <v>29</v>
      </c>
      <c r="F632" s="24">
        <v>8</v>
      </c>
      <c r="G632" s="24">
        <v>20</v>
      </c>
      <c r="H632" s="27">
        <v>160</v>
      </c>
      <c r="I632" s="26" t="s">
        <v>26</v>
      </c>
    </row>
    <row r="633" spans="1:9" ht="14.4" x14ac:dyDescent="0.25">
      <c r="A633" s="24">
        <v>10124</v>
      </c>
      <c r="B633" s="25">
        <v>43595</v>
      </c>
      <c r="C633" s="64">
        <f t="shared" si="19"/>
        <v>2019</v>
      </c>
      <c r="D633" s="64" t="str">
        <f t="shared" si="20"/>
        <v>2019年2季度</v>
      </c>
      <c r="E633" s="26" t="s">
        <v>29</v>
      </c>
      <c r="F633" s="24">
        <v>15.2</v>
      </c>
      <c r="G633" s="24">
        <v>6</v>
      </c>
      <c r="H633" s="27">
        <v>91.2</v>
      </c>
      <c r="I633" s="26" t="s">
        <v>27</v>
      </c>
    </row>
    <row r="634" spans="1:9" ht="14.4" x14ac:dyDescent="0.25">
      <c r="A634" s="24">
        <v>10125</v>
      </c>
      <c r="B634" s="25">
        <v>43597</v>
      </c>
      <c r="C634" s="64">
        <f t="shared" si="19"/>
        <v>2019</v>
      </c>
      <c r="D634" s="64" t="str">
        <f t="shared" si="20"/>
        <v>2019年2季度</v>
      </c>
      <c r="E634" s="26" t="s">
        <v>29</v>
      </c>
      <c r="F634" s="24">
        <v>64.8</v>
      </c>
      <c r="G634" s="24">
        <v>12</v>
      </c>
      <c r="H634" s="27">
        <v>777.6</v>
      </c>
      <c r="I634" s="26" t="s">
        <v>22</v>
      </c>
    </row>
    <row r="635" spans="1:9" ht="14.4" x14ac:dyDescent="0.25">
      <c r="A635" s="24">
        <v>10125</v>
      </c>
      <c r="B635" s="25">
        <v>43597</v>
      </c>
      <c r="C635" s="64">
        <f t="shared" si="19"/>
        <v>2019</v>
      </c>
      <c r="D635" s="64" t="str">
        <f t="shared" si="20"/>
        <v>2019年2季度</v>
      </c>
      <c r="E635" s="26" t="s">
        <v>29</v>
      </c>
      <c r="F635" s="24">
        <v>210.8</v>
      </c>
      <c r="G635" s="24">
        <v>40</v>
      </c>
      <c r="H635" s="27">
        <v>8432</v>
      </c>
      <c r="I635" s="26" t="s">
        <v>22</v>
      </c>
    </row>
    <row r="636" spans="1:9" ht="14.4" x14ac:dyDescent="0.25">
      <c r="A636" s="24">
        <v>10125</v>
      </c>
      <c r="B636" s="25">
        <v>43597</v>
      </c>
      <c r="C636" s="64">
        <f t="shared" si="19"/>
        <v>2019</v>
      </c>
      <c r="D636" s="64" t="str">
        <f t="shared" si="20"/>
        <v>2019年2季度</v>
      </c>
      <c r="E636" s="26" t="s">
        <v>29</v>
      </c>
      <c r="F636" s="24">
        <v>27.8</v>
      </c>
      <c r="G636" s="24">
        <v>42</v>
      </c>
      <c r="H636" s="27">
        <v>1167.5999999999999</v>
      </c>
      <c r="I636" s="26" t="s">
        <v>22</v>
      </c>
    </row>
    <row r="637" spans="1:9" ht="14.4" x14ac:dyDescent="0.25">
      <c r="A637" s="24">
        <v>10125</v>
      </c>
      <c r="B637" s="25">
        <v>43597</v>
      </c>
      <c r="C637" s="64">
        <f t="shared" si="19"/>
        <v>2019</v>
      </c>
      <c r="D637" s="64" t="str">
        <f t="shared" si="20"/>
        <v>2019年2季度</v>
      </c>
      <c r="E637" s="26" t="s">
        <v>29</v>
      </c>
      <c r="F637" s="24">
        <v>27.2</v>
      </c>
      <c r="G637" s="24">
        <v>70</v>
      </c>
      <c r="H637" s="27">
        <v>1904</v>
      </c>
      <c r="I637" s="26" t="s">
        <v>22</v>
      </c>
    </row>
    <row r="638" spans="1:9" ht="14.4" x14ac:dyDescent="0.25">
      <c r="A638" s="24">
        <v>10130</v>
      </c>
      <c r="B638" s="25">
        <v>43607</v>
      </c>
      <c r="C638" s="64">
        <f t="shared" si="19"/>
        <v>2019</v>
      </c>
      <c r="D638" s="64" t="str">
        <f t="shared" si="20"/>
        <v>2019年2季度</v>
      </c>
      <c r="E638" s="26" t="s">
        <v>29</v>
      </c>
      <c r="F638" s="24">
        <v>36.4</v>
      </c>
      <c r="G638" s="24">
        <v>20</v>
      </c>
      <c r="H638" s="27">
        <v>728</v>
      </c>
      <c r="I638" s="26" t="s">
        <v>23</v>
      </c>
    </row>
    <row r="639" spans="1:9" ht="14.4" x14ac:dyDescent="0.25">
      <c r="A639" s="24">
        <v>10130</v>
      </c>
      <c r="B639" s="25">
        <v>43607</v>
      </c>
      <c r="C639" s="64">
        <f t="shared" si="19"/>
        <v>2019</v>
      </c>
      <c r="D639" s="64" t="str">
        <f t="shared" si="20"/>
        <v>2019年2季度</v>
      </c>
      <c r="E639" s="26" t="s">
        <v>29</v>
      </c>
      <c r="F639" s="24">
        <v>14.4</v>
      </c>
      <c r="G639" s="24">
        <v>20</v>
      </c>
      <c r="H639" s="27">
        <v>288</v>
      </c>
      <c r="I639" s="26" t="s">
        <v>23</v>
      </c>
    </row>
    <row r="640" spans="1:9" ht="14.4" x14ac:dyDescent="0.25">
      <c r="A640" s="24">
        <v>10131</v>
      </c>
      <c r="B640" s="25">
        <v>43609</v>
      </c>
      <c r="C640" s="64">
        <f t="shared" si="19"/>
        <v>2019</v>
      </c>
      <c r="D640" s="64" t="str">
        <f t="shared" si="20"/>
        <v>2019年2季度</v>
      </c>
      <c r="E640" s="26" t="s">
        <v>29</v>
      </c>
      <c r="F640" s="24">
        <v>17.2</v>
      </c>
      <c r="G640" s="24">
        <v>6</v>
      </c>
      <c r="H640" s="27">
        <v>103.2</v>
      </c>
      <c r="I640" s="26" t="s">
        <v>23</v>
      </c>
    </row>
    <row r="641" spans="1:9" ht="14.4" x14ac:dyDescent="0.25">
      <c r="A641" s="24">
        <v>10132</v>
      </c>
      <c r="B641" s="25">
        <v>43611</v>
      </c>
      <c r="C641" s="64">
        <f t="shared" si="19"/>
        <v>2019</v>
      </c>
      <c r="D641" s="64" t="str">
        <f t="shared" si="20"/>
        <v>2019年2季度</v>
      </c>
      <c r="E641" s="26" t="s">
        <v>29</v>
      </c>
      <c r="F641" s="24">
        <v>16.8</v>
      </c>
      <c r="G641" s="24">
        <v>20</v>
      </c>
      <c r="H641" s="27">
        <v>336</v>
      </c>
      <c r="I641" s="26" t="s">
        <v>27</v>
      </c>
    </row>
    <row r="642" spans="1:9" ht="14.4" x14ac:dyDescent="0.25">
      <c r="A642" s="24">
        <v>10132</v>
      </c>
      <c r="B642" s="25">
        <v>43611</v>
      </c>
      <c r="C642" s="64">
        <f t="shared" si="19"/>
        <v>2019</v>
      </c>
      <c r="D642" s="64" t="str">
        <f t="shared" si="20"/>
        <v>2019年2季度</v>
      </c>
      <c r="E642" s="26" t="s">
        <v>29</v>
      </c>
      <c r="F642" s="24">
        <v>35.1</v>
      </c>
      <c r="G642" s="24">
        <v>16</v>
      </c>
      <c r="H642" s="27">
        <v>561.6</v>
      </c>
      <c r="I642" s="26" t="s">
        <v>27</v>
      </c>
    </row>
    <row r="643" spans="1:9" ht="14.4" x14ac:dyDescent="0.25">
      <c r="A643" s="24">
        <v>10132</v>
      </c>
      <c r="B643" s="25">
        <v>43611</v>
      </c>
      <c r="C643" s="64">
        <f t="shared" ref="C643:C706" si="21">YEAR(B643)</f>
        <v>2019</v>
      </c>
      <c r="D643" s="64" t="str">
        <f t="shared" ref="D643:D706" si="22">YEAR(B643)&amp;"年"&amp;ROUNDUP(MONTH(B643)/3,0)&amp;"季度"</f>
        <v>2019年2季度</v>
      </c>
      <c r="E643" s="26" t="s">
        <v>29</v>
      </c>
      <c r="F643" s="24">
        <v>7.7</v>
      </c>
      <c r="G643" s="24">
        <v>8</v>
      </c>
      <c r="H643" s="27">
        <v>61.6</v>
      </c>
      <c r="I643" s="26" t="s">
        <v>27</v>
      </c>
    </row>
    <row r="644" spans="1:9" ht="14.4" x14ac:dyDescent="0.25">
      <c r="A644" s="24">
        <v>10133</v>
      </c>
      <c r="B644" s="25">
        <v>43613</v>
      </c>
      <c r="C644" s="64">
        <f t="shared" si="21"/>
        <v>2019</v>
      </c>
      <c r="D644" s="64" t="str">
        <f t="shared" si="22"/>
        <v>2019年2季度</v>
      </c>
      <c r="E644" s="26" t="s">
        <v>29</v>
      </c>
      <c r="F644" s="24">
        <v>26.2</v>
      </c>
      <c r="G644" s="24">
        <v>20</v>
      </c>
      <c r="H644" s="27">
        <v>524</v>
      </c>
      <c r="I644" s="26" t="s">
        <v>26</v>
      </c>
    </row>
    <row r="645" spans="1:9" ht="14.4" x14ac:dyDescent="0.25">
      <c r="A645" s="24">
        <v>10133</v>
      </c>
      <c r="B645" s="25">
        <v>43613</v>
      </c>
      <c r="C645" s="64">
        <f t="shared" si="21"/>
        <v>2019</v>
      </c>
      <c r="D645" s="64" t="str">
        <f t="shared" si="22"/>
        <v>2019年2季度</v>
      </c>
      <c r="E645" s="26" t="s">
        <v>29</v>
      </c>
      <c r="F645" s="24">
        <v>27.2</v>
      </c>
      <c r="G645" s="24">
        <v>6</v>
      </c>
      <c r="H645" s="27">
        <v>163.19999999999999</v>
      </c>
      <c r="I645" s="26" t="s">
        <v>26</v>
      </c>
    </row>
    <row r="646" spans="1:9" ht="14.4" x14ac:dyDescent="0.25">
      <c r="A646" s="24">
        <v>10133</v>
      </c>
      <c r="B646" s="25">
        <v>43613</v>
      </c>
      <c r="C646" s="64">
        <f t="shared" si="21"/>
        <v>2019</v>
      </c>
      <c r="D646" s="64" t="str">
        <f t="shared" si="22"/>
        <v>2019年2季度</v>
      </c>
      <c r="E646" s="26" t="s">
        <v>29</v>
      </c>
      <c r="F646" s="24">
        <v>12</v>
      </c>
      <c r="G646" s="24">
        <v>30</v>
      </c>
      <c r="H646" s="27">
        <v>360</v>
      </c>
      <c r="I646" s="26" t="s">
        <v>26</v>
      </c>
    </row>
    <row r="647" spans="1:9" ht="14.4" x14ac:dyDescent="0.25">
      <c r="A647" s="24">
        <v>10133</v>
      </c>
      <c r="B647" s="25">
        <v>43613</v>
      </c>
      <c r="C647" s="64">
        <f t="shared" si="21"/>
        <v>2019</v>
      </c>
      <c r="D647" s="64" t="str">
        <f t="shared" si="22"/>
        <v>2019年2季度</v>
      </c>
      <c r="E647" s="26" t="s">
        <v>29</v>
      </c>
      <c r="F647" s="24">
        <v>20.7</v>
      </c>
      <c r="G647" s="24">
        <v>18</v>
      </c>
      <c r="H647" s="27">
        <v>372.6</v>
      </c>
      <c r="I647" s="26" t="s">
        <v>26</v>
      </c>
    </row>
    <row r="648" spans="1:9" ht="14.4" x14ac:dyDescent="0.25">
      <c r="A648" s="24">
        <v>10134</v>
      </c>
      <c r="B648" s="25">
        <v>43613</v>
      </c>
      <c r="C648" s="64">
        <f t="shared" si="21"/>
        <v>2019</v>
      </c>
      <c r="D648" s="64" t="str">
        <f t="shared" si="22"/>
        <v>2019年2季度</v>
      </c>
      <c r="E648" s="26" t="s">
        <v>29</v>
      </c>
      <c r="F648" s="24">
        <v>8</v>
      </c>
      <c r="G648" s="24">
        <v>14</v>
      </c>
      <c r="H648" s="27">
        <v>112</v>
      </c>
      <c r="I648" s="26" t="s">
        <v>23</v>
      </c>
    </row>
    <row r="649" spans="1:9" ht="14.4" x14ac:dyDescent="0.25">
      <c r="A649" s="24">
        <v>10135</v>
      </c>
      <c r="B649" s="25">
        <v>43615</v>
      </c>
      <c r="C649" s="64">
        <f t="shared" si="21"/>
        <v>2019</v>
      </c>
      <c r="D649" s="64" t="str">
        <f t="shared" si="22"/>
        <v>2019年2季度</v>
      </c>
      <c r="E649" s="26" t="s">
        <v>29</v>
      </c>
      <c r="F649" s="24">
        <v>50</v>
      </c>
      <c r="G649" s="24">
        <v>9</v>
      </c>
      <c r="H649" s="27">
        <v>450</v>
      </c>
      <c r="I649" s="26" t="s">
        <v>22</v>
      </c>
    </row>
    <row r="650" spans="1:9" ht="14.4" x14ac:dyDescent="0.25">
      <c r="A650" s="24">
        <v>10135</v>
      </c>
      <c r="B650" s="25">
        <v>43615</v>
      </c>
      <c r="C650" s="64">
        <f t="shared" si="21"/>
        <v>2019</v>
      </c>
      <c r="D650" s="64" t="str">
        <f t="shared" si="22"/>
        <v>2019年2季度</v>
      </c>
      <c r="E650" s="26" t="s">
        <v>29</v>
      </c>
      <c r="F650" s="24">
        <v>2</v>
      </c>
      <c r="G650" s="24">
        <v>60</v>
      </c>
      <c r="H650" s="27">
        <v>120</v>
      </c>
      <c r="I650" s="26" t="s">
        <v>22</v>
      </c>
    </row>
    <row r="651" spans="1:9" ht="14.4" x14ac:dyDescent="0.25">
      <c r="A651" s="24">
        <v>10135</v>
      </c>
      <c r="B651" s="25">
        <v>43615</v>
      </c>
      <c r="C651" s="64">
        <f t="shared" si="21"/>
        <v>2019</v>
      </c>
      <c r="D651" s="64" t="str">
        <f t="shared" si="22"/>
        <v>2019年2季度</v>
      </c>
      <c r="E651" s="26" t="s">
        <v>29</v>
      </c>
      <c r="F651" s="24">
        <v>17</v>
      </c>
      <c r="G651" s="24">
        <v>32</v>
      </c>
      <c r="H651" s="27">
        <v>544</v>
      </c>
      <c r="I651" s="26" t="s">
        <v>22</v>
      </c>
    </row>
    <row r="652" spans="1:9" ht="14.4" x14ac:dyDescent="0.25">
      <c r="A652" s="24">
        <v>10135</v>
      </c>
      <c r="B652" s="25">
        <v>43615</v>
      </c>
      <c r="C652" s="64">
        <f t="shared" si="21"/>
        <v>2019</v>
      </c>
      <c r="D652" s="64" t="str">
        <f t="shared" si="22"/>
        <v>2019年2季度</v>
      </c>
      <c r="E652" s="26" t="s">
        <v>29</v>
      </c>
      <c r="F652" s="24">
        <v>99</v>
      </c>
      <c r="G652" s="24">
        <v>14</v>
      </c>
      <c r="H652" s="27">
        <v>1386</v>
      </c>
      <c r="I652" s="26" t="s">
        <v>22</v>
      </c>
    </row>
    <row r="653" spans="1:9" ht="14.4" x14ac:dyDescent="0.25">
      <c r="A653" s="24">
        <v>10135</v>
      </c>
      <c r="B653" s="25">
        <v>43615</v>
      </c>
      <c r="C653" s="64">
        <f t="shared" si="21"/>
        <v>2019</v>
      </c>
      <c r="D653" s="64" t="str">
        <f t="shared" si="22"/>
        <v>2019年2季度</v>
      </c>
      <c r="E653" s="26" t="s">
        <v>29</v>
      </c>
      <c r="F653" s="24">
        <v>8</v>
      </c>
      <c r="G653" s="24">
        <v>50</v>
      </c>
      <c r="H653" s="27">
        <v>400</v>
      </c>
      <c r="I653" s="26" t="s">
        <v>22</v>
      </c>
    </row>
    <row r="654" spans="1:9" ht="14.4" x14ac:dyDescent="0.25">
      <c r="A654" s="24">
        <v>10136</v>
      </c>
      <c r="B654" s="25">
        <v>43621</v>
      </c>
      <c r="C654" s="64">
        <f t="shared" si="21"/>
        <v>2019</v>
      </c>
      <c r="D654" s="64" t="str">
        <f t="shared" si="22"/>
        <v>2019年2季度</v>
      </c>
      <c r="E654" s="26" t="s">
        <v>29</v>
      </c>
      <c r="F654" s="24">
        <v>13</v>
      </c>
      <c r="G654" s="24">
        <v>15</v>
      </c>
      <c r="H654" s="27">
        <v>195</v>
      </c>
      <c r="I654" s="26" t="s">
        <v>26</v>
      </c>
    </row>
    <row r="655" spans="1:9" ht="14.4" x14ac:dyDescent="0.25">
      <c r="A655" s="24">
        <v>10136</v>
      </c>
      <c r="B655" s="25">
        <v>43621</v>
      </c>
      <c r="C655" s="64">
        <f t="shared" si="21"/>
        <v>2019</v>
      </c>
      <c r="D655" s="64" t="str">
        <f t="shared" si="22"/>
        <v>2019年2季度</v>
      </c>
      <c r="E655" s="26" t="s">
        <v>29</v>
      </c>
      <c r="F655" s="24">
        <v>30.4</v>
      </c>
      <c r="G655" s="24">
        <v>20</v>
      </c>
      <c r="H655" s="27">
        <v>608</v>
      </c>
      <c r="I655" s="26" t="s">
        <v>26</v>
      </c>
    </row>
    <row r="656" spans="1:9" ht="14.4" x14ac:dyDescent="0.25">
      <c r="A656" s="24">
        <v>10136</v>
      </c>
      <c r="B656" s="25">
        <v>43621</v>
      </c>
      <c r="C656" s="64">
        <f t="shared" si="21"/>
        <v>2019</v>
      </c>
      <c r="D656" s="64" t="str">
        <f t="shared" si="22"/>
        <v>2019年2季度</v>
      </c>
      <c r="E656" s="26" t="s">
        <v>29</v>
      </c>
      <c r="F656" s="24">
        <v>4.8</v>
      </c>
      <c r="G656" s="24">
        <v>20</v>
      </c>
      <c r="H656" s="27">
        <v>96</v>
      </c>
      <c r="I656" s="26" t="s">
        <v>26</v>
      </c>
    </row>
    <row r="657" spans="1:9" ht="14.4" x14ac:dyDescent="0.25">
      <c r="A657" s="24">
        <v>10137</v>
      </c>
      <c r="B657" s="25">
        <v>43621</v>
      </c>
      <c r="C657" s="64">
        <f t="shared" si="21"/>
        <v>2019</v>
      </c>
      <c r="D657" s="64" t="str">
        <f t="shared" si="22"/>
        <v>2019年2季度</v>
      </c>
      <c r="E657" s="26" t="s">
        <v>29</v>
      </c>
      <c r="F657" s="24">
        <v>64.8</v>
      </c>
      <c r="G657" s="24">
        <v>28</v>
      </c>
      <c r="H657" s="27">
        <v>1814.4</v>
      </c>
      <c r="I657" s="26" t="s">
        <v>25</v>
      </c>
    </row>
    <row r="658" spans="1:9" ht="14.4" x14ac:dyDescent="0.25">
      <c r="A658" s="24">
        <v>10137</v>
      </c>
      <c r="B658" s="25">
        <v>43621</v>
      </c>
      <c r="C658" s="64">
        <f t="shared" si="21"/>
        <v>2019</v>
      </c>
      <c r="D658" s="64" t="str">
        <f t="shared" si="22"/>
        <v>2019年2季度</v>
      </c>
      <c r="E658" s="26" t="s">
        <v>29</v>
      </c>
      <c r="F658" s="24">
        <v>27.2</v>
      </c>
      <c r="G658" s="24">
        <v>15</v>
      </c>
      <c r="H658" s="27">
        <v>408</v>
      </c>
      <c r="I658" s="26" t="s">
        <v>25</v>
      </c>
    </row>
    <row r="659" spans="1:9" ht="14.4" x14ac:dyDescent="0.25">
      <c r="A659" s="24">
        <v>10138</v>
      </c>
      <c r="B659" s="25">
        <v>43623</v>
      </c>
      <c r="C659" s="64">
        <f t="shared" si="21"/>
        <v>2019</v>
      </c>
      <c r="D659" s="64" t="str">
        <f t="shared" si="22"/>
        <v>2019年2季度</v>
      </c>
      <c r="E659" s="26" t="s">
        <v>29</v>
      </c>
      <c r="F659" s="24">
        <v>10</v>
      </c>
      <c r="G659" s="24">
        <v>8</v>
      </c>
      <c r="H659" s="27">
        <v>80</v>
      </c>
      <c r="I659" s="26" t="s">
        <v>27</v>
      </c>
    </row>
    <row r="660" spans="1:9" ht="14.4" x14ac:dyDescent="0.25">
      <c r="A660" s="24">
        <v>10138</v>
      </c>
      <c r="B660" s="25">
        <v>43623</v>
      </c>
      <c r="C660" s="64">
        <f t="shared" si="21"/>
        <v>2019</v>
      </c>
      <c r="D660" s="64" t="str">
        <f t="shared" si="22"/>
        <v>2019年2季度</v>
      </c>
      <c r="E660" s="26" t="s">
        <v>29</v>
      </c>
      <c r="F660" s="24">
        <v>24</v>
      </c>
      <c r="G660" s="24">
        <v>10</v>
      </c>
      <c r="H660" s="27">
        <v>240</v>
      </c>
      <c r="I660" s="26" t="s">
        <v>27</v>
      </c>
    </row>
    <row r="661" spans="1:9" ht="14.4" x14ac:dyDescent="0.25">
      <c r="A661" s="24">
        <v>10138</v>
      </c>
      <c r="B661" s="25">
        <v>43623</v>
      </c>
      <c r="C661" s="64">
        <f t="shared" si="21"/>
        <v>2019</v>
      </c>
      <c r="D661" s="64" t="str">
        <f t="shared" si="22"/>
        <v>2019年2季度</v>
      </c>
      <c r="E661" s="26" t="s">
        <v>29</v>
      </c>
      <c r="F661" s="24">
        <v>27.2</v>
      </c>
      <c r="G661" s="24">
        <v>20</v>
      </c>
      <c r="H661" s="27">
        <v>544</v>
      </c>
      <c r="I661" s="26" t="s">
        <v>27</v>
      </c>
    </row>
    <row r="662" spans="1:9" ht="14.4" x14ac:dyDescent="0.25">
      <c r="A662" s="24">
        <v>10139</v>
      </c>
      <c r="B662" s="25">
        <v>43625</v>
      </c>
      <c r="C662" s="64">
        <f t="shared" si="21"/>
        <v>2019</v>
      </c>
      <c r="D662" s="64" t="str">
        <f t="shared" si="22"/>
        <v>2019年2季度</v>
      </c>
      <c r="E662" s="26" t="s">
        <v>29</v>
      </c>
      <c r="F662" s="24">
        <v>3.6</v>
      </c>
      <c r="G662" s="24">
        <v>15</v>
      </c>
      <c r="H662" s="27">
        <v>54</v>
      </c>
      <c r="I662" s="26" t="s">
        <v>23</v>
      </c>
    </row>
    <row r="663" spans="1:9" ht="14.4" x14ac:dyDescent="0.25">
      <c r="A663" s="24">
        <v>10139</v>
      </c>
      <c r="B663" s="25">
        <v>43625</v>
      </c>
      <c r="C663" s="64">
        <f t="shared" si="21"/>
        <v>2019</v>
      </c>
      <c r="D663" s="64" t="str">
        <f t="shared" si="22"/>
        <v>2019年2季度</v>
      </c>
      <c r="E663" s="26" t="s">
        <v>29</v>
      </c>
      <c r="F663" s="24">
        <v>11.2</v>
      </c>
      <c r="G663" s="24">
        <v>10</v>
      </c>
      <c r="H663" s="27">
        <v>112</v>
      </c>
      <c r="I663" s="26" t="s">
        <v>23</v>
      </c>
    </row>
    <row r="664" spans="1:9" ht="14.4" x14ac:dyDescent="0.25">
      <c r="A664" s="24">
        <v>10142</v>
      </c>
      <c r="B664" s="25">
        <v>43629</v>
      </c>
      <c r="C664" s="64">
        <f t="shared" si="21"/>
        <v>2019</v>
      </c>
      <c r="D664" s="64" t="str">
        <f t="shared" si="22"/>
        <v>2019年2季度</v>
      </c>
      <c r="E664" s="26" t="s">
        <v>29</v>
      </c>
      <c r="F664" s="24">
        <v>12</v>
      </c>
      <c r="G664" s="24">
        <v>30</v>
      </c>
      <c r="H664" s="27">
        <v>360</v>
      </c>
      <c r="I664" s="26" t="s">
        <v>23</v>
      </c>
    </row>
    <row r="665" spans="1:9" ht="14.4" x14ac:dyDescent="0.25">
      <c r="A665" s="24">
        <v>10142</v>
      </c>
      <c r="B665" s="25">
        <v>43629</v>
      </c>
      <c r="C665" s="64">
        <f t="shared" si="21"/>
        <v>2019</v>
      </c>
      <c r="D665" s="64" t="str">
        <f t="shared" si="22"/>
        <v>2019年2季度</v>
      </c>
      <c r="E665" s="26" t="s">
        <v>29</v>
      </c>
      <c r="F665" s="24">
        <v>19.2</v>
      </c>
      <c r="G665" s="24">
        <v>15</v>
      </c>
      <c r="H665" s="27">
        <v>288</v>
      </c>
      <c r="I665" s="26" t="s">
        <v>23</v>
      </c>
    </row>
    <row r="666" spans="1:9" ht="14.4" x14ac:dyDescent="0.25">
      <c r="A666" s="24">
        <v>10142</v>
      </c>
      <c r="B666" s="25">
        <v>43629</v>
      </c>
      <c r="C666" s="64">
        <f t="shared" si="21"/>
        <v>2019</v>
      </c>
      <c r="D666" s="64" t="str">
        <f t="shared" si="22"/>
        <v>2019年2季度</v>
      </c>
      <c r="E666" s="26" t="s">
        <v>29</v>
      </c>
      <c r="F666" s="24">
        <v>24.8</v>
      </c>
      <c r="G666" s="24">
        <v>16</v>
      </c>
      <c r="H666" s="27">
        <v>396.8</v>
      </c>
      <c r="I666" s="26" t="s">
        <v>23</v>
      </c>
    </row>
    <row r="667" spans="1:9" ht="14.4" x14ac:dyDescent="0.25">
      <c r="A667" s="24">
        <v>10142</v>
      </c>
      <c r="B667" s="25">
        <v>43629</v>
      </c>
      <c r="C667" s="64">
        <f t="shared" si="21"/>
        <v>2019</v>
      </c>
      <c r="D667" s="64" t="str">
        <f t="shared" si="22"/>
        <v>2019年2季度</v>
      </c>
      <c r="E667" s="26" t="s">
        <v>29</v>
      </c>
      <c r="F667" s="24">
        <v>39.4</v>
      </c>
      <c r="G667" s="24">
        <v>20</v>
      </c>
      <c r="H667" s="27">
        <v>788</v>
      </c>
      <c r="I667" s="26" t="s">
        <v>23</v>
      </c>
    </row>
    <row r="668" spans="1:9" ht="14.4" x14ac:dyDescent="0.25">
      <c r="A668" s="24">
        <v>10143</v>
      </c>
      <c r="B668" s="25">
        <v>43635</v>
      </c>
      <c r="C668" s="64">
        <f t="shared" si="21"/>
        <v>2019</v>
      </c>
      <c r="D668" s="64" t="str">
        <f t="shared" si="22"/>
        <v>2019年2季度</v>
      </c>
      <c r="E668" s="26" t="s">
        <v>29</v>
      </c>
      <c r="F668" s="24">
        <v>9.6</v>
      </c>
      <c r="G668" s="24">
        <v>45</v>
      </c>
      <c r="H668" s="27">
        <v>432</v>
      </c>
      <c r="I668" s="26" t="s">
        <v>27</v>
      </c>
    </row>
    <row r="669" spans="1:9" ht="14.4" x14ac:dyDescent="0.25">
      <c r="A669" s="24">
        <v>10143</v>
      </c>
      <c r="B669" s="25">
        <v>43635</v>
      </c>
      <c r="C669" s="64">
        <f t="shared" si="21"/>
        <v>2019</v>
      </c>
      <c r="D669" s="64" t="str">
        <f t="shared" si="22"/>
        <v>2019年2季度</v>
      </c>
      <c r="E669" s="26" t="s">
        <v>29</v>
      </c>
      <c r="F669" s="24">
        <v>10</v>
      </c>
      <c r="G669" s="24">
        <v>60</v>
      </c>
      <c r="H669" s="27">
        <v>600</v>
      </c>
      <c r="I669" s="26" t="s">
        <v>27</v>
      </c>
    </row>
    <row r="670" spans="1:9" ht="14.4" x14ac:dyDescent="0.25">
      <c r="A670" s="24">
        <v>10143</v>
      </c>
      <c r="B670" s="25">
        <v>43635</v>
      </c>
      <c r="C670" s="64">
        <f t="shared" si="21"/>
        <v>2019</v>
      </c>
      <c r="D670" s="64" t="str">
        <f t="shared" si="22"/>
        <v>2019年2季度</v>
      </c>
      <c r="E670" s="26" t="s">
        <v>29</v>
      </c>
      <c r="F670" s="24">
        <v>27.8</v>
      </c>
      <c r="G670" s="24">
        <v>24</v>
      </c>
      <c r="H670" s="27">
        <v>667.2</v>
      </c>
      <c r="I670" s="26" t="s">
        <v>27</v>
      </c>
    </row>
    <row r="671" spans="1:9" ht="14.4" x14ac:dyDescent="0.25">
      <c r="A671" s="24">
        <v>10143</v>
      </c>
      <c r="B671" s="25">
        <v>43635</v>
      </c>
      <c r="C671" s="64">
        <f t="shared" si="21"/>
        <v>2019</v>
      </c>
      <c r="D671" s="64" t="str">
        <f t="shared" si="22"/>
        <v>2019年2季度</v>
      </c>
      <c r="E671" s="26" t="s">
        <v>29</v>
      </c>
      <c r="F671" s="24">
        <v>14.4</v>
      </c>
      <c r="G671" s="24">
        <v>40</v>
      </c>
      <c r="H671" s="27">
        <v>576</v>
      </c>
      <c r="I671" s="26" t="s">
        <v>27</v>
      </c>
    </row>
    <row r="672" spans="1:9" ht="14.4" x14ac:dyDescent="0.25">
      <c r="A672" s="24">
        <v>10144</v>
      </c>
      <c r="B672" s="25">
        <v>43635</v>
      </c>
      <c r="C672" s="64">
        <f t="shared" si="21"/>
        <v>2019</v>
      </c>
      <c r="D672" s="64" t="str">
        <f t="shared" si="22"/>
        <v>2019年2季度</v>
      </c>
      <c r="E672" s="26" t="s">
        <v>29</v>
      </c>
      <c r="F672" s="24">
        <v>4.8</v>
      </c>
      <c r="G672" s="24">
        <v>18</v>
      </c>
      <c r="H672" s="27">
        <v>86.4</v>
      </c>
      <c r="I672" s="26" t="s">
        <v>22</v>
      </c>
    </row>
    <row r="673" spans="1:9" ht="14.4" x14ac:dyDescent="0.25">
      <c r="A673" s="24">
        <v>10145</v>
      </c>
      <c r="B673" s="25">
        <v>43637</v>
      </c>
      <c r="C673" s="64">
        <f t="shared" si="21"/>
        <v>2019</v>
      </c>
      <c r="D673" s="64" t="str">
        <f t="shared" si="22"/>
        <v>2019年2季度</v>
      </c>
      <c r="E673" s="26" t="s">
        <v>29</v>
      </c>
      <c r="F673" s="24">
        <v>28.8</v>
      </c>
      <c r="G673" s="24">
        <v>50</v>
      </c>
      <c r="H673" s="27">
        <v>1440</v>
      </c>
      <c r="I673" s="26" t="s">
        <v>22</v>
      </c>
    </row>
    <row r="674" spans="1:9" ht="14.4" x14ac:dyDescent="0.25">
      <c r="A674" s="24">
        <v>10146</v>
      </c>
      <c r="B674" s="25">
        <v>43639</v>
      </c>
      <c r="C674" s="64">
        <f t="shared" si="21"/>
        <v>2019</v>
      </c>
      <c r="D674" s="64" t="str">
        <f t="shared" si="22"/>
        <v>2019年2季度</v>
      </c>
      <c r="E674" s="26" t="s">
        <v>29</v>
      </c>
      <c r="F674" s="24">
        <v>10</v>
      </c>
      <c r="G674" s="24">
        <v>32</v>
      </c>
      <c r="H674" s="27">
        <v>320</v>
      </c>
      <c r="I674" s="26" t="s">
        <v>22</v>
      </c>
    </row>
    <row r="675" spans="1:9" ht="14.4" x14ac:dyDescent="0.25">
      <c r="A675" s="24">
        <v>10146</v>
      </c>
      <c r="B675" s="25">
        <v>43639</v>
      </c>
      <c r="C675" s="64">
        <f t="shared" si="21"/>
        <v>2019</v>
      </c>
      <c r="D675" s="64" t="str">
        <f t="shared" si="22"/>
        <v>2019年2季度</v>
      </c>
      <c r="E675" s="26" t="s">
        <v>29</v>
      </c>
      <c r="F675" s="24">
        <v>11.2</v>
      </c>
      <c r="G675" s="24">
        <v>7</v>
      </c>
      <c r="H675" s="27">
        <v>78.400000000000006</v>
      </c>
      <c r="I675" s="26" t="s">
        <v>22</v>
      </c>
    </row>
    <row r="676" spans="1:9" ht="14.4" x14ac:dyDescent="0.25">
      <c r="A676" s="24">
        <v>10146</v>
      </c>
      <c r="B676" s="25">
        <v>43639</v>
      </c>
      <c r="C676" s="64">
        <f t="shared" si="21"/>
        <v>2019</v>
      </c>
      <c r="D676" s="64" t="str">
        <f t="shared" si="22"/>
        <v>2019年2季度</v>
      </c>
      <c r="E676" s="26" t="s">
        <v>29</v>
      </c>
      <c r="F676" s="24">
        <v>24.9</v>
      </c>
      <c r="G676" s="24">
        <v>70</v>
      </c>
      <c r="H676" s="27">
        <v>1743</v>
      </c>
      <c r="I676" s="26" t="s">
        <v>22</v>
      </c>
    </row>
    <row r="677" spans="1:9" ht="14.4" x14ac:dyDescent="0.25">
      <c r="A677" s="24">
        <v>10146</v>
      </c>
      <c r="B677" s="25">
        <v>43639</v>
      </c>
      <c r="C677" s="64">
        <f t="shared" si="21"/>
        <v>2019</v>
      </c>
      <c r="D677" s="64" t="str">
        <f t="shared" si="22"/>
        <v>2019年2季度</v>
      </c>
      <c r="E677" s="26" t="s">
        <v>29</v>
      </c>
      <c r="F677" s="24">
        <v>18.600000000000001</v>
      </c>
      <c r="G677" s="24">
        <v>42</v>
      </c>
      <c r="H677" s="27">
        <v>781.2</v>
      </c>
      <c r="I677" s="26" t="s">
        <v>22</v>
      </c>
    </row>
    <row r="678" spans="1:9" ht="14.4" x14ac:dyDescent="0.25">
      <c r="A678" s="24">
        <v>10146</v>
      </c>
      <c r="B678" s="25">
        <v>43639</v>
      </c>
      <c r="C678" s="64">
        <f t="shared" si="21"/>
        <v>2019</v>
      </c>
      <c r="D678" s="64" t="str">
        <f t="shared" si="22"/>
        <v>2019年2季度</v>
      </c>
      <c r="E678" s="26" t="s">
        <v>29</v>
      </c>
      <c r="F678" s="24">
        <v>15.2</v>
      </c>
      <c r="G678" s="24">
        <v>25</v>
      </c>
      <c r="H678" s="27">
        <v>380</v>
      </c>
      <c r="I678" s="26" t="s">
        <v>22</v>
      </c>
    </row>
    <row r="679" spans="1:9" ht="14.4" x14ac:dyDescent="0.25">
      <c r="A679" s="24">
        <v>10147</v>
      </c>
      <c r="B679" s="25">
        <v>43639</v>
      </c>
      <c r="C679" s="64">
        <f t="shared" si="21"/>
        <v>2019</v>
      </c>
      <c r="D679" s="64" t="str">
        <f t="shared" si="22"/>
        <v>2019年2季度</v>
      </c>
      <c r="E679" s="26" t="s">
        <v>29</v>
      </c>
      <c r="F679" s="24">
        <v>39.4</v>
      </c>
      <c r="G679" s="24">
        <v>10</v>
      </c>
      <c r="H679" s="27">
        <v>394</v>
      </c>
      <c r="I679" s="26" t="s">
        <v>22</v>
      </c>
    </row>
    <row r="680" spans="1:9" ht="14.4" x14ac:dyDescent="0.25">
      <c r="A680" s="24">
        <v>10147</v>
      </c>
      <c r="B680" s="25">
        <v>43639</v>
      </c>
      <c r="C680" s="64">
        <f t="shared" si="21"/>
        <v>2019</v>
      </c>
      <c r="D680" s="64" t="str">
        <f t="shared" si="22"/>
        <v>2019年2季度</v>
      </c>
      <c r="E680" s="26" t="s">
        <v>29</v>
      </c>
      <c r="F680" s="24">
        <v>4.8</v>
      </c>
      <c r="G680" s="24">
        <v>10</v>
      </c>
      <c r="H680" s="27">
        <v>48</v>
      </c>
      <c r="I680" s="26" t="s">
        <v>22</v>
      </c>
    </row>
    <row r="681" spans="1:9" ht="14.4" x14ac:dyDescent="0.25">
      <c r="A681" s="24">
        <v>10148</v>
      </c>
      <c r="B681" s="25">
        <v>43641</v>
      </c>
      <c r="C681" s="64">
        <f t="shared" si="21"/>
        <v>2019</v>
      </c>
      <c r="D681" s="64" t="str">
        <f t="shared" si="22"/>
        <v>2019年2季度</v>
      </c>
      <c r="E681" s="26" t="s">
        <v>29</v>
      </c>
      <c r="F681" s="24">
        <v>28.8</v>
      </c>
      <c r="G681" s="24">
        <v>8</v>
      </c>
      <c r="H681" s="27">
        <v>230.4</v>
      </c>
      <c r="I681" s="26" t="s">
        <v>26</v>
      </c>
    </row>
    <row r="682" spans="1:9" ht="14.4" x14ac:dyDescent="0.25">
      <c r="A682" s="24">
        <v>10148</v>
      </c>
      <c r="B682" s="25">
        <v>43641</v>
      </c>
      <c r="C682" s="64">
        <f t="shared" si="21"/>
        <v>2019</v>
      </c>
      <c r="D682" s="64" t="str">
        <f t="shared" si="22"/>
        <v>2019年2季度</v>
      </c>
      <c r="E682" s="26" t="s">
        <v>29</v>
      </c>
      <c r="F682" s="24">
        <v>26.2</v>
      </c>
      <c r="G682" s="24">
        <v>70</v>
      </c>
      <c r="H682" s="27">
        <v>1834</v>
      </c>
      <c r="I682" s="26" t="s">
        <v>26</v>
      </c>
    </row>
    <row r="683" spans="1:9" ht="14.4" x14ac:dyDescent="0.25">
      <c r="A683" s="24">
        <v>10148</v>
      </c>
      <c r="B683" s="25">
        <v>43641</v>
      </c>
      <c r="C683" s="64">
        <f t="shared" si="21"/>
        <v>2019</v>
      </c>
      <c r="D683" s="64" t="str">
        <f t="shared" si="22"/>
        <v>2019年2季度</v>
      </c>
      <c r="E683" s="26" t="s">
        <v>29</v>
      </c>
      <c r="F683" s="24">
        <v>9.6</v>
      </c>
      <c r="G683" s="24">
        <v>28</v>
      </c>
      <c r="H683" s="27">
        <v>268.8</v>
      </c>
      <c r="I683" s="26" t="s">
        <v>26</v>
      </c>
    </row>
    <row r="684" spans="1:9" ht="14.4" x14ac:dyDescent="0.25">
      <c r="A684" s="24">
        <v>10149</v>
      </c>
      <c r="B684" s="25">
        <v>43643</v>
      </c>
      <c r="C684" s="64">
        <f t="shared" si="21"/>
        <v>2019</v>
      </c>
      <c r="D684" s="64" t="str">
        <f t="shared" si="22"/>
        <v>2019年2季度</v>
      </c>
      <c r="E684" s="26" t="s">
        <v>29</v>
      </c>
      <c r="F684" s="24">
        <v>17.2</v>
      </c>
      <c r="G684" s="24">
        <v>60</v>
      </c>
      <c r="H684" s="27">
        <v>1032</v>
      </c>
      <c r="I684" s="26" t="s">
        <v>25</v>
      </c>
    </row>
    <row r="685" spans="1:9" ht="14.4" x14ac:dyDescent="0.25">
      <c r="A685" s="24">
        <v>10149</v>
      </c>
      <c r="B685" s="25">
        <v>43643</v>
      </c>
      <c r="C685" s="64">
        <f t="shared" si="21"/>
        <v>2019</v>
      </c>
      <c r="D685" s="64" t="str">
        <f t="shared" si="22"/>
        <v>2019年2季度</v>
      </c>
      <c r="E685" s="26" t="s">
        <v>29</v>
      </c>
      <c r="F685" s="24">
        <v>7.2</v>
      </c>
      <c r="G685" s="24">
        <v>40</v>
      </c>
      <c r="H685" s="27">
        <v>288</v>
      </c>
      <c r="I685" s="26" t="s">
        <v>25</v>
      </c>
    </row>
    <row r="686" spans="1:9" ht="14.4" x14ac:dyDescent="0.25">
      <c r="A686" s="24">
        <v>10149</v>
      </c>
      <c r="B686" s="25">
        <v>43643</v>
      </c>
      <c r="C686" s="64">
        <f t="shared" si="21"/>
        <v>2019</v>
      </c>
      <c r="D686" s="64" t="str">
        <f t="shared" si="22"/>
        <v>2019年2季度</v>
      </c>
      <c r="E686" s="26" t="s">
        <v>29</v>
      </c>
      <c r="F686" s="24">
        <v>27.8</v>
      </c>
      <c r="G686" s="24">
        <v>21</v>
      </c>
      <c r="H686" s="27">
        <v>583.79999999999995</v>
      </c>
      <c r="I686" s="26" t="s">
        <v>25</v>
      </c>
    </row>
    <row r="687" spans="1:9" ht="14.4" x14ac:dyDescent="0.25">
      <c r="A687" s="24">
        <v>10150</v>
      </c>
      <c r="B687" s="25">
        <v>43643</v>
      </c>
      <c r="C687" s="64">
        <f t="shared" si="21"/>
        <v>2019</v>
      </c>
      <c r="D687" s="64" t="str">
        <f t="shared" si="22"/>
        <v>2019年2季度</v>
      </c>
      <c r="E687" s="26" t="s">
        <v>29</v>
      </c>
      <c r="F687" s="24">
        <v>8</v>
      </c>
      <c r="G687" s="24">
        <v>10</v>
      </c>
      <c r="H687" s="27">
        <v>80</v>
      </c>
      <c r="I687" s="26" t="s">
        <v>22</v>
      </c>
    </row>
    <row r="688" spans="1:9" ht="14.4" x14ac:dyDescent="0.25">
      <c r="A688" s="24">
        <v>10151</v>
      </c>
      <c r="B688" s="25">
        <v>43649</v>
      </c>
      <c r="C688" s="64">
        <f t="shared" si="21"/>
        <v>2019</v>
      </c>
      <c r="D688" s="64" t="str">
        <f t="shared" si="22"/>
        <v>2019年3季度</v>
      </c>
      <c r="E688" s="26" t="s">
        <v>29</v>
      </c>
      <c r="F688" s="24">
        <v>14.4</v>
      </c>
      <c r="G688" s="24">
        <v>30</v>
      </c>
      <c r="H688" s="27">
        <v>432</v>
      </c>
      <c r="I688" s="26" t="s">
        <v>27</v>
      </c>
    </row>
    <row r="689" spans="1:9" ht="14.4" x14ac:dyDescent="0.25">
      <c r="A689" s="24">
        <v>10151</v>
      </c>
      <c r="B689" s="25">
        <v>43649</v>
      </c>
      <c r="C689" s="64">
        <f t="shared" si="21"/>
        <v>2019</v>
      </c>
      <c r="D689" s="64" t="str">
        <f t="shared" si="22"/>
        <v>2019年3季度</v>
      </c>
      <c r="E689" s="26" t="s">
        <v>29</v>
      </c>
      <c r="F689" s="24">
        <v>19.2</v>
      </c>
      <c r="G689" s="24">
        <v>120</v>
      </c>
      <c r="H689" s="27">
        <v>2304</v>
      </c>
      <c r="I689" s="26" t="s">
        <v>27</v>
      </c>
    </row>
    <row r="690" spans="1:9" ht="14.4" x14ac:dyDescent="0.25">
      <c r="A690" s="24">
        <v>10152</v>
      </c>
      <c r="B690" s="25">
        <v>43651</v>
      </c>
      <c r="C690" s="64">
        <f t="shared" si="21"/>
        <v>2019</v>
      </c>
      <c r="D690" s="64" t="str">
        <f t="shared" si="22"/>
        <v>2019年3季度</v>
      </c>
      <c r="E690" s="26" t="s">
        <v>29</v>
      </c>
      <c r="F690" s="24">
        <v>14.4</v>
      </c>
      <c r="G690" s="24">
        <v>35</v>
      </c>
      <c r="H690" s="27">
        <v>504</v>
      </c>
      <c r="I690" s="26" t="s">
        <v>26</v>
      </c>
    </row>
    <row r="691" spans="1:9" ht="14.4" x14ac:dyDescent="0.25">
      <c r="A691" s="24">
        <v>10152</v>
      </c>
      <c r="B691" s="25">
        <v>43651</v>
      </c>
      <c r="C691" s="64">
        <f t="shared" si="21"/>
        <v>2019</v>
      </c>
      <c r="D691" s="64" t="str">
        <f t="shared" si="22"/>
        <v>2019年3季度</v>
      </c>
      <c r="E691" s="26" t="s">
        <v>29</v>
      </c>
      <c r="F691" s="24">
        <v>10.4</v>
      </c>
      <c r="G691" s="24">
        <v>14</v>
      </c>
      <c r="H691" s="27">
        <v>145.6</v>
      </c>
      <c r="I691" s="26" t="s">
        <v>26</v>
      </c>
    </row>
    <row r="692" spans="1:9" ht="14.4" x14ac:dyDescent="0.25">
      <c r="A692" s="24">
        <v>10154</v>
      </c>
      <c r="B692" s="25">
        <v>43653</v>
      </c>
      <c r="C692" s="64">
        <f t="shared" si="21"/>
        <v>2019</v>
      </c>
      <c r="D692" s="64" t="str">
        <f t="shared" si="22"/>
        <v>2019年3季度</v>
      </c>
      <c r="E692" s="26" t="s">
        <v>29</v>
      </c>
      <c r="F692" s="24">
        <v>16.8</v>
      </c>
      <c r="G692" s="24">
        <v>20</v>
      </c>
      <c r="H692" s="27">
        <v>336</v>
      </c>
      <c r="I692" s="26" t="s">
        <v>26</v>
      </c>
    </row>
    <row r="693" spans="1:9" ht="14.4" x14ac:dyDescent="0.25">
      <c r="A693" s="24">
        <v>10154</v>
      </c>
      <c r="B693" s="25">
        <v>43653</v>
      </c>
      <c r="C693" s="64">
        <f t="shared" si="21"/>
        <v>2019</v>
      </c>
      <c r="D693" s="64" t="str">
        <f t="shared" si="22"/>
        <v>2019年3季度</v>
      </c>
      <c r="E693" s="26" t="s">
        <v>29</v>
      </c>
      <c r="F693" s="24">
        <v>17.2</v>
      </c>
      <c r="G693" s="24">
        <v>60</v>
      </c>
      <c r="H693" s="27">
        <v>1032</v>
      </c>
      <c r="I693" s="26" t="s">
        <v>26</v>
      </c>
    </row>
    <row r="694" spans="1:9" ht="14.4" x14ac:dyDescent="0.25">
      <c r="A694" s="24">
        <v>10155</v>
      </c>
      <c r="B694" s="25">
        <v>43655</v>
      </c>
      <c r="C694" s="64">
        <f t="shared" si="21"/>
        <v>2019</v>
      </c>
      <c r="D694" s="64" t="str">
        <f t="shared" si="22"/>
        <v>2019年3季度</v>
      </c>
      <c r="E694" s="26" t="s">
        <v>29</v>
      </c>
      <c r="F694" s="24">
        <v>35.1</v>
      </c>
      <c r="G694" s="24">
        <v>65</v>
      </c>
      <c r="H694" s="27">
        <v>2281.5</v>
      </c>
      <c r="I694" s="26" t="s">
        <v>22</v>
      </c>
    </row>
    <row r="695" spans="1:9" ht="14.4" x14ac:dyDescent="0.25">
      <c r="A695" s="24">
        <v>10155</v>
      </c>
      <c r="B695" s="25">
        <v>43655</v>
      </c>
      <c r="C695" s="64">
        <f t="shared" si="21"/>
        <v>2019</v>
      </c>
      <c r="D695" s="64" t="str">
        <f t="shared" si="22"/>
        <v>2019年3季度</v>
      </c>
      <c r="E695" s="26" t="s">
        <v>29</v>
      </c>
      <c r="F695" s="24">
        <v>7.2</v>
      </c>
      <c r="G695" s="24">
        <v>60</v>
      </c>
      <c r="H695" s="27">
        <v>432</v>
      </c>
      <c r="I695" s="26" t="s">
        <v>22</v>
      </c>
    </row>
    <row r="696" spans="1:9" ht="14.4" x14ac:dyDescent="0.25">
      <c r="A696" s="24">
        <v>10156</v>
      </c>
      <c r="B696" s="25">
        <v>43657</v>
      </c>
      <c r="C696" s="64">
        <f t="shared" si="21"/>
        <v>2019</v>
      </c>
      <c r="D696" s="64" t="str">
        <f t="shared" si="22"/>
        <v>2019年3季度</v>
      </c>
      <c r="E696" s="26" t="s">
        <v>29</v>
      </c>
      <c r="F696" s="24">
        <v>13.9</v>
      </c>
      <c r="G696" s="24">
        <v>21</v>
      </c>
      <c r="H696" s="27">
        <v>291.89999999999998</v>
      </c>
      <c r="I696" s="26" t="s">
        <v>22</v>
      </c>
    </row>
    <row r="697" spans="1:9" ht="14.4" x14ac:dyDescent="0.25">
      <c r="A697" s="24">
        <v>10156</v>
      </c>
      <c r="B697" s="25">
        <v>43657</v>
      </c>
      <c r="C697" s="64">
        <f t="shared" si="21"/>
        <v>2019</v>
      </c>
      <c r="D697" s="64" t="str">
        <f t="shared" si="22"/>
        <v>2019年3季度</v>
      </c>
      <c r="E697" s="26" t="s">
        <v>29</v>
      </c>
      <c r="F697" s="24">
        <v>10.199999999999999</v>
      </c>
      <c r="G697" s="24">
        <v>70</v>
      </c>
      <c r="H697" s="27">
        <v>714</v>
      </c>
      <c r="I697" s="26" t="s">
        <v>22</v>
      </c>
    </row>
    <row r="698" spans="1:9" ht="14.4" x14ac:dyDescent="0.25">
      <c r="A698" s="24">
        <v>10157</v>
      </c>
      <c r="B698" s="25">
        <v>43657</v>
      </c>
      <c r="C698" s="64">
        <f t="shared" si="21"/>
        <v>2019</v>
      </c>
      <c r="D698" s="64" t="str">
        <f t="shared" si="22"/>
        <v>2019年3季度</v>
      </c>
      <c r="E698" s="26" t="s">
        <v>29</v>
      </c>
      <c r="F698" s="24">
        <v>11.2</v>
      </c>
      <c r="G698" s="24">
        <v>40</v>
      </c>
      <c r="H698" s="27">
        <v>448</v>
      </c>
      <c r="I698" s="26" t="s">
        <v>22</v>
      </c>
    </row>
    <row r="699" spans="1:9" ht="14.4" x14ac:dyDescent="0.25">
      <c r="A699" s="24">
        <v>10157</v>
      </c>
      <c r="B699" s="25">
        <v>43657</v>
      </c>
      <c r="C699" s="64">
        <f t="shared" si="21"/>
        <v>2019</v>
      </c>
      <c r="D699" s="64" t="str">
        <f t="shared" si="22"/>
        <v>2019年3季度</v>
      </c>
      <c r="E699" s="26" t="s">
        <v>29</v>
      </c>
      <c r="F699" s="24">
        <v>24.9</v>
      </c>
      <c r="G699" s="24">
        <v>30</v>
      </c>
      <c r="H699" s="27">
        <v>747</v>
      </c>
      <c r="I699" s="26" t="s">
        <v>22</v>
      </c>
    </row>
    <row r="700" spans="1:9" ht="14.4" x14ac:dyDescent="0.25">
      <c r="A700" s="24">
        <v>10157</v>
      </c>
      <c r="B700" s="25">
        <v>43657</v>
      </c>
      <c r="C700" s="64">
        <f t="shared" si="21"/>
        <v>2019</v>
      </c>
      <c r="D700" s="64" t="str">
        <f t="shared" si="22"/>
        <v>2019年3季度</v>
      </c>
      <c r="E700" s="26" t="s">
        <v>29</v>
      </c>
      <c r="F700" s="24">
        <v>16</v>
      </c>
      <c r="G700" s="24">
        <v>30</v>
      </c>
      <c r="H700" s="27">
        <v>480</v>
      </c>
      <c r="I700" s="26" t="s">
        <v>22</v>
      </c>
    </row>
    <row r="701" spans="1:9" ht="14.4" x14ac:dyDescent="0.25">
      <c r="A701" s="24">
        <v>10158</v>
      </c>
      <c r="B701" s="25">
        <v>43663</v>
      </c>
      <c r="C701" s="64">
        <f t="shared" si="21"/>
        <v>2019</v>
      </c>
      <c r="D701" s="64" t="str">
        <f t="shared" si="22"/>
        <v>2019年3季度</v>
      </c>
      <c r="E701" s="26" t="s">
        <v>29</v>
      </c>
      <c r="F701" s="24">
        <v>8</v>
      </c>
      <c r="G701" s="24">
        <v>50</v>
      </c>
      <c r="H701" s="27">
        <v>400</v>
      </c>
      <c r="I701" s="26" t="s">
        <v>23</v>
      </c>
    </row>
    <row r="702" spans="1:9" ht="14.4" x14ac:dyDescent="0.25">
      <c r="A702" s="24">
        <v>10159</v>
      </c>
      <c r="B702" s="25">
        <v>43665</v>
      </c>
      <c r="C702" s="64">
        <f t="shared" si="21"/>
        <v>2019</v>
      </c>
      <c r="D702" s="64" t="str">
        <f t="shared" si="22"/>
        <v>2019年3季度</v>
      </c>
      <c r="E702" s="26" t="s">
        <v>29</v>
      </c>
      <c r="F702" s="24">
        <v>14.7</v>
      </c>
      <c r="G702" s="24">
        <v>2</v>
      </c>
      <c r="H702" s="27">
        <v>29.4</v>
      </c>
      <c r="I702" s="26" t="s">
        <v>23</v>
      </c>
    </row>
    <row r="703" spans="1:9" ht="14.4" x14ac:dyDescent="0.25">
      <c r="A703" s="24">
        <v>10159</v>
      </c>
      <c r="B703" s="25">
        <v>43665</v>
      </c>
      <c r="C703" s="64">
        <f t="shared" si="21"/>
        <v>2019</v>
      </c>
      <c r="D703" s="64" t="str">
        <f t="shared" si="22"/>
        <v>2019年3季度</v>
      </c>
      <c r="E703" s="26" t="s">
        <v>29</v>
      </c>
      <c r="F703" s="24">
        <v>8</v>
      </c>
      <c r="G703" s="24">
        <v>30</v>
      </c>
      <c r="H703" s="27">
        <v>240</v>
      </c>
      <c r="I703" s="26" t="s">
        <v>23</v>
      </c>
    </row>
    <row r="704" spans="1:9" ht="14.4" x14ac:dyDescent="0.25">
      <c r="A704" s="24">
        <v>10159</v>
      </c>
      <c r="B704" s="25">
        <v>43665</v>
      </c>
      <c r="C704" s="64">
        <f t="shared" si="21"/>
        <v>2019</v>
      </c>
      <c r="D704" s="64" t="str">
        <f t="shared" si="22"/>
        <v>2019年3季度</v>
      </c>
      <c r="E704" s="26" t="s">
        <v>29</v>
      </c>
      <c r="F704" s="24">
        <v>36.4</v>
      </c>
      <c r="G704" s="24">
        <v>42</v>
      </c>
      <c r="H704" s="27">
        <v>1528.8</v>
      </c>
      <c r="I704" s="26" t="s">
        <v>23</v>
      </c>
    </row>
    <row r="705" spans="1:9" ht="14.4" x14ac:dyDescent="0.25">
      <c r="A705" s="24">
        <v>10159</v>
      </c>
      <c r="B705" s="25">
        <v>43665</v>
      </c>
      <c r="C705" s="64">
        <f t="shared" si="21"/>
        <v>2019</v>
      </c>
      <c r="D705" s="64" t="str">
        <f t="shared" si="22"/>
        <v>2019年3季度</v>
      </c>
      <c r="E705" s="26" t="s">
        <v>29</v>
      </c>
      <c r="F705" s="24">
        <v>14.4</v>
      </c>
      <c r="G705" s="24">
        <v>10</v>
      </c>
      <c r="H705" s="27">
        <v>144</v>
      </c>
      <c r="I705" s="26" t="s">
        <v>23</v>
      </c>
    </row>
    <row r="706" spans="1:9" ht="14.4" x14ac:dyDescent="0.25">
      <c r="A706" s="24">
        <v>10159</v>
      </c>
      <c r="B706" s="25">
        <v>43665</v>
      </c>
      <c r="C706" s="64">
        <f t="shared" si="21"/>
        <v>2019</v>
      </c>
      <c r="D706" s="64" t="str">
        <f t="shared" si="22"/>
        <v>2019年3季度</v>
      </c>
      <c r="E706" s="26" t="s">
        <v>29</v>
      </c>
      <c r="F706" s="24">
        <v>15.2</v>
      </c>
      <c r="G706" s="24">
        <v>5</v>
      </c>
      <c r="H706" s="27">
        <v>76</v>
      </c>
      <c r="I706" s="26" t="s">
        <v>23</v>
      </c>
    </row>
    <row r="707" spans="1:9" ht="14.4" x14ac:dyDescent="0.25">
      <c r="A707" s="24">
        <v>10160</v>
      </c>
      <c r="B707" s="25">
        <v>43665</v>
      </c>
      <c r="C707" s="64">
        <f t="shared" ref="C707:C770" si="23">YEAR(B707)</f>
        <v>2019</v>
      </c>
      <c r="D707" s="64" t="str">
        <f t="shared" ref="D707:D770" si="24">YEAR(B707)&amp;"年"&amp;ROUNDUP(MONTH(B707)/3,0)&amp;"季度"</f>
        <v>2019年3季度</v>
      </c>
      <c r="E707" s="26" t="s">
        <v>29</v>
      </c>
      <c r="F707" s="24">
        <v>28.8</v>
      </c>
      <c r="G707" s="24">
        <v>15</v>
      </c>
      <c r="H707" s="27">
        <v>432</v>
      </c>
      <c r="I707" s="26" t="s">
        <v>22</v>
      </c>
    </row>
    <row r="708" spans="1:9" ht="14.4" x14ac:dyDescent="0.25">
      <c r="A708" s="24">
        <v>10160</v>
      </c>
      <c r="B708" s="25">
        <v>43665</v>
      </c>
      <c r="C708" s="64">
        <f t="shared" si="23"/>
        <v>2019</v>
      </c>
      <c r="D708" s="64" t="str">
        <f t="shared" si="24"/>
        <v>2019年3季度</v>
      </c>
      <c r="E708" s="26" t="s">
        <v>29</v>
      </c>
      <c r="F708" s="24">
        <v>16.8</v>
      </c>
      <c r="G708" s="24">
        <v>30</v>
      </c>
      <c r="H708" s="27">
        <v>504</v>
      </c>
      <c r="I708" s="26" t="s">
        <v>22</v>
      </c>
    </row>
    <row r="709" spans="1:9" ht="14.4" x14ac:dyDescent="0.25">
      <c r="A709" s="24">
        <v>10160</v>
      </c>
      <c r="B709" s="25">
        <v>43665</v>
      </c>
      <c r="C709" s="64">
        <f t="shared" si="23"/>
        <v>2019</v>
      </c>
      <c r="D709" s="64" t="str">
        <f t="shared" si="24"/>
        <v>2019年3季度</v>
      </c>
      <c r="E709" s="26" t="s">
        <v>29</v>
      </c>
      <c r="F709" s="24">
        <v>17.2</v>
      </c>
      <c r="G709" s="24">
        <v>15</v>
      </c>
      <c r="H709" s="27">
        <v>258</v>
      </c>
      <c r="I709" s="26" t="s">
        <v>22</v>
      </c>
    </row>
    <row r="710" spans="1:9" ht="14.4" x14ac:dyDescent="0.25">
      <c r="A710" s="24">
        <v>10161</v>
      </c>
      <c r="B710" s="25">
        <v>43667</v>
      </c>
      <c r="C710" s="64">
        <f t="shared" si="23"/>
        <v>2019</v>
      </c>
      <c r="D710" s="64" t="str">
        <f t="shared" si="24"/>
        <v>2019年3季度</v>
      </c>
      <c r="E710" s="26" t="s">
        <v>29</v>
      </c>
      <c r="F710" s="24">
        <v>20.8</v>
      </c>
      <c r="G710" s="24">
        <v>10</v>
      </c>
      <c r="H710" s="27">
        <v>208</v>
      </c>
      <c r="I710" s="26" t="s">
        <v>27</v>
      </c>
    </row>
    <row r="711" spans="1:9" ht="14.4" x14ac:dyDescent="0.25">
      <c r="A711" s="24">
        <v>10161</v>
      </c>
      <c r="B711" s="25">
        <v>43667</v>
      </c>
      <c r="C711" s="64">
        <f t="shared" si="23"/>
        <v>2019</v>
      </c>
      <c r="D711" s="64" t="str">
        <f t="shared" si="24"/>
        <v>2019年3季度</v>
      </c>
      <c r="E711" s="26" t="s">
        <v>29</v>
      </c>
      <c r="F711" s="24">
        <v>39.4</v>
      </c>
      <c r="G711" s="24">
        <v>35</v>
      </c>
      <c r="H711" s="27">
        <v>1379</v>
      </c>
      <c r="I711" s="26" t="s">
        <v>27</v>
      </c>
    </row>
    <row r="712" spans="1:9" ht="14.4" x14ac:dyDescent="0.25">
      <c r="A712" s="24">
        <v>10161</v>
      </c>
      <c r="B712" s="25">
        <v>43667</v>
      </c>
      <c r="C712" s="64">
        <f t="shared" si="23"/>
        <v>2019</v>
      </c>
      <c r="D712" s="64" t="str">
        <f t="shared" si="24"/>
        <v>2019年3季度</v>
      </c>
      <c r="E712" s="26" t="s">
        <v>29</v>
      </c>
      <c r="F712" s="24">
        <v>5.9</v>
      </c>
      <c r="G712" s="24">
        <v>6</v>
      </c>
      <c r="H712" s="27">
        <v>35.4</v>
      </c>
      <c r="I712" s="26" t="s">
        <v>27</v>
      </c>
    </row>
    <row r="713" spans="1:9" ht="14.4" x14ac:dyDescent="0.25">
      <c r="A713" s="24">
        <v>10162</v>
      </c>
      <c r="B713" s="25">
        <v>43669</v>
      </c>
      <c r="C713" s="64">
        <f t="shared" si="23"/>
        <v>2019</v>
      </c>
      <c r="D713" s="64" t="str">
        <f t="shared" si="24"/>
        <v>2019年3季度</v>
      </c>
      <c r="E713" s="26" t="s">
        <v>29</v>
      </c>
      <c r="F713" s="24">
        <v>8</v>
      </c>
      <c r="G713" s="24">
        <v>12</v>
      </c>
      <c r="H713" s="27">
        <v>96</v>
      </c>
      <c r="I713" s="26" t="s">
        <v>23</v>
      </c>
    </row>
    <row r="714" spans="1:9" ht="14.4" x14ac:dyDescent="0.25">
      <c r="A714" s="24">
        <v>10162</v>
      </c>
      <c r="B714" s="25">
        <v>43669</v>
      </c>
      <c r="C714" s="64">
        <f t="shared" si="23"/>
        <v>2019</v>
      </c>
      <c r="D714" s="64" t="str">
        <f t="shared" si="24"/>
        <v>2019年3季度</v>
      </c>
      <c r="E714" s="26" t="s">
        <v>29</v>
      </c>
      <c r="F714" s="24">
        <v>18.600000000000001</v>
      </c>
      <c r="G714" s="24">
        <v>12</v>
      </c>
      <c r="H714" s="27">
        <v>223.2</v>
      </c>
      <c r="I714" s="26" t="s">
        <v>23</v>
      </c>
    </row>
    <row r="715" spans="1:9" ht="14.4" x14ac:dyDescent="0.25">
      <c r="A715" s="24">
        <v>10163</v>
      </c>
      <c r="B715" s="25">
        <v>43671</v>
      </c>
      <c r="C715" s="64">
        <f t="shared" si="23"/>
        <v>2019</v>
      </c>
      <c r="D715" s="64" t="str">
        <f t="shared" si="24"/>
        <v>2019年3季度</v>
      </c>
      <c r="E715" s="26" t="s">
        <v>29</v>
      </c>
      <c r="F715" s="24">
        <v>44</v>
      </c>
      <c r="G715" s="24">
        <v>16</v>
      </c>
      <c r="H715" s="27">
        <v>704</v>
      </c>
      <c r="I715" s="26" t="s">
        <v>23</v>
      </c>
    </row>
    <row r="716" spans="1:9" ht="14.4" x14ac:dyDescent="0.25">
      <c r="A716" s="24">
        <v>10163</v>
      </c>
      <c r="B716" s="25">
        <v>43671</v>
      </c>
      <c r="C716" s="64">
        <f t="shared" si="23"/>
        <v>2019</v>
      </c>
      <c r="D716" s="64" t="str">
        <f t="shared" si="24"/>
        <v>2019年3季度</v>
      </c>
      <c r="E716" s="26" t="s">
        <v>29</v>
      </c>
      <c r="F716" s="24">
        <v>2</v>
      </c>
      <c r="G716" s="24">
        <v>49</v>
      </c>
      <c r="H716" s="27">
        <v>98</v>
      </c>
      <c r="I716" s="26" t="s">
        <v>23</v>
      </c>
    </row>
    <row r="717" spans="1:9" ht="14.4" x14ac:dyDescent="0.25">
      <c r="A717" s="24">
        <v>10164</v>
      </c>
      <c r="B717" s="25">
        <v>43671</v>
      </c>
      <c r="C717" s="64">
        <f t="shared" si="23"/>
        <v>2019</v>
      </c>
      <c r="D717" s="64" t="str">
        <f t="shared" si="24"/>
        <v>2019年3季度</v>
      </c>
      <c r="E717" s="26" t="s">
        <v>29</v>
      </c>
      <c r="F717" s="24">
        <v>7.7</v>
      </c>
      <c r="G717" s="24">
        <v>25</v>
      </c>
      <c r="H717" s="27">
        <v>192.5</v>
      </c>
      <c r="I717" s="26" t="s">
        <v>22</v>
      </c>
    </row>
    <row r="718" spans="1:9" ht="14.4" x14ac:dyDescent="0.25">
      <c r="A718" s="24">
        <v>10167</v>
      </c>
      <c r="B718" s="25">
        <v>43679</v>
      </c>
      <c r="C718" s="64">
        <f t="shared" si="23"/>
        <v>2019</v>
      </c>
      <c r="D718" s="64" t="str">
        <f t="shared" si="24"/>
        <v>2019年3季度</v>
      </c>
      <c r="E718" s="26" t="s">
        <v>29</v>
      </c>
      <c r="F718" s="24">
        <v>7.3</v>
      </c>
      <c r="G718" s="24">
        <v>18</v>
      </c>
      <c r="H718" s="27">
        <v>131.4</v>
      </c>
      <c r="I718" s="26" t="s">
        <v>25</v>
      </c>
    </row>
    <row r="719" spans="1:9" ht="14.4" x14ac:dyDescent="0.25">
      <c r="A719" s="24">
        <v>10168</v>
      </c>
      <c r="B719" s="25">
        <v>43681</v>
      </c>
      <c r="C719" s="64">
        <f t="shared" si="23"/>
        <v>2019</v>
      </c>
      <c r="D719" s="64" t="str">
        <f t="shared" si="24"/>
        <v>2019年3季度</v>
      </c>
      <c r="E719" s="26" t="s">
        <v>29</v>
      </c>
      <c r="F719" s="24">
        <v>2</v>
      </c>
      <c r="G719" s="24">
        <v>20</v>
      </c>
      <c r="H719" s="27">
        <v>40</v>
      </c>
      <c r="I719" s="26" t="s">
        <v>23</v>
      </c>
    </row>
    <row r="720" spans="1:9" ht="14.4" x14ac:dyDescent="0.25">
      <c r="A720" s="24">
        <v>10169</v>
      </c>
      <c r="B720" s="25">
        <v>43683</v>
      </c>
      <c r="C720" s="64">
        <f t="shared" si="23"/>
        <v>2019</v>
      </c>
      <c r="D720" s="64" t="str">
        <f t="shared" si="24"/>
        <v>2019年3季度</v>
      </c>
      <c r="E720" s="26" t="s">
        <v>29</v>
      </c>
      <c r="F720" s="24">
        <v>15.6</v>
      </c>
      <c r="G720" s="24">
        <v>20</v>
      </c>
      <c r="H720" s="27">
        <v>312</v>
      </c>
      <c r="I720" s="26" t="s">
        <v>22</v>
      </c>
    </row>
    <row r="721" spans="1:9" ht="14.4" x14ac:dyDescent="0.25">
      <c r="A721" s="24">
        <v>10169</v>
      </c>
      <c r="B721" s="25">
        <v>43683</v>
      </c>
      <c r="C721" s="64">
        <f t="shared" si="23"/>
        <v>2019</v>
      </c>
      <c r="D721" s="64" t="str">
        <f t="shared" si="24"/>
        <v>2019年3季度</v>
      </c>
      <c r="E721" s="26" t="s">
        <v>29</v>
      </c>
      <c r="F721" s="24">
        <v>26.2</v>
      </c>
      <c r="G721" s="24">
        <v>10</v>
      </c>
      <c r="H721" s="27">
        <v>262</v>
      </c>
      <c r="I721" s="26" t="s">
        <v>22</v>
      </c>
    </row>
    <row r="722" spans="1:9" ht="14.4" x14ac:dyDescent="0.25">
      <c r="A722" s="24">
        <v>10169</v>
      </c>
      <c r="B722" s="25">
        <v>43683</v>
      </c>
      <c r="C722" s="64">
        <f t="shared" si="23"/>
        <v>2019</v>
      </c>
      <c r="D722" s="64" t="str">
        <f t="shared" si="24"/>
        <v>2019年3季度</v>
      </c>
      <c r="E722" s="26" t="s">
        <v>29</v>
      </c>
      <c r="F722" s="24">
        <v>7.3</v>
      </c>
      <c r="G722" s="24">
        <v>20</v>
      </c>
      <c r="H722" s="27">
        <v>146</v>
      </c>
      <c r="I722" s="26" t="s">
        <v>22</v>
      </c>
    </row>
    <row r="723" spans="1:9" ht="14.4" x14ac:dyDescent="0.25">
      <c r="A723" s="24">
        <v>10170</v>
      </c>
      <c r="B723" s="25">
        <v>43683</v>
      </c>
      <c r="C723" s="64">
        <f t="shared" si="23"/>
        <v>2019</v>
      </c>
      <c r="D723" s="64" t="str">
        <f t="shared" si="24"/>
        <v>2019年3季度</v>
      </c>
      <c r="E723" s="26" t="s">
        <v>29</v>
      </c>
      <c r="F723" s="24">
        <v>9.6</v>
      </c>
      <c r="G723" s="24">
        <v>2</v>
      </c>
      <c r="H723" s="27">
        <v>19.2</v>
      </c>
      <c r="I723" s="26" t="s">
        <v>27</v>
      </c>
    </row>
    <row r="724" spans="1:9" ht="14.4" x14ac:dyDescent="0.25">
      <c r="A724" s="24">
        <v>10170</v>
      </c>
      <c r="B724" s="25">
        <v>43683</v>
      </c>
      <c r="C724" s="64">
        <f t="shared" si="23"/>
        <v>2019</v>
      </c>
      <c r="D724" s="64" t="str">
        <f t="shared" si="24"/>
        <v>2019年3季度</v>
      </c>
      <c r="E724" s="26" t="s">
        <v>29</v>
      </c>
      <c r="F724" s="24">
        <v>210.8</v>
      </c>
      <c r="G724" s="24">
        <v>50</v>
      </c>
      <c r="H724" s="27">
        <v>10540</v>
      </c>
      <c r="I724" s="26" t="s">
        <v>27</v>
      </c>
    </row>
    <row r="725" spans="1:9" ht="14.4" x14ac:dyDescent="0.25">
      <c r="A725" s="24">
        <v>10170</v>
      </c>
      <c r="B725" s="25">
        <v>43683</v>
      </c>
      <c r="C725" s="64">
        <f t="shared" si="23"/>
        <v>2019</v>
      </c>
      <c r="D725" s="64" t="str">
        <f t="shared" si="24"/>
        <v>2019年3季度</v>
      </c>
      <c r="E725" s="26" t="s">
        <v>29</v>
      </c>
      <c r="F725" s="24">
        <v>10</v>
      </c>
      <c r="G725" s="24">
        <v>36</v>
      </c>
      <c r="H725" s="27">
        <v>360</v>
      </c>
      <c r="I725" s="26" t="s">
        <v>27</v>
      </c>
    </row>
    <row r="726" spans="1:9" ht="14.4" x14ac:dyDescent="0.25">
      <c r="A726" s="24">
        <v>10170</v>
      </c>
      <c r="B726" s="25">
        <v>43683</v>
      </c>
      <c r="C726" s="64">
        <f t="shared" si="23"/>
        <v>2019</v>
      </c>
      <c r="D726" s="64" t="str">
        <f t="shared" si="24"/>
        <v>2019年3季度</v>
      </c>
      <c r="E726" s="26" t="s">
        <v>29</v>
      </c>
      <c r="F726" s="24">
        <v>10.4</v>
      </c>
      <c r="G726" s="24">
        <v>35</v>
      </c>
      <c r="H726" s="27">
        <v>364</v>
      </c>
      <c r="I726" s="26" t="s">
        <v>27</v>
      </c>
    </row>
    <row r="727" spans="1:9" ht="14.4" x14ac:dyDescent="0.25">
      <c r="A727" s="24">
        <v>10171</v>
      </c>
      <c r="B727" s="25">
        <v>43685</v>
      </c>
      <c r="C727" s="64">
        <f t="shared" si="23"/>
        <v>2019</v>
      </c>
      <c r="D727" s="64" t="str">
        <f t="shared" si="24"/>
        <v>2019年3季度</v>
      </c>
      <c r="E727" s="26" t="s">
        <v>29</v>
      </c>
      <c r="F727" s="24">
        <v>7.6</v>
      </c>
      <c r="G727" s="24">
        <v>55</v>
      </c>
      <c r="H727" s="27">
        <v>418</v>
      </c>
      <c r="I727" s="26" t="s">
        <v>26</v>
      </c>
    </row>
    <row r="728" spans="1:9" ht="14.4" x14ac:dyDescent="0.25">
      <c r="A728" s="24">
        <v>10171</v>
      </c>
      <c r="B728" s="25">
        <v>43685</v>
      </c>
      <c r="C728" s="64">
        <f t="shared" si="23"/>
        <v>2019</v>
      </c>
      <c r="D728" s="64" t="str">
        <f t="shared" si="24"/>
        <v>2019年3季度</v>
      </c>
      <c r="E728" s="26" t="s">
        <v>29</v>
      </c>
      <c r="F728" s="24">
        <v>8</v>
      </c>
      <c r="G728" s="24">
        <v>15</v>
      </c>
      <c r="H728" s="27">
        <v>120</v>
      </c>
      <c r="I728" s="26" t="s">
        <v>26</v>
      </c>
    </row>
    <row r="729" spans="1:9" ht="14.4" x14ac:dyDescent="0.25">
      <c r="A729" s="24">
        <v>10171</v>
      </c>
      <c r="B729" s="25">
        <v>43685</v>
      </c>
      <c r="C729" s="64">
        <f t="shared" si="23"/>
        <v>2019</v>
      </c>
      <c r="D729" s="64" t="str">
        <f t="shared" si="24"/>
        <v>2019年3季度</v>
      </c>
      <c r="E729" s="26" t="s">
        <v>29</v>
      </c>
      <c r="F729" s="24">
        <v>22.8</v>
      </c>
      <c r="G729" s="24">
        <v>16</v>
      </c>
      <c r="H729" s="27">
        <v>364.8</v>
      </c>
      <c r="I729" s="26" t="s">
        <v>26</v>
      </c>
    </row>
    <row r="730" spans="1:9" ht="14.4" x14ac:dyDescent="0.25">
      <c r="A730" s="24">
        <v>10171</v>
      </c>
      <c r="B730" s="25">
        <v>43685</v>
      </c>
      <c r="C730" s="64">
        <f t="shared" si="23"/>
        <v>2019</v>
      </c>
      <c r="D730" s="64" t="str">
        <f t="shared" si="24"/>
        <v>2019年3季度</v>
      </c>
      <c r="E730" s="26" t="s">
        <v>29</v>
      </c>
      <c r="F730" s="24">
        <v>15.2</v>
      </c>
      <c r="G730" s="24">
        <v>60</v>
      </c>
      <c r="H730" s="27">
        <v>912</v>
      </c>
      <c r="I730" s="26" t="s">
        <v>26</v>
      </c>
    </row>
    <row r="731" spans="1:9" ht="14.4" x14ac:dyDescent="0.25">
      <c r="A731" s="24">
        <v>10172</v>
      </c>
      <c r="B731" s="25">
        <v>43691</v>
      </c>
      <c r="C731" s="64">
        <f t="shared" si="23"/>
        <v>2019</v>
      </c>
      <c r="D731" s="64" t="str">
        <f t="shared" si="24"/>
        <v>2019年3季度</v>
      </c>
      <c r="E731" s="26" t="s">
        <v>29</v>
      </c>
      <c r="F731" s="24">
        <v>27.2</v>
      </c>
      <c r="G731" s="24">
        <v>60</v>
      </c>
      <c r="H731" s="27">
        <v>1632</v>
      </c>
      <c r="I731" s="26" t="s">
        <v>27</v>
      </c>
    </row>
    <row r="732" spans="1:9" ht="14.4" x14ac:dyDescent="0.25">
      <c r="A732" s="24">
        <v>10172</v>
      </c>
      <c r="B732" s="25">
        <v>43691</v>
      </c>
      <c r="C732" s="64">
        <f t="shared" si="23"/>
        <v>2019</v>
      </c>
      <c r="D732" s="64" t="str">
        <f t="shared" si="24"/>
        <v>2019年3季度</v>
      </c>
      <c r="E732" s="26" t="s">
        <v>29</v>
      </c>
      <c r="F732" s="24">
        <v>28.8</v>
      </c>
      <c r="G732" s="24">
        <v>20</v>
      </c>
      <c r="H732" s="27">
        <v>576</v>
      </c>
      <c r="I732" s="26" t="s">
        <v>27</v>
      </c>
    </row>
    <row r="733" spans="1:9" ht="14.4" x14ac:dyDescent="0.25">
      <c r="A733" s="24">
        <v>10173</v>
      </c>
      <c r="B733" s="25">
        <v>43693</v>
      </c>
      <c r="C733" s="64">
        <f t="shared" si="23"/>
        <v>2019</v>
      </c>
      <c r="D733" s="64" t="str">
        <f t="shared" si="24"/>
        <v>2019年3季度</v>
      </c>
      <c r="E733" s="26" t="s">
        <v>29</v>
      </c>
      <c r="F733" s="24">
        <v>77.599999999999994</v>
      </c>
      <c r="G733" s="24">
        <v>20</v>
      </c>
      <c r="H733" s="27">
        <v>1552</v>
      </c>
      <c r="I733" s="26" t="s">
        <v>22</v>
      </c>
    </row>
    <row r="734" spans="1:9" ht="14.4" x14ac:dyDescent="0.25">
      <c r="A734" s="24">
        <v>10173</v>
      </c>
      <c r="B734" s="25">
        <v>43693</v>
      </c>
      <c r="C734" s="64">
        <f t="shared" si="23"/>
        <v>2019</v>
      </c>
      <c r="D734" s="64" t="str">
        <f t="shared" si="24"/>
        <v>2019年3季度</v>
      </c>
      <c r="E734" s="26" t="s">
        <v>29</v>
      </c>
      <c r="F734" s="24">
        <v>4.8</v>
      </c>
      <c r="G734" s="24">
        <v>2</v>
      </c>
      <c r="H734" s="27">
        <v>9.6</v>
      </c>
      <c r="I734" s="26" t="s">
        <v>22</v>
      </c>
    </row>
    <row r="735" spans="1:9" ht="14.4" x14ac:dyDescent="0.25">
      <c r="A735" s="24">
        <v>10173</v>
      </c>
      <c r="B735" s="25">
        <v>43693</v>
      </c>
      <c r="C735" s="64">
        <f t="shared" si="23"/>
        <v>2019</v>
      </c>
      <c r="D735" s="64" t="str">
        <f t="shared" si="24"/>
        <v>2019年3季度</v>
      </c>
      <c r="E735" s="26" t="s">
        <v>29</v>
      </c>
      <c r="F735" s="24">
        <v>12</v>
      </c>
      <c r="G735" s="24">
        <v>8</v>
      </c>
      <c r="H735" s="27">
        <v>96</v>
      </c>
      <c r="I735" s="26" t="s">
        <v>22</v>
      </c>
    </row>
    <row r="736" spans="1:9" ht="14.4" x14ac:dyDescent="0.25">
      <c r="A736" s="24">
        <v>10173</v>
      </c>
      <c r="B736" s="25">
        <v>43693</v>
      </c>
      <c r="C736" s="64">
        <f t="shared" si="23"/>
        <v>2019</v>
      </c>
      <c r="D736" s="64" t="str">
        <f t="shared" si="24"/>
        <v>2019年3季度</v>
      </c>
      <c r="E736" s="26" t="s">
        <v>29</v>
      </c>
      <c r="F736" s="24">
        <v>12</v>
      </c>
      <c r="G736" s="24">
        <v>20</v>
      </c>
      <c r="H736" s="27">
        <v>240</v>
      </c>
      <c r="I736" s="26" t="s">
        <v>22</v>
      </c>
    </row>
    <row r="737" spans="1:9" ht="14.4" x14ac:dyDescent="0.25">
      <c r="A737" s="24">
        <v>10174</v>
      </c>
      <c r="B737" s="25">
        <v>43693</v>
      </c>
      <c r="C737" s="64">
        <f t="shared" si="23"/>
        <v>2019</v>
      </c>
      <c r="D737" s="64" t="str">
        <f t="shared" si="24"/>
        <v>2019年3季度</v>
      </c>
      <c r="E737" s="26" t="s">
        <v>29</v>
      </c>
      <c r="F737" s="24">
        <v>7.3</v>
      </c>
      <c r="G737" s="24">
        <v>4</v>
      </c>
      <c r="H737" s="27">
        <v>29.2</v>
      </c>
      <c r="I737" s="26" t="s">
        <v>22</v>
      </c>
    </row>
    <row r="738" spans="1:9" ht="14.4" x14ac:dyDescent="0.25">
      <c r="A738" s="24">
        <v>10174</v>
      </c>
      <c r="B738" s="25">
        <v>43693</v>
      </c>
      <c r="C738" s="64">
        <f t="shared" si="23"/>
        <v>2019</v>
      </c>
      <c r="D738" s="64" t="str">
        <f t="shared" si="24"/>
        <v>2019年3季度</v>
      </c>
      <c r="E738" s="26" t="s">
        <v>29</v>
      </c>
      <c r="F738" s="24">
        <v>26.2</v>
      </c>
      <c r="G738" s="24">
        <v>15</v>
      </c>
      <c r="H738" s="27">
        <v>393</v>
      </c>
      <c r="I738" s="26" t="s">
        <v>22</v>
      </c>
    </row>
    <row r="739" spans="1:9" ht="14.4" x14ac:dyDescent="0.25">
      <c r="A739" s="24">
        <v>10174</v>
      </c>
      <c r="B739" s="25">
        <v>43693</v>
      </c>
      <c r="C739" s="64">
        <f t="shared" si="23"/>
        <v>2019</v>
      </c>
      <c r="D739" s="64" t="str">
        <f t="shared" si="24"/>
        <v>2019年3季度</v>
      </c>
      <c r="E739" s="26" t="s">
        <v>29</v>
      </c>
      <c r="F739" s="24">
        <v>24.9</v>
      </c>
      <c r="G739" s="24">
        <v>30</v>
      </c>
      <c r="H739" s="27">
        <v>747</v>
      </c>
      <c r="I739" s="26" t="s">
        <v>22</v>
      </c>
    </row>
    <row r="740" spans="1:9" ht="14.4" x14ac:dyDescent="0.25">
      <c r="A740" s="24">
        <v>10174</v>
      </c>
      <c r="B740" s="25">
        <v>43693</v>
      </c>
      <c r="C740" s="64">
        <f t="shared" si="23"/>
        <v>2019</v>
      </c>
      <c r="D740" s="64" t="str">
        <f t="shared" si="24"/>
        <v>2019年3季度</v>
      </c>
      <c r="E740" s="26" t="s">
        <v>29</v>
      </c>
      <c r="F740" s="24">
        <v>10.4</v>
      </c>
      <c r="G740" s="24">
        <v>10</v>
      </c>
      <c r="H740" s="27">
        <v>104</v>
      </c>
      <c r="I740" s="26" t="s">
        <v>22</v>
      </c>
    </row>
    <row r="741" spans="1:9" ht="14.4" x14ac:dyDescent="0.25">
      <c r="A741" s="24">
        <v>10175</v>
      </c>
      <c r="B741" s="25">
        <v>43695</v>
      </c>
      <c r="C741" s="64">
        <f t="shared" si="23"/>
        <v>2019</v>
      </c>
      <c r="D741" s="64" t="str">
        <f t="shared" si="24"/>
        <v>2019年3季度</v>
      </c>
      <c r="E741" s="26" t="s">
        <v>29</v>
      </c>
      <c r="F741" s="24">
        <v>24.9</v>
      </c>
      <c r="G741" s="24">
        <v>2</v>
      </c>
      <c r="H741" s="27">
        <v>49.8</v>
      </c>
      <c r="I741" s="26" t="s">
        <v>22</v>
      </c>
    </row>
    <row r="742" spans="1:9" ht="14.4" x14ac:dyDescent="0.25">
      <c r="A742" s="24">
        <v>10176</v>
      </c>
      <c r="B742" s="25">
        <v>43697</v>
      </c>
      <c r="C742" s="64">
        <f t="shared" si="23"/>
        <v>2019</v>
      </c>
      <c r="D742" s="64" t="str">
        <f t="shared" si="24"/>
        <v>2019年3季度</v>
      </c>
      <c r="E742" s="26" t="s">
        <v>29</v>
      </c>
      <c r="F742" s="24">
        <v>10</v>
      </c>
      <c r="G742" s="24">
        <v>14</v>
      </c>
      <c r="H742" s="27">
        <v>140</v>
      </c>
      <c r="I742" s="26" t="s">
        <v>26</v>
      </c>
    </row>
    <row r="743" spans="1:9" ht="14.4" x14ac:dyDescent="0.25">
      <c r="A743" s="24">
        <v>10179</v>
      </c>
      <c r="B743" s="25">
        <v>43705</v>
      </c>
      <c r="C743" s="64">
        <f t="shared" si="23"/>
        <v>2019</v>
      </c>
      <c r="D743" s="64" t="str">
        <f t="shared" si="24"/>
        <v>2019年3季度</v>
      </c>
      <c r="E743" s="26" t="s">
        <v>29</v>
      </c>
      <c r="F743" s="24">
        <v>26.6</v>
      </c>
      <c r="G743" s="24">
        <v>7</v>
      </c>
      <c r="H743" s="27">
        <v>186.2</v>
      </c>
      <c r="I743" s="26" t="s">
        <v>25</v>
      </c>
    </row>
    <row r="744" spans="1:9" ht="14.4" x14ac:dyDescent="0.25">
      <c r="A744" s="24">
        <v>10180</v>
      </c>
      <c r="B744" s="25">
        <v>43705</v>
      </c>
      <c r="C744" s="64">
        <f t="shared" si="23"/>
        <v>2019</v>
      </c>
      <c r="D744" s="64" t="str">
        <f t="shared" si="24"/>
        <v>2019年3季度</v>
      </c>
      <c r="E744" s="26" t="s">
        <v>29</v>
      </c>
      <c r="F744" s="24">
        <v>18.600000000000001</v>
      </c>
      <c r="G744" s="24">
        <v>35</v>
      </c>
      <c r="H744" s="27">
        <v>651</v>
      </c>
      <c r="I744" s="26" t="s">
        <v>22</v>
      </c>
    </row>
    <row r="745" spans="1:9" ht="14.4" x14ac:dyDescent="0.25">
      <c r="A745" s="24">
        <v>10181</v>
      </c>
      <c r="B745" s="25">
        <v>43707</v>
      </c>
      <c r="C745" s="64">
        <f t="shared" si="23"/>
        <v>2019</v>
      </c>
      <c r="D745" s="64" t="str">
        <f t="shared" si="24"/>
        <v>2019年3季度</v>
      </c>
      <c r="E745" s="26" t="s">
        <v>29</v>
      </c>
      <c r="F745" s="24">
        <v>9.6</v>
      </c>
      <c r="G745" s="24">
        <v>20</v>
      </c>
      <c r="H745" s="27">
        <v>192</v>
      </c>
      <c r="I745" s="26" t="s">
        <v>26</v>
      </c>
    </row>
    <row r="746" spans="1:9" ht="14.4" x14ac:dyDescent="0.25">
      <c r="A746" s="24">
        <v>10182</v>
      </c>
      <c r="B746" s="25">
        <v>43709</v>
      </c>
      <c r="C746" s="64">
        <f t="shared" si="23"/>
        <v>2019</v>
      </c>
      <c r="D746" s="64" t="str">
        <f t="shared" si="24"/>
        <v>2019年3季度</v>
      </c>
      <c r="E746" s="26" t="s">
        <v>29</v>
      </c>
      <c r="F746" s="24">
        <v>35.1</v>
      </c>
      <c r="G746" s="24">
        <v>35</v>
      </c>
      <c r="H746" s="27">
        <v>1228.5</v>
      </c>
      <c r="I746" s="26" t="s">
        <v>26</v>
      </c>
    </row>
    <row r="747" spans="1:9" ht="14.4" x14ac:dyDescent="0.25">
      <c r="A747" s="24">
        <v>10182</v>
      </c>
      <c r="B747" s="25">
        <v>43709</v>
      </c>
      <c r="C747" s="64">
        <f t="shared" si="23"/>
        <v>2019</v>
      </c>
      <c r="D747" s="64" t="str">
        <f t="shared" si="24"/>
        <v>2019年3季度</v>
      </c>
      <c r="E747" s="26" t="s">
        <v>29</v>
      </c>
      <c r="F747" s="24">
        <v>13</v>
      </c>
      <c r="G747" s="24">
        <v>40</v>
      </c>
      <c r="H747" s="27">
        <v>520</v>
      </c>
      <c r="I747" s="26" t="s">
        <v>26</v>
      </c>
    </row>
    <row r="748" spans="1:9" ht="14.4" x14ac:dyDescent="0.25">
      <c r="A748" s="24">
        <v>10183</v>
      </c>
      <c r="B748" s="25">
        <v>43711</v>
      </c>
      <c r="C748" s="64">
        <f t="shared" si="23"/>
        <v>2019</v>
      </c>
      <c r="D748" s="64" t="str">
        <f t="shared" si="24"/>
        <v>2019年3季度</v>
      </c>
      <c r="E748" s="26" t="s">
        <v>29</v>
      </c>
      <c r="F748" s="24">
        <v>44</v>
      </c>
      <c r="G748" s="24">
        <v>70</v>
      </c>
      <c r="H748" s="27">
        <v>3080</v>
      </c>
      <c r="I748" s="26" t="s">
        <v>27</v>
      </c>
    </row>
    <row r="749" spans="1:9" ht="14.4" x14ac:dyDescent="0.25">
      <c r="A749" s="24">
        <v>10183</v>
      </c>
      <c r="B749" s="25">
        <v>43711</v>
      </c>
      <c r="C749" s="64">
        <f t="shared" si="23"/>
        <v>2019</v>
      </c>
      <c r="D749" s="64" t="str">
        <f t="shared" si="24"/>
        <v>2019年3季度</v>
      </c>
      <c r="E749" s="26" t="s">
        <v>29</v>
      </c>
      <c r="F749" s="24">
        <v>30.4</v>
      </c>
      <c r="G749" s="24">
        <v>30</v>
      </c>
      <c r="H749" s="27">
        <v>912</v>
      </c>
      <c r="I749" s="26" t="s">
        <v>27</v>
      </c>
    </row>
    <row r="750" spans="1:9" ht="14.4" x14ac:dyDescent="0.25">
      <c r="A750" s="24">
        <v>10183</v>
      </c>
      <c r="B750" s="25">
        <v>43711</v>
      </c>
      <c r="C750" s="64">
        <f t="shared" si="23"/>
        <v>2019</v>
      </c>
      <c r="D750" s="64" t="str">
        <f t="shared" si="24"/>
        <v>2019年3季度</v>
      </c>
      <c r="E750" s="26" t="s">
        <v>29</v>
      </c>
      <c r="F750" s="24">
        <v>8</v>
      </c>
      <c r="G750" s="24">
        <v>50</v>
      </c>
      <c r="H750" s="27">
        <v>400</v>
      </c>
      <c r="I750" s="26" t="s">
        <v>27</v>
      </c>
    </row>
    <row r="751" spans="1:9" ht="14.4" x14ac:dyDescent="0.25">
      <c r="A751" s="24">
        <v>10184</v>
      </c>
      <c r="B751" s="25">
        <v>43711</v>
      </c>
      <c r="C751" s="64">
        <f t="shared" si="23"/>
        <v>2019</v>
      </c>
      <c r="D751" s="64" t="str">
        <f t="shared" si="24"/>
        <v>2019年3季度</v>
      </c>
      <c r="E751" s="26" t="s">
        <v>29</v>
      </c>
      <c r="F751" s="24">
        <v>14.7</v>
      </c>
      <c r="G751" s="24">
        <v>50</v>
      </c>
      <c r="H751" s="27">
        <v>735</v>
      </c>
      <c r="I751" s="26" t="s">
        <v>26</v>
      </c>
    </row>
    <row r="752" spans="1:9" ht="14.4" x14ac:dyDescent="0.25">
      <c r="A752" s="24">
        <v>10184</v>
      </c>
      <c r="B752" s="25">
        <v>43711</v>
      </c>
      <c r="C752" s="64">
        <f t="shared" si="23"/>
        <v>2019</v>
      </c>
      <c r="D752" s="64" t="str">
        <f t="shared" si="24"/>
        <v>2019年3季度</v>
      </c>
      <c r="E752" s="26" t="s">
        <v>29</v>
      </c>
      <c r="F752" s="24">
        <v>7.6</v>
      </c>
      <c r="G752" s="24">
        <v>30</v>
      </c>
      <c r="H752" s="27">
        <v>228</v>
      </c>
      <c r="I752" s="26" t="s">
        <v>26</v>
      </c>
    </row>
    <row r="753" spans="1:9" ht="14.4" x14ac:dyDescent="0.25">
      <c r="A753" s="24">
        <v>10185</v>
      </c>
      <c r="B753" s="25">
        <v>43713</v>
      </c>
      <c r="C753" s="64">
        <f t="shared" si="23"/>
        <v>2019</v>
      </c>
      <c r="D753" s="64" t="str">
        <f t="shared" si="24"/>
        <v>2019年3季度</v>
      </c>
      <c r="E753" s="26" t="s">
        <v>29</v>
      </c>
      <c r="F753" s="24">
        <v>5.9</v>
      </c>
      <c r="G753" s="24">
        <v>40</v>
      </c>
      <c r="H753" s="27">
        <v>236</v>
      </c>
      <c r="I753" s="26" t="s">
        <v>23</v>
      </c>
    </row>
    <row r="754" spans="1:9" ht="14.4" x14ac:dyDescent="0.25">
      <c r="A754" s="24">
        <v>10185</v>
      </c>
      <c r="B754" s="25">
        <v>43713</v>
      </c>
      <c r="C754" s="64">
        <f t="shared" si="23"/>
        <v>2019</v>
      </c>
      <c r="D754" s="64" t="str">
        <f t="shared" si="24"/>
        <v>2019年3季度</v>
      </c>
      <c r="E754" s="26" t="s">
        <v>29</v>
      </c>
      <c r="F754" s="24">
        <v>24.9</v>
      </c>
      <c r="G754" s="24">
        <v>10</v>
      </c>
      <c r="H754" s="27">
        <v>249</v>
      </c>
      <c r="I754" s="26" t="s">
        <v>23</v>
      </c>
    </row>
    <row r="755" spans="1:9" ht="14.4" x14ac:dyDescent="0.25">
      <c r="A755" s="24">
        <v>10186</v>
      </c>
      <c r="B755" s="25">
        <v>43719</v>
      </c>
      <c r="C755" s="64">
        <f t="shared" si="23"/>
        <v>2019</v>
      </c>
      <c r="D755" s="64" t="str">
        <f t="shared" si="24"/>
        <v>2019年3季度</v>
      </c>
      <c r="E755" s="26" t="s">
        <v>29</v>
      </c>
      <c r="F755" s="24">
        <v>30.4</v>
      </c>
      <c r="G755" s="24">
        <v>28</v>
      </c>
      <c r="H755" s="27">
        <v>851.2</v>
      </c>
      <c r="I755" s="26" t="s">
        <v>23</v>
      </c>
    </row>
    <row r="756" spans="1:9" ht="14.4" x14ac:dyDescent="0.25">
      <c r="A756" s="24">
        <v>10187</v>
      </c>
      <c r="B756" s="25">
        <v>43719</v>
      </c>
      <c r="C756" s="64">
        <f t="shared" si="23"/>
        <v>2019</v>
      </c>
      <c r="D756" s="64" t="str">
        <f t="shared" si="24"/>
        <v>2019年3季度</v>
      </c>
      <c r="E756" s="26" t="s">
        <v>29</v>
      </c>
      <c r="F756" s="24">
        <v>14.4</v>
      </c>
      <c r="G756" s="24">
        <v>18</v>
      </c>
      <c r="H756" s="27">
        <v>259.2</v>
      </c>
      <c r="I756" s="26" t="s">
        <v>23</v>
      </c>
    </row>
    <row r="757" spans="1:9" ht="14.4" x14ac:dyDescent="0.25">
      <c r="A757" s="24">
        <v>10187</v>
      </c>
      <c r="B757" s="25">
        <v>43719</v>
      </c>
      <c r="C757" s="64">
        <f t="shared" si="23"/>
        <v>2019</v>
      </c>
      <c r="D757" s="64" t="str">
        <f t="shared" si="24"/>
        <v>2019年3季度</v>
      </c>
      <c r="E757" s="26" t="s">
        <v>29</v>
      </c>
      <c r="F757" s="24">
        <v>16.8</v>
      </c>
      <c r="G757" s="24">
        <v>6</v>
      </c>
      <c r="H757" s="27">
        <v>100.8</v>
      </c>
      <c r="I757" s="26" t="s">
        <v>23</v>
      </c>
    </row>
    <row r="758" spans="1:9" ht="14.4" x14ac:dyDescent="0.25">
      <c r="A758" s="24">
        <v>10188</v>
      </c>
      <c r="B758" s="25">
        <v>43721</v>
      </c>
      <c r="C758" s="64">
        <f t="shared" si="23"/>
        <v>2019</v>
      </c>
      <c r="D758" s="64" t="str">
        <f t="shared" si="24"/>
        <v>2019年3季度</v>
      </c>
      <c r="E758" s="26" t="s">
        <v>29</v>
      </c>
      <c r="F758" s="24">
        <v>27.8</v>
      </c>
      <c r="G758" s="24">
        <v>10</v>
      </c>
      <c r="H758" s="27">
        <v>278</v>
      </c>
      <c r="I758" s="26" t="s">
        <v>23</v>
      </c>
    </row>
    <row r="759" spans="1:9" ht="14.4" x14ac:dyDescent="0.25">
      <c r="A759" s="24">
        <v>10188</v>
      </c>
      <c r="B759" s="25">
        <v>43721</v>
      </c>
      <c r="C759" s="64">
        <f t="shared" si="23"/>
        <v>2019</v>
      </c>
      <c r="D759" s="64" t="str">
        <f t="shared" si="24"/>
        <v>2019年3季度</v>
      </c>
      <c r="E759" s="26" t="s">
        <v>29</v>
      </c>
      <c r="F759" s="24">
        <v>16.8</v>
      </c>
      <c r="G759" s="24">
        <v>12</v>
      </c>
      <c r="H759" s="27">
        <v>201.6</v>
      </c>
      <c r="I759" s="26" t="s">
        <v>23</v>
      </c>
    </row>
    <row r="760" spans="1:9" ht="14.4" x14ac:dyDescent="0.25">
      <c r="A760" s="24">
        <v>10188</v>
      </c>
      <c r="B760" s="25">
        <v>43721</v>
      </c>
      <c r="C760" s="64">
        <f t="shared" si="23"/>
        <v>2019</v>
      </c>
      <c r="D760" s="64" t="str">
        <f t="shared" si="24"/>
        <v>2019年3季度</v>
      </c>
      <c r="E760" s="26" t="s">
        <v>29</v>
      </c>
      <c r="F760" s="24">
        <v>15.2</v>
      </c>
      <c r="G760" s="24">
        <v>10</v>
      </c>
      <c r="H760" s="27">
        <v>152</v>
      </c>
      <c r="I760" s="26" t="s">
        <v>23</v>
      </c>
    </row>
    <row r="761" spans="1:9" ht="14.4" x14ac:dyDescent="0.25">
      <c r="A761" s="24">
        <v>10189</v>
      </c>
      <c r="B761" s="25">
        <v>43723</v>
      </c>
      <c r="C761" s="64">
        <f t="shared" si="23"/>
        <v>2019</v>
      </c>
      <c r="D761" s="64" t="str">
        <f t="shared" si="24"/>
        <v>2019年3季度</v>
      </c>
      <c r="E761" s="26" t="s">
        <v>29</v>
      </c>
      <c r="F761" s="24">
        <v>6.2</v>
      </c>
      <c r="G761" s="24">
        <v>24</v>
      </c>
      <c r="H761" s="27">
        <v>148.80000000000001</v>
      </c>
      <c r="I761" s="26" t="s">
        <v>27</v>
      </c>
    </row>
    <row r="762" spans="1:9" ht="14.4" x14ac:dyDescent="0.25">
      <c r="A762" s="24">
        <v>10189</v>
      </c>
      <c r="B762" s="25">
        <v>43723</v>
      </c>
      <c r="C762" s="64">
        <f t="shared" si="23"/>
        <v>2019</v>
      </c>
      <c r="D762" s="64" t="str">
        <f t="shared" si="24"/>
        <v>2019年3季度</v>
      </c>
      <c r="E762" s="26" t="s">
        <v>29</v>
      </c>
      <c r="F762" s="24">
        <v>26.6</v>
      </c>
      <c r="G762" s="24">
        <v>30</v>
      </c>
      <c r="H762" s="27">
        <v>798</v>
      </c>
      <c r="I762" s="26" t="s">
        <v>27</v>
      </c>
    </row>
    <row r="763" spans="1:9" ht="14.4" x14ac:dyDescent="0.25">
      <c r="A763" s="24">
        <v>10189</v>
      </c>
      <c r="B763" s="25">
        <v>43723</v>
      </c>
      <c r="C763" s="64">
        <f t="shared" si="23"/>
        <v>2019</v>
      </c>
      <c r="D763" s="64" t="str">
        <f t="shared" si="24"/>
        <v>2019年3季度</v>
      </c>
      <c r="E763" s="26" t="s">
        <v>29</v>
      </c>
      <c r="F763" s="24">
        <v>30.4</v>
      </c>
      <c r="G763" s="24">
        <v>40</v>
      </c>
      <c r="H763" s="27">
        <v>1216</v>
      </c>
      <c r="I763" s="26" t="s">
        <v>27</v>
      </c>
    </row>
    <row r="764" spans="1:9" ht="14.4" x14ac:dyDescent="0.25">
      <c r="A764" s="24">
        <v>10189</v>
      </c>
      <c r="B764" s="25">
        <v>43723</v>
      </c>
      <c r="C764" s="64">
        <f t="shared" si="23"/>
        <v>2019</v>
      </c>
      <c r="D764" s="64" t="str">
        <f t="shared" si="24"/>
        <v>2019年3季度</v>
      </c>
      <c r="E764" s="26" t="s">
        <v>29</v>
      </c>
      <c r="F764" s="24">
        <v>9.6</v>
      </c>
      <c r="G764" s="24">
        <v>5</v>
      </c>
      <c r="H764" s="27">
        <v>48</v>
      </c>
      <c r="I764" s="26" t="s">
        <v>27</v>
      </c>
    </row>
    <row r="765" spans="1:9" ht="14.4" x14ac:dyDescent="0.25">
      <c r="A765" s="24">
        <v>10190</v>
      </c>
      <c r="B765" s="25">
        <v>43723</v>
      </c>
      <c r="C765" s="64">
        <f t="shared" si="23"/>
        <v>2019</v>
      </c>
      <c r="D765" s="64" t="str">
        <f t="shared" si="24"/>
        <v>2019年3季度</v>
      </c>
      <c r="E765" s="26" t="s">
        <v>29</v>
      </c>
      <c r="F765" s="24">
        <v>26.2</v>
      </c>
      <c r="G765" s="24">
        <v>15</v>
      </c>
      <c r="H765" s="27">
        <v>393</v>
      </c>
      <c r="I765" s="26" t="s">
        <v>27</v>
      </c>
    </row>
    <row r="766" spans="1:9" ht="14.4" x14ac:dyDescent="0.25">
      <c r="A766" s="24">
        <v>10191</v>
      </c>
      <c r="B766" s="25">
        <v>43725</v>
      </c>
      <c r="C766" s="64">
        <f t="shared" si="23"/>
        <v>2019</v>
      </c>
      <c r="D766" s="64" t="str">
        <f t="shared" si="24"/>
        <v>2019年3季度</v>
      </c>
      <c r="E766" s="26" t="s">
        <v>29</v>
      </c>
      <c r="F766" s="24">
        <v>11.2</v>
      </c>
      <c r="G766" s="24">
        <v>20</v>
      </c>
      <c r="H766" s="27">
        <v>224</v>
      </c>
      <c r="I766" s="26" t="s">
        <v>22</v>
      </c>
    </row>
    <row r="767" spans="1:9" ht="14.4" x14ac:dyDescent="0.25">
      <c r="A767" s="24">
        <v>10191</v>
      </c>
      <c r="B767" s="25">
        <v>43725</v>
      </c>
      <c r="C767" s="64">
        <f t="shared" si="23"/>
        <v>2019</v>
      </c>
      <c r="D767" s="64" t="str">
        <f t="shared" si="24"/>
        <v>2019年3季度</v>
      </c>
      <c r="E767" s="26" t="s">
        <v>29</v>
      </c>
      <c r="F767" s="24">
        <v>15.6</v>
      </c>
      <c r="G767" s="24">
        <v>15</v>
      </c>
      <c r="H767" s="27">
        <v>234</v>
      </c>
      <c r="I767" s="26" t="s">
        <v>22</v>
      </c>
    </row>
    <row r="768" spans="1:9" ht="14.4" x14ac:dyDescent="0.25">
      <c r="A768" s="24">
        <v>10191</v>
      </c>
      <c r="B768" s="25">
        <v>43725</v>
      </c>
      <c r="C768" s="64">
        <f t="shared" si="23"/>
        <v>2019</v>
      </c>
      <c r="D768" s="64" t="str">
        <f t="shared" si="24"/>
        <v>2019年3季度</v>
      </c>
      <c r="E768" s="26" t="s">
        <v>29</v>
      </c>
      <c r="F768" s="24">
        <v>7.3</v>
      </c>
      <c r="G768" s="24">
        <v>15</v>
      </c>
      <c r="H768" s="27">
        <v>109.5</v>
      </c>
      <c r="I768" s="26" t="s">
        <v>22</v>
      </c>
    </row>
    <row r="769" spans="1:9" ht="14.4" x14ac:dyDescent="0.25">
      <c r="A769" s="24">
        <v>10192</v>
      </c>
      <c r="B769" s="25">
        <v>43727</v>
      </c>
      <c r="C769" s="64">
        <f t="shared" si="23"/>
        <v>2019</v>
      </c>
      <c r="D769" s="64" t="str">
        <f t="shared" si="24"/>
        <v>2019年3季度</v>
      </c>
      <c r="E769" s="26" t="s">
        <v>29</v>
      </c>
      <c r="F769" s="24">
        <v>8</v>
      </c>
      <c r="G769" s="24">
        <v>30</v>
      </c>
      <c r="H769" s="27">
        <v>240</v>
      </c>
      <c r="I769" s="26" t="s">
        <v>23</v>
      </c>
    </row>
    <row r="770" spans="1:9" ht="14.4" x14ac:dyDescent="0.25">
      <c r="A770" s="24">
        <v>10192</v>
      </c>
      <c r="B770" s="25">
        <v>43727</v>
      </c>
      <c r="C770" s="64">
        <f t="shared" si="23"/>
        <v>2019</v>
      </c>
      <c r="D770" s="64" t="str">
        <f t="shared" si="24"/>
        <v>2019年3季度</v>
      </c>
      <c r="E770" s="26" t="s">
        <v>29</v>
      </c>
      <c r="F770" s="24">
        <v>13.9</v>
      </c>
      <c r="G770" s="24">
        <v>16</v>
      </c>
      <c r="H770" s="27">
        <v>222.4</v>
      </c>
      <c r="I770" s="26" t="s">
        <v>23</v>
      </c>
    </row>
    <row r="771" spans="1:9" ht="14.4" x14ac:dyDescent="0.25">
      <c r="A771" s="24">
        <v>10192</v>
      </c>
      <c r="B771" s="25">
        <v>43727</v>
      </c>
      <c r="C771" s="64">
        <f t="shared" ref="C771:C834" si="25">YEAR(B771)</f>
        <v>2019</v>
      </c>
      <c r="D771" s="64" t="str">
        <f t="shared" ref="D771:D834" si="26">YEAR(B771)&amp;"年"&amp;ROUNDUP(MONTH(B771)/3,0)&amp;"季度"</f>
        <v>2019年3季度</v>
      </c>
      <c r="E771" s="26" t="s">
        <v>29</v>
      </c>
      <c r="F771" s="24">
        <v>30.4</v>
      </c>
      <c r="G771" s="24">
        <v>15</v>
      </c>
      <c r="H771" s="27">
        <v>456</v>
      </c>
      <c r="I771" s="26" t="s">
        <v>23</v>
      </c>
    </row>
    <row r="772" spans="1:9" ht="14.4" x14ac:dyDescent="0.25">
      <c r="A772" s="24">
        <v>10192</v>
      </c>
      <c r="B772" s="25">
        <v>43727</v>
      </c>
      <c r="C772" s="64">
        <f t="shared" si="25"/>
        <v>2019</v>
      </c>
      <c r="D772" s="64" t="str">
        <f t="shared" si="26"/>
        <v>2019年3季度</v>
      </c>
      <c r="E772" s="26" t="s">
        <v>29</v>
      </c>
      <c r="F772" s="24">
        <v>26.6</v>
      </c>
      <c r="G772" s="24">
        <v>6</v>
      </c>
      <c r="H772" s="27">
        <v>159.6</v>
      </c>
      <c r="I772" s="26" t="s">
        <v>23</v>
      </c>
    </row>
    <row r="773" spans="1:9" ht="14.4" x14ac:dyDescent="0.25">
      <c r="A773" s="24">
        <v>10193</v>
      </c>
      <c r="B773" s="25">
        <v>43733</v>
      </c>
      <c r="C773" s="64">
        <f t="shared" si="25"/>
        <v>2019</v>
      </c>
      <c r="D773" s="64" t="str">
        <f t="shared" si="26"/>
        <v>2019年3季度</v>
      </c>
      <c r="E773" s="26" t="s">
        <v>29</v>
      </c>
      <c r="F773" s="24">
        <v>99</v>
      </c>
      <c r="G773" s="24">
        <v>24</v>
      </c>
      <c r="H773" s="27">
        <v>2376</v>
      </c>
      <c r="I773" s="26" t="s">
        <v>22</v>
      </c>
    </row>
    <row r="774" spans="1:9" ht="14.4" x14ac:dyDescent="0.25">
      <c r="A774" s="24">
        <v>10193</v>
      </c>
      <c r="B774" s="25">
        <v>43733</v>
      </c>
      <c r="C774" s="64">
        <f t="shared" si="25"/>
        <v>2019</v>
      </c>
      <c r="D774" s="64" t="str">
        <f t="shared" si="26"/>
        <v>2019年3季度</v>
      </c>
      <c r="E774" s="26" t="s">
        <v>29</v>
      </c>
      <c r="F774" s="24">
        <v>22.8</v>
      </c>
      <c r="G774" s="24">
        <v>90</v>
      </c>
      <c r="H774" s="27">
        <v>2052</v>
      </c>
      <c r="I774" s="26" t="s">
        <v>22</v>
      </c>
    </row>
    <row r="775" spans="1:9" ht="14.4" x14ac:dyDescent="0.25">
      <c r="A775" s="24">
        <v>10193</v>
      </c>
      <c r="B775" s="25">
        <v>43733</v>
      </c>
      <c r="C775" s="64">
        <f t="shared" si="25"/>
        <v>2019</v>
      </c>
      <c r="D775" s="64" t="str">
        <f t="shared" si="26"/>
        <v>2019年3季度</v>
      </c>
      <c r="E775" s="26" t="s">
        <v>29</v>
      </c>
      <c r="F775" s="24">
        <v>13.9</v>
      </c>
      <c r="G775" s="24">
        <v>49</v>
      </c>
      <c r="H775" s="27">
        <v>681.1</v>
      </c>
      <c r="I775" s="26" t="s">
        <v>22</v>
      </c>
    </row>
    <row r="776" spans="1:9" ht="14.4" x14ac:dyDescent="0.25">
      <c r="A776" s="24">
        <v>10193</v>
      </c>
      <c r="B776" s="25">
        <v>43733</v>
      </c>
      <c r="C776" s="64">
        <f t="shared" si="25"/>
        <v>2019</v>
      </c>
      <c r="D776" s="64" t="str">
        <f t="shared" si="26"/>
        <v>2019年3季度</v>
      </c>
      <c r="E776" s="26" t="s">
        <v>29</v>
      </c>
      <c r="F776" s="24">
        <v>15.2</v>
      </c>
      <c r="G776" s="24">
        <v>45</v>
      </c>
      <c r="H776" s="27">
        <v>684</v>
      </c>
      <c r="I776" s="26" t="s">
        <v>22</v>
      </c>
    </row>
    <row r="777" spans="1:9" ht="14.4" x14ac:dyDescent="0.25">
      <c r="A777" s="24">
        <v>10194</v>
      </c>
      <c r="B777" s="25">
        <v>43733</v>
      </c>
      <c r="C777" s="64">
        <f t="shared" si="25"/>
        <v>2019</v>
      </c>
      <c r="D777" s="64" t="str">
        <f t="shared" si="26"/>
        <v>2019年3季度</v>
      </c>
      <c r="E777" s="26" t="s">
        <v>29</v>
      </c>
      <c r="F777" s="24">
        <v>35.1</v>
      </c>
      <c r="G777" s="24">
        <v>50</v>
      </c>
      <c r="H777" s="27">
        <v>1755</v>
      </c>
      <c r="I777" s="26" t="s">
        <v>23</v>
      </c>
    </row>
    <row r="778" spans="1:9" ht="14.4" x14ac:dyDescent="0.25">
      <c r="A778" s="24">
        <v>10195</v>
      </c>
      <c r="B778" s="25">
        <v>43735</v>
      </c>
      <c r="C778" s="64">
        <f t="shared" si="25"/>
        <v>2019</v>
      </c>
      <c r="D778" s="64" t="str">
        <f t="shared" si="26"/>
        <v>2019年3季度</v>
      </c>
      <c r="E778" s="26" t="s">
        <v>29</v>
      </c>
      <c r="F778" s="24">
        <v>16.8</v>
      </c>
      <c r="G778" s="24">
        <v>30</v>
      </c>
      <c r="H778" s="27">
        <v>504</v>
      </c>
      <c r="I778" s="26" t="s">
        <v>25</v>
      </c>
    </row>
    <row r="779" spans="1:9" ht="14.4" x14ac:dyDescent="0.25">
      <c r="A779" s="24">
        <v>10197</v>
      </c>
      <c r="B779" s="25">
        <v>43737</v>
      </c>
      <c r="C779" s="64">
        <f t="shared" si="25"/>
        <v>2019</v>
      </c>
      <c r="D779" s="64" t="str">
        <f t="shared" si="26"/>
        <v>2019年3季度</v>
      </c>
      <c r="E779" s="26" t="s">
        <v>29</v>
      </c>
      <c r="F779" s="24">
        <v>14.4</v>
      </c>
      <c r="G779" s="24">
        <v>8</v>
      </c>
      <c r="H779" s="27">
        <v>115.2</v>
      </c>
      <c r="I779" s="26" t="s">
        <v>23</v>
      </c>
    </row>
    <row r="780" spans="1:9" ht="14.4" x14ac:dyDescent="0.25">
      <c r="A780" s="24">
        <v>10198</v>
      </c>
      <c r="B780" s="25">
        <v>43739</v>
      </c>
      <c r="C780" s="64">
        <f t="shared" si="25"/>
        <v>2019</v>
      </c>
      <c r="D780" s="64" t="str">
        <f t="shared" si="26"/>
        <v>2019年4季度</v>
      </c>
      <c r="E780" s="26" t="s">
        <v>29</v>
      </c>
      <c r="F780" s="24">
        <v>5.9</v>
      </c>
      <c r="G780" s="24">
        <v>15</v>
      </c>
      <c r="H780" s="27">
        <v>88.5</v>
      </c>
      <c r="I780" s="26" t="s">
        <v>23</v>
      </c>
    </row>
    <row r="781" spans="1:9" ht="14.4" x14ac:dyDescent="0.25">
      <c r="A781" s="24">
        <v>10198</v>
      </c>
      <c r="B781" s="25">
        <v>43739</v>
      </c>
      <c r="C781" s="64">
        <f t="shared" si="25"/>
        <v>2019</v>
      </c>
      <c r="D781" s="64" t="str">
        <f t="shared" si="26"/>
        <v>2019年4季度</v>
      </c>
      <c r="E781" s="26" t="s">
        <v>29</v>
      </c>
      <c r="F781" s="24">
        <v>14.4</v>
      </c>
      <c r="G781" s="24">
        <v>6</v>
      </c>
      <c r="H781" s="27">
        <v>86.4</v>
      </c>
      <c r="I781" s="26" t="s">
        <v>23</v>
      </c>
    </row>
    <row r="782" spans="1:9" ht="14.4" x14ac:dyDescent="0.25">
      <c r="A782" s="24">
        <v>10199</v>
      </c>
      <c r="B782" s="25">
        <v>43741</v>
      </c>
      <c r="C782" s="64">
        <f t="shared" si="25"/>
        <v>2019</v>
      </c>
      <c r="D782" s="64" t="str">
        <f t="shared" si="26"/>
        <v>2019年4季度</v>
      </c>
      <c r="E782" s="26" t="s">
        <v>29</v>
      </c>
      <c r="F782" s="24">
        <v>5.6</v>
      </c>
      <c r="G782" s="24">
        <v>15</v>
      </c>
      <c r="H782" s="27">
        <v>84</v>
      </c>
      <c r="I782" s="26" t="s">
        <v>27</v>
      </c>
    </row>
    <row r="783" spans="1:9" ht="14.4" x14ac:dyDescent="0.25">
      <c r="A783" s="24">
        <v>10199</v>
      </c>
      <c r="B783" s="25">
        <v>43741</v>
      </c>
      <c r="C783" s="64">
        <f t="shared" si="25"/>
        <v>2019</v>
      </c>
      <c r="D783" s="64" t="str">
        <f t="shared" si="26"/>
        <v>2019年4季度</v>
      </c>
      <c r="E783" s="26" t="s">
        <v>29</v>
      </c>
      <c r="F783" s="24">
        <v>7.3</v>
      </c>
      <c r="G783" s="24">
        <v>12</v>
      </c>
      <c r="H783" s="27">
        <v>87.6</v>
      </c>
      <c r="I783" s="26" t="s">
        <v>27</v>
      </c>
    </row>
    <row r="784" spans="1:9" ht="14.4" x14ac:dyDescent="0.25">
      <c r="A784" s="24">
        <v>10199</v>
      </c>
      <c r="B784" s="25">
        <v>43741</v>
      </c>
      <c r="C784" s="64">
        <f t="shared" si="25"/>
        <v>2019</v>
      </c>
      <c r="D784" s="64" t="str">
        <f t="shared" si="26"/>
        <v>2019年4季度</v>
      </c>
      <c r="E784" s="26" t="s">
        <v>29</v>
      </c>
      <c r="F784" s="24">
        <v>10</v>
      </c>
      <c r="G784" s="24">
        <v>3</v>
      </c>
      <c r="H784" s="27">
        <v>30</v>
      </c>
      <c r="I784" s="26" t="s">
        <v>27</v>
      </c>
    </row>
    <row r="785" spans="1:9" ht="14.4" x14ac:dyDescent="0.25">
      <c r="A785" s="24">
        <v>10199</v>
      </c>
      <c r="B785" s="25">
        <v>43741</v>
      </c>
      <c r="C785" s="64">
        <f t="shared" si="25"/>
        <v>2019</v>
      </c>
      <c r="D785" s="64" t="str">
        <f t="shared" si="26"/>
        <v>2019年4季度</v>
      </c>
      <c r="E785" s="26" t="s">
        <v>29</v>
      </c>
      <c r="F785" s="24">
        <v>3.6</v>
      </c>
      <c r="G785" s="24">
        <v>20</v>
      </c>
      <c r="H785" s="27">
        <v>72</v>
      </c>
      <c r="I785" s="26" t="s">
        <v>27</v>
      </c>
    </row>
    <row r="786" spans="1:9" ht="14.4" x14ac:dyDescent="0.25">
      <c r="A786" s="24">
        <v>10200</v>
      </c>
      <c r="B786" s="25">
        <v>43741</v>
      </c>
      <c r="C786" s="64">
        <f t="shared" si="25"/>
        <v>2019</v>
      </c>
      <c r="D786" s="64" t="str">
        <f t="shared" si="26"/>
        <v>2019年4季度</v>
      </c>
      <c r="E786" s="26" t="s">
        <v>29</v>
      </c>
      <c r="F786" s="24">
        <v>17.2</v>
      </c>
      <c r="G786" s="24">
        <v>2</v>
      </c>
      <c r="H786" s="27">
        <v>34.4</v>
      </c>
      <c r="I786" s="26" t="s">
        <v>23</v>
      </c>
    </row>
    <row r="787" spans="1:9" ht="14.4" x14ac:dyDescent="0.25">
      <c r="A787" s="24">
        <v>10200</v>
      </c>
      <c r="B787" s="25">
        <v>43741</v>
      </c>
      <c r="C787" s="64">
        <f t="shared" si="25"/>
        <v>2019</v>
      </c>
      <c r="D787" s="64" t="str">
        <f t="shared" si="26"/>
        <v>2019年4季度</v>
      </c>
      <c r="E787" s="26" t="s">
        <v>29</v>
      </c>
      <c r="F787" s="24">
        <v>7.3</v>
      </c>
      <c r="G787" s="24">
        <v>40</v>
      </c>
      <c r="H787" s="27">
        <v>292</v>
      </c>
      <c r="I787" s="26" t="s">
        <v>23</v>
      </c>
    </row>
    <row r="788" spans="1:9" ht="14.4" x14ac:dyDescent="0.25">
      <c r="A788" s="24">
        <v>10200</v>
      </c>
      <c r="B788" s="25">
        <v>43741</v>
      </c>
      <c r="C788" s="64">
        <f t="shared" si="25"/>
        <v>2019</v>
      </c>
      <c r="D788" s="64" t="str">
        <f t="shared" si="26"/>
        <v>2019年4季度</v>
      </c>
      <c r="E788" s="26" t="s">
        <v>29</v>
      </c>
      <c r="F788" s="24">
        <v>16.8</v>
      </c>
      <c r="G788" s="24">
        <v>35</v>
      </c>
      <c r="H788" s="27">
        <v>588</v>
      </c>
      <c r="I788" s="26" t="s">
        <v>23</v>
      </c>
    </row>
    <row r="789" spans="1:9" ht="14.4" x14ac:dyDescent="0.25">
      <c r="A789" s="24">
        <v>10201</v>
      </c>
      <c r="B789" s="25">
        <v>43747</v>
      </c>
      <c r="C789" s="64">
        <f t="shared" si="25"/>
        <v>2019</v>
      </c>
      <c r="D789" s="64" t="str">
        <f t="shared" si="26"/>
        <v>2019年4季度</v>
      </c>
      <c r="E789" s="26" t="s">
        <v>29</v>
      </c>
      <c r="F789" s="24">
        <v>14.7</v>
      </c>
      <c r="G789" s="24">
        <v>20</v>
      </c>
      <c r="H789" s="27">
        <v>294</v>
      </c>
      <c r="I789" s="26" t="s">
        <v>22</v>
      </c>
    </row>
    <row r="790" spans="1:9" ht="14.4" x14ac:dyDescent="0.25">
      <c r="A790" s="24">
        <v>10201</v>
      </c>
      <c r="B790" s="25">
        <v>43747</v>
      </c>
      <c r="C790" s="64">
        <f t="shared" si="25"/>
        <v>2019</v>
      </c>
      <c r="D790" s="64" t="str">
        <f t="shared" si="26"/>
        <v>2019年4季度</v>
      </c>
      <c r="E790" s="26" t="s">
        <v>29</v>
      </c>
      <c r="F790" s="24">
        <v>24.9</v>
      </c>
      <c r="G790" s="24">
        <v>6</v>
      </c>
      <c r="H790" s="27">
        <v>149.4</v>
      </c>
      <c r="I790" s="26" t="s">
        <v>22</v>
      </c>
    </row>
    <row r="791" spans="1:9" ht="14.4" x14ac:dyDescent="0.25">
      <c r="A791" s="24">
        <v>10202</v>
      </c>
      <c r="B791" s="25">
        <v>43749</v>
      </c>
      <c r="C791" s="64">
        <f t="shared" si="25"/>
        <v>2019</v>
      </c>
      <c r="D791" s="64" t="str">
        <f t="shared" si="26"/>
        <v>2019年4季度</v>
      </c>
      <c r="E791" s="26" t="s">
        <v>29</v>
      </c>
      <c r="F791" s="24">
        <v>39.4</v>
      </c>
      <c r="G791" s="24">
        <v>35</v>
      </c>
      <c r="H791" s="27">
        <v>1379</v>
      </c>
      <c r="I791" s="26" t="s">
        <v>27</v>
      </c>
    </row>
    <row r="792" spans="1:9" ht="14.4" x14ac:dyDescent="0.25">
      <c r="A792" s="24">
        <v>10202</v>
      </c>
      <c r="B792" s="25">
        <v>43749</v>
      </c>
      <c r="C792" s="64">
        <f t="shared" si="25"/>
        <v>2019</v>
      </c>
      <c r="D792" s="64" t="str">
        <f t="shared" si="26"/>
        <v>2019年4季度</v>
      </c>
      <c r="E792" s="26" t="s">
        <v>29</v>
      </c>
      <c r="F792" s="24">
        <v>24.8</v>
      </c>
      <c r="G792" s="24">
        <v>14</v>
      </c>
      <c r="H792" s="27">
        <v>347.2</v>
      </c>
      <c r="I792" s="26" t="s">
        <v>27</v>
      </c>
    </row>
    <row r="793" spans="1:9" ht="14.4" x14ac:dyDescent="0.25">
      <c r="A793" s="24">
        <v>10205</v>
      </c>
      <c r="B793" s="25">
        <v>43753</v>
      </c>
      <c r="C793" s="64">
        <f t="shared" si="25"/>
        <v>2019</v>
      </c>
      <c r="D793" s="64" t="str">
        <f t="shared" si="26"/>
        <v>2019年4季度</v>
      </c>
      <c r="E793" s="26" t="s">
        <v>29</v>
      </c>
      <c r="F793" s="24">
        <v>36.4</v>
      </c>
      <c r="G793" s="24">
        <v>15</v>
      </c>
      <c r="H793" s="27">
        <v>546</v>
      </c>
      <c r="I793" s="26" t="s">
        <v>22</v>
      </c>
    </row>
    <row r="794" spans="1:9" ht="14.4" x14ac:dyDescent="0.25">
      <c r="A794" s="24">
        <v>10205</v>
      </c>
      <c r="B794" s="25">
        <v>43753</v>
      </c>
      <c r="C794" s="64">
        <f t="shared" si="25"/>
        <v>2019</v>
      </c>
      <c r="D794" s="64" t="str">
        <f t="shared" si="26"/>
        <v>2019年4季度</v>
      </c>
      <c r="E794" s="26" t="s">
        <v>29</v>
      </c>
      <c r="F794" s="24">
        <v>15.5</v>
      </c>
      <c r="G794" s="24">
        <v>100</v>
      </c>
      <c r="H794" s="27">
        <v>1550</v>
      </c>
      <c r="I794" s="26" t="s">
        <v>22</v>
      </c>
    </row>
    <row r="795" spans="1:9" ht="14.4" x14ac:dyDescent="0.25">
      <c r="A795" s="24">
        <v>10206</v>
      </c>
      <c r="B795" s="25">
        <v>43755</v>
      </c>
      <c r="C795" s="64">
        <f t="shared" si="25"/>
        <v>2019</v>
      </c>
      <c r="D795" s="64" t="str">
        <f t="shared" si="26"/>
        <v>2019年4季度</v>
      </c>
      <c r="E795" s="26" t="s">
        <v>29</v>
      </c>
      <c r="F795" s="24">
        <v>12</v>
      </c>
      <c r="G795" s="24">
        <v>25</v>
      </c>
      <c r="H795" s="27">
        <v>300</v>
      </c>
      <c r="I795" s="26" t="s">
        <v>22</v>
      </c>
    </row>
    <row r="796" spans="1:9" ht="14.4" x14ac:dyDescent="0.25">
      <c r="A796" s="24">
        <v>10206</v>
      </c>
      <c r="B796" s="25">
        <v>43755</v>
      </c>
      <c r="C796" s="64">
        <f t="shared" si="25"/>
        <v>2019</v>
      </c>
      <c r="D796" s="64" t="str">
        <f t="shared" si="26"/>
        <v>2019年4季度</v>
      </c>
      <c r="E796" s="26" t="s">
        <v>29</v>
      </c>
      <c r="F796" s="24">
        <v>10.199999999999999</v>
      </c>
      <c r="G796" s="24">
        <v>15</v>
      </c>
      <c r="H796" s="27">
        <v>153</v>
      </c>
      <c r="I796" s="26" t="s">
        <v>22</v>
      </c>
    </row>
    <row r="797" spans="1:9" ht="14.4" x14ac:dyDescent="0.25">
      <c r="A797" s="24">
        <v>10207</v>
      </c>
      <c r="B797" s="25">
        <v>43755</v>
      </c>
      <c r="C797" s="64">
        <f t="shared" si="25"/>
        <v>2019</v>
      </c>
      <c r="D797" s="64" t="str">
        <f t="shared" si="26"/>
        <v>2019年4季度</v>
      </c>
      <c r="E797" s="26" t="s">
        <v>29</v>
      </c>
      <c r="F797" s="24">
        <v>13.9</v>
      </c>
      <c r="G797" s="24">
        <v>20</v>
      </c>
      <c r="H797" s="27">
        <v>278</v>
      </c>
      <c r="I797" s="26" t="s">
        <v>22</v>
      </c>
    </row>
    <row r="798" spans="1:9" ht="14.4" x14ac:dyDescent="0.25">
      <c r="A798" s="24">
        <v>10207</v>
      </c>
      <c r="B798" s="25">
        <v>43755</v>
      </c>
      <c r="C798" s="64">
        <f t="shared" si="25"/>
        <v>2019</v>
      </c>
      <c r="D798" s="64" t="str">
        <f t="shared" si="26"/>
        <v>2019年4季度</v>
      </c>
      <c r="E798" s="26" t="s">
        <v>29</v>
      </c>
      <c r="F798" s="24">
        <v>2</v>
      </c>
      <c r="G798" s="24">
        <v>20</v>
      </c>
      <c r="H798" s="27">
        <v>40</v>
      </c>
      <c r="I798" s="26" t="s">
        <v>22</v>
      </c>
    </row>
    <row r="799" spans="1:9" ht="14.4" x14ac:dyDescent="0.25">
      <c r="A799" s="24">
        <v>10207</v>
      </c>
      <c r="B799" s="25">
        <v>43755</v>
      </c>
      <c r="C799" s="64">
        <f t="shared" si="25"/>
        <v>2019</v>
      </c>
      <c r="D799" s="64" t="str">
        <f t="shared" si="26"/>
        <v>2019年4季度</v>
      </c>
      <c r="E799" s="26" t="s">
        <v>29</v>
      </c>
      <c r="F799" s="24">
        <v>9.6</v>
      </c>
      <c r="G799" s="24">
        <v>10</v>
      </c>
      <c r="H799" s="27">
        <v>96</v>
      </c>
      <c r="I799" s="26" t="s">
        <v>22</v>
      </c>
    </row>
    <row r="800" spans="1:9" ht="14.4" x14ac:dyDescent="0.25">
      <c r="A800" s="24">
        <v>10208</v>
      </c>
      <c r="B800" s="25">
        <v>43761</v>
      </c>
      <c r="C800" s="64">
        <f t="shared" si="25"/>
        <v>2019</v>
      </c>
      <c r="D800" s="64" t="str">
        <f t="shared" si="26"/>
        <v>2019年4季度</v>
      </c>
      <c r="E800" s="26" t="s">
        <v>29</v>
      </c>
      <c r="F800" s="24">
        <v>26.2</v>
      </c>
      <c r="G800" s="24">
        <v>50</v>
      </c>
      <c r="H800" s="27">
        <v>1310</v>
      </c>
      <c r="I800" s="26" t="s">
        <v>22</v>
      </c>
    </row>
    <row r="801" spans="1:9" ht="14.4" x14ac:dyDescent="0.25">
      <c r="A801" s="24">
        <v>10208</v>
      </c>
      <c r="B801" s="25">
        <v>43761</v>
      </c>
      <c r="C801" s="64">
        <f t="shared" si="25"/>
        <v>2019</v>
      </c>
      <c r="D801" s="64" t="str">
        <f t="shared" si="26"/>
        <v>2019年4季度</v>
      </c>
      <c r="E801" s="26" t="s">
        <v>29</v>
      </c>
      <c r="F801" s="24">
        <v>17.2</v>
      </c>
      <c r="G801" s="24">
        <v>30</v>
      </c>
      <c r="H801" s="27">
        <v>516</v>
      </c>
      <c r="I801" s="26" t="s">
        <v>22</v>
      </c>
    </row>
    <row r="802" spans="1:9" ht="14.4" x14ac:dyDescent="0.25">
      <c r="A802" s="24">
        <v>10208</v>
      </c>
      <c r="B802" s="25">
        <v>43761</v>
      </c>
      <c r="C802" s="64">
        <f t="shared" si="25"/>
        <v>2019</v>
      </c>
      <c r="D802" s="64" t="str">
        <f t="shared" si="26"/>
        <v>2019年4季度</v>
      </c>
      <c r="E802" s="26" t="s">
        <v>29</v>
      </c>
      <c r="F802" s="24">
        <v>22.8</v>
      </c>
      <c r="G802" s="24">
        <v>25</v>
      </c>
      <c r="H802" s="27">
        <v>570</v>
      </c>
      <c r="I802" s="26" t="s">
        <v>22</v>
      </c>
    </row>
    <row r="803" spans="1:9" ht="14.4" x14ac:dyDescent="0.25">
      <c r="A803" s="24">
        <v>10208</v>
      </c>
      <c r="B803" s="25">
        <v>43761</v>
      </c>
      <c r="C803" s="64">
        <f t="shared" si="25"/>
        <v>2019</v>
      </c>
      <c r="D803" s="64" t="str">
        <f t="shared" si="26"/>
        <v>2019年4季度</v>
      </c>
      <c r="E803" s="26" t="s">
        <v>29</v>
      </c>
      <c r="F803" s="24">
        <v>14.4</v>
      </c>
      <c r="G803" s="24">
        <v>20</v>
      </c>
      <c r="H803" s="27">
        <v>288</v>
      </c>
      <c r="I803" s="26" t="s">
        <v>22</v>
      </c>
    </row>
    <row r="804" spans="1:9" ht="14.4" x14ac:dyDescent="0.25">
      <c r="A804" s="24">
        <v>10209</v>
      </c>
      <c r="B804" s="25">
        <v>43763</v>
      </c>
      <c r="C804" s="64">
        <f t="shared" si="25"/>
        <v>2019</v>
      </c>
      <c r="D804" s="64" t="str">
        <f t="shared" si="26"/>
        <v>2019年4季度</v>
      </c>
      <c r="E804" s="26" t="s">
        <v>29</v>
      </c>
      <c r="F804" s="24">
        <v>8</v>
      </c>
      <c r="G804" s="24">
        <v>40</v>
      </c>
      <c r="H804" s="27">
        <v>320</v>
      </c>
      <c r="I804" s="26" t="s">
        <v>25</v>
      </c>
    </row>
    <row r="805" spans="1:9" ht="14.4" x14ac:dyDescent="0.25">
      <c r="A805" s="24">
        <v>10209</v>
      </c>
      <c r="B805" s="25">
        <v>43763</v>
      </c>
      <c r="C805" s="64">
        <f t="shared" si="25"/>
        <v>2019</v>
      </c>
      <c r="D805" s="64" t="str">
        <f t="shared" si="26"/>
        <v>2019年4季度</v>
      </c>
      <c r="E805" s="26" t="s">
        <v>29</v>
      </c>
      <c r="F805" s="24">
        <v>16</v>
      </c>
      <c r="G805" s="24">
        <v>21</v>
      </c>
      <c r="H805" s="27">
        <v>336</v>
      </c>
      <c r="I805" s="26" t="s">
        <v>25</v>
      </c>
    </row>
    <row r="806" spans="1:9" ht="14.4" x14ac:dyDescent="0.25">
      <c r="A806" s="24">
        <v>10210</v>
      </c>
      <c r="B806" s="25">
        <v>43763</v>
      </c>
      <c r="C806" s="64">
        <f t="shared" si="25"/>
        <v>2019</v>
      </c>
      <c r="D806" s="64" t="str">
        <f t="shared" si="26"/>
        <v>2019年4季度</v>
      </c>
      <c r="E806" s="26" t="s">
        <v>29</v>
      </c>
      <c r="F806" s="24">
        <v>44</v>
      </c>
      <c r="G806" s="24">
        <v>36</v>
      </c>
      <c r="H806" s="27">
        <v>1584</v>
      </c>
      <c r="I806" s="26" t="s">
        <v>26</v>
      </c>
    </row>
    <row r="807" spans="1:9" ht="14.4" x14ac:dyDescent="0.25">
      <c r="A807" s="24">
        <v>10211</v>
      </c>
      <c r="B807" s="25">
        <v>43765</v>
      </c>
      <c r="C807" s="64">
        <f t="shared" si="25"/>
        <v>2019</v>
      </c>
      <c r="D807" s="64" t="str">
        <f t="shared" si="26"/>
        <v>2019年4季度</v>
      </c>
      <c r="E807" s="26" t="s">
        <v>29</v>
      </c>
      <c r="F807" s="24">
        <v>24.9</v>
      </c>
      <c r="G807" s="24">
        <v>30</v>
      </c>
      <c r="H807" s="27">
        <v>747</v>
      </c>
      <c r="I807" s="26" t="s">
        <v>26</v>
      </c>
    </row>
    <row r="808" spans="1:9" ht="14.4" x14ac:dyDescent="0.25">
      <c r="A808" s="24">
        <v>10211</v>
      </c>
      <c r="B808" s="25">
        <v>43765</v>
      </c>
      <c r="C808" s="64">
        <f t="shared" si="25"/>
        <v>2019</v>
      </c>
      <c r="D808" s="64" t="str">
        <f t="shared" si="26"/>
        <v>2019年4季度</v>
      </c>
      <c r="E808" s="26" t="s">
        <v>29</v>
      </c>
      <c r="F808" s="24">
        <v>36.799999999999997</v>
      </c>
      <c r="G808" s="24">
        <v>20</v>
      </c>
      <c r="H808" s="27">
        <v>736</v>
      </c>
      <c r="I808" s="26" t="s">
        <v>26</v>
      </c>
    </row>
    <row r="809" spans="1:9" ht="14.4" x14ac:dyDescent="0.25">
      <c r="A809" s="24">
        <v>10211</v>
      </c>
      <c r="B809" s="25">
        <v>43765</v>
      </c>
      <c r="C809" s="64">
        <f t="shared" si="25"/>
        <v>2019</v>
      </c>
      <c r="D809" s="64" t="str">
        <f t="shared" si="26"/>
        <v>2019年4季度</v>
      </c>
      <c r="E809" s="26" t="s">
        <v>29</v>
      </c>
      <c r="F809" s="24">
        <v>36.4</v>
      </c>
      <c r="G809" s="24">
        <v>30</v>
      </c>
      <c r="H809" s="27">
        <v>1092</v>
      </c>
      <c r="I809" s="26" t="s">
        <v>26</v>
      </c>
    </row>
    <row r="810" spans="1:9" ht="14.4" x14ac:dyDescent="0.25">
      <c r="A810" s="24">
        <v>10211</v>
      </c>
      <c r="B810" s="25">
        <v>43765</v>
      </c>
      <c r="C810" s="64">
        <f t="shared" si="25"/>
        <v>2019</v>
      </c>
      <c r="D810" s="64" t="str">
        <f t="shared" si="26"/>
        <v>2019年4季度</v>
      </c>
      <c r="E810" s="26" t="s">
        <v>29</v>
      </c>
      <c r="F810" s="24">
        <v>30.4</v>
      </c>
      <c r="G810" s="24">
        <v>15</v>
      </c>
      <c r="H810" s="27">
        <v>456</v>
      </c>
      <c r="I810" s="26" t="s">
        <v>26</v>
      </c>
    </row>
    <row r="811" spans="1:9" ht="14.4" x14ac:dyDescent="0.25">
      <c r="A811" s="24">
        <v>10211</v>
      </c>
      <c r="B811" s="25">
        <v>43765</v>
      </c>
      <c r="C811" s="64">
        <f t="shared" si="25"/>
        <v>2019</v>
      </c>
      <c r="D811" s="64" t="str">
        <f t="shared" si="26"/>
        <v>2019年4季度</v>
      </c>
      <c r="E811" s="26" t="s">
        <v>29</v>
      </c>
      <c r="F811" s="24">
        <v>17.2</v>
      </c>
      <c r="G811" s="24">
        <v>50</v>
      </c>
      <c r="H811" s="27">
        <v>860</v>
      </c>
      <c r="I811" s="26" t="s">
        <v>26</v>
      </c>
    </row>
    <row r="812" spans="1:9" ht="14.4" x14ac:dyDescent="0.25">
      <c r="A812" s="24">
        <v>10212</v>
      </c>
      <c r="B812" s="25">
        <v>43767</v>
      </c>
      <c r="C812" s="64">
        <f t="shared" si="25"/>
        <v>2019</v>
      </c>
      <c r="D812" s="64" t="str">
        <f t="shared" si="26"/>
        <v>2019年4季度</v>
      </c>
      <c r="E812" s="26" t="s">
        <v>29</v>
      </c>
      <c r="F812" s="24">
        <v>27.8</v>
      </c>
      <c r="G812" s="24">
        <v>40</v>
      </c>
      <c r="H812" s="27">
        <v>1112</v>
      </c>
      <c r="I812" s="26" t="s">
        <v>23</v>
      </c>
    </row>
    <row r="813" spans="1:9" ht="14.4" x14ac:dyDescent="0.25">
      <c r="A813" s="24">
        <v>10212</v>
      </c>
      <c r="B813" s="25">
        <v>43767</v>
      </c>
      <c r="C813" s="64">
        <f t="shared" si="25"/>
        <v>2019</v>
      </c>
      <c r="D813" s="64" t="str">
        <f t="shared" si="26"/>
        <v>2019年4季度</v>
      </c>
      <c r="E813" s="26" t="s">
        <v>29</v>
      </c>
      <c r="F813" s="24">
        <v>9.6</v>
      </c>
      <c r="G813" s="24">
        <v>20</v>
      </c>
      <c r="H813" s="27">
        <v>192</v>
      </c>
      <c r="I813" s="26" t="s">
        <v>23</v>
      </c>
    </row>
    <row r="814" spans="1:9" ht="14.4" x14ac:dyDescent="0.25">
      <c r="A814" s="24">
        <v>10212</v>
      </c>
      <c r="B814" s="25">
        <v>43767</v>
      </c>
      <c r="C814" s="64">
        <f t="shared" si="25"/>
        <v>2019</v>
      </c>
      <c r="D814" s="64" t="str">
        <f t="shared" si="26"/>
        <v>2019年4季度</v>
      </c>
      <c r="E814" s="26" t="s">
        <v>29</v>
      </c>
      <c r="F814" s="24">
        <v>24</v>
      </c>
      <c r="G814" s="24">
        <v>16</v>
      </c>
      <c r="H814" s="27">
        <v>384</v>
      </c>
      <c r="I814" s="26" t="s">
        <v>23</v>
      </c>
    </row>
    <row r="815" spans="1:9" ht="14.4" x14ac:dyDescent="0.25">
      <c r="A815" s="24">
        <v>10213</v>
      </c>
      <c r="B815" s="25">
        <v>43769</v>
      </c>
      <c r="C815" s="64">
        <f t="shared" si="25"/>
        <v>2019</v>
      </c>
      <c r="D815" s="64" t="str">
        <f t="shared" si="26"/>
        <v>2019年4季度</v>
      </c>
      <c r="E815" s="26" t="s">
        <v>29</v>
      </c>
      <c r="F815" s="24">
        <v>10</v>
      </c>
      <c r="G815" s="24">
        <v>21</v>
      </c>
      <c r="H815" s="27">
        <v>210</v>
      </c>
      <c r="I815" s="26" t="s">
        <v>26</v>
      </c>
    </row>
    <row r="816" spans="1:9" ht="14.4" x14ac:dyDescent="0.25">
      <c r="A816" s="24">
        <v>10213</v>
      </c>
      <c r="B816" s="25">
        <v>43769</v>
      </c>
      <c r="C816" s="64">
        <f t="shared" si="25"/>
        <v>2019</v>
      </c>
      <c r="D816" s="64" t="str">
        <f t="shared" si="26"/>
        <v>2019年4季度</v>
      </c>
      <c r="E816" s="26" t="s">
        <v>29</v>
      </c>
      <c r="F816" s="24">
        <v>6.2</v>
      </c>
      <c r="G816" s="24">
        <v>4</v>
      </c>
      <c r="H816" s="27">
        <v>24.8</v>
      </c>
      <c r="I816" s="26" t="s">
        <v>26</v>
      </c>
    </row>
    <row r="817" spans="1:9" ht="14.4" x14ac:dyDescent="0.25">
      <c r="A817" s="24">
        <v>10214</v>
      </c>
      <c r="B817" s="25">
        <v>43769</v>
      </c>
      <c r="C817" s="64">
        <f t="shared" si="25"/>
        <v>2019</v>
      </c>
      <c r="D817" s="64" t="str">
        <f t="shared" si="26"/>
        <v>2019年4季度</v>
      </c>
      <c r="E817" s="26" t="s">
        <v>29</v>
      </c>
      <c r="F817" s="24">
        <v>20.7</v>
      </c>
      <c r="G817" s="24">
        <v>28</v>
      </c>
      <c r="H817" s="27">
        <v>579.6</v>
      </c>
      <c r="I817" s="26" t="s">
        <v>23</v>
      </c>
    </row>
    <row r="818" spans="1:9" ht="14.4" x14ac:dyDescent="0.25">
      <c r="A818" s="24">
        <v>10214</v>
      </c>
      <c r="B818" s="25">
        <v>43769</v>
      </c>
      <c r="C818" s="64">
        <f t="shared" si="25"/>
        <v>2019</v>
      </c>
      <c r="D818" s="64" t="str">
        <f t="shared" si="26"/>
        <v>2019年4季度</v>
      </c>
      <c r="E818" s="26" t="s">
        <v>29</v>
      </c>
      <c r="F818" s="24">
        <v>19.2</v>
      </c>
      <c r="G818" s="24">
        <v>60</v>
      </c>
      <c r="H818" s="27">
        <v>1152</v>
      </c>
      <c r="I818" s="26" t="s">
        <v>23</v>
      </c>
    </row>
    <row r="819" spans="1:9" ht="14.4" x14ac:dyDescent="0.25">
      <c r="A819" s="24">
        <v>10217</v>
      </c>
      <c r="B819" s="25">
        <v>43777</v>
      </c>
      <c r="C819" s="64">
        <f t="shared" si="25"/>
        <v>2019</v>
      </c>
      <c r="D819" s="64" t="str">
        <f t="shared" si="26"/>
        <v>2019年4季度</v>
      </c>
      <c r="E819" s="26" t="s">
        <v>29</v>
      </c>
      <c r="F819" s="24">
        <v>27.2</v>
      </c>
      <c r="G819" s="24">
        <v>20</v>
      </c>
      <c r="H819" s="27">
        <v>544</v>
      </c>
      <c r="I819" s="26" t="s">
        <v>23</v>
      </c>
    </row>
    <row r="820" spans="1:9" ht="14.4" x14ac:dyDescent="0.25">
      <c r="A820" s="24">
        <v>10217</v>
      </c>
      <c r="B820" s="25">
        <v>43777</v>
      </c>
      <c r="C820" s="64">
        <f t="shared" si="25"/>
        <v>2019</v>
      </c>
      <c r="D820" s="64" t="str">
        <f t="shared" si="26"/>
        <v>2019年4季度</v>
      </c>
      <c r="E820" s="26" t="s">
        <v>29</v>
      </c>
      <c r="F820" s="24">
        <v>30.4</v>
      </c>
      <c r="G820" s="24">
        <v>30</v>
      </c>
      <c r="H820" s="27">
        <v>912</v>
      </c>
      <c r="I820" s="26" t="s">
        <v>23</v>
      </c>
    </row>
    <row r="821" spans="1:9" ht="14.4" x14ac:dyDescent="0.25">
      <c r="A821" s="24">
        <v>10218</v>
      </c>
      <c r="B821" s="25">
        <v>43779</v>
      </c>
      <c r="C821" s="64">
        <f t="shared" si="25"/>
        <v>2019</v>
      </c>
      <c r="D821" s="64" t="str">
        <f t="shared" si="26"/>
        <v>2019年4季度</v>
      </c>
      <c r="E821" s="26" t="s">
        <v>29</v>
      </c>
      <c r="F821" s="24">
        <v>99</v>
      </c>
      <c r="G821" s="24">
        <v>18</v>
      </c>
      <c r="H821" s="27">
        <v>1782</v>
      </c>
      <c r="I821" s="26" t="s">
        <v>23</v>
      </c>
    </row>
    <row r="822" spans="1:9" ht="14.4" x14ac:dyDescent="0.25">
      <c r="A822" s="24">
        <v>10218</v>
      </c>
      <c r="B822" s="25">
        <v>43779</v>
      </c>
      <c r="C822" s="64">
        <f t="shared" si="25"/>
        <v>2019</v>
      </c>
      <c r="D822" s="64" t="str">
        <f t="shared" si="26"/>
        <v>2019年4季度</v>
      </c>
      <c r="E822" s="26" t="s">
        <v>29</v>
      </c>
      <c r="F822" s="24">
        <v>7.6</v>
      </c>
      <c r="G822" s="24">
        <v>30</v>
      </c>
      <c r="H822" s="27">
        <v>228</v>
      </c>
      <c r="I822" s="26" t="s">
        <v>23</v>
      </c>
    </row>
    <row r="823" spans="1:9" ht="14.4" x14ac:dyDescent="0.25">
      <c r="A823" s="24">
        <v>10218</v>
      </c>
      <c r="B823" s="25">
        <v>43779</v>
      </c>
      <c r="C823" s="64">
        <f t="shared" si="25"/>
        <v>2019</v>
      </c>
      <c r="D823" s="64" t="str">
        <f t="shared" si="26"/>
        <v>2019年4季度</v>
      </c>
      <c r="E823" s="26" t="s">
        <v>29</v>
      </c>
      <c r="F823" s="24">
        <v>3.6</v>
      </c>
      <c r="G823" s="24">
        <v>25</v>
      </c>
      <c r="H823" s="27">
        <v>90</v>
      </c>
      <c r="I823" s="26" t="s">
        <v>23</v>
      </c>
    </row>
    <row r="824" spans="1:9" ht="14.4" x14ac:dyDescent="0.25">
      <c r="A824" s="24">
        <v>10218</v>
      </c>
      <c r="B824" s="25">
        <v>43779</v>
      </c>
      <c r="C824" s="64">
        <f t="shared" si="25"/>
        <v>2019</v>
      </c>
      <c r="D824" s="64" t="str">
        <f t="shared" si="26"/>
        <v>2019年4季度</v>
      </c>
      <c r="E824" s="26" t="s">
        <v>29</v>
      </c>
      <c r="F824" s="24">
        <v>14.7</v>
      </c>
      <c r="G824" s="24">
        <v>20</v>
      </c>
      <c r="H824" s="27">
        <v>294</v>
      </c>
      <c r="I824" s="26" t="s">
        <v>23</v>
      </c>
    </row>
    <row r="825" spans="1:9" ht="14.4" x14ac:dyDescent="0.25">
      <c r="A825" s="24">
        <v>10218</v>
      </c>
      <c r="B825" s="25">
        <v>43779</v>
      </c>
      <c r="C825" s="64">
        <f t="shared" si="25"/>
        <v>2019</v>
      </c>
      <c r="D825" s="64" t="str">
        <f t="shared" si="26"/>
        <v>2019年4季度</v>
      </c>
      <c r="E825" s="26" t="s">
        <v>29</v>
      </c>
      <c r="F825" s="24">
        <v>13</v>
      </c>
      <c r="G825" s="24">
        <v>25</v>
      </c>
      <c r="H825" s="27">
        <v>325</v>
      </c>
      <c r="I825" s="26" t="s">
        <v>23</v>
      </c>
    </row>
    <row r="826" spans="1:9" ht="14.4" x14ac:dyDescent="0.25">
      <c r="A826" s="24">
        <v>10219</v>
      </c>
      <c r="B826" s="25">
        <v>43781</v>
      </c>
      <c r="C826" s="64">
        <f t="shared" si="25"/>
        <v>2019</v>
      </c>
      <c r="D826" s="64" t="str">
        <f t="shared" si="26"/>
        <v>2019年4季度</v>
      </c>
      <c r="E826" s="26" t="s">
        <v>29</v>
      </c>
      <c r="F826" s="24">
        <v>9.6</v>
      </c>
      <c r="G826" s="24">
        <v>5</v>
      </c>
      <c r="H826" s="27">
        <v>48</v>
      </c>
      <c r="I826" s="26" t="s">
        <v>27</v>
      </c>
    </row>
    <row r="827" spans="1:9" ht="14.4" x14ac:dyDescent="0.25">
      <c r="A827" s="24">
        <v>10219</v>
      </c>
      <c r="B827" s="25">
        <v>43781</v>
      </c>
      <c r="C827" s="64">
        <f t="shared" si="25"/>
        <v>2019</v>
      </c>
      <c r="D827" s="64" t="str">
        <f t="shared" si="26"/>
        <v>2019年4季度</v>
      </c>
      <c r="E827" s="26" t="s">
        <v>29</v>
      </c>
      <c r="F827" s="24">
        <v>16.8</v>
      </c>
      <c r="G827" s="24">
        <v>10</v>
      </c>
      <c r="H827" s="27">
        <v>168</v>
      </c>
      <c r="I827" s="26" t="s">
        <v>27</v>
      </c>
    </row>
    <row r="828" spans="1:9" ht="14.4" x14ac:dyDescent="0.25">
      <c r="A828" s="24">
        <v>10220</v>
      </c>
      <c r="B828" s="25">
        <v>43781</v>
      </c>
      <c r="C828" s="64">
        <f t="shared" si="25"/>
        <v>2019</v>
      </c>
      <c r="D828" s="64" t="str">
        <f t="shared" si="26"/>
        <v>2019年4季度</v>
      </c>
      <c r="E828" s="26" t="s">
        <v>29</v>
      </c>
      <c r="F828" s="24">
        <v>3.6</v>
      </c>
      <c r="G828" s="24">
        <v>28</v>
      </c>
      <c r="H828" s="27">
        <v>100.8</v>
      </c>
      <c r="I828" s="26" t="s">
        <v>22</v>
      </c>
    </row>
    <row r="829" spans="1:9" ht="14.4" x14ac:dyDescent="0.25">
      <c r="A829" s="24">
        <v>10220</v>
      </c>
      <c r="B829" s="25">
        <v>43781</v>
      </c>
      <c r="C829" s="64">
        <f t="shared" si="25"/>
        <v>2019</v>
      </c>
      <c r="D829" s="64" t="str">
        <f t="shared" si="26"/>
        <v>2019年4季度</v>
      </c>
      <c r="E829" s="26" t="s">
        <v>29</v>
      </c>
      <c r="F829" s="24">
        <v>11.2</v>
      </c>
      <c r="G829" s="24">
        <v>12</v>
      </c>
      <c r="H829" s="27">
        <v>134.4</v>
      </c>
      <c r="I829" s="26" t="s">
        <v>22</v>
      </c>
    </row>
    <row r="830" spans="1:9" ht="14.4" x14ac:dyDescent="0.25">
      <c r="A830" s="24">
        <v>10221</v>
      </c>
      <c r="B830" s="25">
        <v>43783</v>
      </c>
      <c r="C830" s="64">
        <f t="shared" si="25"/>
        <v>2019</v>
      </c>
      <c r="D830" s="64" t="str">
        <f t="shared" si="26"/>
        <v>2019年4季度</v>
      </c>
      <c r="E830" s="26" t="s">
        <v>29</v>
      </c>
      <c r="F830" s="24">
        <v>36.799999999999997</v>
      </c>
      <c r="G830" s="24">
        <v>15</v>
      </c>
      <c r="H830" s="27">
        <v>552</v>
      </c>
      <c r="I830" s="26" t="s">
        <v>22</v>
      </c>
    </row>
    <row r="831" spans="1:9" ht="14.4" x14ac:dyDescent="0.25">
      <c r="A831" s="24">
        <v>10224</v>
      </c>
      <c r="B831" s="25">
        <v>43791</v>
      </c>
      <c r="C831" s="64">
        <f t="shared" si="25"/>
        <v>2019</v>
      </c>
      <c r="D831" s="64" t="str">
        <f t="shared" si="26"/>
        <v>2019年4季度</v>
      </c>
      <c r="E831" s="26" t="s">
        <v>29</v>
      </c>
      <c r="F831" s="24">
        <v>30.4</v>
      </c>
      <c r="G831" s="24">
        <v>20</v>
      </c>
      <c r="H831" s="27">
        <v>608</v>
      </c>
      <c r="I831" s="26" t="s">
        <v>23</v>
      </c>
    </row>
    <row r="832" spans="1:9" ht="14.4" x14ac:dyDescent="0.25">
      <c r="A832" s="24">
        <v>10224</v>
      </c>
      <c r="B832" s="25">
        <v>43791</v>
      </c>
      <c r="C832" s="64">
        <f t="shared" si="25"/>
        <v>2019</v>
      </c>
      <c r="D832" s="64" t="str">
        <f t="shared" si="26"/>
        <v>2019年4季度</v>
      </c>
      <c r="E832" s="26" t="s">
        <v>29</v>
      </c>
      <c r="F832" s="24">
        <v>24</v>
      </c>
      <c r="G832" s="24">
        <v>30</v>
      </c>
      <c r="H832" s="27">
        <v>720</v>
      </c>
      <c r="I832" s="26" t="s">
        <v>23</v>
      </c>
    </row>
    <row r="833" spans="1:9" ht="14.4" x14ac:dyDescent="0.25">
      <c r="A833" s="24">
        <v>10225</v>
      </c>
      <c r="B833" s="25">
        <v>43793</v>
      </c>
      <c r="C833" s="64">
        <f t="shared" si="25"/>
        <v>2019</v>
      </c>
      <c r="D833" s="64" t="str">
        <f t="shared" si="26"/>
        <v>2019年4季度</v>
      </c>
      <c r="E833" s="26" t="s">
        <v>29</v>
      </c>
      <c r="F833" s="24">
        <v>3.6</v>
      </c>
      <c r="G833" s="24">
        <v>80</v>
      </c>
      <c r="H833" s="27">
        <v>288</v>
      </c>
      <c r="I833" s="26" t="s">
        <v>23</v>
      </c>
    </row>
    <row r="834" spans="1:9" ht="14.4" x14ac:dyDescent="0.25">
      <c r="A834" s="24">
        <v>10226</v>
      </c>
      <c r="B834" s="25">
        <v>43795</v>
      </c>
      <c r="C834" s="64">
        <f t="shared" si="25"/>
        <v>2019</v>
      </c>
      <c r="D834" s="64" t="str">
        <f t="shared" si="26"/>
        <v>2019年4季度</v>
      </c>
      <c r="E834" s="26" t="s">
        <v>29</v>
      </c>
      <c r="F834" s="24">
        <v>2</v>
      </c>
      <c r="G834" s="24">
        <v>12</v>
      </c>
      <c r="H834" s="27">
        <v>24</v>
      </c>
      <c r="I834" s="26" t="s">
        <v>25</v>
      </c>
    </row>
    <row r="835" spans="1:9" ht="14.4" x14ac:dyDescent="0.25">
      <c r="A835" s="24">
        <v>10226</v>
      </c>
      <c r="B835" s="25">
        <v>43795</v>
      </c>
      <c r="C835" s="64">
        <f t="shared" ref="C835:C898" si="27">YEAR(B835)</f>
        <v>2019</v>
      </c>
      <c r="D835" s="64" t="str">
        <f t="shared" ref="D835:D898" si="28">YEAR(B835)&amp;"年"&amp;ROUNDUP(MONTH(B835)/3,0)&amp;"季度"</f>
        <v>2019年4季度</v>
      </c>
      <c r="E835" s="26" t="s">
        <v>29</v>
      </c>
      <c r="F835" s="24">
        <v>17.2</v>
      </c>
      <c r="G835" s="24">
        <v>12</v>
      </c>
      <c r="H835" s="27">
        <v>206.4</v>
      </c>
      <c r="I835" s="26" t="s">
        <v>25</v>
      </c>
    </row>
    <row r="836" spans="1:9" ht="14.4" x14ac:dyDescent="0.25">
      <c r="A836" s="24">
        <v>10227</v>
      </c>
      <c r="B836" s="25">
        <v>43795</v>
      </c>
      <c r="C836" s="64">
        <f t="shared" si="27"/>
        <v>2019</v>
      </c>
      <c r="D836" s="64" t="str">
        <f t="shared" si="28"/>
        <v>2019年4季度</v>
      </c>
      <c r="E836" s="26" t="s">
        <v>29</v>
      </c>
      <c r="F836" s="24">
        <v>14.7</v>
      </c>
      <c r="G836" s="24">
        <v>21</v>
      </c>
      <c r="H836" s="27">
        <v>308.7</v>
      </c>
      <c r="I836" s="26" t="s">
        <v>23</v>
      </c>
    </row>
    <row r="837" spans="1:9" ht="14.4" x14ac:dyDescent="0.25">
      <c r="A837" s="24">
        <v>10227</v>
      </c>
      <c r="B837" s="25">
        <v>43795</v>
      </c>
      <c r="C837" s="64">
        <f t="shared" si="27"/>
        <v>2019</v>
      </c>
      <c r="D837" s="64" t="str">
        <f t="shared" si="28"/>
        <v>2019年4季度</v>
      </c>
      <c r="E837" s="26" t="s">
        <v>29</v>
      </c>
      <c r="F837" s="24">
        <v>18.600000000000001</v>
      </c>
      <c r="G837" s="24">
        <v>12</v>
      </c>
      <c r="H837" s="27">
        <v>223.2</v>
      </c>
      <c r="I837" s="26" t="s">
        <v>23</v>
      </c>
    </row>
    <row r="838" spans="1:9" ht="14.4" x14ac:dyDescent="0.25">
      <c r="A838" s="24">
        <v>10227</v>
      </c>
      <c r="B838" s="25">
        <v>43795</v>
      </c>
      <c r="C838" s="64">
        <f t="shared" si="27"/>
        <v>2019</v>
      </c>
      <c r="D838" s="64" t="str">
        <f t="shared" si="28"/>
        <v>2019年4季度</v>
      </c>
      <c r="E838" s="26" t="s">
        <v>29</v>
      </c>
      <c r="F838" s="24">
        <v>36.4</v>
      </c>
      <c r="G838" s="24">
        <v>18</v>
      </c>
      <c r="H838" s="27">
        <v>655.20000000000005</v>
      </c>
      <c r="I838" s="26" t="s">
        <v>23</v>
      </c>
    </row>
    <row r="839" spans="1:9" ht="14.4" x14ac:dyDescent="0.25">
      <c r="A839" s="24">
        <v>10230</v>
      </c>
      <c r="B839" s="25">
        <v>43803</v>
      </c>
      <c r="C839" s="64">
        <f t="shared" si="27"/>
        <v>2019</v>
      </c>
      <c r="D839" s="64" t="str">
        <f t="shared" si="28"/>
        <v>2019年4季度</v>
      </c>
      <c r="E839" s="26" t="s">
        <v>29</v>
      </c>
      <c r="F839" s="24">
        <v>14.4</v>
      </c>
      <c r="G839" s="24">
        <v>15</v>
      </c>
      <c r="H839" s="27">
        <v>216</v>
      </c>
      <c r="I839" s="26" t="s">
        <v>23</v>
      </c>
    </row>
    <row r="840" spans="1:9" ht="14.4" x14ac:dyDescent="0.25">
      <c r="A840" s="24">
        <v>10230</v>
      </c>
      <c r="B840" s="25">
        <v>43803</v>
      </c>
      <c r="C840" s="64">
        <f t="shared" si="27"/>
        <v>2019</v>
      </c>
      <c r="D840" s="64" t="str">
        <f t="shared" si="28"/>
        <v>2019年4季度</v>
      </c>
      <c r="E840" s="26" t="s">
        <v>29</v>
      </c>
      <c r="F840" s="24">
        <v>8</v>
      </c>
      <c r="G840" s="24">
        <v>21</v>
      </c>
      <c r="H840" s="27">
        <v>168</v>
      </c>
      <c r="I840" s="26" t="s">
        <v>23</v>
      </c>
    </row>
    <row r="841" spans="1:9" ht="14.4" x14ac:dyDescent="0.25">
      <c r="A841" s="24">
        <v>10231</v>
      </c>
      <c r="B841" s="25">
        <v>43805</v>
      </c>
      <c r="C841" s="64">
        <f t="shared" si="27"/>
        <v>2019</v>
      </c>
      <c r="D841" s="64" t="str">
        <f t="shared" si="28"/>
        <v>2019年4季度</v>
      </c>
      <c r="E841" s="26" t="s">
        <v>29</v>
      </c>
      <c r="F841" s="24">
        <v>24.8</v>
      </c>
      <c r="G841" s="24">
        <v>20</v>
      </c>
      <c r="H841" s="27">
        <v>496</v>
      </c>
      <c r="I841" s="26" t="s">
        <v>23</v>
      </c>
    </row>
    <row r="842" spans="1:9" ht="14.4" x14ac:dyDescent="0.25">
      <c r="A842" s="24">
        <v>10232</v>
      </c>
      <c r="B842" s="25">
        <v>43807</v>
      </c>
      <c r="C842" s="64">
        <f t="shared" si="27"/>
        <v>2019</v>
      </c>
      <c r="D842" s="64" t="str">
        <f t="shared" si="28"/>
        <v>2019年4季度</v>
      </c>
      <c r="E842" s="26" t="s">
        <v>29</v>
      </c>
      <c r="F842" s="24">
        <v>26.6</v>
      </c>
      <c r="G842" s="24">
        <v>30</v>
      </c>
      <c r="H842" s="27">
        <v>798</v>
      </c>
      <c r="I842" s="26" t="s">
        <v>22</v>
      </c>
    </row>
    <row r="843" spans="1:9" ht="14.4" x14ac:dyDescent="0.25">
      <c r="A843" s="24">
        <v>10232</v>
      </c>
      <c r="B843" s="25">
        <v>43807</v>
      </c>
      <c r="C843" s="64">
        <f t="shared" si="27"/>
        <v>2019</v>
      </c>
      <c r="D843" s="64" t="str">
        <f t="shared" si="28"/>
        <v>2019年4季度</v>
      </c>
      <c r="E843" s="26" t="s">
        <v>29</v>
      </c>
      <c r="F843" s="24">
        <v>26.2</v>
      </c>
      <c r="G843" s="24">
        <v>28</v>
      </c>
      <c r="H843" s="27">
        <v>733.6</v>
      </c>
      <c r="I843" s="26" t="s">
        <v>22</v>
      </c>
    </row>
    <row r="844" spans="1:9" ht="14.4" x14ac:dyDescent="0.25">
      <c r="A844" s="24">
        <v>10232</v>
      </c>
      <c r="B844" s="25">
        <v>43807</v>
      </c>
      <c r="C844" s="64">
        <f t="shared" si="27"/>
        <v>2019</v>
      </c>
      <c r="D844" s="64" t="str">
        <f t="shared" si="28"/>
        <v>2019年4季度</v>
      </c>
      <c r="E844" s="26" t="s">
        <v>29</v>
      </c>
      <c r="F844" s="24">
        <v>210.8</v>
      </c>
      <c r="G844" s="24">
        <v>30</v>
      </c>
      <c r="H844" s="27">
        <v>6324</v>
      </c>
      <c r="I844" s="26" t="s">
        <v>22</v>
      </c>
    </row>
    <row r="845" spans="1:9" ht="14.4" x14ac:dyDescent="0.25">
      <c r="A845" s="24">
        <v>10232</v>
      </c>
      <c r="B845" s="25">
        <v>43807</v>
      </c>
      <c r="C845" s="64">
        <f t="shared" si="27"/>
        <v>2019</v>
      </c>
      <c r="D845" s="64" t="str">
        <f t="shared" si="28"/>
        <v>2019年4季度</v>
      </c>
      <c r="E845" s="26" t="s">
        <v>29</v>
      </c>
      <c r="F845" s="24">
        <v>44</v>
      </c>
      <c r="G845" s="24">
        <v>60</v>
      </c>
      <c r="H845" s="27">
        <v>2640</v>
      </c>
      <c r="I845" s="26" t="s">
        <v>22</v>
      </c>
    </row>
    <row r="846" spans="1:9" ht="14.4" x14ac:dyDescent="0.25">
      <c r="A846" s="24">
        <v>10233</v>
      </c>
      <c r="B846" s="25">
        <v>43809</v>
      </c>
      <c r="C846" s="64">
        <f t="shared" si="27"/>
        <v>2019</v>
      </c>
      <c r="D846" s="64" t="str">
        <f t="shared" si="28"/>
        <v>2019年4季度</v>
      </c>
      <c r="E846" s="26" t="s">
        <v>29</v>
      </c>
      <c r="F846" s="24">
        <v>7.6</v>
      </c>
      <c r="G846" s="24">
        <v>30</v>
      </c>
      <c r="H846" s="27">
        <v>228</v>
      </c>
      <c r="I846" s="26" t="s">
        <v>23</v>
      </c>
    </row>
    <row r="847" spans="1:9" ht="14.4" x14ac:dyDescent="0.25">
      <c r="A847" s="24">
        <v>10233</v>
      </c>
      <c r="B847" s="25">
        <v>43809</v>
      </c>
      <c r="C847" s="64">
        <f t="shared" si="27"/>
        <v>2019</v>
      </c>
      <c r="D847" s="64" t="str">
        <f t="shared" si="28"/>
        <v>2019年4季度</v>
      </c>
      <c r="E847" s="26" t="s">
        <v>29</v>
      </c>
      <c r="F847" s="24">
        <v>44</v>
      </c>
      <c r="G847" s="24">
        <v>12</v>
      </c>
      <c r="H847" s="27">
        <v>528</v>
      </c>
      <c r="I847" s="26" t="s">
        <v>23</v>
      </c>
    </row>
    <row r="848" spans="1:9" ht="14.4" x14ac:dyDescent="0.25">
      <c r="A848" s="24">
        <v>10234</v>
      </c>
      <c r="B848" s="25">
        <v>43809</v>
      </c>
      <c r="C848" s="64">
        <f t="shared" si="27"/>
        <v>2019</v>
      </c>
      <c r="D848" s="64" t="str">
        <f t="shared" si="28"/>
        <v>2019年4季度</v>
      </c>
      <c r="E848" s="26" t="s">
        <v>29</v>
      </c>
      <c r="F848" s="24">
        <v>27.2</v>
      </c>
      <c r="G848" s="24">
        <v>40</v>
      </c>
      <c r="H848" s="27">
        <v>1088</v>
      </c>
      <c r="I848" s="26" t="s">
        <v>22</v>
      </c>
    </row>
    <row r="849" spans="1:9" ht="14.4" x14ac:dyDescent="0.25">
      <c r="A849" s="24">
        <v>10234</v>
      </c>
      <c r="B849" s="25">
        <v>43809</v>
      </c>
      <c r="C849" s="64">
        <f t="shared" si="27"/>
        <v>2019</v>
      </c>
      <c r="D849" s="64" t="str">
        <f t="shared" si="28"/>
        <v>2019年4季度</v>
      </c>
      <c r="E849" s="26" t="s">
        <v>29</v>
      </c>
      <c r="F849" s="24">
        <v>16</v>
      </c>
      <c r="G849" s="24">
        <v>24</v>
      </c>
      <c r="H849" s="27">
        <v>384</v>
      </c>
      <c r="I849" s="26" t="s">
        <v>22</v>
      </c>
    </row>
    <row r="850" spans="1:9" ht="14.4" x14ac:dyDescent="0.25">
      <c r="A850" s="24">
        <v>10238</v>
      </c>
      <c r="B850" s="25">
        <v>43819</v>
      </c>
      <c r="C850" s="64">
        <f t="shared" si="27"/>
        <v>2019</v>
      </c>
      <c r="D850" s="64" t="str">
        <f t="shared" si="28"/>
        <v>2019年4季度</v>
      </c>
      <c r="E850" s="26" t="s">
        <v>29</v>
      </c>
      <c r="F850" s="24">
        <v>8</v>
      </c>
      <c r="G850" s="24">
        <v>20</v>
      </c>
      <c r="H850" s="27">
        <v>160</v>
      </c>
      <c r="I850" s="26" t="s">
        <v>22</v>
      </c>
    </row>
    <row r="851" spans="1:9" ht="14.4" x14ac:dyDescent="0.25">
      <c r="A851" s="24">
        <v>10238</v>
      </c>
      <c r="B851" s="25">
        <v>43819</v>
      </c>
      <c r="C851" s="64">
        <f t="shared" si="27"/>
        <v>2019</v>
      </c>
      <c r="D851" s="64" t="str">
        <f t="shared" si="28"/>
        <v>2019年4季度</v>
      </c>
      <c r="E851" s="26" t="s">
        <v>29</v>
      </c>
      <c r="F851" s="24">
        <v>15.2</v>
      </c>
      <c r="G851" s="24">
        <v>20</v>
      </c>
      <c r="H851" s="27">
        <v>304</v>
      </c>
      <c r="I851" s="26" t="s">
        <v>22</v>
      </c>
    </row>
    <row r="852" spans="1:9" ht="14.4" x14ac:dyDescent="0.25">
      <c r="A852" s="24">
        <v>10238</v>
      </c>
      <c r="B852" s="25">
        <v>43819</v>
      </c>
      <c r="C852" s="64">
        <f t="shared" si="27"/>
        <v>2019</v>
      </c>
      <c r="D852" s="64" t="str">
        <f t="shared" si="28"/>
        <v>2019年4季度</v>
      </c>
      <c r="E852" s="26" t="s">
        <v>29</v>
      </c>
      <c r="F852" s="24">
        <v>19.2</v>
      </c>
      <c r="G852" s="24">
        <v>30</v>
      </c>
      <c r="H852" s="27">
        <v>576</v>
      </c>
      <c r="I852" s="26" t="s">
        <v>22</v>
      </c>
    </row>
    <row r="853" spans="1:9" ht="14.4" x14ac:dyDescent="0.25">
      <c r="A853" s="24">
        <v>10239</v>
      </c>
      <c r="B853" s="25">
        <v>43821</v>
      </c>
      <c r="C853" s="64">
        <f t="shared" si="27"/>
        <v>2019</v>
      </c>
      <c r="D853" s="64" t="str">
        <f t="shared" si="28"/>
        <v>2019年4季度</v>
      </c>
      <c r="E853" s="26" t="s">
        <v>29</v>
      </c>
      <c r="F853" s="24">
        <v>8</v>
      </c>
      <c r="G853" s="24">
        <v>16</v>
      </c>
      <c r="H853" s="27">
        <v>128</v>
      </c>
      <c r="I853" s="26" t="s">
        <v>26</v>
      </c>
    </row>
    <row r="854" spans="1:9" ht="14.4" x14ac:dyDescent="0.25">
      <c r="A854" s="24">
        <v>10239</v>
      </c>
      <c r="B854" s="25">
        <v>43821</v>
      </c>
      <c r="C854" s="64">
        <f t="shared" si="27"/>
        <v>2019</v>
      </c>
      <c r="D854" s="64" t="str">
        <f t="shared" si="28"/>
        <v>2019年4季度</v>
      </c>
      <c r="E854" s="26" t="s">
        <v>29</v>
      </c>
      <c r="F854" s="24">
        <v>16.8</v>
      </c>
      <c r="G854" s="24">
        <v>5</v>
      </c>
      <c r="H854" s="27">
        <v>84</v>
      </c>
      <c r="I854" s="26" t="s">
        <v>26</v>
      </c>
    </row>
    <row r="855" spans="1:9" ht="14.4" x14ac:dyDescent="0.25">
      <c r="A855" s="24">
        <v>10240</v>
      </c>
      <c r="B855" s="25">
        <v>43821</v>
      </c>
      <c r="C855" s="64">
        <f t="shared" si="27"/>
        <v>2019</v>
      </c>
      <c r="D855" s="64" t="str">
        <f t="shared" si="28"/>
        <v>2019年4季度</v>
      </c>
      <c r="E855" s="26" t="s">
        <v>29</v>
      </c>
      <c r="F855" s="24">
        <v>5.9</v>
      </c>
      <c r="G855" s="24">
        <v>24</v>
      </c>
      <c r="H855" s="27">
        <v>141.6</v>
      </c>
      <c r="I855" s="26" t="s">
        <v>26</v>
      </c>
    </row>
    <row r="856" spans="1:9" ht="14.4" x14ac:dyDescent="0.25">
      <c r="A856" s="24">
        <v>10240</v>
      </c>
      <c r="B856" s="25">
        <v>43821</v>
      </c>
      <c r="C856" s="64">
        <f t="shared" si="27"/>
        <v>2019</v>
      </c>
      <c r="D856" s="64" t="str">
        <f t="shared" si="28"/>
        <v>2019年4季度</v>
      </c>
      <c r="E856" s="26" t="s">
        <v>29</v>
      </c>
      <c r="F856" s="24">
        <v>24.9</v>
      </c>
      <c r="G856" s="24">
        <v>30</v>
      </c>
      <c r="H856" s="27">
        <v>747</v>
      </c>
      <c r="I856" s="26" t="s">
        <v>26</v>
      </c>
    </row>
    <row r="857" spans="1:9" ht="14.4" x14ac:dyDescent="0.25">
      <c r="A857" s="24">
        <v>10240</v>
      </c>
      <c r="B857" s="25">
        <v>43821</v>
      </c>
      <c r="C857" s="64">
        <f t="shared" si="27"/>
        <v>2019</v>
      </c>
      <c r="D857" s="64" t="str">
        <f t="shared" si="28"/>
        <v>2019年4季度</v>
      </c>
      <c r="E857" s="26" t="s">
        <v>29</v>
      </c>
      <c r="F857" s="24">
        <v>7.3</v>
      </c>
      <c r="G857" s="24">
        <v>5</v>
      </c>
      <c r="H857" s="27">
        <v>36.5</v>
      </c>
      <c r="I857" s="26" t="s">
        <v>26</v>
      </c>
    </row>
    <row r="858" spans="1:9" ht="14.4" x14ac:dyDescent="0.25">
      <c r="A858" s="24">
        <v>10241</v>
      </c>
      <c r="B858" s="25">
        <v>43823</v>
      </c>
      <c r="C858" s="64">
        <f t="shared" si="27"/>
        <v>2019</v>
      </c>
      <c r="D858" s="64" t="str">
        <f t="shared" si="28"/>
        <v>2019年4季度</v>
      </c>
      <c r="E858" s="26" t="s">
        <v>29</v>
      </c>
      <c r="F858" s="24">
        <v>12</v>
      </c>
      <c r="G858" s="24">
        <v>20</v>
      </c>
      <c r="H858" s="27">
        <v>240</v>
      </c>
      <c r="I858" s="26" t="s">
        <v>26</v>
      </c>
    </row>
    <row r="859" spans="1:9" ht="14.4" x14ac:dyDescent="0.25">
      <c r="A859" s="24">
        <v>10241</v>
      </c>
      <c r="B859" s="25">
        <v>43823</v>
      </c>
      <c r="C859" s="64">
        <f t="shared" si="27"/>
        <v>2019</v>
      </c>
      <c r="D859" s="64" t="str">
        <f t="shared" si="28"/>
        <v>2019年4季度</v>
      </c>
      <c r="E859" s="26" t="s">
        <v>29</v>
      </c>
      <c r="F859" s="24">
        <v>44</v>
      </c>
      <c r="G859" s="24">
        <v>30</v>
      </c>
      <c r="H859" s="27">
        <v>1320</v>
      </c>
      <c r="I859" s="26" t="s">
        <v>26</v>
      </c>
    </row>
    <row r="860" spans="1:9" ht="14.4" x14ac:dyDescent="0.25">
      <c r="A860" s="24">
        <v>10242</v>
      </c>
      <c r="B860" s="25">
        <v>43825</v>
      </c>
      <c r="C860" s="64">
        <f t="shared" si="27"/>
        <v>2019</v>
      </c>
      <c r="D860" s="64" t="str">
        <f t="shared" si="28"/>
        <v>2019年4季度</v>
      </c>
      <c r="E860" s="26" t="s">
        <v>29</v>
      </c>
      <c r="F860" s="24">
        <v>16.8</v>
      </c>
      <c r="G860" s="24">
        <v>15</v>
      </c>
      <c r="H860" s="27">
        <v>252</v>
      </c>
      <c r="I860" s="26" t="s">
        <v>23</v>
      </c>
    </row>
    <row r="861" spans="1:9" ht="14.4" x14ac:dyDescent="0.25">
      <c r="A861" s="24">
        <v>10245</v>
      </c>
      <c r="B861" s="25">
        <v>43833</v>
      </c>
      <c r="C861" s="64">
        <f t="shared" si="27"/>
        <v>2020</v>
      </c>
      <c r="D861" s="64" t="str">
        <f t="shared" si="28"/>
        <v>2020年1季度</v>
      </c>
      <c r="E861" s="26" t="s">
        <v>29</v>
      </c>
      <c r="F861" s="24">
        <v>11.2</v>
      </c>
      <c r="G861" s="24">
        <v>20</v>
      </c>
      <c r="H861" s="27">
        <v>224</v>
      </c>
      <c r="I861" s="26" t="s">
        <v>22</v>
      </c>
    </row>
    <row r="862" spans="1:9" ht="14.4" x14ac:dyDescent="0.25">
      <c r="A862" s="24">
        <v>10246</v>
      </c>
      <c r="B862" s="25">
        <v>43835</v>
      </c>
      <c r="C862" s="64">
        <f t="shared" si="27"/>
        <v>2020</v>
      </c>
      <c r="D862" s="64" t="str">
        <f t="shared" si="28"/>
        <v>2020年1季度</v>
      </c>
      <c r="E862" s="26" t="s">
        <v>29</v>
      </c>
      <c r="F862" s="24">
        <v>13.6</v>
      </c>
      <c r="G862" s="24">
        <v>10</v>
      </c>
      <c r="H862" s="27">
        <v>136</v>
      </c>
      <c r="I862" s="26" t="s">
        <v>22</v>
      </c>
    </row>
    <row r="863" spans="1:9" ht="14.4" x14ac:dyDescent="0.25">
      <c r="A863" s="24">
        <v>10246</v>
      </c>
      <c r="B863" s="25">
        <v>43835</v>
      </c>
      <c r="C863" s="64">
        <f t="shared" si="27"/>
        <v>2020</v>
      </c>
      <c r="D863" s="64" t="str">
        <f t="shared" si="28"/>
        <v>2020年1季度</v>
      </c>
      <c r="E863" s="26" t="s">
        <v>29</v>
      </c>
      <c r="F863" s="24">
        <v>28.8</v>
      </c>
      <c r="G863" s="24">
        <v>10</v>
      </c>
      <c r="H863" s="27">
        <v>288</v>
      </c>
      <c r="I863" s="26" t="s">
        <v>22</v>
      </c>
    </row>
    <row r="864" spans="1:9" ht="14.4" x14ac:dyDescent="0.25">
      <c r="A864" s="24">
        <v>10246</v>
      </c>
      <c r="B864" s="25">
        <v>43835</v>
      </c>
      <c r="C864" s="64">
        <f t="shared" si="27"/>
        <v>2020</v>
      </c>
      <c r="D864" s="64" t="str">
        <f t="shared" si="28"/>
        <v>2020年1季度</v>
      </c>
      <c r="E864" s="26" t="s">
        <v>29</v>
      </c>
      <c r="F864" s="24">
        <v>16.8</v>
      </c>
      <c r="G864" s="24">
        <v>15</v>
      </c>
      <c r="H864" s="27">
        <v>252</v>
      </c>
      <c r="I864" s="26" t="s">
        <v>22</v>
      </c>
    </row>
    <row r="865" spans="1:9" ht="14.4" x14ac:dyDescent="0.25">
      <c r="A865" s="24">
        <v>10247</v>
      </c>
      <c r="B865" s="25">
        <v>43835</v>
      </c>
      <c r="C865" s="64">
        <f t="shared" si="27"/>
        <v>2020</v>
      </c>
      <c r="D865" s="64" t="str">
        <f t="shared" si="28"/>
        <v>2020年1季度</v>
      </c>
      <c r="E865" s="26" t="s">
        <v>29</v>
      </c>
      <c r="F865" s="24">
        <v>30.4</v>
      </c>
      <c r="G865" s="24">
        <v>30</v>
      </c>
      <c r="H865" s="27">
        <v>912</v>
      </c>
      <c r="I865" s="26" t="s">
        <v>22</v>
      </c>
    </row>
    <row r="866" spans="1:9" ht="14.4" x14ac:dyDescent="0.25">
      <c r="A866" s="24">
        <v>10248</v>
      </c>
      <c r="B866" s="25">
        <v>43837</v>
      </c>
      <c r="C866" s="64">
        <f t="shared" si="27"/>
        <v>2020</v>
      </c>
      <c r="D866" s="64" t="str">
        <f t="shared" si="28"/>
        <v>2020年1季度</v>
      </c>
      <c r="E866" s="26" t="s">
        <v>29</v>
      </c>
      <c r="F866" s="24">
        <v>10.4</v>
      </c>
      <c r="G866" s="24">
        <v>5</v>
      </c>
      <c r="H866" s="27">
        <v>52</v>
      </c>
      <c r="I866" s="26" t="s">
        <v>27</v>
      </c>
    </row>
    <row r="867" spans="1:9" ht="14.4" x14ac:dyDescent="0.25">
      <c r="A867" s="24">
        <v>10248</v>
      </c>
      <c r="B867" s="25">
        <v>43837</v>
      </c>
      <c r="C867" s="64">
        <f t="shared" si="27"/>
        <v>2020</v>
      </c>
      <c r="D867" s="64" t="str">
        <f t="shared" si="28"/>
        <v>2020年1季度</v>
      </c>
      <c r="E867" s="26" t="s">
        <v>29</v>
      </c>
      <c r="F867" s="24">
        <v>7.2</v>
      </c>
      <c r="G867" s="24">
        <v>10</v>
      </c>
      <c r="H867" s="27">
        <v>72</v>
      </c>
      <c r="I867" s="26" t="s">
        <v>27</v>
      </c>
    </row>
    <row r="868" spans="1:9" ht="14.4" x14ac:dyDescent="0.25">
      <c r="A868" s="24">
        <v>10248</v>
      </c>
      <c r="B868" s="25">
        <v>43837</v>
      </c>
      <c r="C868" s="64">
        <f t="shared" si="27"/>
        <v>2020</v>
      </c>
      <c r="D868" s="64" t="str">
        <f t="shared" si="28"/>
        <v>2020年1季度</v>
      </c>
      <c r="E868" s="26" t="s">
        <v>29</v>
      </c>
      <c r="F868" s="24">
        <v>7.7</v>
      </c>
      <c r="G868" s="24">
        <v>20</v>
      </c>
      <c r="H868" s="27">
        <v>154</v>
      </c>
      <c r="I868" s="26" t="s">
        <v>27</v>
      </c>
    </row>
    <row r="869" spans="1:9" ht="14.4" x14ac:dyDescent="0.25">
      <c r="A869" s="24">
        <v>10249</v>
      </c>
      <c r="B869" s="25">
        <v>43839</v>
      </c>
      <c r="C869" s="64">
        <f t="shared" si="27"/>
        <v>2020</v>
      </c>
      <c r="D869" s="64" t="str">
        <f t="shared" si="28"/>
        <v>2020年1季度</v>
      </c>
      <c r="E869" s="26" t="s">
        <v>29</v>
      </c>
      <c r="F869" s="24">
        <v>10</v>
      </c>
      <c r="G869" s="24">
        <v>20</v>
      </c>
      <c r="H869" s="27">
        <v>200</v>
      </c>
      <c r="I869" s="26" t="s">
        <v>22</v>
      </c>
    </row>
    <row r="870" spans="1:9" ht="14.4" x14ac:dyDescent="0.25">
      <c r="A870" s="24">
        <v>10250</v>
      </c>
      <c r="B870" s="25">
        <v>43839</v>
      </c>
      <c r="C870" s="64">
        <f t="shared" si="27"/>
        <v>2020</v>
      </c>
      <c r="D870" s="64" t="str">
        <f t="shared" si="28"/>
        <v>2020年1季度</v>
      </c>
      <c r="E870" s="26" t="s">
        <v>29</v>
      </c>
      <c r="F870" s="24">
        <v>10.4</v>
      </c>
      <c r="G870" s="24">
        <v>25</v>
      </c>
      <c r="H870" s="27">
        <v>260</v>
      </c>
      <c r="I870" s="26" t="s">
        <v>22</v>
      </c>
    </row>
    <row r="871" spans="1:9" ht="14.4" x14ac:dyDescent="0.25">
      <c r="A871" s="24">
        <v>10250</v>
      </c>
      <c r="B871" s="25">
        <v>43839</v>
      </c>
      <c r="C871" s="64">
        <f t="shared" si="27"/>
        <v>2020</v>
      </c>
      <c r="D871" s="64" t="str">
        <f t="shared" si="28"/>
        <v>2020年1季度</v>
      </c>
      <c r="E871" s="26" t="s">
        <v>29</v>
      </c>
      <c r="F871" s="24">
        <v>30.4</v>
      </c>
      <c r="G871" s="24">
        <v>14</v>
      </c>
      <c r="H871" s="27">
        <v>425.6</v>
      </c>
      <c r="I871" s="26" t="s">
        <v>22</v>
      </c>
    </row>
    <row r="872" spans="1:9" ht="14.4" x14ac:dyDescent="0.25">
      <c r="A872" s="24">
        <v>10253</v>
      </c>
      <c r="B872" s="25">
        <v>43849</v>
      </c>
      <c r="C872" s="64">
        <f t="shared" si="27"/>
        <v>2020</v>
      </c>
      <c r="D872" s="64" t="str">
        <f t="shared" si="28"/>
        <v>2020年1季度</v>
      </c>
      <c r="E872" s="26" t="s">
        <v>29</v>
      </c>
      <c r="F872" s="24">
        <v>15.5</v>
      </c>
      <c r="G872" s="24">
        <v>12</v>
      </c>
      <c r="H872" s="27">
        <v>186</v>
      </c>
      <c r="I872" s="26" t="s">
        <v>25</v>
      </c>
    </row>
    <row r="873" spans="1:9" ht="14.4" x14ac:dyDescent="0.25">
      <c r="A873" s="24">
        <v>10254</v>
      </c>
      <c r="B873" s="25">
        <v>43849</v>
      </c>
      <c r="C873" s="64">
        <f t="shared" si="27"/>
        <v>2020</v>
      </c>
      <c r="D873" s="64" t="str">
        <f t="shared" si="28"/>
        <v>2020年1季度</v>
      </c>
      <c r="E873" s="26" t="s">
        <v>29</v>
      </c>
      <c r="F873" s="24">
        <v>7.45</v>
      </c>
      <c r="G873" s="24">
        <v>20</v>
      </c>
      <c r="H873" s="27">
        <v>149</v>
      </c>
      <c r="I873" s="26" t="s">
        <v>22</v>
      </c>
    </row>
    <row r="874" spans="1:9" ht="14.4" x14ac:dyDescent="0.25">
      <c r="A874" s="24">
        <v>10255</v>
      </c>
      <c r="B874" s="25">
        <v>43851</v>
      </c>
      <c r="C874" s="64">
        <f t="shared" si="27"/>
        <v>2020</v>
      </c>
      <c r="D874" s="64" t="str">
        <f t="shared" si="28"/>
        <v>2020年1季度</v>
      </c>
      <c r="E874" s="26" t="s">
        <v>29</v>
      </c>
      <c r="F874" s="24">
        <v>9.5</v>
      </c>
      <c r="G874" s="24">
        <v>21</v>
      </c>
      <c r="H874" s="27">
        <v>199.5</v>
      </c>
      <c r="I874" s="26" t="s">
        <v>23</v>
      </c>
    </row>
    <row r="875" spans="1:9" ht="14.4" x14ac:dyDescent="0.25">
      <c r="A875" s="24">
        <v>10255</v>
      </c>
      <c r="B875" s="25">
        <v>43851</v>
      </c>
      <c r="C875" s="64">
        <f t="shared" si="27"/>
        <v>2020</v>
      </c>
      <c r="D875" s="64" t="str">
        <f t="shared" si="28"/>
        <v>2020年1季度</v>
      </c>
      <c r="E875" s="26" t="s">
        <v>29</v>
      </c>
      <c r="F875" s="24">
        <v>14</v>
      </c>
      <c r="G875" s="24">
        <v>30</v>
      </c>
      <c r="H875" s="27">
        <v>420</v>
      </c>
      <c r="I875" s="26" t="s">
        <v>23</v>
      </c>
    </row>
    <row r="876" spans="1:9" ht="14.4" x14ac:dyDescent="0.25">
      <c r="A876" s="24">
        <v>10255</v>
      </c>
      <c r="B876" s="25">
        <v>43851</v>
      </c>
      <c r="C876" s="64">
        <f t="shared" si="27"/>
        <v>2020</v>
      </c>
      <c r="D876" s="64" t="str">
        <f t="shared" si="28"/>
        <v>2020年1季度</v>
      </c>
      <c r="E876" s="26" t="s">
        <v>29</v>
      </c>
      <c r="F876" s="24">
        <v>32.799999999999997</v>
      </c>
      <c r="G876" s="24">
        <v>6</v>
      </c>
      <c r="H876" s="27">
        <v>196.8</v>
      </c>
      <c r="I876" s="26" t="s">
        <v>23</v>
      </c>
    </row>
    <row r="877" spans="1:9" ht="14.4" x14ac:dyDescent="0.25">
      <c r="A877" s="24">
        <v>10259</v>
      </c>
      <c r="B877" s="25">
        <v>43861</v>
      </c>
      <c r="C877" s="64">
        <f t="shared" si="27"/>
        <v>2020</v>
      </c>
      <c r="D877" s="64" t="str">
        <f t="shared" si="28"/>
        <v>2020年1季度</v>
      </c>
      <c r="E877" s="26" t="s">
        <v>29</v>
      </c>
      <c r="F877" s="24">
        <v>15</v>
      </c>
      <c r="G877" s="24">
        <v>14</v>
      </c>
      <c r="H877" s="27">
        <v>210</v>
      </c>
      <c r="I877" s="26" t="s">
        <v>22</v>
      </c>
    </row>
    <row r="878" spans="1:9" ht="14.4" x14ac:dyDescent="0.25">
      <c r="A878" s="24">
        <v>10259</v>
      </c>
      <c r="B878" s="25">
        <v>43861</v>
      </c>
      <c r="C878" s="64">
        <f t="shared" si="27"/>
        <v>2020</v>
      </c>
      <c r="D878" s="64" t="str">
        <f t="shared" si="28"/>
        <v>2020年1季度</v>
      </c>
      <c r="E878" s="26" t="s">
        <v>29</v>
      </c>
      <c r="F878" s="24">
        <v>14</v>
      </c>
      <c r="G878" s="24">
        <v>18</v>
      </c>
      <c r="H878" s="27">
        <v>252</v>
      </c>
      <c r="I878" s="26" t="s">
        <v>22</v>
      </c>
    </row>
    <row r="879" spans="1:9" ht="14.4" x14ac:dyDescent="0.25">
      <c r="A879" s="24">
        <v>10260</v>
      </c>
      <c r="B879" s="25">
        <v>43861</v>
      </c>
      <c r="C879" s="64">
        <f t="shared" si="27"/>
        <v>2020</v>
      </c>
      <c r="D879" s="64" t="str">
        <f t="shared" si="28"/>
        <v>2020年1季度</v>
      </c>
      <c r="E879" s="26" t="s">
        <v>29</v>
      </c>
      <c r="F879" s="24">
        <v>46</v>
      </c>
      <c r="G879" s="24">
        <v>15</v>
      </c>
      <c r="H879" s="27">
        <v>690</v>
      </c>
      <c r="I879" s="26" t="s">
        <v>27</v>
      </c>
    </row>
    <row r="880" spans="1:9" ht="14.4" x14ac:dyDescent="0.25">
      <c r="A880" s="24">
        <v>10260</v>
      </c>
      <c r="B880" s="25">
        <v>43861</v>
      </c>
      <c r="C880" s="64">
        <f t="shared" si="27"/>
        <v>2020</v>
      </c>
      <c r="D880" s="64" t="str">
        <f t="shared" si="28"/>
        <v>2020年1季度</v>
      </c>
      <c r="E880" s="26" t="s">
        <v>29</v>
      </c>
      <c r="F880" s="24">
        <v>12.75</v>
      </c>
      <c r="G880" s="24">
        <v>15</v>
      </c>
      <c r="H880" s="27">
        <v>191.25</v>
      </c>
      <c r="I880" s="26" t="s">
        <v>27</v>
      </c>
    </row>
    <row r="881" spans="1:9" ht="14.4" x14ac:dyDescent="0.25">
      <c r="A881" s="24">
        <v>10261</v>
      </c>
      <c r="B881" s="25">
        <v>43863</v>
      </c>
      <c r="C881" s="64">
        <f t="shared" si="27"/>
        <v>2020</v>
      </c>
      <c r="D881" s="64" t="str">
        <f t="shared" si="28"/>
        <v>2020年1季度</v>
      </c>
      <c r="E881" s="26" t="s">
        <v>29</v>
      </c>
      <c r="F881" s="24">
        <v>6</v>
      </c>
      <c r="G881" s="24">
        <v>10</v>
      </c>
      <c r="H881" s="27">
        <v>60</v>
      </c>
      <c r="I881" s="26" t="s">
        <v>22</v>
      </c>
    </row>
    <row r="882" spans="1:9" ht="14.4" x14ac:dyDescent="0.25">
      <c r="A882" s="24">
        <v>10261</v>
      </c>
      <c r="B882" s="25">
        <v>43863</v>
      </c>
      <c r="C882" s="64">
        <f t="shared" si="27"/>
        <v>2020</v>
      </c>
      <c r="D882" s="64" t="str">
        <f t="shared" si="28"/>
        <v>2020年1季度</v>
      </c>
      <c r="E882" s="26" t="s">
        <v>29</v>
      </c>
      <c r="F882" s="24">
        <v>18</v>
      </c>
      <c r="G882" s="24">
        <v>10</v>
      </c>
      <c r="H882" s="27">
        <v>180</v>
      </c>
      <c r="I882" s="26" t="s">
        <v>22</v>
      </c>
    </row>
    <row r="883" spans="1:9" ht="14.4" x14ac:dyDescent="0.25">
      <c r="A883" s="24">
        <v>10262</v>
      </c>
      <c r="B883" s="25">
        <v>43865</v>
      </c>
      <c r="C883" s="64">
        <f t="shared" si="27"/>
        <v>2020</v>
      </c>
      <c r="D883" s="64" t="str">
        <f t="shared" si="28"/>
        <v>2020年1季度</v>
      </c>
      <c r="E883" s="26" t="s">
        <v>29</v>
      </c>
      <c r="F883" s="24">
        <v>45.6</v>
      </c>
      <c r="G883" s="24">
        <v>3</v>
      </c>
      <c r="H883" s="27">
        <v>136.80000000000001</v>
      </c>
      <c r="I883" s="26" t="s">
        <v>22</v>
      </c>
    </row>
    <row r="884" spans="1:9" ht="14.4" x14ac:dyDescent="0.25">
      <c r="A884" s="24">
        <v>10263</v>
      </c>
      <c r="B884" s="25">
        <v>43867</v>
      </c>
      <c r="C884" s="64">
        <f t="shared" si="27"/>
        <v>2020</v>
      </c>
      <c r="D884" s="64" t="str">
        <f t="shared" si="28"/>
        <v>2020年1季度</v>
      </c>
      <c r="E884" s="26" t="s">
        <v>29</v>
      </c>
      <c r="F884" s="24">
        <v>123.79</v>
      </c>
      <c r="G884" s="24">
        <v>36</v>
      </c>
      <c r="H884" s="27">
        <v>4456.4399999999996</v>
      </c>
      <c r="I884" s="26" t="s">
        <v>26</v>
      </c>
    </row>
    <row r="885" spans="1:9" ht="14.4" x14ac:dyDescent="0.25">
      <c r="A885" s="24">
        <v>10263</v>
      </c>
      <c r="B885" s="25">
        <v>43867</v>
      </c>
      <c r="C885" s="64">
        <f t="shared" si="27"/>
        <v>2020</v>
      </c>
      <c r="D885" s="64" t="str">
        <f t="shared" si="28"/>
        <v>2020年1季度</v>
      </c>
      <c r="E885" s="26" t="s">
        <v>29</v>
      </c>
      <c r="F885" s="24">
        <v>7.75</v>
      </c>
      <c r="G885" s="24">
        <v>36</v>
      </c>
      <c r="H885" s="27">
        <v>279</v>
      </c>
      <c r="I885" s="26" t="s">
        <v>26</v>
      </c>
    </row>
    <row r="886" spans="1:9" ht="14.4" x14ac:dyDescent="0.25">
      <c r="A886" s="24">
        <v>10266</v>
      </c>
      <c r="B886" s="25">
        <v>43875</v>
      </c>
      <c r="C886" s="64">
        <f t="shared" si="27"/>
        <v>2020</v>
      </c>
      <c r="D886" s="64" t="str">
        <f t="shared" si="28"/>
        <v>2020年1季度</v>
      </c>
      <c r="E886" s="26" t="s">
        <v>29</v>
      </c>
      <c r="F886" s="24">
        <v>10</v>
      </c>
      <c r="G886" s="24">
        <v>40</v>
      </c>
      <c r="H886" s="27">
        <v>400</v>
      </c>
      <c r="I886" s="26" t="s">
        <v>22</v>
      </c>
    </row>
    <row r="887" spans="1:9" ht="14.4" x14ac:dyDescent="0.25">
      <c r="A887" s="24">
        <v>10266</v>
      </c>
      <c r="B887" s="25">
        <v>43875</v>
      </c>
      <c r="C887" s="64">
        <f t="shared" si="27"/>
        <v>2020</v>
      </c>
      <c r="D887" s="64" t="str">
        <f t="shared" si="28"/>
        <v>2020年1季度</v>
      </c>
      <c r="E887" s="26" t="s">
        <v>29</v>
      </c>
      <c r="F887" s="24">
        <v>28.5</v>
      </c>
      <c r="G887" s="24">
        <v>15</v>
      </c>
      <c r="H887" s="27">
        <v>427.5</v>
      </c>
      <c r="I887" s="26" t="s">
        <v>22</v>
      </c>
    </row>
    <row r="888" spans="1:9" ht="14.4" x14ac:dyDescent="0.25">
      <c r="A888" s="24">
        <v>10266</v>
      </c>
      <c r="B888" s="25">
        <v>43875</v>
      </c>
      <c r="C888" s="64">
        <f t="shared" si="27"/>
        <v>2020</v>
      </c>
      <c r="D888" s="64" t="str">
        <f t="shared" si="28"/>
        <v>2020年1季度</v>
      </c>
      <c r="E888" s="26" t="s">
        <v>29</v>
      </c>
      <c r="F888" s="24">
        <v>32</v>
      </c>
      <c r="G888" s="24">
        <v>50</v>
      </c>
      <c r="H888" s="27">
        <v>1600</v>
      </c>
      <c r="I888" s="26" t="s">
        <v>22</v>
      </c>
    </row>
    <row r="889" spans="1:9" ht="14.4" x14ac:dyDescent="0.25">
      <c r="A889" s="24">
        <v>10267</v>
      </c>
      <c r="B889" s="25">
        <v>43875</v>
      </c>
      <c r="C889" s="64">
        <f t="shared" si="27"/>
        <v>2020</v>
      </c>
      <c r="D889" s="64" t="str">
        <f t="shared" si="28"/>
        <v>2020年1季度</v>
      </c>
      <c r="E889" s="26" t="s">
        <v>29</v>
      </c>
      <c r="F889" s="24">
        <v>81</v>
      </c>
      <c r="G889" s="24">
        <v>39</v>
      </c>
      <c r="H889" s="27">
        <v>3159</v>
      </c>
      <c r="I889" s="26" t="s">
        <v>22</v>
      </c>
    </row>
    <row r="890" spans="1:9" ht="14.4" x14ac:dyDescent="0.25">
      <c r="A890" s="24">
        <v>10267</v>
      </c>
      <c r="B890" s="25">
        <v>43875</v>
      </c>
      <c r="C890" s="64">
        <f t="shared" si="27"/>
        <v>2020</v>
      </c>
      <c r="D890" s="64" t="str">
        <f t="shared" si="28"/>
        <v>2020年1季度</v>
      </c>
      <c r="E890" s="26" t="s">
        <v>29</v>
      </c>
      <c r="F890" s="24">
        <v>38</v>
      </c>
      <c r="G890" s="24">
        <v>70</v>
      </c>
      <c r="H890" s="27">
        <v>2660</v>
      </c>
      <c r="I890" s="26" t="s">
        <v>22</v>
      </c>
    </row>
    <row r="891" spans="1:9" ht="14.4" x14ac:dyDescent="0.25">
      <c r="A891" s="24">
        <v>10267</v>
      </c>
      <c r="B891" s="25">
        <v>43875</v>
      </c>
      <c r="C891" s="64">
        <f t="shared" si="27"/>
        <v>2020</v>
      </c>
      <c r="D891" s="64" t="str">
        <f t="shared" si="28"/>
        <v>2020年1季度</v>
      </c>
      <c r="E891" s="26" t="s">
        <v>29</v>
      </c>
      <c r="F891" s="24">
        <v>7.75</v>
      </c>
      <c r="G891" s="24">
        <v>50</v>
      </c>
      <c r="H891" s="27">
        <v>387.5</v>
      </c>
      <c r="I891" s="26" t="s">
        <v>22</v>
      </c>
    </row>
    <row r="892" spans="1:9" ht="14.4" x14ac:dyDescent="0.25">
      <c r="A892" s="24">
        <v>10267</v>
      </c>
      <c r="B892" s="25">
        <v>43875</v>
      </c>
      <c r="C892" s="64">
        <f t="shared" si="27"/>
        <v>2020</v>
      </c>
      <c r="D892" s="64" t="str">
        <f t="shared" si="28"/>
        <v>2020年1季度</v>
      </c>
      <c r="E892" s="26" t="s">
        <v>29</v>
      </c>
      <c r="F892" s="24">
        <v>21.05</v>
      </c>
      <c r="G892" s="24">
        <v>39</v>
      </c>
      <c r="H892" s="27">
        <v>820.95</v>
      </c>
      <c r="I892" s="26" t="s">
        <v>22</v>
      </c>
    </row>
    <row r="893" spans="1:9" ht="14.4" x14ac:dyDescent="0.25">
      <c r="A893" s="24">
        <v>10269</v>
      </c>
      <c r="B893" s="25">
        <v>43879</v>
      </c>
      <c r="C893" s="64">
        <f t="shared" si="27"/>
        <v>2020</v>
      </c>
      <c r="D893" s="64" t="str">
        <f t="shared" si="28"/>
        <v>2020年1季度</v>
      </c>
      <c r="E893" s="26" t="s">
        <v>29</v>
      </c>
      <c r="F893" s="24">
        <v>62.5</v>
      </c>
      <c r="G893" s="24">
        <v>25</v>
      </c>
      <c r="H893" s="27">
        <v>1562.5</v>
      </c>
      <c r="I893" s="26" t="s">
        <v>25</v>
      </c>
    </row>
    <row r="894" spans="1:9" ht="14.4" x14ac:dyDescent="0.25">
      <c r="A894" s="24">
        <v>10269</v>
      </c>
      <c r="B894" s="25">
        <v>43879</v>
      </c>
      <c r="C894" s="64">
        <f t="shared" si="27"/>
        <v>2020</v>
      </c>
      <c r="D894" s="64" t="str">
        <f t="shared" si="28"/>
        <v>2020年1季度</v>
      </c>
      <c r="E894" s="26" t="s">
        <v>29</v>
      </c>
      <c r="F894" s="24">
        <v>9.65</v>
      </c>
      <c r="G894" s="24">
        <v>80</v>
      </c>
      <c r="H894" s="27">
        <v>772</v>
      </c>
      <c r="I894" s="26" t="s">
        <v>25</v>
      </c>
    </row>
    <row r="895" spans="1:9" ht="14.4" x14ac:dyDescent="0.25">
      <c r="A895" s="24">
        <v>10270</v>
      </c>
      <c r="B895" s="25">
        <v>43879</v>
      </c>
      <c r="C895" s="64">
        <f t="shared" si="27"/>
        <v>2020</v>
      </c>
      <c r="D895" s="64" t="str">
        <f t="shared" si="28"/>
        <v>2020年1季度</v>
      </c>
      <c r="E895" s="26" t="s">
        <v>29</v>
      </c>
      <c r="F895" s="24">
        <v>7</v>
      </c>
      <c r="G895" s="24">
        <v>6</v>
      </c>
      <c r="H895" s="27">
        <v>42</v>
      </c>
      <c r="I895" s="26" t="s">
        <v>23</v>
      </c>
    </row>
    <row r="896" spans="1:9" ht="14.4" x14ac:dyDescent="0.25">
      <c r="A896" s="24">
        <v>10270</v>
      </c>
      <c r="B896" s="25">
        <v>43879</v>
      </c>
      <c r="C896" s="64">
        <f t="shared" si="27"/>
        <v>2020</v>
      </c>
      <c r="D896" s="64" t="str">
        <f t="shared" si="28"/>
        <v>2020年1季度</v>
      </c>
      <c r="E896" s="26" t="s">
        <v>29</v>
      </c>
      <c r="F896" s="24">
        <v>55</v>
      </c>
      <c r="G896" s="24">
        <v>4</v>
      </c>
      <c r="H896" s="27">
        <v>220</v>
      </c>
      <c r="I896" s="26" t="s">
        <v>23</v>
      </c>
    </row>
    <row r="897" spans="1:9" ht="14.4" x14ac:dyDescent="0.25">
      <c r="A897" s="24">
        <v>10270</v>
      </c>
      <c r="B897" s="25">
        <v>43879</v>
      </c>
      <c r="C897" s="64">
        <f t="shared" si="27"/>
        <v>2020</v>
      </c>
      <c r="D897" s="64" t="str">
        <f t="shared" si="28"/>
        <v>2020年1季度</v>
      </c>
      <c r="E897" s="26" t="s">
        <v>29</v>
      </c>
      <c r="F897" s="24">
        <v>15</v>
      </c>
      <c r="G897" s="24">
        <v>6</v>
      </c>
      <c r="H897" s="27">
        <v>90</v>
      </c>
      <c r="I897" s="26" t="s">
        <v>23</v>
      </c>
    </row>
    <row r="898" spans="1:9" ht="14.4" x14ac:dyDescent="0.25">
      <c r="A898" s="24">
        <v>10271</v>
      </c>
      <c r="B898" s="25">
        <v>43881</v>
      </c>
      <c r="C898" s="64">
        <f t="shared" si="27"/>
        <v>2020</v>
      </c>
      <c r="D898" s="64" t="str">
        <f t="shared" si="28"/>
        <v>2020年1季度</v>
      </c>
      <c r="E898" s="26" t="s">
        <v>29</v>
      </c>
      <c r="F898" s="24">
        <v>263.5</v>
      </c>
      <c r="G898" s="24">
        <v>15</v>
      </c>
      <c r="H898" s="27">
        <v>3952.5</v>
      </c>
      <c r="I898" s="26" t="s">
        <v>23</v>
      </c>
    </row>
    <row r="899" spans="1:9" ht="14.4" x14ac:dyDescent="0.25">
      <c r="A899" s="24">
        <v>10271</v>
      </c>
      <c r="B899" s="25">
        <v>43881</v>
      </c>
      <c r="C899" s="64">
        <f t="shared" ref="C899:C962" si="29">YEAR(B899)</f>
        <v>2020</v>
      </c>
      <c r="D899" s="64" t="str">
        <f t="shared" ref="D899:D962" si="30">YEAR(B899)&amp;"年"&amp;ROUNDUP(MONTH(B899)/3,0)&amp;"季度"</f>
        <v>2020年1季度</v>
      </c>
      <c r="E899" s="26" t="s">
        <v>29</v>
      </c>
      <c r="F899" s="24">
        <v>19.45</v>
      </c>
      <c r="G899" s="24">
        <v>9</v>
      </c>
      <c r="H899" s="27">
        <v>175.05</v>
      </c>
      <c r="I899" s="26" t="s">
        <v>23</v>
      </c>
    </row>
    <row r="900" spans="1:9" ht="14.4" x14ac:dyDescent="0.25">
      <c r="A900" s="24">
        <v>10271</v>
      </c>
      <c r="B900" s="25">
        <v>43881</v>
      </c>
      <c r="C900" s="64">
        <f t="shared" si="29"/>
        <v>2020</v>
      </c>
      <c r="D900" s="64" t="str">
        <f t="shared" si="30"/>
        <v>2020年1季度</v>
      </c>
      <c r="E900" s="26" t="s">
        <v>29</v>
      </c>
      <c r="F900" s="24">
        <v>4.5</v>
      </c>
      <c r="G900" s="24">
        <v>5</v>
      </c>
      <c r="H900" s="27">
        <v>22.5</v>
      </c>
      <c r="I900" s="26" t="s">
        <v>23</v>
      </c>
    </row>
    <row r="901" spans="1:9" ht="14.4" x14ac:dyDescent="0.25">
      <c r="A901" s="24">
        <v>10274</v>
      </c>
      <c r="B901" s="25">
        <v>43889</v>
      </c>
      <c r="C901" s="64">
        <f t="shared" si="29"/>
        <v>2020</v>
      </c>
      <c r="D901" s="64" t="str">
        <f t="shared" si="30"/>
        <v>2020年1季度</v>
      </c>
      <c r="E901" s="26" t="s">
        <v>29</v>
      </c>
      <c r="F901" s="24">
        <v>12.5</v>
      </c>
      <c r="G901" s="24">
        <v>6</v>
      </c>
      <c r="H901" s="27">
        <v>75</v>
      </c>
      <c r="I901" s="26" t="s">
        <v>22</v>
      </c>
    </row>
    <row r="902" spans="1:9" ht="14.4" x14ac:dyDescent="0.25">
      <c r="A902" s="24">
        <v>10275</v>
      </c>
      <c r="B902" s="25">
        <v>43891</v>
      </c>
      <c r="C902" s="64">
        <f t="shared" si="29"/>
        <v>2020</v>
      </c>
      <c r="D902" s="64" t="str">
        <f t="shared" si="30"/>
        <v>2020年1季度</v>
      </c>
      <c r="E902" s="26" t="s">
        <v>29</v>
      </c>
      <c r="F902" s="24">
        <v>40</v>
      </c>
      <c r="G902" s="24">
        <v>24</v>
      </c>
      <c r="H902" s="27">
        <v>960</v>
      </c>
      <c r="I902" s="26" t="s">
        <v>22</v>
      </c>
    </row>
    <row r="903" spans="1:9" ht="14.4" x14ac:dyDescent="0.25">
      <c r="A903" s="24">
        <v>10275</v>
      </c>
      <c r="B903" s="25">
        <v>43891</v>
      </c>
      <c r="C903" s="64">
        <f t="shared" si="29"/>
        <v>2020</v>
      </c>
      <c r="D903" s="64" t="str">
        <f t="shared" si="30"/>
        <v>2020年1季度</v>
      </c>
      <c r="E903" s="26" t="s">
        <v>29</v>
      </c>
      <c r="F903" s="24">
        <v>25.89</v>
      </c>
      <c r="G903" s="24">
        <v>20</v>
      </c>
      <c r="H903" s="27">
        <v>517.79999999999995</v>
      </c>
      <c r="I903" s="26" t="s">
        <v>22</v>
      </c>
    </row>
    <row r="904" spans="1:9" ht="14.4" x14ac:dyDescent="0.25">
      <c r="A904" s="24">
        <v>10275</v>
      </c>
      <c r="B904" s="25">
        <v>43891</v>
      </c>
      <c r="C904" s="64">
        <f t="shared" si="29"/>
        <v>2020</v>
      </c>
      <c r="D904" s="64" t="str">
        <f t="shared" si="30"/>
        <v>2020年1季度</v>
      </c>
      <c r="E904" s="26" t="s">
        <v>29</v>
      </c>
      <c r="F904" s="24">
        <v>18.399999999999999</v>
      </c>
      <c r="G904" s="24">
        <v>25</v>
      </c>
      <c r="H904" s="27">
        <v>460</v>
      </c>
      <c r="I904" s="26" t="s">
        <v>22</v>
      </c>
    </row>
    <row r="905" spans="1:9" ht="14.4" x14ac:dyDescent="0.25">
      <c r="A905" s="24">
        <v>10275</v>
      </c>
      <c r="B905" s="25">
        <v>43891</v>
      </c>
      <c r="C905" s="64">
        <f t="shared" si="29"/>
        <v>2020</v>
      </c>
      <c r="D905" s="64" t="str">
        <f t="shared" si="30"/>
        <v>2020年1季度</v>
      </c>
      <c r="E905" s="26" t="s">
        <v>29</v>
      </c>
      <c r="F905" s="24">
        <v>18</v>
      </c>
      <c r="G905" s="24">
        <v>40</v>
      </c>
      <c r="H905" s="27">
        <v>720</v>
      </c>
      <c r="I905" s="26" t="s">
        <v>22</v>
      </c>
    </row>
    <row r="906" spans="1:9" ht="14.4" x14ac:dyDescent="0.25">
      <c r="A906" s="24">
        <v>10276</v>
      </c>
      <c r="B906" s="25">
        <v>43893</v>
      </c>
      <c r="C906" s="64">
        <f t="shared" si="29"/>
        <v>2020</v>
      </c>
      <c r="D906" s="64" t="str">
        <f t="shared" si="30"/>
        <v>2020年1季度</v>
      </c>
      <c r="E906" s="26" t="s">
        <v>29</v>
      </c>
      <c r="F906" s="24">
        <v>9.65</v>
      </c>
      <c r="G906" s="24">
        <v>6</v>
      </c>
      <c r="H906" s="27">
        <v>57.9</v>
      </c>
      <c r="I906" s="26" t="s">
        <v>23</v>
      </c>
    </row>
    <row r="907" spans="1:9" ht="14.4" x14ac:dyDescent="0.25">
      <c r="A907" s="24">
        <v>10276</v>
      </c>
      <c r="B907" s="25">
        <v>43893</v>
      </c>
      <c r="C907" s="64">
        <f t="shared" si="29"/>
        <v>2020</v>
      </c>
      <c r="D907" s="64" t="str">
        <f t="shared" si="30"/>
        <v>2020年1季度</v>
      </c>
      <c r="E907" s="26" t="s">
        <v>29</v>
      </c>
      <c r="F907" s="24">
        <v>81</v>
      </c>
      <c r="G907" s="24">
        <v>15</v>
      </c>
      <c r="H907" s="27">
        <v>1215</v>
      </c>
      <c r="I907" s="26" t="s">
        <v>23</v>
      </c>
    </row>
    <row r="908" spans="1:9" ht="14.4" x14ac:dyDescent="0.25">
      <c r="A908" s="24">
        <v>10276</v>
      </c>
      <c r="B908" s="25">
        <v>43893</v>
      </c>
      <c r="C908" s="64">
        <f t="shared" si="29"/>
        <v>2020</v>
      </c>
      <c r="D908" s="64" t="str">
        <f t="shared" si="30"/>
        <v>2020年1季度</v>
      </c>
      <c r="E908" s="26" t="s">
        <v>29</v>
      </c>
      <c r="F908" s="24">
        <v>26</v>
      </c>
      <c r="G908" s="24">
        <v>18</v>
      </c>
      <c r="H908" s="27">
        <v>468</v>
      </c>
      <c r="I908" s="26" t="s">
        <v>23</v>
      </c>
    </row>
    <row r="909" spans="1:9" ht="14.4" x14ac:dyDescent="0.25">
      <c r="A909" s="24">
        <v>10277</v>
      </c>
      <c r="B909" s="25">
        <v>43893</v>
      </c>
      <c r="C909" s="64">
        <f t="shared" si="29"/>
        <v>2020</v>
      </c>
      <c r="D909" s="64" t="str">
        <f t="shared" si="30"/>
        <v>2020年1季度</v>
      </c>
      <c r="E909" s="26" t="s">
        <v>29</v>
      </c>
      <c r="F909" s="24">
        <v>31</v>
      </c>
      <c r="G909" s="24">
        <v>2</v>
      </c>
      <c r="H909" s="27">
        <v>62</v>
      </c>
      <c r="I909" s="26" t="s">
        <v>27</v>
      </c>
    </row>
    <row r="910" spans="1:9" ht="14.4" x14ac:dyDescent="0.25">
      <c r="A910" s="24">
        <v>10277</v>
      </c>
      <c r="B910" s="25">
        <v>43893</v>
      </c>
      <c r="C910" s="64">
        <f t="shared" si="29"/>
        <v>2020</v>
      </c>
      <c r="D910" s="64" t="str">
        <f t="shared" si="30"/>
        <v>2020年1季度</v>
      </c>
      <c r="E910" s="26" t="s">
        <v>29</v>
      </c>
      <c r="F910" s="24">
        <v>25.89</v>
      </c>
      <c r="G910" s="24">
        <v>10</v>
      </c>
      <c r="H910" s="27">
        <v>258.89999999999998</v>
      </c>
      <c r="I910" s="26" t="s">
        <v>27</v>
      </c>
    </row>
    <row r="911" spans="1:9" ht="14.4" x14ac:dyDescent="0.25">
      <c r="A911" s="24">
        <v>10280</v>
      </c>
      <c r="B911" s="25">
        <v>43901</v>
      </c>
      <c r="C911" s="64">
        <f t="shared" si="29"/>
        <v>2020</v>
      </c>
      <c r="D911" s="64" t="str">
        <f t="shared" si="30"/>
        <v>2020年1季度</v>
      </c>
      <c r="E911" s="26" t="s">
        <v>29</v>
      </c>
      <c r="F911" s="24">
        <v>19</v>
      </c>
      <c r="G911" s="24">
        <v>30</v>
      </c>
      <c r="H911" s="27">
        <v>570</v>
      </c>
      <c r="I911" s="26" t="s">
        <v>22</v>
      </c>
    </row>
    <row r="912" spans="1:9" ht="14.4" x14ac:dyDescent="0.25">
      <c r="A912" s="24">
        <v>10280</v>
      </c>
      <c r="B912" s="25">
        <v>43901</v>
      </c>
      <c r="C912" s="64">
        <f t="shared" si="29"/>
        <v>2020</v>
      </c>
      <c r="D912" s="64" t="str">
        <f t="shared" si="30"/>
        <v>2020年1季度</v>
      </c>
      <c r="E912" s="26" t="s">
        <v>29</v>
      </c>
      <c r="F912" s="24">
        <v>22</v>
      </c>
      <c r="G912" s="24">
        <v>50</v>
      </c>
      <c r="H912" s="27">
        <v>1100</v>
      </c>
      <c r="I912" s="26" t="s">
        <v>22</v>
      </c>
    </row>
    <row r="913" spans="1:9" ht="14.4" x14ac:dyDescent="0.25">
      <c r="A913" s="24">
        <v>10281</v>
      </c>
      <c r="B913" s="25">
        <v>43903</v>
      </c>
      <c r="C913" s="64">
        <f t="shared" si="29"/>
        <v>2020</v>
      </c>
      <c r="D913" s="64" t="str">
        <f t="shared" si="30"/>
        <v>2020年1季度</v>
      </c>
      <c r="E913" s="26" t="s">
        <v>29</v>
      </c>
      <c r="F913" s="24">
        <v>2.5</v>
      </c>
      <c r="G913" s="24">
        <v>8</v>
      </c>
      <c r="H913" s="27">
        <v>20</v>
      </c>
      <c r="I913" s="26" t="s">
        <v>22</v>
      </c>
    </row>
    <row r="914" spans="1:9" ht="14.4" x14ac:dyDescent="0.25">
      <c r="A914" s="24">
        <v>10281</v>
      </c>
      <c r="B914" s="25">
        <v>43903</v>
      </c>
      <c r="C914" s="64">
        <f t="shared" si="29"/>
        <v>2020</v>
      </c>
      <c r="D914" s="64" t="str">
        <f t="shared" si="30"/>
        <v>2020年1季度</v>
      </c>
      <c r="E914" s="26" t="s">
        <v>29</v>
      </c>
      <c r="F914" s="24">
        <v>34.799999999999997</v>
      </c>
      <c r="G914" s="24">
        <v>9</v>
      </c>
      <c r="H914" s="27">
        <v>313.2</v>
      </c>
      <c r="I914" s="26" t="s">
        <v>22</v>
      </c>
    </row>
    <row r="915" spans="1:9" ht="14.4" x14ac:dyDescent="0.25">
      <c r="A915" s="24">
        <v>10281</v>
      </c>
      <c r="B915" s="25">
        <v>43903</v>
      </c>
      <c r="C915" s="64">
        <f t="shared" si="29"/>
        <v>2020</v>
      </c>
      <c r="D915" s="64" t="str">
        <f t="shared" si="30"/>
        <v>2020年1季度</v>
      </c>
      <c r="E915" s="26" t="s">
        <v>29</v>
      </c>
      <c r="F915" s="24">
        <v>21</v>
      </c>
      <c r="G915" s="24">
        <v>3</v>
      </c>
      <c r="H915" s="27">
        <v>63</v>
      </c>
      <c r="I915" s="26" t="s">
        <v>22</v>
      </c>
    </row>
    <row r="916" spans="1:9" ht="14.4" x14ac:dyDescent="0.25">
      <c r="A916" s="24">
        <v>10282</v>
      </c>
      <c r="B916" s="25">
        <v>43905</v>
      </c>
      <c r="C916" s="64">
        <f t="shared" si="29"/>
        <v>2020</v>
      </c>
      <c r="D916" s="64" t="str">
        <f t="shared" si="30"/>
        <v>2020年1季度</v>
      </c>
      <c r="E916" s="26" t="s">
        <v>29</v>
      </c>
      <c r="F916" s="24">
        <v>12.5</v>
      </c>
      <c r="G916" s="24">
        <v>20</v>
      </c>
      <c r="H916" s="27">
        <v>250</v>
      </c>
      <c r="I916" s="26" t="s">
        <v>25</v>
      </c>
    </row>
    <row r="917" spans="1:9" ht="14.4" x14ac:dyDescent="0.25">
      <c r="A917" s="24">
        <v>10282</v>
      </c>
      <c r="B917" s="25">
        <v>43905</v>
      </c>
      <c r="C917" s="64">
        <f t="shared" si="29"/>
        <v>2020</v>
      </c>
      <c r="D917" s="64" t="str">
        <f t="shared" si="30"/>
        <v>2020年1季度</v>
      </c>
      <c r="E917" s="26" t="s">
        <v>29</v>
      </c>
      <c r="F917" s="24">
        <v>36</v>
      </c>
      <c r="G917" s="24">
        <v>10</v>
      </c>
      <c r="H917" s="27">
        <v>360</v>
      </c>
      <c r="I917" s="26" t="s">
        <v>25</v>
      </c>
    </row>
    <row r="918" spans="1:9" ht="14.4" x14ac:dyDescent="0.25">
      <c r="A918" s="24">
        <v>10282</v>
      </c>
      <c r="B918" s="25">
        <v>43905</v>
      </c>
      <c r="C918" s="64">
        <f t="shared" si="29"/>
        <v>2020</v>
      </c>
      <c r="D918" s="64" t="str">
        <f t="shared" si="30"/>
        <v>2020年1季度</v>
      </c>
      <c r="E918" s="26" t="s">
        <v>29</v>
      </c>
      <c r="F918" s="24">
        <v>24</v>
      </c>
      <c r="G918" s="24">
        <v>14</v>
      </c>
      <c r="H918" s="27">
        <v>336</v>
      </c>
      <c r="I918" s="26" t="s">
        <v>25</v>
      </c>
    </row>
    <row r="919" spans="1:9" ht="14.4" x14ac:dyDescent="0.25">
      <c r="A919" s="24">
        <v>10283</v>
      </c>
      <c r="B919" s="25">
        <v>43907</v>
      </c>
      <c r="C919" s="64">
        <f t="shared" si="29"/>
        <v>2020</v>
      </c>
      <c r="D919" s="64" t="str">
        <f t="shared" si="30"/>
        <v>2020年1季度</v>
      </c>
      <c r="E919" s="26" t="s">
        <v>29</v>
      </c>
      <c r="F919" s="24">
        <v>46</v>
      </c>
      <c r="G919" s="24">
        <v>25</v>
      </c>
      <c r="H919" s="27">
        <v>1150</v>
      </c>
      <c r="I919" s="26" t="s">
        <v>22</v>
      </c>
    </row>
    <row r="920" spans="1:9" ht="14.4" x14ac:dyDescent="0.25">
      <c r="A920" s="24">
        <v>10283</v>
      </c>
      <c r="B920" s="25">
        <v>43907</v>
      </c>
      <c r="C920" s="64">
        <f t="shared" si="29"/>
        <v>2020</v>
      </c>
      <c r="D920" s="64" t="str">
        <f t="shared" si="30"/>
        <v>2020年1季度</v>
      </c>
      <c r="E920" s="26" t="s">
        <v>29</v>
      </c>
      <c r="F920" s="24">
        <v>18</v>
      </c>
      <c r="G920" s="24">
        <v>50</v>
      </c>
      <c r="H920" s="27">
        <v>900</v>
      </c>
      <c r="I920" s="26" t="s">
        <v>22</v>
      </c>
    </row>
    <row r="921" spans="1:9" ht="14.4" x14ac:dyDescent="0.25">
      <c r="A921" s="24">
        <v>10287</v>
      </c>
      <c r="B921" s="25">
        <v>43915</v>
      </c>
      <c r="C921" s="64">
        <f t="shared" si="29"/>
        <v>2020</v>
      </c>
      <c r="D921" s="64" t="str">
        <f t="shared" si="30"/>
        <v>2020年1季度</v>
      </c>
      <c r="E921" s="26" t="s">
        <v>29</v>
      </c>
      <c r="F921" s="24">
        <v>18.399999999999999</v>
      </c>
      <c r="G921" s="24">
        <v>10</v>
      </c>
      <c r="H921" s="27">
        <v>184</v>
      </c>
      <c r="I921" s="26" t="s">
        <v>27</v>
      </c>
    </row>
    <row r="922" spans="1:9" ht="14.4" x14ac:dyDescent="0.25">
      <c r="A922" s="24">
        <v>10287</v>
      </c>
      <c r="B922" s="25">
        <v>43915</v>
      </c>
      <c r="C922" s="64">
        <f t="shared" si="29"/>
        <v>2020</v>
      </c>
      <c r="D922" s="64" t="str">
        <f t="shared" si="30"/>
        <v>2020年1季度</v>
      </c>
      <c r="E922" s="26" t="s">
        <v>29</v>
      </c>
      <c r="F922" s="24">
        <v>7.45</v>
      </c>
      <c r="G922" s="24">
        <v>10</v>
      </c>
      <c r="H922" s="27">
        <v>74.5</v>
      </c>
      <c r="I922" s="26" t="s">
        <v>27</v>
      </c>
    </row>
    <row r="923" spans="1:9" ht="14.4" x14ac:dyDescent="0.25">
      <c r="A923" s="24">
        <v>10287</v>
      </c>
      <c r="B923" s="25">
        <v>43915</v>
      </c>
      <c r="C923" s="64">
        <f t="shared" si="29"/>
        <v>2020</v>
      </c>
      <c r="D923" s="64" t="str">
        <f t="shared" si="30"/>
        <v>2020年1季度</v>
      </c>
      <c r="E923" s="26" t="s">
        <v>29</v>
      </c>
      <c r="F923" s="24">
        <v>25.89</v>
      </c>
      <c r="G923" s="24">
        <v>10</v>
      </c>
      <c r="H923" s="27">
        <v>258.89999999999998</v>
      </c>
      <c r="I923" s="26" t="s">
        <v>27</v>
      </c>
    </row>
    <row r="924" spans="1:9" ht="14.4" x14ac:dyDescent="0.25">
      <c r="A924" s="24">
        <v>10288</v>
      </c>
      <c r="B924" s="25">
        <v>43917</v>
      </c>
      <c r="C924" s="64">
        <f t="shared" si="29"/>
        <v>2020</v>
      </c>
      <c r="D924" s="64" t="str">
        <f t="shared" si="30"/>
        <v>2020年1季度</v>
      </c>
      <c r="E924" s="26" t="s">
        <v>29</v>
      </c>
      <c r="F924" s="24">
        <v>55</v>
      </c>
      <c r="G924" s="24">
        <v>15</v>
      </c>
      <c r="H924" s="27">
        <v>825</v>
      </c>
      <c r="I924" s="26" t="s">
        <v>23</v>
      </c>
    </row>
    <row r="925" spans="1:9" ht="14.4" x14ac:dyDescent="0.25">
      <c r="A925" s="24">
        <v>10288</v>
      </c>
      <c r="B925" s="25">
        <v>43917</v>
      </c>
      <c r="C925" s="64">
        <f t="shared" si="29"/>
        <v>2020</v>
      </c>
      <c r="D925" s="64" t="str">
        <f t="shared" si="30"/>
        <v>2020年1季度</v>
      </c>
      <c r="E925" s="26" t="s">
        <v>29</v>
      </c>
      <c r="F925" s="24">
        <v>21</v>
      </c>
      <c r="G925" s="24">
        <v>50</v>
      </c>
      <c r="H925" s="27">
        <v>1050</v>
      </c>
      <c r="I925" s="26" t="s">
        <v>23</v>
      </c>
    </row>
    <row r="926" spans="1:9" ht="14.4" x14ac:dyDescent="0.25">
      <c r="A926" s="24">
        <v>10288</v>
      </c>
      <c r="B926" s="25">
        <v>43917</v>
      </c>
      <c r="C926" s="64">
        <f t="shared" si="29"/>
        <v>2020</v>
      </c>
      <c r="D926" s="64" t="str">
        <f t="shared" si="30"/>
        <v>2020年1季度</v>
      </c>
      <c r="E926" s="26" t="s">
        <v>29</v>
      </c>
      <c r="F926" s="24">
        <v>19.5</v>
      </c>
      <c r="G926" s="24">
        <v>5</v>
      </c>
      <c r="H926" s="27">
        <v>97.5</v>
      </c>
      <c r="I926" s="26" t="s">
        <v>23</v>
      </c>
    </row>
    <row r="927" spans="1:9" ht="14.4" x14ac:dyDescent="0.25">
      <c r="A927" s="24">
        <v>10288</v>
      </c>
      <c r="B927" s="25">
        <v>43917</v>
      </c>
      <c r="C927" s="64">
        <f t="shared" si="29"/>
        <v>2020</v>
      </c>
      <c r="D927" s="64" t="str">
        <f t="shared" si="30"/>
        <v>2020年1季度</v>
      </c>
      <c r="E927" s="26" t="s">
        <v>29</v>
      </c>
      <c r="F927" s="24">
        <v>18.399999999999999</v>
      </c>
      <c r="G927" s="24">
        <v>10</v>
      </c>
      <c r="H927" s="27">
        <v>184</v>
      </c>
      <c r="I927" s="26" t="s">
        <v>23</v>
      </c>
    </row>
    <row r="928" spans="1:9" ht="14.4" x14ac:dyDescent="0.25">
      <c r="A928" s="24">
        <v>10289</v>
      </c>
      <c r="B928" s="25">
        <v>43919</v>
      </c>
      <c r="C928" s="64">
        <f t="shared" si="29"/>
        <v>2020</v>
      </c>
      <c r="D928" s="64" t="str">
        <f t="shared" si="30"/>
        <v>2020年1季度</v>
      </c>
      <c r="E928" s="26" t="s">
        <v>29</v>
      </c>
      <c r="F928" s="24">
        <v>34</v>
      </c>
      <c r="G928" s="24">
        <v>35</v>
      </c>
      <c r="H928" s="27">
        <v>1190</v>
      </c>
      <c r="I928" s="26" t="s">
        <v>22</v>
      </c>
    </row>
    <row r="929" spans="1:9" ht="14.4" x14ac:dyDescent="0.25">
      <c r="A929" s="24">
        <v>10289</v>
      </c>
      <c r="B929" s="25">
        <v>43919</v>
      </c>
      <c r="C929" s="64">
        <f t="shared" si="29"/>
        <v>2020</v>
      </c>
      <c r="D929" s="64" t="str">
        <f t="shared" si="30"/>
        <v>2020年1季度</v>
      </c>
      <c r="E929" s="26" t="s">
        <v>29</v>
      </c>
      <c r="F929" s="24">
        <v>12.5</v>
      </c>
      <c r="G929" s="24">
        <v>20</v>
      </c>
      <c r="H929" s="27">
        <v>250</v>
      </c>
      <c r="I929" s="26" t="s">
        <v>22</v>
      </c>
    </row>
    <row r="930" spans="1:9" ht="14.4" x14ac:dyDescent="0.25">
      <c r="A930" s="24">
        <v>10289</v>
      </c>
      <c r="B930" s="25">
        <v>43919</v>
      </c>
      <c r="C930" s="64">
        <f t="shared" si="29"/>
        <v>2020</v>
      </c>
      <c r="D930" s="64" t="str">
        <f t="shared" si="30"/>
        <v>2020年1季度</v>
      </c>
      <c r="E930" s="26" t="s">
        <v>29</v>
      </c>
      <c r="F930" s="24">
        <v>2.5</v>
      </c>
      <c r="G930" s="24">
        <v>30</v>
      </c>
      <c r="H930" s="27">
        <v>75</v>
      </c>
      <c r="I930" s="26" t="s">
        <v>22</v>
      </c>
    </row>
    <row r="931" spans="1:9" ht="14.4" x14ac:dyDescent="0.25">
      <c r="A931" s="24">
        <v>10289</v>
      </c>
      <c r="B931" s="25">
        <v>43919</v>
      </c>
      <c r="C931" s="64">
        <f t="shared" si="29"/>
        <v>2020</v>
      </c>
      <c r="D931" s="64" t="str">
        <f t="shared" si="30"/>
        <v>2020年1季度</v>
      </c>
      <c r="E931" s="26" t="s">
        <v>29</v>
      </c>
      <c r="F931" s="24">
        <v>38</v>
      </c>
      <c r="G931" s="24">
        <v>15</v>
      </c>
      <c r="H931" s="27">
        <v>570</v>
      </c>
      <c r="I931" s="26" t="s">
        <v>22</v>
      </c>
    </row>
    <row r="932" spans="1:9" ht="14.4" x14ac:dyDescent="0.25">
      <c r="A932" s="24">
        <v>10292</v>
      </c>
      <c r="B932" s="25">
        <v>43923</v>
      </c>
      <c r="C932" s="64">
        <f t="shared" si="29"/>
        <v>2020</v>
      </c>
      <c r="D932" s="64" t="str">
        <f t="shared" si="30"/>
        <v>2020年2季度</v>
      </c>
      <c r="E932" s="26" t="s">
        <v>29</v>
      </c>
      <c r="F932" s="24">
        <v>6</v>
      </c>
      <c r="G932" s="24">
        <v>8</v>
      </c>
      <c r="H932" s="27">
        <v>48</v>
      </c>
      <c r="I932" s="26" t="s">
        <v>23</v>
      </c>
    </row>
    <row r="933" spans="1:9" ht="14.4" x14ac:dyDescent="0.25">
      <c r="A933" s="24">
        <v>10292</v>
      </c>
      <c r="B933" s="25">
        <v>43923</v>
      </c>
      <c r="C933" s="64">
        <f t="shared" si="29"/>
        <v>2020</v>
      </c>
      <c r="D933" s="64" t="str">
        <f t="shared" si="30"/>
        <v>2020年2季度</v>
      </c>
      <c r="E933" s="26" t="s">
        <v>29</v>
      </c>
      <c r="F933" s="24">
        <v>10</v>
      </c>
      <c r="G933" s="24">
        <v>15</v>
      </c>
      <c r="H933" s="27">
        <v>150</v>
      </c>
      <c r="I933" s="26" t="s">
        <v>23</v>
      </c>
    </row>
    <row r="934" spans="1:9" ht="14.4" x14ac:dyDescent="0.25">
      <c r="A934" s="24">
        <v>10292</v>
      </c>
      <c r="B934" s="25">
        <v>43923</v>
      </c>
      <c r="C934" s="64">
        <f t="shared" si="29"/>
        <v>2020</v>
      </c>
      <c r="D934" s="64" t="str">
        <f t="shared" si="30"/>
        <v>2020年2季度</v>
      </c>
      <c r="E934" s="26" t="s">
        <v>29</v>
      </c>
      <c r="F934" s="24">
        <v>20</v>
      </c>
      <c r="G934" s="24">
        <v>6</v>
      </c>
      <c r="H934" s="27">
        <v>120</v>
      </c>
      <c r="I934" s="26" t="s">
        <v>23</v>
      </c>
    </row>
    <row r="935" spans="1:9" ht="14.4" x14ac:dyDescent="0.25">
      <c r="A935" s="24">
        <v>10292</v>
      </c>
      <c r="B935" s="25">
        <v>43923</v>
      </c>
      <c r="C935" s="64">
        <f t="shared" si="29"/>
        <v>2020</v>
      </c>
      <c r="D935" s="64" t="str">
        <f t="shared" si="30"/>
        <v>2020年2季度</v>
      </c>
      <c r="E935" s="26" t="s">
        <v>29</v>
      </c>
      <c r="F935" s="24">
        <v>2.5</v>
      </c>
      <c r="G935" s="24">
        <v>15</v>
      </c>
      <c r="H935" s="27">
        <v>37.5</v>
      </c>
      <c r="I935" s="26" t="s">
        <v>23</v>
      </c>
    </row>
    <row r="936" spans="1:9" ht="14.4" x14ac:dyDescent="0.25">
      <c r="A936" s="24">
        <v>10293</v>
      </c>
      <c r="B936" s="25">
        <v>43929</v>
      </c>
      <c r="C936" s="64">
        <f t="shared" si="29"/>
        <v>2020</v>
      </c>
      <c r="D936" s="64" t="str">
        <f t="shared" si="30"/>
        <v>2020年2季度</v>
      </c>
      <c r="E936" s="26" t="s">
        <v>29</v>
      </c>
      <c r="F936" s="24">
        <v>31.23</v>
      </c>
      <c r="G936" s="24">
        <v>40</v>
      </c>
      <c r="H936" s="27">
        <v>1249.2</v>
      </c>
      <c r="I936" s="26" t="s">
        <v>22</v>
      </c>
    </row>
    <row r="937" spans="1:9" ht="14.4" x14ac:dyDescent="0.25">
      <c r="A937" s="24">
        <v>10293</v>
      </c>
      <c r="B937" s="25">
        <v>43929</v>
      </c>
      <c r="C937" s="64">
        <f t="shared" si="29"/>
        <v>2020</v>
      </c>
      <c r="D937" s="64" t="str">
        <f t="shared" si="30"/>
        <v>2020年2季度</v>
      </c>
      <c r="E937" s="26" t="s">
        <v>29</v>
      </c>
      <c r="F937" s="24">
        <v>12.5</v>
      </c>
      <c r="G937" s="24">
        <v>35</v>
      </c>
      <c r="H937" s="27">
        <v>437.5</v>
      </c>
      <c r="I937" s="26" t="s">
        <v>22</v>
      </c>
    </row>
    <row r="938" spans="1:9" ht="14.4" x14ac:dyDescent="0.25">
      <c r="A938" s="24">
        <v>10293</v>
      </c>
      <c r="B938" s="25">
        <v>43929</v>
      </c>
      <c r="C938" s="64">
        <f t="shared" si="29"/>
        <v>2020</v>
      </c>
      <c r="D938" s="64" t="str">
        <f t="shared" si="30"/>
        <v>2020年2季度</v>
      </c>
      <c r="E938" s="26" t="s">
        <v>29</v>
      </c>
      <c r="F938" s="24">
        <v>10</v>
      </c>
      <c r="G938" s="24">
        <v>60</v>
      </c>
      <c r="H938" s="27">
        <v>600</v>
      </c>
      <c r="I938" s="26" t="s">
        <v>22</v>
      </c>
    </row>
    <row r="939" spans="1:9" ht="14.4" x14ac:dyDescent="0.25">
      <c r="A939" s="24">
        <v>10293</v>
      </c>
      <c r="B939" s="25">
        <v>43929</v>
      </c>
      <c r="C939" s="64">
        <f t="shared" si="29"/>
        <v>2020</v>
      </c>
      <c r="D939" s="64" t="str">
        <f t="shared" si="30"/>
        <v>2020年2季度</v>
      </c>
      <c r="E939" s="26" t="s">
        <v>29</v>
      </c>
      <c r="F939" s="24">
        <v>263.5</v>
      </c>
      <c r="G939" s="24">
        <v>30</v>
      </c>
      <c r="H939" s="27">
        <v>7905</v>
      </c>
      <c r="I939" s="26" t="s">
        <v>22</v>
      </c>
    </row>
    <row r="940" spans="1:9" ht="14.4" x14ac:dyDescent="0.25">
      <c r="A940" s="24">
        <v>10296</v>
      </c>
      <c r="B940" s="25">
        <v>43933</v>
      </c>
      <c r="C940" s="64">
        <f t="shared" si="29"/>
        <v>2020</v>
      </c>
      <c r="D940" s="64" t="str">
        <f t="shared" si="30"/>
        <v>2020年2季度</v>
      </c>
      <c r="E940" s="26" t="s">
        <v>29</v>
      </c>
      <c r="F940" s="24">
        <v>9</v>
      </c>
      <c r="G940" s="24">
        <v>70</v>
      </c>
      <c r="H940" s="27">
        <v>630</v>
      </c>
      <c r="I940" s="26" t="s">
        <v>26</v>
      </c>
    </row>
    <row r="941" spans="1:9" ht="14.4" x14ac:dyDescent="0.25">
      <c r="A941" s="24">
        <v>10297</v>
      </c>
      <c r="B941" s="25">
        <v>43933</v>
      </c>
      <c r="C941" s="64">
        <f t="shared" si="29"/>
        <v>2020</v>
      </c>
      <c r="D941" s="64" t="str">
        <f t="shared" si="30"/>
        <v>2020年2季度</v>
      </c>
      <c r="E941" s="26" t="s">
        <v>29</v>
      </c>
      <c r="F941" s="24">
        <v>45.6</v>
      </c>
      <c r="G941" s="24">
        <v>7</v>
      </c>
      <c r="H941" s="27">
        <v>319.2</v>
      </c>
      <c r="I941" s="26" t="s">
        <v>26</v>
      </c>
    </row>
    <row r="942" spans="1:9" ht="14.4" x14ac:dyDescent="0.25">
      <c r="A942" s="24">
        <v>10297</v>
      </c>
      <c r="B942" s="25">
        <v>43933</v>
      </c>
      <c r="C942" s="64">
        <f t="shared" si="29"/>
        <v>2020</v>
      </c>
      <c r="D942" s="64" t="str">
        <f t="shared" si="30"/>
        <v>2020年2季度</v>
      </c>
      <c r="E942" s="26" t="s">
        <v>29</v>
      </c>
      <c r="F942" s="24">
        <v>14</v>
      </c>
      <c r="G942" s="24">
        <v>7</v>
      </c>
      <c r="H942" s="27">
        <v>98</v>
      </c>
      <c r="I942" s="26" t="s">
        <v>26</v>
      </c>
    </row>
    <row r="943" spans="1:9" ht="14.4" x14ac:dyDescent="0.25">
      <c r="A943" s="24">
        <v>10298</v>
      </c>
      <c r="B943" s="25">
        <v>43935</v>
      </c>
      <c r="C943" s="64">
        <f t="shared" si="29"/>
        <v>2020</v>
      </c>
      <c r="D943" s="64" t="str">
        <f t="shared" si="30"/>
        <v>2020年2季度</v>
      </c>
      <c r="E943" s="26" t="s">
        <v>29</v>
      </c>
      <c r="F943" s="24">
        <v>21</v>
      </c>
      <c r="G943" s="24">
        <v>10</v>
      </c>
      <c r="H943" s="27">
        <v>210</v>
      </c>
      <c r="I943" s="26" t="s">
        <v>22</v>
      </c>
    </row>
    <row r="944" spans="1:9" ht="14.4" x14ac:dyDescent="0.25">
      <c r="A944" s="24">
        <v>10299</v>
      </c>
      <c r="B944" s="25">
        <v>43937</v>
      </c>
      <c r="C944" s="64">
        <f t="shared" si="29"/>
        <v>2020</v>
      </c>
      <c r="D944" s="64" t="str">
        <f t="shared" si="30"/>
        <v>2020年2季度</v>
      </c>
      <c r="E944" s="26" t="s">
        <v>29</v>
      </c>
      <c r="F944" s="24">
        <v>18</v>
      </c>
      <c r="G944" s="24">
        <v>30</v>
      </c>
      <c r="H944" s="27">
        <v>540</v>
      </c>
      <c r="I944" s="26" t="s">
        <v>23</v>
      </c>
    </row>
    <row r="945" spans="1:9" ht="14.4" x14ac:dyDescent="0.25">
      <c r="A945" s="24">
        <v>10299</v>
      </c>
      <c r="B945" s="25">
        <v>43937</v>
      </c>
      <c r="C945" s="64">
        <f t="shared" si="29"/>
        <v>2020</v>
      </c>
      <c r="D945" s="64" t="str">
        <f t="shared" si="30"/>
        <v>2020年2季度</v>
      </c>
      <c r="E945" s="26" t="s">
        <v>29</v>
      </c>
      <c r="F945" s="24">
        <v>30</v>
      </c>
      <c r="G945" s="24">
        <v>10</v>
      </c>
      <c r="H945" s="27">
        <v>300</v>
      </c>
      <c r="I945" s="26" t="s">
        <v>23</v>
      </c>
    </row>
    <row r="946" spans="1:9" ht="14.4" x14ac:dyDescent="0.25">
      <c r="A946" s="24">
        <v>10302</v>
      </c>
      <c r="B946" s="25">
        <v>43945</v>
      </c>
      <c r="C946" s="64">
        <f t="shared" si="29"/>
        <v>2020</v>
      </c>
      <c r="D946" s="64" t="str">
        <f t="shared" si="30"/>
        <v>2020年2季度</v>
      </c>
      <c r="E946" s="26" t="s">
        <v>29</v>
      </c>
      <c r="F946" s="24">
        <v>9.5</v>
      </c>
      <c r="G946" s="24">
        <v>100</v>
      </c>
      <c r="H946" s="27">
        <v>950</v>
      </c>
      <c r="I946" s="26" t="s">
        <v>22</v>
      </c>
    </row>
    <row r="947" spans="1:9" ht="14.4" x14ac:dyDescent="0.25">
      <c r="A947" s="24">
        <v>10303</v>
      </c>
      <c r="B947" s="25">
        <v>43947</v>
      </c>
      <c r="C947" s="64">
        <f t="shared" si="29"/>
        <v>2020</v>
      </c>
      <c r="D947" s="64" t="str">
        <f t="shared" si="30"/>
        <v>2020年2季度</v>
      </c>
      <c r="E947" s="26" t="s">
        <v>29</v>
      </c>
      <c r="F947" s="24">
        <v>28.5</v>
      </c>
      <c r="G947" s="24">
        <v>10</v>
      </c>
      <c r="H947" s="27">
        <v>285</v>
      </c>
      <c r="I947" s="26" t="s">
        <v>26</v>
      </c>
    </row>
    <row r="948" spans="1:9" ht="14.4" x14ac:dyDescent="0.25">
      <c r="A948" s="24">
        <v>10303</v>
      </c>
      <c r="B948" s="25">
        <v>43947</v>
      </c>
      <c r="C948" s="64">
        <f t="shared" si="29"/>
        <v>2020</v>
      </c>
      <c r="D948" s="64" t="str">
        <f t="shared" si="30"/>
        <v>2020年2季度</v>
      </c>
      <c r="E948" s="26" t="s">
        <v>29</v>
      </c>
      <c r="F948" s="24">
        <v>10</v>
      </c>
      <c r="G948" s="24">
        <v>6</v>
      </c>
      <c r="H948" s="27">
        <v>60</v>
      </c>
      <c r="I948" s="26" t="s">
        <v>26</v>
      </c>
    </row>
    <row r="949" spans="1:9" ht="14.4" x14ac:dyDescent="0.25">
      <c r="A949" s="24">
        <v>10303</v>
      </c>
      <c r="B949" s="25">
        <v>43947</v>
      </c>
      <c r="C949" s="64">
        <f t="shared" si="29"/>
        <v>2020</v>
      </c>
      <c r="D949" s="64" t="str">
        <f t="shared" si="30"/>
        <v>2020年2季度</v>
      </c>
      <c r="E949" s="26" t="s">
        <v>29</v>
      </c>
      <c r="F949" s="24">
        <v>9.1999999999999993</v>
      </c>
      <c r="G949" s="24">
        <v>10</v>
      </c>
      <c r="H949" s="27">
        <v>92</v>
      </c>
      <c r="I949" s="26" t="s">
        <v>26</v>
      </c>
    </row>
    <row r="950" spans="1:9" ht="14.4" x14ac:dyDescent="0.25">
      <c r="A950" s="24">
        <v>10304</v>
      </c>
      <c r="B950" s="25">
        <v>43947</v>
      </c>
      <c r="C950" s="64">
        <f t="shared" si="29"/>
        <v>2020</v>
      </c>
      <c r="D950" s="64" t="str">
        <f t="shared" si="30"/>
        <v>2020年2季度</v>
      </c>
      <c r="E950" s="26" t="s">
        <v>29</v>
      </c>
      <c r="F950" s="24">
        <v>18</v>
      </c>
      <c r="G950" s="24">
        <v>20</v>
      </c>
      <c r="H950" s="27">
        <v>360</v>
      </c>
      <c r="I950" s="26" t="s">
        <v>23</v>
      </c>
    </row>
    <row r="951" spans="1:9" ht="14.4" x14ac:dyDescent="0.25">
      <c r="A951" s="24">
        <v>10304</v>
      </c>
      <c r="B951" s="25">
        <v>43947</v>
      </c>
      <c r="C951" s="64">
        <f t="shared" si="29"/>
        <v>2020</v>
      </c>
      <c r="D951" s="64" t="str">
        <f t="shared" si="30"/>
        <v>2020年2季度</v>
      </c>
      <c r="E951" s="26" t="s">
        <v>29</v>
      </c>
      <c r="F951" s="24">
        <v>19.45</v>
      </c>
      <c r="G951" s="24">
        <v>40</v>
      </c>
      <c r="H951" s="27">
        <v>778</v>
      </c>
      <c r="I951" s="26" t="s">
        <v>23</v>
      </c>
    </row>
    <row r="952" spans="1:9" ht="14.4" x14ac:dyDescent="0.25">
      <c r="A952" s="24">
        <v>10304</v>
      </c>
      <c r="B952" s="25">
        <v>43947</v>
      </c>
      <c r="C952" s="64">
        <f t="shared" si="29"/>
        <v>2020</v>
      </c>
      <c r="D952" s="64" t="str">
        <f t="shared" si="30"/>
        <v>2020年2季度</v>
      </c>
      <c r="E952" s="26" t="s">
        <v>29</v>
      </c>
      <c r="F952" s="24">
        <v>17.45</v>
      </c>
      <c r="G952" s="24">
        <v>40</v>
      </c>
      <c r="H952" s="27">
        <v>698</v>
      </c>
      <c r="I952" s="26" t="s">
        <v>23</v>
      </c>
    </row>
    <row r="953" spans="1:9" ht="14.4" x14ac:dyDescent="0.25">
      <c r="A953" s="24">
        <v>10305</v>
      </c>
      <c r="B953" s="25">
        <v>43949</v>
      </c>
      <c r="C953" s="64">
        <f t="shared" si="29"/>
        <v>2020</v>
      </c>
      <c r="D953" s="64" t="str">
        <f t="shared" si="30"/>
        <v>2020年2季度</v>
      </c>
      <c r="E953" s="26" t="s">
        <v>29</v>
      </c>
      <c r="F953" s="24">
        <v>7.75</v>
      </c>
      <c r="G953" s="24">
        <v>30</v>
      </c>
      <c r="H953" s="27">
        <v>232.5</v>
      </c>
      <c r="I953" s="26" t="s">
        <v>22</v>
      </c>
    </row>
    <row r="954" spans="1:9" ht="14.4" x14ac:dyDescent="0.25">
      <c r="A954" s="24">
        <v>10305</v>
      </c>
      <c r="B954" s="25">
        <v>43949</v>
      </c>
      <c r="C954" s="64">
        <f t="shared" si="29"/>
        <v>2020</v>
      </c>
      <c r="D954" s="64" t="str">
        <f t="shared" si="30"/>
        <v>2020年2季度</v>
      </c>
      <c r="E954" s="26" t="s">
        <v>29</v>
      </c>
      <c r="F954" s="24">
        <v>36</v>
      </c>
      <c r="G954" s="24">
        <v>18</v>
      </c>
      <c r="H954" s="27">
        <v>648</v>
      </c>
      <c r="I954" s="26" t="s">
        <v>22</v>
      </c>
    </row>
    <row r="955" spans="1:9" ht="14.4" x14ac:dyDescent="0.25">
      <c r="A955" s="24">
        <v>10306</v>
      </c>
      <c r="B955" s="25">
        <v>43951</v>
      </c>
      <c r="C955" s="64">
        <f t="shared" si="29"/>
        <v>2020</v>
      </c>
      <c r="D955" s="64" t="str">
        <f t="shared" si="30"/>
        <v>2020年2季度</v>
      </c>
      <c r="E955" s="26" t="s">
        <v>29</v>
      </c>
      <c r="F955" s="24">
        <v>12.5</v>
      </c>
      <c r="G955" s="24">
        <v>30</v>
      </c>
      <c r="H955" s="27">
        <v>375</v>
      </c>
      <c r="I955" s="26" t="s">
        <v>27</v>
      </c>
    </row>
    <row r="956" spans="1:9" ht="14.4" x14ac:dyDescent="0.25">
      <c r="A956" s="24">
        <v>10307</v>
      </c>
      <c r="B956" s="25">
        <v>43951</v>
      </c>
      <c r="C956" s="64">
        <f t="shared" si="29"/>
        <v>2020</v>
      </c>
      <c r="D956" s="64" t="str">
        <f t="shared" si="30"/>
        <v>2020年2季度</v>
      </c>
      <c r="E956" s="26" t="s">
        <v>29</v>
      </c>
      <c r="F956" s="24">
        <v>17.45</v>
      </c>
      <c r="G956" s="24">
        <v>30</v>
      </c>
      <c r="H956" s="27">
        <v>523.5</v>
      </c>
      <c r="I956" s="26" t="s">
        <v>22</v>
      </c>
    </row>
    <row r="957" spans="1:9" ht="14.4" x14ac:dyDescent="0.25">
      <c r="A957" s="24">
        <v>10308</v>
      </c>
      <c r="B957" s="25">
        <v>43957</v>
      </c>
      <c r="C957" s="64">
        <f t="shared" si="29"/>
        <v>2020</v>
      </c>
      <c r="D957" s="64" t="str">
        <f t="shared" si="30"/>
        <v>2020年2季度</v>
      </c>
      <c r="E957" s="26" t="s">
        <v>29</v>
      </c>
      <c r="F957" s="24">
        <v>9.1999999999999993</v>
      </c>
      <c r="G957" s="24">
        <v>35</v>
      </c>
      <c r="H957" s="27">
        <v>322</v>
      </c>
      <c r="I957" s="26" t="s">
        <v>23</v>
      </c>
    </row>
    <row r="958" spans="1:9" ht="14.4" x14ac:dyDescent="0.25">
      <c r="A958" s="24">
        <v>10308</v>
      </c>
      <c r="B958" s="25">
        <v>43957</v>
      </c>
      <c r="C958" s="64">
        <f t="shared" si="29"/>
        <v>2020</v>
      </c>
      <c r="D958" s="64" t="str">
        <f t="shared" si="30"/>
        <v>2020年2季度</v>
      </c>
      <c r="E958" s="26" t="s">
        <v>29</v>
      </c>
      <c r="F958" s="24">
        <v>38</v>
      </c>
      <c r="G958" s="24">
        <v>40</v>
      </c>
      <c r="H958" s="27">
        <v>1520</v>
      </c>
      <c r="I958" s="26" t="s">
        <v>23</v>
      </c>
    </row>
    <row r="959" spans="1:9" ht="14.4" x14ac:dyDescent="0.25">
      <c r="A959" s="24">
        <v>10308</v>
      </c>
      <c r="B959" s="25">
        <v>43957</v>
      </c>
      <c r="C959" s="64">
        <f t="shared" si="29"/>
        <v>2020</v>
      </c>
      <c r="D959" s="64" t="str">
        <f t="shared" si="30"/>
        <v>2020年2季度</v>
      </c>
      <c r="E959" s="26" t="s">
        <v>29</v>
      </c>
      <c r="F959" s="24">
        <v>23.25</v>
      </c>
      <c r="G959" s="24">
        <v>30</v>
      </c>
      <c r="H959" s="27">
        <v>697.5</v>
      </c>
      <c r="I959" s="26" t="s">
        <v>23</v>
      </c>
    </row>
    <row r="960" spans="1:9" ht="14.4" x14ac:dyDescent="0.25">
      <c r="A960" s="24">
        <v>10308</v>
      </c>
      <c r="B960" s="25">
        <v>43957</v>
      </c>
      <c r="C960" s="64">
        <f t="shared" si="29"/>
        <v>2020</v>
      </c>
      <c r="D960" s="64" t="str">
        <f t="shared" si="30"/>
        <v>2020年2季度</v>
      </c>
      <c r="E960" s="26" t="s">
        <v>29</v>
      </c>
      <c r="F960" s="24">
        <v>4.5</v>
      </c>
      <c r="G960" s="24">
        <v>18</v>
      </c>
      <c r="H960" s="27">
        <v>81</v>
      </c>
      <c r="I960" s="26" t="s">
        <v>23</v>
      </c>
    </row>
    <row r="961" spans="1:9" ht="14.4" x14ac:dyDescent="0.25">
      <c r="A961" s="24">
        <v>10311</v>
      </c>
      <c r="B961" s="25">
        <v>43961</v>
      </c>
      <c r="C961" s="64">
        <f t="shared" si="29"/>
        <v>2020</v>
      </c>
      <c r="D961" s="64" t="str">
        <f t="shared" si="30"/>
        <v>2020年2季度</v>
      </c>
      <c r="E961" s="26" t="s">
        <v>29</v>
      </c>
      <c r="F961" s="24">
        <v>7</v>
      </c>
      <c r="G961" s="24">
        <v>30</v>
      </c>
      <c r="H961" s="27">
        <v>210</v>
      </c>
      <c r="I961" s="26" t="s">
        <v>25</v>
      </c>
    </row>
    <row r="962" spans="1:9" ht="14.4" x14ac:dyDescent="0.25">
      <c r="A962" s="24">
        <v>10311</v>
      </c>
      <c r="B962" s="25">
        <v>43961</v>
      </c>
      <c r="C962" s="64">
        <f t="shared" si="29"/>
        <v>2020</v>
      </c>
      <c r="D962" s="64" t="str">
        <f t="shared" si="30"/>
        <v>2020年2季度</v>
      </c>
      <c r="E962" s="26" t="s">
        <v>29</v>
      </c>
      <c r="F962" s="24">
        <v>15</v>
      </c>
      <c r="G962" s="24">
        <v>3</v>
      </c>
      <c r="H962" s="27">
        <v>45</v>
      </c>
      <c r="I962" s="26" t="s">
        <v>25</v>
      </c>
    </row>
    <row r="963" spans="1:9" ht="14.4" x14ac:dyDescent="0.25">
      <c r="A963" s="24">
        <v>10312</v>
      </c>
      <c r="B963" s="25">
        <v>43963</v>
      </c>
      <c r="C963" s="64">
        <f t="shared" ref="C963:C1026" si="31">YEAR(B963)</f>
        <v>2020</v>
      </c>
      <c r="D963" s="64" t="str">
        <f t="shared" ref="D963:D1026" si="32">YEAR(B963)&amp;"年"&amp;ROUNDUP(MONTH(B963)/3,0)&amp;"季度"</f>
        <v>2020年2季度</v>
      </c>
      <c r="E963" s="26" t="s">
        <v>29</v>
      </c>
      <c r="F963" s="24">
        <v>9.65</v>
      </c>
      <c r="G963" s="24">
        <v>12</v>
      </c>
      <c r="H963" s="27">
        <v>115.8</v>
      </c>
      <c r="I963" s="26" t="s">
        <v>23</v>
      </c>
    </row>
    <row r="964" spans="1:9" ht="14.4" x14ac:dyDescent="0.25">
      <c r="A964" s="24">
        <v>10312</v>
      </c>
      <c r="B964" s="25">
        <v>43963</v>
      </c>
      <c r="C964" s="64">
        <f t="shared" si="31"/>
        <v>2020</v>
      </c>
      <c r="D964" s="64" t="str">
        <f t="shared" si="32"/>
        <v>2020年2季度</v>
      </c>
      <c r="E964" s="26" t="s">
        <v>29</v>
      </c>
      <c r="F964" s="24">
        <v>24</v>
      </c>
      <c r="G964" s="24">
        <v>18</v>
      </c>
      <c r="H964" s="27">
        <v>432</v>
      </c>
      <c r="I964" s="26" t="s">
        <v>23</v>
      </c>
    </row>
    <row r="965" spans="1:9" ht="14.4" x14ac:dyDescent="0.25">
      <c r="A965" s="24">
        <v>10313</v>
      </c>
      <c r="B965" s="25">
        <v>43965</v>
      </c>
      <c r="C965" s="64">
        <f t="shared" si="31"/>
        <v>2020</v>
      </c>
      <c r="D965" s="64" t="str">
        <f t="shared" si="32"/>
        <v>2020年2季度</v>
      </c>
      <c r="E965" s="26" t="s">
        <v>29</v>
      </c>
      <c r="F965" s="24">
        <v>25.89</v>
      </c>
      <c r="G965" s="24">
        <v>20</v>
      </c>
      <c r="H965" s="27">
        <v>517.79999999999995</v>
      </c>
      <c r="I965" s="26" t="s">
        <v>23</v>
      </c>
    </row>
    <row r="966" spans="1:9" ht="14.4" x14ac:dyDescent="0.25">
      <c r="A966" s="24">
        <v>10313</v>
      </c>
      <c r="B966" s="25">
        <v>43965</v>
      </c>
      <c r="C966" s="64">
        <f t="shared" si="31"/>
        <v>2020</v>
      </c>
      <c r="D966" s="64" t="str">
        <f t="shared" si="32"/>
        <v>2020年2季度</v>
      </c>
      <c r="E966" s="26" t="s">
        <v>29</v>
      </c>
      <c r="F966" s="24">
        <v>49.3</v>
      </c>
      <c r="G966" s="24">
        <v>15</v>
      </c>
      <c r="H966" s="27">
        <v>739.5</v>
      </c>
      <c r="I966" s="26" t="s">
        <v>23</v>
      </c>
    </row>
    <row r="967" spans="1:9" ht="14.4" x14ac:dyDescent="0.25">
      <c r="A967" s="24">
        <v>10314</v>
      </c>
      <c r="B967" s="25">
        <v>43965</v>
      </c>
      <c r="C967" s="64">
        <f t="shared" si="31"/>
        <v>2020</v>
      </c>
      <c r="D967" s="64" t="str">
        <f t="shared" si="32"/>
        <v>2020年2季度</v>
      </c>
      <c r="E967" s="26" t="s">
        <v>29</v>
      </c>
      <c r="F967" s="24">
        <v>19.45</v>
      </c>
      <c r="G967" s="24">
        <v>10</v>
      </c>
      <c r="H967" s="27">
        <v>194.5</v>
      </c>
      <c r="I967" s="26" t="s">
        <v>22</v>
      </c>
    </row>
    <row r="968" spans="1:9" ht="14.4" x14ac:dyDescent="0.25">
      <c r="A968" s="24">
        <v>10315</v>
      </c>
      <c r="B968" s="25">
        <v>43971</v>
      </c>
      <c r="C968" s="64">
        <f t="shared" si="31"/>
        <v>2020</v>
      </c>
      <c r="D968" s="64" t="str">
        <f t="shared" si="32"/>
        <v>2020年2季度</v>
      </c>
      <c r="E968" s="26" t="s">
        <v>29</v>
      </c>
      <c r="F968" s="24">
        <v>2.5</v>
      </c>
      <c r="G968" s="24">
        <v>20</v>
      </c>
      <c r="H968" s="27">
        <v>50</v>
      </c>
      <c r="I968" s="26" t="s">
        <v>27</v>
      </c>
    </row>
    <row r="969" spans="1:9" ht="14.4" x14ac:dyDescent="0.25">
      <c r="A969" s="24">
        <v>10315</v>
      </c>
      <c r="B969" s="25">
        <v>43971</v>
      </c>
      <c r="C969" s="64">
        <f t="shared" si="31"/>
        <v>2020</v>
      </c>
      <c r="D969" s="64" t="str">
        <f t="shared" si="32"/>
        <v>2020年2季度</v>
      </c>
      <c r="E969" s="26" t="s">
        <v>29</v>
      </c>
      <c r="F969" s="24">
        <v>49.3</v>
      </c>
      <c r="G969" s="24">
        <v>10</v>
      </c>
      <c r="H969" s="27">
        <v>493</v>
      </c>
      <c r="I969" s="26" t="s">
        <v>27</v>
      </c>
    </row>
    <row r="970" spans="1:9" ht="14.4" x14ac:dyDescent="0.25">
      <c r="A970" s="24">
        <v>10316</v>
      </c>
      <c r="B970" s="25">
        <v>43973</v>
      </c>
      <c r="C970" s="64">
        <f t="shared" si="31"/>
        <v>2020</v>
      </c>
      <c r="D970" s="64" t="str">
        <f t="shared" si="32"/>
        <v>2020年2季度</v>
      </c>
      <c r="E970" s="26" t="s">
        <v>29</v>
      </c>
      <c r="F970" s="24">
        <v>7</v>
      </c>
      <c r="G970" s="24">
        <v>70</v>
      </c>
      <c r="H970" s="27">
        <v>490</v>
      </c>
      <c r="I970" s="26" t="s">
        <v>23</v>
      </c>
    </row>
    <row r="971" spans="1:9" ht="14.4" x14ac:dyDescent="0.25">
      <c r="A971" s="24">
        <v>10316</v>
      </c>
      <c r="B971" s="25">
        <v>43973</v>
      </c>
      <c r="C971" s="64">
        <f t="shared" si="31"/>
        <v>2020</v>
      </c>
      <c r="D971" s="64" t="str">
        <f t="shared" si="32"/>
        <v>2020年2季度</v>
      </c>
      <c r="E971" s="26" t="s">
        <v>29</v>
      </c>
      <c r="F971" s="24">
        <v>19</v>
      </c>
      <c r="G971" s="24">
        <v>25</v>
      </c>
      <c r="H971" s="27">
        <v>475</v>
      </c>
      <c r="I971" s="26" t="s">
        <v>23</v>
      </c>
    </row>
    <row r="972" spans="1:9" ht="14.4" x14ac:dyDescent="0.25">
      <c r="A972" s="24">
        <v>10317</v>
      </c>
      <c r="B972" s="25">
        <v>43973</v>
      </c>
      <c r="C972" s="64">
        <f t="shared" si="31"/>
        <v>2020</v>
      </c>
      <c r="D972" s="64" t="str">
        <f t="shared" si="32"/>
        <v>2020年2季度</v>
      </c>
      <c r="E972" s="26" t="s">
        <v>29</v>
      </c>
      <c r="F972" s="24">
        <v>12.5</v>
      </c>
      <c r="G972" s="24">
        <v>6</v>
      </c>
      <c r="H972" s="27">
        <v>75</v>
      </c>
      <c r="I972" s="26" t="s">
        <v>27</v>
      </c>
    </row>
    <row r="973" spans="1:9" ht="14.4" x14ac:dyDescent="0.25">
      <c r="A973" s="24">
        <v>10317</v>
      </c>
      <c r="B973" s="25">
        <v>43973</v>
      </c>
      <c r="C973" s="64">
        <f t="shared" si="31"/>
        <v>2020</v>
      </c>
      <c r="D973" s="64" t="str">
        <f t="shared" si="32"/>
        <v>2020年2季度</v>
      </c>
      <c r="E973" s="26" t="s">
        <v>29</v>
      </c>
      <c r="F973" s="24">
        <v>24</v>
      </c>
      <c r="G973" s="24">
        <v>25</v>
      </c>
      <c r="H973" s="27">
        <v>600</v>
      </c>
      <c r="I973" s="26" t="s">
        <v>27</v>
      </c>
    </row>
    <row r="974" spans="1:9" ht="14.4" x14ac:dyDescent="0.25">
      <c r="A974" s="24">
        <v>10318</v>
      </c>
      <c r="B974" s="25">
        <v>43975</v>
      </c>
      <c r="C974" s="64">
        <f t="shared" si="31"/>
        <v>2020</v>
      </c>
      <c r="D974" s="64" t="str">
        <f t="shared" si="32"/>
        <v>2020年2季度</v>
      </c>
      <c r="E974" s="26" t="s">
        <v>29</v>
      </c>
      <c r="F974" s="24">
        <v>4.5</v>
      </c>
      <c r="G974" s="24">
        <v>25</v>
      </c>
      <c r="H974" s="27">
        <v>112.5</v>
      </c>
      <c r="I974" s="26" t="s">
        <v>27</v>
      </c>
    </row>
    <row r="975" spans="1:9" ht="14.4" x14ac:dyDescent="0.25">
      <c r="A975" s="24">
        <v>10318</v>
      </c>
      <c r="B975" s="25">
        <v>43975</v>
      </c>
      <c r="C975" s="64">
        <f t="shared" si="31"/>
        <v>2020</v>
      </c>
      <c r="D975" s="64" t="str">
        <f t="shared" si="32"/>
        <v>2020年2季度</v>
      </c>
      <c r="E975" s="26" t="s">
        <v>29</v>
      </c>
      <c r="F975" s="24">
        <v>33.25</v>
      </c>
      <c r="G975" s="24">
        <v>18</v>
      </c>
      <c r="H975" s="27">
        <v>598.5</v>
      </c>
      <c r="I975" s="26" t="s">
        <v>27</v>
      </c>
    </row>
    <row r="976" spans="1:9" ht="14.4" x14ac:dyDescent="0.25">
      <c r="A976" s="24">
        <v>10319</v>
      </c>
      <c r="B976" s="25">
        <v>43977</v>
      </c>
      <c r="C976" s="64">
        <f t="shared" si="31"/>
        <v>2020</v>
      </c>
      <c r="D976" s="64" t="str">
        <f t="shared" si="32"/>
        <v>2020年2季度</v>
      </c>
      <c r="E976" s="26" t="s">
        <v>29</v>
      </c>
      <c r="F976" s="24">
        <v>62.5</v>
      </c>
      <c r="G976" s="24">
        <v>18</v>
      </c>
      <c r="H976" s="27">
        <v>1125</v>
      </c>
      <c r="I976" s="26" t="s">
        <v>22</v>
      </c>
    </row>
    <row r="977" spans="1:9" ht="14.4" x14ac:dyDescent="0.25">
      <c r="A977" s="24">
        <v>10319</v>
      </c>
      <c r="B977" s="25">
        <v>43977</v>
      </c>
      <c r="C977" s="64">
        <f t="shared" si="31"/>
        <v>2020</v>
      </c>
      <c r="D977" s="64" t="str">
        <f t="shared" si="32"/>
        <v>2020年2季度</v>
      </c>
      <c r="E977" s="26" t="s">
        <v>29</v>
      </c>
      <c r="F977" s="24">
        <v>18</v>
      </c>
      <c r="G977" s="24">
        <v>10</v>
      </c>
      <c r="H977" s="27">
        <v>180</v>
      </c>
      <c r="I977" s="26" t="s">
        <v>22</v>
      </c>
    </row>
    <row r="978" spans="1:9" ht="14.4" x14ac:dyDescent="0.25">
      <c r="A978" s="24">
        <v>10319</v>
      </c>
      <c r="B978" s="25">
        <v>43977</v>
      </c>
      <c r="C978" s="64">
        <f t="shared" si="31"/>
        <v>2020</v>
      </c>
      <c r="D978" s="64" t="str">
        <f t="shared" si="32"/>
        <v>2020年2季度</v>
      </c>
      <c r="E978" s="26" t="s">
        <v>29</v>
      </c>
      <c r="F978" s="24">
        <v>21</v>
      </c>
      <c r="G978" s="24">
        <v>35</v>
      </c>
      <c r="H978" s="27">
        <v>735</v>
      </c>
      <c r="I978" s="26" t="s">
        <v>22</v>
      </c>
    </row>
    <row r="979" spans="1:9" ht="14.4" x14ac:dyDescent="0.25">
      <c r="A979" s="24">
        <v>10320</v>
      </c>
      <c r="B979" s="25">
        <v>43977</v>
      </c>
      <c r="C979" s="64">
        <f t="shared" si="31"/>
        <v>2020</v>
      </c>
      <c r="D979" s="64" t="str">
        <f t="shared" si="32"/>
        <v>2020年2季度</v>
      </c>
      <c r="E979" s="26" t="s">
        <v>29</v>
      </c>
      <c r="F979" s="24">
        <v>12.5</v>
      </c>
      <c r="G979" s="24">
        <v>60</v>
      </c>
      <c r="H979" s="27">
        <v>750</v>
      </c>
      <c r="I979" s="26" t="s">
        <v>22</v>
      </c>
    </row>
    <row r="980" spans="1:9" ht="14.4" x14ac:dyDescent="0.25">
      <c r="A980" s="24">
        <v>10324</v>
      </c>
      <c r="B980" s="25">
        <v>43987</v>
      </c>
      <c r="C980" s="64">
        <f t="shared" si="31"/>
        <v>2020</v>
      </c>
      <c r="D980" s="64" t="str">
        <f t="shared" si="32"/>
        <v>2020年2季度</v>
      </c>
      <c r="E980" s="26" t="s">
        <v>29</v>
      </c>
      <c r="F980" s="24">
        <v>23.25</v>
      </c>
      <c r="G980" s="24">
        <v>11</v>
      </c>
      <c r="H980" s="27">
        <v>255.75</v>
      </c>
      <c r="I980" s="26" t="s">
        <v>22</v>
      </c>
    </row>
    <row r="981" spans="1:9" ht="14.4" x14ac:dyDescent="0.25">
      <c r="A981" s="24">
        <v>10325</v>
      </c>
      <c r="B981" s="25">
        <v>43989</v>
      </c>
      <c r="C981" s="64">
        <f t="shared" si="31"/>
        <v>2020</v>
      </c>
      <c r="D981" s="64" t="str">
        <f t="shared" si="32"/>
        <v>2020年2季度</v>
      </c>
      <c r="E981" s="26" t="s">
        <v>29</v>
      </c>
      <c r="F981" s="24">
        <v>18.399999999999999</v>
      </c>
      <c r="G981" s="24">
        <v>50</v>
      </c>
      <c r="H981" s="27">
        <v>920</v>
      </c>
      <c r="I981" s="26" t="s">
        <v>23</v>
      </c>
    </row>
    <row r="982" spans="1:9" ht="14.4" x14ac:dyDescent="0.25">
      <c r="A982" s="24">
        <v>10325</v>
      </c>
      <c r="B982" s="25">
        <v>43989</v>
      </c>
      <c r="C982" s="64">
        <f t="shared" si="31"/>
        <v>2020</v>
      </c>
      <c r="D982" s="64" t="str">
        <f t="shared" si="32"/>
        <v>2020年2季度</v>
      </c>
      <c r="E982" s="26" t="s">
        <v>29</v>
      </c>
      <c r="F982" s="24">
        <v>32</v>
      </c>
      <c r="G982" s="24">
        <v>10</v>
      </c>
      <c r="H982" s="27">
        <v>320</v>
      </c>
      <c r="I982" s="26" t="s">
        <v>23</v>
      </c>
    </row>
    <row r="983" spans="1:9" ht="14.4" x14ac:dyDescent="0.25">
      <c r="A983" s="24">
        <v>10325</v>
      </c>
      <c r="B983" s="25">
        <v>43989</v>
      </c>
      <c r="C983" s="64">
        <f t="shared" si="31"/>
        <v>2020</v>
      </c>
      <c r="D983" s="64" t="str">
        <f t="shared" si="32"/>
        <v>2020年2季度</v>
      </c>
      <c r="E983" s="26" t="s">
        <v>29</v>
      </c>
      <c r="F983" s="24">
        <v>17.45</v>
      </c>
      <c r="G983" s="24">
        <v>12</v>
      </c>
      <c r="H983" s="27">
        <v>209.4</v>
      </c>
      <c r="I983" s="26" t="s">
        <v>23</v>
      </c>
    </row>
    <row r="984" spans="1:9" ht="14.4" x14ac:dyDescent="0.25">
      <c r="A984" s="24">
        <v>10325</v>
      </c>
      <c r="B984" s="25">
        <v>43989</v>
      </c>
      <c r="C984" s="64">
        <f t="shared" si="31"/>
        <v>2020</v>
      </c>
      <c r="D984" s="64" t="str">
        <f t="shared" si="32"/>
        <v>2020年2季度</v>
      </c>
      <c r="E984" s="26" t="s">
        <v>29</v>
      </c>
      <c r="F984" s="24">
        <v>7.75</v>
      </c>
      <c r="G984" s="24">
        <v>15</v>
      </c>
      <c r="H984" s="27">
        <v>116.25</v>
      </c>
      <c r="I984" s="26" t="s">
        <v>23</v>
      </c>
    </row>
    <row r="985" spans="1:9" ht="14.4" x14ac:dyDescent="0.25">
      <c r="A985" s="24">
        <v>10326</v>
      </c>
      <c r="B985" s="25">
        <v>43991</v>
      </c>
      <c r="C985" s="64">
        <f t="shared" si="31"/>
        <v>2020</v>
      </c>
      <c r="D985" s="64" t="str">
        <f t="shared" si="32"/>
        <v>2020年2季度</v>
      </c>
      <c r="E985" s="26" t="s">
        <v>29</v>
      </c>
      <c r="F985" s="24">
        <v>14</v>
      </c>
      <c r="G985" s="24">
        <v>40</v>
      </c>
      <c r="H985" s="27">
        <v>560</v>
      </c>
      <c r="I985" s="26" t="s">
        <v>26</v>
      </c>
    </row>
    <row r="986" spans="1:9" ht="14.4" x14ac:dyDescent="0.25">
      <c r="A986" s="24">
        <v>10326</v>
      </c>
      <c r="B986" s="25">
        <v>43991</v>
      </c>
      <c r="C986" s="64">
        <f t="shared" si="31"/>
        <v>2020</v>
      </c>
      <c r="D986" s="64" t="str">
        <f t="shared" si="32"/>
        <v>2020年2季度</v>
      </c>
      <c r="E986" s="26" t="s">
        <v>29</v>
      </c>
      <c r="F986" s="24">
        <v>32.799999999999997</v>
      </c>
      <c r="G986" s="24">
        <v>25</v>
      </c>
      <c r="H986" s="27">
        <v>820</v>
      </c>
      <c r="I986" s="26" t="s">
        <v>26</v>
      </c>
    </row>
    <row r="987" spans="1:9" ht="14.4" x14ac:dyDescent="0.25">
      <c r="A987" s="24">
        <v>10327</v>
      </c>
      <c r="B987" s="25">
        <v>43991</v>
      </c>
      <c r="C987" s="64">
        <f t="shared" si="31"/>
        <v>2020</v>
      </c>
      <c r="D987" s="64" t="str">
        <f t="shared" si="32"/>
        <v>2020年2季度</v>
      </c>
      <c r="E987" s="26" t="s">
        <v>29</v>
      </c>
      <c r="F987" s="24">
        <v>33.25</v>
      </c>
      <c r="G987" s="24">
        <v>6</v>
      </c>
      <c r="H987" s="27">
        <v>199.5</v>
      </c>
      <c r="I987" s="26" t="s">
        <v>22</v>
      </c>
    </row>
    <row r="988" spans="1:9" ht="14.4" x14ac:dyDescent="0.25">
      <c r="A988" s="24">
        <v>10327</v>
      </c>
      <c r="B988" s="25">
        <v>43991</v>
      </c>
      <c r="C988" s="64">
        <f t="shared" si="31"/>
        <v>2020</v>
      </c>
      <c r="D988" s="64" t="str">
        <f t="shared" si="32"/>
        <v>2020年2季度</v>
      </c>
      <c r="E988" s="26" t="s">
        <v>29</v>
      </c>
      <c r="F988" s="24">
        <v>2.5</v>
      </c>
      <c r="G988" s="24">
        <v>14</v>
      </c>
      <c r="H988" s="27">
        <v>35</v>
      </c>
      <c r="I988" s="26" t="s">
        <v>22</v>
      </c>
    </row>
    <row r="989" spans="1:9" ht="14.4" x14ac:dyDescent="0.25">
      <c r="A989" s="24">
        <v>10327</v>
      </c>
      <c r="B989" s="25">
        <v>43991</v>
      </c>
      <c r="C989" s="64">
        <f t="shared" si="31"/>
        <v>2020</v>
      </c>
      <c r="D989" s="64" t="str">
        <f t="shared" si="32"/>
        <v>2020年2季度</v>
      </c>
      <c r="E989" s="26" t="s">
        <v>29</v>
      </c>
      <c r="F989" s="24">
        <v>18.399999999999999</v>
      </c>
      <c r="G989" s="24">
        <v>2</v>
      </c>
      <c r="H989" s="27">
        <v>36.799999999999997</v>
      </c>
      <c r="I989" s="26" t="s">
        <v>22</v>
      </c>
    </row>
    <row r="990" spans="1:9" ht="14.4" x14ac:dyDescent="0.25">
      <c r="A990" s="24">
        <v>10329</v>
      </c>
      <c r="B990" s="25">
        <v>43999</v>
      </c>
      <c r="C990" s="64">
        <f t="shared" si="31"/>
        <v>2020</v>
      </c>
      <c r="D990" s="64" t="str">
        <f t="shared" si="32"/>
        <v>2020年2季度</v>
      </c>
      <c r="E990" s="26" t="s">
        <v>29</v>
      </c>
      <c r="F990" s="24">
        <v>12.5</v>
      </c>
      <c r="G990" s="24">
        <v>20</v>
      </c>
      <c r="H990" s="27">
        <v>250</v>
      </c>
      <c r="I990" s="26" t="s">
        <v>23</v>
      </c>
    </row>
    <row r="991" spans="1:9" ht="14.4" x14ac:dyDescent="0.25">
      <c r="A991" s="24">
        <v>10330</v>
      </c>
      <c r="B991" s="25">
        <v>43999</v>
      </c>
      <c r="C991" s="64">
        <f t="shared" si="31"/>
        <v>2020</v>
      </c>
      <c r="D991" s="64" t="str">
        <f t="shared" si="32"/>
        <v>2020年2季度</v>
      </c>
      <c r="E991" s="26" t="s">
        <v>29</v>
      </c>
      <c r="F991" s="24">
        <v>7.75</v>
      </c>
      <c r="G991" s="24">
        <v>20</v>
      </c>
      <c r="H991" s="27">
        <v>155</v>
      </c>
      <c r="I991" s="26" t="s">
        <v>22</v>
      </c>
    </row>
    <row r="992" spans="1:9" ht="14.4" x14ac:dyDescent="0.25">
      <c r="A992" s="24">
        <v>10330</v>
      </c>
      <c r="B992" s="25">
        <v>43999</v>
      </c>
      <c r="C992" s="64">
        <f t="shared" si="31"/>
        <v>2020</v>
      </c>
      <c r="D992" s="64" t="str">
        <f t="shared" si="32"/>
        <v>2020年2季度</v>
      </c>
      <c r="E992" s="26" t="s">
        <v>29</v>
      </c>
      <c r="F992" s="24">
        <v>13</v>
      </c>
      <c r="G992" s="24">
        <v>18</v>
      </c>
      <c r="H992" s="27">
        <v>234</v>
      </c>
      <c r="I992" s="26" t="s">
        <v>22</v>
      </c>
    </row>
    <row r="993" spans="1:9" ht="14.4" x14ac:dyDescent="0.25">
      <c r="A993" s="24">
        <v>10330</v>
      </c>
      <c r="B993" s="25">
        <v>43999</v>
      </c>
      <c r="C993" s="64">
        <f t="shared" si="31"/>
        <v>2020</v>
      </c>
      <c r="D993" s="64" t="str">
        <f t="shared" si="32"/>
        <v>2020年2季度</v>
      </c>
      <c r="E993" s="26" t="s">
        <v>29</v>
      </c>
      <c r="F993" s="24">
        <v>18</v>
      </c>
      <c r="G993" s="24">
        <v>10</v>
      </c>
      <c r="H993" s="27">
        <v>180</v>
      </c>
      <c r="I993" s="26" t="s">
        <v>22</v>
      </c>
    </row>
    <row r="994" spans="1:9" ht="14.4" x14ac:dyDescent="0.25">
      <c r="A994" s="24">
        <v>10331</v>
      </c>
      <c r="B994" s="25">
        <v>44001</v>
      </c>
      <c r="C994" s="64">
        <f t="shared" si="31"/>
        <v>2020</v>
      </c>
      <c r="D994" s="64" t="str">
        <f t="shared" si="32"/>
        <v>2020年2季度</v>
      </c>
      <c r="E994" s="26" t="s">
        <v>29</v>
      </c>
      <c r="F994" s="24">
        <v>19.5</v>
      </c>
      <c r="G994" s="24">
        <v>6</v>
      </c>
      <c r="H994" s="27">
        <v>117</v>
      </c>
      <c r="I994" s="26" t="s">
        <v>23</v>
      </c>
    </row>
    <row r="995" spans="1:9" ht="14.4" x14ac:dyDescent="0.25">
      <c r="A995" s="24">
        <v>10331</v>
      </c>
      <c r="B995" s="25">
        <v>44001</v>
      </c>
      <c r="C995" s="64">
        <f t="shared" si="31"/>
        <v>2020</v>
      </c>
      <c r="D995" s="64" t="str">
        <f t="shared" si="32"/>
        <v>2020年2季度</v>
      </c>
      <c r="E995" s="26" t="s">
        <v>29</v>
      </c>
      <c r="F995" s="24">
        <v>18</v>
      </c>
      <c r="G995" s="24">
        <v>20</v>
      </c>
      <c r="H995" s="27">
        <v>360</v>
      </c>
      <c r="I995" s="26" t="s">
        <v>23</v>
      </c>
    </row>
    <row r="996" spans="1:9" ht="14.4" x14ac:dyDescent="0.25">
      <c r="A996" s="24">
        <v>10332</v>
      </c>
      <c r="B996" s="25">
        <v>44003</v>
      </c>
      <c r="C996" s="64">
        <f t="shared" si="31"/>
        <v>2020</v>
      </c>
      <c r="D996" s="64" t="str">
        <f t="shared" si="32"/>
        <v>2020年2季度</v>
      </c>
      <c r="E996" s="26" t="s">
        <v>29</v>
      </c>
      <c r="F996" s="24">
        <v>15.5</v>
      </c>
      <c r="G996" s="24">
        <v>10</v>
      </c>
      <c r="H996" s="27">
        <v>155</v>
      </c>
      <c r="I996" s="26" t="s">
        <v>22</v>
      </c>
    </row>
    <row r="997" spans="1:9" ht="14.4" x14ac:dyDescent="0.25">
      <c r="A997" s="24">
        <v>10332</v>
      </c>
      <c r="B997" s="25">
        <v>44003</v>
      </c>
      <c r="C997" s="64">
        <f t="shared" si="31"/>
        <v>2020</v>
      </c>
      <c r="D997" s="64" t="str">
        <f t="shared" si="32"/>
        <v>2020年2季度</v>
      </c>
      <c r="E997" s="26" t="s">
        <v>29</v>
      </c>
      <c r="F997" s="24">
        <v>7.75</v>
      </c>
      <c r="G997" s="24">
        <v>21</v>
      </c>
      <c r="H997" s="27">
        <v>162.75</v>
      </c>
      <c r="I997" s="26" t="s">
        <v>22</v>
      </c>
    </row>
    <row r="998" spans="1:9" ht="14.4" x14ac:dyDescent="0.25">
      <c r="A998" s="24">
        <v>10333</v>
      </c>
      <c r="B998" s="25">
        <v>44005</v>
      </c>
      <c r="C998" s="64">
        <f t="shared" si="31"/>
        <v>2020</v>
      </c>
      <c r="D998" s="64" t="str">
        <f t="shared" si="32"/>
        <v>2020年2季度</v>
      </c>
      <c r="E998" s="26" t="s">
        <v>29</v>
      </c>
      <c r="F998" s="24">
        <v>9.65</v>
      </c>
      <c r="G998" s="24">
        <v>9</v>
      </c>
      <c r="H998" s="27">
        <v>86.85</v>
      </c>
      <c r="I998" s="26" t="s">
        <v>26</v>
      </c>
    </row>
    <row r="999" spans="1:9" ht="14.4" x14ac:dyDescent="0.25">
      <c r="A999" s="24">
        <v>10333</v>
      </c>
      <c r="B999" s="25">
        <v>44005</v>
      </c>
      <c r="C999" s="64">
        <f t="shared" si="31"/>
        <v>2020</v>
      </c>
      <c r="D999" s="64" t="str">
        <f t="shared" si="32"/>
        <v>2020年2季度</v>
      </c>
      <c r="E999" s="26" t="s">
        <v>29</v>
      </c>
      <c r="F999" s="24">
        <v>21.05</v>
      </c>
      <c r="G999" s="24">
        <v>30</v>
      </c>
      <c r="H999" s="27">
        <v>631.5</v>
      </c>
      <c r="I999" s="26" t="s">
        <v>26</v>
      </c>
    </row>
    <row r="1000" spans="1:9" ht="14.4" x14ac:dyDescent="0.25">
      <c r="A1000" s="24">
        <v>10333</v>
      </c>
      <c r="B1000" s="25">
        <v>44005</v>
      </c>
      <c r="C1000" s="64">
        <f t="shared" si="31"/>
        <v>2020</v>
      </c>
      <c r="D1000" s="64" t="str">
        <f t="shared" si="32"/>
        <v>2020年2季度</v>
      </c>
      <c r="E1000" s="26" t="s">
        <v>29</v>
      </c>
      <c r="F1000" s="24">
        <v>23.25</v>
      </c>
      <c r="G1000" s="24">
        <v>15</v>
      </c>
      <c r="H1000" s="27">
        <v>348.75</v>
      </c>
      <c r="I1000" s="26" t="s">
        <v>26</v>
      </c>
    </row>
    <row r="1001" spans="1:9" ht="14.4" x14ac:dyDescent="0.25">
      <c r="A1001" s="24">
        <v>10338</v>
      </c>
      <c r="B1001" s="25">
        <v>44015</v>
      </c>
      <c r="C1001" s="64">
        <f t="shared" si="31"/>
        <v>2020</v>
      </c>
      <c r="D1001" s="64" t="str">
        <f t="shared" si="32"/>
        <v>2020年3季度</v>
      </c>
      <c r="E1001" s="26" t="s">
        <v>29</v>
      </c>
      <c r="F1001" s="24">
        <v>9.5</v>
      </c>
      <c r="G1001" s="24">
        <v>15</v>
      </c>
      <c r="H1001" s="27">
        <v>142.5</v>
      </c>
      <c r="I1001" s="26" t="s">
        <v>23</v>
      </c>
    </row>
    <row r="1002" spans="1:9" ht="14.4" x14ac:dyDescent="0.25">
      <c r="A1002" s="24">
        <v>10339</v>
      </c>
      <c r="B1002" s="25">
        <v>44017</v>
      </c>
      <c r="C1002" s="64">
        <f t="shared" si="31"/>
        <v>2020</v>
      </c>
      <c r="D1002" s="64" t="str">
        <f t="shared" si="32"/>
        <v>2020年3季度</v>
      </c>
      <c r="E1002" s="26" t="s">
        <v>29</v>
      </c>
      <c r="F1002" s="24">
        <v>7</v>
      </c>
      <c r="G1002" s="24">
        <v>4</v>
      </c>
      <c r="H1002" s="27">
        <v>28</v>
      </c>
      <c r="I1002" s="26" t="s">
        <v>22</v>
      </c>
    </row>
    <row r="1003" spans="1:9" ht="14.4" x14ac:dyDescent="0.25">
      <c r="A1003" s="24">
        <v>10340</v>
      </c>
      <c r="B1003" s="25">
        <v>44017</v>
      </c>
      <c r="C1003" s="64">
        <f t="shared" si="31"/>
        <v>2020</v>
      </c>
      <c r="D1003" s="64" t="str">
        <f t="shared" si="32"/>
        <v>2020年3季度</v>
      </c>
      <c r="E1003" s="26" t="s">
        <v>29</v>
      </c>
      <c r="F1003" s="24">
        <v>31.23</v>
      </c>
      <c r="G1003" s="24">
        <v>6</v>
      </c>
      <c r="H1003" s="27">
        <v>187.38</v>
      </c>
      <c r="I1003" s="26" t="s">
        <v>25</v>
      </c>
    </row>
    <row r="1004" spans="1:9" ht="14.4" x14ac:dyDescent="0.25">
      <c r="A1004" s="24">
        <v>10340</v>
      </c>
      <c r="B1004" s="25">
        <v>44017</v>
      </c>
      <c r="C1004" s="64">
        <f t="shared" si="31"/>
        <v>2020</v>
      </c>
      <c r="D1004" s="64" t="str">
        <f t="shared" si="32"/>
        <v>2020年3季度</v>
      </c>
      <c r="E1004" s="26" t="s">
        <v>29</v>
      </c>
      <c r="F1004" s="24">
        <v>13</v>
      </c>
      <c r="G1004" s="24">
        <v>20</v>
      </c>
      <c r="H1004" s="27">
        <v>260</v>
      </c>
      <c r="I1004" s="26" t="s">
        <v>25</v>
      </c>
    </row>
    <row r="1005" spans="1:9" ht="14.4" x14ac:dyDescent="0.25">
      <c r="A1005" s="24">
        <v>10340</v>
      </c>
      <c r="B1005" s="25">
        <v>44017</v>
      </c>
      <c r="C1005" s="64">
        <f t="shared" si="31"/>
        <v>2020</v>
      </c>
      <c r="D1005" s="64" t="str">
        <f t="shared" si="32"/>
        <v>2020年3季度</v>
      </c>
      <c r="E1005" s="26" t="s">
        <v>29</v>
      </c>
      <c r="F1005" s="24">
        <v>18</v>
      </c>
      <c r="G1005" s="24">
        <v>20</v>
      </c>
      <c r="H1005" s="27">
        <v>360</v>
      </c>
      <c r="I1005" s="26" t="s">
        <v>25</v>
      </c>
    </row>
    <row r="1006" spans="1:9" ht="14.4" x14ac:dyDescent="0.25">
      <c r="A1006" s="24">
        <v>10341</v>
      </c>
      <c r="B1006" s="25">
        <v>44019</v>
      </c>
      <c r="C1006" s="64">
        <f t="shared" si="31"/>
        <v>2020</v>
      </c>
      <c r="D1006" s="64" t="str">
        <f t="shared" si="32"/>
        <v>2020年3季度</v>
      </c>
      <c r="E1006" s="26" t="s">
        <v>29</v>
      </c>
      <c r="F1006" s="24">
        <v>62.5</v>
      </c>
      <c r="G1006" s="24">
        <v>40</v>
      </c>
      <c r="H1006" s="27">
        <v>2500</v>
      </c>
      <c r="I1006" s="26" t="s">
        <v>22</v>
      </c>
    </row>
    <row r="1007" spans="1:9" ht="14.4" x14ac:dyDescent="0.25">
      <c r="A1007" s="24">
        <v>10341</v>
      </c>
      <c r="B1007" s="25">
        <v>44019</v>
      </c>
      <c r="C1007" s="64">
        <f t="shared" si="31"/>
        <v>2020</v>
      </c>
      <c r="D1007" s="64" t="str">
        <f t="shared" si="32"/>
        <v>2020年3季度</v>
      </c>
      <c r="E1007" s="26" t="s">
        <v>29</v>
      </c>
      <c r="F1007" s="24">
        <v>14</v>
      </c>
      <c r="G1007" s="24">
        <v>100</v>
      </c>
      <c r="H1007" s="27">
        <v>1400</v>
      </c>
      <c r="I1007" s="26" t="s">
        <v>22</v>
      </c>
    </row>
    <row r="1008" spans="1:9" ht="14.4" x14ac:dyDescent="0.25">
      <c r="A1008" s="24">
        <v>10342</v>
      </c>
      <c r="B1008" s="25">
        <v>44021</v>
      </c>
      <c r="C1008" s="64">
        <f t="shared" si="31"/>
        <v>2020</v>
      </c>
      <c r="D1008" s="64" t="str">
        <f t="shared" si="32"/>
        <v>2020年3季度</v>
      </c>
      <c r="E1008" s="26" t="s">
        <v>29</v>
      </c>
      <c r="F1008" s="24">
        <v>18</v>
      </c>
      <c r="G1008" s="24">
        <v>4</v>
      </c>
      <c r="H1008" s="27">
        <v>72</v>
      </c>
      <c r="I1008" s="26" t="s">
        <v>23</v>
      </c>
    </row>
    <row r="1009" spans="1:9" ht="14.4" x14ac:dyDescent="0.25">
      <c r="A1009" s="24">
        <v>10343</v>
      </c>
      <c r="B1009" s="25">
        <v>44027</v>
      </c>
      <c r="C1009" s="64">
        <f t="shared" si="31"/>
        <v>2020</v>
      </c>
      <c r="D1009" s="64" t="str">
        <f t="shared" si="32"/>
        <v>2020年3季度</v>
      </c>
      <c r="E1009" s="26" t="s">
        <v>29</v>
      </c>
      <c r="F1009" s="24">
        <v>18</v>
      </c>
      <c r="G1009" s="24">
        <v>20</v>
      </c>
      <c r="H1009" s="27">
        <v>360</v>
      </c>
      <c r="I1009" s="26" t="s">
        <v>22</v>
      </c>
    </row>
    <row r="1010" spans="1:9" ht="14.4" x14ac:dyDescent="0.25">
      <c r="A1010" s="24">
        <v>10343</v>
      </c>
      <c r="B1010" s="25">
        <v>44027</v>
      </c>
      <c r="C1010" s="64">
        <f t="shared" si="31"/>
        <v>2020</v>
      </c>
      <c r="D1010" s="64" t="str">
        <f t="shared" si="32"/>
        <v>2020年3季度</v>
      </c>
      <c r="E1010" s="26" t="s">
        <v>29</v>
      </c>
      <c r="F1010" s="24">
        <v>13</v>
      </c>
      <c r="G1010" s="24">
        <v>60</v>
      </c>
      <c r="H1010" s="27">
        <v>780</v>
      </c>
      <c r="I1010" s="26" t="s">
        <v>22</v>
      </c>
    </row>
    <row r="1011" spans="1:9" ht="14.4" x14ac:dyDescent="0.25">
      <c r="A1011" s="24">
        <v>10344</v>
      </c>
      <c r="B1011" s="25">
        <v>44027</v>
      </c>
      <c r="C1011" s="64">
        <f t="shared" si="31"/>
        <v>2020</v>
      </c>
      <c r="D1011" s="64" t="str">
        <f t="shared" si="32"/>
        <v>2020年3季度</v>
      </c>
      <c r="E1011" s="26" t="s">
        <v>29</v>
      </c>
      <c r="F1011" s="24">
        <v>7.45</v>
      </c>
      <c r="G1011" s="24">
        <v>50</v>
      </c>
      <c r="H1011" s="27">
        <v>372.5</v>
      </c>
      <c r="I1011" s="26" t="s">
        <v>27</v>
      </c>
    </row>
    <row r="1012" spans="1:9" ht="14.4" x14ac:dyDescent="0.25">
      <c r="A1012" s="24">
        <v>10347</v>
      </c>
      <c r="B1012" s="25">
        <v>44031</v>
      </c>
      <c r="C1012" s="64">
        <f t="shared" si="31"/>
        <v>2020</v>
      </c>
      <c r="D1012" s="64" t="str">
        <f t="shared" si="32"/>
        <v>2020年3季度</v>
      </c>
      <c r="E1012" s="26" t="s">
        <v>29</v>
      </c>
      <c r="F1012" s="24">
        <v>7</v>
      </c>
      <c r="G1012" s="24">
        <v>24</v>
      </c>
      <c r="H1012" s="27">
        <v>168</v>
      </c>
      <c r="I1012" s="26" t="s">
        <v>27</v>
      </c>
    </row>
    <row r="1013" spans="1:9" ht="14.4" x14ac:dyDescent="0.25">
      <c r="A1013" s="24">
        <v>10347</v>
      </c>
      <c r="B1013" s="25">
        <v>44031</v>
      </c>
      <c r="C1013" s="64">
        <f t="shared" si="31"/>
        <v>2020</v>
      </c>
      <c r="D1013" s="64" t="str">
        <f t="shared" si="32"/>
        <v>2020年3季度</v>
      </c>
      <c r="E1013" s="26" t="s">
        <v>29</v>
      </c>
      <c r="F1013" s="24">
        <v>13.25</v>
      </c>
      <c r="G1013" s="24">
        <v>30</v>
      </c>
      <c r="H1013" s="27">
        <v>397.5</v>
      </c>
      <c r="I1013" s="26" t="s">
        <v>27</v>
      </c>
    </row>
    <row r="1014" spans="1:9" ht="14.4" x14ac:dyDescent="0.25">
      <c r="A1014" s="24">
        <v>10348</v>
      </c>
      <c r="B1014" s="25">
        <v>44033</v>
      </c>
      <c r="C1014" s="64">
        <f t="shared" si="31"/>
        <v>2020</v>
      </c>
      <c r="D1014" s="64" t="str">
        <f t="shared" si="32"/>
        <v>2020年3季度</v>
      </c>
      <c r="E1014" s="26" t="s">
        <v>29</v>
      </c>
      <c r="F1014" s="24">
        <v>28.5</v>
      </c>
      <c r="G1014" s="24">
        <v>120</v>
      </c>
      <c r="H1014" s="27">
        <v>3420</v>
      </c>
      <c r="I1014" s="26" t="s">
        <v>23</v>
      </c>
    </row>
    <row r="1015" spans="1:9" ht="14.4" x14ac:dyDescent="0.25">
      <c r="A1015" s="24">
        <v>10348</v>
      </c>
      <c r="B1015" s="25">
        <v>44033</v>
      </c>
      <c r="C1015" s="64">
        <f t="shared" si="31"/>
        <v>2020</v>
      </c>
      <c r="D1015" s="64" t="str">
        <f t="shared" si="32"/>
        <v>2020年3季度</v>
      </c>
      <c r="E1015" s="26" t="s">
        <v>29</v>
      </c>
      <c r="F1015" s="24">
        <v>18</v>
      </c>
      <c r="G1015" s="24">
        <v>30</v>
      </c>
      <c r="H1015" s="27">
        <v>540</v>
      </c>
      <c r="I1015" s="26" t="s">
        <v>23</v>
      </c>
    </row>
    <row r="1016" spans="1:9" ht="14.4" x14ac:dyDescent="0.25">
      <c r="A1016" s="24">
        <v>10348</v>
      </c>
      <c r="B1016" s="25">
        <v>44033</v>
      </c>
      <c r="C1016" s="64">
        <f t="shared" si="31"/>
        <v>2020</v>
      </c>
      <c r="D1016" s="64" t="str">
        <f t="shared" si="32"/>
        <v>2020年3季度</v>
      </c>
      <c r="E1016" s="26" t="s">
        <v>29</v>
      </c>
      <c r="F1016" s="24">
        <v>36</v>
      </c>
      <c r="G1016" s="24">
        <v>65</v>
      </c>
      <c r="H1016" s="27">
        <v>2340</v>
      </c>
      <c r="I1016" s="26" t="s">
        <v>23</v>
      </c>
    </row>
    <row r="1017" spans="1:9" ht="14.4" x14ac:dyDescent="0.25">
      <c r="A1017" s="24">
        <v>10349</v>
      </c>
      <c r="B1017" s="25">
        <v>44035</v>
      </c>
      <c r="C1017" s="64">
        <f t="shared" si="31"/>
        <v>2020</v>
      </c>
      <c r="D1017" s="64" t="str">
        <f t="shared" si="32"/>
        <v>2020年3季度</v>
      </c>
      <c r="E1017" s="26" t="s">
        <v>29</v>
      </c>
      <c r="F1017" s="24">
        <v>7.75</v>
      </c>
      <c r="G1017" s="24">
        <v>30</v>
      </c>
      <c r="H1017" s="27">
        <v>232.5</v>
      </c>
      <c r="I1017" s="26" t="s">
        <v>22</v>
      </c>
    </row>
    <row r="1018" spans="1:9" ht="14.4" x14ac:dyDescent="0.25">
      <c r="A1018" s="24">
        <v>10349</v>
      </c>
      <c r="B1018" s="25">
        <v>44035</v>
      </c>
      <c r="C1018" s="64">
        <f t="shared" si="31"/>
        <v>2020</v>
      </c>
      <c r="D1018" s="64" t="str">
        <f t="shared" si="32"/>
        <v>2020年3季度</v>
      </c>
      <c r="E1018" s="26" t="s">
        <v>29</v>
      </c>
      <c r="F1018" s="24">
        <v>38</v>
      </c>
      <c r="G1018" s="24">
        <v>5</v>
      </c>
      <c r="H1018" s="27">
        <v>190</v>
      </c>
      <c r="I1018" s="26" t="s">
        <v>22</v>
      </c>
    </row>
    <row r="1019" spans="1:9" ht="14.4" x14ac:dyDescent="0.25">
      <c r="A1019" s="24">
        <v>10349</v>
      </c>
      <c r="B1019" s="25">
        <v>44035</v>
      </c>
      <c r="C1019" s="64">
        <f t="shared" si="31"/>
        <v>2020</v>
      </c>
      <c r="D1019" s="64" t="str">
        <f t="shared" si="32"/>
        <v>2020年3季度</v>
      </c>
      <c r="E1019" s="26" t="s">
        <v>29</v>
      </c>
      <c r="F1019" s="24">
        <v>43.9</v>
      </c>
      <c r="G1019" s="24">
        <v>24</v>
      </c>
      <c r="H1019" s="27">
        <v>1053.5999999999999</v>
      </c>
      <c r="I1019" s="26" t="s">
        <v>22</v>
      </c>
    </row>
    <row r="1020" spans="1:9" ht="14.4" x14ac:dyDescent="0.25">
      <c r="A1020" s="24">
        <v>10353</v>
      </c>
      <c r="B1020" s="25">
        <v>44045</v>
      </c>
      <c r="C1020" s="64">
        <f t="shared" si="31"/>
        <v>2020</v>
      </c>
      <c r="D1020" s="64" t="str">
        <f t="shared" si="32"/>
        <v>2020年3季度</v>
      </c>
      <c r="E1020" s="26" t="s">
        <v>29</v>
      </c>
      <c r="F1020" s="24">
        <v>15</v>
      </c>
      <c r="G1020" s="24">
        <v>30</v>
      </c>
      <c r="H1020" s="27">
        <v>450</v>
      </c>
      <c r="I1020" s="26" t="s">
        <v>22</v>
      </c>
    </row>
    <row r="1021" spans="1:9" ht="14.4" x14ac:dyDescent="0.25">
      <c r="A1021" s="24">
        <v>10354</v>
      </c>
      <c r="B1021" s="25">
        <v>44045</v>
      </c>
      <c r="C1021" s="64">
        <f t="shared" si="31"/>
        <v>2020</v>
      </c>
      <c r="D1021" s="64" t="str">
        <f t="shared" si="32"/>
        <v>2020年3季度</v>
      </c>
      <c r="E1021" s="26" t="s">
        <v>29</v>
      </c>
      <c r="F1021" s="24">
        <v>6</v>
      </c>
      <c r="G1021" s="24">
        <v>60</v>
      </c>
      <c r="H1021" s="27">
        <v>360</v>
      </c>
      <c r="I1021" s="26" t="s">
        <v>22</v>
      </c>
    </row>
    <row r="1022" spans="1:9" ht="14.4" x14ac:dyDescent="0.25">
      <c r="A1022" s="24">
        <v>10354</v>
      </c>
      <c r="B1022" s="25">
        <v>44045</v>
      </c>
      <c r="C1022" s="64">
        <f t="shared" si="31"/>
        <v>2020</v>
      </c>
      <c r="D1022" s="64" t="str">
        <f t="shared" si="32"/>
        <v>2020年3季度</v>
      </c>
      <c r="E1022" s="26" t="s">
        <v>29</v>
      </c>
      <c r="F1022" s="24">
        <v>55</v>
      </c>
      <c r="G1022" s="24">
        <v>35</v>
      </c>
      <c r="H1022" s="27">
        <v>1925</v>
      </c>
      <c r="I1022" s="26" t="s">
        <v>22</v>
      </c>
    </row>
    <row r="1023" spans="1:9" ht="14.4" x14ac:dyDescent="0.25">
      <c r="A1023" s="24">
        <v>10355</v>
      </c>
      <c r="B1023" s="25">
        <v>44047</v>
      </c>
      <c r="C1023" s="64">
        <f t="shared" si="31"/>
        <v>2020</v>
      </c>
      <c r="D1023" s="64" t="str">
        <f t="shared" si="32"/>
        <v>2020年3季度</v>
      </c>
      <c r="E1023" s="26" t="s">
        <v>29</v>
      </c>
      <c r="F1023" s="24">
        <v>13</v>
      </c>
      <c r="G1023" s="24">
        <v>5</v>
      </c>
      <c r="H1023" s="27">
        <v>65</v>
      </c>
      <c r="I1023" s="26" t="s">
        <v>26</v>
      </c>
    </row>
    <row r="1024" spans="1:9" ht="14.4" x14ac:dyDescent="0.25">
      <c r="A1024" s="24">
        <v>10356</v>
      </c>
      <c r="B1024" s="25">
        <v>44049</v>
      </c>
      <c r="C1024" s="64">
        <f t="shared" si="31"/>
        <v>2020</v>
      </c>
      <c r="D1024" s="64" t="str">
        <f t="shared" si="32"/>
        <v>2020年3季度</v>
      </c>
      <c r="E1024" s="26" t="s">
        <v>29</v>
      </c>
      <c r="F1024" s="24">
        <v>21</v>
      </c>
      <c r="G1024" s="24">
        <v>48</v>
      </c>
      <c r="H1024" s="27">
        <v>1008</v>
      </c>
      <c r="I1024" s="26" t="s">
        <v>22</v>
      </c>
    </row>
    <row r="1025" spans="1:9" ht="14.4" x14ac:dyDescent="0.25">
      <c r="A1025" s="24">
        <v>10356</v>
      </c>
      <c r="B1025" s="25">
        <v>44049</v>
      </c>
      <c r="C1025" s="64">
        <f t="shared" si="31"/>
        <v>2020</v>
      </c>
      <c r="D1025" s="64" t="str">
        <f t="shared" si="32"/>
        <v>2020年3季度</v>
      </c>
      <c r="E1025" s="26" t="s">
        <v>29</v>
      </c>
      <c r="F1025" s="24">
        <v>20</v>
      </c>
      <c r="G1025" s="24">
        <v>25</v>
      </c>
      <c r="H1025" s="27">
        <v>500</v>
      </c>
      <c r="I1025" s="26" t="s">
        <v>22</v>
      </c>
    </row>
    <row r="1026" spans="1:9" ht="14.4" x14ac:dyDescent="0.25">
      <c r="A1026" s="24">
        <v>10357</v>
      </c>
      <c r="B1026" s="25">
        <v>44049</v>
      </c>
      <c r="C1026" s="64">
        <f t="shared" si="31"/>
        <v>2020</v>
      </c>
      <c r="D1026" s="64" t="str">
        <f t="shared" si="32"/>
        <v>2020年3季度</v>
      </c>
      <c r="E1026" s="26" t="s">
        <v>29</v>
      </c>
      <c r="F1026" s="24">
        <v>18</v>
      </c>
      <c r="G1026" s="24">
        <v>10</v>
      </c>
      <c r="H1026" s="27">
        <v>180</v>
      </c>
      <c r="I1026" s="26" t="s">
        <v>23</v>
      </c>
    </row>
    <row r="1027" spans="1:9" ht="14.4" x14ac:dyDescent="0.25">
      <c r="A1027" s="24">
        <v>10357</v>
      </c>
      <c r="B1027" s="25">
        <v>44049</v>
      </c>
      <c r="C1027" s="64">
        <f t="shared" ref="C1027:C1090" si="33">YEAR(B1027)</f>
        <v>2020</v>
      </c>
      <c r="D1027" s="64" t="str">
        <f t="shared" ref="D1027:D1090" si="34">YEAR(B1027)&amp;"年"&amp;ROUNDUP(MONTH(B1027)/3,0)&amp;"季度"</f>
        <v>2020年3季度</v>
      </c>
      <c r="E1027" s="26" t="s">
        <v>29</v>
      </c>
      <c r="F1027" s="24">
        <v>12.75</v>
      </c>
      <c r="G1027" s="24">
        <v>6</v>
      </c>
      <c r="H1027" s="27">
        <v>76.5</v>
      </c>
      <c r="I1027" s="26" t="s">
        <v>23</v>
      </c>
    </row>
    <row r="1028" spans="1:9" ht="14.4" x14ac:dyDescent="0.25">
      <c r="A1028" s="24">
        <v>10358</v>
      </c>
      <c r="B1028" s="25">
        <v>44055</v>
      </c>
      <c r="C1028" s="64">
        <f t="shared" si="33"/>
        <v>2020</v>
      </c>
      <c r="D1028" s="64" t="str">
        <f t="shared" si="34"/>
        <v>2020年3季度</v>
      </c>
      <c r="E1028" s="26" t="s">
        <v>29</v>
      </c>
      <c r="F1028" s="24">
        <v>21.5</v>
      </c>
      <c r="G1028" s="24">
        <v>15</v>
      </c>
      <c r="H1028" s="27">
        <v>322.5</v>
      </c>
      <c r="I1028" s="26" t="s">
        <v>23</v>
      </c>
    </row>
    <row r="1029" spans="1:9" ht="14.4" x14ac:dyDescent="0.25">
      <c r="A1029" s="24">
        <v>10358</v>
      </c>
      <c r="B1029" s="25">
        <v>44055</v>
      </c>
      <c r="C1029" s="64">
        <f t="shared" si="33"/>
        <v>2020</v>
      </c>
      <c r="D1029" s="64" t="str">
        <f t="shared" si="34"/>
        <v>2020年3季度</v>
      </c>
      <c r="E1029" s="26" t="s">
        <v>29</v>
      </c>
      <c r="F1029" s="24">
        <v>34</v>
      </c>
      <c r="G1029" s="24">
        <v>70</v>
      </c>
      <c r="H1029" s="27">
        <v>2380</v>
      </c>
      <c r="I1029" s="26" t="s">
        <v>23</v>
      </c>
    </row>
    <row r="1030" spans="1:9" ht="14.4" x14ac:dyDescent="0.25">
      <c r="A1030" s="24">
        <v>10358</v>
      </c>
      <c r="B1030" s="25">
        <v>44055</v>
      </c>
      <c r="C1030" s="64">
        <f t="shared" si="33"/>
        <v>2020</v>
      </c>
      <c r="D1030" s="64" t="str">
        <f t="shared" si="34"/>
        <v>2020年3季度</v>
      </c>
      <c r="E1030" s="26" t="s">
        <v>29</v>
      </c>
      <c r="F1030" s="24">
        <v>55</v>
      </c>
      <c r="G1030" s="24">
        <v>20</v>
      </c>
      <c r="H1030" s="27">
        <v>1100</v>
      </c>
      <c r="I1030" s="26" t="s">
        <v>23</v>
      </c>
    </row>
    <row r="1031" spans="1:9" ht="14.4" x14ac:dyDescent="0.25">
      <c r="A1031" s="24">
        <v>10360</v>
      </c>
      <c r="B1031" s="25">
        <v>44057</v>
      </c>
      <c r="C1031" s="64">
        <f t="shared" si="33"/>
        <v>2020</v>
      </c>
      <c r="D1031" s="64" t="str">
        <f t="shared" si="34"/>
        <v>2020年3季度</v>
      </c>
      <c r="E1031" s="26" t="s">
        <v>29</v>
      </c>
      <c r="F1031" s="24">
        <v>18.399999999999999</v>
      </c>
      <c r="G1031" s="24">
        <v>42</v>
      </c>
      <c r="H1031" s="27">
        <v>772.8</v>
      </c>
      <c r="I1031" s="26" t="s">
        <v>22</v>
      </c>
    </row>
    <row r="1032" spans="1:9" ht="14.4" x14ac:dyDescent="0.25">
      <c r="A1032" s="24">
        <v>10360</v>
      </c>
      <c r="B1032" s="25">
        <v>44057</v>
      </c>
      <c r="C1032" s="64">
        <f t="shared" si="33"/>
        <v>2020</v>
      </c>
      <c r="D1032" s="64" t="str">
        <f t="shared" si="34"/>
        <v>2020年3季度</v>
      </c>
      <c r="E1032" s="26" t="s">
        <v>29</v>
      </c>
      <c r="F1032" s="24">
        <v>34.799999999999997</v>
      </c>
      <c r="G1032" s="24">
        <v>12</v>
      </c>
      <c r="H1032" s="27">
        <v>417.6</v>
      </c>
      <c r="I1032" s="26" t="s">
        <v>22</v>
      </c>
    </row>
    <row r="1033" spans="1:9" ht="14.4" x14ac:dyDescent="0.25">
      <c r="A1033" s="24">
        <v>10361</v>
      </c>
      <c r="B1033" s="25">
        <v>44059</v>
      </c>
      <c r="C1033" s="64">
        <f t="shared" si="33"/>
        <v>2020</v>
      </c>
      <c r="D1033" s="64" t="str">
        <f t="shared" si="34"/>
        <v>2020年3季度</v>
      </c>
      <c r="E1033" s="26" t="s">
        <v>29</v>
      </c>
      <c r="F1033" s="24">
        <v>38</v>
      </c>
      <c r="G1033" s="24">
        <v>28</v>
      </c>
      <c r="H1033" s="27">
        <v>1064</v>
      </c>
      <c r="I1033" s="26" t="s">
        <v>22</v>
      </c>
    </row>
    <row r="1034" spans="1:9" ht="14.4" x14ac:dyDescent="0.25">
      <c r="A1034" s="24">
        <v>10362</v>
      </c>
      <c r="B1034" s="25">
        <v>44061</v>
      </c>
      <c r="C1034" s="64">
        <f t="shared" si="33"/>
        <v>2020</v>
      </c>
      <c r="D1034" s="64" t="str">
        <f t="shared" si="34"/>
        <v>2020年3季度</v>
      </c>
      <c r="E1034" s="26" t="s">
        <v>29</v>
      </c>
      <c r="F1034" s="24">
        <v>31</v>
      </c>
      <c r="G1034" s="24">
        <v>10</v>
      </c>
      <c r="H1034" s="27">
        <v>310</v>
      </c>
      <c r="I1034" s="26" t="s">
        <v>22</v>
      </c>
    </row>
    <row r="1035" spans="1:9" ht="14.4" x14ac:dyDescent="0.25">
      <c r="A1035" s="24">
        <v>10362</v>
      </c>
      <c r="B1035" s="25">
        <v>44061</v>
      </c>
      <c r="C1035" s="64">
        <f t="shared" si="33"/>
        <v>2020</v>
      </c>
      <c r="D1035" s="64" t="str">
        <f t="shared" si="34"/>
        <v>2020年3季度</v>
      </c>
      <c r="E1035" s="26" t="s">
        <v>29</v>
      </c>
      <c r="F1035" s="24">
        <v>18</v>
      </c>
      <c r="G1035" s="24">
        <v>3</v>
      </c>
      <c r="H1035" s="27">
        <v>54</v>
      </c>
      <c r="I1035" s="26" t="s">
        <v>22</v>
      </c>
    </row>
    <row r="1036" spans="1:9" ht="14.4" x14ac:dyDescent="0.25">
      <c r="A1036" s="24">
        <v>10362</v>
      </c>
      <c r="B1036" s="25">
        <v>44061</v>
      </c>
      <c r="C1036" s="64">
        <f t="shared" si="33"/>
        <v>2020</v>
      </c>
      <c r="D1036" s="64" t="str">
        <f t="shared" si="34"/>
        <v>2020年3季度</v>
      </c>
      <c r="E1036" s="26" t="s">
        <v>29</v>
      </c>
      <c r="F1036" s="24">
        <v>10</v>
      </c>
      <c r="G1036" s="24">
        <v>6</v>
      </c>
      <c r="H1036" s="27">
        <v>60</v>
      </c>
      <c r="I1036" s="26" t="s">
        <v>22</v>
      </c>
    </row>
    <row r="1037" spans="1:9" ht="14.4" x14ac:dyDescent="0.25">
      <c r="A1037" s="24">
        <v>10363</v>
      </c>
      <c r="B1037" s="25">
        <v>44063</v>
      </c>
      <c r="C1037" s="64">
        <f t="shared" si="33"/>
        <v>2020</v>
      </c>
      <c r="D1037" s="64" t="str">
        <f t="shared" si="34"/>
        <v>2020年3季度</v>
      </c>
      <c r="E1037" s="26" t="s">
        <v>29</v>
      </c>
      <c r="F1037" s="24">
        <v>19</v>
      </c>
      <c r="G1037" s="24">
        <v>21</v>
      </c>
      <c r="H1037" s="27">
        <v>399</v>
      </c>
      <c r="I1037" s="26" t="s">
        <v>26</v>
      </c>
    </row>
    <row r="1038" spans="1:9" ht="14.4" x14ac:dyDescent="0.25">
      <c r="A1038" s="24">
        <v>10364</v>
      </c>
      <c r="B1038" s="25">
        <v>44063</v>
      </c>
      <c r="C1038" s="64">
        <f t="shared" si="33"/>
        <v>2020</v>
      </c>
      <c r="D1038" s="64" t="str">
        <f t="shared" si="34"/>
        <v>2020年3季度</v>
      </c>
      <c r="E1038" s="26" t="s">
        <v>29</v>
      </c>
      <c r="F1038" s="24">
        <v>19</v>
      </c>
      <c r="G1038" s="24">
        <v>10</v>
      </c>
      <c r="H1038" s="27">
        <v>190</v>
      </c>
      <c r="I1038" s="26" t="s">
        <v>27</v>
      </c>
    </row>
    <row r="1039" spans="1:9" ht="14.4" x14ac:dyDescent="0.25">
      <c r="A1039" s="24">
        <v>10364</v>
      </c>
      <c r="B1039" s="25">
        <v>44063</v>
      </c>
      <c r="C1039" s="64">
        <f t="shared" si="33"/>
        <v>2020</v>
      </c>
      <c r="D1039" s="64" t="str">
        <f t="shared" si="34"/>
        <v>2020年3季度</v>
      </c>
      <c r="E1039" s="26" t="s">
        <v>29</v>
      </c>
      <c r="F1039" s="24">
        <v>34</v>
      </c>
      <c r="G1039" s="24">
        <v>15</v>
      </c>
      <c r="H1039" s="27">
        <v>510</v>
      </c>
      <c r="I1039" s="26" t="s">
        <v>27</v>
      </c>
    </row>
    <row r="1040" spans="1:9" ht="14.4" x14ac:dyDescent="0.25">
      <c r="A1040" s="24">
        <v>10364</v>
      </c>
      <c r="B1040" s="25">
        <v>44063</v>
      </c>
      <c r="C1040" s="64">
        <f t="shared" si="33"/>
        <v>2020</v>
      </c>
      <c r="D1040" s="64" t="str">
        <f t="shared" si="34"/>
        <v>2020年3季度</v>
      </c>
      <c r="E1040" s="26" t="s">
        <v>29</v>
      </c>
      <c r="F1040" s="24">
        <v>18</v>
      </c>
      <c r="G1040" s="24">
        <v>6</v>
      </c>
      <c r="H1040" s="27">
        <v>108</v>
      </c>
      <c r="I1040" s="26" t="s">
        <v>27</v>
      </c>
    </row>
    <row r="1041" spans="1:9" ht="14.4" x14ac:dyDescent="0.25">
      <c r="A1041" s="24">
        <v>10365</v>
      </c>
      <c r="B1041" s="25">
        <v>44069</v>
      </c>
      <c r="C1041" s="64">
        <f t="shared" si="33"/>
        <v>2020</v>
      </c>
      <c r="D1041" s="64" t="str">
        <f t="shared" si="34"/>
        <v>2020年3季度</v>
      </c>
      <c r="E1041" s="26" t="s">
        <v>29</v>
      </c>
      <c r="F1041" s="24">
        <v>34</v>
      </c>
      <c r="G1041" s="24">
        <v>40</v>
      </c>
      <c r="H1041" s="27">
        <v>1360</v>
      </c>
      <c r="I1041" s="26" t="s">
        <v>22</v>
      </c>
    </row>
    <row r="1042" spans="1:9" ht="14.4" x14ac:dyDescent="0.25">
      <c r="A1042" s="24">
        <v>10367</v>
      </c>
      <c r="B1042" s="25">
        <v>44071</v>
      </c>
      <c r="C1042" s="64">
        <f t="shared" si="33"/>
        <v>2020</v>
      </c>
      <c r="D1042" s="64" t="str">
        <f t="shared" si="34"/>
        <v>2020年3季度</v>
      </c>
      <c r="E1042" s="26" t="s">
        <v>29</v>
      </c>
      <c r="F1042" s="24">
        <v>10</v>
      </c>
      <c r="G1042" s="24">
        <v>8</v>
      </c>
      <c r="H1042" s="27">
        <v>80</v>
      </c>
      <c r="I1042" s="26" t="s">
        <v>22</v>
      </c>
    </row>
    <row r="1043" spans="1:9" ht="14.4" x14ac:dyDescent="0.25">
      <c r="A1043" s="24">
        <v>10367</v>
      </c>
      <c r="B1043" s="25">
        <v>44071</v>
      </c>
      <c r="C1043" s="64">
        <f t="shared" si="33"/>
        <v>2020</v>
      </c>
      <c r="D1043" s="64" t="str">
        <f t="shared" si="34"/>
        <v>2020年3季度</v>
      </c>
      <c r="E1043" s="26" t="s">
        <v>29</v>
      </c>
      <c r="F1043" s="24">
        <v>18</v>
      </c>
      <c r="G1043" s="24">
        <v>5</v>
      </c>
      <c r="H1043" s="27">
        <v>90</v>
      </c>
      <c r="I1043" s="26" t="s">
        <v>22</v>
      </c>
    </row>
    <row r="1044" spans="1:9" ht="14.4" x14ac:dyDescent="0.25">
      <c r="A1044" s="24">
        <v>10368</v>
      </c>
      <c r="B1044" s="25">
        <v>44073</v>
      </c>
      <c r="C1044" s="64">
        <f t="shared" si="33"/>
        <v>2020</v>
      </c>
      <c r="D1044" s="64" t="str">
        <f t="shared" si="34"/>
        <v>2020年3季度</v>
      </c>
      <c r="E1044" s="26" t="s">
        <v>29</v>
      </c>
      <c r="F1044" s="24">
        <v>24</v>
      </c>
      <c r="G1044" s="24">
        <v>5</v>
      </c>
      <c r="H1044" s="27">
        <v>120</v>
      </c>
      <c r="I1044" s="26" t="s">
        <v>22</v>
      </c>
    </row>
    <row r="1045" spans="1:9" ht="14.4" x14ac:dyDescent="0.25">
      <c r="A1045" s="24">
        <v>10369</v>
      </c>
      <c r="B1045" s="25">
        <v>44075</v>
      </c>
      <c r="C1045" s="64">
        <f t="shared" si="33"/>
        <v>2020</v>
      </c>
      <c r="D1045" s="64" t="str">
        <f t="shared" si="34"/>
        <v>2020年3季度</v>
      </c>
      <c r="E1045" s="26" t="s">
        <v>29</v>
      </c>
      <c r="F1045" s="24">
        <v>21.5</v>
      </c>
      <c r="G1045" s="24">
        <v>15</v>
      </c>
      <c r="H1045" s="27">
        <v>322.5</v>
      </c>
      <c r="I1045" s="26" t="s">
        <v>25</v>
      </c>
    </row>
    <row r="1046" spans="1:9" ht="14.4" x14ac:dyDescent="0.25">
      <c r="A1046" s="24">
        <v>10369</v>
      </c>
      <c r="B1046" s="25">
        <v>44075</v>
      </c>
      <c r="C1046" s="64">
        <f t="shared" si="33"/>
        <v>2020</v>
      </c>
      <c r="D1046" s="64" t="str">
        <f t="shared" si="34"/>
        <v>2020年3季度</v>
      </c>
      <c r="E1046" s="26" t="s">
        <v>29</v>
      </c>
      <c r="F1046" s="24">
        <v>15</v>
      </c>
      <c r="G1046" s="24">
        <v>15</v>
      </c>
      <c r="H1046" s="27">
        <v>225</v>
      </c>
      <c r="I1046" s="26" t="s">
        <v>25</v>
      </c>
    </row>
    <row r="1047" spans="1:9" ht="14.4" x14ac:dyDescent="0.25">
      <c r="A1047" s="24">
        <v>10369</v>
      </c>
      <c r="B1047" s="25">
        <v>44075</v>
      </c>
      <c r="C1047" s="64">
        <f t="shared" si="33"/>
        <v>2020</v>
      </c>
      <c r="D1047" s="64" t="str">
        <f t="shared" si="34"/>
        <v>2020年3季度</v>
      </c>
      <c r="E1047" s="26" t="s">
        <v>29</v>
      </c>
      <c r="F1047" s="24">
        <v>38</v>
      </c>
      <c r="G1047" s="24">
        <v>14</v>
      </c>
      <c r="H1047" s="27">
        <v>532</v>
      </c>
      <c r="I1047" s="26" t="s">
        <v>25</v>
      </c>
    </row>
    <row r="1048" spans="1:9" ht="14.4" x14ac:dyDescent="0.25">
      <c r="A1048" s="24">
        <v>10369</v>
      </c>
      <c r="B1048" s="25">
        <v>44075</v>
      </c>
      <c r="C1048" s="64">
        <f t="shared" si="33"/>
        <v>2020</v>
      </c>
      <c r="D1048" s="64" t="str">
        <f t="shared" si="34"/>
        <v>2020年3季度</v>
      </c>
      <c r="E1048" s="26" t="s">
        <v>29</v>
      </c>
      <c r="F1048" s="24">
        <v>263.5</v>
      </c>
      <c r="G1048" s="24">
        <v>15</v>
      </c>
      <c r="H1048" s="27">
        <v>3952.5</v>
      </c>
      <c r="I1048" s="26" t="s">
        <v>25</v>
      </c>
    </row>
    <row r="1049" spans="1:9" ht="14.4" x14ac:dyDescent="0.25">
      <c r="A1049" s="24">
        <v>10370</v>
      </c>
      <c r="B1049" s="25">
        <v>44075</v>
      </c>
      <c r="C1049" s="64">
        <f t="shared" si="33"/>
        <v>2020</v>
      </c>
      <c r="D1049" s="64" t="str">
        <f t="shared" si="34"/>
        <v>2020年3季度</v>
      </c>
      <c r="E1049" s="26" t="s">
        <v>29</v>
      </c>
      <c r="F1049" s="24">
        <v>55</v>
      </c>
      <c r="G1049" s="24">
        <v>30</v>
      </c>
      <c r="H1049" s="27">
        <v>1650</v>
      </c>
      <c r="I1049" s="26" t="s">
        <v>22</v>
      </c>
    </row>
    <row r="1050" spans="1:9" ht="14.4" x14ac:dyDescent="0.25">
      <c r="A1050" s="24">
        <v>10374</v>
      </c>
      <c r="B1050" s="25">
        <v>44085</v>
      </c>
      <c r="C1050" s="64">
        <f t="shared" si="33"/>
        <v>2020</v>
      </c>
      <c r="D1050" s="64" t="str">
        <f t="shared" si="34"/>
        <v>2020年3季度</v>
      </c>
      <c r="E1050" s="26" t="s">
        <v>29</v>
      </c>
      <c r="F1050" s="24">
        <v>9</v>
      </c>
      <c r="G1050" s="24">
        <v>10</v>
      </c>
      <c r="H1050" s="27">
        <v>90</v>
      </c>
      <c r="I1050" s="26" t="s">
        <v>23</v>
      </c>
    </row>
    <row r="1051" spans="1:9" ht="14.4" x14ac:dyDescent="0.25">
      <c r="A1051" s="24">
        <v>10374</v>
      </c>
      <c r="B1051" s="25">
        <v>44085</v>
      </c>
      <c r="C1051" s="64">
        <f t="shared" si="33"/>
        <v>2020</v>
      </c>
      <c r="D1051" s="64" t="str">
        <f t="shared" si="34"/>
        <v>2020年3季度</v>
      </c>
      <c r="E1051" s="26" t="s">
        <v>29</v>
      </c>
      <c r="F1051" s="24">
        <v>15</v>
      </c>
      <c r="G1051" s="24">
        <v>20</v>
      </c>
      <c r="H1051" s="27">
        <v>300</v>
      </c>
      <c r="I1051" s="26" t="s">
        <v>23</v>
      </c>
    </row>
    <row r="1052" spans="1:9" ht="14.4" x14ac:dyDescent="0.25">
      <c r="A1052" s="24">
        <v>10374</v>
      </c>
      <c r="B1052" s="25">
        <v>44085</v>
      </c>
      <c r="C1052" s="64">
        <f t="shared" si="33"/>
        <v>2020</v>
      </c>
      <c r="D1052" s="64" t="str">
        <f t="shared" si="34"/>
        <v>2020年3季度</v>
      </c>
      <c r="E1052" s="26" t="s">
        <v>29</v>
      </c>
      <c r="F1052" s="24">
        <v>21.5</v>
      </c>
      <c r="G1052" s="24">
        <v>15</v>
      </c>
      <c r="H1052" s="27">
        <v>322.5</v>
      </c>
      <c r="I1052" s="26" t="s">
        <v>23</v>
      </c>
    </row>
    <row r="1053" spans="1:9" ht="14.4" x14ac:dyDescent="0.25">
      <c r="A1053" s="24">
        <v>10374</v>
      </c>
      <c r="B1053" s="25">
        <v>44085</v>
      </c>
      <c r="C1053" s="64">
        <f t="shared" si="33"/>
        <v>2020</v>
      </c>
      <c r="D1053" s="64" t="str">
        <f t="shared" si="34"/>
        <v>2020年3季度</v>
      </c>
      <c r="E1053" s="26" t="s">
        <v>29</v>
      </c>
      <c r="F1053" s="24">
        <v>9.1999999999999993</v>
      </c>
      <c r="G1053" s="24">
        <v>5</v>
      </c>
      <c r="H1053" s="27">
        <v>46</v>
      </c>
      <c r="I1053" s="26" t="s">
        <v>23</v>
      </c>
    </row>
    <row r="1054" spans="1:9" ht="14.4" x14ac:dyDescent="0.25">
      <c r="A1054" s="24">
        <v>10375</v>
      </c>
      <c r="B1054" s="25">
        <v>44087</v>
      </c>
      <c r="C1054" s="64">
        <f t="shared" si="33"/>
        <v>2020</v>
      </c>
      <c r="D1054" s="64" t="str">
        <f t="shared" si="34"/>
        <v>2020年3季度</v>
      </c>
      <c r="E1054" s="26" t="s">
        <v>29</v>
      </c>
      <c r="F1054" s="24">
        <v>12.5</v>
      </c>
      <c r="G1054" s="24">
        <v>18</v>
      </c>
      <c r="H1054" s="27">
        <v>225</v>
      </c>
      <c r="I1054" s="26" t="s">
        <v>22</v>
      </c>
    </row>
    <row r="1055" spans="1:9" ht="14.4" x14ac:dyDescent="0.25">
      <c r="A1055" s="24">
        <v>10375</v>
      </c>
      <c r="B1055" s="25">
        <v>44087</v>
      </c>
      <c r="C1055" s="64">
        <f t="shared" si="33"/>
        <v>2020</v>
      </c>
      <c r="D1055" s="64" t="str">
        <f t="shared" si="34"/>
        <v>2020年3季度</v>
      </c>
      <c r="E1055" s="26" t="s">
        <v>29</v>
      </c>
      <c r="F1055" s="24">
        <v>19</v>
      </c>
      <c r="G1055" s="24">
        <v>20</v>
      </c>
      <c r="H1055" s="27">
        <v>380</v>
      </c>
      <c r="I1055" s="26" t="s">
        <v>22</v>
      </c>
    </row>
    <row r="1056" spans="1:9" ht="14.4" x14ac:dyDescent="0.25">
      <c r="A1056" s="24">
        <v>10376</v>
      </c>
      <c r="B1056" s="25">
        <v>44089</v>
      </c>
      <c r="C1056" s="64">
        <f t="shared" si="33"/>
        <v>2020</v>
      </c>
      <c r="D1056" s="64" t="str">
        <f t="shared" si="34"/>
        <v>2020年3季度</v>
      </c>
      <c r="E1056" s="26" t="s">
        <v>29</v>
      </c>
      <c r="F1056" s="24">
        <v>4.5</v>
      </c>
      <c r="G1056" s="24">
        <v>3</v>
      </c>
      <c r="H1056" s="27">
        <v>13.5</v>
      </c>
      <c r="I1056" s="26" t="s">
        <v>22</v>
      </c>
    </row>
    <row r="1057" spans="1:9" ht="14.4" x14ac:dyDescent="0.25">
      <c r="A1057" s="24">
        <v>10376</v>
      </c>
      <c r="B1057" s="25">
        <v>44089</v>
      </c>
      <c r="C1057" s="64">
        <f t="shared" si="33"/>
        <v>2020</v>
      </c>
      <c r="D1057" s="64" t="str">
        <f t="shared" si="34"/>
        <v>2020年3季度</v>
      </c>
      <c r="E1057" s="26" t="s">
        <v>29</v>
      </c>
      <c r="F1057" s="24">
        <v>18</v>
      </c>
      <c r="G1057" s="24">
        <v>30</v>
      </c>
      <c r="H1057" s="27">
        <v>540</v>
      </c>
      <c r="I1057" s="26" t="s">
        <v>22</v>
      </c>
    </row>
    <row r="1058" spans="1:9" ht="14.4" x14ac:dyDescent="0.25">
      <c r="A1058" s="24">
        <v>10376</v>
      </c>
      <c r="B1058" s="25">
        <v>44089</v>
      </c>
      <c r="C1058" s="64">
        <f t="shared" si="33"/>
        <v>2020</v>
      </c>
      <c r="D1058" s="64" t="str">
        <f t="shared" si="34"/>
        <v>2020年3季度</v>
      </c>
      <c r="E1058" s="26" t="s">
        <v>29</v>
      </c>
      <c r="F1058" s="24">
        <v>23.25</v>
      </c>
      <c r="G1058" s="24">
        <v>21</v>
      </c>
      <c r="H1058" s="27">
        <v>488.25</v>
      </c>
      <c r="I1058" s="26" t="s">
        <v>22</v>
      </c>
    </row>
    <row r="1059" spans="1:9" ht="14.4" x14ac:dyDescent="0.25">
      <c r="A1059" s="24">
        <v>10376</v>
      </c>
      <c r="B1059" s="25">
        <v>44089</v>
      </c>
      <c r="C1059" s="64">
        <f t="shared" si="33"/>
        <v>2020</v>
      </c>
      <c r="D1059" s="64" t="str">
        <f t="shared" si="34"/>
        <v>2020年3季度</v>
      </c>
      <c r="E1059" s="26" t="s">
        <v>29</v>
      </c>
      <c r="F1059" s="24">
        <v>9.1999999999999993</v>
      </c>
      <c r="G1059" s="24">
        <v>15</v>
      </c>
      <c r="H1059" s="27">
        <v>138</v>
      </c>
      <c r="I1059" s="26" t="s">
        <v>22</v>
      </c>
    </row>
    <row r="1060" spans="1:9" ht="14.4" x14ac:dyDescent="0.25">
      <c r="A1060" s="24">
        <v>10376</v>
      </c>
      <c r="B1060" s="25">
        <v>44089</v>
      </c>
      <c r="C1060" s="64">
        <f t="shared" si="33"/>
        <v>2020</v>
      </c>
      <c r="D1060" s="64" t="str">
        <f t="shared" si="34"/>
        <v>2020年3季度</v>
      </c>
      <c r="E1060" s="26" t="s">
        <v>29</v>
      </c>
      <c r="F1060" s="24">
        <v>10</v>
      </c>
      <c r="G1060" s="24">
        <v>25</v>
      </c>
      <c r="H1060" s="27">
        <v>250</v>
      </c>
      <c r="I1060" s="26" t="s">
        <v>22</v>
      </c>
    </row>
    <row r="1061" spans="1:9" ht="14.4" x14ac:dyDescent="0.25">
      <c r="A1061" s="24">
        <v>10379</v>
      </c>
      <c r="B1061" s="25">
        <v>44097</v>
      </c>
      <c r="C1061" s="64">
        <f t="shared" si="33"/>
        <v>2020</v>
      </c>
      <c r="D1061" s="64" t="str">
        <f t="shared" si="34"/>
        <v>2020年3季度</v>
      </c>
      <c r="E1061" s="26" t="s">
        <v>29</v>
      </c>
      <c r="F1061" s="24">
        <v>21.5</v>
      </c>
      <c r="G1061" s="24">
        <v>20</v>
      </c>
      <c r="H1061" s="27">
        <v>430</v>
      </c>
      <c r="I1061" s="26" t="s">
        <v>23</v>
      </c>
    </row>
    <row r="1062" spans="1:9" ht="14.4" x14ac:dyDescent="0.25">
      <c r="A1062" s="24">
        <v>10379</v>
      </c>
      <c r="B1062" s="25">
        <v>44097</v>
      </c>
      <c r="C1062" s="64">
        <f t="shared" si="33"/>
        <v>2020</v>
      </c>
      <c r="D1062" s="64" t="str">
        <f t="shared" si="34"/>
        <v>2020年3季度</v>
      </c>
      <c r="E1062" s="26" t="s">
        <v>29</v>
      </c>
      <c r="F1062" s="24">
        <v>34</v>
      </c>
      <c r="G1062" s="24">
        <v>20</v>
      </c>
      <c r="H1062" s="27">
        <v>680</v>
      </c>
      <c r="I1062" s="26" t="s">
        <v>23</v>
      </c>
    </row>
    <row r="1063" spans="1:9" ht="14.4" x14ac:dyDescent="0.25">
      <c r="A1063" s="24">
        <v>10380</v>
      </c>
      <c r="B1063" s="25">
        <v>44097</v>
      </c>
      <c r="C1063" s="64">
        <f t="shared" si="33"/>
        <v>2020</v>
      </c>
      <c r="D1063" s="64" t="str">
        <f t="shared" si="34"/>
        <v>2020年3季度</v>
      </c>
      <c r="E1063" s="26" t="s">
        <v>29</v>
      </c>
      <c r="F1063" s="24">
        <v>15</v>
      </c>
      <c r="G1063" s="24">
        <v>35</v>
      </c>
      <c r="H1063" s="27">
        <v>525</v>
      </c>
      <c r="I1063" s="26" t="s">
        <v>22</v>
      </c>
    </row>
    <row r="1064" spans="1:9" ht="14.4" x14ac:dyDescent="0.25">
      <c r="A1064" s="24">
        <v>10380</v>
      </c>
      <c r="B1064" s="25">
        <v>44097</v>
      </c>
      <c r="C1064" s="64">
        <f t="shared" si="33"/>
        <v>2020</v>
      </c>
      <c r="D1064" s="64" t="str">
        <f t="shared" si="34"/>
        <v>2020年3季度</v>
      </c>
      <c r="E1064" s="26" t="s">
        <v>29</v>
      </c>
      <c r="F1064" s="24">
        <v>49.3</v>
      </c>
      <c r="G1064" s="24">
        <v>15</v>
      </c>
      <c r="H1064" s="27">
        <v>739.5</v>
      </c>
      <c r="I1064" s="26" t="s">
        <v>22</v>
      </c>
    </row>
    <row r="1065" spans="1:9" ht="14.4" x14ac:dyDescent="0.25">
      <c r="A1065" s="24">
        <v>10381</v>
      </c>
      <c r="B1065" s="25">
        <v>44099</v>
      </c>
      <c r="C1065" s="64">
        <f t="shared" si="33"/>
        <v>2020</v>
      </c>
      <c r="D1065" s="64" t="str">
        <f t="shared" si="34"/>
        <v>2020年3季度</v>
      </c>
      <c r="E1065" s="26" t="s">
        <v>29</v>
      </c>
      <c r="F1065" s="24">
        <v>18</v>
      </c>
      <c r="G1065" s="24">
        <v>25</v>
      </c>
      <c r="H1065" s="27">
        <v>450</v>
      </c>
      <c r="I1065" s="26" t="s">
        <v>27</v>
      </c>
    </row>
    <row r="1066" spans="1:9" ht="14.4" x14ac:dyDescent="0.25">
      <c r="A1066" s="24">
        <v>10382</v>
      </c>
      <c r="B1066" s="25">
        <v>44099</v>
      </c>
      <c r="C1066" s="64">
        <f t="shared" si="33"/>
        <v>2020</v>
      </c>
      <c r="D1066" s="64" t="str">
        <f t="shared" si="34"/>
        <v>2020年3季度</v>
      </c>
      <c r="E1066" s="26" t="s">
        <v>29</v>
      </c>
      <c r="F1066" s="24">
        <v>123.79</v>
      </c>
      <c r="G1066" s="24">
        <v>20</v>
      </c>
      <c r="H1066" s="27">
        <v>2475.8000000000002</v>
      </c>
      <c r="I1066" s="26" t="s">
        <v>22</v>
      </c>
    </row>
    <row r="1067" spans="1:9" ht="14.4" x14ac:dyDescent="0.25">
      <c r="A1067" s="24">
        <v>10382</v>
      </c>
      <c r="B1067" s="25">
        <v>44099</v>
      </c>
      <c r="C1067" s="64">
        <f t="shared" si="33"/>
        <v>2020</v>
      </c>
      <c r="D1067" s="64" t="str">
        <f t="shared" si="34"/>
        <v>2020年3季度</v>
      </c>
      <c r="E1067" s="26" t="s">
        <v>29</v>
      </c>
      <c r="F1067" s="24">
        <v>33.25</v>
      </c>
      <c r="G1067" s="24">
        <v>9</v>
      </c>
      <c r="H1067" s="27">
        <v>299.25</v>
      </c>
      <c r="I1067" s="26" t="s">
        <v>22</v>
      </c>
    </row>
    <row r="1068" spans="1:9" ht="14.4" x14ac:dyDescent="0.25">
      <c r="A1068" s="24">
        <v>10383</v>
      </c>
      <c r="B1068" s="25">
        <v>44101</v>
      </c>
      <c r="C1068" s="64">
        <f t="shared" si="33"/>
        <v>2020</v>
      </c>
      <c r="D1068" s="64" t="str">
        <f t="shared" si="34"/>
        <v>2020年3季度</v>
      </c>
      <c r="E1068" s="26" t="s">
        <v>29</v>
      </c>
      <c r="F1068" s="24">
        <v>18</v>
      </c>
      <c r="G1068" s="24">
        <v>35</v>
      </c>
      <c r="H1068" s="27">
        <v>630</v>
      </c>
      <c r="I1068" s="26" t="s">
        <v>22</v>
      </c>
    </row>
    <row r="1069" spans="1:9" ht="14.4" x14ac:dyDescent="0.25">
      <c r="A1069" s="24">
        <v>10383</v>
      </c>
      <c r="B1069" s="25">
        <v>44101</v>
      </c>
      <c r="C1069" s="64">
        <f t="shared" si="33"/>
        <v>2020</v>
      </c>
      <c r="D1069" s="64" t="str">
        <f t="shared" si="34"/>
        <v>2020年3季度</v>
      </c>
      <c r="E1069" s="26" t="s">
        <v>29</v>
      </c>
      <c r="F1069" s="24">
        <v>24</v>
      </c>
      <c r="G1069" s="24">
        <v>12</v>
      </c>
      <c r="H1069" s="27">
        <v>288</v>
      </c>
      <c r="I1069" s="26" t="s">
        <v>22</v>
      </c>
    </row>
    <row r="1070" spans="1:9" ht="14.4" x14ac:dyDescent="0.25">
      <c r="A1070" s="24">
        <v>10384</v>
      </c>
      <c r="B1070" s="25">
        <v>44103</v>
      </c>
      <c r="C1070" s="64">
        <f t="shared" si="33"/>
        <v>2020</v>
      </c>
      <c r="D1070" s="64" t="str">
        <f t="shared" si="34"/>
        <v>2020年3季度</v>
      </c>
      <c r="E1070" s="26" t="s">
        <v>29</v>
      </c>
      <c r="F1070" s="24">
        <v>7.75</v>
      </c>
      <c r="G1070" s="24">
        <v>8</v>
      </c>
      <c r="H1070" s="27">
        <v>62</v>
      </c>
      <c r="I1070" s="26" t="s">
        <v>22</v>
      </c>
    </row>
    <row r="1071" spans="1:9" ht="14.4" x14ac:dyDescent="0.25">
      <c r="A1071" s="24">
        <v>10385</v>
      </c>
      <c r="B1071" s="25">
        <v>44103</v>
      </c>
      <c r="C1071" s="64">
        <f t="shared" si="33"/>
        <v>2020</v>
      </c>
      <c r="D1071" s="64" t="str">
        <f t="shared" si="34"/>
        <v>2020年3季度</v>
      </c>
      <c r="E1071" s="26" t="s">
        <v>29</v>
      </c>
      <c r="F1071" s="24">
        <v>2.5</v>
      </c>
      <c r="G1071" s="24">
        <v>20</v>
      </c>
      <c r="H1071" s="27">
        <v>50</v>
      </c>
      <c r="I1071" s="26" t="s">
        <v>22</v>
      </c>
    </row>
    <row r="1072" spans="1:9" ht="14.4" x14ac:dyDescent="0.25">
      <c r="A1072" s="24">
        <v>10387</v>
      </c>
      <c r="B1072" s="25">
        <v>44105</v>
      </c>
      <c r="C1072" s="64">
        <f t="shared" si="33"/>
        <v>2020</v>
      </c>
      <c r="D1072" s="64" t="str">
        <f t="shared" si="34"/>
        <v>2020年4季度</v>
      </c>
      <c r="E1072" s="26" t="s">
        <v>29</v>
      </c>
      <c r="F1072" s="24">
        <v>62.5</v>
      </c>
      <c r="G1072" s="24">
        <v>50</v>
      </c>
      <c r="H1072" s="27">
        <v>3125</v>
      </c>
      <c r="I1072" s="26" t="s">
        <v>23</v>
      </c>
    </row>
    <row r="1073" spans="1:9" ht="14.4" x14ac:dyDescent="0.25">
      <c r="A1073" s="24">
        <v>10387</v>
      </c>
      <c r="B1073" s="25">
        <v>44105</v>
      </c>
      <c r="C1073" s="64">
        <f t="shared" si="33"/>
        <v>2020</v>
      </c>
      <c r="D1073" s="64" t="str">
        <f t="shared" si="34"/>
        <v>2020年4季度</v>
      </c>
      <c r="E1073" s="26" t="s">
        <v>29</v>
      </c>
      <c r="F1073" s="24">
        <v>7.75</v>
      </c>
      <c r="G1073" s="24">
        <v>2</v>
      </c>
      <c r="H1073" s="27">
        <v>15.5</v>
      </c>
      <c r="I1073" s="26" t="s">
        <v>23</v>
      </c>
    </row>
    <row r="1074" spans="1:9" ht="14.4" x14ac:dyDescent="0.25">
      <c r="A1074" s="24">
        <v>10388</v>
      </c>
      <c r="B1074" s="25">
        <v>44111</v>
      </c>
      <c r="C1074" s="64">
        <f t="shared" si="33"/>
        <v>2020</v>
      </c>
      <c r="D1074" s="64" t="str">
        <f t="shared" si="34"/>
        <v>2020年4季度</v>
      </c>
      <c r="E1074" s="26" t="s">
        <v>29</v>
      </c>
      <c r="F1074" s="24">
        <v>22</v>
      </c>
      <c r="G1074" s="24">
        <v>10</v>
      </c>
      <c r="H1074" s="27">
        <v>220</v>
      </c>
      <c r="I1074" s="26" t="s">
        <v>23</v>
      </c>
    </row>
    <row r="1075" spans="1:9" ht="14.4" x14ac:dyDescent="0.25">
      <c r="A1075" s="24">
        <v>10388</v>
      </c>
      <c r="B1075" s="25">
        <v>44111</v>
      </c>
      <c r="C1075" s="64">
        <f t="shared" si="33"/>
        <v>2020</v>
      </c>
      <c r="D1075" s="64" t="str">
        <f t="shared" si="34"/>
        <v>2020年4季度</v>
      </c>
      <c r="E1075" s="26" t="s">
        <v>29</v>
      </c>
      <c r="F1075" s="24">
        <v>21.35</v>
      </c>
      <c r="G1075" s="24">
        <v>15</v>
      </c>
      <c r="H1075" s="27">
        <v>320.25</v>
      </c>
      <c r="I1075" s="26" t="s">
        <v>23</v>
      </c>
    </row>
    <row r="1076" spans="1:9" ht="14.4" x14ac:dyDescent="0.25">
      <c r="A1076" s="24">
        <v>10388</v>
      </c>
      <c r="B1076" s="25">
        <v>44111</v>
      </c>
      <c r="C1076" s="64">
        <f t="shared" si="33"/>
        <v>2020</v>
      </c>
      <c r="D1076" s="64" t="str">
        <f t="shared" si="34"/>
        <v>2020年4季度</v>
      </c>
      <c r="E1076" s="26" t="s">
        <v>29</v>
      </c>
      <c r="F1076" s="24">
        <v>21</v>
      </c>
      <c r="G1076" s="24">
        <v>40</v>
      </c>
      <c r="H1076" s="27">
        <v>840</v>
      </c>
      <c r="I1076" s="26" t="s">
        <v>23</v>
      </c>
    </row>
    <row r="1077" spans="1:9" ht="14.4" x14ac:dyDescent="0.25">
      <c r="A1077" s="24">
        <v>10389</v>
      </c>
      <c r="B1077" s="25">
        <v>44113</v>
      </c>
      <c r="C1077" s="64">
        <f t="shared" si="33"/>
        <v>2020</v>
      </c>
      <c r="D1077" s="64" t="str">
        <f t="shared" si="34"/>
        <v>2020年4季度</v>
      </c>
      <c r="E1077" s="26" t="s">
        <v>29</v>
      </c>
      <c r="F1077" s="24">
        <v>13.25</v>
      </c>
      <c r="G1077" s="24">
        <v>6</v>
      </c>
      <c r="H1077" s="27">
        <v>79.5</v>
      </c>
      <c r="I1077" s="26" t="s">
        <v>25</v>
      </c>
    </row>
    <row r="1078" spans="1:9" ht="14.4" x14ac:dyDescent="0.25">
      <c r="A1078" s="24">
        <v>10389</v>
      </c>
      <c r="B1078" s="25">
        <v>44113</v>
      </c>
      <c r="C1078" s="64">
        <f t="shared" si="33"/>
        <v>2020</v>
      </c>
      <c r="D1078" s="64" t="str">
        <f t="shared" si="34"/>
        <v>2020年4季度</v>
      </c>
      <c r="E1078" s="26" t="s">
        <v>29</v>
      </c>
      <c r="F1078" s="24">
        <v>22</v>
      </c>
      <c r="G1078" s="24">
        <v>25</v>
      </c>
      <c r="H1078" s="27">
        <v>550</v>
      </c>
      <c r="I1078" s="26" t="s">
        <v>25</v>
      </c>
    </row>
    <row r="1079" spans="1:9" ht="14.4" x14ac:dyDescent="0.25">
      <c r="A1079" s="24">
        <v>10390</v>
      </c>
      <c r="B1079" s="25">
        <v>44113</v>
      </c>
      <c r="C1079" s="64">
        <f t="shared" si="33"/>
        <v>2020</v>
      </c>
      <c r="D1079" s="64" t="str">
        <f t="shared" si="34"/>
        <v>2020年4季度</v>
      </c>
      <c r="E1079" s="26" t="s">
        <v>29</v>
      </c>
      <c r="F1079" s="24">
        <v>21</v>
      </c>
      <c r="G1079" s="24">
        <v>10</v>
      </c>
      <c r="H1079" s="27">
        <v>210</v>
      </c>
      <c r="I1079" s="26" t="s">
        <v>22</v>
      </c>
    </row>
    <row r="1080" spans="1:9" ht="14.4" x14ac:dyDescent="0.25">
      <c r="A1080" s="24">
        <v>10390</v>
      </c>
      <c r="B1080" s="25">
        <v>44113</v>
      </c>
      <c r="C1080" s="64">
        <f t="shared" si="33"/>
        <v>2020</v>
      </c>
      <c r="D1080" s="64" t="str">
        <f t="shared" si="34"/>
        <v>2020年4季度</v>
      </c>
      <c r="E1080" s="26" t="s">
        <v>29</v>
      </c>
      <c r="F1080" s="24">
        <v>16.25</v>
      </c>
      <c r="G1080" s="24">
        <v>25</v>
      </c>
      <c r="H1080" s="27">
        <v>406.25</v>
      </c>
      <c r="I1080" s="26" t="s">
        <v>22</v>
      </c>
    </row>
    <row r="1081" spans="1:9" ht="14.4" x14ac:dyDescent="0.25">
      <c r="A1081" s="24">
        <v>10390</v>
      </c>
      <c r="B1081" s="25">
        <v>44113</v>
      </c>
      <c r="C1081" s="64">
        <f t="shared" si="33"/>
        <v>2020</v>
      </c>
      <c r="D1081" s="64" t="str">
        <f t="shared" si="34"/>
        <v>2020年4季度</v>
      </c>
      <c r="E1081" s="26" t="s">
        <v>29</v>
      </c>
      <c r="F1081" s="24">
        <v>38</v>
      </c>
      <c r="G1081" s="24">
        <v>60</v>
      </c>
      <c r="H1081" s="27">
        <v>2280</v>
      </c>
      <c r="I1081" s="26" t="s">
        <v>22</v>
      </c>
    </row>
    <row r="1082" spans="1:9" ht="14.4" x14ac:dyDescent="0.25">
      <c r="A1082" s="24">
        <v>10391</v>
      </c>
      <c r="B1082" s="25">
        <v>44115</v>
      </c>
      <c r="C1082" s="64">
        <f t="shared" si="33"/>
        <v>2020</v>
      </c>
      <c r="D1082" s="64" t="str">
        <f t="shared" si="34"/>
        <v>2020年4季度</v>
      </c>
      <c r="E1082" s="26" t="s">
        <v>29</v>
      </c>
      <c r="F1082" s="24">
        <v>21.05</v>
      </c>
      <c r="G1082" s="24">
        <v>21</v>
      </c>
      <c r="H1082" s="27">
        <v>442.05</v>
      </c>
      <c r="I1082" s="26" t="s">
        <v>22</v>
      </c>
    </row>
    <row r="1083" spans="1:9" ht="14.4" x14ac:dyDescent="0.25">
      <c r="A1083" s="24">
        <v>10395</v>
      </c>
      <c r="B1083" s="25">
        <v>44119</v>
      </c>
      <c r="C1083" s="64">
        <f t="shared" si="33"/>
        <v>2020</v>
      </c>
      <c r="D1083" s="64" t="str">
        <f t="shared" si="34"/>
        <v>2020年4季度</v>
      </c>
      <c r="E1083" s="26" t="s">
        <v>29</v>
      </c>
      <c r="F1083" s="24">
        <v>28.5</v>
      </c>
      <c r="G1083" s="24">
        <v>20</v>
      </c>
      <c r="H1083" s="27">
        <v>570</v>
      </c>
      <c r="I1083" s="26" t="s">
        <v>23</v>
      </c>
    </row>
    <row r="1084" spans="1:9" ht="14.4" x14ac:dyDescent="0.25">
      <c r="A1084" s="24">
        <v>10395</v>
      </c>
      <c r="B1084" s="25">
        <v>44119</v>
      </c>
      <c r="C1084" s="64">
        <f t="shared" si="33"/>
        <v>2020</v>
      </c>
      <c r="D1084" s="64" t="str">
        <f t="shared" si="34"/>
        <v>2020年4季度</v>
      </c>
      <c r="E1084" s="26" t="s">
        <v>29</v>
      </c>
      <c r="F1084" s="24">
        <v>10</v>
      </c>
      <c r="G1084" s="24">
        <v>30</v>
      </c>
      <c r="H1084" s="27">
        <v>300</v>
      </c>
      <c r="I1084" s="26" t="s">
        <v>23</v>
      </c>
    </row>
    <row r="1085" spans="1:9" ht="14.4" x14ac:dyDescent="0.25">
      <c r="A1085" s="24">
        <v>10396</v>
      </c>
      <c r="B1085" s="25">
        <v>44125</v>
      </c>
      <c r="C1085" s="64">
        <f t="shared" si="33"/>
        <v>2020</v>
      </c>
      <c r="D1085" s="64" t="str">
        <f t="shared" si="34"/>
        <v>2020年4季度</v>
      </c>
      <c r="E1085" s="26" t="s">
        <v>29</v>
      </c>
      <c r="F1085" s="24">
        <v>12</v>
      </c>
      <c r="G1085" s="24">
        <v>2</v>
      </c>
      <c r="H1085" s="27">
        <v>24</v>
      </c>
      <c r="I1085" s="26" t="s">
        <v>23</v>
      </c>
    </row>
    <row r="1086" spans="1:9" ht="14.4" x14ac:dyDescent="0.25">
      <c r="A1086" s="24">
        <v>10396</v>
      </c>
      <c r="B1086" s="25">
        <v>44125</v>
      </c>
      <c r="C1086" s="64">
        <f t="shared" si="33"/>
        <v>2020</v>
      </c>
      <c r="D1086" s="64" t="str">
        <f t="shared" si="34"/>
        <v>2020年4季度</v>
      </c>
      <c r="E1086" s="26" t="s">
        <v>29</v>
      </c>
      <c r="F1086" s="24">
        <v>45.6</v>
      </c>
      <c r="G1086" s="24">
        <v>15</v>
      </c>
      <c r="H1086" s="27">
        <v>684</v>
      </c>
      <c r="I1086" s="26" t="s">
        <v>23</v>
      </c>
    </row>
    <row r="1087" spans="1:9" ht="14.4" x14ac:dyDescent="0.25">
      <c r="A1087" s="24">
        <v>10396</v>
      </c>
      <c r="B1087" s="25">
        <v>44125</v>
      </c>
      <c r="C1087" s="64">
        <f t="shared" si="33"/>
        <v>2020</v>
      </c>
      <c r="D1087" s="64" t="str">
        <f t="shared" si="34"/>
        <v>2020年4季度</v>
      </c>
      <c r="E1087" s="26" t="s">
        <v>29</v>
      </c>
      <c r="F1087" s="24">
        <v>18</v>
      </c>
      <c r="G1087" s="24">
        <v>21</v>
      </c>
      <c r="H1087" s="27">
        <v>378</v>
      </c>
      <c r="I1087" s="26" t="s">
        <v>23</v>
      </c>
    </row>
    <row r="1088" spans="1:9" ht="14.4" x14ac:dyDescent="0.25">
      <c r="A1088" s="24">
        <v>10397</v>
      </c>
      <c r="B1088" s="25">
        <v>44125</v>
      </c>
      <c r="C1088" s="64">
        <f t="shared" si="33"/>
        <v>2020</v>
      </c>
      <c r="D1088" s="64" t="str">
        <f t="shared" si="34"/>
        <v>2020年4季度</v>
      </c>
      <c r="E1088" s="26" t="s">
        <v>29</v>
      </c>
      <c r="F1088" s="24">
        <v>62.5</v>
      </c>
      <c r="G1088" s="24">
        <v>4</v>
      </c>
      <c r="H1088" s="27">
        <v>250</v>
      </c>
      <c r="I1088" s="26" t="s">
        <v>22</v>
      </c>
    </row>
    <row r="1089" spans="1:9" ht="14.4" x14ac:dyDescent="0.25">
      <c r="A1089" s="24">
        <v>10397</v>
      </c>
      <c r="B1089" s="25">
        <v>44125</v>
      </c>
      <c r="C1089" s="64">
        <f t="shared" si="33"/>
        <v>2020</v>
      </c>
      <c r="D1089" s="64" t="str">
        <f t="shared" si="34"/>
        <v>2020年4季度</v>
      </c>
      <c r="E1089" s="26" t="s">
        <v>29</v>
      </c>
      <c r="F1089" s="24">
        <v>12</v>
      </c>
      <c r="G1089" s="24">
        <v>21</v>
      </c>
      <c r="H1089" s="27">
        <v>252</v>
      </c>
      <c r="I1089" s="26" t="s">
        <v>22</v>
      </c>
    </row>
    <row r="1090" spans="1:9" ht="14.4" x14ac:dyDescent="0.25">
      <c r="A1090" s="24">
        <v>10397</v>
      </c>
      <c r="B1090" s="25">
        <v>44125</v>
      </c>
      <c r="C1090" s="64">
        <f t="shared" si="33"/>
        <v>2020</v>
      </c>
      <c r="D1090" s="64" t="str">
        <f t="shared" si="34"/>
        <v>2020年4季度</v>
      </c>
      <c r="E1090" s="26" t="s">
        <v>29</v>
      </c>
      <c r="F1090" s="24">
        <v>46</v>
      </c>
      <c r="G1090" s="24">
        <v>20</v>
      </c>
      <c r="H1090" s="27">
        <v>920</v>
      </c>
      <c r="I1090" s="26" t="s">
        <v>22</v>
      </c>
    </row>
    <row r="1091" spans="1:9" ht="14.4" x14ac:dyDescent="0.25">
      <c r="A1091" s="24">
        <v>10398</v>
      </c>
      <c r="B1091" s="25">
        <v>44127</v>
      </c>
      <c r="C1091" s="64">
        <f t="shared" ref="C1091:C1151" si="35">YEAR(B1091)</f>
        <v>2020</v>
      </c>
      <c r="D1091" s="64" t="str">
        <f t="shared" ref="D1091:D1151" si="36">YEAR(B1091)&amp;"年"&amp;ROUNDUP(MONTH(B1091)/3,0)&amp;"季度"</f>
        <v>2020年4季度</v>
      </c>
      <c r="E1091" s="26" t="s">
        <v>29</v>
      </c>
      <c r="F1091" s="24">
        <v>19</v>
      </c>
      <c r="G1091" s="24">
        <v>15</v>
      </c>
      <c r="H1091" s="27">
        <v>285</v>
      </c>
      <c r="I1091" s="26" t="s">
        <v>25</v>
      </c>
    </row>
    <row r="1092" spans="1:9" ht="14.4" x14ac:dyDescent="0.25">
      <c r="A1092" s="24">
        <v>10398</v>
      </c>
      <c r="B1092" s="25">
        <v>44127</v>
      </c>
      <c r="C1092" s="64">
        <f t="shared" si="35"/>
        <v>2020</v>
      </c>
      <c r="D1092" s="64" t="str">
        <f t="shared" si="36"/>
        <v>2020年4季度</v>
      </c>
      <c r="E1092" s="26" t="s">
        <v>29</v>
      </c>
      <c r="F1092" s="24">
        <v>62.5</v>
      </c>
      <c r="G1092" s="24">
        <v>20</v>
      </c>
      <c r="H1092" s="27">
        <v>1250</v>
      </c>
      <c r="I1092" s="26" t="s">
        <v>25</v>
      </c>
    </row>
    <row r="1093" spans="1:9" ht="14.4" x14ac:dyDescent="0.25">
      <c r="A1093" s="24">
        <v>10399</v>
      </c>
      <c r="B1093" s="25">
        <v>44129</v>
      </c>
      <c r="C1093" s="64">
        <f t="shared" si="35"/>
        <v>2020</v>
      </c>
      <c r="D1093" s="64" t="str">
        <f t="shared" si="36"/>
        <v>2020年4季度</v>
      </c>
      <c r="E1093" s="26" t="s">
        <v>29</v>
      </c>
      <c r="F1093" s="24">
        <v>21.5</v>
      </c>
      <c r="G1093" s="24">
        <v>30</v>
      </c>
      <c r="H1093" s="27">
        <v>645</v>
      </c>
      <c r="I1093" s="26" t="s">
        <v>22</v>
      </c>
    </row>
    <row r="1094" spans="1:9" ht="14.4" x14ac:dyDescent="0.25">
      <c r="A1094" s="24">
        <v>10402</v>
      </c>
      <c r="B1094" s="25">
        <v>44131</v>
      </c>
      <c r="C1094" s="64">
        <f t="shared" si="35"/>
        <v>2020</v>
      </c>
      <c r="D1094" s="64" t="str">
        <f t="shared" si="36"/>
        <v>2020年4季度</v>
      </c>
      <c r="E1094" s="26" t="s">
        <v>29</v>
      </c>
      <c r="F1094" s="24">
        <v>45.6</v>
      </c>
      <c r="G1094" s="24">
        <v>20</v>
      </c>
      <c r="H1094" s="27">
        <v>912</v>
      </c>
      <c r="I1094" s="26" t="s">
        <v>27</v>
      </c>
    </row>
    <row r="1095" spans="1:9" ht="14.4" x14ac:dyDescent="0.25">
      <c r="A1095" s="24">
        <v>10402</v>
      </c>
      <c r="B1095" s="25">
        <v>44131</v>
      </c>
      <c r="C1095" s="64">
        <f t="shared" si="35"/>
        <v>2020</v>
      </c>
      <c r="D1095" s="64" t="str">
        <f t="shared" si="36"/>
        <v>2020年4季度</v>
      </c>
      <c r="E1095" s="26" t="s">
        <v>29</v>
      </c>
      <c r="F1095" s="24">
        <v>34.799999999999997</v>
      </c>
      <c r="G1095" s="24">
        <v>15</v>
      </c>
      <c r="H1095" s="27">
        <v>522</v>
      </c>
      <c r="I1095" s="26" t="s">
        <v>27</v>
      </c>
    </row>
    <row r="1096" spans="1:9" ht="14.4" x14ac:dyDescent="0.25">
      <c r="A1096" s="24">
        <v>10403</v>
      </c>
      <c r="B1096" s="25">
        <v>44133</v>
      </c>
      <c r="C1096" s="64">
        <f t="shared" si="35"/>
        <v>2020</v>
      </c>
      <c r="D1096" s="64" t="str">
        <f t="shared" si="36"/>
        <v>2020年4季度</v>
      </c>
      <c r="E1096" s="26" t="s">
        <v>29</v>
      </c>
      <c r="F1096" s="24">
        <v>32.799999999999997</v>
      </c>
      <c r="G1096" s="24">
        <v>25</v>
      </c>
      <c r="H1096" s="27">
        <v>820</v>
      </c>
      <c r="I1096" s="26" t="s">
        <v>23</v>
      </c>
    </row>
    <row r="1097" spans="1:9" ht="14.4" x14ac:dyDescent="0.25">
      <c r="A1097" s="24">
        <v>10403</v>
      </c>
      <c r="B1097" s="25">
        <v>44133</v>
      </c>
      <c r="C1097" s="64">
        <f t="shared" si="35"/>
        <v>2020</v>
      </c>
      <c r="D1097" s="64" t="str">
        <f t="shared" si="36"/>
        <v>2020年4季度</v>
      </c>
      <c r="E1097" s="26" t="s">
        <v>29</v>
      </c>
      <c r="F1097" s="24">
        <v>7.45</v>
      </c>
      <c r="G1097" s="24">
        <v>30</v>
      </c>
      <c r="H1097" s="27">
        <v>223.5</v>
      </c>
      <c r="I1097" s="26" t="s">
        <v>23</v>
      </c>
    </row>
    <row r="1098" spans="1:9" ht="14.4" x14ac:dyDescent="0.25">
      <c r="A1098" s="24">
        <v>10403</v>
      </c>
      <c r="B1098" s="25">
        <v>44133</v>
      </c>
      <c r="C1098" s="64">
        <f t="shared" si="35"/>
        <v>2020</v>
      </c>
      <c r="D1098" s="64" t="str">
        <f t="shared" si="36"/>
        <v>2020年4季度</v>
      </c>
      <c r="E1098" s="26" t="s">
        <v>29</v>
      </c>
      <c r="F1098" s="24">
        <v>25.89</v>
      </c>
      <c r="G1098" s="24">
        <v>30</v>
      </c>
      <c r="H1098" s="27">
        <v>776.7</v>
      </c>
      <c r="I1098" s="26" t="s">
        <v>23</v>
      </c>
    </row>
    <row r="1099" spans="1:9" ht="14.4" x14ac:dyDescent="0.25">
      <c r="A1099" s="24">
        <v>10404</v>
      </c>
      <c r="B1099" s="25">
        <v>44139</v>
      </c>
      <c r="C1099" s="64">
        <f t="shared" si="35"/>
        <v>2020</v>
      </c>
      <c r="D1099" s="64" t="str">
        <f t="shared" si="36"/>
        <v>2020年4季度</v>
      </c>
      <c r="E1099" s="26" t="s">
        <v>29</v>
      </c>
      <c r="F1099" s="24">
        <v>21</v>
      </c>
      <c r="G1099" s="24">
        <v>20</v>
      </c>
      <c r="H1099" s="27">
        <v>420</v>
      </c>
      <c r="I1099" s="26" t="s">
        <v>22</v>
      </c>
    </row>
    <row r="1100" spans="1:9" ht="14.4" x14ac:dyDescent="0.25">
      <c r="A1100" s="24">
        <v>10404</v>
      </c>
      <c r="B1100" s="25">
        <v>44139</v>
      </c>
      <c r="C1100" s="64">
        <f t="shared" si="35"/>
        <v>2020</v>
      </c>
      <c r="D1100" s="64" t="str">
        <f t="shared" si="36"/>
        <v>2020年4季度</v>
      </c>
      <c r="E1100" s="26" t="s">
        <v>29</v>
      </c>
      <c r="F1100" s="24">
        <v>9.1999999999999993</v>
      </c>
      <c r="G1100" s="24">
        <v>12</v>
      </c>
      <c r="H1100" s="27">
        <v>110.4</v>
      </c>
      <c r="I1100" s="26" t="s">
        <v>22</v>
      </c>
    </row>
    <row r="1101" spans="1:9" ht="14.4" x14ac:dyDescent="0.25">
      <c r="A1101" s="24">
        <v>10405</v>
      </c>
      <c r="B1101" s="25">
        <v>44139</v>
      </c>
      <c r="C1101" s="64">
        <f t="shared" si="35"/>
        <v>2020</v>
      </c>
      <c r="D1101" s="64" t="str">
        <f t="shared" si="36"/>
        <v>2020年4季度</v>
      </c>
      <c r="E1101" s="26" t="s">
        <v>29</v>
      </c>
      <c r="F1101" s="24">
        <v>25.89</v>
      </c>
      <c r="G1101" s="24">
        <v>2</v>
      </c>
      <c r="H1101" s="27">
        <v>51.78</v>
      </c>
      <c r="I1101" s="26" t="s">
        <v>22</v>
      </c>
    </row>
    <row r="1102" spans="1:9" ht="14.4" x14ac:dyDescent="0.25">
      <c r="A1102" s="24">
        <v>10405</v>
      </c>
      <c r="B1102" s="25">
        <v>44139</v>
      </c>
      <c r="C1102" s="64">
        <f t="shared" si="35"/>
        <v>2020</v>
      </c>
      <c r="D1102" s="64" t="str">
        <f t="shared" si="36"/>
        <v>2020年4季度</v>
      </c>
      <c r="E1102" s="26" t="s">
        <v>29</v>
      </c>
      <c r="F1102" s="24">
        <v>14</v>
      </c>
      <c r="G1102" s="24">
        <v>20</v>
      </c>
      <c r="H1102" s="27">
        <v>280</v>
      </c>
      <c r="I1102" s="26" t="s">
        <v>22</v>
      </c>
    </row>
    <row r="1103" spans="1:9" ht="14.4" x14ac:dyDescent="0.25">
      <c r="A1103" s="24">
        <v>10406</v>
      </c>
      <c r="B1103" s="25">
        <v>44141</v>
      </c>
      <c r="C1103" s="64">
        <f t="shared" si="35"/>
        <v>2020</v>
      </c>
      <c r="D1103" s="64" t="str">
        <f t="shared" si="36"/>
        <v>2020年4季度</v>
      </c>
      <c r="E1103" s="26" t="s">
        <v>29</v>
      </c>
      <c r="F1103" s="24">
        <v>34</v>
      </c>
      <c r="G1103" s="24">
        <v>20</v>
      </c>
      <c r="H1103" s="27">
        <v>680</v>
      </c>
      <c r="I1103" s="26" t="s">
        <v>22</v>
      </c>
    </row>
    <row r="1104" spans="1:9" ht="14.4" x14ac:dyDescent="0.25">
      <c r="A1104" s="24">
        <v>10406</v>
      </c>
      <c r="B1104" s="25">
        <v>44141</v>
      </c>
      <c r="C1104" s="64">
        <f t="shared" si="35"/>
        <v>2020</v>
      </c>
      <c r="D1104" s="64" t="str">
        <f t="shared" si="36"/>
        <v>2020年4季度</v>
      </c>
      <c r="E1104" s="26" t="s">
        <v>29</v>
      </c>
      <c r="F1104" s="24">
        <v>17.45</v>
      </c>
      <c r="G1104" s="24">
        <v>30</v>
      </c>
      <c r="H1104" s="27">
        <v>523.5</v>
      </c>
      <c r="I1104" s="26" t="s">
        <v>22</v>
      </c>
    </row>
    <row r="1105" spans="1:9" ht="14.4" x14ac:dyDescent="0.25">
      <c r="A1105" s="24">
        <v>10410</v>
      </c>
      <c r="B1105" s="25">
        <v>44145</v>
      </c>
      <c r="C1105" s="64">
        <f t="shared" si="35"/>
        <v>2020</v>
      </c>
      <c r="D1105" s="64" t="str">
        <f t="shared" si="36"/>
        <v>2020年4季度</v>
      </c>
      <c r="E1105" s="26" t="s">
        <v>29</v>
      </c>
      <c r="F1105" s="24">
        <v>38</v>
      </c>
      <c r="G1105" s="24">
        <v>45</v>
      </c>
      <c r="H1105" s="27">
        <v>1710</v>
      </c>
      <c r="I1105" s="26" t="s">
        <v>23</v>
      </c>
    </row>
    <row r="1106" spans="1:9" ht="14.4" x14ac:dyDescent="0.25">
      <c r="A1106" s="24">
        <v>10410</v>
      </c>
      <c r="B1106" s="25">
        <v>44145</v>
      </c>
      <c r="C1106" s="64">
        <f t="shared" si="35"/>
        <v>2020</v>
      </c>
      <c r="D1106" s="64" t="str">
        <f t="shared" si="36"/>
        <v>2020年4季度</v>
      </c>
      <c r="E1106" s="26" t="s">
        <v>29</v>
      </c>
      <c r="F1106" s="24">
        <v>9.5</v>
      </c>
      <c r="G1106" s="24">
        <v>10</v>
      </c>
      <c r="H1106" s="27">
        <v>95</v>
      </c>
      <c r="I1106" s="26" t="s">
        <v>23</v>
      </c>
    </row>
    <row r="1107" spans="1:9" ht="14.4" x14ac:dyDescent="0.25">
      <c r="A1107" s="24">
        <v>10410</v>
      </c>
      <c r="B1107" s="25">
        <v>44145</v>
      </c>
      <c r="C1107" s="64">
        <f t="shared" si="35"/>
        <v>2020</v>
      </c>
      <c r="D1107" s="64" t="str">
        <f t="shared" si="36"/>
        <v>2020年4季度</v>
      </c>
      <c r="E1107" s="26" t="s">
        <v>29</v>
      </c>
      <c r="F1107" s="24">
        <v>34</v>
      </c>
      <c r="G1107" s="24">
        <v>30</v>
      </c>
      <c r="H1107" s="27">
        <v>1020</v>
      </c>
      <c r="I1107" s="26" t="s">
        <v>23</v>
      </c>
    </row>
    <row r="1108" spans="1:9" ht="14.4" x14ac:dyDescent="0.25">
      <c r="A1108" s="24">
        <v>10410</v>
      </c>
      <c r="B1108" s="25">
        <v>44145</v>
      </c>
      <c r="C1108" s="64">
        <f t="shared" si="35"/>
        <v>2020</v>
      </c>
      <c r="D1108" s="64" t="str">
        <f t="shared" si="36"/>
        <v>2020年4季度</v>
      </c>
      <c r="E1108" s="26" t="s">
        <v>29</v>
      </c>
      <c r="F1108" s="24">
        <v>15.5</v>
      </c>
      <c r="G1108" s="24">
        <v>50</v>
      </c>
      <c r="H1108" s="27">
        <v>775</v>
      </c>
      <c r="I1108" s="26" t="s">
        <v>23</v>
      </c>
    </row>
    <row r="1109" spans="1:9" ht="14.4" x14ac:dyDescent="0.25">
      <c r="A1109" s="24">
        <v>10410</v>
      </c>
      <c r="B1109" s="25">
        <v>44145</v>
      </c>
      <c r="C1109" s="64">
        <f t="shared" si="35"/>
        <v>2020</v>
      </c>
      <c r="D1109" s="64" t="str">
        <f t="shared" si="36"/>
        <v>2020年4季度</v>
      </c>
      <c r="E1109" s="26" t="s">
        <v>29</v>
      </c>
      <c r="F1109" s="24">
        <v>12</v>
      </c>
      <c r="G1109" s="24">
        <v>45</v>
      </c>
      <c r="H1109" s="27">
        <v>540</v>
      </c>
      <c r="I1109" s="26" t="s">
        <v>23</v>
      </c>
    </row>
    <row r="1110" spans="1:9" ht="14.4" x14ac:dyDescent="0.25">
      <c r="A1110" s="24">
        <v>10410</v>
      </c>
      <c r="B1110" s="25">
        <v>44145</v>
      </c>
      <c r="C1110" s="64">
        <f t="shared" si="35"/>
        <v>2020</v>
      </c>
      <c r="D1110" s="64" t="str">
        <f t="shared" si="36"/>
        <v>2020年4季度</v>
      </c>
      <c r="E1110" s="26" t="s">
        <v>29</v>
      </c>
      <c r="F1110" s="24">
        <v>9.65</v>
      </c>
      <c r="G1110" s="24">
        <v>24</v>
      </c>
      <c r="H1110" s="27">
        <v>231.6</v>
      </c>
      <c r="I1110" s="26" t="s">
        <v>23</v>
      </c>
    </row>
    <row r="1111" spans="1:9" ht="14.4" x14ac:dyDescent="0.25">
      <c r="A1111" s="24">
        <v>10411</v>
      </c>
      <c r="B1111" s="25">
        <v>44147</v>
      </c>
      <c r="C1111" s="64">
        <f t="shared" si="35"/>
        <v>2020</v>
      </c>
      <c r="D1111" s="64" t="str">
        <f t="shared" si="36"/>
        <v>2020年4季度</v>
      </c>
      <c r="E1111" s="26" t="s">
        <v>29</v>
      </c>
      <c r="F1111" s="24">
        <v>13</v>
      </c>
      <c r="G1111" s="24">
        <v>70</v>
      </c>
      <c r="H1111" s="27">
        <v>910</v>
      </c>
      <c r="I1111" s="26" t="s">
        <v>27</v>
      </c>
    </row>
    <row r="1112" spans="1:9" ht="14.4" x14ac:dyDescent="0.25">
      <c r="A1112" s="24">
        <v>10411</v>
      </c>
      <c r="B1112" s="25">
        <v>44147</v>
      </c>
      <c r="C1112" s="64">
        <f t="shared" si="35"/>
        <v>2020</v>
      </c>
      <c r="D1112" s="64" t="str">
        <f t="shared" si="36"/>
        <v>2020年4季度</v>
      </c>
      <c r="E1112" s="26" t="s">
        <v>29</v>
      </c>
      <c r="F1112" s="24">
        <v>34</v>
      </c>
      <c r="G1112" s="24">
        <v>55</v>
      </c>
      <c r="H1112" s="27">
        <v>1870</v>
      </c>
      <c r="I1112" s="26" t="s">
        <v>27</v>
      </c>
    </row>
    <row r="1113" spans="1:9" ht="14.4" x14ac:dyDescent="0.25">
      <c r="A1113" s="24">
        <v>10411</v>
      </c>
      <c r="B1113" s="25">
        <v>44147</v>
      </c>
      <c r="C1113" s="64">
        <f t="shared" si="35"/>
        <v>2020</v>
      </c>
      <c r="D1113" s="64" t="str">
        <f t="shared" si="36"/>
        <v>2020年4季度</v>
      </c>
      <c r="E1113" s="26" t="s">
        <v>29</v>
      </c>
      <c r="F1113" s="24">
        <v>10</v>
      </c>
      <c r="G1113" s="24">
        <v>60</v>
      </c>
      <c r="H1113" s="27">
        <v>600</v>
      </c>
      <c r="I1113" s="26" t="s">
        <v>27</v>
      </c>
    </row>
    <row r="1114" spans="1:9" ht="14.4" x14ac:dyDescent="0.25">
      <c r="A1114" s="24">
        <v>10411</v>
      </c>
      <c r="B1114" s="25">
        <v>44147</v>
      </c>
      <c r="C1114" s="64">
        <f t="shared" si="35"/>
        <v>2020</v>
      </c>
      <c r="D1114" s="64" t="str">
        <f t="shared" si="36"/>
        <v>2020年4季度</v>
      </c>
      <c r="E1114" s="26" t="s">
        <v>29</v>
      </c>
      <c r="F1114" s="24">
        <v>18.399999999999999</v>
      </c>
      <c r="G1114" s="24">
        <v>70</v>
      </c>
      <c r="H1114" s="27">
        <v>1288</v>
      </c>
      <c r="I1114" s="26" t="s">
        <v>27</v>
      </c>
    </row>
    <row r="1115" spans="1:9" ht="14.4" x14ac:dyDescent="0.25">
      <c r="A1115" s="24">
        <v>10412</v>
      </c>
      <c r="B1115" s="25">
        <v>44147</v>
      </c>
      <c r="C1115" s="64">
        <f t="shared" si="35"/>
        <v>2020</v>
      </c>
      <c r="D1115" s="64" t="str">
        <f t="shared" si="36"/>
        <v>2020年4季度</v>
      </c>
      <c r="E1115" s="26" t="s">
        <v>29</v>
      </c>
      <c r="F1115" s="24">
        <v>18.399999999999999</v>
      </c>
      <c r="G1115" s="24">
        <v>24</v>
      </c>
      <c r="H1115" s="27">
        <v>441.6</v>
      </c>
      <c r="I1115" s="26" t="s">
        <v>22</v>
      </c>
    </row>
    <row r="1116" spans="1:9" ht="14.4" x14ac:dyDescent="0.25">
      <c r="A1116" s="24">
        <v>10416</v>
      </c>
      <c r="B1116" s="25">
        <v>44157</v>
      </c>
      <c r="C1116" s="64">
        <f t="shared" si="35"/>
        <v>2020</v>
      </c>
      <c r="D1116" s="64" t="str">
        <f t="shared" si="36"/>
        <v>2020年4季度</v>
      </c>
      <c r="E1116" s="26" t="s">
        <v>29</v>
      </c>
      <c r="F1116" s="24">
        <v>18.399999999999999</v>
      </c>
      <c r="G1116" s="24">
        <v>30</v>
      </c>
      <c r="H1116" s="27">
        <v>552</v>
      </c>
      <c r="I1116" s="26" t="s">
        <v>23</v>
      </c>
    </row>
    <row r="1117" spans="1:9" ht="14.4" x14ac:dyDescent="0.25">
      <c r="A1117" s="24">
        <v>10417</v>
      </c>
      <c r="B1117" s="25">
        <v>44157</v>
      </c>
      <c r="C1117" s="64">
        <f t="shared" si="35"/>
        <v>2020</v>
      </c>
      <c r="D1117" s="64" t="str">
        <f t="shared" si="36"/>
        <v>2020年4季度</v>
      </c>
      <c r="E1117" s="26" t="s">
        <v>29</v>
      </c>
      <c r="F1117" s="24">
        <v>31</v>
      </c>
      <c r="G1117" s="24">
        <v>24</v>
      </c>
      <c r="H1117" s="27">
        <v>744</v>
      </c>
      <c r="I1117" s="26" t="s">
        <v>23</v>
      </c>
    </row>
    <row r="1118" spans="1:9" ht="14.4" x14ac:dyDescent="0.25">
      <c r="A1118" s="24">
        <v>10417</v>
      </c>
      <c r="B1118" s="25">
        <v>44157</v>
      </c>
      <c r="C1118" s="64">
        <f t="shared" si="35"/>
        <v>2020</v>
      </c>
      <c r="D1118" s="64" t="str">
        <f t="shared" si="36"/>
        <v>2020年4季度</v>
      </c>
      <c r="E1118" s="26" t="s">
        <v>29</v>
      </c>
      <c r="F1118" s="24">
        <v>38</v>
      </c>
      <c r="G1118" s="24">
        <v>12</v>
      </c>
      <c r="H1118" s="27">
        <v>456</v>
      </c>
      <c r="I1118" s="26" t="s">
        <v>23</v>
      </c>
    </row>
    <row r="1119" spans="1:9" ht="14.4" x14ac:dyDescent="0.25">
      <c r="A1119" s="24">
        <v>10417</v>
      </c>
      <c r="B1119" s="25">
        <v>44157</v>
      </c>
      <c r="C1119" s="64">
        <f t="shared" si="35"/>
        <v>2020</v>
      </c>
      <c r="D1119" s="64" t="str">
        <f t="shared" si="36"/>
        <v>2020年4季度</v>
      </c>
      <c r="E1119" s="26" t="s">
        <v>29</v>
      </c>
      <c r="F1119" s="24">
        <v>21.05</v>
      </c>
      <c r="G1119" s="24">
        <v>15</v>
      </c>
      <c r="H1119" s="27">
        <v>315.75</v>
      </c>
      <c r="I1119" s="26" t="s">
        <v>23</v>
      </c>
    </row>
    <row r="1120" spans="1:9" ht="14.4" x14ac:dyDescent="0.25">
      <c r="A1120" s="24">
        <v>10418</v>
      </c>
      <c r="B1120" s="25">
        <v>44159</v>
      </c>
      <c r="C1120" s="64">
        <f t="shared" si="35"/>
        <v>2020</v>
      </c>
      <c r="D1120" s="64" t="str">
        <f t="shared" si="36"/>
        <v>2020年4季度</v>
      </c>
      <c r="E1120" s="26" t="s">
        <v>29</v>
      </c>
      <c r="F1120" s="24">
        <v>18</v>
      </c>
      <c r="G1120" s="24">
        <v>10</v>
      </c>
      <c r="H1120" s="27">
        <v>180</v>
      </c>
      <c r="I1120" s="26" t="s">
        <v>22</v>
      </c>
    </row>
    <row r="1121" spans="1:9" ht="14.4" x14ac:dyDescent="0.25">
      <c r="A1121" s="24">
        <v>10418</v>
      </c>
      <c r="B1121" s="25">
        <v>44159</v>
      </c>
      <c r="C1121" s="64">
        <f t="shared" si="35"/>
        <v>2020</v>
      </c>
      <c r="D1121" s="64" t="str">
        <f t="shared" si="36"/>
        <v>2020年4季度</v>
      </c>
      <c r="E1121" s="26" t="s">
        <v>29</v>
      </c>
      <c r="F1121" s="24">
        <v>55</v>
      </c>
      <c r="G1121" s="24">
        <v>1</v>
      </c>
      <c r="H1121" s="27">
        <v>55</v>
      </c>
      <c r="I1121" s="26" t="s">
        <v>22</v>
      </c>
    </row>
    <row r="1122" spans="1:9" ht="14.4" x14ac:dyDescent="0.25">
      <c r="A1122" s="24">
        <v>10419</v>
      </c>
      <c r="B1122" s="25">
        <v>44161</v>
      </c>
      <c r="C1122" s="64">
        <f t="shared" si="35"/>
        <v>2020</v>
      </c>
      <c r="D1122" s="64" t="str">
        <f t="shared" si="36"/>
        <v>2020年4季度</v>
      </c>
      <c r="E1122" s="26" t="s">
        <v>29</v>
      </c>
      <c r="F1122" s="24">
        <v>123.79</v>
      </c>
      <c r="G1122" s="24">
        <v>36</v>
      </c>
      <c r="H1122" s="27">
        <v>4456.4399999999996</v>
      </c>
      <c r="I1122" s="26" t="s">
        <v>25</v>
      </c>
    </row>
    <row r="1123" spans="1:9" ht="14.4" x14ac:dyDescent="0.25">
      <c r="A1123" s="24">
        <v>10419</v>
      </c>
      <c r="B1123" s="25">
        <v>44161</v>
      </c>
      <c r="C1123" s="64">
        <f t="shared" si="35"/>
        <v>2020</v>
      </c>
      <c r="D1123" s="64" t="str">
        <f t="shared" si="36"/>
        <v>2020年4季度</v>
      </c>
      <c r="E1123" s="26" t="s">
        <v>29</v>
      </c>
      <c r="F1123" s="24">
        <v>21.05</v>
      </c>
      <c r="G1123" s="24">
        <v>10</v>
      </c>
      <c r="H1123" s="27">
        <v>210.5</v>
      </c>
      <c r="I1123" s="26" t="s">
        <v>25</v>
      </c>
    </row>
    <row r="1124" spans="1:9" ht="14.4" x14ac:dyDescent="0.25">
      <c r="A1124" s="24">
        <v>10420</v>
      </c>
      <c r="B1124" s="25">
        <v>44161</v>
      </c>
      <c r="C1124" s="64">
        <f t="shared" si="35"/>
        <v>2020</v>
      </c>
      <c r="D1124" s="64" t="str">
        <f t="shared" si="36"/>
        <v>2020年4季度</v>
      </c>
      <c r="E1124" s="26" t="s">
        <v>29</v>
      </c>
      <c r="F1124" s="24">
        <v>21.5</v>
      </c>
      <c r="G1124" s="24">
        <v>14</v>
      </c>
      <c r="H1124" s="27">
        <v>301</v>
      </c>
      <c r="I1124" s="26" t="s">
        <v>22</v>
      </c>
    </row>
    <row r="1125" spans="1:9" ht="14.4" x14ac:dyDescent="0.25">
      <c r="A1125" s="24">
        <v>10423</v>
      </c>
      <c r="B1125" s="25">
        <v>44169</v>
      </c>
      <c r="C1125" s="64">
        <f t="shared" si="35"/>
        <v>2020</v>
      </c>
      <c r="D1125" s="64" t="str">
        <f t="shared" si="36"/>
        <v>2020年4季度</v>
      </c>
      <c r="E1125" s="26" t="s">
        <v>29</v>
      </c>
      <c r="F1125" s="24">
        <v>7.75</v>
      </c>
      <c r="G1125" s="24">
        <v>25</v>
      </c>
      <c r="H1125" s="27">
        <v>193.75</v>
      </c>
      <c r="I1125" s="26" t="s">
        <v>26</v>
      </c>
    </row>
    <row r="1126" spans="1:9" ht="14.4" x14ac:dyDescent="0.25">
      <c r="A1126" s="24">
        <v>10423</v>
      </c>
      <c r="B1126" s="25">
        <v>44169</v>
      </c>
      <c r="C1126" s="64">
        <f t="shared" si="35"/>
        <v>2020</v>
      </c>
      <c r="D1126" s="64" t="str">
        <f t="shared" si="36"/>
        <v>2020年4季度</v>
      </c>
      <c r="E1126" s="26" t="s">
        <v>29</v>
      </c>
      <c r="F1126" s="24">
        <v>9</v>
      </c>
      <c r="G1126" s="24">
        <v>32</v>
      </c>
      <c r="H1126" s="27">
        <v>288</v>
      </c>
      <c r="I1126" s="26" t="s">
        <v>26</v>
      </c>
    </row>
    <row r="1127" spans="1:9" ht="14.4" x14ac:dyDescent="0.25">
      <c r="A1127" s="24">
        <v>10423</v>
      </c>
      <c r="B1127" s="25">
        <v>44169</v>
      </c>
      <c r="C1127" s="64">
        <f t="shared" si="35"/>
        <v>2020</v>
      </c>
      <c r="D1127" s="64" t="str">
        <f t="shared" si="36"/>
        <v>2020年4季度</v>
      </c>
      <c r="E1127" s="26" t="s">
        <v>29</v>
      </c>
      <c r="F1127" s="24">
        <v>12</v>
      </c>
      <c r="G1127" s="24">
        <v>60</v>
      </c>
      <c r="H1127" s="27">
        <v>720</v>
      </c>
      <c r="I1127" s="26" t="s">
        <v>26</v>
      </c>
    </row>
    <row r="1128" spans="1:9" ht="14.4" x14ac:dyDescent="0.25">
      <c r="A1128" s="24">
        <v>10424</v>
      </c>
      <c r="B1128" s="25">
        <v>44171</v>
      </c>
      <c r="C1128" s="64">
        <f t="shared" si="35"/>
        <v>2020</v>
      </c>
      <c r="D1128" s="64" t="str">
        <f t="shared" si="36"/>
        <v>2020年4季度</v>
      </c>
      <c r="E1128" s="26" t="s">
        <v>29</v>
      </c>
      <c r="F1128" s="24">
        <v>49.3</v>
      </c>
      <c r="G1128" s="24">
        <v>10</v>
      </c>
      <c r="H1128" s="27">
        <v>493</v>
      </c>
      <c r="I1128" s="26" t="s">
        <v>22</v>
      </c>
    </row>
    <row r="1129" spans="1:9" ht="14.4" x14ac:dyDescent="0.25">
      <c r="A1129" s="24">
        <v>10424</v>
      </c>
      <c r="B1129" s="25">
        <v>44171</v>
      </c>
      <c r="C1129" s="64">
        <f t="shared" si="35"/>
        <v>2020</v>
      </c>
      <c r="D1129" s="64" t="str">
        <f t="shared" si="36"/>
        <v>2020年4季度</v>
      </c>
      <c r="E1129" s="26" t="s">
        <v>29</v>
      </c>
      <c r="F1129" s="24">
        <v>21.05</v>
      </c>
      <c r="G1129" s="24">
        <v>12</v>
      </c>
      <c r="H1129" s="27">
        <v>252.6</v>
      </c>
      <c r="I1129" s="26" t="s">
        <v>22</v>
      </c>
    </row>
    <row r="1130" spans="1:9" ht="14.4" x14ac:dyDescent="0.25">
      <c r="A1130" s="24">
        <v>10424</v>
      </c>
      <c r="B1130" s="25">
        <v>44171</v>
      </c>
      <c r="C1130" s="64">
        <f t="shared" si="35"/>
        <v>2020</v>
      </c>
      <c r="D1130" s="64" t="str">
        <f t="shared" si="36"/>
        <v>2020年4季度</v>
      </c>
      <c r="E1130" s="26" t="s">
        <v>29</v>
      </c>
      <c r="F1130" s="24">
        <v>17.45</v>
      </c>
      <c r="G1130" s="24">
        <v>10</v>
      </c>
      <c r="H1130" s="27">
        <v>174.5</v>
      </c>
      <c r="I1130" s="26" t="s">
        <v>22</v>
      </c>
    </row>
    <row r="1131" spans="1:9" ht="14.4" x14ac:dyDescent="0.25">
      <c r="A1131" s="24">
        <v>10425</v>
      </c>
      <c r="B1131" s="25">
        <v>44171</v>
      </c>
      <c r="C1131" s="64">
        <f t="shared" si="35"/>
        <v>2020</v>
      </c>
      <c r="D1131" s="64" t="str">
        <f t="shared" si="36"/>
        <v>2020年4季度</v>
      </c>
      <c r="E1131" s="26" t="s">
        <v>29</v>
      </c>
      <c r="F1131" s="24">
        <v>263.5</v>
      </c>
      <c r="G1131" s="24">
        <v>15</v>
      </c>
      <c r="H1131" s="27">
        <v>3952.5</v>
      </c>
      <c r="I1131" s="26" t="s">
        <v>23</v>
      </c>
    </row>
    <row r="1132" spans="1:9" ht="14.4" x14ac:dyDescent="0.25">
      <c r="A1132" s="24">
        <v>10425</v>
      </c>
      <c r="B1132" s="25">
        <v>44171</v>
      </c>
      <c r="C1132" s="64">
        <f t="shared" si="35"/>
        <v>2020</v>
      </c>
      <c r="D1132" s="64" t="str">
        <f t="shared" si="36"/>
        <v>2020年4季度</v>
      </c>
      <c r="E1132" s="26" t="s">
        <v>29</v>
      </c>
      <c r="F1132" s="24">
        <v>21.5</v>
      </c>
      <c r="G1132" s="24">
        <v>12</v>
      </c>
      <c r="H1132" s="27">
        <v>258</v>
      </c>
      <c r="I1132" s="26" t="s">
        <v>23</v>
      </c>
    </row>
    <row r="1133" spans="1:9" ht="14.4" x14ac:dyDescent="0.25">
      <c r="A1133" s="24">
        <v>10426</v>
      </c>
      <c r="B1133" s="25">
        <v>44173</v>
      </c>
      <c r="C1133" s="64">
        <f t="shared" si="35"/>
        <v>2020</v>
      </c>
      <c r="D1133" s="64" t="str">
        <f t="shared" si="36"/>
        <v>2020年4季度</v>
      </c>
      <c r="E1133" s="26" t="s">
        <v>29</v>
      </c>
      <c r="F1133" s="24">
        <v>46</v>
      </c>
      <c r="G1133" s="24">
        <v>6</v>
      </c>
      <c r="H1133" s="27">
        <v>276</v>
      </c>
      <c r="I1133" s="26" t="s">
        <v>22</v>
      </c>
    </row>
    <row r="1134" spans="1:9" ht="14.4" x14ac:dyDescent="0.25">
      <c r="A1134" s="24">
        <v>10426</v>
      </c>
      <c r="B1134" s="25">
        <v>44173</v>
      </c>
      <c r="C1134" s="64">
        <f t="shared" si="35"/>
        <v>2020</v>
      </c>
      <c r="D1134" s="64" t="str">
        <f t="shared" si="36"/>
        <v>2020年4季度</v>
      </c>
      <c r="E1134" s="26" t="s">
        <v>29</v>
      </c>
      <c r="F1134" s="24">
        <v>17.45</v>
      </c>
      <c r="G1134" s="24">
        <v>3</v>
      </c>
      <c r="H1134" s="27">
        <v>52.35</v>
      </c>
      <c r="I1134" s="26" t="s">
        <v>22</v>
      </c>
    </row>
    <row r="1135" spans="1:9" ht="14.4" x14ac:dyDescent="0.25">
      <c r="A1135" s="24">
        <v>10426</v>
      </c>
      <c r="B1135" s="25">
        <v>44173</v>
      </c>
      <c r="C1135" s="64">
        <f t="shared" si="35"/>
        <v>2020</v>
      </c>
      <c r="D1135" s="64" t="str">
        <f t="shared" si="36"/>
        <v>2020年4季度</v>
      </c>
      <c r="E1135" s="26" t="s">
        <v>29</v>
      </c>
      <c r="F1135" s="24">
        <v>14</v>
      </c>
      <c r="G1135" s="24">
        <v>6</v>
      </c>
      <c r="H1135" s="27">
        <v>84</v>
      </c>
      <c r="I1135" s="26" t="s">
        <v>22</v>
      </c>
    </row>
    <row r="1136" spans="1:9" ht="14.4" x14ac:dyDescent="0.25">
      <c r="A1136" s="24">
        <v>10430</v>
      </c>
      <c r="B1136" s="25">
        <v>44181</v>
      </c>
      <c r="C1136" s="64">
        <f t="shared" si="35"/>
        <v>2020</v>
      </c>
      <c r="D1136" s="64" t="str">
        <f t="shared" si="36"/>
        <v>2020年4季度</v>
      </c>
      <c r="E1136" s="26" t="s">
        <v>29</v>
      </c>
      <c r="F1136" s="24">
        <v>2.5</v>
      </c>
      <c r="G1136" s="24">
        <v>8</v>
      </c>
      <c r="H1136" s="27">
        <v>20</v>
      </c>
      <c r="I1136" s="26" t="s">
        <v>22</v>
      </c>
    </row>
    <row r="1137" spans="1:9" ht="14.4" x14ac:dyDescent="0.25">
      <c r="A1137" s="24">
        <v>10430</v>
      </c>
      <c r="B1137" s="25">
        <v>44181</v>
      </c>
      <c r="C1137" s="64">
        <f t="shared" si="35"/>
        <v>2020</v>
      </c>
      <c r="D1137" s="64" t="str">
        <f t="shared" si="36"/>
        <v>2020年4季度</v>
      </c>
      <c r="E1137" s="26" t="s">
        <v>29</v>
      </c>
      <c r="F1137" s="24">
        <v>31.23</v>
      </c>
      <c r="G1137" s="24">
        <v>30</v>
      </c>
      <c r="H1137" s="27">
        <v>936.9</v>
      </c>
      <c r="I1137" s="26" t="s">
        <v>22</v>
      </c>
    </row>
    <row r="1138" spans="1:9" ht="14.4" x14ac:dyDescent="0.25">
      <c r="A1138" s="24">
        <v>10431</v>
      </c>
      <c r="B1138" s="25">
        <v>44183</v>
      </c>
      <c r="C1138" s="64">
        <f t="shared" si="35"/>
        <v>2020</v>
      </c>
      <c r="D1138" s="64" t="str">
        <f t="shared" si="36"/>
        <v>2020年4季度</v>
      </c>
      <c r="E1138" s="26" t="s">
        <v>29</v>
      </c>
      <c r="F1138" s="24">
        <v>38</v>
      </c>
      <c r="G1138" s="24">
        <v>100</v>
      </c>
      <c r="H1138" s="27">
        <v>3800</v>
      </c>
      <c r="I1138" s="26" t="s">
        <v>22</v>
      </c>
    </row>
    <row r="1139" spans="1:9" ht="14.4" x14ac:dyDescent="0.25">
      <c r="A1139" s="24">
        <v>10431</v>
      </c>
      <c r="B1139" s="25">
        <v>44183</v>
      </c>
      <c r="C1139" s="64">
        <f t="shared" si="35"/>
        <v>2020</v>
      </c>
      <c r="D1139" s="64" t="str">
        <f t="shared" si="36"/>
        <v>2020年4季度</v>
      </c>
      <c r="E1139" s="26" t="s">
        <v>29</v>
      </c>
      <c r="F1139" s="24">
        <v>2.5</v>
      </c>
      <c r="G1139" s="24">
        <v>30</v>
      </c>
      <c r="H1139" s="27">
        <v>75</v>
      </c>
      <c r="I1139" s="26" t="s">
        <v>22</v>
      </c>
    </row>
    <row r="1140" spans="1:9" ht="14.4" x14ac:dyDescent="0.25">
      <c r="A1140" s="24">
        <v>10431</v>
      </c>
      <c r="B1140" s="25">
        <v>44183</v>
      </c>
      <c r="C1140" s="64">
        <f t="shared" si="35"/>
        <v>2020</v>
      </c>
      <c r="D1140" s="64" t="str">
        <f t="shared" si="36"/>
        <v>2020年4季度</v>
      </c>
      <c r="E1140" s="26" t="s">
        <v>29</v>
      </c>
      <c r="F1140" s="24">
        <v>9.65</v>
      </c>
      <c r="G1140" s="24">
        <v>120</v>
      </c>
      <c r="H1140" s="27">
        <v>1158</v>
      </c>
      <c r="I1140" s="26" t="s">
        <v>22</v>
      </c>
    </row>
    <row r="1141" spans="1:9" ht="14.4" x14ac:dyDescent="0.25">
      <c r="A1141" s="24">
        <v>10431</v>
      </c>
      <c r="B1141" s="25">
        <v>44183</v>
      </c>
      <c r="C1141" s="64">
        <f t="shared" si="35"/>
        <v>2020</v>
      </c>
      <c r="D1141" s="64" t="str">
        <f t="shared" si="36"/>
        <v>2020年4季度</v>
      </c>
      <c r="E1141" s="26" t="s">
        <v>29</v>
      </c>
      <c r="F1141" s="24">
        <v>7.45</v>
      </c>
      <c r="G1141" s="24">
        <v>30</v>
      </c>
      <c r="H1141" s="27">
        <v>223.5</v>
      </c>
      <c r="I1141" s="26" t="s">
        <v>22</v>
      </c>
    </row>
    <row r="1142" spans="1:9" ht="14.4" x14ac:dyDescent="0.25">
      <c r="A1142" s="24">
        <v>10432</v>
      </c>
      <c r="B1142" s="25">
        <v>44183</v>
      </c>
      <c r="C1142" s="64">
        <f t="shared" si="35"/>
        <v>2020</v>
      </c>
      <c r="D1142" s="64" t="str">
        <f t="shared" si="36"/>
        <v>2020年4季度</v>
      </c>
      <c r="E1142" s="26" t="s">
        <v>29</v>
      </c>
      <c r="F1142" s="24">
        <v>55</v>
      </c>
      <c r="G1142" s="24">
        <v>12</v>
      </c>
      <c r="H1142" s="27">
        <v>660</v>
      </c>
      <c r="I1142" s="26" t="s">
        <v>23</v>
      </c>
    </row>
    <row r="1143" spans="1:9" ht="14.4" x14ac:dyDescent="0.25">
      <c r="A1143" s="24">
        <v>10433</v>
      </c>
      <c r="B1143" s="25">
        <v>44185</v>
      </c>
      <c r="C1143" s="64">
        <f t="shared" si="35"/>
        <v>2020</v>
      </c>
      <c r="D1143" s="64" t="str">
        <f t="shared" si="36"/>
        <v>2020年4季度</v>
      </c>
      <c r="E1143" s="26" t="s">
        <v>29</v>
      </c>
      <c r="F1143" s="24">
        <v>12.5</v>
      </c>
      <c r="G1143" s="24">
        <v>20</v>
      </c>
      <c r="H1143" s="27">
        <v>250</v>
      </c>
      <c r="I1143" s="26" t="s">
        <v>22</v>
      </c>
    </row>
    <row r="1144" spans="1:9" ht="14.4" x14ac:dyDescent="0.25">
      <c r="A1144" s="24">
        <v>10435</v>
      </c>
      <c r="B1144" s="25">
        <v>44187</v>
      </c>
      <c r="C1144" s="64">
        <f t="shared" si="35"/>
        <v>2020</v>
      </c>
      <c r="D1144" s="64" t="str">
        <f t="shared" si="36"/>
        <v>2020年4季度</v>
      </c>
      <c r="E1144" s="26" t="s">
        <v>29</v>
      </c>
      <c r="F1144" s="24">
        <v>17</v>
      </c>
      <c r="G1144" s="24">
        <v>4</v>
      </c>
      <c r="H1144" s="27">
        <v>68</v>
      </c>
      <c r="I1144" s="26" t="s">
        <v>22</v>
      </c>
    </row>
    <row r="1145" spans="1:9" ht="14.4" x14ac:dyDescent="0.25">
      <c r="A1145" s="24">
        <v>10436</v>
      </c>
      <c r="B1145" s="25">
        <v>44189</v>
      </c>
      <c r="C1145" s="64">
        <f t="shared" si="35"/>
        <v>2020</v>
      </c>
      <c r="D1145" s="64" t="str">
        <f t="shared" si="36"/>
        <v>2020年4季度</v>
      </c>
      <c r="E1145" s="26" t="s">
        <v>29</v>
      </c>
      <c r="F1145" s="24">
        <v>7</v>
      </c>
      <c r="G1145" s="24">
        <v>9</v>
      </c>
      <c r="H1145" s="27">
        <v>63</v>
      </c>
      <c r="I1145" s="26" t="s">
        <v>22</v>
      </c>
    </row>
    <row r="1146" spans="1:9" ht="14.4" x14ac:dyDescent="0.25">
      <c r="A1146" s="24">
        <v>10437</v>
      </c>
      <c r="B1146" s="25">
        <v>44189</v>
      </c>
      <c r="C1146" s="64">
        <f t="shared" si="35"/>
        <v>2020</v>
      </c>
      <c r="D1146" s="64" t="str">
        <f t="shared" si="36"/>
        <v>2020年4季度</v>
      </c>
      <c r="E1146" s="26" t="s">
        <v>29</v>
      </c>
      <c r="F1146" s="24">
        <v>9.5</v>
      </c>
      <c r="G1146" s="24">
        <v>40</v>
      </c>
      <c r="H1146" s="27">
        <v>380</v>
      </c>
      <c r="I1146" s="26" t="s">
        <v>27</v>
      </c>
    </row>
    <row r="1147" spans="1:9" ht="14.4" x14ac:dyDescent="0.25">
      <c r="A1147" s="24">
        <v>10437</v>
      </c>
      <c r="B1147" s="25">
        <v>44189</v>
      </c>
      <c r="C1147" s="64">
        <f t="shared" si="35"/>
        <v>2020</v>
      </c>
      <c r="D1147" s="64" t="str">
        <f t="shared" si="36"/>
        <v>2020年4季度</v>
      </c>
      <c r="E1147" s="26" t="s">
        <v>29</v>
      </c>
      <c r="F1147" s="24">
        <v>18.399999999999999</v>
      </c>
      <c r="G1147" s="24">
        <v>20</v>
      </c>
      <c r="H1147" s="27">
        <v>368</v>
      </c>
      <c r="I1147" s="26" t="s">
        <v>27</v>
      </c>
    </row>
    <row r="1148" spans="1:9" ht="14.4" x14ac:dyDescent="0.25">
      <c r="A1148" s="24">
        <v>10437</v>
      </c>
      <c r="B1148" s="25">
        <v>44189</v>
      </c>
      <c r="C1148" s="64">
        <f t="shared" si="35"/>
        <v>2020</v>
      </c>
      <c r="D1148" s="64" t="str">
        <f t="shared" si="36"/>
        <v>2020年4季度</v>
      </c>
      <c r="E1148" s="26" t="s">
        <v>29</v>
      </c>
      <c r="F1148" s="24">
        <v>34</v>
      </c>
      <c r="G1148" s="24">
        <v>30</v>
      </c>
      <c r="H1148" s="27">
        <v>1020</v>
      </c>
      <c r="I1148" s="26" t="s">
        <v>27</v>
      </c>
    </row>
    <row r="1149" spans="1:9" ht="14.4" x14ac:dyDescent="0.25">
      <c r="A1149" s="24">
        <v>10438</v>
      </c>
      <c r="B1149" s="25">
        <v>44195</v>
      </c>
      <c r="C1149" s="64">
        <f t="shared" si="35"/>
        <v>2020</v>
      </c>
      <c r="D1149" s="64" t="str">
        <f t="shared" si="36"/>
        <v>2020年4季度</v>
      </c>
      <c r="E1149" s="26" t="s">
        <v>29</v>
      </c>
      <c r="F1149" s="24">
        <v>9.65</v>
      </c>
      <c r="G1149" s="24">
        <v>4</v>
      </c>
      <c r="H1149" s="27">
        <v>38.6</v>
      </c>
      <c r="I1149" s="26" t="s">
        <v>23</v>
      </c>
    </row>
    <row r="1150" spans="1:9" ht="14.4" x14ac:dyDescent="0.25">
      <c r="A1150" s="24">
        <v>10438</v>
      </c>
      <c r="B1150" s="25">
        <v>44195</v>
      </c>
      <c r="C1150" s="64">
        <f t="shared" si="35"/>
        <v>2020</v>
      </c>
      <c r="D1150" s="64" t="str">
        <f t="shared" si="36"/>
        <v>2020年4季度</v>
      </c>
      <c r="E1150" s="26" t="s">
        <v>29</v>
      </c>
      <c r="F1150" s="24">
        <v>9.5</v>
      </c>
      <c r="G1150" s="24">
        <v>15</v>
      </c>
      <c r="H1150" s="27">
        <v>142.5</v>
      </c>
      <c r="I1150" s="26" t="s">
        <v>23</v>
      </c>
    </row>
    <row r="1151" spans="1:9" ht="14.4" x14ac:dyDescent="0.25">
      <c r="A1151" s="24">
        <v>10438</v>
      </c>
      <c r="B1151" s="25">
        <v>44195</v>
      </c>
      <c r="C1151" s="64">
        <f t="shared" si="35"/>
        <v>2020</v>
      </c>
      <c r="D1151" s="64" t="str">
        <f t="shared" si="36"/>
        <v>2020年4季度</v>
      </c>
      <c r="E1151" s="26" t="s">
        <v>29</v>
      </c>
      <c r="F1151" s="24">
        <v>31</v>
      </c>
      <c r="G1151" s="24">
        <v>20</v>
      </c>
      <c r="H1151" s="27">
        <v>620</v>
      </c>
      <c r="I1151" s="26" t="s">
        <v>23</v>
      </c>
    </row>
  </sheetData>
  <phoneticPr fontId="18" type="noConversion"/>
  <pageMargins left="0.75" right="0.75" top="1" bottom="1" header="0.5" footer="0.5"/>
  <pageSetup paperSize="9" orientation="portrait" horizontalDpi="300" verticalDpi="3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5121" r:id="rId3" name="Option Button 1">
              <controlPr defaultSize="0" autoFill="0" autoLine="0" autoPict="0">
                <anchor moveWithCells="1">
                  <from>
                    <xdr:col>15</xdr:col>
                    <xdr:colOff>220980</xdr:colOff>
                    <xdr:row>12</xdr:row>
                    <xdr:rowOff>83820</xdr:rowOff>
                  </from>
                  <to>
                    <xdr:col>16</xdr:col>
                    <xdr:colOff>502920</xdr:colOff>
                    <xdr:row>13</xdr:row>
                    <xdr:rowOff>160020</xdr:rowOff>
                  </to>
                </anchor>
              </controlPr>
            </control>
          </mc:Choice>
        </mc:AlternateContent>
        <mc:AlternateContent xmlns:mc="http://schemas.openxmlformats.org/markup-compatibility/2006">
          <mc:Choice Requires="x14">
            <control shapeId="5122" r:id="rId4" name="Option Button 2">
              <controlPr defaultSize="0" autoFill="0" autoLine="0" autoPict="0">
                <anchor moveWithCells="1">
                  <from>
                    <xdr:col>15</xdr:col>
                    <xdr:colOff>205740</xdr:colOff>
                    <xdr:row>13</xdr:row>
                    <xdr:rowOff>121920</xdr:rowOff>
                  </from>
                  <to>
                    <xdr:col>16</xdr:col>
                    <xdr:colOff>487680</xdr:colOff>
                    <xdr:row>15</xdr:row>
                    <xdr:rowOff>15240</xdr:rowOff>
                  </to>
                </anchor>
              </controlPr>
            </control>
          </mc:Choice>
        </mc:AlternateContent>
        <mc:AlternateContent xmlns:mc="http://schemas.openxmlformats.org/markup-compatibility/2006">
          <mc:Choice Requires="x14">
            <control shapeId="5123" r:id="rId5" name="List Box 3">
              <controlPr defaultSize="0" autoLine="0" autoPict="0">
                <anchor moveWithCells="1">
                  <from>
                    <xdr:col>15</xdr:col>
                    <xdr:colOff>289560</xdr:colOff>
                    <xdr:row>8</xdr:row>
                    <xdr:rowOff>137160</xdr:rowOff>
                  </from>
                  <to>
                    <xdr:col>16</xdr:col>
                    <xdr:colOff>411480</xdr:colOff>
                    <xdr:row>11</xdr:row>
                    <xdr:rowOff>76200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
  <sheetViews>
    <sheetView workbookViewId="0">
      <selection activeCell="J19" sqref="J19"/>
    </sheetView>
  </sheetViews>
  <sheetFormatPr defaultColWidth="9" defaultRowHeight="14.4" x14ac:dyDescent="0.25"/>
  <cols>
    <col min="1" max="1" width="9" style="12"/>
    <col min="2" max="2" width="9" style="65"/>
    <col min="3" max="9" width="9" style="12"/>
    <col min="10" max="10" width="13.8984375" style="12" bestFit="1" customWidth="1"/>
    <col min="11" max="11" width="11.3984375" style="12" bestFit="1" customWidth="1"/>
    <col min="12" max="12" width="9" style="12"/>
    <col min="13" max="13" width="9.5" style="12" bestFit="1" customWidth="1"/>
    <col min="14" max="16384" width="9" style="12"/>
  </cols>
  <sheetData>
    <row r="1" spans="1:13" ht="15.6" x14ac:dyDescent="0.15">
      <c r="A1" s="13" t="s">
        <v>31</v>
      </c>
      <c r="B1" s="67" t="s">
        <v>52</v>
      </c>
      <c r="C1" s="13" t="s">
        <v>19</v>
      </c>
      <c r="D1" s="13">
        <v>2</v>
      </c>
      <c r="E1" s="13">
        <v>3</v>
      </c>
      <c r="F1" s="13">
        <v>4</v>
      </c>
      <c r="G1" s="13">
        <v>5</v>
      </c>
      <c r="H1" s="13">
        <v>6</v>
      </c>
      <c r="I1" s="14"/>
      <c r="J1" s="14"/>
      <c r="K1" s="14"/>
    </row>
    <row r="2" spans="1:13" ht="15.6" x14ac:dyDescent="0.25">
      <c r="A2" s="15">
        <v>40909</v>
      </c>
      <c r="B2" s="68">
        <v>1</v>
      </c>
      <c r="C2" s="16">
        <v>328</v>
      </c>
      <c r="D2" s="44" t="str">
        <f ca="1">IF(B2&lt;=$D$1,"",AVERAGE(OFFSET(C2,-$D$1,0,$D$1,1)))</f>
        <v/>
      </c>
      <c r="E2" s="17" t="str">
        <f ca="1">IF(B2&lt;=$E$1,"",AVERAGE(OFFSET(C2,-$E$1,0,$E$1,1)))</f>
        <v/>
      </c>
      <c r="F2" s="17" t="str">
        <f ca="1">IF(B2&lt;=$F$1,"",AVERAGE(OFFSET(C2,-$F$1,0,$F$1,1)))</f>
        <v/>
      </c>
      <c r="G2" s="17" t="str">
        <f ca="1">IF(B2&lt;=$G$1,"",AVERAGE(OFFSET(C2,-$G$1,0,$G$1,1)))</f>
        <v/>
      </c>
      <c r="H2" s="17" t="str">
        <f ca="1">IF(B2&lt;=$H$1,"",AVERAGE(OFFSET(C2,-$H$1,0,$H$1,1)))</f>
        <v/>
      </c>
      <c r="I2" s="14"/>
      <c r="J2" s="14"/>
      <c r="K2" s="14"/>
    </row>
    <row r="3" spans="1:13" ht="15.6" x14ac:dyDescent="0.25">
      <c r="A3" s="15">
        <v>40940</v>
      </c>
      <c r="B3" s="68">
        <v>2</v>
      </c>
      <c r="C3" s="16">
        <v>337</v>
      </c>
      <c r="D3" s="44" t="str">
        <f t="shared" ref="D3:D13" ca="1" si="0">IF(B3&lt;=$D$1,"",AVERAGE(OFFSET(C3,-$D$1,0,$D$1,1)))</f>
        <v/>
      </c>
      <c r="E3" s="17" t="str">
        <f t="shared" ref="E3:E14" ca="1" si="1">IF(B3&lt;=$E$1,"",AVERAGE(OFFSET(C3,-$E$1,0,$E$1,1)))</f>
        <v/>
      </c>
      <c r="F3" s="17" t="str">
        <f t="shared" ref="F3:F13" ca="1" si="2">IF(B3&lt;=$F$1,"",AVERAGE(OFFSET(C3,-$F$1,0,$F$1,1)))</f>
        <v/>
      </c>
      <c r="G3" s="17" t="str">
        <f t="shared" ref="G3:G13" ca="1" si="3">IF(B3&lt;=$G$1,"",AVERAGE(OFFSET(C3,-$G$1,0,$G$1,1)))</f>
        <v/>
      </c>
      <c r="H3" s="17" t="str">
        <f t="shared" ref="H3:H13" ca="1" si="4">IF(B3&lt;=$H$1,"",AVERAGE(OFFSET(C3,-$H$1,0,$H$1,1)))</f>
        <v/>
      </c>
      <c r="I3" s="14"/>
      <c r="J3" s="14"/>
      <c r="K3" s="14"/>
    </row>
    <row r="4" spans="1:13" ht="15.6" x14ac:dyDescent="0.25">
      <c r="A4" s="15">
        <v>40969</v>
      </c>
      <c r="B4" s="68">
        <v>3</v>
      </c>
      <c r="C4" s="16">
        <v>341</v>
      </c>
      <c r="D4" s="44">
        <f t="shared" ca="1" si="0"/>
        <v>332.5</v>
      </c>
      <c r="E4" s="17" t="str">
        <f t="shared" ca="1" si="1"/>
        <v/>
      </c>
      <c r="F4" s="17" t="str">
        <f t="shared" ca="1" si="2"/>
        <v/>
      </c>
      <c r="G4" s="17" t="str">
        <f t="shared" ca="1" si="3"/>
        <v/>
      </c>
      <c r="H4" s="17" t="str">
        <f t="shared" ca="1" si="4"/>
        <v/>
      </c>
      <c r="I4" s="14"/>
      <c r="J4" s="14"/>
      <c r="K4" s="14"/>
    </row>
    <row r="5" spans="1:13" ht="15.6" x14ac:dyDescent="0.25">
      <c r="A5" s="15">
        <v>41000</v>
      </c>
      <c r="B5" s="68">
        <v>4</v>
      </c>
      <c r="C5" s="16">
        <v>367</v>
      </c>
      <c r="D5" s="44">
        <f t="shared" ca="1" si="0"/>
        <v>339</v>
      </c>
      <c r="E5" s="17">
        <f t="shared" ca="1" si="1"/>
        <v>335.33333333333331</v>
      </c>
      <c r="F5" s="17" t="str">
        <f t="shared" ca="1" si="2"/>
        <v/>
      </c>
      <c r="G5" s="17" t="str">
        <f t="shared" ca="1" si="3"/>
        <v/>
      </c>
      <c r="H5" s="17" t="str">
        <f t="shared" ca="1" si="4"/>
        <v/>
      </c>
      <c r="I5" s="14"/>
      <c r="J5" s="14"/>
      <c r="K5" s="14"/>
    </row>
    <row r="6" spans="1:13" ht="15.6" x14ac:dyDescent="0.25">
      <c r="A6" s="15">
        <v>41030</v>
      </c>
      <c r="B6" s="68">
        <v>5</v>
      </c>
      <c r="C6" s="16">
        <v>385</v>
      </c>
      <c r="D6" s="44">
        <f t="shared" ca="1" si="0"/>
        <v>354</v>
      </c>
      <c r="E6" s="17">
        <f t="shared" ca="1" si="1"/>
        <v>348.33333333333331</v>
      </c>
      <c r="F6" s="17">
        <f t="shared" ca="1" si="2"/>
        <v>343.25</v>
      </c>
      <c r="G6" s="17" t="str">
        <f t="shared" ca="1" si="3"/>
        <v/>
      </c>
      <c r="H6" s="17" t="str">
        <f t="shared" ca="1" si="4"/>
        <v/>
      </c>
      <c r="I6" s="14"/>
      <c r="J6" s="14"/>
      <c r="K6" s="14"/>
    </row>
    <row r="7" spans="1:13" ht="15.6" x14ac:dyDescent="0.25">
      <c r="A7" s="15">
        <v>41061</v>
      </c>
      <c r="B7" s="68">
        <v>6</v>
      </c>
      <c r="C7" s="16">
        <v>403</v>
      </c>
      <c r="D7" s="44">
        <f t="shared" ca="1" si="0"/>
        <v>376</v>
      </c>
      <c r="E7" s="17">
        <f t="shared" ca="1" si="1"/>
        <v>364.33333333333331</v>
      </c>
      <c r="F7" s="17">
        <f t="shared" ca="1" si="2"/>
        <v>357.5</v>
      </c>
      <c r="G7" s="17">
        <f t="shared" ca="1" si="3"/>
        <v>351.6</v>
      </c>
      <c r="H7" s="17" t="str">
        <f t="shared" ca="1" si="4"/>
        <v/>
      </c>
      <c r="I7" s="14"/>
      <c r="J7" s="14"/>
      <c r="K7" s="14"/>
    </row>
    <row r="8" spans="1:13" ht="15.6" x14ac:dyDescent="0.25">
      <c r="A8" s="15">
        <v>41091</v>
      </c>
      <c r="B8" s="68">
        <v>7</v>
      </c>
      <c r="C8" s="16">
        <v>389</v>
      </c>
      <c r="D8" s="44">
        <f t="shared" ca="1" si="0"/>
        <v>394</v>
      </c>
      <c r="E8" s="17">
        <f t="shared" ca="1" si="1"/>
        <v>385</v>
      </c>
      <c r="F8" s="17">
        <f t="shared" ca="1" si="2"/>
        <v>374</v>
      </c>
      <c r="G8" s="17">
        <f t="shared" ca="1" si="3"/>
        <v>366.6</v>
      </c>
      <c r="H8" s="17">
        <f t="shared" ca="1" si="4"/>
        <v>360.16666666666669</v>
      </c>
      <c r="I8" s="14"/>
      <c r="J8" s="14"/>
      <c r="K8" s="14"/>
    </row>
    <row r="9" spans="1:13" ht="15.6" x14ac:dyDescent="0.25">
      <c r="A9" s="15">
        <v>41122</v>
      </c>
      <c r="B9" s="68">
        <v>8</v>
      </c>
      <c r="C9" s="16">
        <v>376</v>
      </c>
      <c r="D9" s="44">
        <f t="shared" ca="1" si="0"/>
        <v>396</v>
      </c>
      <c r="E9" s="17">
        <f t="shared" ca="1" si="1"/>
        <v>392.33333333333331</v>
      </c>
      <c r="F9" s="17">
        <f t="shared" ca="1" si="2"/>
        <v>386</v>
      </c>
      <c r="G9" s="17">
        <f t="shared" ca="1" si="3"/>
        <v>377</v>
      </c>
      <c r="H9" s="17">
        <f t="shared" ca="1" si="4"/>
        <v>370.33333333333331</v>
      </c>
      <c r="I9" s="14"/>
      <c r="J9" s="14"/>
      <c r="K9" s="14"/>
      <c r="L9" s="14"/>
    </row>
    <row r="10" spans="1:13" ht="15.6" x14ac:dyDescent="0.25">
      <c r="A10" s="15">
        <v>41153</v>
      </c>
      <c r="B10" s="68">
        <v>9</v>
      </c>
      <c r="C10" s="16">
        <v>428</v>
      </c>
      <c r="D10" s="44">
        <f t="shared" ca="1" si="0"/>
        <v>382.5</v>
      </c>
      <c r="E10" s="17">
        <f t="shared" ca="1" si="1"/>
        <v>389.33333333333331</v>
      </c>
      <c r="F10" s="17">
        <f t="shared" ca="1" si="2"/>
        <v>388.25</v>
      </c>
      <c r="G10" s="17">
        <f t="shared" ca="1" si="3"/>
        <v>384</v>
      </c>
      <c r="H10" s="17">
        <f t="shared" ca="1" si="4"/>
        <v>376.83333333333331</v>
      </c>
      <c r="I10" s="14"/>
      <c r="J10" s="14"/>
      <c r="K10" s="14"/>
      <c r="L10" s="14"/>
      <c r="M10" s="14"/>
    </row>
    <row r="11" spans="1:13" ht="15.6" x14ac:dyDescent="0.25">
      <c r="A11" s="15">
        <v>41183</v>
      </c>
      <c r="B11" s="68">
        <v>10</v>
      </c>
      <c r="C11" s="16">
        <v>305</v>
      </c>
      <c r="D11" s="44">
        <f t="shared" ca="1" si="0"/>
        <v>402</v>
      </c>
      <c r="E11" s="17">
        <f t="shared" ca="1" si="1"/>
        <v>397.66666666666669</v>
      </c>
      <c r="F11" s="17">
        <f t="shared" ca="1" si="2"/>
        <v>399</v>
      </c>
      <c r="G11" s="17">
        <f t="shared" ca="1" si="3"/>
        <v>396.2</v>
      </c>
      <c r="H11" s="17">
        <f t="shared" ca="1" si="4"/>
        <v>391.33333333333331</v>
      </c>
      <c r="I11" s="14"/>
      <c r="J11" s="14"/>
      <c r="K11" s="14"/>
      <c r="L11" s="14"/>
      <c r="M11" s="14"/>
    </row>
    <row r="12" spans="1:13" ht="15.6" x14ac:dyDescent="0.25">
      <c r="A12" s="15">
        <v>41214</v>
      </c>
      <c r="B12" s="68">
        <v>11</v>
      </c>
      <c r="C12" s="16">
        <v>278</v>
      </c>
      <c r="D12" s="44">
        <f t="shared" ca="1" si="0"/>
        <v>366.5</v>
      </c>
      <c r="E12" s="17">
        <f t="shared" ca="1" si="1"/>
        <v>369.66666666666669</v>
      </c>
      <c r="F12" s="17">
        <f t="shared" ca="1" si="2"/>
        <v>374.5</v>
      </c>
      <c r="G12" s="17">
        <f t="shared" ca="1" si="3"/>
        <v>380.2</v>
      </c>
      <c r="H12" s="17">
        <f t="shared" ca="1" si="4"/>
        <v>381</v>
      </c>
      <c r="I12" s="14"/>
      <c r="J12" s="14"/>
      <c r="K12" s="14"/>
      <c r="L12" s="14"/>
      <c r="M12" s="14"/>
    </row>
    <row r="13" spans="1:13" ht="15.6" x14ac:dyDescent="0.25">
      <c r="A13" s="18">
        <v>41244</v>
      </c>
      <c r="B13" s="68">
        <v>12</v>
      </c>
      <c r="C13" s="19">
        <v>450</v>
      </c>
      <c r="D13" s="44">
        <f t="shared" ca="1" si="0"/>
        <v>291.5</v>
      </c>
      <c r="E13" s="17">
        <f t="shared" ca="1" si="1"/>
        <v>337</v>
      </c>
      <c r="F13" s="17">
        <f t="shared" ca="1" si="2"/>
        <v>346.75</v>
      </c>
      <c r="G13" s="17">
        <f t="shared" ca="1" si="3"/>
        <v>355.2</v>
      </c>
      <c r="H13" s="17">
        <f t="shared" ca="1" si="4"/>
        <v>363.16666666666669</v>
      </c>
      <c r="I13" s="14"/>
      <c r="J13" s="14"/>
      <c r="K13" s="14"/>
      <c r="L13" s="14"/>
      <c r="M13" s="14"/>
    </row>
    <row r="14" spans="1:13" ht="15.6" x14ac:dyDescent="0.25">
      <c r="A14" s="14"/>
      <c r="B14" s="69">
        <v>13</v>
      </c>
      <c r="C14" s="14"/>
      <c r="D14" s="14"/>
      <c r="E14" s="17">
        <f t="shared" ca="1" si="1"/>
        <v>344.33333333333331</v>
      </c>
      <c r="F14" s="14"/>
      <c r="G14" s="14"/>
      <c r="H14" s="14"/>
      <c r="I14" s="14"/>
      <c r="J14" s="14"/>
      <c r="K14" s="14"/>
      <c r="L14" s="14"/>
      <c r="M14" s="14"/>
    </row>
    <row r="15" spans="1:13" ht="15.6" x14ac:dyDescent="0.25">
      <c r="A15" s="14"/>
      <c r="B15" s="69"/>
      <c r="C15" s="14"/>
      <c r="D15" s="14"/>
      <c r="E15" s="14"/>
      <c r="F15" s="14"/>
      <c r="G15" s="14"/>
      <c r="H15" s="14"/>
      <c r="I15" s="14"/>
      <c r="J15" s="14"/>
      <c r="K15" s="14"/>
      <c r="L15" s="14"/>
      <c r="M15" s="14"/>
    </row>
    <row r="16" spans="1:13" ht="15.6" x14ac:dyDescent="0.25">
      <c r="A16" s="14"/>
      <c r="B16" s="69"/>
      <c r="C16" s="20" t="s">
        <v>32</v>
      </c>
      <c r="D16" s="21">
        <f ca="1">SUMXMY2($C$2:$C$13,D2:D13)/COUNT(D2:D13)</f>
        <v>4740.5</v>
      </c>
      <c r="E16" s="21">
        <f t="shared" ref="E16:H16" ca="1" si="5">SUMXMY2($C$2:$C$13,E2:E13)/COUNT(E2:E13)</f>
        <v>3931.0123456790138</v>
      </c>
      <c r="F16" s="21">
        <f t="shared" ca="1" si="5"/>
        <v>4315.8984375</v>
      </c>
      <c r="G16" s="21">
        <f t="shared" ca="1" si="5"/>
        <v>4690.0057142857131</v>
      </c>
      <c r="H16" s="21">
        <f t="shared" ca="1" si="5"/>
        <v>4847.3287037037026</v>
      </c>
      <c r="I16" s="14"/>
      <c r="J16" s="14"/>
      <c r="K16" s="14"/>
      <c r="L16" s="14"/>
      <c r="M16" s="14"/>
    </row>
    <row r="17" spans="1:13" ht="15.6" x14ac:dyDescent="0.25">
      <c r="A17" s="14"/>
      <c r="B17" s="69"/>
      <c r="C17" s="20" t="s">
        <v>33</v>
      </c>
      <c r="D17" s="21"/>
      <c r="E17" s="20">
        <f ca="1">MIN(D16:H16)</f>
        <v>3931.0123456790138</v>
      </c>
      <c r="F17" s="14"/>
      <c r="G17" s="14"/>
      <c r="H17" s="14"/>
      <c r="I17" s="14"/>
      <c r="J17" s="14"/>
      <c r="K17" s="14"/>
      <c r="L17" s="14"/>
      <c r="M17" s="14"/>
    </row>
    <row r="18" spans="1:13" ht="15.6" x14ac:dyDescent="0.25">
      <c r="A18" s="14"/>
      <c r="B18" s="69"/>
      <c r="C18" s="20" t="s">
        <v>34</v>
      </c>
      <c r="D18" s="20"/>
      <c r="E18" s="20">
        <f ca="1">_xlfn.XLOOKUP(E17,D16:H16,D1:H1)</f>
        <v>3</v>
      </c>
      <c r="F18" s="14"/>
      <c r="G18" s="14"/>
      <c r="H18" s="14"/>
      <c r="I18" s="14"/>
      <c r="J18" s="14"/>
      <c r="K18" s="14"/>
      <c r="L18" s="14"/>
      <c r="M18" s="14"/>
    </row>
    <row r="19" spans="1:13" ht="15.6" x14ac:dyDescent="0.25">
      <c r="A19" s="14"/>
      <c r="B19" s="69"/>
      <c r="C19" s="20" t="s">
        <v>35</v>
      </c>
      <c r="D19" s="20"/>
      <c r="E19" s="70">
        <f ca="1">E14</f>
        <v>344.33333333333331</v>
      </c>
      <c r="F19" s="14"/>
      <c r="G19" s="14"/>
      <c r="H19" s="14"/>
      <c r="I19" s="14"/>
      <c r="J19" s="14"/>
      <c r="K19" s="14"/>
      <c r="L19" s="14"/>
      <c r="M19" s="14"/>
    </row>
    <row r="20" spans="1:13" ht="15.6" x14ac:dyDescent="0.25">
      <c r="A20" s="14"/>
      <c r="B20" s="69"/>
      <c r="C20" s="14"/>
      <c r="D20" s="14"/>
      <c r="E20" s="14"/>
      <c r="F20" s="14"/>
      <c r="G20" s="14"/>
      <c r="H20" s="14"/>
      <c r="I20" s="14"/>
      <c r="J20" s="14"/>
      <c r="K20" s="14"/>
      <c r="L20" s="14"/>
      <c r="M20" s="14"/>
    </row>
    <row r="21" spans="1:13" ht="15.6" x14ac:dyDescent="0.25">
      <c r="A21" s="14"/>
      <c r="B21" s="69"/>
      <c r="C21" s="14"/>
      <c r="D21" s="14"/>
      <c r="E21" s="14"/>
      <c r="F21" s="14"/>
      <c r="G21" s="14"/>
      <c r="H21" s="14"/>
      <c r="I21" s="14"/>
      <c r="J21" s="14"/>
      <c r="K21" s="14"/>
      <c r="L21" s="14"/>
      <c r="M21" s="14"/>
    </row>
    <row r="22" spans="1:13" ht="15.6" x14ac:dyDescent="0.25">
      <c r="A22" s="14"/>
      <c r="B22" s="69"/>
      <c r="C22" s="14"/>
      <c r="D22" s="14"/>
      <c r="E22" s="14"/>
      <c r="F22" s="14"/>
      <c r="G22" s="14"/>
      <c r="H22" s="14"/>
      <c r="I22" s="14"/>
      <c r="J22" s="14"/>
      <c r="K22" s="14"/>
      <c r="L22" s="14"/>
      <c r="M22" s="14"/>
    </row>
    <row r="23" spans="1:13" ht="15.6" x14ac:dyDescent="0.25">
      <c r="A23" s="14"/>
      <c r="B23" s="69"/>
      <c r="C23" s="14"/>
      <c r="D23" s="14"/>
      <c r="E23" s="14"/>
      <c r="F23" s="14"/>
      <c r="G23" s="14"/>
      <c r="H23" s="14"/>
      <c r="I23" s="14"/>
      <c r="J23" s="14"/>
      <c r="K23" s="14"/>
      <c r="L23" s="14"/>
      <c r="M23" s="14"/>
    </row>
    <row r="24" spans="1:13" ht="15.6" x14ac:dyDescent="0.25">
      <c r="A24" s="14"/>
      <c r="B24" s="69"/>
      <c r="C24" s="14"/>
      <c r="D24" s="14"/>
      <c r="E24" s="14"/>
      <c r="F24" s="14"/>
      <c r="G24" s="14"/>
      <c r="H24" s="14"/>
      <c r="I24" s="14"/>
      <c r="J24" s="14"/>
      <c r="K24" s="14"/>
      <c r="L24" s="14"/>
      <c r="M24" s="14"/>
    </row>
    <row r="25" spans="1:13" ht="15.6" x14ac:dyDescent="0.25">
      <c r="A25" s="14"/>
      <c r="B25" s="69"/>
      <c r="C25" s="14"/>
      <c r="D25" s="14"/>
      <c r="E25" s="14"/>
      <c r="F25" s="14"/>
      <c r="G25" s="14"/>
      <c r="H25" s="14"/>
      <c r="I25" s="14"/>
      <c r="J25" s="14"/>
      <c r="K25" s="14"/>
      <c r="L25" s="14"/>
      <c r="M25" s="14"/>
    </row>
    <row r="26" spans="1:13" ht="15.6" x14ac:dyDescent="0.25">
      <c r="A26" s="14"/>
      <c r="B26" s="69"/>
      <c r="C26" s="14"/>
      <c r="D26" s="14"/>
      <c r="E26" s="14"/>
      <c r="F26" s="14"/>
      <c r="G26" s="14"/>
      <c r="H26" s="14"/>
      <c r="I26" s="14"/>
      <c r="J26" s="14"/>
      <c r="K26" s="14"/>
      <c r="L26" s="14"/>
      <c r="M26" s="14"/>
    </row>
    <row r="27" spans="1:13" ht="15.6" x14ac:dyDescent="0.25">
      <c r="A27" s="14"/>
      <c r="B27" s="69"/>
      <c r="C27" s="14"/>
      <c r="D27" s="14"/>
      <c r="E27" s="14"/>
      <c r="F27" s="14"/>
      <c r="G27" s="14"/>
      <c r="H27" s="14"/>
      <c r="I27" s="14"/>
      <c r="J27" s="14"/>
      <c r="K27" s="14"/>
      <c r="L27" s="14"/>
      <c r="M27" s="14"/>
    </row>
    <row r="28" spans="1:13" ht="15.6" x14ac:dyDescent="0.25">
      <c r="A28" s="14"/>
      <c r="B28" s="69"/>
      <c r="C28" s="14"/>
      <c r="D28" s="14"/>
      <c r="E28" s="14"/>
      <c r="F28" s="14"/>
      <c r="G28" s="14"/>
      <c r="H28" s="14"/>
      <c r="I28" s="14"/>
      <c r="J28" s="14"/>
      <c r="K28" s="14"/>
      <c r="L28" s="14"/>
      <c r="M28" s="14"/>
    </row>
    <row r="29" spans="1:13" ht="15.6" x14ac:dyDescent="0.25">
      <c r="A29" s="14"/>
      <c r="B29" s="69"/>
      <c r="C29" s="14"/>
      <c r="D29" s="14"/>
      <c r="E29" s="14"/>
      <c r="F29" s="14"/>
      <c r="G29" s="14"/>
      <c r="H29" s="14"/>
      <c r="I29" s="14"/>
      <c r="J29" s="14"/>
      <c r="K29" s="14"/>
      <c r="L29" s="14"/>
      <c r="M29" s="14"/>
    </row>
  </sheetData>
  <phoneticPr fontId="18"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0"/>
  <sheetViews>
    <sheetView topLeftCell="A10" workbookViewId="0">
      <selection activeCell="M6" sqref="M6"/>
    </sheetView>
  </sheetViews>
  <sheetFormatPr defaultColWidth="8.8984375" defaultRowHeight="14.4" x14ac:dyDescent="0.25"/>
  <cols>
    <col min="1" max="1" width="9.3984375" style="10" bestFit="1" customWidth="1"/>
    <col min="2" max="2" width="15.09765625" style="10" bestFit="1" customWidth="1"/>
    <col min="3" max="16384" width="8.8984375" style="10"/>
  </cols>
  <sheetData>
    <row r="1" spans="1:11" ht="15.6" x14ac:dyDescent="0.25">
      <c r="A1" s="46"/>
      <c r="B1" s="47" t="s">
        <v>36</v>
      </c>
      <c r="C1" s="47" t="s">
        <v>52</v>
      </c>
      <c r="D1" s="47" t="s">
        <v>37</v>
      </c>
      <c r="E1" s="10" t="s">
        <v>166</v>
      </c>
      <c r="F1" s="11" t="s">
        <v>168</v>
      </c>
      <c r="G1" s="10" t="s">
        <v>167</v>
      </c>
      <c r="H1" s="11"/>
      <c r="I1" s="11" t="s">
        <v>163</v>
      </c>
      <c r="J1" s="10" t="s">
        <v>164</v>
      </c>
      <c r="K1" s="10" t="s">
        <v>165</v>
      </c>
    </row>
    <row r="2" spans="1:11" ht="15.6" x14ac:dyDescent="0.25">
      <c r="A2" s="50">
        <v>1</v>
      </c>
      <c r="B2" s="45">
        <v>1</v>
      </c>
      <c r="C2" s="45">
        <v>1</v>
      </c>
      <c r="D2" s="45">
        <v>108</v>
      </c>
      <c r="E2" s="10" cm="1">
        <f t="array" ref="E2:E5">D2:D5/$K$2:$K$5</f>
        <v>108.03299389002035</v>
      </c>
      <c r="F2" s="11" cm="1">
        <f t="array" ref="F2:F5">FORECAST(B2:B5,D2:D21,B2:B21)</f>
        <v>117.89714285714284</v>
      </c>
      <c r="G2" s="10">
        <f t="array" ref="G2:G5">F2:F5*$K$2:$K$5</f>
        <v>117.86113639999418</v>
      </c>
      <c r="H2" s="11"/>
      <c r="I2" s="56">
        <v>98.2</v>
      </c>
      <c r="J2" s="10">
        <f>AVERAGE(D2:D21)</f>
        <v>98.22999999999999</v>
      </c>
      <c r="K2" s="10">
        <f>I2/J2</f>
        <v>0.99969459431945451</v>
      </c>
    </row>
    <row r="3" spans="1:11" ht="15.6" x14ac:dyDescent="0.25">
      <c r="A3" s="50"/>
      <c r="B3" s="45">
        <v>2</v>
      </c>
      <c r="C3" s="45">
        <v>2</v>
      </c>
      <c r="D3" s="45">
        <v>116</v>
      </c>
      <c r="E3" s="10">
        <v>111.3631743549648</v>
      </c>
      <c r="F3" s="11">
        <v>115.82691729323307</v>
      </c>
      <c r="G3" s="10">
        <v>120.64959968893017</v>
      </c>
      <c r="H3" s="11"/>
      <c r="I3" s="56">
        <v>102.32000000000001</v>
      </c>
      <c r="J3" s="10">
        <f>J2</f>
        <v>98.22999999999999</v>
      </c>
      <c r="K3" s="10">
        <f t="shared" ref="K3:K5" si="0">I3/J3</f>
        <v>1.041636974447725</v>
      </c>
    </row>
    <row r="4" spans="1:11" ht="15.6" x14ac:dyDescent="0.25">
      <c r="A4" s="50"/>
      <c r="B4" s="45">
        <v>3</v>
      </c>
      <c r="C4" s="45">
        <v>3</v>
      </c>
      <c r="D4" s="45">
        <v>118</v>
      </c>
      <c r="E4" s="10">
        <v>118.7130274477673</v>
      </c>
      <c r="F4" s="11">
        <v>113.75669172932329</v>
      </c>
      <c r="G4" s="10">
        <v>113.07343357885705</v>
      </c>
      <c r="H4" s="11"/>
      <c r="I4" s="56">
        <v>97.64</v>
      </c>
      <c r="J4" s="10">
        <f>J3</f>
        <v>98.22999999999999</v>
      </c>
      <c r="K4" s="10">
        <f t="shared" si="0"/>
        <v>0.99399368828260215</v>
      </c>
    </row>
    <row r="5" spans="1:11" ht="15.6" x14ac:dyDescent="0.25">
      <c r="A5" s="50"/>
      <c r="B5" s="45">
        <v>4</v>
      </c>
      <c r="C5" s="45">
        <v>4</v>
      </c>
      <c r="D5" s="45">
        <v>118</v>
      </c>
      <c r="E5" s="10">
        <v>122.3210215280709</v>
      </c>
      <c r="F5" s="11">
        <v>111.68646616541352</v>
      </c>
      <c r="G5" s="10">
        <v>107.74111303913863</v>
      </c>
      <c r="H5" s="11"/>
      <c r="I5" s="56">
        <v>94.76</v>
      </c>
      <c r="J5" s="10">
        <f>J4</f>
        <v>98.22999999999999</v>
      </c>
      <c r="K5" s="10">
        <f t="shared" si="0"/>
        <v>0.96467474295021904</v>
      </c>
    </row>
    <row r="6" spans="1:11" ht="15.6" x14ac:dyDescent="0.25">
      <c r="A6" s="50">
        <v>2</v>
      </c>
      <c r="B6" s="45">
        <v>5</v>
      </c>
      <c r="C6" s="45">
        <v>1</v>
      </c>
      <c r="D6" s="45">
        <v>104</v>
      </c>
      <c r="E6" s="10" cm="1">
        <f t="array" ref="E6:E9">D6:D9/$K$2:$K$5</f>
        <v>104.03177189409367</v>
      </c>
      <c r="F6" s="11" cm="1">
        <f t="array" ref="F6:F9">FORECAST(B6:B9,D6:D25,B6:B25)</f>
        <v>109.96176470588236</v>
      </c>
      <c r="G6" s="10">
        <f t="array" ref="G6:G9">F6:F9*$K$2:$K$5</f>
        <v>109.92818175829838</v>
      </c>
      <c r="H6" s="11"/>
    </row>
    <row r="7" spans="1:11" ht="15.6" x14ac:dyDescent="0.25">
      <c r="A7" s="50"/>
      <c r="B7" s="45">
        <v>6</v>
      </c>
      <c r="C7" s="45">
        <v>2</v>
      </c>
      <c r="D7" s="45">
        <v>112</v>
      </c>
      <c r="E7" s="10">
        <v>107.52306489444877</v>
      </c>
      <c r="F7" s="11">
        <v>107.83852941176471</v>
      </c>
      <c r="G7" s="10">
        <v>112.32859950536259</v>
      </c>
      <c r="H7" s="11"/>
    </row>
    <row r="8" spans="1:11" ht="15.6" x14ac:dyDescent="0.25">
      <c r="A8" s="50"/>
      <c r="B8" s="45">
        <v>7</v>
      </c>
      <c r="C8" s="45">
        <v>3</v>
      </c>
      <c r="D8" s="45">
        <v>110</v>
      </c>
      <c r="E8" s="10">
        <v>110.66468660385087</v>
      </c>
      <c r="F8" s="11">
        <v>105.71529411764706</v>
      </c>
      <c r="G8" s="10">
        <v>105.08033510788007</v>
      </c>
      <c r="H8" s="11"/>
    </row>
    <row r="9" spans="1:11" ht="15.6" x14ac:dyDescent="0.25">
      <c r="A9" s="50"/>
      <c r="B9" s="45">
        <v>8</v>
      </c>
      <c r="C9" s="45">
        <v>4</v>
      </c>
      <c r="D9" s="45">
        <v>102</v>
      </c>
      <c r="E9" s="10">
        <v>105.73512030392568</v>
      </c>
      <c r="F9" s="11">
        <v>103.59205882352941</v>
      </c>
      <c r="G9" s="10">
        <v>99.932642717272202</v>
      </c>
      <c r="H9" s="11"/>
    </row>
    <row r="10" spans="1:11" ht="15.6" x14ac:dyDescent="0.25">
      <c r="A10" s="50">
        <v>3</v>
      </c>
      <c r="B10" s="45">
        <v>9</v>
      </c>
      <c r="C10" s="45">
        <v>1</v>
      </c>
      <c r="D10" s="45">
        <v>98</v>
      </c>
      <c r="E10" s="10" cm="1">
        <f t="array" ref="E10:E13">D10:D13/$K$2:$K$5</f>
        <v>98.029938900203646</v>
      </c>
      <c r="F10" s="11" cm="1">
        <f t="array" ref="F10:F13">FORECAST(B10:B13,D10:D29,B10:B29)</f>
        <v>101.37435897435898</v>
      </c>
      <c r="G10" s="10">
        <f t="array" ref="G10:G13">F10:F13*$K$2:$K$5</f>
        <v>101.34339866926656</v>
      </c>
      <c r="H10" s="11"/>
    </row>
    <row r="11" spans="1:11" ht="15.6" x14ac:dyDescent="0.25">
      <c r="A11" s="50"/>
      <c r="B11" s="45">
        <v>10</v>
      </c>
      <c r="C11" s="45">
        <v>2</v>
      </c>
      <c r="D11" s="45">
        <v>102</v>
      </c>
      <c r="E11" s="10">
        <v>97.922791243158699</v>
      </c>
      <c r="F11" s="11">
        <v>99.254778554778568</v>
      </c>
      <c r="G11" s="10">
        <v>103.38744723327848</v>
      </c>
      <c r="H11" s="11"/>
    </row>
    <row r="12" spans="1:11" ht="15.6" x14ac:dyDescent="0.25">
      <c r="A12" s="50"/>
      <c r="B12" s="45">
        <v>11</v>
      </c>
      <c r="C12" s="45">
        <v>3</v>
      </c>
      <c r="D12" s="45">
        <v>92</v>
      </c>
      <c r="E12" s="10">
        <v>92.555919705038903</v>
      </c>
      <c r="F12" s="11">
        <v>97.135198135198152</v>
      </c>
      <c r="G12" s="10">
        <v>96.551773856466951</v>
      </c>
      <c r="H12" s="11"/>
    </row>
    <row r="13" spans="1:11" ht="15.6" x14ac:dyDescent="0.25">
      <c r="A13" s="50"/>
      <c r="B13" s="45">
        <v>12</v>
      </c>
      <c r="C13" s="45">
        <v>4</v>
      </c>
      <c r="D13" s="45">
        <v>91</v>
      </c>
      <c r="E13" s="10">
        <v>94.332313212325857</v>
      </c>
      <c r="F13" s="11">
        <v>95.015617715617736</v>
      </c>
      <c r="G13" s="10">
        <v>91.659166596069824</v>
      </c>
      <c r="H13" s="11"/>
    </row>
    <row r="14" spans="1:11" ht="15.6" x14ac:dyDescent="0.25">
      <c r="A14" s="50">
        <v>4</v>
      </c>
      <c r="B14" s="45">
        <v>13</v>
      </c>
      <c r="C14" s="45">
        <v>1</v>
      </c>
      <c r="D14" s="45">
        <v>96</v>
      </c>
      <c r="E14" s="10" cm="1">
        <f t="array" ref="E14:E17">D14:D17/$K$2:$K$5</f>
        <v>96.029327902240311</v>
      </c>
      <c r="F14" s="11" cm="1">
        <f t="array" ref="F14:F17">FORECAST(B14:B17,D14:D33,B14:B33)</f>
        <v>98.600000000000009</v>
      </c>
      <c r="G14" s="10">
        <f t="array" ref="G14:G17">F14:F17*$K$2:$K$5</f>
        <v>98.56988699989823</v>
      </c>
      <c r="H14" s="11"/>
    </row>
    <row r="15" spans="1:11" ht="15.6" x14ac:dyDescent="0.25">
      <c r="A15" s="50"/>
      <c r="B15" s="45">
        <v>14</v>
      </c>
      <c r="C15" s="45">
        <v>2</v>
      </c>
      <c r="D15" s="45">
        <v>100</v>
      </c>
      <c r="E15" s="10">
        <v>96.002736512900682</v>
      </c>
      <c r="F15" s="11">
        <v>95.2</v>
      </c>
      <c r="G15" s="10">
        <v>99.163839967423414</v>
      </c>
      <c r="H15" s="11"/>
    </row>
    <row r="16" spans="1:11" ht="15.6" x14ac:dyDescent="0.25">
      <c r="A16" s="50"/>
      <c r="B16" s="45">
        <v>15</v>
      </c>
      <c r="C16" s="45">
        <v>3</v>
      </c>
      <c r="D16" s="45">
        <v>90</v>
      </c>
      <c r="E16" s="10">
        <v>90.543834494059809</v>
      </c>
      <c r="F16" s="11">
        <v>91.800000000000011</v>
      </c>
      <c r="G16" s="10">
        <v>91.248620584342888</v>
      </c>
      <c r="H16" s="11"/>
    </row>
    <row r="17" spans="1:8" ht="15.6" x14ac:dyDescent="0.25">
      <c r="A17" s="50"/>
      <c r="B17" s="45">
        <v>16</v>
      </c>
      <c r="C17" s="45">
        <v>4</v>
      </c>
      <c r="D17" s="45">
        <v>88</v>
      </c>
      <c r="E17" s="10">
        <v>91.222456732798634</v>
      </c>
      <c r="F17" s="11">
        <v>88.4</v>
      </c>
      <c r="G17" s="10">
        <v>85.277247276799372</v>
      </c>
      <c r="H17" s="11"/>
    </row>
    <row r="18" spans="1:8" ht="15.6" x14ac:dyDescent="0.25">
      <c r="A18" s="50">
        <v>5</v>
      </c>
      <c r="B18" s="45">
        <v>17</v>
      </c>
      <c r="C18" s="45">
        <v>1</v>
      </c>
      <c r="D18" s="45">
        <v>85</v>
      </c>
      <c r="E18" s="10" cm="1">
        <f t="array" ref="E18:E21">D18:D21/$K$2:$K$5</f>
        <v>85.025967413441947</v>
      </c>
      <c r="F18" s="11" cm="1">
        <f t="array" ref="F18:F21">FORECAST(B18:B21,D18:D37,B18:B37)</f>
        <v>85.000000000000014</v>
      </c>
      <c r="G18" s="10">
        <f t="array" ref="G18:G21">F18:F21*$K$2:$K$5</f>
        <v>84.974040517153654</v>
      </c>
      <c r="H18" s="11"/>
    </row>
    <row r="19" spans="1:8" ht="15.6" x14ac:dyDescent="0.25">
      <c r="A19" s="50"/>
      <c r="B19" s="45">
        <v>18</v>
      </c>
      <c r="C19" s="45">
        <v>2</v>
      </c>
      <c r="D19" s="45">
        <v>81.599999999999994</v>
      </c>
      <c r="E19" s="10">
        <v>78.338232994526948</v>
      </c>
      <c r="F19" s="11">
        <v>81.600000000000023</v>
      </c>
      <c r="G19" s="10">
        <v>84.997577114934387</v>
      </c>
      <c r="H19" s="11"/>
    </row>
    <row r="20" spans="1:8" ht="15.6" x14ac:dyDescent="0.25">
      <c r="A20" s="50"/>
      <c r="B20" s="45">
        <v>19</v>
      </c>
      <c r="C20" s="45">
        <v>3</v>
      </c>
      <c r="D20" s="45">
        <v>78.2</v>
      </c>
      <c r="E20" s="10">
        <v>78.672531749283081</v>
      </c>
      <c r="F20" s="11">
        <v>78.200000000000017</v>
      </c>
      <c r="G20" s="10">
        <v>77.730306423699503</v>
      </c>
      <c r="H20" s="11"/>
    </row>
    <row r="21" spans="1:8" ht="15.6" x14ac:dyDescent="0.25">
      <c r="A21" s="50"/>
      <c r="B21" s="45">
        <v>20</v>
      </c>
      <c r="C21" s="45">
        <v>4</v>
      </c>
      <c r="D21" s="45">
        <v>74.8</v>
      </c>
      <c r="E21" s="10">
        <v>77.539088222878831</v>
      </c>
      <c r="F21" s="11">
        <v>74.800000000000011</v>
      </c>
      <c r="G21" s="10">
        <v>72.157670772676397</v>
      </c>
      <c r="H21" s="11"/>
    </row>
    <row r="22" spans="1:8" x14ac:dyDescent="0.25">
      <c r="A22" s="11"/>
      <c r="B22" s="11"/>
      <c r="C22" s="11"/>
      <c r="D22" s="11"/>
      <c r="E22" s="11"/>
      <c r="F22" s="11"/>
      <c r="G22" s="11"/>
      <c r="H22" s="11"/>
    </row>
    <row r="23" spans="1:8" ht="15.6" x14ac:dyDescent="0.25">
      <c r="A23" s="54" t="s">
        <v>61</v>
      </c>
      <c r="B23" t="s">
        <v>162</v>
      </c>
      <c r="C23"/>
      <c r="D23" s="11"/>
      <c r="E23" s="11"/>
      <c r="F23" s="11"/>
      <c r="G23" s="11"/>
      <c r="H23" s="11"/>
    </row>
    <row r="24" spans="1:8" ht="15.6" x14ac:dyDescent="0.25">
      <c r="A24" s="55">
        <v>1</v>
      </c>
      <c r="B24" s="56">
        <v>98.2</v>
      </c>
      <c r="C24"/>
      <c r="D24" s="11"/>
      <c r="E24" s="11"/>
      <c r="F24" s="11"/>
      <c r="G24" s="11"/>
      <c r="H24" s="11"/>
    </row>
    <row r="25" spans="1:8" ht="15.6" x14ac:dyDescent="0.25">
      <c r="A25" s="55">
        <v>2</v>
      </c>
      <c r="B25" s="56">
        <v>102.32000000000001</v>
      </c>
      <c r="C25"/>
    </row>
    <row r="26" spans="1:8" ht="15.6" x14ac:dyDescent="0.25">
      <c r="A26" s="55">
        <v>3</v>
      </c>
      <c r="B26" s="56">
        <v>97.64</v>
      </c>
      <c r="C26"/>
    </row>
    <row r="27" spans="1:8" ht="15.6" x14ac:dyDescent="0.25">
      <c r="A27" s="55">
        <v>4</v>
      </c>
      <c r="B27" s="56">
        <v>94.76</v>
      </c>
      <c r="C27"/>
    </row>
    <row r="28" spans="1:8" ht="15.6" x14ac:dyDescent="0.25">
      <c r="A28" s="55" t="s">
        <v>62</v>
      </c>
      <c r="B28" s="56">
        <v>98.22999999999999</v>
      </c>
      <c r="C28"/>
    </row>
    <row r="29" spans="1:8" ht="15.6" x14ac:dyDescent="0.25">
      <c r="A29"/>
      <c r="B29"/>
      <c r="C29"/>
    </row>
    <row r="30" spans="1:8" ht="15.6" x14ac:dyDescent="0.25">
      <c r="A30"/>
      <c r="B30"/>
      <c r="C30"/>
    </row>
    <row r="31" spans="1:8" ht="15.6" x14ac:dyDescent="0.25">
      <c r="A31"/>
      <c r="B31"/>
      <c r="C31"/>
    </row>
    <row r="32" spans="1:8" ht="15.6" x14ac:dyDescent="0.25">
      <c r="A32"/>
      <c r="B32"/>
      <c r="C32"/>
    </row>
    <row r="33" spans="1:3" ht="15.6" x14ac:dyDescent="0.25">
      <c r="A33"/>
      <c r="B33"/>
      <c r="C33"/>
    </row>
    <row r="34" spans="1:3" ht="15.6" x14ac:dyDescent="0.25">
      <c r="A34"/>
      <c r="B34"/>
      <c r="C34"/>
    </row>
    <row r="35" spans="1:3" ht="15.6" x14ac:dyDescent="0.25">
      <c r="A35"/>
      <c r="B35"/>
      <c r="C35"/>
    </row>
    <row r="36" spans="1:3" ht="15.6" x14ac:dyDescent="0.25">
      <c r="A36"/>
      <c r="B36"/>
      <c r="C36"/>
    </row>
    <row r="37" spans="1:3" ht="15.6" x14ac:dyDescent="0.25">
      <c r="A37"/>
      <c r="B37"/>
      <c r="C37"/>
    </row>
    <row r="38" spans="1:3" ht="15.6" x14ac:dyDescent="0.25">
      <c r="A38"/>
      <c r="B38"/>
      <c r="C38"/>
    </row>
    <row r="39" spans="1:3" ht="15.6" x14ac:dyDescent="0.25">
      <c r="A39"/>
      <c r="B39"/>
      <c r="C39"/>
    </row>
    <row r="40" spans="1:3" ht="15.6" x14ac:dyDescent="0.25">
      <c r="A40"/>
      <c r="B40"/>
      <c r="C40"/>
    </row>
  </sheetData>
  <mergeCells count="5">
    <mergeCell ref="A18:A21"/>
    <mergeCell ref="A2:A5"/>
    <mergeCell ref="A6:A9"/>
    <mergeCell ref="A10:A13"/>
    <mergeCell ref="A14:A17"/>
  </mergeCells>
  <phoneticPr fontId="18" type="noConversion"/>
  <pageMargins left="0.75" right="0.75" top="1" bottom="1" header="0.5" footer="0.5"/>
  <headerFooter alignWithMargins="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9"/>
  <sheetViews>
    <sheetView tabSelected="1" workbookViewId="0">
      <selection activeCell="J14" sqref="J14"/>
    </sheetView>
  </sheetViews>
  <sheetFormatPr defaultColWidth="9" defaultRowHeight="14.4" x14ac:dyDescent="0.25"/>
  <cols>
    <col min="1" max="1" width="2.09765625" style="1" customWidth="1"/>
    <col min="2" max="16384" width="9" style="1"/>
  </cols>
  <sheetData>
    <row r="1" spans="1:12" x14ac:dyDescent="0.25">
      <c r="A1" s="2"/>
      <c r="B1" s="2"/>
      <c r="C1" s="2"/>
      <c r="D1" s="2"/>
      <c r="E1" s="2"/>
      <c r="F1" s="2"/>
      <c r="G1" s="2"/>
      <c r="H1" s="2"/>
      <c r="I1" s="2"/>
      <c r="J1" s="2"/>
      <c r="K1" s="2"/>
      <c r="L1" s="2"/>
    </row>
    <row r="2" spans="1:12" x14ac:dyDescent="0.25">
      <c r="A2" s="2"/>
      <c r="B2" s="3" t="s">
        <v>30</v>
      </c>
      <c r="C2" s="3" t="s">
        <v>38</v>
      </c>
      <c r="D2" s="3" t="s">
        <v>39</v>
      </c>
      <c r="E2" s="71" t="s">
        <v>169</v>
      </c>
      <c r="F2" s="2"/>
      <c r="G2" s="4" t="s">
        <v>40</v>
      </c>
      <c r="H2" s="4"/>
      <c r="I2" s="2"/>
      <c r="J2" s="2"/>
      <c r="K2" s="2"/>
      <c r="L2" s="2"/>
    </row>
    <row r="3" spans="1:12" x14ac:dyDescent="0.25">
      <c r="A3" s="2"/>
      <c r="B3" s="5">
        <v>1974</v>
      </c>
      <c r="C3" s="6">
        <v>14.3</v>
      </c>
      <c r="D3" s="6">
        <v>9.6</v>
      </c>
      <c r="E3" s="72">
        <f>LN(D3)</f>
        <v>2.2617630984737906</v>
      </c>
      <c r="F3" s="2"/>
      <c r="G3" s="5" t="s">
        <v>41</v>
      </c>
      <c r="H3" s="7">
        <f>INTERCEPT(C3:C26,D3:D26)</f>
        <v>0.75420676785989826</v>
      </c>
      <c r="I3" s="2"/>
      <c r="J3" s="2"/>
      <c r="K3" s="2"/>
      <c r="L3" s="2"/>
    </row>
    <row r="4" spans="1:12" x14ac:dyDescent="0.25">
      <c r="A4" s="2"/>
      <c r="B4" s="5">
        <v>1975</v>
      </c>
      <c r="C4" s="6">
        <v>8.5</v>
      </c>
      <c r="D4" s="6">
        <v>9.9</v>
      </c>
      <c r="E4" s="72">
        <f t="shared" ref="E4:E27" si="0">LN(D4)</f>
        <v>2.2925347571405443</v>
      </c>
      <c r="F4" s="2"/>
      <c r="G4" s="5" t="s">
        <v>42</v>
      </c>
      <c r="H4" s="7">
        <f>SLOPE(C3:C26,D3:D26)</f>
        <v>0.67884489276346249</v>
      </c>
      <c r="I4" s="2"/>
      <c r="J4" s="2"/>
      <c r="K4" s="2"/>
      <c r="L4" s="2"/>
    </row>
    <row r="5" spans="1:12" x14ac:dyDescent="0.25">
      <c r="A5" s="2"/>
      <c r="B5" s="5">
        <v>1976</v>
      </c>
      <c r="C5" s="6">
        <v>3</v>
      </c>
      <c r="D5" s="6">
        <v>5.5</v>
      </c>
      <c r="E5" s="72">
        <f t="shared" si="0"/>
        <v>1.7047480922384253</v>
      </c>
      <c r="F5" s="2"/>
      <c r="G5" s="5" t="s">
        <v>43</v>
      </c>
      <c r="H5" s="7">
        <f>RSQ(C3:C26,D3:D26)</f>
        <v>0.62200746764999182</v>
      </c>
      <c r="I5" s="2"/>
      <c r="J5" s="2"/>
      <c r="K5" s="2"/>
      <c r="L5" s="2"/>
    </row>
    <row r="6" spans="1:12" x14ac:dyDescent="0.25">
      <c r="A6" s="2"/>
      <c r="B6" s="5">
        <v>1977</v>
      </c>
      <c r="C6" s="6">
        <v>6.3</v>
      </c>
      <c r="D6" s="6">
        <v>6.6</v>
      </c>
      <c r="E6" s="72">
        <f t="shared" si="0"/>
        <v>1.8870696490323797</v>
      </c>
      <c r="F6" s="2"/>
      <c r="G6" s="4"/>
      <c r="H6" s="2"/>
      <c r="I6" s="2"/>
      <c r="J6" s="2"/>
      <c r="K6" s="2"/>
      <c r="L6" s="2"/>
    </row>
    <row r="7" spans="1:12" x14ac:dyDescent="0.25">
      <c r="A7" s="2"/>
      <c r="B7" s="5">
        <v>1978</v>
      </c>
      <c r="C7" s="6">
        <v>9.9</v>
      </c>
      <c r="D7" s="6">
        <v>10.199999999999999</v>
      </c>
      <c r="E7" s="72">
        <f t="shared" si="0"/>
        <v>2.3223877202902252</v>
      </c>
      <c r="F7" s="2"/>
      <c r="G7" s="4" t="s">
        <v>44</v>
      </c>
      <c r="H7" s="2"/>
      <c r="K7" s="2"/>
      <c r="L7" s="2"/>
    </row>
    <row r="8" spans="1:12" x14ac:dyDescent="0.25">
      <c r="A8" s="2"/>
      <c r="B8" s="5">
        <v>1979</v>
      </c>
      <c r="C8" s="6">
        <v>11</v>
      </c>
      <c r="D8" s="6">
        <v>13.9</v>
      </c>
      <c r="E8" s="72">
        <f t="shared" si="0"/>
        <v>2.631888840136646</v>
      </c>
      <c r="F8" s="2"/>
      <c r="G8" s="5" t="s">
        <v>45</v>
      </c>
      <c r="H8" s="7">
        <f>INTERCEPT(C3:C26,E3:E26)</f>
        <v>-3.5511995143376707</v>
      </c>
      <c r="K8" s="2"/>
      <c r="L8" s="2"/>
    </row>
    <row r="9" spans="1:12" x14ac:dyDescent="0.25">
      <c r="A9" s="2"/>
      <c r="B9" s="5">
        <v>1980</v>
      </c>
      <c r="C9" s="6">
        <v>8.6</v>
      </c>
      <c r="D9" s="6">
        <v>17.600000000000001</v>
      </c>
      <c r="E9" s="72">
        <f t="shared" si="0"/>
        <v>2.8678989020441064</v>
      </c>
      <c r="F9" s="2"/>
      <c r="G9" s="5" t="s">
        <v>46</v>
      </c>
      <c r="H9" s="7">
        <f>SLOPE(C3:C26,E3:E26)</f>
        <v>5.065447240082948</v>
      </c>
      <c r="K9" s="2"/>
      <c r="L9" s="2"/>
    </row>
    <row r="10" spans="1:12" x14ac:dyDescent="0.25">
      <c r="A10" s="2"/>
      <c r="B10" s="5">
        <v>1981</v>
      </c>
      <c r="C10" s="6">
        <v>7.8</v>
      </c>
      <c r="D10" s="6">
        <v>11.7</v>
      </c>
      <c r="E10" s="72">
        <f t="shared" si="0"/>
        <v>2.4595888418037104</v>
      </c>
      <c r="F10" s="2"/>
      <c r="G10" s="5" t="s">
        <v>43</v>
      </c>
      <c r="H10" s="7">
        <f>RSQ(C3:C26,E3:E26)</f>
        <v>0.6701391493126243</v>
      </c>
      <c r="K10" s="2"/>
      <c r="L10" s="2"/>
    </row>
    <row r="11" spans="1:12" x14ac:dyDescent="0.25">
      <c r="A11" s="2"/>
      <c r="B11" s="5">
        <v>1982</v>
      </c>
      <c r="C11" s="6">
        <v>4.0999999999999996</v>
      </c>
      <c r="D11" s="6">
        <v>7.1</v>
      </c>
      <c r="E11" s="72">
        <f t="shared" si="0"/>
        <v>1.9600947840472698</v>
      </c>
      <c r="F11" s="2"/>
      <c r="K11" s="2"/>
      <c r="L11" s="2"/>
    </row>
    <row r="12" spans="1:12" x14ac:dyDescent="0.25">
      <c r="A12" s="2"/>
      <c r="B12" s="5">
        <v>1983</v>
      </c>
      <c r="C12" s="6">
        <v>2.1</v>
      </c>
      <c r="D12" s="6">
        <v>2.2999999999999998</v>
      </c>
      <c r="E12" s="72">
        <f t="shared" si="0"/>
        <v>0.83290912293510388</v>
      </c>
      <c r="F12" s="2"/>
      <c r="G12" s="1" t="s">
        <v>47</v>
      </c>
      <c r="K12" s="2"/>
      <c r="L12" s="2"/>
    </row>
    <row r="13" spans="1:12" x14ac:dyDescent="0.25">
      <c r="A13" s="2"/>
      <c r="B13" s="5">
        <v>1984</v>
      </c>
      <c r="C13" s="6">
        <v>3.8</v>
      </c>
      <c r="D13" s="6">
        <v>4.9000000000000004</v>
      </c>
      <c r="E13" s="72">
        <f t="shared" si="0"/>
        <v>1.589235205116581</v>
      </c>
      <c r="F13" s="2"/>
      <c r="G13" s="51" t="s">
        <v>170</v>
      </c>
      <c r="H13" s="52"/>
      <c r="I13" s="2"/>
      <c r="J13" s="2"/>
      <c r="K13" s="2"/>
      <c r="L13" s="2"/>
    </row>
    <row r="14" spans="1:12" x14ac:dyDescent="0.25">
      <c r="A14" s="2"/>
      <c r="B14" s="5">
        <v>1985</v>
      </c>
      <c r="C14" s="6">
        <v>2.2999999999999998</v>
      </c>
      <c r="D14" s="6">
        <v>5.6</v>
      </c>
      <c r="E14" s="72">
        <f t="shared" si="0"/>
        <v>1.7227665977411035</v>
      </c>
      <c r="F14" s="2"/>
      <c r="G14" s="4"/>
      <c r="H14" s="4"/>
      <c r="I14" s="2"/>
      <c r="J14" s="2"/>
      <c r="K14" s="2"/>
      <c r="L14" s="2"/>
    </row>
    <row r="15" spans="1:12" x14ac:dyDescent="0.25">
      <c r="A15" s="2"/>
      <c r="B15" s="5">
        <v>1986</v>
      </c>
      <c r="C15" s="6">
        <v>3.2</v>
      </c>
      <c r="D15" s="6">
        <v>5.5</v>
      </c>
      <c r="E15" s="72">
        <f t="shared" si="0"/>
        <v>1.7047480922384253</v>
      </c>
      <c r="F15" s="2"/>
      <c r="G15" s="4" t="s">
        <v>48</v>
      </c>
      <c r="H15" s="4"/>
      <c r="I15" s="2"/>
      <c r="J15" s="2"/>
      <c r="K15" s="2"/>
      <c r="L15" s="2"/>
    </row>
    <row r="16" spans="1:12" x14ac:dyDescent="0.25">
      <c r="A16" s="2"/>
      <c r="B16" s="5">
        <v>1987</v>
      </c>
      <c r="C16" s="6">
        <v>4.0999999999999996</v>
      </c>
      <c r="D16" s="6">
        <v>4.7</v>
      </c>
      <c r="E16" s="72">
        <f t="shared" si="0"/>
        <v>1.547562508716013</v>
      </c>
      <c r="F16" s="2"/>
      <c r="G16" s="5" t="s">
        <v>49</v>
      </c>
      <c r="H16" s="8">
        <v>3.6</v>
      </c>
      <c r="I16" s="2"/>
      <c r="J16" s="2"/>
      <c r="K16" s="2"/>
      <c r="L16" s="2"/>
    </row>
    <row r="17" spans="1:12" x14ac:dyDescent="0.25">
      <c r="A17" s="2"/>
      <c r="B17" s="5">
        <v>1988</v>
      </c>
      <c r="C17" s="6">
        <v>4.0999999999999996</v>
      </c>
      <c r="D17" s="6">
        <v>4.8</v>
      </c>
      <c r="E17" s="72">
        <f t="shared" si="0"/>
        <v>1.5686159179138452</v>
      </c>
      <c r="F17" s="2"/>
      <c r="G17" s="5" t="s">
        <v>50</v>
      </c>
      <c r="H17" s="9">
        <f>$H$8+$H$9*E27</f>
        <v>2.93730329788698</v>
      </c>
      <c r="I17" s="2"/>
      <c r="J17" s="2"/>
      <c r="K17" s="2"/>
      <c r="L17" s="2"/>
    </row>
    <row r="18" spans="1:12" x14ac:dyDescent="0.25">
      <c r="A18" s="2"/>
      <c r="B18" s="5">
        <v>1989</v>
      </c>
      <c r="C18" s="6">
        <v>5.8</v>
      </c>
      <c r="D18" s="6">
        <v>4.5</v>
      </c>
      <c r="E18" s="72">
        <f t="shared" si="0"/>
        <v>1.5040773967762742</v>
      </c>
      <c r="F18" s="2"/>
      <c r="G18" s="2"/>
      <c r="H18" s="2"/>
      <c r="I18" s="2"/>
      <c r="J18" s="2"/>
      <c r="K18" s="2"/>
      <c r="L18" s="2"/>
    </row>
    <row r="19" spans="1:12" x14ac:dyDescent="0.25">
      <c r="A19" s="2"/>
      <c r="B19" s="5">
        <v>1990</v>
      </c>
      <c r="C19" s="6">
        <v>5.8</v>
      </c>
      <c r="D19" s="6">
        <v>5.4</v>
      </c>
      <c r="E19" s="72">
        <f t="shared" si="0"/>
        <v>1.6863989535702288</v>
      </c>
      <c r="F19" s="2"/>
      <c r="G19" s="2"/>
      <c r="H19" s="2"/>
      <c r="I19" s="2"/>
      <c r="J19" s="2"/>
      <c r="K19" s="2"/>
      <c r="L19" s="2"/>
    </row>
    <row r="20" spans="1:12" x14ac:dyDescent="0.25">
      <c r="A20" s="2"/>
      <c r="B20" s="5">
        <v>1991</v>
      </c>
      <c r="C20" s="6">
        <v>2.9</v>
      </c>
      <c r="D20" s="6">
        <v>4.5</v>
      </c>
      <c r="E20" s="72">
        <f t="shared" si="0"/>
        <v>1.5040773967762742</v>
      </c>
      <c r="F20" s="2"/>
      <c r="G20" s="2"/>
      <c r="H20" s="2"/>
      <c r="I20" s="2"/>
      <c r="J20" s="2"/>
      <c r="K20" s="2"/>
      <c r="L20" s="2"/>
    </row>
    <row r="21" spans="1:12" x14ac:dyDescent="0.25">
      <c r="A21" s="2"/>
      <c r="B21" s="5">
        <v>1992</v>
      </c>
      <c r="C21" s="6">
        <v>1.2</v>
      </c>
      <c r="D21" s="6">
        <v>3.3</v>
      </c>
      <c r="E21" s="72">
        <f t="shared" si="0"/>
        <v>1.1939224684724346</v>
      </c>
      <c r="F21" s="2"/>
      <c r="G21" s="2"/>
      <c r="H21" s="2"/>
      <c r="I21" s="2"/>
      <c r="J21" s="2"/>
      <c r="K21" s="2"/>
      <c r="L21" s="2"/>
    </row>
    <row r="22" spans="1:12" x14ac:dyDescent="0.25">
      <c r="A22" s="2"/>
      <c r="B22" s="5">
        <v>1993</v>
      </c>
      <c r="C22" s="6">
        <v>2.2000000000000002</v>
      </c>
      <c r="D22" s="6">
        <v>3</v>
      </c>
      <c r="E22" s="72">
        <f t="shared" si="0"/>
        <v>1.0986122886681098</v>
      </c>
      <c r="F22" s="2"/>
      <c r="G22" s="2"/>
      <c r="H22" s="2"/>
      <c r="I22" s="2"/>
      <c r="J22" s="2"/>
      <c r="K22" s="2"/>
      <c r="L22" s="2"/>
    </row>
    <row r="23" spans="1:12" x14ac:dyDescent="0.25">
      <c r="A23" s="2"/>
      <c r="B23" s="5">
        <v>1994</v>
      </c>
      <c r="C23" s="6">
        <v>2.4</v>
      </c>
      <c r="D23" s="6">
        <v>3.1</v>
      </c>
      <c r="E23" s="72">
        <f t="shared" si="0"/>
        <v>1.1314021114911006</v>
      </c>
      <c r="F23" s="2"/>
      <c r="G23" s="2"/>
      <c r="H23" s="2"/>
      <c r="I23" s="2"/>
      <c r="J23" s="2"/>
      <c r="K23" s="2"/>
      <c r="L23" s="2"/>
    </row>
    <row r="24" spans="1:12" x14ac:dyDescent="0.25">
      <c r="A24" s="2"/>
      <c r="B24" s="5">
        <v>1995</v>
      </c>
      <c r="C24" s="6">
        <v>2.8</v>
      </c>
      <c r="D24" s="6">
        <v>3.2</v>
      </c>
      <c r="E24" s="72">
        <f t="shared" si="0"/>
        <v>1.1631508098056809</v>
      </c>
      <c r="F24" s="2"/>
      <c r="G24" s="2"/>
      <c r="H24" s="2"/>
      <c r="I24" s="2"/>
      <c r="J24" s="2"/>
      <c r="K24" s="2"/>
      <c r="L24" s="2"/>
    </row>
    <row r="25" spans="1:12" x14ac:dyDescent="0.25">
      <c r="A25" s="2"/>
      <c r="B25" s="5">
        <v>1996</v>
      </c>
      <c r="C25" s="6">
        <v>3.3</v>
      </c>
      <c r="D25" s="6">
        <v>3.2</v>
      </c>
      <c r="E25" s="72">
        <f t="shared" si="0"/>
        <v>1.1631508098056809</v>
      </c>
      <c r="F25" s="2"/>
      <c r="G25" s="2"/>
      <c r="H25" s="2"/>
      <c r="I25" s="2"/>
      <c r="J25" s="2"/>
      <c r="K25" s="2"/>
      <c r="L25" s="2"/>
    </row>
    <row r="26" spans="1:12" x14ac:dyDescent="0.25">
      <c r="A26" s="2"/>
      <c r="B26" s="5">
        <v>1997</v>
      </c>
      <c r="C26" s="6">
        <v>2.6</v>
      </c>
      <c r="D26" s="6">
        <v>3.1</v>
      </c>
      <c r="E26" s="72">
        <f t="shared" si="0"/>
        <v>1.1314021114911006</v>
      </c>
      <c r="F26" s="2"/>
      <c r="G26" s="2"/>
      <c r="H26" s="2"/>
      <c r="I26" s="2"/>
      <c r="J26" s="2"/>
      <c r="K26" s="2"/>
      <c r="L26" s="2"/>
    </row>
    <row r="27" spans="1:12" x14ac:dyDescent="0.25">
      <c r="A27" s="2"/>
      <c r="B27" s="2"/>
      <c r="C27" s="2"/>
      <c r="D27" s="2">
        <v>3.6</v>
      </c>
      <c r="E27" s="2">
        <f t="shared" si="0"/>
        <v>1.2809338454620642</v>
      </c>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sheetData>
  <mergeCells count="1">
    <mergeCell ref="G13:H13"/>
  </mergeCells>
  <phoneticPr fontId="18" type="noConversion"/>
  <pageMargins left="0.7" right="0.7" top="0.75" bottom="0.75" header="0.3" footer="0.3"/>
  <drawing r:id="rId1"/>
  <legacyDrawing r:id="rId2"/>
  <oleObjects>
    <mc:AlternateContent xmlns:mc="http://schemas.openxmlformats.org/markup-compatibility/2006">
      <mc:Choice Requires="x14">
        <oleObject progId="Equation.3" shapeId="9217" r:id="rId3">
          <objectPr defaultSize="0" autoPict="0" altText="" r:id="rId4">
            <anchor moveWithCells="1" sizeWithCells="1">
              <from>
                <xdr:col>12</xdr:col>
                <xdr:colOff>228600</xdr:colOff>
                <xdr:row>9</xdr:row>
                <xdr:rowOff>38100</xdr:rowOff>
              </from>
              <to>
                <xdr:col>14</xdr:col>
                <xdr:colOff>312420</xdr:colOff>
                <xdr:row>10</xdr:row>
                <xdr:rowOff>91440</xdr:rowOff>
              </to>
            </anchor>
          </objectPr>
        </oleObject>
      </mc:Choice>
      <mc:Fallback>
        <oleObject progId="Equation.3" shapeId="9217" r:id="rId3"/>
      </mc:Fallback>
    </mc:AlternateContent>
    <mc:AlternateContent xmlns:mc="http://schemas.openxmlformats.org/markup-compatibility/2006">
      <mc:Choice Requires="x14">
        <oleObject progId="Equation.3" shapeId="9218" r:id="rId5">
          <objectPr defaultSize="0" autoPict="0" altText="" r:id="rId6">
            <anchor moveWithCells="1" sizeWithCells="1">
              <from>
                <xdr:col>12</xdr:col>
                <xdr:colOff>198120</xdr:colOff>
                <xdr:row>12</xdr:row>
                <xdr:rowOff>15240</xdr:rowOff>
              </from>
              <to>
                <xdr:col>14</xdr:col>
                <xdr:colOff>365760</xdr:colOff>
                <xdr:row>13</xdr:row>
                <xdr:rowOff>76200</xdr:rowOff>
              </to>
            </anchor>
          </objectPr>
        </oleObject>
      </mc:Choice>
      <mc:Fallback>
        <oleObject progId="Equation.3" shapeId="9218"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2</vt:i4>
      </vt:variant>
    </vt:vector>
  </HeadingPairs>
  <TitlesOfParts>
    <vt:vector size="11" baseType="lpstr">
      <vt:lpstr>考试须知</vt:lpstr>
      <vt:lpstr>A公司销售数据</vt:lpstr>
      <vt:lpstr>第1题</vt:lpstr>
      <vt:lpstr>第2题</vt:lpstr>
      <vt:lpstr>第3题 </vt:lpstr>
      <vt:lpstr>第4题</vt:lpstr>
      <vt:lpstr>第5题</vt:lpstr>
      <vt:lpstr>第6题</vt:lpstr>
      <vt:lpstr>第7题</vt:lpstr>
      <vt:lpstr>'第3题 '!提取</vt:lpstr>
      <vt:lpstr>第4题!提取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端木辰</cp:lastModifiedBy>
  <dcterms:created xsi:type="dcterms:W3CDTF">2012-09-14T05:52:00Z</dcterms:created>
  <dcterms:modified xsi:type="dcterms:W3CDTF">2024-11-10T08:54:11Z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CEE75F0E42744CB3933A5E20DA2E72FE_12</vt:lpwstr>
  </property>
  <property fmtid="{D5CDD505-2E9C-101B-9397-08002B2CF9AE}" pid="3" name="KSOProductBuildVer">
    <vt:lpwstr>2052-12.1.0.16417</vt:lpwstr>
  </property>
</Properties>
</file>