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作业与资料\经管机\复习资料\08投资模型（含随机数）\"/>
    </mc:Choice>
  </mc:AlternateContent>
  <xr:revisionPtr revIDLastSave="0" documentId="13_ncr:1_{8BDFB16C-DC79-4909-922D-EDFD4D61B971}" xr6:coauthVersionLast="47" xr6:coauthVersionMax="47" xr10:uidLastSave="{00000000-0000-0000-0000-000000000000}"/>
  <bookViews>
    <workbookView xWindow="-110" yWindow="-110" windowWidth="25820" windowHeight="15500" activeTab="3" xr2:uid="{5F5EC9B1-3474-4EC8-8E9C-8AA70C0E8F68}"/>
  </bookViews>
  <sheets>
    <sheet name="1" sheetId="1" r:id="rId1"/>
    <sheet name="2" sheetId="2" r:id="rId2"/>
    <sheet name="3" sheetId="4" r:id="rId3"/>
    <sheet name="4" sheetId="5" r:id="rId4"/>
  </sheets>
  <externalReferences>
    <externalReference r:id="rId5"/>
  </externalReferenc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5" i="5" l="1"/>
  <c r="D21" i="4"/>
  <c r="D20" i="4"/>
  <c r="D19" i="4"/>
  <c r="D23" i="4" l="1"/>
  <c r="I4" i="4" s="1"/>
  <c r="I5" i="4" l="1"/>
  <c r="I6" i="4" s="1"/>
  <c r="I7" i="4" s="1"/>
  <c r="I8" i="4" s="1"/>
  <c r="I9" i="4" s="1"/>
  <c r="I10" i="4" s="1"/>
  <c r="I11" i="4" s="1"/>
  <c r="I12" i="4" s="1"/>
  <c r="I13" i="4" s="1"/>
  <c r="I14" i="4" s="1"/>
  <c r="I15" i="4" s="1"/>
  <c r="I16" i="4" s="1"/>
  <c r="I17" i="4" s="1"/>
  <c r="I18" i="4" s="1"/>
  <c r="I19" i="4" s="1"/>
  <c r="I20" i="4" s="1"/>
  <c r="I21" i="4" s="1"/>
  <c r="I22" i="4" s="1"/>
  <c r="I23" i="4" s="1"/>
  <c r="I24" i="4" s="1"/>
  <c r="I25" i="4" s="1"/>
  <c r="J4" i="4" l="1" a="1"/>
  <c r="K5" i="4" s="1"/>
  <c r="K11" i="4" l="1"/>
  <c r="K24" i="4"/>
  <c r="K25" i="4"/>
  <c r="K23" i="4"/>
  <c r="K22" i="4"/>
  <c r="K20" i="4"/>
  <c r="K19" i="4"/>
  <c r="K18" i="4"/>
  <c r="K13" i="4"/>
  <c r="K7" i="4"/>
  <c r="K6" i="4"/>
  <c r="K17" i="4"/>
  <c r="K16" i="4"/>
  <c r="K15" i="4"/>
  <c r="K14" i="4"/>
  <c r="K12" i="4"/>
  <c r="K10" i="4"/>
  <c r="K9" i="4"/>
  <c r="K8" i="4"/>
  <c r="J4" i="4"/>
  <c r="K4" i="4" s="1"/>
  <c r="L4" i="4" s="1"/>
  <c r="L5" i="4" s="1"/>
  <c r="L6" i="4" s="1"/>
  <c r="L7" i="4" s="1"/>
  <c r="L8" i="4" s="1"/>
  <c r="L9" i="4" s="1"/>
  <c r="L10" i="4" s="1"/>
  <c r="K21" i="4"/>
  <c r="L11" i="4" l="1"/>
  <c r="L12" i="4" s="1"/>
  <c r="L13" i="4" s="1"/>
  <c r="L14" i="4" s="1"/>
  <c r="L15" i="4" s="1"/>
  <c r="L16" i="4" s="1"/>
  <c r="L17" i="4" s="1"/>
  <c r="L18" i="4" s="1"/>
  <c r="L19" i="4" s="1"/>
  <c r="L20" i="4" s="1"/>
  <c r="L21" i="4" s="1"/>
  <c r="L22" i="4" s="1"/>
  <c r="L23" i="4" s="1"/>
  <c r="L24" i="4" s="1"/>
  <c r="L25" i="4" s="1"/>
  <c r="D18" i="4" l="1"/>
  <c r="D12" i="4"/>
  <c r="D15" i="4" s="1"/>
  <c r="G4" i="4" s="1"/>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6" i="2"/>
  <c r="J5" i="2"/>
  <c r="J4" i="2"/>
  <c r="G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N4" i="2"/>
  <c r="M4" i="2"/>
  <c r="I4" i="2"/>
  <c r="F5" i="2"/>
  <c r="H5" i="2" s="1"/>
  <c r="I5" i="2" s="1"/>
  <c r="M5" i="2" s="1"/>
  <c r="C7" i="2"/>
  <c r="V22" i="2"/>
  <c r="T30" i="1"/>
  <c r="T31" i="1"/>
  <c r="T32" i="1"/>
  <c r="T33" i="1"/>
  <c r="T34" i="1"/>
  <c r="T35" i="1"/>
  <c r="T36" i="1"/>
  <c r="T37" i="1"/>
  <c r="T38" i="1"/>
  <c r="T39" i="1"/>
  <c r="T40" i="1"/>
  <c r="T29" i="1"/>
  <c r="DO4" i="1"/>
  <c r="DO5" i="1"/>
  <c r="DO6" i="1"/>
  <c r="DO7" i="1"/>
  <c r="DO8" i="1"/>
  <c r="DO9" i="1"/>
  <c r="DO10" i="1"/>
  <c r="DO11" i="1"/>
  <c r="DO12" i="1"/>
  <c r="DO13" i="1"/>
  <c r="DO3" i="1"/>
  <c r="C17" i="1"/>
  <c r="C18" i="1" s="1"/>
  <c r="O16" i="1" s="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5" i="1"/>
  <c r="F6" i="1"/>
  <c r="F7" i="1"/>
  <c r="T19" i="1"/>
  <c r="T20" i="1" s="1"/>
  <c r="T21" i="1" s="1"/>
  <c r="T22" i="1" s="1"/>
  <c r="T18" i="1"/>
  <c r="M4" i="1"/>
  <c r="C7" i="1"/>
  <c r="I4" i="1"/>
  <c r="G5" i="1" s="1"/>
  <c r="E32" i="5"/>
  <c r="E31" i="5"/>
  <c r="D40" i="5" s="1"/>
  <c r="E30" i="5"/>
  <c r="E29" i="5"/>
  <c r="E16" i="5"/>
  <c r="E14" i="5"/>
  <c r="C20" i="5" s="1"/>
  <c r="L5" i="5"/>
  <c r="L6" i="5" s="1"/>
  <c r="L7" i="5" s="1"/>
  <c r="G6" i="2" l="1"/>
  <c r="N5" i="2"/>
  <c r="K5" i="2"/>
  <c r="L5" i="2" s="1"/>
  <c r="C21" i="1"/>
  <c r="P17" i="1"/>
  <c r="O18" i="1"/>
  <c r="O17" i="1"/>
  <c r="H5" i="1"/>
  <c r="M5" i="1" s="1"/>
  <c r="J5" i="1"/>
  <c r="K15" i="5"/>
  <c r="L15" i="5"/>
  <c r="M15" i="5" s="1"/>
  <c r="K16" i="5"/>
  <c r="L8" i="5"/>
  <c r="L9" i="5" s="1"/>
  <c r="L10" i="5" s="1"/>
  <c r="C21" i="5"/>
  <c r="D20" i="5"/>
  <c r="C22" i="5"/>
  <c r="H6" i="2" l="1"/>
  <c r="K6" i="2"/>
  <c r="L6" i="2" s="1"/>
  <c r="K5" i="1"/>
  <c r="C22" i="1"/>
  <c r="O21" i="1" s="1"/>
  <c r="P22" i="1"/>
  <c r="I5" i="1"/>
  <c r="L5" i="1" s="1"/>
  <c r="C23" i="5"/>
  <c r="E20" i="5"/>
  <c r="D21" i="5"/>
  <c r="D22" i="5"/>
  <c r="L16" i="5"/>
  <c r="M16" i="5" s="1"/>
  <c r="K17" i="5"/>
  <c r="I6" i="2" l="1"/>
  <c r="M6" i="2" s="1"/>
  <c r="N6" i="2"/>
  <c r="O22" i="1"/>
  <c r="O23" i="1"/>
  <c r="G6" i="1"/>
  <c r="J6" i="1" s="1"/>
  <c r="K18" i="5"/>
  <c r="L17" i="5"/>
  <c r="M17" i="5" s="1"/>
  <c r="D23" i="5"/>
  <c r="E22" i="5"/>
  <c r="E21" i="5"/>
  <c r="G7" i="2" l="1"/>
  <c r="K6" i="1"/>
  <c r="H6" i="1"/>
  <c r="M6" i="1" s="1"/>
  <c r="E23" i="5"/>
  <c r="E26" i="5" s="1"/>
  <c r="H4" i="5" s="1"/>
  <c r="L18" i="5"/>
  <c r="M18" i="5" s="1"/>
  <c r="K19" i="5"/>
  <c r="H7" i="2" l="1"/>
  <c r="K7" i="2"/>
  <c r="L7" i="2" s="1"/>
  <c r="I6" i="1"/>
  <c r="L6" i="1" s="1"/>
  <c r="K20" i="5"/>
  <c r="L19" i="5"/>
  <c r="M19" i="5" s="1"/>
  <c r="I7" i="2" l="1"/>
  <c r="M7" i="2" s="1"/>
  <c r="N7" i="2"/>
  <c r="G7" i="1"/>
  <c r="H7" i="1" s="1"/>
  <c r="M7" i="1" s="1"/>
  <c r="K21" i="5"/>
  <c r="L20" i="5"/>
  <c r="M20" i="5" s="1"/>
  <c r="G8" i="2" l="1"/>
  <c r="H8" i="2" s="1"/>
  <c r="J7" i="1"/>
  <c r="I7" i="1"/>
  <c r="L7" i="1" s="1"/>
  <c r="K22" i="5"/>
  <c r="L21" i="5"/>
  <c r="M21" i="5" s="1"/>
  <c r="K8" i="2" l="1"/>
  <c r="L8" i="2" s="1"/>
  <c r="I8" i="2"/>
  <c r="M8" i="2" s="1"/>
  <c r="N8" i="2"/>
  <c r="K7" i="1"/>
  <c r="G8" i="1"/>
  <c r="J8" i="1" s="1"/>
  <c r="K8" i="1" s="1"/>
  <c r="L22" i="5"/>
  <c r="M22" i="5" s="1"/>
  <c r="K23" i="5"/>
  <c r="G9" i="2" l="1"/>
  <c r="H9" i="2" s="1"/>
  <c r="H8" i="1"/>
  <c r="L23" i="5"/>
  <c r="M23" i="5" s="1"/>
  <c r="K24" i="5"/>
  <c r="K9" i="2" l="1"/>
  <c r="L9" i="2" s="1"/>
  <c r="I9" i="2"/>
  <c r="M9" i="2" s="1"/>
  <c r="N9" i="2"/>
  <c r="I8" i="1"/>
  <c r="L8" i="1" s="1"/>
  <c r="M8" i="1"/>
  <c r="K25" i="5"/>
  <c r="L24" i="5"/>
  <c r="M24" i="5" s="1"/>
  <c r="G10" i="2" l="1"/>
  <c r="H10" i="2" s="1"/>
  <c r="G9" i="1"/>
  <c r="K26" i="5"/>
  <c r="L25" i="5"/>
  <c r="M25" i="5" s="1"/>
  <c r="K10" i="2" l="1"/>
  <c r="L10" i="2" s="1"/>
  <c r="I10" i="2"/>
  <c r="M10" i="2" s="1"/>
  <c r="N10" i="2"/>
  <c r="J9" i="1"/>
  <c r="H9" i="1"/>
  <c r="K27" i="5"/>
  <c r="L26" i="5"/>
  <c r="M26" i="5" s="1"/>
  <c r="G11" i="2" l="1"/>
  <c r="H11" i="2" s="1"/>
  <c r="K9" i="1"/>
  <c r="M9" i="1"/>
  <c r="I9" i="1"/>
  <c r="L9" i="1" s="1"/>
  <c r="L27" i="5"/>
  <c r="M27" i="5" s="1"/>
  <c r="K28" i="5"/>
  <c r="K11" i="2" l="1"/>
  <c r="L11" i="2" s="1"/>
  <c r="I11" i="2"/>
  <c r="M11" i="2" s="1"/>
  <c r="N11" i="2"/>
  <c r="G10" i="1"/>
  <c r="J10" i="1" s="1"/>
  <c r="K10" i="1" s="1"/>
  <c r="L28" i="5"/>
  <c r="M28" i="5" s="1"/>
  <c r="C36" i="5" a="1"/>
  <c r="C36" i="5" s="1"/>
  <c r="K29" i="5"/>
  <c r="G12" i="2" l="1"/>
  <c r="H12" i="2" s="1"/>
  <c r="H10" i="1"/>
  <c r="M10" i="1" s="1"/>
  <c r="L29" i="5"/>
  <c r="M29" i="5" s="1"/>
  <c r="K30" i="5"/>
  <c r="C50" i="5"/>
  <c r="D49" i="5"/>
  <c r="C49" i="5"/>
  <c r="C45" i="5"/>
  <c r="C44" i="5"/>
  <c r="C37" i="5"/>
  <c r="D44" i="5" s="1"/>
  <c r="C48" i="5"/>
  <c r="C43" i="5"/>
  <c r="K12" i="2" l="1"/>
  <c r="L12" i="2" s="1"/>
  <c r="I12" i="2"/>
  <c r="M12" i="2" s="1"/>
  <c r="N12" i="2"/>
  <c r="I10" i="1"/>
  <c r="L10" i="1" s="1"/>
  <c r="L30" i="5"/>
  <c r="M30" i="5" s="1"/>
  <c r="K31" i="5"/>
  <c r="G13" i="2" l="1"/>
  <c r="H13" i="2" s="1"/>
  <c r="G11" i="1"/>
  <c r="J11" i="1" s="1"/>
  <c r="K11" i="1" s="1"/>
  <c r="K32" i="5"/>
  <c r="L31" i="5"/>
  <c r="M31" i="5" s="1"/>
  <c r="K13" i="2" l="1"/>
  <c r="L13" i="2" s="1"/>
  <c r="I13" i="2"/>
  <c r="M13" i="2" s="1"/>
  <c r="N13" i="2"/>
  <c r="H11" i="1"/>
  <c r="M11" i="1" s="1"/>
  <c r="L32" i="5"/>
  <c r="M32" i="5" s="1"/>
  <c r="K33" i="5"/>
  <c r="G14" i="2" l="1"/>
  <c r="H14" i="2" s="1"/>
  <c r="I11" i="1"/>
  <c r="L11" i="1" s="1"/>
  <c r="K34" i="5"/>
  <c r="L33" i="5"/>
  <c r="M33" i="5" s="1"/>
  <c r="K14" i="2" l="1"/>
  <c r="L14" i="2" s="1"/>
  <c r="I14" i="2"/>
  <c r="M14" i="2" s="1"/>
  <c r="N14" i="2"/>
  <c r="G12" i="1"/>
  <c r="J12" i="1" s="1"/>
  <c r="K12" i="1" s="1"/>
  <c r="L34" i="5"/>
  <c r="M34" i="5" s="1"/>
  <c r="K35" i="5"/>
  <c r="G15" i="2" l="1"/>
  <c r="H15" i="2" s="1"/>
  <c r="H12" i="1"/>
  <c r="M12" i="1" s="1"/>
  <c r="K36" i="5"/>
  <c r="L35" i="5"/>
  <c r="M35" i="5" s="1"/>
  <c r="K15" i="2" l="1"/>
  <c r="L15" i="2" s="1"/>
  <c r="I15" i="2"/>
  <c r="M15" i="2" s="1"/>
  <c r="N15" i="2"/>
  <c r="I12" i="1"/>
  <c r="L12" i="1" s="1"/>
  <c r="L36" i="5"/>
  <c r="M36" i="5" s="1"/>
  <c r="K37" i="5"/>
  <c r="G16" i="2" l="1"/>
  <c r="H16" i="2" s="1"/>
  <c r="G13" i="1"/>
  <c r="H13" i="1" s="1"/>
  <c r="M13" i="1" s="1"/>
  <c r="K38" i="5"/>
  <c r="L37" i="5"/>
  <c r="M37" i="5" s="1"/>
  <c r="K16" i="2" l="1"/>
  <c r="L16" i="2" s="1"/>
  <c r="I16" i="2"/>
  <c r="M16" i="2" s="1"/>
  <c r="N16" i="2"/>
  <c r="I13" i="1"/>
  <c r="L13" i="1" s="1"/>
  <c r="J13" i="1"/>
  <c r="K13" i="1" s="1"/>
  <c r="L38" i="5"/>
  <c r="M38" i="5" s="1"/>
  <c r="K39" i="5"/>
  <c r="G17" i="2" l="1"/>
  <c r="H17" i="2" s="1"/>
  <c r="G14" i="1"/>
  <c r="H14" i="1" s="1"/>
  <c r="M14" i="1" s="1"/>
  <c r="L39" i="5"/>
  <c r="M39" i="5" s="1"/>
  <c r="K40" i="5"/>
  <c r="K17" i="2" l="1"/>
  <c r="L17" i="2" s="1"/>
  <c r="I17" i="2"/>
  <c r="M17" i="2" s="1"/>
  <c r="N17" i="2"/>
  <c r="J14" i="1"/>
  <c r="K14" i="1" s="1"/>
  <c r="I14" i="1"/>
  <c r="L14" i="1" s="1"/>
  <c r="K41" i="5"/>
  <c r="L40" i="5"/>
  <c r="M40" i="5" s="1"/>
  <c r="G18" i="2" l="1"/>
  <c r="H18" i="2" s="1"/>
  <c r="G15" i="1"/>
  <c r="H15" i="1" s="1"/>
  <c r="L41" i="5"/>
  <c r="M41" i="5" s="1"/>
  <c r="K42" i="5"/>
  <c r="K18" i="2" l="1"/>
  <c r="L18" i="2" s="1"/>
  <c r="I18" i="2"/>
  <c r="M18" i="2" s="1"/>
  <c r="N18" i="2"/>
  <c r="J15" i="1"/>
  <c r="K15" i="1" s="1"/>
  <c r="M15" i="1"/>
  <c r="I15" i="1"/>
  <c r="L15" i="1" s="1"/>
  <c r="K43" i="5"/>
  <c r="L42" i="5"/>
  <c r="M42" i="5" s="1"/>
  <c r="G19" i="2" l="1"/>
  <c r="H19" i="2" s="1"/>
  <c r="G16" i="1"/>
  <c r="H16" i="1" s="1"/>
  <c r="L43" i="5"/>
  <c r="M43" i="5" s="1"/>
  <c r="K44" i="5"/>
  <c r="K19" i="2" l="1"/>
  <c r="L19" i="2" s="1"/>
  <c r="I19" i="2"/>
  <c r="M19" i="2" s="1"/>
  <c r="N19" i="2"/>
  <c r="J16" i="1"/>
  <c r="K16" i="1" s="1"/>
  <c r="M16" i="1"/>
  <c r="I16" i="1"/>
  <c r="L16" i="1" s="1"/>
  <c r="K45" i="5"/>
  <c r="L44" i="5"/>
  <c r="M44" i="5" s="1"/>
  <c r="G20" i="2" l="1"/>
  <c r="H20" i="2" s="1"/>
  <c r="G17" i="1"/>
  <c r="H17" i="1" s="1"/>
  <c r="K46" i="5"/>
  <c r="L46" i="5" s="1"/>
  <c r="M46" i="5" s="1"/>
  <c r="L45" i="5"/>
  <c r="M45" i="5" s="1"/>
  <c r="K20" i="2" l="1"/>
  <c r="L20" i="2" s="1"/>
  <c r="I20" i="2"/>
  <c r="M20" i="2" s="1"/>
  <c r="N20" i="2"/>
  <c r="J17" i="1"/>
  <c r="K17" i="1" s="1"/>
  <c r="M17" i="1"/>
  <c r="I17" i="1"/>
  <c r="L17" i="1" s="1"/>
  <c r="G21" i="2" l="1"/>
  <c r="H21" i="2" s="1"/>
  <c r="G18" i="1"/>
  <c r="J18" i="1" s="1"/>
  <c r="K18" i="1" s="1"/>
  <c r="K21" i="2" l="1"/>
  <c r="L21" i="2" s="1"/>
  <c r="I21" i="2"/>
  <c r="M21" i="2" s="1"/>
  <c r="N21" i="2"/>
  <c r="H18" i="1"/>
  <c r="M18" i="1" s="1"/>
  <c r="B370" i="2"/>
  <c r="B369" i="2"/>
  <c r="B368" i="2"/>
  <c r="V20" i="2"/>
  <c r="V21" i="2" s="1"/>
  <c r="V18" i="2"/>
  <c r="V19" i="2" s="1"/>
  <c r="C6" i="2"/>
  <c r="H4" i="2"/>
  <c r="G22" i="2" l="1"/>
  <c r="K22" i="2" s="1"/>
  <c r="L22" i="2" s="1"/>
  <c r="I18" i="1"/>
  <c r="L18" i="1" s="1"/>
  <c r="H4" i="1"/>
  <c r="H22" i="2" l="1"/>
  <c r="I22" i="2" s="1"/>
  <c r="M22" i="2" s="1"/>
  <c r="G19" i="1"/>
  <c r="H19" i="1" s="1"/>
  <c r="N22" i="2" l="1"/>
  <c r="G23" i="2"/>
  <c r="H23" i="2" s="1"/>
  <c r="J19" i="1"/>
  <c r="K19" i="1" s="1"/>
  <c r="M19" i="1"/>
  <c r="I19" i="1"/>
  <c r="L19" i="1" s="1"/>
  <c r="K23" i="2" l="1"/>
  <c r="L23" i="2" s="1"/>
  <c r="I23" i="2"/>
  <c r="M23" i="2" s="1"/>
  <c r="N23" i="2"/>
  <c r="G20" i="1"/>
  <c r="J20" i="1" s="1"/>
  <c r="K20" i="1" s="1"/>
  <c r="G24" i="2" l="1"/>
  <c r="H24" i="2" s="1"/>
  <c r="H20" i="1"/>
  <c r="M20" i="1" s="1"/>
  <c r="K24" i="2" l="1"/>
  <c r="L24" i="2" s="1"/>
  <c r="I24" i="2"/>
  <c r="M24" i="2" s="1"/>
  <c r="N24" i="2"/>
  <c r="I20" i="1"/>
  <c r="L20" i="1" s="1"/>
  <c r="G25" i="2" l="1"/>
  <c r="G21" i="1"/>
  <c r="J21" i="1" s="1"/>
  <c r="K21" i="1" s="1"/>
  <c r="H25" i="2" l="1"/>
  <c r="K25" i="2"/>
  <c r="L25" i="2" s="1"/>
  <c r="H21" i="1"/>
  <c r="M21" i="1" s="1"/>
  <c r="I25" i="2" l="1"/>
  <c r="M25" i="2" s="1"/>
  <c r="N25" i="2"/>
  <c r="I21" i="1"/>
  <c r="L21" i="1" s="1"/>
  <c r="G26" i="2" l="1"/>
  <c r="H26" i="2" s="1"/>
  <c r="G22" i="1"/>
  <c r="J22" i="1" s="1"/>
  <c r="K22" i="1" s="1"/>
  <c r="K26" i="2" l="1"/>
  <c r="L26" i="2" s="1"/>
  <c r="I26" i="2"/>
  <c r="M26" i="2" s="1"/>
  <c r="N26" i="2"/>
  <c r="H22" i="1"/>
  <c r="M22" i="1" s="1"/>
  <c r="G27" i="2" l="1"/>
  <c r="H27" i="2" s="1"/>
  <c r="I22" i="1"/>
  <c r="L22" i="1" s="1"/>
  <c r="K27" i="2" l="1"/>
  <c r="L27" i="2" s="1"/>
  <c r="I27" i="2"/>
  <c r="M27" i="2" s="1"/>
  <c r="N27" i="2"/>
  <c r="G23" i="1"/>
  <c r="H23" i="1" s="1"/>
  <c r="M23" i="1" s="1"/>
  <c r="G28" i="2" l="1"/>
  <c r="H28" i="2" s="1"/>
  <c r="I23" i="1"/>
  <c r="L23" i="1" s="1"/>
  <c r="J23" i="1"/>
  <c r="K23" i="1" s="1"/>
  <c r="K28" i="2" l="1"/>
  <c r="L28" i="2" s="1"/>
  <c r="G24" i="1"/>
  <c r="H24" i="1" s="1"/>
  <c r="I28" i="2"/>
  <c r="M28" i="2" s="1"/>
  <c r="N28" i="2"/>
  <c r="J24" i="1" l="1"/>
  <c r="K24" i="1" s="1"/>
  <c r="G29" i="2"/>
  <c r="H29" i="2" s="1"/>
  <c r="M24" i="1"/>
  <c r="I24" i="1"/>
  <c r="L24" i="1" s="1"/>
  <c r="K29" i="2" l="1"/>
  <c r="L29" i="2" s="1"/>
  <c r="I29" i="2"/>
  <c r="M29" i="2" s="1"/>
  <c r="N29" i="2"/>
  <c r="G25" i="1"/>
  <c r="G30" i="2" l="1"/>
  <c r="H25" i="1"/>
  <c r="J25" i="1"/>
  <c r="K25" i="1" s="1"/>
  <c r="H30" i="2" l="1"/>
  <c r="K30" i="2"/>
  <c r="L30" i="2" s="1"/>
  <c r="M25" i="1"/>
  <c r="I25" i="1"/>
  <c r="L25" i="1" s="1"/>
  <c r="I30" i="2" l="1"/>
  <c r="M30" i="2" s="1"/>
  <c r="N30" i="2"/>
  <c r="G26" i="1"/>
  <c r="G31" i="2" l="1"/>
  <c r="H31" i="2" s="1"/>
  <c r="J26" i="1"/>
  <c r="K26" i="1" s="1"/>
  <c r="H26" i="1"/>
  <c r="K31" i="2" l="1"/>
  <c r="L31" i="2" s="1"/>
  <c r="I31" i="2"/>
  <c r="M31" i="2" s="1"/>
  <c r="N31" i="2"/>
  <c r="M26" i="1"/>
  <c r="I26" i="1"/>
  <c r="L26" i="1" s="1"/>
  <c r="G32" i="2" l="1"/>
  <c r="H32" i="2" s="1"/>
  <c r="G27" i="1"/>
  <c r="H27" i="1" s="1"/>
  <c r="K32" i="2" l="1"/>
  <c r="L32" i="2" s="1"/>
  <c r="I32" i="2"/>
  <c r="M32" i="2" s="1"/>
  <c r="N32" i="2"/>
  <c r="J27" i="1"/>
  <c r="K27" i="1" s="1"/>
  <c r="M27" i="1"/>
  <c r="I27" i="1"/>
  <c r="L27" i="1" s="1"/>
  <c r="G33" i="2" l="1"/>
  <c r="H33" i="2" s="1"/>
  <c r="G28" i="1"/>
  <c r="H28" i="1" s="1"/>
  <c r="K33" i="2" l="1"/>
  <c r="L33" i="2" s="1"/>
  <c r="I33" i="2"/>
  <c r="M33" i="2" s="1"/>
  <c r="N33" i="2"/>
  <c r="J28" i="1"/>
  <c r="K28" i="1" s="1"/>
  <c r="M28" i="1"/>
  <c r="I28" i="1"/>
  <c r="L28" i="1" s="1"/>
  <c r="G34" i="2" l="1"/>
  <c r="H34" i="2" s="1"/>
  <c r="G29" i="1"/>
  <c r="H29" i="1" s="1"/>
  <c r="K34" i="2" l="1"/>
  <c r="L34" i="2" s="1"/>
  <c r="I34" i="2"/>
  <c r="M34" i="2" s="1"/>
  <c r="N34" i="2"/>
  <c r="J29" i="1"/>
  <c r="K29" i="1" s="1"/>
  <c r="M29" i="1"/>
  <c r="I29" i="1"/>
  <c r="L29" i="1" s="1"/>
  <c r="G35" i="2" l="1"/>
  <c r="H35" i="2" s="1"/>
  <c r="G30" i="1"/>
  <c r="H30" i="1" s="1"/>
  <c r="K35" i="2" l="1"/>
  <c r="L35" i="2" s="1"/>
  <c r="I35" i="2"/>
  <c r="M35" i="2" s="1"/>
  <c r="N35" i="2"/>
  <c r="J30" i="1"/>
  <c r="K30" i="1" s="1"/>
  <c r="M30" i="1"/>
  <c r="I30" i="1"/>
  <c r="L30" i="1" s="1"/>
  <c r="G36" i="2" l="1"/>
  <c r="H36" i="2" s="1"/>
  <c r="G31" i="1"/>
  <c r="J31" i="1" s="1"/>
  <c r="K31" i="1" s="1"/>
  <c r="K36" i="2" l="1"/>
  <c r="L36" i="2" s="1"/>
  <c r="I36" i="2"/>
  <c r="M36" i="2" s="1"/>
  <c r="N36" i="2"/>
  <c r="H31" i="1"/>
  <c r="I31" i="1" s="1"/>
  <c r="L31" i="1" s="1"/>
  <c r="G37" i="2" l="1"/>
  <c r="H37" i="2" s="1"/>
  <c r="M31" i="1"/>
  <c r="G32" i="1"/>
  <c r="H32" i="1" s="1"/>
  <c r="K37" i="2" l="1"/>
  <c r="L37" i="2" s="1"/>
  <c r="I37" i="2"/>
  <c r="M37" i="2" s="1"/>
  <c r="N37" i="2"/>
  <c r="J32" i="1"/>
  <c r="K32" i="1" s="1"/>
  <c r="M32" i="1"/>
  <c r="I32" i="1"/>
  <c r="L32" i="1" s="1"/>
  <c r="G38" i="2" l="1"/>
  <c r="H38" i="2" s="1"/>
  <c r="G33" i="1"/>
  <c r="H33" i="1" s="1"/>
  <c r="K38" i="2" l="1"/>
  <c r="L38" i="2" s="1"/>
  <c r="I38" i="2"/>
  <c r="M38" i="2" s="1"/>
  <c r="N38" i="2"/>
  <c r="J33" i="1"/>
  <c r="K33" i="1" s="1"/>
  <c r="M33" i="1"/>
  <c r="I33" i="1"/>
  <c r="L33" i="1" s="1"/>
  <c r="G39" i="2" l="1"/>
  <c r="K39" i="2" s="1"/>
  <c r="L39" i="2" s="1"/>
  <c r="G34" i="1"/>
  <c r="H39" i="2" l="1"/>
  <c r="I39" i="2" s="1"/>
  <c r="M39" i="2" s="1"/>
  <c r="J34" i="1"/>
  <c r="K34" i="1" s="1"/>
  <c r="H34" i="1"/>
  <c r="N39" i="2" l="1"/>
  <c r="G40" i="2"/>
  <c r="H40" i="2" s="1"/>
  <c r="I34" i="1"/>
  <c r="L34" i="1" s="1"/>
  <c r="M34" i="1"/>
  <c r="K40" i="2" l="1"/>
  <c r="L40" i="2" s="1"/>
  <c r="I40" i="2"/>
  <c r="M40" i="2" s="1"/>
  <c r="N40" i="2"/>
  <c r="G35" i="1"/>
  <c r="G41" i="2" l="1"/>
  <c r="H41" i="2" s="1"/>
  <c r="J35" i="1"/>
  <c r="K35" i="1" s="1"/>
  <c r="H35" i="1"/>
  <c r="K41" i="2" l="1"/>
  <c r="L41" i="2" s="1"/>
  <c r="I41" i="2"/>
  <c r="M41" i="2" s="1"/>
  <c r="N41" i="2"/>
  <c r="M35" i="1"/>
  <c r="I35" i="1"/>
  <c r="L35" i="1" s="1"/>
  <c r="G42" i="2" l="1"/>
  <c r="H42" i="2" s="1"/>
  <c r="G36" i="1"/>
  <c r="J36" i="1" s="1"/>
  <c r="K36" i="1" s="1"/>
  <c r="K42" i="2" l="1"/>
  <c r="L42" i="2" s="1"/>
  <c r="I42" i="2"/>
  <c r="M42" i="2" s="1"/>
  <c r="N42" i="2"/>
  <c r="H36" i="1"/>
  <c r="M36" i="1" s="1"/>
  <c r="G43" i="2" l="1"/>
  <c r="I36" i="1"/>
  <c r="L36" i="1" s="1"/>
  <c r="H43" i="2" l="1"/>
  <c r="K43" i="2"/>
  <c r="L43" i="2" s="1"/>
  <c r="G37" i="1"/>
  <c r="H37" i="1" s="1"/>
  <c r="I43" i="2" l="1"/>
  <c r="M43" i="2" s="1"/>
  <c r="N43" i="2"/>
  <c r="J37" i="1"/>
  <c r="K37" i="1" s="1"/>
  <c r="M37" i="1"/>
  <c r="I37" i="1"/>
  <c r="L37" i="1" s="1"/>
  <c r="G44" i="2" l="1"/>
  <c r="H44" i="2" s="1"/>
  <c r="G38" i="1"/>
  <c r="J38" i="1" s="1"/>
  <c r="K38" i="1" s="1"/>
  <c r="K44" i="2" l="1"/>
  <c r="L44" i="2" s="1"/>
  <c r="I44" i="2"/>
  <c r="M44" i="2" s="1"/>
  <c r="N44" i="2"/>
  <c r="H38" i="1"/>
  <c r="M38" i="1" s="1"/>
  <c r="G45" i="2" l="1"/>
  <c r="H45" i="2" s="1"/>
  <c r="I38" i="1"/>
  <c r="L38" i="1" s="1"/>
  <c r="K45" i="2" l="1"/>
  <c r="L45" i="2" s="1"/>
  <c r="I45" i="2"/>
  <c r="M45" i="2" s="1"/>
  <c r="N45" i="2"/>
  <c r="G39" i="1"/>
  <c r="J39" i="1" s="1"/>
  <c r="K39" i="1" s="1"/>
  <c r="G46" i="2" l="1"/>
  <c r="H46" i="2" s="1"/>
  <c r="H39" i="1"/>
  <c r="M39" i="1" s="1"/>
  <c r="K46" i="2" l="1"/>
  <c r="L46" i="2" s="1"/>
  <c r="I46" i="2"/>
  <c r="M46" i="2" s="1"/>
  <c r="N46" i="2"/>
  <c r="I39" i="1"/>
  <c r="L39" i="1" s="1"/>
  <c r="G47" i="2" l="1"/>
  <c r="H47" i="2" s="1"/>
  <c r="G40" i="1"/>
  <c r="H40" i="1" s="1"/>
  <c r="K47" i="2" l="1"/>
  <c r="L47" i="2" s="1"/>
  <c r="I47" i="2"/>
  <c r="M47" i="2" s="1"/>
  <c r="N47" i="2"/>
  <c r="J40" i="1"/>
  <c r="K40" i="1" s="1"/>
  <c r="I40" i="1"/>
  <c r="M40" i="1"/>
  <c r="G48" i="2" l="1"/>
  <c r="H48" i="2" s="1"/>
  <c r="L40" i="1"/>
  <c r="G41" i="1"/>
  <c r="K48" i="2" l="1"/>
  <c r="L48" i="2" s="1"/>
  <c r="I48" i="2"/>
  <c r="M48" i="2" s="1"/>
  <c r="N48" i="2"/>
  <c r="H41" i="1"/>
  <c r="J41" i="1"/>
  <c r="K41" i="1" s="1"/>
  <c r="G49" i="2" l="1"/>
  <c r="H49" i="2" s="1"/>
  <c r="I41" i="1"/>
  <c r="L41" i="1" s="1"/>
  <c r="M41" i="1"/>
  <c r="K49" i="2" l="1"/>
  <c r="L49" i="2" s="1"/>
  <c r="I49" i="2"/>
  <c r="M49" i="2" s="1"/>
  <c r="N49" i="2"/>
  <c r="G42" i="1"/>
  <c r="J42" i="1" s="1"/>
  <c r="K42" i="1" s="1"/>
  <c r="G50" i="2" l="1"/>
  <c r="K50" i="2" s="1"/>
  <c r="L50" i="2" s="1"/>
  <c r="H42" i="1"/>
  <c r="I42" i="1" s="1"/>
  <c r="L42" i="1" s="1"/>
  <c r="H50" i="2" l="1"/>
  <c r="N50" i="2" s="1"/>
  <c r="M42" i="1"/>
  <c r="G43" i="1"/>
  <c r="J43" i="1" s="1"/>
  <c r="K43" i="1" s="1"/>
  <c r="I50" i="2" l="1"/>
  <c r="M50" i="2" s="1"/>
  <c r="H43" i="1"/>
  <c r="M43" i="1" s="1"/>
  <c r="G51" i="2" l="1"/>
  <c r="K51" i="2" s="1"/>
  <c r="L51" i="2" s="1"/>
  <c r="I43" i="1"/>
  <c r="L43" i="1" s="1"/>
  <c r="H51" i="2" l="1"/>
  <c r="N51" i="2" s="1"/>
  <c r="G44" i="1"/>
  <c r="I51" i="2" l="1"/>
  <c r="M51" i="2" s="1"/>
  <c r="H44" i="1"/>
  <c r="J44" i="1"/>
  <c r="K44" i="1" s="1"/>
  <c r="G52" i="2" l="1"/>
  <c r="K52" i="2" s="1"/>
  <c r="L52" i="2" s="1"/>
  <c r="I44" i="1"/>
  <c r="M44" i="1"/>
  <c r="H52" i="2" l="1"/>
  <c r="N52" i="2" s="1"/>
  <c r="L44" i="1"/>
  <c r="G45" i="1"/>
  <c r="I52" i="2" l="1"/>
  <c r="M52" i="2" s="1"/>
  <c r="H45" i="1"/>
  <c r="J45" i="1"/>
  <c r="K45" i="1" s="1"/>
  <c r="G53" i="2" l="1"/>
  <c r="K53" i="2" s="1"/>
  <c r="L53" i="2" s="1"/>
  <c r="I45" i="1"/>
  <c r="L45" i="1" s="1"/>
  <c r="M45" i="1"/>
  <c r="H53" i="2" l="1"/>
  <c r="N53" i="2" s="1"/>
  <c r="G46" i="1"/>
  <c r="J46" i="1" s="1"/>
  <c r="K46" i="1" s="1"/>
  <c r="I53" i="2" l="1"/>
  <c r="M53" i="2" s="1"/>
  <c r="H46" i="1"/>
  <c r="M46" i="1" s="1"/>
  <c r="G54" i="2" l="1"/>
  <c r="H54" i="2" s="1"/>
  <c r="I46" i="1"/>
  <c r="L46" i="1" s="1"/>
  <c r="K54" i="2" l="1"/>
  <c r="L54" i="2" s="1"/>
  <c r="N54" i="2"/>
  <c r="I54" i="2"/>
  <c r="M54" i="2" s="1"/>
  <c r="G47" i="1"/>
  <c r="H47" i="1" s="1"/>
  <c r="G55" i="2" l="1"/>
  <c r="J47" i="1"/>
  <c r="K47" i="1" s="1"/>
  <c r="I47" i="1"/>
  <c r="M47" i="1"/>
  <c r="K55" i="2" l="1"/>
  <c r="L55" i="2" s="1"/>
  <c r="H55" i="2"/>
  <c r="G48" i="1"/>
  <c r="L47" i="1"/>
  <c r="N55" i="2" l="1"/>
  <c r="I55" i="2"/>
  <c r="M55" i="2" s="1"/>
  <c r="H48" i="1"/>
  <c r="J48" i="1"/>
  <c r="K48" i="1" s="1"/>
  <c r="G56" i="2" l="1"/>
  <c r="I48" i="1"/>
  <c r="M48" i="1"/>
  <c r="K56" i="2" l="1"/>
  <c r="L56" i="2" s="1"/>
  <c r="H56" i="2"/>
  <c r="L48" i="1"/>
  <c r="G49" i="1"/>
  <c r="N56" i="2" l="1"/>
  <c r="I56" i="2"/>
  <c r="M56" i="2" s="1"/>
  <c r="J49" i="1"/>
  <c r="K49" i="1" s="1"/>
  <c r="H49" i="1"/>
  <c r="G57" i="2" l="1"/>
  <c r="M49" i="1"/>
  <c r="I49" i="1"/>
  <c r="L49" i="1" s="1"/>
  <c r="K57" i="2" l="1"/>
  <c r="L57" i="2" s="1"/>
  <c r="H57" i="2"/>
  <c r="G50" i="1"/>
  <c r="N57" i="2" l="1"/>
  <c r="I57" i="2"/>
  <c r="M57" i="2" s="1"/>
  <c r="J50" i="1"/>
  <c r="K50" i="1" s="1"/>
  <c r="H50" i="1"/>
  <c r="G58" i="2" l="1"/>
  <c r="M50" i="1"/>
  <c r="I50" i="1"/>
  <c r="L50" i="1" s="1"/>
  <c r="K58" i="2" l="1"/>
  <c r="L58" i="2" s="1"/>
  <c r="H58" i="2"/>
  <c r="G51" i="1"/>
  <c r="J51" i="1" s="1"/>
  <c r="K51" i="1" s="1"/>
  <c r="I58" i="2" l="1"/>
  <c r="M58" i="2" s="1"/>
  <c r="N58" i="2"/>
  <c r="H51" i="1"/>
  <c r="I51" i="1" s="1"/>
  <c r="L51" i="1" s="1"/>
  <c r="G59" i="2" l="1"/>
  <c r="M51" i="1"/>
  <c r="G52" i="1"/>
  <c r="H52" i="1" s="1"/>
  <c r="K59" i="2" l="1"/>
  <c r="L59" i="2" s="1"/>
  <c r="H59" i="2"/>
  <c r="J52" i="1"/>
  <c r="K52" i="1" s="1"/>
  <c r="I52" i="1"/>
  <c r="L52" i="1" s="1"/>
  <c r="M52" i="1"/>
  <c r="I59" i="2" l="1"/>
  <c r="M59" i="2" s="1"/>
  <c r="N59" i="2"/>
  <c r="G53" i="1"/>
  <c r="H53" i="1" s="1"/>
  <c r="G60" i="2" l="1"/>
  <c r="K60" i="2" s="1"/>
  <c r="L60" i="2" s="1"/>
  <c r="J53" i="1"/>
  <c r="K53" i="1" s="1"/>
  <c r="I53" i="1"/>
  <c r="L53" i="1" s="1"/>
  <c r="M53" i="1"/>
  <c r="H60" i="2" l="1"/>
  <c r="I60" i="2" s="1"/>
  <c r="M60" i="2" s="1"/>
  <c r="G54" i="1"/>
  <c r="H54" i="1" s="1"/>
  <c r="N60" i="2" l="1"/>
  <c r="G61" i="2"/>
  <c r="J54" i="1"/>
  <c r="K54" i="1" s="1"/>
  <c r="M54" i="1"/>
  <c r="I54" i="1"/>
  <c r="L54" i="1" s="1"/>
  <c r="K61" i="2" l="1"/>
  <c r="L61" i="2" s="1"/>
  <c r="H61" i="2"/>
  <c r="G55" i="1"/>
  <c r="J55" i="1" s="1"/>
  <c r="K55" i="1" s="1"/>
  <c r="I61" i="2" l="1"/>
  <c r="M61" i="2" s="1"/>
  <c r="N61" i="2"/>
  <c r="H55" i="1"/>
  <c r="M55" i="1" s="1"/>
  <c r="G62" i="2" l="1"/>
  <c r="I55" i="1"/>
  <c r="L55" i="1" s="1"/>
  <c r="K62" i="2" l="1"/>
  <c r="L62" i="2" s="1"/>
  <c r="H62" i="2"/>
  <c r="G56" i="1"/>
  <c r="H56" i="1" s="1"/>
  <c r="I62" i="2" l="1"/>
  <c r="M62" i="2" s="1"/>
  <c r="N62" i="2"/>
  <c r="J56" i="1"/>
  <c r="K56" i="1" s="1"/>
  <c r="I56" i="1"/>
  <c r="L56" i="1" s="1"/>
  <c r="M56" i="1"/>
  <c r="G63" i="2" l="1"/>
  <c r="G57" i="1"/>
  <c r="J57" i="1" s="1"/>
  <c r="K57" i="1" s="1"/>
  <c r="K63" i="2" l="1"/>
  <c r="L63" i="2" s="1"/>
  <c r="H63" i="2"/>
  <c r="H57" i="1"/>
  <c r="I57" i="1" s="1"/>
  <c r="L57" i="1" s="1"/>
  <c r="I63" i="2" l="1"/>
  <c r="M63" i="2" s="1"/>
  <c r="N63" i="2"/>
  <c r="M57" i="1"/>
  <c r="G58" i="1"/>
  <c r="J58" i="1" s="1"/>
  <c r="K58" i="1" s="1"/>
  <c r="G64" i="2" l="1"/>
  <c r="H58" i="1"/>
  <c r="I58" i="1" s="1"/>
  <c r="L58" i="1" s="1"/>
  <c r="M58" i="1" l="1"/>
  <c r="K64" i="2"/>
  <c r="L64" i="2" s="1"/>
  <c r="H64" i="2"/>
  <c r="G59" i="1"/>
  <c r="I64" i="2" l="1"/>
  <c r="M64" i="2" s="1"/>
  <c r="N64" i="2"/>
  <c r="H59" i="1"/>
  <c r="J59" i="1"/>
  <c r="K59" i="1" s="1"/>
  <c r="G65" i="2" l="1"/>
  <c r="I59" i="1"/>
  <c r="M59" i="1"/>
  <c r="K65" i="2" l="1"/>
  <c r="L65" i="2" s="1"/>
  <c r="H65" i="2"/>
  <c r="L59" i="1"/>
  <c r="G60" i="1"/>
  <c r="I65" i="2" l="1"/>
  <c r="M65" i="2" s="1"/>
  <c r="N65" i="2"/>
  <c r="J60" i="1"/>
  <c r="K60" i="1" s="1"/>
  <c r="H60" i="1"/>
  <c r="G66" i="2" l="1"/>
  <c r="M60" i="1"/>
  <c r="I60" i="1"/>
  <c r="K66" i="2" l="1"/>
  <c r="L66" i="2" s="1"/>
  <c r="H66" i="2"/>
  <c r="L60" i="1"/>
  <c r="G61" i="1"/>
  <c r="I66" i="2" l="1"/>
  <c r="M66" i="2" s="1"/>
  <c r="N66" i="2"/>
  <c r="J61" i="1"/>
  <c r="K61" i="1" s="1"/>
  <c r="H61" i="1"/>
  <c r="G67" i="2" l="1"/>
  <c r="M61" i="1"/>
  <c r="I61" i="1"/>
  <c r="L61" i="1" s="1"/>
  <c r="K67" i="2" l="1"/>
  <c r="L67" i="2" s="1"/>
  <c r="H67" i="2"/>
  <c r="G62" i="1"/>
  <c r="J62" i="1" s="1"/>
  <c r="K62" i="1" s="1"/>
  <c r="I67" i="2" l="1"/>
  <c r="M67" i="2" s="1"/>
  <c r="N67" i="2"/>
  <c r="H62" i="1"/>
  <c r="I62" i="1" s="1"/>
  <c r="L62" i="1" s="1"/>
  <c r="G68" i="2" l="1"/>
  <c r="M62" i="1"/>
  <c r="G63" i="1"/>
  <c r="H63" i="1" s="1"/>
  <c r="K68" i="2" l="1"/>
  <c r="L68" i="2" s="1"/>
  <c r="H68" i="2"/>
  <c r="J63" i="1"/>
  <c r="K63" i="1" s="1"/>
  <c r="M63" i="1"/>
  <c r="I63" i="1"/>
  <c r="L63" i="1" s="1"/>
  <c r="I68" i="2" l="1"/>
  <c r="M68" i="2" s="1"/>
  <c r="N68" i="2"/>
  <c r="G64" i="1"/>
  <c r="G69" i="2" l="1"/>
  <c r="J64" i="1"/>
  <c r="K64" i="1" s="1"/>
  <c r="H64" i="1"/>
  <c r="K69" i="2" l="1"/>
  <c r="L69" i="2" s="1"/>
  <c r="H69" i="2"/>
  <c r="I64" i="1"/>
  <c r="L64" i="1" s="1"/>
  <c r="M64" i="1"/>
  <c r="I69" i="2" l="1"/>
  <c r="M69" i="2" s="1"/>
  <c r="N69" i="2"/>
  <c r="G65" i="1"/>
  <c r="G70" i="2" l="1"/>
  <c r="J65" i="1"/>
  <c r="K65" i="1" s="1"/>
  <c r="H65" i="1"/>
  <c r="K70" i="2" l="1"/>
  <c r="L70" i="2" s="1"/>
  <c r="H70" i="2"/>
  <c r="I65" i="1"/>
  <c r="L65" i="1" s="1"/>
  <c r="M65" i="1"/>
  <c r="I70" i="2" l="1"/>
  <c r="M70" i="2" s="1"/>
  <c r="N70" i="2"/>
  <c r="G66" i="1"/>
  <c r="J66" i="1" s="1"/>
  <c r="K66" i="1" s="1"/>
  <c r="G71" i="2" l="1"/>
  <c r="K71" i="2" s="1"/>
  <c r="L71" i="2" s="1"/>
  <c r="H66" i="1"/>
  <c r="I66" i="1" s="1"/>
  <c r="L66" i="1" s="1"/>
  <c r="H71" i="2" l="1"/>
  <c r="N71" i="2" s="1"/>
  <c r="M66" i="1"/>
  <c r="G67" i="1"/>
  <c r="H67" i="1" s="1"/>
  <c r="I71" i="2" l="1"/>
  <c r="M71" i="2" s="1"/>
  <c r="J67" i="1"/>
  <c r="K67" i="1" s="1"/>
  <c r="M67" i="1"/>
  <c r="I67" i="1"/>
  <c r="L67" i="1" s="1"/>
  <c r="G72" i="2" l="1"/>
  <c r="K72" i="2" s="1"/>
  <c r="L72" i="2" s="1"/>
  <c r="G68" i="1"/>
  <c r="H68" i="1" s="1"/>
  <c r="H72" i="2" l="1"/>
  <c r="N72" i="2" s="1"/>
  <c r="J68" i="1"/>
  <c r="K68" i="1" s="1"/>
  <c r="I68" i="1"/>
  <c r="L68" i="1" s="1"/>
  <c r="M68" i="1"/>
  <c r="I72" i="2" l="1"/>
  <c r="M72" i="2" s="1"/>
  <c r="G69" i="1"/>
  <c r="H69" i="1" s="1"/>
  <c r="G73" i="2" l="1"/>
  <c r="K73" i="2" s="1"/>
  <c r="L73" i="2" s="1"/>
  <c r="J69" i="1"/>
  <c r="K69" i="1" s="1"/>
  <c r="I69" i="1"/>
  <c r="L69" i="1" s="1"/>
  <c r="M69" i="1"/>
  <c r="H73" i="2" l="1"/>
  <c r="N73" i="2" s="1"/>
  <c r="G70" i="1"/>
  <c r="H70" i="1" s="1"/>
  <c r="I73" i="2" l="1"/>
  <c r="M73" i="2" s="1"/>
  <c r="J70" i="1"/>
  <c r="K70" i="1" s="1"/>
  <c r="M70" i="1"/>
  <c r="I70" i="1"/>
  <c r="L70" i="1" s="1"/>
  <c r="G74" i="2" l="1"/>
  <c r="K74" i="2" s="1"/>
  <c r="L74" i="2" s="1"/>
  <c r="G71" i="1"/>
  <c r="J71" i="1" s="1"/>
  <c r="K71" i="1" s="1"/>
  <c r="H74" i="2" l="1"/>
  <c r="N74" i="2" s="1"/>
  <c r="H71" i="1"/>
  <c r="I71" i="1" s="1"/>
  <c r="L71" i="1" s="1"/>
  <c r="I74" i="2" l="1"/>
  <c r="M74" i="2" s="1"/>
  <c r="M71" i="1"/>
  <c r="G72" i="1"/>
  <c r="H72" i="1" s="1"/>
  <c r="G75" i="2" l="1"/>
  <c r="K75" i="2" s="1"/>
  <c r="L75" i="2" s="1"/>
  <c r="J72" i="1"/>
  <c r="K72" i="1" s="1"/>
  <c r="I72" i="1"/>
  <c r="L72" i="1" s="1"/>
  <c r="M72" i="1"/>
  <c r="H75" i="2" l="1"/>
  <c r="N75" i="2" s="1"/>
  <c r="G73" i="1"/>
  <c r="H73" i="1" s="1"/>
  <c r="I75" i="2" l="1"/>
  <c r="M75" i="2" s="1"/>
  <c r="J73" i="1"/>
  <c r="K73" i="1" s="1"/>
  <c r="M73" i="1"/>
  <c r="I73" i="1"/>
  <c r="L73" i="1" s="1"/>
  <c r="G76" i="2" l="1"/>
  <c r="K76" i="2" s="1"/>
  <c r="L76" i="2" s="1"/>
  <c r="G74" i="1"/>
  <c r="H74" i="1" s="1"/>
  <c r="H76" i="2" l="1"/>
  <c r="N76" i="2" s="1"/>
  <c r="J74" i="1"/>
  <c r="K74" i="1" s="1"/>
  <c r="M74" i="1"/>
  <c r="I74" i="1"/>
  <c r="L74" i="1" s="1"/>
  <c r="I76" i="2" l="1"/>
  <c r="M76" i="2" s="1"/>
  <c r="G75" i="1"/>
  <c r="H75" i="1" s="1"/>
  <c r="G77" i="2" l="1"/>
  <c r="K77" i="2" s="1"/>
  <c r="L77" i="2" s="1"/>
  <c r="J75" i="1"/>
  <c r="K75" i="1" s="1"/>
  <c r="I75" i="1"/>
  <c r="L75" i="1" s="1"/>
  <c r="M75" i="1"/>
  <c r="H77" i="2" l="1"/>
  <c r="N77" i="2" s="1"/>
  <c r="G76" i="1"/>
  <c r="J76" i="1" s="1"/>
  <c r="K76" i="1" s="1"/>
  <c r="I77" i="2" l="1"/>
  <c r="M77" i="2" s="1"/>
  <c r="H76" i="1"/>
  <c r="I76" i="1" s="1"/>
  <c r="G78" i="2" l="1"/>
  <c r="K78" i="2" s="1"/>
  <c r="L78" i="2" s="1"/>
  <c r="M76" i="1"/>
  <c r="L76" i="1"/>
  <c r="G77" i="1"/>
  <c r="H78" i="2" l="1"/>
  <c r="N78" i="2" s="1"/>
  <c r="J77" i="1"/>
  <c r="K77" i="1" s="1"/>
  <c r="H77" i="1"/>
  <c r="I78" i="2" l="1"/>
  <c r="M78" i="2" s="1"/>
  <c r="M77" i="1"/>
  <c r="I77" i="1"/>
  <c r="G79" i="2" l="1"/>
  <c r="K79" i="2" s="1"/>
  <c r="L79" i="2" s="1"/>
  <c r="L77" i="1"/>
  <c r="G78" i="1"/>
  <c r="H79" i="2" l="1"/>
  <c r="N79" i="2" s="1"/>
  <c r="J78" i="1"/>
  <c r="K78" i="1" s="1"/>
  <c r="H78" i="1"/>
  <c r="I79" i="2" l="1"/>
  <c r="M79" i="2" s="1"/>
  <c r="I78" i="1"/>
  <c r="L78" i="1" s="1"/>
  <c r="M78" i="1"/>
  <c r="G80" i="2" l="1"/>
  <c r="K80" i="2" s="1"/>
  <c r="L80" i="2" s="1"/>
  <c r="G79" i="1"/>
  <c r="J79" i="1" s="1"/>
  <c r="K79" i="1" s="1"/>
  <c r="H80" i="2" l="1"/>
  <c r="N80" i="2" s="1"/>
  <c r="H79" i="1"/>
  <c r="M79" i="1" s="1"/>
  <c r="I80" i="2" l="1"/>
  <c r="M80" i="2" s="1"/>
  <c r="I79" i="1"/>
  <c r="L79" i="1" s="1"/>
  <c r="G81" i="2" l="1"/>
  <c r="K81" i="2" s="1"/>
  <c r="L81" i="2" s="1"/>
  <c r="G80" i="1"/>
  <c r="J80" i="1" s="1"/>
  <c r="K80" i="1" s="1"/>
  <c r="H81" i="2" l="1"/>
  <c r="N81" i="2" s="1"/>
  <c r="H80" i="1"/>
  <c r="I80" i="1" s="1"/>
  <c r="L80" i="1" s="1"/>
  <c r="I81" i="2" l="1"/>
  <c r="M81" i="2" s="1"/>
  <c r="G81" i="1"/>
  <c r="H81" i="1" s="1"/>
  <c r="M80" i="1"/>
  <c r="G82" i="2" l="1"/>
  <c r="K82" i="2" s="1"/>
  <c r="L82" i="2" s="1"/>
  <c r="J81" i="1"/>
  <c r="K81" i="1" s="1"/>
  <c r="M81" i="1"/>
  <c r="I81" i="1"/>
  <c r="H82" i="2" l="1"/>
  <c r="N82" i="2" s="1"/>
  <c r="L81" i="1"/>
  <c r="G82" i="1"/>
  <c r="I82" i="2" l="1"/>
  <c r="M82" i="2" s="1"/>
  <c r="J82" i="1"/>
  <c r="K82" i="1" s="1"/>
  <c r="H82" i="1"/>
  <c r="G83" i="2" l="1"/>
  <c r="K83" i="2" s="1"/>
  <c r="L83" i="2" s="1"/>
  <c r="M82" i="1"/>
  <c r="I82" i="1"/>
  <c r="H83" i="2" l="1"/>
  <c r="N83" i="2" s="1"/>
  <c r="L82" i="1"/>
  <c r="G83" i="1"/>
  <c r="I83" i="2" l="1"/>
  <c r="M83" i="2" s="1"/>
  <c r="H83" i="1"/>
  <c r="J83" i="1"/>
  <c r="K83" i="1" s="1"/>
  <c r="G84" i="2" l="1"/>
  <c r="K84" i="2" s="1"/>
  <c r="L84" i="2" s="1"/>
  <c r="I83" i="1"/>
  <c r="L83" i="1" s="1"/>
  <c r="M83" i="1"/>
  <c r="H84" i="2" l="1"/>
  <c r="N84" i="2" s="1"/>
  <c r="G84" i="1"/>
  <c r="J84" i="1" s="1"/>
  <c r="K84" i="1" s="1"/>
  <c r="I84" i="2" l="1"/>
  <c r="M84" i="2" s="1"/>
  <c r="H84" i="1"/>
  <c r="M84" i="1" s="1"/>
  <c r="G85" i="2" l="1"/>
  <c r="K85" i="2" s="1"/>
  <c r="L85" i="2" s="1"/>
  <c r="I84" i="1"/>
  <c r="G85" i="1" s="1"/>
  <c r="H85" i="2" l="1"/>
  <c r="N85" i="2" s="1"/>
  <c r="L84" i="1"/>
  <c r="J85" i="1"/>
  <c r="K85" i="1" s="1"/>
  <c r="H85" i="1"/>
  <c r="I85" i="2" l="1"/>
  <c r="M85" i="2" s="1"/>
  <c r="M85" i="1"/>
  <c r="I85" i="1"/>
  <c r="G86" i="2" l="1"/>
  <c r="K86" i="2" s="1"/>
  <c r="L86" i="2" s="1"/>
  <c r="L85" i="1"/>
  <c r="G86" i="1"/>
  <c r="H86" i="2" l="1"/>
  <c r="N86" i="2" s="1"/>
  <c r="J86" i="1"/>
  <c r="K86" i="1" s="1"/>
  <c r="H86" i="1"/>
  <c r="I86" i="2" l="1"/>
  <c r="M86" i="2" s="1"/>
  <c r="I86" i="1"/>
  <c r="L86" i="1" s="1"/>
  <c r="M86" i="1"/>
  <c r="G87" i="2" l="1"/>
  <c r="K87" i="2" s="1"/>
  <c r="L87" i="2" s="1"/>
  <c r="G87" i="1"/>
  <c r="H87" i="1" s="1"/>
  <c r="H87" i="2" l="1"/>
  <c r="N87" i="2" s="1"/>
  <c r="J87" i="1"/>
  <c r="K87" i="1" s="1"/>
  <c r="M87" i="1"/>
  <c r="I87" i="1"/>
  <c r="I87" i="2" l="1"/>
  <c r="M87" i="2" s="1"/>
  <c r="L87" i="1"/>
  <c r="G88" i="1"/>
  <c r="G88" i="2" l="1"/>
  <c r="K88" i="2" s="1"/>
  <c r="L88" i="2" s="1"/>
  <c r="H88" i="1"/>
  <c r="J88" i="1"/>
  <c r="K88" i="1" s="1"/>
  <c r="H88" i="2" l="1"/>
  <c r="N88" i="2" s="1"/>
  <c r="I88" i="1"/>
  <c r="L88" i="1" s="1"/>
  <c r="M88" i="1"/>
  <c r="I88" i="2" l="1"/>
  <c r="M88" i="2" s="1"/>
  <c r="G89" i="1"/>
  <c r="J89" i="1" s="1"/>
  <c r="K89" i="1" s="1"/>
  <c r="G89" i="2" l="1"/>
  <c r="K89" i="2" s="1"/>
  <c r="L89" i="2" s="1"/>
  <c r="H89" i="1"/>
  <c r="M89" i="1" s="1"/>
  <c r="H89" i="2" l="1"/>
  <c r="N89" i="2" s="1"/>
  <c r="I89" i="1"/>
  <c r="L89" i="1" s="1"/>
  <c r="I89" i="2" l="1"/>
  <c r="M89" i="2" s="1"/>
  <c r="G90" i="1"/>
  <c r="J90" i="1" s="1"/>
  <c r="K90" i="1" s="1"/>
  <c r="G90" i="2" l="1"/>
  <c r="K90" i="2" s="1"/>
  <c r="L90" i="2" s="1"/>
  <c r="H90" i="1"/>
  <c r="M90" i="1" s="1"/>
  <c r="H90" i="2" l="1"/>
  <c r="I90" i="2" s="1"/>
  <c r="M90" i="2" s="1"/>
  <c r="I90" i="1"/>
  <c r="L90" i="1" s="1"/>
  <c r="N90" i="2" l="1"/>
  <c r="G91" i="2"/>
  <c r="G91" i="1"/>
  <c r="H91" i="1" s="1"/>
  <c r="M91" i="1" s="1"/>
  <c r="K91" i="2" l="1"/>
  <c r="L91" i="2" s="1"/>
  <c r="H91" i="2"/>
  <c r="I91" i="1"/>
  <c r="L91" i="1" s="1"/>
  <c r="J91" i="1"/>
  <c r="K91" i="1" s="1"/>
  <c r="N91" i="2" l="1"/>
  <c r="I91" i="2"/>
  <c r="M91" i="2" s="1"/>
  <c r="G92" i="1"/>
  <c r="H92" i="1" s="1"/>
  <c r="G92" i="2" l="1"/>
  <c r="J92" i="1"/>
  <c r="K92" i="1" s="1"/>
  <c r="I92" i="1"/>
  <c r="L92" i="1" s="1"/>
  <c r="M92" i="1"/>
  <c r="K92" i="2" l="1"/>
  <c r="L92" i="2" s="1"/>
  <c r="H92" i="2"/>
  <c r="G93" i="1"/>
  <c r="H93" i="1" s="1"/>
  <c r="N92" i="2" l="1"/>
  <c r="I92" i="2"/>
  <c r="M92" i="2" s="1"/>
  <c r="J93" i="1"/>
  <c r="K93" i="1" s="1"/>
  <c r="M93" i="1"/>
  <c r="I93" i="1"/>
  <c r="L93" i="1" s="1"/>
  <c r="G93" i="2" l="1"/>
  <c r="G94" i="1"/>
  <c r="J94" i="1" s="1"/>
  <c r="K94" i="1" s="1"/>
  <c r="K93" i="2" l="1"/>
  <c r="L93" i="2" s="1"/>
  <c r="H93" i="2"/>
  <c r="H94" i="1"/>
  <c r="M94" i="1" s="1"/>
  <c r="N93" i="2" l="1"/>
  <c r="I93" i="2"/>
  <c r="M93" i="2" s="1"/>
  <c r="I94" i="1"/>
  <c r="L94" i="1" s="1"/>
  <c r="G94" i="2" l="1"/>
  <c r="G95" i="1"/>
  <c r="H95" i="1" s="1"/>
  <c r="K94" i="2" l="1"/>
  <c r="L94" i="2" s="1"/>
  <c r="H94" i="2"/>
  <c r="J95" i="1"/>
  <c r="K95" i="1" s="1"/>
  <c r="I95" i="1"/>
  <c r="M95" i="1"/>
  <c r="N94" i="2" l="1"/>
  <c r="I94" i="2"/>
  <c r="M94" i="2" s="1"/>
  <c r="L95" i="1"/>
  <c r="G96" i="1"/>
  <c r="G95" i="2" l="1"/>
  <c r="H96" i="1"/>
  <c r="J96" i="1"/>
  <c r="K96" i="1" s="1"/>
  <c r="K95" i="2" l="1"/>
  <c r="L95" i="2" s="1"/>
  <c r="H95" i="2"/>
  <c r="I96" i="1"/>
  <c r="L96" i="1" s="1"/>
  <c r="M96" i="1"/>
  <c r="N95" i="2" l="1"/>
  <c r="I95" i="2"/>
  <c r="M95" i="2" s="1"/>
  <c r="G97" i="1"/>
  <c r="H97" i="1" s="1"/>
  <c r="G96" i="2" l="1"/>
  <c r="J97" i="1"/>
  <c r="K97" i="1" s="1"/>
  <c r="I97" i="1"/>
  <c r="L97" i="1" s="1"/>
  <c r="M97" i="1"/>
  <c r="K96" i="2" l="1"/>
  <c r="L96" i="2" s="1"/>
  <c r="H96" i="2"/>
  <c r="G98" i="1"/>
  <c r="H98" i="1" s="1"/>
  <c r="N96" i="2" l="1"/>
  <c r="I96" i="2"/>
  <c r="M96" i="2" s="1"/>
  <c r="J98" i="1"/>
  <c r="K98" i="1" s="1"/>
  <c r="I98" i="1"/>
  <c r="L98" i="1" s="1"/>
  <c r="M98" i="1"/>
  <c r="G97" i="2" l="1"/>
  <c r="G99" i="1"/>
  <c r="H99" i="1" s="1"/>
  <c r="K97" i="2" l="1"/>
  <c r="L97" i="2" s="1"/>
  <c r="H97" i="2"/>
  <c r="J99" i="1"/>
  <c r="K99" i="1" s="1"/>
  <c r="M99" i="1"/>
  <c r="I99" i="1"/>
  <c r="L99" i="1" s="1"/>
  <c r="N97" i="2" l="1"/>
  <c r="I97" i="2"/>
  <c r="M97" i="2" s="1"/>
  <c r="G100" i="1"/>
  <c r="J100" i="1" s="1"/>
  <c r="K100" i="1" s="1"/>
  <c r="G98" i="2" l="1"/>
  <c r="H100" i="1"/>
  <c r="M100" i="1" s="1"/>
  <c r="K98" i="2" l="1"/>
  <c r="L98" i="2" s="1"/>
  <c r="H98" i="2"/>
  <c r="I100" i="1"/>
  <c r="L100" i="1" s="1"/>
  <c r="N98" i="2" l="1"/>
  <c r="I98" i="2"/>
  <c r="M98" i="2" s="1"/>
  <c r="G101" i="1"/>
  <c r="J101" i="1" s="1"/>
  <c r="K101" i="1" s="1"/>
  <c r="G99" i="2" l="1"/>
  <c r="H101" i="1"/>
  <c r="M101" i="1" s="1"/>
  <c r="I101" i="1" l="1"/>
  <c r="L101" i="1" s="1"/>
  <c r="K99" i="2"/>
  <c r="L99" i="2" s="1"/>
  <c r="H99" i="2"/>
  <c r="G102" i="1" l="1"/>
  <c r="H102" i="1" s="1"/>
  <c r="I102" i="1" s="1"/>
  <c r="L102" i="1" s="1"/>
  <c r="N99" i="2"/>
  <c r="I99" i="2"/>
  <c r="M99" i="2" s="1"/>
  <c r="M102" i="1" l="1"/>
  <c r="J102" i="1"/>
  <c r="K102" i="1" s="1"/>
  <c r="G100" i="2"/>
  <c r="G103" i="1"/>
  <c r="H103" i="1" s="1"/>
  <c r="K100" i="2" l="1"/>
  <c r="L100" i="2" s="1"/>
  <c r="H100" i="2"/>
  <c r="J103" i="1"/>
  <c r="K103" i="1" s="1"/>
  <c r="M103" i="1"/>
  <c r="I103" i="1"/>
  <c r="N100" i="2" l="1"/>
  <c r="I100" i="2"/>
  <c r="M100" i="2" s="1"/>
  <c r="L103" i="1"/>
  <c r="G104" i="1"/>
  <c r="G101" i="2" l="1"/>
  <c r="H104" i="1"/>
  <c r="J104" i="1"/>
  <c r="K104" i="1" s="1"/>
  <c r="K101" i="2" l="1"/>
  <c r="L101" i="2" s="1"/>
  <c r="H101" i="2"/>
  <c r="M104" i="1"/>
  <c r="I104" i="1"/>
  <c r="L104" i="1" s="1"/>
  <c r="N101" i="2" l="1"/>
  <c r="I101" i="2"/>
  <c r="M101" i="2" s="1"/>
  <c r="G105" i="1"/>
  <c r="H105" i="1" s="1"/>
  <c r="G102" i="2" l="1"/>
  <c r="J105" i="1"/>
  <c r="K105" i="1" s="1"/>
  <c r="M105" i="1"/>
  <c r="I105" i="1"/>
  <c r="L105" i="1" s="1"/>
  <c r="K102" i="2" l="1"/>
  <c r="L102" i="2" s="1"/>
  <c r="H102" i="2"/>
  <c r="G106" i="1"/>
  <c r="J106" i="1" s="1"/>
  <c r="K106" i="1" s="1"/>
  <c r="N102" i="2" l="1"/>
  <c r="I102" i="2"/>
  <c r="M102" i="2" s="1"/>
  <c r="H106" i="1"/>
  <c r="I106" i="1" s="1"/>
  <c r="G103" i="2" l="1"/>
  <c r="M106" i="1"/>
  <c r="L106" i="1"/>
  <c r="G107" i="1"/>
  <c r="K103" i="2" l="1"/>
  <c r="L103" i="2" s="1"/>
  <c r="H103" i="2"/>
  <c r="J107" i="1"/>
  <c r="K107" i="1" s="1"/>
  <c r="H107" i="1"/>
  <c r="N103" i="2" l="1"/>
  <c r="I103" i="2"/>
  <c r="M103" i="2" s="1"/>
  <c r="M107" i="1"/>
  <c r="I107" i="1"/>
  <c r="G104" i="2" l="1"/>
  <c r="L107" i="1"/>
  <c r="G108" i="1"/>
  <c r="H104" i="2" l="1"/>
  <c r="K104" i="2"/>
  <c r="L104" i="2" s="1"/>
  <c r="J108" i="1"/>
  <c r="K108" i="1" s="1"/>
  <c r="H108" i="1"/>
  <c r="N104" i="2" l="1"/>
  <c r="I104" i="2"/>
  <c r="M104" i="2" s="1"/>
  <c r="I108" i="1"/>
  <c r="M108" i="1"/>
  <c r="G105" i="2" l="1"/>
  <c r="L108" i="1"/>
  <c r="G109" i="1"/>
  <c r="H105" i="2" l="1"/>
  <c r="K105" i="2"/>
  <c r="L105" i="2" s="1"/>
  <c r="J109" i="1"/>
  <c r="K109" i="1" s="1"/>
  <c r="H109" i="1"/>
  <c r="N105" i="2" l="1"/>
  <c r="I105" i="2"/>
  <c r="M105" i="2" s="1"/>
  <c r="I109" i="1"/>
  <c r="M109" i="1"/>
  <c r="G106" i="2" l="1"/>
  <c r="H106" i="2" s="1"/>
  <c r="L109" i="1"/>
  <c r="G110" i="1"/>
  <c r="K106" i="2" l="1"/>
  <c r="L106" i="2" s="1"/>
  <c r="N106" i="2"/>
  <c r="I106" i="2"/>
  <c r="M106" i="2" s="1"/>
  <c r="H110" i="1"/>
  <c r="J110" i="1"/>
  <c r="K110" i="1" s="1"/>
  <c r="G107" i="2" l="1"/>
  <c r="H107" i="2" s="1"/>
  <c r="M110" i="1"/>
  <c r="I110" i="1"/>
  <c r="K107" i="2" l="1"/>
  <c r="L107" i="2" s="1"/>
  <c r="N107" i="2"/>
  <c r="I107" i="2"/>
  <c r="M107" i="2" s="1"/>
  <c r="L110" i="1"/>
  <c r="G111" i="1"/>
  <c r="G108" i="2" l="1"/>
  <c r="H111" i="1"/>
  <c r="J111" i="1"/>
  <c r="K111" i="1" s="1"/>
  <c r="H108" i="2" l="1"/>
  <c r="K108" i="2"/>
  <c r="L108" i="2" s="1"/>
  <c r="M111" i="1"/>
  <c r="I111" i="1"/>
  <c r="L111" i="1" s="1"/>
  <c r="N108" i="2" l="1"/>
  <c r="I108" i="2"/>
  <c r="M108" i="2" s="1"/>
  <c r="G112" i="1"/>
  <c r="H112" i="1" s="1"/>
  <c r="G109" i="2" l="1"/>
  <c r="H109" i="2" s="1"/>
  <c r="J112" i="1"/>
  <c r="K112" i="1" s="1"/>
  <c r="I112" i="1"/>
  <c r="L112" i="1" s="1"/>
  <c r="M112" i="1"/>
  <c r="K109" i="2" l="1"/>
  <c r="L109" i="2" s="1"/>
  <c r="N109" i="2"/>
  <c r="I109" i="2"/>
  <c r="M109" i="2" s="1"/>
  <c r="G113" i="1"/>
  <c r="J113" i="1" s="1"/>
  <c r="K113" i="1" s="1"/>
  <c r="G110" i="2" l="1"/>
  <c r="H110" i="2" s="1"/>
  <c r="H113" i="1"/>
  <c r="M113" i="1" s="1"/>
  <c r="K110" i="2" l="1"/>
  <c r="L110" i="2" s="1"/>
  <c r="N110" i="2"/>
  <c r="I110" i="2"/>
  <c r="M110" i="2" s="1"/>
  <c r="I113" i="1"/>
  <c r="G114" i="1" s="1"/>
  <c r="G111" i="2" l="1"/>
  <c r="L113" i="1"/>
  <c r="J114" i="1"/>
  <c r="K114" i="1" s="1"/>
  <c r="H114" i="1"/>
  <c r="H111" i="2" l="1"/>
  <c r="K111" i="2"/>
  <c r="L111" i="2" s="1"/>
  <c r="I114" i="1"/>
  <c r="L114" i="1" s="1"/>
  <c r="M114" i="1"/>
  <c r="N111" i="2" l="1"/>
  <c r="I111" i="2"/>
  <c r="M111" i="2" s="1"/>
  <c r="G115" i="1"/>
  <c r="G112" i="2" l="1"/>
  <c r="H112" i="2" s="1"/>
  <c r="J115" i="1"/>
  <c r="K115" i="1" s="1"/>
  <c r="H115" i="1"/>
  <c r="K112" i="2" l="1"/>
  <c r="L112" i="2" s="1"/>
  <c r="N112" i="2"/>
  <c r="I112" i="2"/>
  <c r="M112" i="2" s="1"/>
  <c r="M115" i="1"/>
  <c r="I115" i="1"/>
  <c r="L115" i="1" s="1"/>
  <c r="G113" i="2" l="1"/>
  <c r="H113" i="2" s="1"/>
  <c r="G116" i="1"/>
  <c r="J116" i="1" s="1"/>
  <c r="K116" i="1" s="1"/>
  <c r="K113" i="2" l="1"/>
  <c r="L113" i="2" s="1"/>
  <c r="N113" i="2"/>
  <c r="I113" i="2"/>
  <c r="M113" i="2" s="1"/>
  <c r="H116" i="1"/>
  <c r="I116" i="1" s="1"/>
  <c r="L116" i="1" s="1"/>
  <c r="G114" i="2" l="1"/>
  <c r="H114" i="2" s="1"/>
  <c r="M116" i="1"/>
  <c r="G117" i="1"/>
  <c r="H117" i="1" s="1"/>
  <c r="K114" i="2" l="1"/>
  <c r="L114" i="2" s="1"/>
  <c r="N114" i="2"/>
  <c r="I114" i="2"/>
  <c r="M114" i="2" s="1"/>
  <c r="J117" i="1"/>
  <c r="K117" i="1" s="1"/>
  <c r="M117" i="1"/>
  <c r="I117" i="1"/>
  <c r="G115" i="2" l="1"/>
  <c r="H115" i="2" s="1"/>
  <c r="G118" i="1"/>
  <c r="L117" i="1"/>
  <c r="K115" i="2" l="1"/>
  <c r="L115" i="2" s="1"/>
  <c r="N115" i="2"/>
  <c r="I115" i="2"/>
  <c r="M115" i="2" s="1"/>
  <c r="H118" i="1"/>
  <c r="J118" i="1"/>
  <c r="K118" i="1" s="1"/>
  <c r="G116" i="2" l="1"/>
  <c r="H116" i="2" s="1"/>
  <c r="M118" i="1"/>
  <c r="I118" i="1"/>
  <c r="K116" i="2" l="1"/>
  <c r="L116" i="2" s="1"/>
  <c r="N116" i="2"/>
  <c r="I116" i="2"/>
  <c r="M116" i="2" s="1"/>
  <c r="L118" i="1"/>
  <c r="G119" i="1"/>
  <c r="G117" i="2" l="1"/>
  <c r="J119" i="1"/>
  <c r="K119" i="1" s="1"/>
  <c r="H119" i="1"/>
  <c r="H117" i="2" l="1"/>
  <c r="K117" i="2"/>
  <c r="L117" i="2" s="1"/>
  <c r="M119" i="1"/>
  <c r="I119" i="1"/>
  <c r="N117" i="2" l="1"/>
  <c r="I117" i="2"/>
  <c r="M117" i="2" s="1"/>
  <c r="L119" i="1"/>
  <c r="G120" i="1"/>
  <c r="G118" i="2" l="1"/>
  <c r="H118" i="2" s="1"/>
  <c r="H120" i="1"/>
  <c r="J120" i="1"/>
  <c r="K120" i="1" s="1"/>
  <c r="K118" i="2" l="1"/>
  <c r="L118" i="2" s="1"/>
  <c r="N118" i="2"/>
  <c r="I118" i="2"/>
  <c r="M118" i="2" s="1"/>
  <c r="I120" i="1"/>
  <c r="M120" i="1"/>
  <c r="G119" i="2" l="1"/>
  <c r="H119" i="2" s="1"/>
  <c r="G121" i="1"/>
  <c r="L120" i="1"/>
  <c r="K119" i="2" l="1"/>
  <c r="L119" i="2" s="1"/>
  <c r="N119" i="2"/>
  <c r="I119" i="2"/>
  <c r="M119" i="2" s="1"/>
  <c r="J121" i="1"/>
  <c r="K121" i="1" s="1"/>
  <c r="H121" i="1"/>
  <c r="G120" i="2" l="1"/>
  <c r="I121" i="1"/>
  <c r="M121" i="1"/>
  <c r="H120" i="2" l="1"/>
  <c r="K120" i="2"/>
  <c r="L120" i="2" s="1"/>
  <c r="L121" i="1"/>
  <c r="G122" i="1"/>
  <c r="N120" i="2" l="1"/>
  <c r="I120" i="2"/>
  <c r="M120" i="2" s="1"/>
  <c r="H122" i="1"/>
  <c r="J122" i="1"/>
  <c r="K122" i="1" s="1"/>
  <c r="G121" i="2" l="1"/>
  <c r="H121" i="2" s="1"/>
  <c r="M122" i="1"/>
  <c r="I122" i="1"/>
  <c r="K121" i="2" l="1"/>
  <c r="L121" i="2" s="1"/>
  <c r="N121" i="2"/>
  <c r="I121" i="2"/>
  <c r="M121" i="2" s="1"/>
  <c r="L122" i="1"/>
  <c r="G123" i="1"/>
  <c r="G122" i="2" l="1"/>
  <c r="H122" i="2" s="1"/>
  <c r="H123" i="1"/>
  <c r="J123" i="1"/>
  <c r="K123" i="1" s="1"/>
  <c r="K122" i="2" l="1"/>
  <c r="L122" i="2" s="1"/>
  <c r="N122" i="2"/>
  <c r="I122" i="2"/>
  <c r="M122" i="2" s="1"/>
  <c r="I123" i="1"/>
  <c r="L123" i="1" s="1"/>
  <c r="M123" i="1"/>
  <c r="G123" i="2" l="1"/>
  <c r="H123" i="2" s="1"/>
  <c r="G124" i="1"/>
  <c r="H124" i="1" s="1"/>
  <c r="K123" i="2" l="1"/>
  <c r="L123" i="2" s="1"/>
  <c r="N123" i="2"/>
  <c r="I123" i="2"/>
  <c r="M123" i="2" s="1"/>
  <c r="J124" i="1"/>
  <c r="K124" i="1" s="1"/>
  <c r="M124" i="1"/>
  <c r="I124" i="1"/>
  <c r="L124" i="1" s="1"/>
  <c r="G124" i="2" l="1"/>
  <c r="H124" i="2" s="1"/>
  <c r="G125" i="1"/>
  <c r="J125" i="1" s="1"/>
  <c r="K125" i="1" s="1"/>
  <c r="K124" i="2" l="1"/>
  <c r="L124" i="2" s="1"/>
  <c r="N124" i="2"/>
  <c r="I124" i="2"/>
  <c r="M124" i="2" s="1"/>
  <c r="H125" i="1"/>
  <c r="I125" i="1" s="1"/>
  <c r="L125" i="1" s="1"/>
  <c r="G125" i="2" l="1"/>
  <c r="H125" i="2" s="1"/>
  <c r="M125" i="1"/>
  <c r="G126" i="1"/>
  <c r="J126" i="1" s="1"/>
  <c r="K126" i="1" s="1"/>
  <c r="K125" i="2" l="1"/>
  <c r="L125" i="2" s="1"/>
  <c r="N125" i="2"/>
  <c r="I125" i="2"/>
  <c r="M125" i="2" s="1"/>
  <c r="H126" i="1"/>
  <c r="I126" i="1" s="1"/>
  <c r="G126" i="2" l="1"/>
  <c r="H126" i="2" s="1"/>
  <c r="M126" i="1"/>
  <c r="L126" i="1"/>
  <c r="G127" i="1"/>
  <c r="K126" i="2" l="1"/>
  <c r="L126" i="2" s="1"/>
  <c r="N126" i="2"/>
  <c r="I126" i="2"/>
  <c r="M126" i="2" s="1"/>
  <c r="J127" i="1"/>
  <c r="K127" i="1" s="1"/>
  <c r="H127" i="1"/>
  <c r="G127" i="2" l="1"/>
  <c r="I127" i="1"/>
  <c r="M127" i="1"/>
  <c r="H127" i="2" l="1"/>
  <c r="K127" i="2"/>
  <c r="L127" i="2" s="1"/>
  <c r="L127" i="1"/>
  <c r="G128" i="1"/>
  <c r="N127" i="2" l="1"/>
  <c r="I127" i="2"/>
  <c r="M127" i="2" s="1"/>
  <c r="H128" i="1"/>
  <c r="J128" i="1"/>
  <c r="K128" i="1" s="1"/>
  <c r="G128" i="2" l="1"/>
  <c r="H128" i="2" s="1"/>
  <c r="M128" i="1"/>
  <c r="I128" i="1"/>
  <c r="L128" i="1" s="1"/>
  <c r="K128" i="2" l="1"/>
  <c r="L128" i="2" s="1"/>
  <c r="N128" i="2"/>
  <c r="I128" i="2"/>
  <c r="M128" i="2" s="1"/>
  <c r="G129" i="1"/>
  <c r="G129" i="2" l="1"/>
  <c r="J129" i="1"/>
  <c r="K129" i="1" s="1"/>
  <c r="H129" i="1"/>
  <c r="H129" i="2" l="1"/>
  <c r="K129" i="2"/>
  <c r="L129" i="2" s="1"/>
  <c r="I129" i="1"/>
  <c r="L129" i="1" s="1"/>
  <c r="M129" i="1"/>
  <c r="N129" i="2" l="1"/>
  <c r="I129" i="2"/>
  <c r="M129" i="2" s="1"/>
  <c r="G130" i="1"/>
  <c r="J130" i="1" s="1"/>
  <c r="K130" i="1" s="1"/>
  <c r="G130" i="2" l="1"/>
  <c r="H130" i="2" s="1"/>
  <c r="H130" i="1"/>
  <c r="M130" i="1" s="1"/>
  <c r="K130" i="2" l="1"/>
  <c r="L130" i="2" s="1"/>
  <c r="N130" i="2"/>
  <c r="I130" i="2"/>
  <c r="M130" i="2" s="1"/>
  <c r="I130" i="1"/>
  <c r="L130" i="1" s="1"/>
  <c r="G131" i="2" l="1"/>
  <c r="G131" i="1"/>
  <c r="H131" i="1" s="1"/>
  <c r="H131" i="2" l="1"/>
  <c r="K131" i="2"/>
  <c r="L131" i="2" s="1"/>
  <c r="J131" i="1"/>
  <c r="K131" i="1" s="1"/>
  <c r="I131" i="1"/>
  <c r="L131" i="1" s="1"/>
  <c r="M131" i="1"/>
  <c r="N131" i="2" l="1"/>
  <c r="I131" i="2"/>
  <c r="M131" i="2" s="1"/>
  <c r="G132" i="1"/>
  <c r="G132" i="2" l="1"/>
  <c r="H132" i="2" s="1"/>
  <c r="H132" i="1"/>
  <c r="J132" i="1"/>
  <c r="K132" i="1" s="1"/>
  <c r="K132" i="2" l="1"/>
  <c r="L132" i="2" s="1"/>
  <c r="N132" i="2"/>
  <c r="I132" i="2"/>
  <c r="M132" i="2" s="1"/>
  <c r="M132" i="1"/>
  <c r="I132" i="1"/>
  <c r="L132" i="1" s="1"/>
  <c r="G133" i="2" l="1"/>
  <c r="K133" i="2" s="1"/>
  <c r="L133" i="2" s="1"/>
  <c r="G133" i="1"/>
  <c r="J133" i="1" s="1"/>
  <c r="K133" i="1" s="1"/>
  <c r="H133" i="2" l="1"/>
  <c r="N133" i="2" s="1"/>
  <c r="H133" i="1"/>
  <c r="M133" i="1" s="1"/>
  <c r="I133" i="2" l="1"/>
  <c r="M133" i="2" s="1"/>
  <c r="I133" i="1"/>
  <c r="L133" i="1" s="1"/>
  <c r="G134" i="2" l="1"/>
  <c r="K134" i="2" s="1"/>
  <c r="L134" i="2" s="1"/>
  <c r="G134" i="1"/>
  <c r="H134" i="2" l="1"/>
  <c r="N134" i="2" s="1"/>
  <c r="J134" i="1"/>
  <c r="K134" i="1" s="1"/>
  <c r="H134" i="1"/>
  <c r="I134" i="2" l="1"/>
  <c r="M134" i="2" s="1"/>
  <c r="I134" i="1"/>
  <c r="L134" i="1" s="1"/>
  <c r="M134" i="1"/>
  <c r="G135" i="2" l="1"/>
  <c r="K135" i="2" s="1"/>
  <c r="L135" i="2" s="1"/>
  <c r="G135" i="1"/>
  <c r="H135" i="1" s="1"/>
  <c r="H135" i="2" l="1"/>
  <c r="N135" i="2" s="1"/>
  <c r="J135" i="1"/>
  <c r="K135" i="1" s="1"/>
  <c r="M135" i="1"/>
  <c r="I135" i="1"/>
  <c r="I135" i="2" l="1"/>
  <c r="M135" i="2" s="1"/>
  <c r="L135" i="1"/>
  <c r="G136" i="1"/>
  <c r="G136" i="2" l="1"/>
  <c r="H136" i="2" s="1"/>
  <c r="I136" i="2" s="1"/>
  <c r="M136" i="2" s="1"/>
  <c r="J136" i="1"/>
  <c r="K136" i="1" s="1"/>
  <c r="H136" i="1"/>
  <c r="N136" i="2" l="1"/>
  <c r="K136" i="2"/>
  <c r="L136" i="2" s="1"/>
  <c r="G137" i="2"/>
  <c r="H137" i="2" s="1"/>
  <c r="I136" i="1"/>
  <c r="L136" i="1" s="1"/>
  <c r="M136" i="1"/>
  <c r="K137" i="2" l="1"/>
  <c r="L137" i="2" s="1"/>
  <c r="I137" i="2"/>
  <c r="M137" i="2" s="1"/>
  <c r="N137" i="2"/>
  <c r="G137" i="1"/>
  <c r="J137" i="1" s="1"/>
  <c r="K137" i="1" s="1"/>
  <c r="G138" i="2" l="1"/>
  <c r="H138" i="2" s="1"/>
  <c r="H137" i="1"/>
  <c r="M137" i="1" s="1"/>
  <c r="K138" i="2" l="1"/>
  <c r="L138" i="2" s="1"/>
  <c r="I138" i="2"/>
  <c r="M138" i="2" s="1"/>
  <c r="N138" i="2"/>
  <c r="I137" i="1"/>
  <c r="L137" i="1" s="1"/>
  <c r="G139" i="2" l="1"/>
  <c r="H139" i="2" s="1"/>
  <c r="G138" i="1"/>
  <c r="K139" i="2" l="1"/>
  <c r="L139" i="2" s="1"/>
  <c r="I139" i="2"/>
  <c r="M139" i="2" s="1"/>
  <c r="N139" i="2"/>
  <c r="J138" i="1"/>
  <c r="K138" i="1" s="1"/>
  <c r="H138" i="1"/>
  <c r="G140" i="2" l="1"/>
  <c r="H140" i="2" s="1"/>
  <c r="I138" i="1"/>
  <c r="M138" i="1"/>
  <c r="K140" i="2" l="1"/>
  <c r="L140" i="2" s="1"/>
  <c r="I140" i="2"/>
  <c r="M140" i="2" s="1"/>
  <c r="N140" i="2"/>
  <c r="L138" i="1"/>
  <c r="G139" i="1"/>
  <c r="G141" i="2" l="1"/>
  <c r="H139" i="1"/>
  <c r="J139" i="1"/>
  <c r="K139" i="1" s="1"/>
  <c r="H141" i="2" l="1"/>
  <c r="K141" i="2"/>
  <c r="L141" i="2" s="1"/>
  <c r="I139" i="1"/>
  <c r="M139" i="1"/>
  <c r="I141" i="2" l="1"/>
  <c r="M141" i="2" s="1"/>
  <c r="N141" i="2"/>
  <c r="L139" i="1"/>
  <c r="G140" i="1"/>
  <c r="G142" i="2" l="1"/>
  <c r="J140" i="1"/>
  <c r="K140" i="1" s="1"/>
  <c r="H140" i="1"/>
  <c r="H142" i="2" l="1"/>
  <c r="K142" i="2"/>
  <c r="L142" i="2" s="1"/>
  <c r="I140" i="1"/>
  <c r="M140" i="1"/>
  <c r="I142" i="2" l="1"/>
  <c r="M142" i="2" s="1"/>
  <c r="N142" i="2"/>
  <c r="L140" i="1"/>
  <c r="G141" i="1"/>
  <c r="G143" i="2" l="1"/>
  <c r="H143" i="2" s="1"/>
  <c r="H141" i="1"/>
  <c r="J141" i="1"/>
  <c r="K141" i="1" s="1"/>
  <c r="K143" i="2" l="1"/>
  <c r="L143" i="2" s="1"/>
  <c r="I143" i="2"/>
  <c r="M143" i="2" s="1"/>
  <c r="N143" i="2"/>
  <c r="I141" i="1"/>
  <c r="M141" i="1"/>
  <c r="G144" i="2" l="1"/>
  <c r="H144" i="2" s="1"/>
  <c r="G142" i="1"/>
  <c r="L141" i="1"/>
  <c r="K144" i="2" l="1"/>
  <c r="L144" i="2" s="1"/>
  <c r="I144" i="2"/>
  <c r="M144" i="2" s="1"/>
  <c r="N144" i="2"/>
  <c r="H142" i="1"/>
  <c r="J142" i="1"/>
  <c r="K142" i="1" s="1"/>
  <c r="G145" i="2" l="1"/>
  <c r="H145" i="2" s="1"/>
  <c r="M142" i="1"/>
  <c r="I142" i="1"/>
  <c r="K145" i="2" l="1"/>
  <c r="L145" i="2" s="1"/>
  <c r="I145" i="2"/>
  <c r="M145" i="2" s="1"/>
  <c r="N145" i="2"/>
  <c r="L142" i="1"/>
  <c r="G143" i="1"/>
  <c r="G146" i="2" l="1"/>
  <c r="H146" i="2" s="1"/>
  <c r="J143" i="1"/>
  <c r="K143" i="1" s="1"/>
  <c r="H143" i="1"/>
  <c r="K146" i="2" l="1"/>
  <c r="L146" i="2" s="1"/>
  <c r="I146" i="2"/>
  <c r="M146" i="2" s="1"/>
  <c r="N146" i="2"/>
  <c r="I143" i="1"/>
  <c r="M143" i="1"/>
  <c r="G147" i="2" l="1"/>
  <c r="H147" i="2" s="1"/>
  <c r="L143" i="1"/>
  <c r="G144" i="1"/>
  <c r="K147" i="2" l="1"/>
  <c r="L147" i="2" s="1"/>
  <c r="I147" i="2"/>
  <c r="M147" i="2" s="1"/>
  <c r="N147" i="2"/>
  <c r="J144" i="1"/>
  <c r="K144" i="1" s="1"/>
  <c r="H144" i="1"/>
  <c r="G148" i="2" l="1"/>
  <c r="H148" i="2" s="1"/>
  <c r="M144" i="1"/>
  <c r="I144" i="1"/>
  <c r="L144" i="1" s="1"/>
  <c r="K148" i="2" l="1"/>
  <c r="L148" i="2" s="1"/>
  <c r="I148" i="2"/>
  <c r="M148" i="2" s="1"/>
  <c r="N148" i="2"/>
  <c r="G145" i="1"/>
  <c r="G149" i="2" l="1"/>
  <c r="H149" i="2" s="1"/>
  <c r="J145" i="1"/>
  <c r="K145" i="1" s="1"/>
  <c r="H145" i="1"/>
  <c r="K149" i="2" l="1"/>
  <c r="L149" i="2" s="1"/>
  <c r="I149" i="2"/>
  <c r="M149" i="2" s="1"/>
  <c r="N149" i="2"/>
  <c r="M145" i="1"/>
  <c r="I145" i="1"/>
  <c r="L145" i="1" s="1"/>
  <c r="G150" i="2" l="1"/>
  <c r="H150" i="2" s="1"/>
  <c r="G146" i="1"/>
  <c r="H146" i="1" s="1"/>
  <c r="I146" i="1" s="1"/>
  <c r="L146" i="1" s="1"/>
  <c r="K150" i="2" l="1"/>
  <c r="L150" i="2" s="1"/>
  <c r="I150" i="2"/>
  <c r="M150" i="2" s="1"/>
  <c r="N150" i="2"/>
  <c r="M146" i="1"/>
  <c r="J146" i="1"/>
  <c r="K146" i="1" s="1"/>
  <c r="G147" i="1"/>
  <c r="J147" i="1" s="1"/>
  <c r="K147" i="1" s="1"/>
  <c r="G151" i="2" l="1"/>
  <c r="H151" i="2" s="1"/>
  <c r="H147" i="1"/>
  <c r="M147" i="1" s="1"/>
  <c r="K151" i="2" l="1"/>
  <c r="L151" i="2" s="1"/>
  <c r="I151" i="2"/>
  <c r="M151" i="2" s="1"/>
  <c r="N151" i="2"/>
  <c r="I147" i="1"/>
  <c r="G152" i="2" l="1"/>
  <c r="H152" i="2" s="1"/>
  <c r="L147" i="1"/>
  <c r="G148" i="1"/>
  <c r="K152" i="2" l="1"/>
  <c r="L152" i="2" s="1"/>
  <c r="I152" i="2"/>
  <c r="M152" i="2" s="1"/>
  <c r="N152" i="2"/>
  <c r="H148" i="1"/>
  <c r="J148" i="1"/>
  <c r="K148" i="1" s="1"/>
  <c r="G153" i="2" l="1"/>
  <c r="H153" i="2" s="1"/>
  <c r="I148" i="1"/>
  <c r="L148" i="1" s="1"/>
  <c r="M148" i="1"/>
  <c r="K153" i="2" l="1"/>
  <c r="L153" i="2" s="1"/>
  <c r="I153" i="2"/>
  <c r="M153" i="2" s="1"/>
  <c r="N153" i="2"/>
  <c r="G149" i="1"/>
  <c r="G154" i="2" l="1"/>
  <c r="H154" i="2" s="1"/>
  <c r="H149" i="1"/>
  <c r="J149" i="1"/>
  <c r="K149" i="1" s="1"/>
  <c r="K154" i="2" l="1"/>
  <c r="L154" i="2" s="1"/>
  <c r="I154" i="2"/>
  <c r="M154" i="2" s="1"/>
  <c r="N154" i="2"/>
  <c r="I149" i="1"/>
  <c r="L149" i="1" s="1"/>
  <c r="M149" i="1"/>
  <c r="G155" i="2" l="1"/>
  <c r="G150" i="1"/>
  <c r="H155" i="2" l="1"/>
  <c r="K155" i="2"/>
  <c r="L155" i="2" s="1"/>
  <c r="H150" i="1"/>
  <c r="J150" i="1"/>
  <c r="K150" i="1" s="1"/>
  <c r="I155" i="2" l="1"/>
  <c r="M155" i="2" s="1"/>
  <c r="N155" i="2"/>
  <c r="M150" i="1"/>
  <c r="I150" i="1"/>
  <c r="L150" i="1" s="1"/>
  <c r="G156" i="2" l="1"/>
  <c r="G151" i="1"/>
  <c r="H156" i="2" l="1"/>
  <c r="K156" i="2"/>
  <c r="L156" i="2" s="1"/>
  <c r="J151" i="1"/>
  <c r="K151" i="1" s="1"/>
  <c r="H151" i="1"/>
  <c r="I156" i="2" l="1"/>
  <c r="M156" i="2" s="1"/>
  <c r="N156" i="2"/>
  <c r="I151" i="1"/>
  <c r="L151" i="1" s="1"/>
  <c r="M151" i="1"/>
  <c r="G157" i="2" l="1"/>
  <c r="G152" i="1"/>
  <c r="J152" i="1" s="1"/>
  <c r="K152" i="1" s="1"/>
  <c r="H157" i="2" l="1"/>
  <c r="K157" i="2"/>
  <c r="L157" i="2" s="1"/>
  <c r="H152" i="1"/>
  <c r="M152" i="1" s="1"/>
  <c r="I157" i="2" l="1"/>
  <c r="M157" i="2" s="1"/>
  <c r="N157" i="2"/>
  <c r="I152" i="1"/>
  <c r="L152" i="1" s="1"/>
  <c r="G158" i="2" l="1"/>
  <c r="H158" i="2" s="1"/>
  <c r="G153" i="1"/>
  <c r="J153" i="1" s="1"/>
  <c r="K153" i="1" s="1"/>
  <c r="K158" i="2" l="1"/>
  <c r="L158" i="2" s="1"/>
  <c r="I158" i="2"/>
  <c r="M158" i="2" s="1"/>
  <c r="N158" i="2"/>
  <c r="H153" i="1"/>
  <c r="M153" i="1" s="1"/>
  <c r="G159" i="2" l="1"/>
  <c r="I153" i="1"/>
  <c r="L153" i="1" s="1"/>
  <c r="H159" i="2" l="1"/>
  <c r="K159" i="2"/>
  <c r="L159" i="2" s="1"/>
  <c r="G154" i="1"/>
  <c r="H154" i="1" s="1"/>
  <c r="M154" i="1" s="1"/>
  <c r="J154" i="1" l="1"/>
  <c r="K154" i="1" s="1"/>
  <c r="I154" i="1"/>
  <c r="L154" i="1" s="1"/>
  <c r="I159" i="2"/>
  <c r="M159" i="2" s="1"/>
  <c r="N159" i="2"/>
  <c r="G155" i="1" l="1"/>
  <c r="J155" i="1" s="1"/>
  <c r="K155" i="1" s="1"/>
  <c r="G160" i="2"/>
  <c r="H160" i="2" s="1"/>
  <c r="H155" i="1" l="1"/>
  <c r="M155" i="1" s="1"/>
  <c r="K160" i="2"/>
  <c r="L160" i="2" s="1"/>
  <c r="I160" i="2"/>
  <c r="M160" i="2" s="1"/>
  <c r="N160" i="2"/>
  <c r="I155" i="1" l="1"/>
  <c r="L155" i="1" s="1"/>
  <c r="G161" i="2"/>
  <c r="H161" i="2" s="1"/>
  <c r="G156" i="1" l="1"/>
  <c r="H156" i="1" s="1"/>
  <c r="I156" i="1" s="1"/>
  <c r="L156" i="1" s="1"/>
  <c r="K161" i="2"/>
  <c r="L161" i="2" s="1"/>
  <c r="I161" i="2"/>
  <c r="M161" i="2" s="1"/>
  <c r="N161" i="2"/>
  <c r="J156" i="1" l="1"/>
  <c r="K156" i="1" s="1"/>
  <c r="G157" i="1"/>
  <c r="H157" i="1" s="1"/>
  <c r="M156" i="1"/>
  <c r="G162" i="2"/>
  <c r="J157" i="1" l="1"/>
  <c r="K157" i="1" s="1"/>
  <c r="H162" i="2"/>
  <c r="K162" i="2"/>
  <c r="L162" i="2" s="1"/>
  <c r="I157" i="1"/>
  <c r="L157" i="1" s="1"/>
  <c r="M157" i="1"/>
  <c r="I162" i="2" l="1"/>
  <c r="M162" i="2" s="1"/>
  <c r="N162" i="2"/>
  <c r="G158" i="1"/>
  <c r="J158" i="1" s="1"/>
  <c r="K158" i="1" s="1"/>
  <c r="G163" i="2" l="1"/>
  <c r="H163" i="2" s="1"/>
  <c r="H158" i="1"/>
  <c r="I158" i="1" s="1"/>
  <c r="K163" i="2" l="1"/>
  <c r="L163" i="2" s="1"/>
  <c r="I163" i="2"/>
  <c r="M163" i="2" s="1"/>
  <c r="N163" i="2"/>
  <c r="M158" i="1"/>
  <c r="L158" i="1"/>
  <c r="G159" i="1"/>
  <c r="G164" i="2" l="1"/>
  <c r="H159" i="1"/>
  <c r="J159" i="1"/>
  <c r="K159" i="1" s="1"/>
  <c r="H164" i="2" l="1"/>
  <c r="K164" i="2"/>
  <c r="L164" i="2" s="1"/>
  <c r="M159" i="1"/>
  <c r="I159" i="1"/>
  <c r="I164" i="2" l="1"/>
  <c r="M164" i="2" s="1"/>
  <c r="N164" i="2"/>
  <c r="L159" i="1"/>
  <c r="G160" i="1"/>
  <c r="G165" i="2" l="1"/>
  <c r="H165" i="2" s="1"/>
  <c r="J160" i="1"/>
  <c r="K160" i="1" s="1"/>
  <c r="H160" i="1"/>
  <c r="K165" i="2" l="1"/>
  <c r="L165" i="2" s="1"/>
  <c r="I165" i="2"/>
  <c r="M165" i="2" s="1"/>
  <c r="N165" i="2"/>
  <c r="M160" i="1"/>
  <c r="I160" i="1"/>
  <c r="L160" i="1" s="1"/>
  <c r="G166" i="2" l="1"/>
  <c r="H166" i="2" s="1"/>
  <c r="G161" i="1"/>
  <c r="K166" i="2" l="1"/>
  <c r="L166" i="2" s="1"/>
  <c r="I166" i="2"/>
  <c r="M166" i="2" s="1"/>
  <c r="N166" i="2"/>
  <c r="H161" i="1"/>
  <c r="J161" i="1"/>
  <c r="K161" i="1" s="1"/>
  <c r="G167" i="2" l="1"/>
  <c r="H167" i="2" s="1"/>
  <c r="I161" i="1"/>
  <c r="L161" i="1" s="1"/>
  <c r="M161" i="1"/>
  <c r="K167" i="2" l="1"/>
  <c r="L167" i="2" s="1"/>
  <c r="I167" i="2"/>
  <c r="M167" i="2" s="1"/>
  <c r="N167" i="2"/>
  <c r="G162" i="1"/>
  <c r="J162" i="1" s="1"/>
  <c r="K162" i="1" s="1"/>
  <c r="G168" i="2" l="1"/>
  <c r="H162" i="1"/>
  <c r="I162" i="1" s="1"/>
  <c r="L162" i="1" s="1"/>
  <c r="H168" i="2" l="1"/>
  <c r="K168" i="2"/>
  <c r="L168" i="2" s="1"/>
  <c r="M162" i="1"/>
  <c r="G163" i="1"/>
  <c r="I168" i="2" l="1"/>
  <c r="M168" i="2" s="1"/>
  <c r="N168" i="2"/>
  <c r="H163" i="1"/>
  <c r="J163" i="1"/>
  <c r="K163" i="1" s="1"/>
  <c r="G169" i="2" l="1"/>
  <c r="M163" i="1"/>
  <c r="I163" i="1"/>
  <c r="H169" i="2" l="1"/>
  <c r="K169" i="2"/>
  <c r="L169" i="2" s="1"/>
  <c r="L163" i="1"/>
  <c r="G164" i="1"/>
  <c r="I169" i="2" l="1"/>
  <c r="M169" i="2" s="1"/>
  <c r="N169" i="2"/>
  <c r="H164" i="1"/>
  <c r="J164" i="1"/>
  <c r="K164" i="1" s="1"/>
  <c r="G170" i="2" l="1"/>
  <c r="M164" i="1"/>
  <c r="I164" i="1"/>
  <c r="H170" i="2" l="1"/>
  <c r="K170" i="2"/>
  <c r="L170" i="2" s="1"/>
  <c r="L164" i="1"/>
  <c r="G165" i="1"/>
  <c r="I170" i="2" l="1"/>
  <c r="M170" i="2" s="1"/>
  <c r="N170" i="2"/>
  <c r="J165" i="1"/>
  <c r="K165" i="1" s="1"/>
  <c r="H165" i="1"/>
  <c r="G171" i="2" l="1"/>
  <c r="H171" i="2" s="1"/>
  <c r="I165" i="1"/>
  <c r="L165" i="1" s="1"/>
  <c r="M165" i="1"/>
  <c r="K171" i="2" l="1"/>
  <c r="L171" i="2" s="1"/>
  <c r="I171" i="2"/>
  <c r="M171" i="2" s="1"/>
  <c r="N171" i="2"/>
  <c r="G166" i="1"/>
  <c r="G172" i="2" l="1"/>
  <c r="H172" i="2" s="1"/>
  <c r="H166" i="1"/>
  <c r="J166" i="1"/>
  <c r="K166" i="1" s="1"/>
  <c r="K172" i="2" l="1"/>
  <c r="L172" i="2" s="1"/>
  <c r="I172" i="2"/>
  <c r="M172" i="2" s="1"/>
  <c r="N172" i="2"/>
  <c r="M166" i="1"/>
  <c r="I166" i="1"/>
  <c r="L166" i="1" s="1"/>
  <c r="G173" i="2" l="1"/>
  <c r="H173" i="2" s="1"/>
  <c r="G167" i="1"/>
  <c r="K173" i="2" l="1"/>
  <c r="L173" i="2" s="1"/>
  <c r="I173" i="2"/>
  <c r="M173" i="2" s="1"/>
  <c r="N173" i="2"/>
  <c r="H167" i="1"/>
  <c r="J167" i="1"/>
  <c r="K167" i="1" s="1"/>
  <c r="G174" i="2" l="1"/>
  <c r="H174" i="2" s="1"/>
  <c r="I167" i="1"/>
  <c r="L167" i="1" s="1"/>
  <c r="M167" i="1"/>
  <c r="K174" i="2" l="1"/>
  <c r="L174" i="2" s="1"/>
  <c r="I174" i="2"/>
  <c r="M174" i="2" s="1"/>
  <c r="N174" i="2"/>
  <c r="G168" i="1"/>
  <c r="G175" i="2" l="1"/>
  <c r="J168" i="1"/>
  <c r="K168" i="1" s="1"/>
  <c r="H168" i="1"/>
  <c r="H175" i="2" l="1"/>
  <c r="K175" i="2"/>
  <c r="L175" i="2" s="1"/>
  <c r="M168" i="1"/>
  <c r="I168" i="1"/>
  <c r="L168" i="1" s="1"/>
  <c r="I175" i="2" l="1"/>
  <c r="M175" i="2" s="1"/>
  <c r="N175" i="2"/>
  <c r="G169" i="1"/>
  <c r="H169" i="1" s="1"/>
  <c r="G176" i="2" l="1"/>
  <c r="H176" i="2" s="1"/>
  <c r="J169" i="1"/>
  <c r="K169" i="1" s="1"/>
  <c r="M169" i="1"/>
  <c r="I169" i="1"/>
  <c r="L169" i="1" s="1"/>
  <c r="K176" i="2" l="1"/>
  <c r="L176" i="2" s="1"/>
  <c r="I176" i="2"/>
  <c r="M176" i="2" s="1"/>
  <c r="N176" i="2"/>
  <c r="G170" i="1"/>
  <c r="J170" i="1" s="1"/>
  <c r="K170" i="1" s="1"/>
  <c r="G177" i="2" l="1"/>
  <c r="H177" i="2" s="1"/>
  <c r="H170" i="1"/>
  <c r="M170" i="1" s="1"/>
  <c r="K177" i="2" l="1"/>
  <c r="L177" i="2" s="1"/>
  <c r="I177" i="2"/>
  <c r="M177" i="2" s="1"/>
  <c r="N177" i="2"/>
  <c r="I170" i="1"/>
  <c r="L170" i="1" s="1"/>
  <c r="G178" i="2" l="1"/>
  <c r="G171" i="1"/>
  <c r="J171" i="1" s="1"/>
  <c r="K171" i="1" s="1"/>
  <c r="H178" i="2" l="1"/>
  <c r="K178" i="2"/>
  <c r="L178" i="2" s="1"/>
  <c r="H171" i="1"/>
  <c r="M171" i="1" s="1"/>
  <c r="I171" i="1" l="1"/>
  <c r="L171" i="1" s="1"/>
  <c r="I178" i="2"/>
  <c r="M178" i="2" s="1"/>
  <c r="N178" i="2"/>
  <c r="G172" i="1" l="1"/>
  <c r="H172" i="1" s="1"/>
  <c r="M172" i="1" s="1"/>
  <c r="G179" i="2"/>
  <c r="H179" i="2" s="1"/>
  <c r="I172" i="1" l="1"/>
  <c r="L172" i="1" s="1"/>
  <c r="J172" i="1"/>
  <c r="K172" i="1" s="1"/>
  <c r="K179" i="2"/>
  <c r="L179" i="2" s="1"/>
  <c r="I179" i="2"/>
  <c r="M179" i="2" s="1"/>
  <c r="N179" i="2"/>
  <c r="G173" i="1" l="1"/>
  <c r="J173" i="1" s="1"/>
  <c r="K173" i="1" s="1"/>
  <c r="G180" i="2"/>
  <c r="H180" i="2" s="1"/>
  <c r="H173" i="1" l="1"/>
  <c r="I173" i="1" s="1"/>
  <c r="L173" i="1" s="1"/>
  <c r="K180" i="2"/>
  <c r="L180" i="2" s="1"/>
  <c r="I180" i="2"/>
  <c r="M180" i="2" s="1"/>
  <c r="N180" i="2"/>
  <c r="M173" i="1" l="1"/>
  <c r="G174" i="1"/>
  <c r="H174" i="1" s="1"/>
  <c r="G181" i="2"/>
  <c r="H181" i="2" s="1"/>
  <c r="J174" i="1" l="1"/>
  <c r="K174" i="1" s="1"/>
  <c r="K181" i="2"/>
  <c r="L181" i="2" s="1"/>
  <c r="I181" i="2"/>
  <c r="M181" i="2" s="1"/>
  <c r="N181" i="2"/>
  <c r="I174" i="1"/>
  <c r="M174" i="1"/>
  <c r="G182" i="2" l="1"/>
  <c r="H182" i="2" s="1"/>
  <c r="G175" i="1"/>
  <c r="L174" i="1"/>
  <c r="K182" i="2" l="1"/>
  <c r="L182" i="2" s="1"/>
  <c r="I182" i="2"/>
  <c r="M182" i="2" s="1"/>
  <c r="N182" i="2"/>
  <c r="J175" i="1"/>
  <c r="K175" i="1" s="1"/>
  <c r="H175" i="1"/>
  <c r="G183" i="2" l="1"/>
  <c r="H183" i="2" s="1"/>
  <c r="M175" i="1"/>
  <c r="I175" i="1"/>
  <c r="K183" i="2" l="1"/>
  <c r="L183" i="2" s="1"/>
  <c r="I183" i="2"/>
  <c r="M183" i="2" s="1"/>
  <c r="N183" i="2"/>
  <c r="L175" i="1"/>
  <c r="G176" i="1"/>
  <c r="G184" i="2" l="1"/>
  <c r="H184" i="2" s="1"/>
  <c r="J176" i="1"/>
  <c r="K176" i="1" s="1"/>
  <c r="H176" i="1"/>
  <c r="K184" i="2" l="1"/>
  <c r="L184" i="2" s="1"/>
  <c r="I184" i="2"/>
  <c r="M184" i="2" s="1"/>
  <c r="N184" i="2"/>
  <c r="M176" i="1"/>
  <c r="I176" i="1"/>
  <c r="L176" i="1" s="1"/>
  <c r="G185" i="2" l="1"/>
  <c r="H185" i="2" s="1"/>
  <c r="G177" i="1"/>
  <c r="J177" i="1" s="1"/>
  <c r="K177" i="1" s="1"/>
  <c r="K185" i="2" l="1"/>
  <c r="L185" i="2" s="1"/>
  <c r="I185" i="2"/>
  <c r="M185" i="2" s="1"/>
  <c r="N185" i="2"/>
  <c r="H177" i="1"/>
  <c r="M177" i="1" s="1"/>
  <c r="G186" i="2" l="1"/>
  <c r="I177" i="1"/>
  <c r="L177" i="1" s="1"/>
  <c r="H186" i="2" l="1"/>
  <c r="K186" i="2"/>
  <c r="L186" i="2" s="1"/>
  <c r="G178" i="1"/>
  <c r="J178" i="1" s="1"/>
  <c r="K178" i="1" s="1"/>
  <c r="I186" i="2" l="1"/>
  <c r="M186" i="2" s="1"/>
  <c r="N186" i="2"/>
  <c r="H178" i="1"/>
  <c r="I178" i="1" s="1"/>
  <c r="L178" i="1" s="1"/>
  <c r="G187" i="2" l="1"/>
  <c r="M178" i="1"/>
  <c r="G179" i="1"/>
  <c r="H179" i="1" s="1"/>
  <c r="H187" i="2" l="1"/>
  <c r="K187" i="2"/>
  <c r="L187" i="2" s="1"/>
  <c r="J179" i="1"/>
  <c r="K179" i="1" s="1"/>
  <c r="M179" i="1"/>
  <c r="I179" i="1"/>
  <c r="L179" i="1" s="1"/>
  <c r="I187" i="2" l="1"/>
  <c r="M187" i="2" s="1"/>
  <c r="N187" i="2"/>
  <c r="G180" i="1"/>
  <c r="J180" i="1" s="1"/>
  <c r="K180" i="1" s="1"/>
  <c r="G188" i="2" l="1"/>
  <c r="H188" i="2" s="1"/>
  <c r="H180" i="1"/>
  <c r="M180" i="1" s="1"/>
  <c r="K188" i="2" l="1"/>
  <c r="L188" i="2" s="1"/>
  <c r="I188" i="2"/>
  <c r="M188" i="2" s="1"/>
  <c r="N188" i="2"/>
  <c r="I180" i="1"/>
  <c r="L180" i="1" s="1"/>
  <c r="G189" i="2" l="1"/>
  <c r="K189" i="2" s="1"/>
  <c r="L189" i="2" s="1"/>
  <c r="G181" i="1"/>
  <c r="H181" i="1" s="1"/>
  <c r="H189" i="2" l="1"/>
  <c r="I189" i="2" s="1"/>
  <c r="J181" i="1"/>
  <c r="K181" i="1" s="1"/>
  <c r="M181" i="1"/>
  <c r="I181" i="1"/>
  <c r="N189" i="2" l="1"/>
  <c r="M189" i="2"/>
  <c r="G190" i="2"/>
  <c r="K190" i="2" s="1"/>
  <c r="L190" i="2" s="1"/>
  <c r="L181" i="1"/>
  <c r="G182" i="1"/>
  <c r="H190" i="2" l="1"/>
  <c r="N190" i="2" s="1"/>
  <c r="H182" i="1"/>
  <c r="J182" i="1"/>
  <c r="K182" i="1" s="1"/>
  <c r="I190" i="2" l="1"/>
  <c r="M190" i="2" s="1"/>
  <c r="I182" i="1"/>
  <c r="L182" i="1" s="1"/>
  <c r="M182" i="1"/>
  <c r="G191" i="2" l="1"/>
  <c r="K191" i="2" s="1"/>
  <c r="L191" i="2" s="1"/>
  <c r="G183" i="1"/>
  <c r="J183" i="1" s="1"/>
  <c r="K183" i="1" s="1"/>
  <c r="H191" i="2" l="1"/>
  <c r="I191" i="2" s="1"/>
  <c r="M191" i="2" s="1"/>
  <c r="H183" i="1"/>
  <c r="M183" i="1" s="1"/>
  <c r="G192" i="2" l="1"/>
  <c r="K192" i="2" s="1"/>
  <c r="L192" i="2" s="1"/>
  <c r="N191" i="2"/>
  <c r="I183" i="1"/>
  <c r="L183" i="1" s="1"/>
  <c r="H192" i="2" l="1"/>
  <c r="I192" i="2" s="1"/>
  <c r="M192" i="2" s="1"/>
  <c r="G184" i="1"/>
  <c r="J184" i="1" s="1"/>
  <c r="K184" i="1" s="1"/>
  <c r="N192" i="2" l="1"/>
  <c r="G193" i="2"/>
  <c r="K193" i="2" s="1"/>
  <c r="L193" i="2" s="1"/>
  <c r="H184" i="1"/>
  <c r="M184" i="1" s="1"/>
  <c r="H193" i="2" l="1"/>
  <c r="I193" i="2" s="1"/>
  <c r="M193" i="2" s="1"/>
  <c r="I184" i="1"/>
  <c r="L184" i="1" s="1"/>
  <c r="N193" i="2" l="1"/>
  <c r="G194" i="2"/>
  <c r="K194" i="2" s="1"/>
  <c r="L194" i="2" s="1"/>
  <c r="G185" i="1"/>
  <c r="J185" i="1" s="1"/>
  <c r="K185" i="1" s="1"/>
  <c r="H194" i="2" l="1"/>
  <c r="I194" i="2" s="1"/>
  <c r="M194" i="2" s="1"/>
  <c r="H185" i="1"/>
  <c r="I185" i="1" s="1"/>
  <c r="L185" i="1" s="1"/>
  <c r="N194" i="2" l="1"/>
  <c r="G195" i="2"/>
  <c r="K195" i="2" s="1"/>
  <c r="L195" i="2" s="1"/>
  <c r="M185" i="1"/>
  <c r="G186" i="1"/>
  <c r="H195" i="2" l="1"/>
  <c r="I195" i="2" s="1"/>
  <c r="H186" i="1"/>
  <c r="J186" i="1"/>
  <c r="K186" i="1" s="1"/>
  <c r="N195" i="2" l="1"/>
  <c r="M195" i="2"/>
  <c r="G196" i="2"/>
  <c r="K196" i="2" s="1"/>
  <c r="L196" i="2" s="1"/>
  <c r="M186" i="1"/>
  <c r="I186" i="1"/>
  <c r="L186" i="1" s="1"/>
  <c r="H196" i="2" l="1"/>
  <c r="I196" i="2" s="1"/>
  <c r="G187" i="1"/>
  <c r="N196" i="2" l="1"/>
  <c r="M196" i="2"/>
  <c r="G197" i="2"/>
  <c r="K197" i="2" s="1"/>
  <c r="L197" i="2" s="1"/>
  <c r="H187" i="1"/>
  <c r="J187" i="1"/>
  <c r="K187" i="1" s="1"/>
  <c r="H197" i="2" l="1"/>
  <c r="I197" i="2" s="1"/>
  <c r="M197" i="2" s="1"/>
  <c r="I187" i="1"/>
  <c r="L187" i="1" s="1"/>
  <c r="M187" i="1"/>
  <c r="N197" i="2" l="1"/>
  <c r="G198" i="2"/>
  <c r="K198" i="2" s="1"/>
  <c r="L198" i="2" s="1"/>
  <c r="G188" i="1"/>
  <c r="J188" i="1" s="1"/>
  <c r="K188" i="1" s="1"/>
  <c r="H198" i="2" l="1"/>
  <c r="I198" i="2" s="1"/>
  <c r="M198" i="2" s="1"/>
  <c r="H188" i="1"/>
  <c r="M188" i="1" s="1"/>
  <c r="N198" i="2" l="1"/>
  <c r="G199" i="2"/>
  <c r="I188" i="1"/>
  <c r="L188" i="1" s="1"/>
  <c r="K199" i="2" l="1"/>
  <c r="L199" i="2" s="1"/>
  <c r="H199" i="2"/>
  <c r="G189" i="1"/>
  <c r="H189" i="1" s="1"/>
  <c r="J189" i="1" l="1"/>
  <c r="K189" i="1" s="1"/>
  <c r="I199" i="2"/>
  <c r="M199" i="2" s="1"/>
  <c r="N199" i="2"/>
  <c r="I189" i="1"/>
  <c r="L189" i="1" s="1"/>
  <c r="M189" i="1"/>
  <c r="G200" i="2" l="1"/>
  <c r="K200" i="2" s="1"/>
  <c r="L200" i="2" s="1"/>
  <c r="G190" i="1"/>
  <c r="J190" i="1" s="1"/>
  <c r="K190" i="1" s="1"/>
  <c r="H200" i="2" l="1"/>
  <c r="I200" i="2" s="1"/>
  <c r="H190" i="1"/>
  <c r="I190" i="1" s="1"/>
  <c r="L190" i="1" s="1"/>
  <c r="M200" i="2" l="1"/>
  <c r="G201" i="2"/>
  <c r="H201" i="2" s="1"/>
  <c r="N200" i="2"/>
  <c r="M190" i="1"/>
  <c r="G191" i="1"/>
  <c r="K201" i="2" l="1"/>
  <c r="L201" i="2" s="1"/>
  <c r="I201" i="2"/>
  <c r="M201" i="2" s="1"/>
  <c r="N201" i="2"/>
  <c r="H191" i="1"/>
  <c r="J191" i="1"/>
  <c r="K191" i="1" s="1"/>
  <c r="G202" i="2" l="1"/>
  <c r="K202" i="2" s="1"/>
  <c r="L202" i="2" s="1"/>
  <c r="I191" i="1"/>
  <c r="L191" i="1" s="1"/>
  <c r="M191" i="1"/>
  <c r="H202" i="2" l="1"/>
  <c r="I202" i="2" s="1"/>
  <c r="M202" i="2" s="1"/>
  <c r="G192" i="1"/>
  <c r="J192" i="1" s="1"/>
  <c r="K192" i="1" s="1"/>
  <c r="N202" i="2" l="1"/>
  <c r="G203" i="2"/>
  <c r="H192" i="1"/>
  <c r="I192" i="1" s="1"/>
  <c r="L192" i="1" s="1"/>
  <c r="K203" i="2" l="1"/>
  <c r="L203" i="2" s="1"/>
  <c r="H203" i="2"/>
  <c r="M192" i="1"/>
  <c r="G193" i="1"/>
  <c r="H193" i="1" s="1"/>
  <c r="I203" i="2" l="1"/>
  <c r="M203" i="2" s="1"/>
  <c r="N203" i="2"/>
  <c r="J193" i="1"/>
  <c r="K193" i="1" s="1"/>
  <c r="I193" i="1"/>
  <c r="L193" i="1" s="1"/>
  <c r="M193" i="1"/>
  <c r="G204" i="2" l="1"/>
  <c r="K204" i="2" s="1"/>
  <c r="L204" i="2" s="1"/>
  <c r="G194" i="1"/>
  <c r="H194" i="1" s="1"/>
  <c r="H204" i="2" l="1"/>
  <c r="I204" i="2" s="1"/>
  <c r="J194" i="1"/>
  <c r="K194" i="1" s="1"/>
  <c r="I194" i="1"/>
  <c r="L194" i="1" s="1"/>
  <c r="M194" i="1"/>
  <c r="M204" i="2" l="1"/>
  <c r="G205" i="2"/>
  <c r="H205" i="2" s="1"/>
  <c r="N204" i="2"/>
  <c r="G195" i="1"/>
  <c r="H195" i="1" s="1"/>
  <c r="K205" i="2" l="1"/>
  <c r="L205" i="2" s="1"/>
  <c r="I205" i="2"/>
  <c r="M205" i="2" s="1"/>
  <c r="N205" i="2"/>
  <c r="J195" i="1"/>
  <c r="K195" i="1" s="1"/>
  <c r="I195" i="1"/>
  <c r="L195" i="1" s="1"/>
  <c r="M195" i="1"/>
  <c r="G206" i="2" l="1"/>
  <c r="K206" i="2" s="1"/>
  <c r="L206" i="2" s="1"/>
  <c r="G196" i="1"/>
  <c r="J196" i="1" s="1"/>
  <c r="K196" i="1" s="1"/>
  <c r="H206" i="2" l="1"/>
  <c r="I206" i="2" s="1"/>
  <c r="M206" i="2" s="1"/>
  <c r="H196" i="1"/>
  <c r="I196" i="1" s="1"/>
  <c r="N206" i="2" l="1"/>
  <c r="G207" i="2"/>
  <c r="K207" i="2" s="1"/>
  <c r="L207" i="2" s="1"/>
  <c r="M196" i="1"/>
  <c r="L196" i="1"/>
  <c r="G197" i="1"/>
  <c r="H197" i="1" s="1"/>
  <c r="H207" i="2" l="1"/>
  <c r="I207" i="2" s="1"/>
  <c r="J197" i="1"/>
  <c r="K197" i="1" s="1"/>
  <c r="M197" i="1"/>
  <c r="I197" i="1"/>
  <c r="L197" i="1" s="1"/>
  <c r="N207" i="2" l="1"/>
  <c r="M207" i="2"/>
  <c r="G208" i="2"/>
  <c r="K208" i="2" s="1"/>
  <c r="L208" i="2" s="1"/>
  <c r="G198" i="1"/>
  <c r="H208" i="2" l="1"/>
  <c r="I208" i="2" s="1"/>
  <c r="M208" i="2" s="1"/>
  <c r="J198" i="1"/>
  <c r="K198" i="1" s="1"/>
  <c r="H198" i="1"/>
  <c r="N208" i="2" l="1"/>
  <c r="G209" i="2"/>
  <c r="K209" i="2" s="1"/>
  <c r="L209" i="2" s="1"/>
  <c r="M198" i="1"/>
  <c r="I198" i="1"/>
  <c r="L198" i="1" s="1"/>
  <c r="H209" i="2" l="1"/>
  <c r="I209" i="2" s="1"/>
  <c r="M209" i="2" s="1"/>
  <c r="G199" i="1"/>
  <c r="J199" i="1" s="1"/>
  <c r="K199" i="1" s="1"/>
  <c r="N209" i="2" l="1"/>
  <c r="G210" i="2"/>
  <c r="K210" i="2" s="1"/>
  <c r="L210" i="2" s="1"/>
  <c r="H199" i="1"/>
  <c r="M199" i="1" s="1"/>
  <c r="H210" i="2" l="1"/>
  <c r="I210" i="2" s="1"/>
  <c r="M210" i="2" s="1"/>
  <c r="I199" i="1"/>
  <c r="L199" i="1" s="1"/>
  <c r="N210" i="2" l="1"/>
  <c r="G211" i="2"/>
  <c r="G200" i="1"/>
  <c r="J200" i="1" s="1"/>
  <c r="K200" i="1" s="1"/>
  <c r="K211" i="2" l="1"/>
  <c r="L211" i="2" s="1"/>
  <c r="H211" i="2"/>
  <c r="H200" i="1"/>
  <c r="I200" i="1" s="1"/>
  <c r="L200" i="1" s="1"/>
  <c r="M200" i="1" l="1"/>
  <c r="I211" i="2"/>
  <c r="M211" i="2" s="1"/>
  <c r="N211" i="2"/>
  <c r="G201" i="1"/>
  <c r="H201" i="1" s="1"/>
  <c r="G212" i="2" l="1"/>
  <c r="K212" i="2" s="1"/>
  <c r="L212" i="2" s="1"/>
  <c r="J201" i="1"/>
  <c r="K201" i="1" s="1"/>
  <c r="I201" i="1"/>
  <c r="M201" i="1"/>
  <c r="H212" i="2" l="1"/>
  <c r="I212" i="2" s="1"/>
  <c r="M212" i="2" s="1"/>
  <c r="G202" i="1"/>
  <c r="L201" i="1"/>
  <c r="N212" i="2" l="1"/>
  <c r="G213" i="2"/>
  <c r="K213" i="2" s="1"/>
  <c r="L213" i="2" s="1"/>
  <c r="J202" i="1"/>
  <c r="K202" i="1" s="1"/>
  <c r="H202" i="1"/>
  <c r="H213" i="2" l="1"/>
  <c r="I213" i="2" s="1"/>
  <c r="I202" i="1"/>
  <c r="L202" i="1" s="1"/>
  <c r="M202" i="1"/>
  <c r="N213" i="2" l="1"/>
  <c r="M213" i="2"/>
  <c r="G214" i="2"/>
  <c r="K214" i="2" s="1"/>
  <c r="L214" i="2" s="1"/>
  <c r="G203" i="1"/>
  <c r="H214" i="2" l="1"/>
  <c r="N214" i="2" s="1"/>
  <c r="J203" i="1"/>
  <c r="K203" i="1" s="1"/>
  <c r="H203" i="1"/>
  <c r="I214" i="2" l="1"/>
  <c r="M214" i="2" s="1"/>
  <c r="I203" i="1"/>
  <c r="L203" i="1" s="1"/>
  <c r="M203" i="1"/>
  <c r="G215" i="2" l="1"/>
  <c r="K215" i="2" s="1"/>
  <c r="L215" i="2" s="1"/>
  <c r="G204" i="1"/>
  <c r="H204" i="1" s="1"/>
  <c r="H215" i="2" l="1"/>
  <c r="I215" i="2" s="1"/>
  <c r="M215" i="2" s="1"/>
  <c r="J204" i="1"/>
  <c r="K204" i="1" s="1"/>
  <c r="I204" i="1"/>
  <c r="L204" i="1" s="1"/>
  <c r="M204" i="1"/>
  <c r="G216" i="2" l="1"/>
  <c r="K216" i="2" s="1"/>
  <c r="L216" i="2" s="1"/>
  <c r="N215" i="2"/>
  <c r="G205" i="1"/>
  <c r="J205" i="1" s="1"/>
  <c r="K205" i="1" s="1"/>
  <c r="H216" i="2" l="1"/>
  <c r="I216" i="2" s="1"/>
  <c r="M216" i="2" s="1"/>
  <c r="H205" i="1"/>
  <c r="I205" i="1" s="1"/>
  <c r="G217" i="2" l="1"/>
  <c r="K217" i="2" s="1"/>
  <c r="L217" i="2" s="1"/>
  <c r="N216" i="2"/>
  <c r="M205" i="1"/>
  <c r="L205" i="1"/>
  <c r="G206" i="1"/>
  <c r="H217" i="2" l="1"/>
  <c r="I217" i="2" s="1"/>
  <c r="M217" i="2" s="1"/>
  <c r="J206" i="1"/>
  <c r="K206" i="1" s="1"/>
  <c r="H206" i="1"/>
  <c r="G218" i="2" l="1"/>
  <c r="K218" i="2" s="1"/>
  <c r="L218" i="2" s="1"/>
  <c r="N217" i="2"/>
  <c r="M206" i="1"/>
  <c r="I206" i="1"/>
  <c r="H218" i="2" l="1"/>
  <c r="I218" i="2" s="1"/>
  <c r="M218" i="2" s="1"/>
  <c r="L206" i="1"/>
  <c r="G207" i="1"/>
  <c r="G219" i="2" l="1"/>
  <c r="K219" i="2" s="1"/>
  <c r="L219" i="2" s="1"/>
  <c r="N218" i="2"/>
  <c r="J207" i="1"/>
  <c r="K207" i="1" s="1"/>
  <c r="H207" i="1"/>
  <c r="H219" i="2" l="1"/>
  <c r="I219" i="2" s="1"/>
  <c r="M219" i="2" s="1"/>
  <c r="M207" i="1"/>
  <c r="I207" i="1"/>
  <c r="N219" i="2" l="1"/>
  <c r="G220" i="2"/>
  <c r="K220" i="2" s="1"/>
  <c r="L220" i="2" s="1"/>
  <c r="L207" i="1"/>
  <c r="G208" i="1"/>
  <c r="H220" i="2" l="1"/>
  <c r="N220" i="2" s="1"/>
  <c r="J208" i="1"/>
  <c r="K208" i="1" s="1"/>
  <c r="H208" i="1"/>
  <c r="I220" i="2" l="1"/>
  <c r="M220" i="2" s="1"/>
  <c r="I208" i="1"/>
  <c r="M208" i="1"/>
  <c r="G221" i="2" l="1"/>
  <c r="K221" i="2" s="1"/>
  <c r="L221" i="2" s="1"/>
  <c r="G209" i="1"/>
  <c r="L208" i="1"/>
  <c r="H221" i="2" l="1"/>
  <c r="I221" i="2" s="1"/>
  <c r="M221" i="2" s="1"/>
  <c r="J209" i="1"/>
  <c r="K209" i="1" s="1"/>
  <c r="H209" i="1"/>
  <c r="N221" i="2" l="1"/>
  <c r="G222" i="2"/>
  <c r="I209" i="1"/>
  <c r="M209" i="1"/>
  <c r="K222" i="2" l="1"/>
  <c r="L222" i="2" s="1"/>
  <c r="H222" i="2"/>
  <c r="L209" i="1"/>
  <c r="G210" i="1"/>
  <c r="I222" i="2" l="1"/>
  <c r="M222" i="2" s="1"/>
  <c r="N222" i="2"/>
  <c r="J210" i="1"/>
  <c r="K210" i="1" s="1"/>
  <c r="H210" i="1"/>
  <c r="G223" i="2" l="1"/>
  <c r="K223" i="2" s="1"/>
  <c r="L223" i="2" s="1"/>
  <c r="I210" i="1"/>
  <c r="L210" i="1" s="1"/>
  <c r="M210" i="1"/>
  <c r="H223" i="2" l="1"/>
  <c r="I223" i="2" s="1"/>
  <c r="M223" i="2" s="1"/>
  <c r="G211" i="1"/>
  <c r="H211" i="1" s="1"/>
  <c r="N223" i="2" l="1"/>
  <c r="G224" i="2"/>
  <c r="K224" i="2" s="1"/>
  <c r="L224" i="2" s="1"/>
  <c r="J211" i="1"/>
  <c r="K211" i="1" s="1"/>
  <c r="M211" i="1"/>
  <c r="I211" i="1"/>
  <c r="H224" i="2" l="1"/>
  <c r="I224" i="2" s="1"/>
  <c r="M224" i="2" s="1"/>
  <c r="G212" i="1"/>
  <c r="L211" i="1"/>
  <c r="N224" i="2" l="1"/>
  <c r="G225" i="2"/>
  <c r="K225" i="2" s="1"/>
  <c r="L225" i="2" s="1"/>
  <c r="H212" i="1"/>
  <c r="J212" i="1"/>
  <c r="K212" i="1" s="1"/>
  <c r="H225" i="2" l="1"/>
  <c r="I225" i="2" s="1"/>
  <c r="I212" i="1"/>
  <c r="M212" i="1"/>
  <c r="N225" i="2" l="1"/>
  <c r="M225" i="2"/>
  <c r="G226" i="2"/>
  <c r="K226" i="2" s="1"/>
  <c r="L226" i="2" s="1"/>
  <c r="G213" i="1"/>
  <c r="L212" i="1"/>
  <c r="H226" i="2" l="1"/>
  <c r="I226" i="2" s="1"/>
  <c r="M226" i="2" s="1"/>
  <c r="H213" i="1"/>
  <c r="J213" i="1"/>
  <c r="K213" i="1" s="1"/>
  <c r="N226" i="2" l="1"/>
  <c r="G227" i="2"/>
  <c r="K227" i="2" s="1"/>
  <c r="L227" i="2" s="1"/>
  <c r="M213" i="1"/>
  <c r="I213" i="1"/>
  <c r="H227" i="2" l="1"/>
  <c r="I227" i="2" s="1"/>
  <c r="M227" i="2" s="1"/>
  <c r="L213" i="1"/>
  <c r="G214" i="1"/>
  <c r="N227" i="2" l="1"/>
  <c r="G228" i="2"/>
  <c r="K228" i="2" s="1"/>
  <c r="L228" i="2" s="1"/>
  <c r="J214" i="1"/>
  <c r="K214" i="1" s="1"/>
  <c r="H214" i="1"/>
  <c r="H228" i="2" l="1"/>
  <c r="I228" i="2" s="1"/>
  <c r="M228" i="2" s="1"/>
  <c r="M214" i="1"/>
  <c r="I214" i="1"/>
  <c r="L214" i="1" s="1"/>
  <c r="N228" i="2" l="1"/>
  <c r="G229" i="2"/>
  <c r="K229" i="2" s="1"/>
  <c r="L229" i="2" s="1"/>
  <c r="G215" i="1"/>
  <c r="H229" i="2" l="1"/>
  <c r="I229" i="2" s="1"/>
  <c r="J215" i="1"/>
  <c r="K215" i="1" s="1"/>
  <c r="H215" i="1"/>
  <c r="N229" i="2" l="1"/>
  <c r="M229" i="2"/>
  <c r="G230" i="2"/>
  <c r="H230" i="2" s="1"/>
  <c r="M215" i="1"/>
  <c r="I215" i="1"/>
  <c r="L215" i="1" s="1"/>
  <c r="K230" i="2" l="1"/>
  <c r="L230" i="2" s="1"/>
  <c r="N230" i="2"/>
  <c r="I230" i="2"/>
  <c r="M230" i="2" s="1"/>
  <c r="G216" i="1"/>
  <c r="H216" i="1" s="1"/>
  <c r="G231" i="2" l="1"/>
  <c r="K231" i="2" s="1"/>
  <c r="L231" i="2" s="1"/>
  <c r="J216" i="1"/>
  <c r="K216" i="1" s="1"/>
  <c r="I216" i="1"/>
  <c r="M216" i="1"/>
  <c r="H231" i="2" l="1"/>
  <c r="I231" i="2" s="1"/>
  <c r="M231" i="2" s="1"/>
  <c r="L216" i="1"/>
  <c r="G217" i="1"/>
  <c r="N231" i="2" l="1"/>
  <c r="G232" i="2"/>
  <c r="K232" i="2" s="1"/>
  <c r="L232" i="2" s="1"/>
  <c r="H217" i="1"/>
  <c r="J217" i="1"/>
  <c r="K217" i="1" s="1"/>
  <c r="H232" i="2" l="1"/>
  <c r="I232" i="2" s="1"/>
  <c r="M232" i="2" s="1"/>
  <c r="M217" i="1"/>
  <c r="I217" i="1"/>
  <c r="G233" i="2" l="1"/>
  <c r="H233" i="2" s="1"/>
  <c r="N232" i="2"/>
  <c r="L217" i="1"/>
  <c r="G218" i="1"/>
  <c r="K233" i="2" l="1"/>
  <c r="L233" i="2" s="1"/>
  <c r="N233" i="2"/>
  <c r="I233" i="2"/>
  <c r="H218" i="1"/>
  <c r="J218" i="1"/>
  <c r="K218" i="1" s="1"/>
  <c r="M233" i="2" l="1"/>
  <c r="G234" i="2"/>
  <c r="I218" i="1"/>
  <c r="M218" i="1"/>
  <c r="K234" i="2" l="1"/>
  <c r="L234" i="2" s="1"/>
  <c r="H234" i="2"/>
  <c r="L218" i="1"/>
  <c r="G219" i="1"/>
  <c r="I234" i="2" l="1"/>
  <c r="M234" i="2" s="1"/>
  <c r="N234" i="2"/>
  <c r="J219" i="1"/>
  <c r="K219" i="1" s="1"/>
  <c r="H219" i="1"/>
  <c r="G235" i="2" l="1"/>
  <c r="H235" i="2" s="1"/>
  <c r="M219" i="1"/>
  <c r="I219" i="1"/>
  <c r="L219" i="1" s="1"/>
  <c r="K235" i="2" l="1"/>
  <c r="L235" i="2" s="1"/>
  <c r="I235" i="2"/>
  <c r="M235" i="2" s="1"/>
  <c r="N235" i="2"/>
  <c r="G220" i="1"/>
  <c r="H220" i="1" s="1"/>
  <c r="G236" i="2" l="1"/>
  <c r="K236" i="2" s="1"/>
  <c r="L236" i="2" s="1"/>
  <c r="J220" i="1"/>
  <c r="K220" i="1" s="1"/>
  <c r="M220" i="1"/>
  <c r="I220" i="1"/>
  <c r="H236" i="2" l="1"/>
  <c r="I236" i="2" s="1"/>
  <c r="M236" i="2" s="1"/>
  <c r="L220" i="1"/>
  <c r="G221" i="1"/>
  <c r="N236" i="2" l="1"/>
  <c r="G237" i="2"/>
  <c r="K237" i="2" s="1"/>
  <c r="L237" i="2" s="1"/>
  <c r="H221" i="1"/>
  <c r="J221" i="1"/>
  <c r="K221" i="1" s="1"/>
  <c r="H237" i="2" l="1"/>
  <c r="I237" i="2" s="1"/>
  <c r="M237" i="2" s="1"/>
  <c r="M221" i="1"/>
  <c r="I221" i="1"/>
  <c r="L221" i="1" s="1"/>
  <c r="N237" i="2" l="1"/>
  <c r="G238" i="2"/>
  <c r="K238" i="2" s="1"/>
  <c r="L238" i="2" s="1"/>
  <c r="G222" i="1"/>
  <c r="H238" i="2" l="1"/>
  <c r="I238" i="2" s="1"/>
  <c r="M238" i="2" s="1"/>
  <c r="J222" i="1"/>
  <c r="K222" i="1" s="1"/>
  <c r="H222" i="1"/>
  <c r="N238" i="2" l="1"/>
  <c r="G239" i="2"/>
  <c r="K239" i="2" s="1"/>
  <c r="L239" i="2" s="1"/>
  <c r="I222" i="1"/>
  <c r="L222" i="1" s="1"/>
  <c r="M222" i="1"/>
  <c r="H239" i="2" l="1"/>
  <c r="I239" i="2" s="1"/>
  <c r="M239" i="2" s="1"/>
  <c r="G223" i="1"/>
  <c r="J223" i="1" s="1"/>
  <c r="K223" i="1" s="1"/>
  <c r="N239" i="2" l="1"/>
  <c r="G240" i="2"/>
  <c r="H240" i="2" s="1"/>
  <c r="H223" i="1"/>
  <c r="M223" i="1" s="1"/>
  <c r="K240" i="2" l="1"/>
  <c r="L240" i="2" s="1"/>
  <c r="I223" i="1"/>
  <c r="L223" i="1" s="1"/>
  <c r="N240" i="2"/>
  <c r="I240" i="2"/>
  <c r="M240" i="2" s="1"/>
  <c r="G224" i="1" l="1"/>
  <c r="J224" i="1" s="1"/>
  <c r="K224" i="1" s="1"/>
  <c r="G241" i="2"/>
  <c r="H224" i="1" l="1"/>
  <c r="M224" i="1" s="1"/>
  <c r="H241" i="2"/>
  <c r="K241" i="2"/>
  <c r="L241" i="2" s="1"/>
  <c r="I224" i="1" l="1"/>
  <c r="L224" i="1" s="1"/>
  <c r="N241" i="2"/>
  <c r="I241" i="2"/>
  <c r="M241" i="2" s="1"/>
  <c r="G225" i="1" l="1"/>
  <c r="H225" i="1" s="1"/>
  <c r="M225" i="1" s="1"/>
  <c r="G242" i="2"/>
  <c r="K242" i="2" s="1"/>
  <c r="L242" i="2" s="1"/>
  <c r="J225" i="1" l="1"/>
  <c r="K225" i="1" s="1"/>
  <c r="I225" i="1"/>
  <c r="L225" i="1" s="1"/>
  <c r="H242" i="2"/>
  <c r="I242" i="2" s="1"/>
  <c r="M242" i="2" s="1"/>
  <c r="G226" i="1" l="1"/>
  <c r="J226" i="1" s="1"/>
  <c r="K226" i="1" s="1"/>
  <c r="N242" i="2"/>
  <c r="G243" i="2"/>
  <c r="H243" i="2" s="1"/>
  <c r="H226" i="1" l="1"/>
  <c r="I226" i="1" s="1"/>
  <c r="L226" i="1" s="1"/>
  <c r="K243" i="2"/>
  <c r="L243" i="2" s="1"/>
  <c r="I243" i="2"/>
  <c r="M243" i="2" s="1"/>
  <c r="N243" i="2"/>
  <c r="G227" i="1" l="1"/>
  <c r="H227" i="1" s="1"/>
  <c r="M227" i="1" s="1"/>
  <c r="M226" i="1"/>
  <c r="G244" i="2"/>
  <c r="K244" i="2" s="1"/>
  <c r="L244" i="2" s="1"/>
  <c r="J227" i="1" l="1"/>
  <c r="K227" i="1" s="1"/>
  <c r="I227" i="1"/>
  <c r="L227" i="1" s="1"/>
  <c r="H244" i="2"/>
  <c r="I244" i="2" s="1"/>
  <c r="M244" i="2" s="1"/>
  <c r="G228" i="1" l="1"/>
  <c r="H228" i="1" s="1"/>
  <c r="M228" i="1" s="1"/>
  <c r="N244" i="2"/>
  <c r="G245" i="2"/>
  <c r="H245" i="2" s="1"/>
  <c r="I228" i="1" l="1"/>
  <c r="L228" i="1" s="1"/>
  <c r="J228" i="1"/>
  <c r="K228" i="1" s="1"/>
  <c r="K245" i="2"/>
  <c r="L245" i="2" s="1"/>
  <c r="I245" i="2"/>
  <c r="M245" i="2" s="1"/>
  <c r="N245" i="2"/>
  <c r="G229" i="1" l="1"/>
  <c r="H229" i="1" s="1"/>
  <c r="G246" i="2"/>
  <c r="K246" i="2" s="1"/>
  <c r="L246" i="2" s="1"/>
  <c r="J229" i="1" l="1"/>
  <c r="K229" i="1" s="1"/>
  <c r="H246" i="2"/>
  <c r="I246" i="2" s="1"/>
  <c r="M246" i="2" s="1"/>
  <c r="M229" i="1"/>
  <c r="I229" i="1"/>
  <c r="L229" i="1" s="1"/>
  <c r="N246" i="2" l="1"/>
  <c r="G247" i="2"/>
  <c r="K247" i="2" s="1"/>
  <c r="L247" i="2" s="1"/>
  <c r="G230" i="1"/>
  <c r="H230" i="1" s="1"/>
  <c r="H247" i="2" l="1"/>
  <c r="N247" i="2" s="1"/>
  <c r="J230" i="1"/>
  <c r="K230" i="1" s="1"/>
  <c r="I230" i="1"/>
  <c r="L230" i="1" s="1"/>
  <c r="M230" i="1"/>
  <c r="I247" i="2" l="1"/>
  <c r="M247" i="2" s="1"/>
  <c r="G231" i="1"/>
  <c r="H231" i="1" s="1"/>
  <c r="G248" i="2" l="1"/>
  <c r="H248" i="2" s="1"/>
  <c r="J231" i="1"/>
  <c r="K231" i="1" s="1"/>
  <c r="I231" i="1"/>
  <c r="L231" i="1" s="1"/>
  <c r="M231" i="1"/>
  <c r="K248" i="2" l="1"/>
  <c r="L248" i="2" s="1"/>
  <c r="N248" i="2"/>
  <c r="I248" i="2"/>
  <c r="M248" i="2" s="1"/>
  <c r="G232" i="1"/>
  <c r="J232" i="1" s="1"/>
  <c r="K232" i="1" s="1"/>
  <c r="G249" i="2" l="1"/>
  <c r="H232" i="1"/>
  <c r="I232" i="1" s="1"/>
  <c r="K249" i="2" l="1"/>
  <c r="L249" i="2" s="1"/>
  <c r="H249" i="2"/>
  <c r="L232" i="1"/>
  <c r="G233" i="1"/>
  <c r="J233" i="1" s="1"/>
  <c r="K233" i="1" s="1"/>
  <c r="M232" i="1"/>
  <c r="I249" i="2" l="1"/>
  <c r="M249" i="2" s="1"/>
  <c r="N249" i="2"/>
  <c r="H233" i="1"/>
  <c r="M233" i="1" s="1"/>
  <c r="G250" i="2" l="1"/>
  <c r="I233" i="1"/>
  <c r="L233" i="1" s="1"/>
  <c r="K250" i="2" l="1"/>
  <c r="L250" i="2" s="1"/>
  <c r="H250" i="2"/>
  <c r="G234" i="1"/>
  <c r="H234" i="1" s="1"/>
  <c r="N250" i="2" l="1"/>
  <c r="I250" i="2"/>
  <c r="M250" i="2" s="1"/>
  <c r="J234" i="1"/>
  <c r="K234" i="1" s="1"/>
  <c r="I234" i="1"/>
  <c r="M234" i="1"/>
  <c r="G251" i="2" l="1"/>
  <c r="H251" i="2" s="1"/>
  <c r="L234" i="1"/>
  <c r="G235" i="1"/>
  <c r="K251" i="2" l="1"/>
  <c r="L251" i="2" s="1"/>
  <c r="N251" i="2"/>
  <c r="I251" i="2"/>
  <c r="M251" i="2" s="1"/>
  <c r="J235" i="1"/>
  <c r="K235" i="1" s="1"/>
  <c r="H235" i="1"/>
  <c r="G252" i="2" l="1"/>
  <c r="K252" i="2" s="1"/>
  <c r="L252" i="2" s="1"/>
  <c r="I235" i="1"/>
  <c r="L235" i="1" s="1"/>
  <c r="M235" i="1"/>
  <c r="H252" i="2" l="1"/>
  <c r="I252" i="2" s="1"/>
  <c r="M252" i="2" s="1"/>
  <c r="G236" i="1"/>
  <c r="J236" i="1" s="1"/>
  <c r="K236" i="1" s="1"/>
  <c r="N252" i="2" l="1"/>
  <c r="G253" i="2"/>
  <c r="H253" i="2" s="1"/>
  <c r="H236" i="1"/>
  <c r="I236" i="1" s="1"/>
  <c r="L236" i="1" s="1"/>
  <c r="K253" i="2" l="1"/>
  <c r="L253" i="2" s="1"/>
  <c r="I253" i="2"/>
  <c r="M253" i="2" s="1"/>
  <c r="N253" i="2"/>
  <c r="M236" i="1"/>
  <c r="G237" i="1"/>
  <c r="H237" i="1" s="1"/>
  <c r="G254" i="2" l="1"/>
  <c r="K254" i="2" s="1"/>
  <c r="L254" i="2" s="1"/>
  <c r="J237" i="1"/>
  <c r="K237" i="1" s="1"/>
  <c r="I237" i="1"/>
  <c r="M237" i="1"/>
  <c r="H254" i="2" l="1"/>
  <c r="I254" i="2" s="1"/>
  <c r="L237" i="1"/>
  <c r="G238" i="1"/>
  <c r="N254" i="2" l="1"/>
  <c r="M254" i="2"/>
  <c r="G255" i="2"/>
  <c r="H255" i="2" s="1"/>
  <c r="H238" i="1"/>
  <c r="J238" i="1"/>
  <c r="K238" i="1" s="1"/>
  <c r="K255" i="2" l="1"/>
  <c r="L255" i="2" s="1"/>
  <c r="I255" i="2"/>
  <c r="M255" i="2" s="1"/>
  <c r="N255" i="2"/>
  <c r="M238" i="1"/>
  <c r="I238" i="1"/>
  <c r="L238" i="1" s="1"/>
  <c r="G256" i="2" l="1"/>
  <c r="H256" i="2" s="1"/>
  <c r="G239" i="1"/>
  <c r="J239" i="1" s="1"/>
  <c r="K239" i="1" s="1"/>
  <c r="K256" i="2" l="1"/>
  <c r="L256" i="2" s="1"/>
  <c r="N256" i="2"/>
  <c r="I256" i="2"/>
  <c r="M256" i="2" s="1"/>
  <c r="H239" i="1"/>
  <c r="M239" i="1" s="1"/>
  <c r="G257" i="2" l="1"/>
  <c r="I239" i="1"/>
  <c r="L239" i="1" s="1"/>
  <c r="H257" i="2" l="1"/>
  <c r="K257" i="2"/>
  <c r="L257" i="2" s="1"/>
  <c r="G240" i="1"/>
  <c r="J240" i="1" s="1"/>
  <c r="K240" i="1" s="1"/>
  <c r="N257" i="2" l="1"/>
  <c r="I257" i="2"/>
  <c r="M257" i="2" s="1"/>
  <c r="H240" i="1"/>
  <c r="M240" i="1" s="1"/>
  <c r="G258" i="2" l="1"/>
  <c r="K258" i="2" s="1"/>
  <c r="L258" i="2" s="1"/>
  <c r="I240" i="1"/>
  <c r="L240" i="1" s="1"/>
  <c r="H258" i="2" l="1"/>
  <c r="I258" i="2" s="1"/>
  <c r="M258" i="2" s="1"/>
  <c r="G241" i="1"/>
  <c r="H241" i="1" s="1"/>
  <c r="N258" i="2" l="1"/>
  <c r="G259" i="2"/>
  <c r="K259" i="2" s="1"/>
  <c r="L259" i="2" s="1"/>
  <c r="J241" i="1"/>
  <c r="K241" i="1" s="1"/>
  <c r="M241" i="1"/>
  <c r="I241" i="1"/>
  <c r="L241" i="1" s="1"/>
  <c r="H259" i="2" l="1"/>
  <c r="I259" i="2" s="1"/>
  <c r="M259" i="2" s="1"/>
  <c r="G242" i="1"/>
  <c r="N259" i="2" l="1"/>
  <c r="G260" i="2"/>
  <c r="K260" i="2" s="1"/>
  <c r="L260" i="2" s="1"/>
  <c r="J242" i="1"/>
  <c r="K242" i="1" s="1"/>
  <c r="H242" i="1"/>
  <c r="H260" i="2" l="1"/>
  <c r="I260" i="2" s="1"/>
  <c r="M260" i="2" s="1"/>
  <c r="I242" i="1"/>
  <c r="L242" i="1" s="1"/>
  <c r="M242" i="1"/>
  <c r="N260" i="2" l="1"/>
  <c r="G261" i="2"/>
  <c r="K261" i="2" s="1"/>
  <c r="L261" i="2" s="1"/>
  <c r="G243" i="1"/>
  <c r="J243" i="1" s="1"/>
  <c r="K243" i="1" s="1"/>
  <c r="H261" i="2" l="1"/>
  <c r="N261" i="2" s="1"/>
  <c r="H243" i="1"/>
  <c r="M243" i="1" s="1"/>
  <c r="I261" i="2" l="1"/>
  <c r="M261" i="2" s="1"/>
  <c r="I243" i="1"/>
  <c r="L243" i="1" s="1"/>
  <c r="G262" i="2" l="1"/>
  <c r="K262" i="2" s="1"/>
  <c r="L262" i="2" s="1"/>
  <c r="G244" i="1"/>
  <c r="H244" i="1" s="1"/>
  <c r="M244" i="1" s="1"/>
  <c r="H262" i="2" l="1"/>
  <c r="I244" i="1"/>
  <c r="L244" i="1" s="1"/>
  <c r="J244" i="1"/>
  <c r="K244" i="1" s="1"/>
  <c r="I262" i="2" l="1"/>
  <c r="N262" i="2"/>
  <c r="G245" i="1"/>
  <c r="J245" i="1" s="1"/>
  <c r="K245" i="1" s="1"/>
  <c r="M262" i="2" l="1"/>
  <c r="G263" i="2"/>
  <c r="H245" i="1"/>
  <c r="M245" i="1" s="1"/>
  <c r="H263" i="2" l="1"/>
  <c r="K263" i="2"/>
  <c r="L263" i="2" s="1"/>
  <c r="I245" i="1"/>
  <c r="L245" i="1" s="1"/>
  <c r="I263" i="2" l="1"/>
  <c r="M263" i="2" s="1"/>
  <c r="N263" i="2"/>
  <c r="G246" i="1"/>
  <c r="J246" i="1" s="1"/>
  <c r="K246" i="1" s="1"/>
  <c r="G264" i="2" l="1"/>
  <c r="K264" i="2" s="1"/>
  <c r="L264" i="2" s="1"/>
  <c r="H246" i="1"/>
  <c r="I246" i="1" s="1"/>
  <c r="L246" i="1" s="1"/>
  <c r="H264" i="2" l="1"/>
  <c r="N264" i="2" s="1"/>
  <c r="M246" i="1"/>
  <c r="G247" i="1"/>
  <c r="I264" i="2" l="1"/>
  <c r="M264" i="2" s="1"/>
  <c r="H247" i="1"/>
  <c r="J247" i="1"/>
  <c r="K247" i="1" s="1"/>
  <c r="G265" i="2" l="1"/>
  <c r="K265" i="2" s="1"/>
  <c r="L265" i="2" s="1"/>
  <c r="I247" i="1"/>
  <c r="L247" i="1" s="1"/>
  <c r="M247" i="1"/>
  <c r="H265" i="2" l="1"/>
  <c r="I265" i="2" s="1"/>
  <c r="M265" i="2" s="1"/>
  <c r="G248" i="1"/>
  <c r="N265" i="2" l="1"/>
  <c r="G266" i="2"/>
  <c r="K266" i="2" s="1"/>
  <c r="L266" i="2" s="1"/>
  <c r="J248" i="1"/>
  <c r="K248" i="1" s="1"/>
  <c r="H248" i="1"/>
  <c r="H266" i="2" l="1"/>
  <c r="I266" i="2" s="1"/>
  <c r="M266" i="2" s="1"/>
  <c r="I248" i="1"/>
  <c r="L248" i="1" s="1"/>
  <c r="M248" i="1"/>
  <c r="N266" i="2" l="1"/>
  <c r="G267" i="2"/>
  <c r="H267" i="2" s="1"/>
  <c r="G249" i="1"/>
  <c r="J249" i="1" s="1"/>
  <c r="K249" i="1" s="1"/>
  <c r="K267" i="2" l="1"/>
  <c r="L267" i="2" s="1"/>
  <c r="I267" i="2"/>
  <c r="M267" i="2" s="1"/>
  <c r="N267" i="2"/>
  <c r="H249" i="1"/>
  <c r="I249" i="1" s="1"/>
  <c r="L249" i="1" s="1"/>
  <c r="G268" i="2" l="1"/>
  <c r="K268" i="2" s="1"/>
  <c r="L268" i="2" s="1"/>
  <c r="M249" i="1"/>
  <c r="G250" i="1"/>
  <c r="J250" i="1" s="1"/>
  <c r="K250" i="1" s="1"/>
  <c r="H268" i="2" l="1"/>
  <c r="I268" i="2" s="1"/>
  <c r="H250" i="1"/>
  <c r="M250" i="1" s="1"/>
  <c r="N268" i="2" l="1"/>
  <c r="M268" i="2"/>
  <c r="G269" i="2"/>
  <c r="H269" i="2" s="1"/>
  <c r="I250" i="1"/>
  <c r="L250" i="1" s="1"/>
  <c r="K269" i="2" l="1"/>
  <c r="L269" i="2" s="1"/>
  <c r="N269" i="2"/>
  <c r="I269" i="2"/>
  <c r="M269" i="2" s="1"/>
  <c r="G251" i="1"/>
  <c r="J251" i="1" s="1"/>
  <c r="K251" i="1" s="1"/>
  <c r="G270" i="2" l="1"/>
  <c r="K270" i="2" s="1"/>
  <c r="L270" i="2" s="1"/>
  <c r="H251" i="1"/>
  <c r="M251" i="1" s="1"/>
  <c r="H270" i="2" l="1"/>
  <c r="N270" i="2" s="1"/>
  <c r="I251" i="1"/>
  <c r="L251" i="1" s="1"/>
  <c r="I270" i="2" l="1"/>
  <c r="M270" i="2" s="1"/>
  <c r="G252" i="1"/>
  <c r="J252" i="1" s="1"/>
  <c r="K252" i="1" s="1"/>
  <c r="G271" i="2" l="1"/>
  <c r="H252" i="1"/>
  <c r="I252" i="1" s="1"/>
  <c r="L252" i="1" s="1"/>
  <c r="H271" i="2" l="1"/>
  <c r="K271" i="2"/>
  <c r="L271" i="2" s="1"/>
  <c r="G253" i="1"/>
  <c r="J253" i="1" s="1"/>
  <c r="K253" i="1" s="1"/>
  <c r="M252" i="1"/>
  <c r="I271" i="2" l="1"/>
  <c r="M271" i="2" s="1"/>
  <c r="N271" i="2"/>
  <c r="H253" i="1"/>
  <c r="M253" i="1" s="1"/>
  <c r="G272" i="2" l="1"/>
  <c r="K272" i="2" s="1"/>
  <c r="L272" i="2" s="1"/>
  <c r="I253" i="1"/>
  <c r="L253" i="1" s="1"/>
  <c r="H272" i="2" l="1"/>
  <c r="N272" i="2" s="1"/>
  <c r="G254" i="1"/>
  <c r="H254" i="1" s="1"/>
  <c r="M254" i="1" s="1"/>
  <c r="I254" i="1" l="1"/>
  <c r="L254" i="1" s="1"/>
  <c r="I272" i="2"/>
  <c r="M272" i="2" s="1"/>
  <c r="J254" i="1"/>
  <c r="K254" i="1" s="1"/>
  <c r="G255" i="1" l="1"/>
  <c r="H255" i="1" s="1"/>
  <c r="G273" i="2"/>
  <c r="K273" i="2" s="1"/>
  <c r="L273" i="2" s="1"/>
  <c r="J255" i="1" l="1"/>
  <c r="K255" i="1" s="1"/>
  <c r="H273" i="2"/>
  <c r="I273" i="2" s="1"/>
  <c r="M273" i="2" s="1"/>
  <c r="I255" i="1"/>
  <c r="L255" i="1" s="1"/>
  <c r="M255" i="1"/>
  <c r="N273" i="2" l="1"/>
  <c r="G274" i="2"/>
  <c r="K274" i="2" s="1"/>
  <c r="L274" i="2" s="1"/>
  <c r="G256" i="1"/>
  <c r="J256" i="1" s="1"/>
  <c r="K256" i="1" s="1"/>
  <c r="H274" i="2" l="1"/>
  <c r="N274" i="2" s="1"/>
  <c r="H256" i="1"/>
  <c r="M256" i="1" s="1"/>
  <c r="I274" i="2" l="1"/>
  <c r="M274" i="2" s="1"/>
  <c r="I256" i="1"/>
  <c r="L256" i="1" s="1"/>
  <c r="G275" i="2" l="1"/>
  <c r="H275" i="2" s="1"/>
  <c r="I275" i="2" s="1"/>
  <c r="M275" i="2" s="1"/>
  <c r="G257" i="1"/>
  <c r="J257" i="1" s="1"/>
  <c r="K257" i="1" s="1"/>
  <c r="G276" i="2" l="1"/>
  <c r="H276" i="2" s="1"/>
  <c r="K275" i="2"/>
  <c r="L275" i="2" s="1"/>
  <c r="N275" i="2"/>
  <c r="H257" i="1"/>
  <c r="M257" i="1" s="1"/>
  <c r="K276" i="2" l="1"/>
  <c r="L276" i="2" s="1"/>
  <c r="I276" i="2"/>
  <c r="M276" i="2" s="1"/>
  <c r="N276" i="2"/>
  <c r="I257" i="1"/>
  <c r="L257" i="1" s="1"/>
  <c r="G277" i="2" l="1"/>
  <c r="G258" i="1"/>
  <c r="H258" i="1" s="1"/>
  <c r="M258" i="1" s="1"/>
  <c r="K277" i="2" l="1"/>
  <c r="L277" i="2" s="1"/>
  <c r="H277" i="2"/>
  <c r="J258" i="1"/>
  <c r="K258" i="1" s="1"/>
  <c r="I258" i="1"/>
  <c r="G259" i="1" s="1"/>
  <c r="N277" i="2" l="1"/>
  <c r="I277" i="2"/>
  <c r="M277" i="2" s="1"/>
  <c r="L258" i="1"/>
  <c r="J259" i="1"/>
  <c r="K259" i="1" s="1"/>
  <c r="H259" i="1"/>
  <c r="G278" i="2" l="1"/>
  <c r="H278" i="2" s="1"/>
  <c r="I259" i="1"/>
  <c r="M259" i="1"/>
  <c r="K278" i="2" l="1"/>
  <c r="L278" i="2" s="1"/>
  <c r="N278" i="2"/>
  <c r="I278" i="2"/>
  <c r="M278" i="2" s="1"/>
  <c r="L259" i="1"/>
  <c r="G260" i="1"/>
  <c r="G279" i="2" l="1"/>
  <c r="K279" i="2" s="1"/>
  <c r="L279" i="2" s="1"/>
  <c r="H260" i="1"/>
  <c r="J260" i="1"/>
  <c r="K260" i="1" s="1"/>
  <c r="H279" i="2" l="1"/>
  <c r="I279" i="2" s="1"/>
  <c r="M279" i="2" s="1"/>
  <c r="I260" i="1"/>
  <c r="L260" i="1" s="1"/>
  <c r="M260" i="1"/>
  <c r="N279" i="2" l="1"/>
  <c r="G280" i="2"/>
  <c r="K280" i="2" s="1"/>
  <c r="L280" i="2" s="1"/>
  <c r="G261" i="1"/>
  <c r="H261" i="1" s="1"/>
  <c r="H280" i="2" l="1"/>
  <c r="I280" i="2" s="1"/>
  <c r="M280" i="2" s="1"/>
  <c r="J261" i="1"/>
  <c r="K261" i="1" s="1"/>
  <c r="M261" i="1"/>
  <c r="I261" i="1"/>
  <c r="L261" i="1" s="1"/>
  <c r="N280" i="2" l="1"/>
  <c r="G281" i="2"/>
  <c r="H281" i="2" s="1"/>
  <c r="G262" i="1"/>
  <c r="J262" i="1" s="1"/>
  <c r="K262" i="1" s="1"/>
  <c r="K281" i="2" l="1"/>
  <c r="L281" i="2" s="1"/>
  <c r="N281" i="2"/>
  <c r="I281" i="2"/>
  <c r="M281" i="2" s="1"/>
  <c r="H262" i="1"/>
  <c r="I262" i="1" s="1"/>
  <c r="L262" i="1" s="1"/>
  <c r="G282" i="2" l="1"/>
  <c r="K282" i="2" s="1"/>
  <c r="L282" i="2" s="1"/>
  <c r="M262" i="1"/>
  <c r="G263" i="1"/>
  <c r="J263" i="1" s="1"/>
  <c r="K263" i="1" s="1"/>
  <c r="H282" i="2" l="1"/>
  <c r="N282" i="2" s="1"/>
  <c r="H263" i="1"/>
  <c r="I263" i="1" s="1"/>
  <c r="L263" i="1" s="1"/>
  <c r="I282" i="2" l="1"/>
  <c r="M282" i="2" s="1"/>
  <c r="M263" i="1"/>
  <c r="G264" i="1"/>
  <c r="H264" i="1" s="1"/>
  <c r="G283" i="2" l="1"/>
  <c r="H283" i="2" s="1"/>
  <c r="N283" i="2" s="1"/>
  <c r="J264" i="1"/>
  <c r="K264" i="1" s="1"/>
  <c r="M264" i="1"/>
  <c r="I264" i="1"/>
  <c r="L264" i="1" s="1"/>
  <c r="I283" i="2" l="1"/>
  <c r="M283" i="2" s="1"/>
  <c r="K283" i="2"/>
  <c r="L283" i="2" s="1"/>
  <c r="G265" i="1"/>
  <c r="G284" i="2" l="1"/>
  <c r="H284" i="2" s="1"/>
  <c r="J265" i="1"/>
  <c r="K265" i="1" s="1"/>
  <c r="H265" i="1"/>
  <c r="K284" i="2" l="1"/>
  <c r="L284" i="2" s="1"/>
  <c r="N284" i="2"/>
  <c r="I284" i="2"/>
  <c r="M284" i="2" s="1"/>
  <c r="M265" i="1"/>
  <c r="I265" i="1"/>
  <c r="L265" i="1" s="1"/>
  <c r="G285" i="2" l="1"/>
  <c r="K285" i="2" s="1"/>
  <c r="L285" i="2" s="1"/>
  <c r="G266" i="1"/>
  <c r="H285" i="2" l="1"/>
  <c r="I285" i="2" s="1"/>
  <c r="M285" i="2" s="1"/>
  <c r="J266" i="1"/>
  <c r="K266" i="1" s="1"/>
  <c r="H266" i="1"/>
  <c r="N285" i="2" l="1"/>
  <c r="G286" i="2"/>
  <c r="K286" i="2" s="1"/>
  <c r="L286" i="2" s="1"/>
  <c r="I266" i="1"/>
  <c r="L266" i="1" s="1"/>
  <c r="M266" i="1"/>
  <c r="H286" i="2" l="1"/>
  <c r="I286" i="2" s="1"/>
  <c r="M286" i="2" s="1"/>
  <c r="G267" i="1"/>
  <c r="H267" i="1" s="1"/>
  <c r="N286" i="2" l="1"/>
  <c r="G287" i="2"/>
  <c r="H287" i="2" s="1"/>
  <c r="J267" i="1"/>
  <c r="K267" i="1" s="1"/>
  <c r="M267" i="1"/>
  <c r="I267" i="1"/>
  <c r="L267" i="1" s="1"/>
  <c r="K287" i="2" l="1"/>
  <c r="L287" i="2" s="1"/>
  <c r="N287" i="2"/>
  <c r="I287" i="2"/>
  <c r="M287" i="2" s="1"/>
  <c r="G268" i="1"/>
  <c r="J268" i="1" s="1"/>
  <c r="K268" i="1" s="1"/>
  <c r="G288" i="2" l="1"/>
  <c r="H288" i="2" s="1"/>
  <c r="H268" i="1"/>
  <c r="M268" i="1" s="1"/>
  <c r="K288" i="2" l="1"/>
  <c r="L288" i="2" s="1"/>
  <c r="N288" i="2"/>
  <c r="I288" i="2"/>
  <c r="M288" i="2" s="1"/>
  <c r="I268" i="1"/>
  <c r="L268" i="1" s="1"/>
  <c r="G289" i="2" l="1"/>
  <c r="H289" i="2" s="1"/>
  <c r="G269" i="1"/>
  <c r="H269" i="1" s="1"/>
  <c r="M269" i="1" s="1"/>
  <c r="K289" i="2" l="1"/>
  <c r="L289" i="2" s="1"/>
  <c r="N289" i="2"/>
  <c r="I289" i="2"/>
  <c r="M289" i="2" s="1"/>
  <c r="J269" i="1"/>
  <c r="K269" i="1" s="1"/>
  <c r="I269" i="1"/>
  <c r="L269" i="1" s="1"/>
  <c r="G290" i="2" l="1"/>
  <c r="G270" i="1"/>
  <c r="J270" i="1" s="1"/>
  <c r="K270" i="1" s="1"/>
  <c r="K290" i="2" l="1"/>
  <c r="L290" i="2" s="1"/>
  <c r="H290" i="2"/>
  <c r="H270" i="1"/>
  <c r="I270" i="1" s="1"/>
  <c r="L270" i="1" s="1"/>
  <c r="I290" i="2" l="1"/>
  <c r="M290" i="2" s="1"/>
  <c r="N290" i="2"/>
  <c r="M270" i="1"/>
  <c r="G271" i="1"/>
  <c r="H271" i="1" s="1"/>
  <c r="G291" i="2" l="1"/>
  <c r="K291" i="2" s="1"/>
  <c r="L291" i="2" s="1"/>
  <c r="J271" i="1"/>
  <c r="K271" i="1" s="1"/>
  <c r="I271" i="1"/>
  <c r="L271" i="1" s="1"/>
  <c r="M271" i="1"/>
  <c r="H291" i="2" l="1"/>
  <c r="N291" i="2" s="1"/>
  <c r="G272" i="1"/>
  <c r="H272" i="1" s="1"/>
  <c r="I291" i="2" l="1"/>
  <c r="M291" i="2" s="1"/>
  <c r="J272" i="1"/>
  <c r="K272" i="1" s="1"/>
  <c r="M272" i="1"/>
  <c r="I272" i="1"/>
  <c r="L272" i="1" s="1"/>
  <c r="G292" i="2" l="1"/>
  <c r="G273" i="1"/>
  <c r="J273" i="1" s="1"/>
  <c r="K273" i="1" s="1"/>
  <c r="K292" i="2" l="1"/>
  <c r="L292" i="2" s="1"/>
  <c r="H292" i="2"/>
  <c r="H273" i="1"/>
  <c r="I273" i="1" s="1"/>
  <c r="L273" i="1" s="1"/>
  <c r="I292" i="2" l="1"/>
  <c r="N292" i="2"/>
  <c r="M273" i="1"/>
  <c r="G274" i="1"/>
  <c r="J274" i="1" s="1"/>
  <c r="K274" i="1" s="1"/>
  <c r="M292" i="2" l="1"/>
  <c r="G293" i="2"/>
  <c r="H274" i="1"/>
  <c r="I274" i="1" s="1"/>
  <c r="L274" i="1" s="1"/>
  <c r="H293" i="2" l="1"/>
  <c r="K293" i="2"/>
  <c r="L293" i="2" s="1"/>
  <c r="G275" i="1"/>
  <c r="H275" i="1" s="1"/>
  <c r="M274" i="1"/>
  <c r="N293" i="2" l="1"/>
  <c r="I293" i="2"/>
  <c r="M293" i="2" s="1"/>
  <c r="J275" i="1"/>
  <c r="K275" i="1" s="1"/>
  <c r="I275" i="1"/>
  <c r="M275" i="1"/>
  <c r="G294" i="2" l="1"/>
  <c r="K294" i="2" s="1"/>
  <c r="L294" i="2" s="1"/>
  <c r="L275" i="1"/>
  <c r="G276" i="1"/>
  <c r="H294" i="2" l="1"/>
  <c r="I294" i="2" s="1"/>
  <c r="M294" i="2" s="1"/>
  <c r="H276" i="1"/>
  <c r="J276" i="1"/>
  <c r="K276" i="1" s="1"/>
  <c r="N294" i="2" l="1"/>
  <c r="G295" i="2"/>
  <c r="H295" i="2" s="1"/>
  <c r="M276" i="1"/>
  <c r="I276" i="1"/>
  <c r="L276" i="1" s="1"/>
  <c r="K295" i="2" l="1"/>
  <c r="L295" i="2" s="1"/>
  <c r="I295" i="2"/>
  <c r="M295" i="2" s="1"/>
  <c r="N295" i="2"/>
  <c r="G277" i="1"/>
  <c r="H277" i="1" s="1"/>
  <c r="G296" i="2" l="1"/>
  <c r="J277" i="1"/>
  <c r="K277" i="1" s="1"/>
  <c r="M277" i="1"/>
  <c r="I277" i="1"/>
  <c r="L277" i="1" s="1"/>
  <c r="K296" i="2" l="1"/>
  <c r="L296" i="2" s="1"/>
  <c r="H296" i="2"/>
  <c r="G278" i="1"/>
  <c r="N296" i="2" l="1"/>
  <c r="I296" i="2"/>
  <c r="M296" i="2" s="1"/>
  <c r="J278" i="1"/>
  <c r="K278" i="1" s="1"/>
  <c r="H278" i="1"/>
  <c r="G297" i="2" l="1"/>
  <c r="H297" i="2" s="1"/>
  <c r="I278" i="1"/>
  <c r="L278" i="1" s="1"/>
  <c r="M278" i="1"/>
  <c r="K297" i="2" l="1"/>
  <c r="L297" i="2" s="1"/>
  <c r="N297" i="2"/>
  <c r="I297" i="2"/>
  <c r="M297" i="2" s="1"/>
  <c r="G279" i="1"/>
  <c r="G298" i="2" l="1"/>
  <c r="J279" i="1"/>
  <c r="K279" i="1" s="1"/>
  <c r="H279" i="1"/>
  <c r="K298" i="2" l="1"/>
  <c r="L298" i="2" s="1"/>
  <c r="H298" i="2"/>
  <c r="M279" i="1"/>
  <c r="I279" i="1"/>
  <c r="L279" i="1" s="1"/>
  <c r="I298" i="2" l="1"/>
  <c r="M298" i="2" s="1"/>
  <c r="N298" i="2"/>
  <c r="G280" i="1"/>
  <c r="J280" i="1" s="1"/>
  <c r="K280" i="1" s="1"/>
  <c r="G299" i="2" l="1"/>
  <c r="H299" i="2" s="1"/>
  <c r="H280" i="1"/>
  <c r="M280" i="1" s="1"/>
  <c r="K299" i="2" l="1"/>
  <c r="L299" i="2" s="1"/>
  <c r="N299" i="2"/>
  <c r="I299" i="2"/>
  <c r="M299" i="2" s="1"/>
  <c r="I280" i="1"/>
  <c r="L280" i="1" s="1"/>
  <c r="G300" i="2" l="1"/>
  <c r="H300" i="2" s="1"/>
  <c r="G281" i="1"/>
  <c r="J281" i="1" s="1"/>
  <c r="K281" i="1" s="1"/>
  <c r="K300" i="2" l="1"/>
  <c r="L300" i="2" s="1"/>
  <c r="I300" i="2"/>
  <c r="M300" i="2" s="1"/>
  <c r="N300" i="2"/>
  <c r="H281" i="1"/>
  <c r="I281" i="1" s="1"/>
  <c r="L281" i="1" s="1"/>
  <c r="G301" i="2" l="1"/>
  <c r="H301" i="2" s="1"/>
  <c r="M281" i="1"/>
  <c r="G282" i="1"/>
  <c r="H282" i="1" s="1"/>
  <c r="M282" i="1" s="1"/>
  <c r="K301" i="2" l="1"/>
  <c r="L301" i="2" s="1"/>
  <c r="I282" i="1"/>
  <c r="L282" i="1" s="1"/>
  <c r="N301" i="2"/>
  <c r="I301" i="2"/>
  <c r="M301" i="2" s="1"/>
  <c r="J282" i="1"/>
  <c r="K282" i="1" s="1"/>
  <c r="G283" i="1" l="1"/>
  <c r="J283" i="1" s="1"/>
  <c r="K283" i="1" s="1"/>
  <c r="G302" i="2"/>
  <c r="H302" i="2" s="1"/>
  <c r="H283" i="1" l="1"/>
  <c r="M283" i="1" s="1"/>
  <c r="K302" i="2"/>
  <c r="L302" i="2" s="1"/>
  <c r="I302" i="2"/>
  <c r="M302" i="2" s="1"/>
  <c r="N302" i="2"/>
  <c r="I283" i="1" l="1"/>
  <c r="L283" i="1" s="1"/>
  <c r="G303" i="2"/>
  <c r="K303" i="2" s="1"/>
  <c r="L303" i="2" s="1"/>
  <c r="G284" i="1" l="1"/>
  <c r="J284" i="1" s="1"/>
  <c r="K284" i="1" s="1"/>
  <c r="H303" i="2"/>
  <c r="I303" i="2" s="1"/>
  <c r="M303" i="2" s="1"/>
  <c r="H284" i="1" l="1"/>
  <c r="M284" i="1" s="1"/>
  <c r="N303" i="2"/>
  <c r="G304" i="2"/>
  <c r="K304" i="2" s="1"/>
  <c r="L304" i="2" s="1"/>
  <c r="I284" i="1" l="1"/>
  <c r="L284" i="1" s="1"/>
  <c r="H304" i="2"/>
  <c r="N304" i="2" s="1"/>
  <c r="G285" i="1" l="1"/>
  <c r="J285" i="1" s="1"/>
  <c r="K285" i="1" s="1"/>
  <c r="I304" i="2"/>
  <c r="M304" i="2" s="1"/>
  <c r="H285" i="1" l="1"/>
  <c r="I285" i="1" s="1"/>
  <c r="L285" i="1" s="1"/>
  <c r="G305" i="2"/>
  <c r="K305" i="2" s="1"/>
  <c r="L305" i="2" s="1"/>
  <c r="G286" i="1" l="1"/>
  <c r="J286" i="1" s="1"/>
  <c r="K286" i="1" s="1"/>
  <c r="M285" i="1"/>
  <c r="H305" i="2"/>
  <c r="I305" i="2" s="1"/>
  <c r="M305" i="2" s="1"/>
  <c r="H286" i="1" l="1"/>
  <c r="M286" i="1" s="1"/>
  <c r="N305" i="2"/>
  <c r="G306" i="2"/>
  <c r="K306" i="2" s="1"/>
  <c r="L306" i="2" s="1"/>
  <c r="I286" i="1" l="1"/>
  <c r="G287" i="1" s="1"/>
  <c r="H306" i="2"/>
  <c r="N306" i="2" s="1"/>
  <c r="L286" i="1" l="1"/>
  <c r="I306" i="2"/>
  <c r="M306" i="2" s="1"/>
  <c r="H287" i="1"/>
  <c r="J287" i="1"/>
  <c r="K287" i="1" s="1"/>
  <c r="G307" i="2" l="1"/>
  <c r="K307" i="2" s="1"/>
  <c r="L307" i="2" s="1"/>
  <c r="I287" i="1"/>
  <c r="M287" i="1"/>
  <c r="H307" i="2" l="1"/>
  <c r="I307" i="2" s="1"/>
  <c r="M307" i="2" s="1"/>
  <c r="L287" i="1"/>
  <c r="G288" i="1"/>
  <c r="G308" i="2" l="1"/>
  <c r="K308" i="2" s="1"/>
  <c r="L308" i="2" s="1"/>
  <c r="N307" i="2"/>
  <c r="J288" i="1"/>
  <c r="K288" i="1" s="1"/>
  <c r="H288" i="1"/>
  <c r="H308" i="2" l="1"/>
  <c r="N308" i="2" s="1"/>
  <c r="I288" i="1"/>
  <c r="L288" i="1" s="1"/>
  <c r="M288" i="1"/>
  <c r="I308" i="2" l="1"/>
  <c r="M308" i="2" s="1"/>
  <c r="G289" i="1"/>
  <c r="J289" i="1" s="1"/>
  <c r="K289" i="1" s="1"/>
  <c r="G309" i="2" l="1"/>
  <c r="H309" i="2" s="1"/>
  <c r="N309" i="2" s="1"/>
  <c r="H289" i="1"/>
  <c r="I289" i="1" s="1"/>
  <c r="L289" i="1" s="1"/>
  <c r="I309" i="2" l="1"/>
  <c r="M309" i="2" s="1"/>
  <c r="K309" i="2"/>
  <c r="L309" i="2" s="1"/>
  <c r="M289" i="1"/>
  <c r="G290" i="1"/>
  <c r="G310" i="2" l="1"/>
  <c r="H310" i="2" s="1"/>
  <c r="N310" i="2" s="1"/>
  <c r="J290" i="1"/>
  <c r="K290" i="1" s="1"/>
  <c r="H290" i="1"/>
  <c r="I310" i="2" l="1"/>
  <c r="M310" i="2" s="1"/>
  <c r="K310" i="2"/>
  <c r="L310" i="2" s="1"/>
  <c r="I290" i="1"/>
  <c r="L290" i="1" s="1"/>
  <c r="M290" i="1"/>
  <c r="G311" i="2" l="1"/>
  <c r="K311" i="2" s="1"/>
  <c r="L311" i="2" s="1"/>
  <c r="G291" i="1"/>
  <c r="J291" i="1" s="1"/>
  <c r="K291" i="1" s="1"/>
  <c r="H311" i="2" l="1"/>
  <c r="N311" i="2" s="1"/>
  <c r="H291" i="1"/>
  <c r="M291" i="1" s="1"/>
  <c r="I311" i="2" l="1"/>
  <c r="M311" i="2" s="1"/>
  <c r="I291" i="1"/>
  <c r="L291" i="1" s="1"/>
  <c r="G312" i="2" l="1"/>
  <c r="H312" i="2" s="1"/>
  <c r="I312" i="2" s="1"/>
  <c r="M312" i="2" s="1"/>
  <c r="G292" i="1"/>
  <c r="N312" i="2" l="1"/>
  <c r="K312" i="2"/>
  <c r="L312" i="2" s="1"/>
  <c r="G313" i="2"/>
  <c r="H313" i="2" s="1"/>
  <c r="J292" i="1"/>
  <c r="K292" i="1" s="1"/>
  <c r="H292" i="1"/>
  <c r="K313" i="2" l="1"/>
  <c r="L313" i="2" s="1"/>
  <c r="I313" i="2"/>
  <c r="M313" i="2" s="1"/>
  <c r="N313" i="2"/>
  <c r="I292" i="1"/>
  <c r="L292" i="1" s="1"/>
  <c r="M292" i="1"/>
  <c r="G314" i="2" l="1"/>
  <c r="H314" i="2" s="1"/>
  <c r="G293" i="1"/>
  <c r="K314" i="2" l="1"/>
  <c r="L314" i="2" s="1"/>
  <c r="I314" i="2"/>
  <c r="M314" i="2" s="1"/>
  <c r="N314" i="2"/>
  <c r="H293" i="1"/>
  <c r="J293" i="1"/>
  <c r="K293" i="1" s="1"/>
  <c r="G315" i="2" l="1"/>
  <c r="H315" i="2" s="1"/>
  <c r="M293" i="1"/>
  <c r="I293" i="1"/>
  <c r="L293" i="1" s="1"/>
  <c r="K315" i="2" l="1"/>
  <c r="L315" i="2" s="1"/>
  <c r="N315" i="2"/>
  <c r="I315" i="2"/>
  <c r="M315" i="2" s="1"/>
  <c r="G294" i="1"/>
  <c r="J294" i="1" s="1"/>
  <c r="K294" i="1" s="1"/>
  <c r="G316" i="2" l="1"/>
  <c r="H316" i="2" s="1"/>
  <c r="H294" i="1"/>
  <c r="I294" i="1" s="1"/>
  <c r="L294" i="1" s="1"/>
  <c r="K316" i="2" l="1"/>
  <c r="L316" i="2" s="1"/>
  <c r="I316" i="2"/>
  <c r="M316" i="2" s="1"/>
  <c r="N316" i="2"/>
  <c r="M294" i="1"/>
  <c r="G295" i="1"/>
  <c r="J295" i="1" s="1"/>
  <c r="K295" i="1" s="1"/>
  <c r="G317" i="2" l="1"/>
  <c r="H317" i="2" s="1"/>
  <c r="H295" i="1"/>
  <c r="I295" i="1" s="1"/>
  <c r="L295" i="1" s="1"/>
  <c r="K317" i="2" l="1"/>
  <c r="L317" i="2" s="1"/>
  <c r="N317" i="2"/>
  <c r="I317" i="2"/>
  <c r="M317" i="2" s="1"/>
  <c r="M295" i="1"/>
  <c r="G296" i="1"/>
  <c r="J296" i="1" s="1"/>
  <c r="K296" i="1" s="1"/>
  <c r="G318" i="2" l="1"/>
  <c r="H296" i="1"/>
  <c r="I296" i="1" s="1"/>
  <c r="H318" i="2" l="1"/>
  <c r="K318" i="2"/>
  <c r="L318" i="2" s="1"/>
  <c r="M296" i="1"/>
  <c r="L296" i="1"/>
  <c r="G297" i="1"/>
  <c r="N318" i="2" l="1"/>
  <c r="I318" i="2"/>
  <c r="H297" i="1"/>
  <c r="J297" i="1"/>
  <c r="K297" i="1" s="1"/>
  <c r="M318" i="2" l="1"/>
  <c r="G319" i="2"/>
  <c r="I297" i="1"/>
  <c r="L297" i="1" s="1"/>
  <c r="M297" i="1"/>
  <c r="H319" i="2" l="1"/>
  <c r="K319" i="2"/>
  <c r="L319" i="2" s="1"/>
  <c r="G298" i="1"/>
  <c r="H298" i="1" s="1"/>
  <c r="N319" i="2" l="1"/>
  <c r="I319" i="2"/>
  <c r="J298" i="1"/>
  <c r="K298" i="1" s="1"/>
  <c r="M298" i="1"/>
  <c r="I298" i="1"/>
  <c r="L298" i="1" s="1"/>
  <c r="M319" i="2" l="1"/>
  <c r="G320" i="2"/>
  <c r="G299" i="1"/>
  <c r="J299" i="1" s="1"/>
  <c r="K299" i="1" s="1"/>
  <c r="H320" i="2" l="1"/>
  <c r="K320" i="2"/>
  <c r="L320" i="2" s="1"/>
  <c r="H299" i="1"/>
  <c r="I299" i="1" s="1"/>
  <c r="L299" i="1" s="1"/>
  <c r="N320" i="2" l="1"/>
  <c r="I320" i="2"/>
  <c r="M299" i="1"/>
  <c r="G300" i="1"/>
  <c r="G321" i="2" l="1"/>
  <c r="M320" i="2"/>
  <c r="H300" i="1"/>
  <c r="J300" i="1"/>
  <c r="K300" i="1" s="1"/>
  <c r="K321" i="2" l="1"/>
  <c r="L321" i="2" s="1"/>
  <c r="H321" i="2"/>
  <c r="M300" i="1"/>
  <c r="I300" i="1"/>
  <c r="L300" i="1" s="1"/>
  <c r="N321" i="2" l="1"/>
  <c r="I321" i="2"/>
  <c r="G301" i="1"/>
  <c r="M321" i="2" l="1"/>
  <c r="G322" i="2"/>
  <c r="H301" i="1"/>
  <c r="J301" i="1"/>
  <c r="K301" i="1" s="1"/>
  <c r="H322" i="2" l="1"/>
  <c r="K322" i="2"/>
  <c r="L322" i="2" s="1"/>
  <c r="M301" i="1"/>
  <c r="I301" i="1"/>
  <c r="L301" i="1" s="1"/>
  <c r="I322" i="2" l="1"/>
  <c r="M322" i="2" s="1"/>
  <c r="N322" i="2"/>
  <c r="G302" i="1"/>
  <c r="J302" i="1" s="1"/>
  <c r="K302" i="1" s="1"/>
  <c r="G323" i="2" l="1"/>
  <c r="K323" i="2" s="1"/>
  <c r="L323" i="2" s="1"/>
  <c r="H302" i="1"/>
  <c r="I302" i="1" s="1"/>
  <c r="L302" i="1" s="1"/>
  <c r="H323" i="2" l="1"/>
  <c r="I323" i="2" s="1"/>
  <c r="M302" i="1"/>
  <c r="G303" i="1"/>
  <c r="N323" i="2" l="1"/>
  <c r="M323" i="2"/>
  <c r="G324" i="2"/>
  <c r="K324" i="2" s="1"/>
  <c r="L324" i="2" s="1"/>
  <c r="J303" i="1"/>
  <c r="K303" i="1" s="1"/>
  <c r="H303" i="1"/>
  <c r="H324" i="2" l="1"/>
  <c r="I324" i="2" s="1"/>
  <c r="M303" i="1"/>
  <c r="I303" i="1"/>
  <c r="L303" i="1" s="1"/>
  <c r="N324" i="2" l="1"/>
  <c r="M324" i="2"/>
  <c r="G325" i="2"/>
  <c r="G304" i="1"/>
  <c r="H304" i="1" s="1"/>
  <c r="K325" i="2" l="1"/>
  <c r="L325" i="2" s="1"/>
  <c r="H325" i="2"/>
  <c r="J304" i="1"/>
  <c r="K304" i="1" s="1"/>
  <c r="M304" i="1"/>
  <c r="I304" i="1"/>
  <c r="L304" i="1" s="1"/>
  <c r="I325" i="2" l="1"/>
  <c r="N325" i="2"/>
  <c r="G305" i="1"/>
  <c r="H305" i="1" s="1"/>
  <c r="M325" i="2" l="1"/>
  <c r="G326" i="2"/>
  <c r="J305" i="1"/>
  <c r="K305" i="1" s="1"/>
  <c r="I305" i="1"/>
  <c r="L305" i="1" s="1"/>
  <c r="M305" i="1"/>
  <c r="K326" i="2" l="1"/>
  <c r="L326" i="2" s="1"/>
  <c r="H326" i="2"/>
  <c r="G306" i="1"/>
  <c r="J306" i="1" s="1"/>
  <c r="K306" i="1" s="1"/>
  <c r="H306" i="1" l="1"/>
  <c r="I306" i="1" s="1"/>
  <c r="L306" i="1" s="1"/>
  <c r="I326" i="2"/>
  <c r="N326" i="2"/>
  <c r="M306" i="1" l="1"/>
  <c r="M326" i="2"/>
  <c r="G327" i="2"/>
  <c r="G307" i="1"/>
  <c r="H307" i="1" s="1"/>
  <c r="K327" i="2" l="1"/>
  <c r="L327" i="2" s="1"/>
  <c r="H327" i="2"/>
  <c r="J307" i="1"/>
  <c r="K307" i="1" s="1"/>
  <c r="I307" i="1"/>
  <c r="L307" i="1" s="1"/>
  <c r="M307" i="1"/>
  <c r="I327" i="2" l="1"/>
  <c r="N327" i="2"/>
  <c r="G308" i="1"/>
  <c r="M327" i="2" l="1"/>
  <c r="G328" i="2"/>
  <c r="H308" i="1"/>
  <c r="J308" i="1"/>
  <c r="K308" i="1" s="1"/>
  <c r="K328" i="2" l="1"/>
  <c r="L328" i="2" s="1"/>
  <c r="H328" i="2"/>
  <c r="M308" i="1"/>
  <c r="I308" i="1"/>
  <c r="L308" i="1" s="1"/>
  <c r="I328" i="2" l="1"/>
  <c r="N328" i="2"/>
  <c r="G309" i="1"/>
  <c r="M328" i="2" l="1"/>
  <c r="G329" i="2"/>
  <c r="J309" i="1"/>
  <c r="K309" i="1" s="1"/>
  <c r="H309" i="1"/>
  <c r="K329" i="2" l="1"/>
  <c r="L329" i="2" s="1"/>
  <c r="H329" i="2"/>
  <c r="I309" i="1"/>
  <c r="L309" i="1" s="1"/>
  <c r="M309" i="1"/>
  <c r="I329" i="2" l="1"/>
  <c r="M329" i="2" s="1"/>
  <c r="N329" i="2"/>
  <c r="G310" i="1"/>
  <c r="G330" i="2" l="1"/>
  <c r="J310" i="1"/>
  <c r="K310" i="1" s="1"/>
  <c r="H310" i="1"/>
  <c r="H330" i="2" l="1"/>
  <c r="K330" i="2"/>
  <c r="L330" i="2" s="1"/>
  <c r="M310" i="1"/>
  <c r="I310" i="1"/>
  <c r="L310" i="1" s="1"/>
  <c r="I330" i="2" l="1"/>
  <c r="N330" i="2"/>
  <c r="G311" i="1"/>
  <c r="H311" i="1" s="1"/>
  <c r="M330" i="2" l="1"/>
  <c r="G331" i="2"/>
  <c r="J311" i="1"/>
  <c r="K311" i="1" s="1"/>
  <c r="I311" i="1"/>
  <c r="L311" i="1" s="1"/>
  <c r="M311" i="1"/>
  <c r="K331" i="2" l="1"/>
  <c r="L331" i="2" s="1"/>
  <c r="H331" i="2"/>
  <c r="G312" i="1"/>
  <c r="J312" i="1" s="1"/>
  <c r="K312" i="1" s="1"/>
  <c r="I331" i="2" l="1"/>
  <c r="N331" i="2"/>
  <c r="H312" i="1"/>
  <c r="I312" i="1" s="1"/>
  <c r="L312" i="1" s="1"/>
  <c r="M331" i="2" l="1"/>
  <c r="G332" i="2"/>
  <c r="M312" i="1"/>
  <c r="G313" i="1"/>
  <c r="H313" i="1" s="1"/>
  <c r="K332" i="2" l="1"/>
  <c r="L332" i="2" s="1"/>
  <c r="H332" i="2"/>
  <c r="J313" i="1"/>
  <c r="K313" i="1" s="1"/>
  <c r="M313" i="1"/>
  <c r="I313" i="1"/>
  <c r="L313" i="1" s="1"/>
  <c r="I332" i="2" l="1"/>
  <c r="N332" i="2"/>
  <c r="G314" i="1"/>
  <c r="H314" i="1" s="1"/>
  <c r="M332" i="2" l="1"/>
  <c r="G333" i="2"/>
  <c r="J314" i="1"/>
  <c r="K314" i="1" s="1"/>
  <c r="M314" i="1"/>
  <c r="I314" i="1"/>
  <c r="K333" i="2" l="1"/>
  <c r="L333" i="2" s="1"/>
  <c r="H333" i="2"/>
  <c r="L314" i="1"/>
  <c r="G315" i="1"/>
  <c r="I333" i="2" l="1"/>
  <c r="N333" i="2"/>
  <c r="H315" i="1"/>
  <c r="J315" i="1"/>
  <c r="K315" i="1" s="1"/>
  <c r="M333" i="2" l="1"/>
  <c r="G334" i="2"/>
  <c r="M315" i="1"/>
  <c r="I315" i="1"/>
  <c r="L315" i="1" s="1"/>
  <c r="K334" i="2" l="1"/>
  <c r="L334" i="2" s="1"/>
  <c r="H334" i="2"/>
  <c r="G316" i="1"/>
  <c r="N334" i="2" l="1"/>
  <c r="I334" i="2"/>
  <c r="J316" i="1"/>
  <c r="K316" i="1" s="1"/>
  <c r="H316" i="1"/>
  <c r="M334" i="2" l="1"/>
  <c r="G335" i="2"/>
  <c r="I316" i="1"/>
  <c r="L316" i="1" s="1"/>
  <c r="M316" i="1"/>
  <c r="H335" i="2" l="1"/>
  <c r="K335" i="2"/>
  <c r="L335" i="2" s="1"/>
  <c r="G317" i="1"/>
  <c r="J317" i="1" s="1"/>
  <c r="K317" i="1" s="1"/>
  <c r="I335" i="2" l="1"/>
  <c r="M335" i="2" s="1"/>
  <c r="N335" i="2"/>
  <c r="H317" i="1"/>
  <c r="I317" i="1" s="1"/>
  <c r="L317" i="1" s="1"/>
  <c r="G336" i="2" l="1"/>
  <c r="M317" i="1"/>
  <c r="G318" i="1"/>
  <c r="J318" i="1" s="1"/>
  <c r="K318" i="1" s="1"/>
  <c r="K336" i="2" l="1"/>
  <c r="L336" i="2" s="1"/>
  <c r="H336" i="2"/>
  <c r="H318" i="1"/>
  <c r="I318" i="1" s="1"/>
  <c r="L318" i="1" s="1"/>
  <c r="N336" i="2" l="1"/>
  <c r="I336" i="2"/>
  <c r="M318" i="1"/>
  <c r="G319" i="1"/>
  <c r="H319" i="1" s="1"/>
  <c r="M336" i="2" l="1"/>
  <c r="G337" i="2"/>
  <c r="J319" i="1"/>
  <c r="K319" i="1" s="1"/>
  <c r="M319" i="1"/>
  <c r="I319" i="1"/>
  <c r="L319" i="1" s="1"/>
  <c r="K337" i="2" l="1"/>
  <c r="L337" i="2" s="1"/>
  <c r="H337" i="2"/>
  <c r="G320" i="1"/>
  <c r="H320" i="1" s="1"/>
  <c r="I337" i="2" l="1"/>
  <c r="M337" i="2" s="1"/>
  <c r="N337" i="2"/>
  <c r="J320" i="1"/>
  <c r="K320" i="1" s="1"/>
  <c r="M320" i="1"/>
  <c r="I320" i="1"/>
  <c r="L320" i="1" s="1"/>
  <c r="G338" i="2" l="1"/>
  <c r="K338" i="2" s="1"/>
  <c r="L338" i="2" s="1"/>
  <c r="G321" i="1"/>
  <c r="H338" i="2" l="1"/>
  <c r="I338" i="2" s="1"/>
  <c r="M338" i="2" s="1"/>
  <c r="H321" i="1"/>
  <c r="J321" i="1"/>
  <c r="K321" i="1" s="1"/>
  <c r="G339" i="2" l="1"/>
  <c r="K339" i="2" s="1"/>
  <c r="L339" i="2" s="1"/>
  <c r="N338" i="2"/>
  <c r="I321" i="1"/>
  <c r="L321" i="1" s="1"/>
  <c r="M321" i="1"/>
  <c r="H339" i="2" l="1"/>
  <c r="I339" i="2" s="1"/>
  <c r="M339" i="2" s="1"/>
  <c r="G322" i="1"/>
  <c r="J322" i="1" s="1"/>
  <c r="K322" i="1" s="1"/>
  <c r="N339" i="2" l="1"/>
  <c r="H322" i="1"/>
  <c r="I322" i="1" s="1"/>
  <c r="G340" i="2"/>
  <c r="M322" i="1" l="1"/>
  <c r="K340" i="2"/>
  <c r="L340" i="2" s="1"/>
  <c r="H340" i="2"/>
  <c r="L322" i="1"/>
  <c r="G323" i="1"/>
  <c r="I340" i="2" l="1"/>
  <c r="M340" i="2" s="1"/>
  <c r="N340" i="2"/>
  <c r="H323" i="1"/>
  <c r="J323" i="1"/>
  <c r="K323" i="1" s="1"/>
  <c r="G341" i="2" l="1"/>
  <c r="M323" i="1"/>
  <c r="I323" i="1"/>
  <c r="L323" i="1" s="1"/>
  <c r="K341" i="2" l="1"/>
  <c r="L341" i="2" s="1"/>
  <c r="H341" i="2"/>
  <c r="G324" i="1"/>
  <c r="J324" i="1" s="1"/>
  <c r="K324" i="1" s="1"/>
  <c r="I341" i="2" l="1"/>
  <c r="M341" i="2" s="1"/>
  <c r="N341" i="2"/>
  <c r="H324" i="1"/>
  <c r="I324" i="1" s="1"/>
  <c r="L324" i="1" s="1"/>
  <c r="G342" i="2" l="1"/>
  <c r="M324" i="1"/>
  <c r="G325" i="1"/>
  <c r="J325" i="1" s="1"/>
  <c r="K325" i="1" s="1"/>
  <c r="H325" i="1" l="1"/>
  <c r="I325" i="1" s="1"/>
  <c r="L325" i="1" s="1"/>
  <c r="K342" i="2"/>
  <c r="L342" i="2" s="1"/>
  <c r="H342" i="2"/>
  <c r="M325" i="1" l="1"/>
  <c r="I342" i="2"/>
  <c r="M342" i="2" s="1"/>
  <c r="N342" i="2"/>
  <c r="G326" i="1"/>
  <c r="G343" i="2" l="1"/>
  <c r="J326" i="1"/>
  <c r="K326" i="1" s="1"/>
  <c r="H326" i="1"/>
  <c r="H343" i="2" l="1"/>
  <c r="K343" i="2"/>
  <c r="L343" i="2" s="1"/>
  <c r="I326" i="1"/>
  <c r="L326" i="1" s="1"/>
  <c r="M326" i="1"/>
  <c r="I343" i="2" l="1"/>
  <c r="M343" i="2" s="1"/>
  <c r="N343" i="2"/>
  <c r="G327" i="1"/>
  <c r="H327" i="1" s="1"/>
  <c r="G344" i="2" l="1"/>
  <c r="K344" i="2" s="1"/>
  <c r="L344" i="2" s="1"/>
  <c r="J327" i="1"/>
  <c r="K327" i="1" s="1"/>
  <c r="I327" i="1"/>
  <c r="L327" i="1" s="1"/>
  <c r="M327" i="1"/>
  <c r="H344" i="2" l="1"/>
  <c r="I344" i="2" s="1"/>
  <c r="M344" i="2" s="1"/>
  <c r="G328" i="1"/>
  <c r="J328" i="1" s="1"/>
  <c r="K328" i="1" s="1"/>
  <c r="N344" i="2" l="1"/>
  <c r="H328" i="1"/>
  <c r="I328" i="1" s="1"/>
  <c r="L328" i="1" s="1"/>
  <c r="G345" i="2"/>
  <c r="M328" i="1" l="1"/>
  <c r="H345" i="2"/>
  <c r="K345" i="2"/>
  <c r="L345" i="2" s="1"/>
  <c r="G329" i="1"/>
  <c r="I345" i="2" l="1"/>
  <c r="M345" i="2" s="1"/>
  <c r="N345" i="2"/>
  <c r="J329" i="1"/>
  <c r="K329" i="1" s="1"/>
  <c r="H329" i="1"/>
  <c r="G346" i="2" l="1"/>
  <c r="K346" i="2" s="1"/>
  <c r="L346" i="2" s="1"/>
  <c r="M329" i="1"/>
  <c r="I329" i="1"/>
  <c r="L329" i="1" s="1"/>
  <c r="H346" i="2" l="1"/>
  <c r="I346" i="2" s="1"/>
  <c r="M346" i="2" s="1"/>
  <c r="G330" i="1"/>
  <c r="H330" i="1" s="1"/>
  <c r="N346" i="2" l="1"/>
  <c r="G347" i="2"/>
  <c r="H347" i="2" s="1"/>
  <c r="J330" i="1"/>
  <c r="K330" i="1" s="1"/>
  <c r="I330" i="1"/>
  <c r="L330" i="1" s="1"/>
  <c r="M330" i="1"/>
  <c r="K347" i="2" l="1"/>
  <c r="L347" i="2" s="1"/>
  <c r="I347" i="2"/>
  <c r="M347" i="2" s="1"/>
  <c r="N347" i="2"/>
  <c r="G331" i="1"/>
  <c r="H331" i="1" s="1"/>
  <c r="G348" i="2" l="1"/>
  <c r="K348" i="2" s="1"/>
  <c r="L348" i="2" s="1"/>
  <c r="J331" i="1"/>
  <c r="K331" i="1" s="1"/>
  <c r="I331" i="1"/>
  <c r="M331" i="1"/>
  <c r="H348" i="2" l="1"/>
  <c r="I348" i="2" s="1"/>
  <c r="M348" i="2" s="1"/>
  <c r="L331" i="1"/>
  <c r="G332" i="1"/>
  <c r="N348" i="2" l="1"/>
  <c r="G349" i="2"/>
  <c r="H349" i="2" s="1"/>
  <c r="J332" i="1"/>
  <c r="K332" i="1" s="1"/>
  <c r="H332" i="1"/>
  <c r="K349" i="2" l="1"/>
  <c r="L349" i="2" s="1"/>
  <c r="I349" i="2"/>
  <c r="M349" i="2" s="1"/>
  <c r="N349" i="2"/>
  <c r="M332" i="1"/>
  <c r="I332" i="1"/>
  <c r="G350" i="2" l="1"/>
  <c r="K350" i="2" s="1"/>
  <c r="L350" i="2" s="1"/>
  <c r="L332" i="1"/>
  <c r="G333" i="1"/>
  <c r="H350" i="2" l="1"/>
  <c r="I350" i="2" s="1"/>
  <c r="M350" i="2" s="1"/>
  <c r="J333" i="1"/>
  <c r="K333" i="1" s="1"/>
  <c r="H333" i="1"/>
  <c r="N350" i="2" l="1"/>
  <c r="G351" i="2"/>
  <c r="H351" i="2" s="1"/>
  <c r="M333" i="1"/>
  <c r="I333" i="1"/>
  <c r="L333" i="1" s="1"/>
  <c r="K351" i="2" l="1"/>
  <c r="L351" i="2" s="1"/>
  <c r="I351" i="2"/>
  <c r="M351" i="2" s="1"/>
  <c r="N351" i="2"/>
  <c r="G334" i="1"/>
  <c r="J334" i="1" s="1"/>
  <c r="K334" i="1" s="1"/>
  <c r="G352" i="2" l="1"/>
  <c r="K352" i="2" s="1"/>
  <c r="L352" i="2" s="1"/>
  <c r="H334" i="1"/>
  <c r="I334" i="1" s="1"/>
  <c r="L334" i="1" s="1"/>
  <c r="H352" i="2" l="1"/>
  <c r="I352" i="2" s="1"/>
  <c r="M352" i="2" s="1"/>
  <c r="M334" i="1"/>
  <c r="G335" i="1"/>
  <c r="N352" i="2" l="1"/>
  <c r="G353" i="2"/>
  <c r="H353" i="2" s="1"/>
  <c r="J335" i="1"/>
  <c r="K335" i="1" s="1"/>
  <c r="H335" i="1"/>
  <c r="K353" i="2" l="1"/>
  <c r="L353" i="2" s="1"/>
  <c r="I353" i="2"/>
  <c r="M353" i="2" s="1"/>
  <c r="N353" i="2"/>
  <c r="I335" i="1"/>
  <c r="L335" i="1" s="1"/>
  <c r="M335" i="1"/>
  <c r="G354" i="2" l="1"/>
  <c r="K354" i="2" s="1"/>
  <c r="L354" i="2" s="1"/>
  <c r="G336" i="1"/>
  <c r="H336" i="1" s="1"/>
  <c r="H354" i="2" l="1"/>
  <c r="I354" i="2" s="1"/>
  <c r="M354" i="2" s="1"/>
  <c r="J336" i="1"/>
  <c r="K336" i="1" s="1"/>
  <c r="M336" i="1"/>
  <c r="I336" i="1"/>
  <c r="N354" i="2" l="1"/>
  <c r="G355" i="2"/>
  <c r="H355" i="2" s="1"/>
  <c r="L336" i="1"/>
  <c r="G337" i="1"/>
  <c r="K355" i="2" l="1"/>
  <c r="L355" i="2" s="1"/>
  <c r="I355" i="2"/>
  <c r="M355" i="2" s="1"/>
  <c r="N355" i="2"/>
  <c r="H337" i="1"/>
  <c r="J337" i="1"/>
  <c r="K337" i="1" s="1"/>
  <c r="G356" i="2" l="1"/>
  <c r="K356" i="2" s="1"/>
  <c r="L356" i="2" s="1"/>
  <c r="I337" i="1"/>
  <c r="L337" i="1" s="1"/>
  <c r="M337" i="1"/>
  <c r="H356" i="2" l="1"/>
  <c r="I356" i="2" s="1"/>
  <c r="M356" i="2" s="1"/>
  <c r="G338" i="1"/>
  <c r="N356" i="2" l="1"/>
  <c r="G357" i="2"/>
  <c r="H357" i="2" s="1"/>
  <c r="H338" i="1"/>
  <c r="J338" i="1"/>
  <c r="K338" i="1" s="1"/>
  <c r="K357" i="2" l="1"/>
  <c r="L357" i="2" s="1"/>
  <c r="I357" i="2"/>
  <c r="M357" i="2" s="1"/>
  <c r="N357" i="2"/>
  <c r="I338" i="1"/>
  <c r="L338" i="1" s="1"/>
  <c r="M338" i="1"/>
  <c r="G358" i="2" l="1"/>
  <c r="K358" i="2" s="1"/>
  <c r="L358" i="2" s="1"/>
  <c r="G339" i="1"/>
  <c r="H358" i="2" l="1"/>
  <c r="I358" i="2" s="1"/>
  <c r="M358" i="2" s="1"/>
  <c r="H339" i="1"/>
  <c r="J339" i="1"/>
  <c r="K339" i="1" s="1"/>
  <c r="N358" i="2" l="1"/>
  <c r="G359" i="2"/>
  <c r="H359" i="2" s="1"/>
  <c r="I339" i="1"/>
  <c r="L339" i="1" s="1"/>
  <c r="M339" i="1"/>
  <c r="K359" i="2" l="1"/>
  <c r="L359" i="2" s="1"/>
  <c r="I359" i="2"/>
  <c r="M359" i="2" s="1"/>
  <c r="N359" i="2"/>
  <c r="G340" i="1"/>
  <c r="H340" i="1" s="1"/>
  <c r="G360" i="2" l="1"/>
  <c r="K360" i="2" s="1"/>
  <c r="L360" i="2" s="1"/>
  <c r="J340" i="1"/>
  <c r="K340" i="1" s="1"/>
  <c r="M340" i="1"/>
  <c r="I340" i="1"/>
  <c r="L340" i="1" s="1"/>
  <c r="H360" i="2" l="1"/>
  <c r="I360" i="2" s="1"/>
  <c r="M360" i="2" s="1"/>
  <c r="G341" i="1"/>
  <c r="H341" i="1" s="1"/>
  <c r="N360" i="2" l="1"/>
  <c r="G361" i="2"/>
  <c r="H361" i="2" s="1"/>
  <c r="J341" i="1"/>
  <c r="K341" i="1" s="1"/>
  <c r="I341" i="1"/>
  <c r="M341" i="1"/>
  <c r="K361" i="2" l="1"/>
  <c r="L361" i="2" s="1"/>
  <c r="I361" i="2"/>
  <c r="M361" i="2" s="1"/>
  <c r="N361" i="2"/>
  <c r="L341" i="1"/>
  <c r="G342" i="1"/>
  <c r="G362" i="2" l="1"/>
  <c r="K362" i="2" s="1"/>
  <c r="L362" i="2" s="1"/>
  <c r="H342" i="1"/>
  <c r="J342" i="1"/>
  <c r="K342" i="1" s="1"/>
  <c r="H362" i="2" l="1"/>
  <c r="I362" i="2" s="1"/>
  <c r="M362" i="2" s="1"/>
  <c r="I342" i="1"/>
  <c r="L342" i="1" s="1"/>
  <c r="M342" i="1"/>
  <c r="N362" i="2" l="1"/>
  <c r="G363" i="2"/>
  <c r="H363" i="2" s="1"/>
  <c r="G343" i="1"/>
  <c r="K363" i="2" l="1"/>
  <c r="L363" i="2" s="1"/>
  <c r="I363" i="2"/>
  <c r="M363" i="2" s="1"/>
  <c r="N363" i="2"/>
  <c r="H343" i="1"/>
  <c r="J343" i="1"/>
  <c r="K343" i="1" s="1"/>
  <c r="G364" i="2" l="1"/>
  <c r="H364" i="2" s="1"/>
  <c r="M343" i="1"/>
  <c r="I343" i="1"/>
  <c r="L343" i="1" s="1"/>
  <c r="K364" i="2" l="1"/>
  <c r="L364" i="2" s="1"/>
  <c r="I364" i="2"/>
  <c r="M364" i="2" s="1"/>
  <c r="N364" i="2"/>
  <c r="G344" i="1"/>
  <c r="G365" i="2" l="1"/>
  <c r="H365" i="2" s="1"/>
  <c r="J344" i="1"/>
  <c r="K344" i="1" s="1"/>
  <c r="H344" i="1"/>
  <c r="K365" i="2" l="1"/>
  <c r="L365" i="2" s="1"/>
  <c r="I365" i="2"/>
  <c r="M365" i="2" s="1"/>
  <c r="N365" i="2"/>
  <c r="M344" i="1"/>
  <c r="I344" i="1"/>
  <c r="G366" i="2" l="1"/>
  <c r="K366" i="2" s="1"/>
  <c r="L366" i="2" s="1"/>
  <c r="L344" i="1"/>
  <c r="G345" i="1"/>
  <c r="H366" i="2" l="1"/>
  <c r="I366" i="2" s="1"/>
  <c r="M366" i="2" s="1"/>
  <c r="J345" i="1"/>
  <c r="K345" i="1" s="1"/>
  <c r="H345" i="1"/>
  <c r="N366" i="2" l="1"/>
  <c r="G367" i="2"/>
  <c r="H367" i="2" s="1"/>
  <c r="M345" i="1"/>
  <c r="I345" i="1"/>
  <c r="L345" i="1" s="1"/>
  <c r="K367" i="2" l="1"/>
  <c r="L367" i="2" s="1"/>
  <c r="I367" i="2"/>
  <c r="M367" i="2" s="1"/>
  <c r="N367" i="2"/>
  <c r="G346" i="1"/>
  <c r="J346" i="1" s="1"/>
  <c r="K346" i="1" s="1"/>
  <c r="G368" i="2" l="1"/>
  <c r="K368" i="2" s="1"/>
  <c r="L368" i="2" s="1"/>
  <c r="H346" i="1"/>
  <c r="M346" i="1" s="1"/>
  <c r="H368" i="2" l="1"/>
  <c r="I368" i="2" s="1"/>
  <c r="M368" i="2" s="1"/>
  <c r="I346" i="1"/>
  <c r="L346" i="1" s="1"/>
  <c r="N368" i="2" l="1"/>
  <c r="G369" i="2"/>
  <c r="H369" i="2" s="1"/>
  <c r="G347" i="1"/>
  <c r="J347" i="1" s="1"/>
  <c r="K347" i="1" s="1"/>
  <c r="K369" i="2" l="1"/>
  <c r="L369" i="2" s="1"/>
  <c r="L1" i="2" s="1"/>
  <c r="H347" i="1"/>
  <c r="I347" i="1" s="1"/>
  <c r="L347" i="1" s="1"/>
  <c r="I369" i="2"/>
  <c r="M369" i="2" s="1"/>
  <c r="M1" i="2" s="1"/>
  <c r="N369" i="2"/>
  <c r="N1" i="2" s="1"/>
  <c r="M347" i="1" l="1"/>
  <c r="G348" i="1"/>
  <c r="H348" i="1" l="1"/>
  <c r="J348" i="1"/>
  <c r="K348" i="1" s="1"/>
  <c r="I348" i="1" l="1"/>
  <c r="L348" i="1" s="1"/>
  <c r="M348" i="1"/>
  <c r="G349" i="1" l="1"/>
  <c r="J349" i="1" s="1"/>
  <c r="K349" i="1" s="1"/>
  <c r="H349" i="1" l="1"/>
  <c r="I349" i="1" s="1"/>
  <c r="L349" i="1" s="1"/>
  <c r="M349" i="1" l="1"/>
  <c r="G350" i="1"/>
  <c r="J350" i="1" s="1"/>
  <c r="K350" i="1" s="1"/>
  <c r="H350" i="1" l="1"/>
  <c r="M350" i="1" s="1"/>
  <c r="I350" i="1" l="1"/>
  <c r="L350" i="1" s="1"/>
  <c r="G351" i="1" l="1"/>
  <c r="J351" i="1" s="1"/>
  <c r="K351" i="1" s="1"/>
  <c r="H351" i="1" l="1"/>
  <c r="M351" i="1" s="1"/>
  <c r="I351" i="1" l="1"/>
  <c r="L351" i="1" s="1"/>
  <c r="G352" i="1" l="1"/>
  <c r="H352" i="1" s="1"/>
  <c r="J352" i="1" l="1"/>
  <c r="K352" i="1" s="1"/>
  <c r="I352" i="1"/>
  <c r="M352" i="1"/>
  <c r="L352" i="1" l="1"/>
  <c r="G353" i="1"/>
  <c r="H353" i="1" l="1"/>
  <c r="J353" i="1"/>
  <c r="K353" i="1" s="1"/>
  <c r="I353" i="1" l="1"/>
  <c r="M353" i="1"/>
  <c r="L353" i="1" l="1"/>
  <c r="G354" i="1"/>
  <c r="H354" i="1" l="1"/>
  <c r="J354" i="1"/>
  <c r="K354" i="1" s="1"/>
  <c r="I354" i="1" l="1"/>
  <c r="M354" i="1"/>
  <c r="L354" i="1" l="1"/>
  <c r="G355" i="1"/>
  <c r="H355" i="1" l="1"/>
  <c r="J355" i="1"/>
  <c r="K355" i="1" s="1"/>
  <c r="I355" i="1" l="1"/>
  <c r="L355" i="1" s="1"/>
  <c r="M355" i="1"/>
  <c r="G356" i="1" l="1"/>
  <c r="J356" i="1" s="1"/>
  <c r="K356" i="1" s="1"/>
  <c r="H356" i="1" l="1"/>
  <c r="I356" i="1" s="1"/>
  <c r="L356" i="1" s="1"/>
  <c r="M356" i="1" l="1"/>
  <c r="G357" i="1"/>
  <c r="H357" i="1" l="1"/>
  <c r="J357" i="1"/>
  <c r="K357" i="1" s="1"/>
  <c r="I357" i="1" l="1"/>
  <c r="M357" i="1"/>
  <c r="L357" i="1" l="1"/>
  <c r="G358" i="1"/>
  <c r="J358" i="1" l="1"/>
  <c r="K358" i="1" s="1"/>
  <c r="H358" i="1"/>
  <c r="I358" i="1" l="1"/>
  <c r="L358" i="1" s="1"/>
  <c r="M358" i="1"/>
  <c r="G359" i="1" l="1"/>
  <c r="H359" i="1" l="1"/>
  <c r="J359" i="1"/>
  <c r="K359" i="1" s="1"/>
  <c r="I359" i="1" l="1"/>
  <c r="L359" i="1" s="1"/>
  <c r="M359" i="1"/>
  <c r="G360" i="1" l="1"/>
  <c r="J360" i="1" s="1"/>
  <c r="K360" i="1" s="1"/>
  <c r="H360" i="1" l="1"/>
  <c r="M360" i="1" s="1"/>
  <c r="I360" i="1" l="1"/>
  <c r="L360" i="1" s="1"/>
  <c r="G361" i="1" l="1"/>
  <c r="H361" i="1" s="1"/>
  <c r="I361" i="1" s="1"/>
  <c r="M361" i="1" l="1"/>
  <c r="J361" i="1"/>
  <c r="K361" i="1" s="1"/>
  <c r="L361" i="1"/>
  <c r="G362" i="1"/>
  <c r="J362" i="1" l="1"/>
  <c r="K362" i="1" s="1"/>
  <c r="H362" i="1"/>
  <c r="I362" i="1" l="1"/>
  <c r="M362" i="1"/>
  <c r="L362" i="1" l="1"/>
  <c r="G363" i="1"/>
  <c r="J363" i="1" l="1"/>
  <c r="K363" i="1" s="1"/>
  <c r="H363" i="1"/>
  <c r="M363" i="1" l="1"/>
  <c r="I363" i="1"/>
  <c r="L363" i="1" s="1"/>
  <c r="G364" i="1" l="1"/>
  <c r="H364" i="1" s="1"/>
  <c r="J364" i="1" l="1"/>
  <c r="K364" i="1" s="1"/>
  <c r="M364" i="1"/>
  <c r="I364" i="1"/>
  <c r="L364" i="1" s="1"/>
  <c r="G365" i="1" l="1"/>
  <c r="J365" i="1" l="1"/>
  <c r="K365" i="1" s="1"/>
  <c r="H365" i="1"/>
  <c r="I365" i="1" l="1"/>
  <c r="L365" i="1" s="1"/>
  <c r="M365" i="1"/>
  <c r="G366" i="1" l="1"/>
  <c r="H366" i="1" s="1"/>
  <c r="J366" i="1" l="1"/>
  <c r="K366" i="1" s="1"/>
  <c r="I366" i="1"/>
  <c r="M366" i="1"/>
  <c r="L366" i="1" l="1"/>
  <c r="G367" i="1"/>
  <c r="H367" i="1" l="1"/>
  <c r="J367" i="1"/>
  <c r="K367" i="1" s="1"/>
  <c r="M367" i="1" l="1"/>
  <c r="I367" i="1"/>
  <c r="L367" i="1" l="1"/>
  <c r="G368" i="1"/>
  <c r="J368" i="1" l="1"/>
  <c r="K368" i="1" s="1"/>
  <c r="H368" i="1"/>
  <c r="M368" i="1" l="1"/>
  <c r="I368" i="1"/>
  <c r="L368" i="1" s="1"/>
  <c r="G369" i="1" l="1"/>
  <c r="H369" i="1" l="1"/>
  <c r="J369" i="1"/>
  <c r="C28" i="1" l="1"/>
  <c r="S27" i="1" s="1"/>
  <c r="S28" i="1" s="1"/>
  <c r="K369" i="1"/>
  <c r="K1" i="1" s="1"/>
  <c r="C11" i="1" s="1"/>
  <c r="M369" i="1"/>
  <c r="M1" i="1" s="1"/>
  <c r="C13" i="1" s="1"/>
  <c r="I369" i="1"/>
  <c r="L369" i="1" s="1"/>
  <c r="L1" i="1" s="1"/>
  <c r="C12" i="1" s="1"/>
  <c r="C14" i="1" l="1"/>
  <c r="R2" i="1" l="1"/>
  <c r="P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<sst xmlns="http://schemas.openxmlformats.org/spreadsheetml/2006/main" count="188" uniqueCount="115">
  <si>
    <t>2.工作区</t>
    <phoneticPr fontId="5" type="noConversion"/>
  </si>
  <si>
    <t>3.输出区</t>
    <phoneticPr fontId="5" type="noConversion"/>
  </si>
  <si>
    <t>4.试验区</t>
    <phoneticPr fontId="5" type="noConversion"/>
  </si>
  <si>
    <t>年总成本</t>
    <phoneticPr fontId="5" type="noConversion"/>
  </si>
  <si>
    <t>4.试验区（多次）</t>
    <phoneticPr fontId="5" type="noConversion"/>
  </si>
  <si>
    <t>5.统计区</t>
    <phoneticPr fontId="5" type="noConversion"/>
  </si>
  <si>
    <t>1.输入区</t>
    <phoneticPr fontId="5" type="noConversion"/>
  </si>
  <si>
    <t>天</t>
  </si>
  <si>
    <t>日需</t>
  </si>
  <si>
    <t>开始</t>
  </si>
  <si>
    <t>结束</t>
  </si>
  <si>
    <t>订货</t>
  </si>
  <si>
    <t>缺货</t>
    <phoneticPr fontId="5" type="noConversion"/>
  </si>
  <si>
    <t>储存</t>
  </si>
  <si>
    <t>平均值</t>
    <phoneticPr fontId="5" type="noConversion"/>
  </si>
  <si>
    <t>安全库存</t>
    <phoneticPr fontId="5" type="noConversion"/>
  </si>
  <si>
    <t>求量</t>
  </si>
  <si>
    <t>库存</t>
    <phoneticPr fontId="5" type="noConversion"/>
  </si>
  <si>
    <t>标志</t>
  </si>
  <si>
    <t>量</t>
    <phoneticPr fontId="5" type="noConversion"/>
  </si>
  <si>
    <t>成本</t>
    <phoneticPr fontId="5" type="noConversion"/>
  </si>
  <si>
    <t>成本</t>
  </si>
  <si>
    <t>一次订货成本</t>
    <phoneticPr fontId="5" type="noConversion"/>
  </si>
  <si>
    <t>单位年储存成本</t>
  </si>
  <si>
    <t>初始库存量</t>
  </si>
  <si>
    <t>单位日储存成本</t>
  </si>
  <si>
    <t>单位缺货成本</t>
    <phoneticPr fontId="5" type="noConversion"/>
  </si>
  <si>
    <t>订货量</t>
  </si>
  <si>
    <t>年缺货成本</t>
    <phoneticPr fontId="5" type="noConversion"/>
  </si>
  <si>
    <t>年订货成本</t>
  </si>
  <si>
    <t>年储存成本</t>
  </si>
  <si>
    <t>年总成本</t>
  </si>
  <si>
    <t>一次模拟参考线</t>
    <phoneticPr fontId="5" type="noConversion"/>
  </si>
  <si>
    <r>
      <rPr>
        <b/>
        <sz val="11"/>
        <rFont val="宋体"/>
        <family val="3"/>
        <charset val="134"/>
      </rPr>
      <t>1.输入区</t>
    </r>
    <r>
      <rPr>
        <sz val="11"/>
        <rFont val="宋体"/>
        <family val="3"/>
        <charset val="134"/>
      </rPr>
      <t>—日需求量分布</t>
    </r>
    <phoneticPr fontId="5" type="noConversion"/>
  </si>
  <si>
    <t>一次随机模拟</t>
    <phoneticPr fontId="5" type="noConversion"/>
  </si>
  <si>
    <t>需求</t>
    <phoneticPr fontId="5" type="noConversion"/>
  </si>
  <si>
    <t>概率</t>
    <phoneticPr fontId="5" type="noConversion"/>
  </si>
  <si>
    <t>累积概率</t>
    <phoneticPr fontId="5" type="noConversion"/>
  </si>
  <si>
    <t>年总成本极小值</t>
  </si>
  <si>
    <t>最优订货量</t>
  </si>
  <si>
    <t>6.图形区</t>
    <phoneticPr fontId="5" type="noConversion"/>
  </si>
  <si>
    <t>查看</t>
    <phoneticPr fontId="5" type="noConversion"/>
  </si>
  <si>
    <t>延期</t>
    <phoneticPr fontId="5" type="noConversion"/>
  </si>
  <si>
    <t>某天</t>
    <phoneticPr fontId="5" type="noConversion"/>
  </si>
  <si>
    <t>交货</t>
    <phoneticPr fontId="5" type="noConversion"/>
  </si>
  <si>
    <t>蒙特卡洛投资风险评价模型</t>
    <phoneticPr fontId="5" type="noConversion"/>
  </si>
  <si>
    <t>4.试验区</t>
  </si>
  <si>
    <t>1.输入区—初始参数</t>
  </si>
  <si>
    <t>次数</t>
  </si>
  <si>
    <t>净现值</t>
  </si>
  <si>
    <t>刻度</t>
  </si>
  <si>
    <t>频次</t>
    <phoneticPr fontId="5" type="noConversion"/>
  </si>
  <si>
    <r>
      <t>初始投资额</t>
    </r>
    <r>
      <rPr>
        <sz val="11"/>
        <rFont val="Times New Roman"/>
        <family val="1"/>
      </rPr>
      <t>(</t>
    </r>
    <r>
      <rPr>
        <sz val="11"/>
        <rFont val="宋体"/>
        <family val="3"/>
        <charset val="134"/>
      </rPr>
      <t>万元</t>
    </r>
    <r>
      <rPr>
        <sz val="11"/>
        <rFont val="Times New Roman"/>
        <family val="1"/>
      </rPr>
      <t>)</t>
    </r>
    <phoneticPr fontId="5" type="noConversion"/>
  </si>
  <si>
    <r>
      <t>第一年预期回报</t>
    </r>
    <r>
      <rPr>
        <sz val="11"/>
        <rFont val="Times New Roman"/>
        <family val="1"/>
      </rPr>
      <t>(</t>
    </r>
    <r>
      <rPr>
        <sz val="11"/>
        <rFont val="宋体"/>
        <family val="3"/>
        <charset val="134"/>
      </rPr>
      <t>万元</t>
    </r>
    <r>
      <rPr>
        <sz val="11"/>
        <rFont val="Times New Roman"/>
        <family val="1"/>
      </rPr>
      <t>)</t>
    </r>
    <phoneticPr fontId="5" type="noConversion"/>
  </si>
  <si>
    <r>
      <t>第二年预期回报</t>
    </r>
    <r>
      <rPr>
        <sz val="11"/>
        <rFont val="Times New Roman"/>
        <family val="1"/>
      </rPr>
      <t>(</t>
    </r>
    <r>
      <rPr>
        <sz val="11"/>
        <rFont val="宋体"/>
        <family val="3"/>
        <charset val="134"/>
      </rPr>
      <t>万元</t>
    </r>
    <r>
      <rPr>
        <sz val="11"/>
        <rFont val="Times New Roman"/>
        <family val="1"/>
      </rPr>
      <t>)</t>
    </r>
    <phoneticPr fontId="5" type="noConversion"/>
  </si>
  <si>
    <r>
      <t>第三年预期回报均值</t>
    </r>
    <r>
      <rPr>
        <sz val="11"/>
        <rFont val="Times New Roman"/>
        <family val="1"/>
      </rPr>
      <t>(</t>
    </r>
    <r>
      <rPr>
        <sz val="11"/>
        <rFont val="宋体"/>
        <family val="3"/>
        <charset val="134"/>
      </rPr>
      <t>万元</t>
    </r>
    <r>
      <rPr>
        <sz val="11"/>
        <rFont val="Times New Roman"/>
        <family val="1"/>
      </rPr>
      <t>)</t>
    </r>
    <phoneticPr fontId="5" type="noConversion"/>
  </si>
  <si>
    <r>
      <t>第三年预期回报标准差</t>
    </r>
    <r>
      <rPr>
        <sz val="11"/>
        <rFont val="Times New Roman"/>
        <family val="1"/>
      </rPr>
      <t>(</t>
    </r>
    <r>
      <rPr>
        <sz val="11"/>
        <rFont val="宋体"/>
        <family val="3"/>
        <charset val="134"/>
      </rPr>
      <t>万元</t>
    </r>
    <r>
      <rPr>
        <sz val="11"/>
        <rFont val="Times New Roman"/>
        <family val="1"/>
      </rPr>
      <t>)</t>
    </r>
    <phoneticPr fontId="5" type="noConversion"/>
  </si>
  <si>
    <t>贴现率</t>
  </si>
  <si>
    <t>2.生成区</t>
  </si>
  <si>
    <r>
      <t>第三年预期回报</t>
    </r>
    <r>
      <rPr>
        <sz val="11"/>
        <rFont val="Times New Roman"/>
        <family val="1"/>
      </rPr>
      <t>(</t>
    </r>
    <r>
      <rPr>
        <sz val="11"/>
        <rFont val="宋体"/>
        <family val="3"/>
        <charset val="134"/>
      </rPr>
      <t>万元</t>
    </r>
    <r>
      <rPr>
        <sz val="11"/>
        <rFont val="Times New Roman"/>
        <family val="1"/>
      </rPr>
      <t>)</t>
    </r>
    <phoneticPr fontId="5" type="noConversion"/>
  </si>
  <si>
    <t>5.统计区</t>
  </si>
  <si>
    <r>
      <t>100</t>
    </r>
    <r>
      <rPr>
        <sz val="11"/>
        <rFont val="宋体"/>
        <family val="3"/>
        <charset val="134"/>
      </rPr>
      <t>次模拟净现值均值</t>
    </r>
    <r>
      <rPr>
        <sz val="11"/>
        <rFont val="Times New Roman"/>
        <family val="1"/>
      </rPr>
      <t>(</t>
    </r>
    <r>
      <rPr>
        <sz val="11"/>
        <rFont val="宋体"/>
        <family val="3"/>
        <charset val="134"/>
      </rPr>
      <t>万元</t>
    </r>
    <r>
      <rPr>
        <sz val="11"/>
        <rFont val="Times New Roman"/>
        <family val="1"/>
      </rPr>
      <t>)</t>
    </r>
    <phoneticPr fontId="5" type="noConversion"/>
  </si>
  <si>
    <r>
      <t>100</t>
    </r>
    <r>
      <rPr>
        <sz val="11"/>
        <rFont val="宋体"/>
        <family val="3"/>
        <charset val="134"/>
      </rPr>
      <t>次模拟净现值标准差</t>
    </r>
    <r>
      <rPr>
        <sz val="11"/>
        <rFont val="Times New Roman"/>
        <family val="1"/>
      </rPr>
      <t>(</t>
    </r>
    <r>
      <rPr>
        <sz val="11"/>
        <rFont val="宋体"/>
        <family val="3"/>
        <charset val="134"/>
      </rPr>
      <t>万元</t>
    </r>
    <r>
      <rPr>
        <sz val="11"/>
        <rFont val="Times New Roman"/>
        <family val="1"/>
      </rPr>
      <t>)</t>
    </r>
    <phoneticPr fontId="5" type="noConversion"/>
  </si>
  <si>
    <r>
      <t>100</t>
    </r>
    <r>
      <rPr>
        <sz val="11"/>
        <rFont val="宋体"/>
        <family val="3"/>
        <charset val="134"/>
      </rPr>
      <t>次模拟净现值最大值</t>
    </r>
    <r>
      <rPr>
        <sz val="11"/>
        <rFont val="Times New Roman"/>
        <family val="1"/>
      </rPr>
      <t>(</t>
    </r>
    <r>
      <rPr>
        <sz val="11"/>
        <rFont val="宋体"/>
        <family val="3"/>
        <charset val="134"/>
      </rPr>
      <t>万元</t>
    </r>
    <r>
      <rPr>
        <sz val="11"/>
        <rFont val="Times New Roman"/>
        <family val="1"/>
      </rPr>
      <t>)</t>
    </r>
    <phoneticPr fontId="5" type="noConversion"/>
  </si>
  <si>
    <r>
      <t>100</t>
    </r>
    <r>
      <rPr>
        <sz val="11"/>
        <rFont val="宋体"/>
        <family val="3"/>
        <charset val="134"/>
      </rPr>
      <t>次模拟净现值最小值</t>
    </r>
    <r>
      <rPr>
        <sz val="11"/>
        <rFont val="Times New Roman"/>
        <family val="1"/>
      </rPr>
      <t>(</t>
    </r>
    <r>
      <rPr>
        <sz val="11"/>
        <rFont val="宋体"/>
        <family val="3"/>
        <charset val="134"/>
      </rPr>
      <t>万元</t>
    </r>
    <r>
      <rPr>
        <sz val="11"/>
        <rFont val="Times New Roman"/>
        <family val="1"/>
      </rPr>
      <t>)</t>
    </r>
    <phoneticPr fontId="5" type="noConversion"/>
  </si>
  <si>
    <t>最小值和最大值之间的行数(K)</t>
    <phoneticPr fontId="5" type="noConversion"/>
  </si>
  <si>
    <t>分段统计点之间间隔(H)</t>
    <phoneticPr fontId="5" type="noConversion"/>
  </si>
  <si>
    <t>1.输入区—价格分布表</t>
    <phoneticPr fontId="5" type="noConversion"/>
  </si>
  <si>
    <r>
      <t>初始投资额</t>
    </r>
    <r>
      <rPr>
        <sz val="11"/>
        <rFont val="Times New Roman"/>
        <family val="1"/>
      </rPr>
      <t>(</t>
    </r>
    <r>
      <rPr>
        <sz val="11"/>
        <rFont val="宋体"/>
        <family val="3"/>
        <charset val="134"/>
      </rPr>
      <t>百万元</t>
    </r>
    <r>
      <rPr>
        <sz val="11"/>
        <rFont val="Times New Roman"/>
        <family val="1"/>
      </rPr>
      <t>)</t>
    </r>
  </si>
  <si>
    <t>价格</t>
  </si>
  <si>
    <t>先验</t>
  </si>
  <si>
    <t>累计</t>
  </si>
  <si>
    <r>
      <t>初始销量均值</t>
    </r>
    <r>
      <rPr>
        <sz val="11"/>
        <rFont val="Times New Roman"/>
        <family val="1"/>
      </rPr>
      <t>(</t>
    </r>
    <r>
      <rPr>
        <sz val="11"/>
        <rFont val="宋体"/>
        <family val="3"/>
        <charset val="134"/>
      </rPr>
      <t>百万件</t>
    </r>
    <r>
      <rPr>
        <sz val="11"/>
        <rFont val="Times New Roman"/>
        <family val="1"/>
      </rPr>
      <t>)</t>
    </r>
  </si>
  <si>
    <r>
      <t>初始销量标准差</t>
    </r>
    <r>
      <rPr>
        <sz val="11"/>
        <rFont val="Times New Roman"/>
        <family val="1"/>
      </rPr>
      <t>(</t>
    </r>
    <r>
      <rPr>
        <sz val="11"/>
        <rFont val="宋体"/>
        <family val="3"/>
        <charset val="134"/>
      </rPr>
      <t>百万件</t>
    </r>
    <r>
      <rPr>
        <sz val="11"/>
        <rFont val="Times New Roman"/>
        <family val="1"/>
      </rPr>
      <t>)</t>
    </r>
  </si>
  <si>
    <r>
      <t>销量第</t>
    </r>
    <r>
      <rPr>
        <sz val="11"/>
        <rFont val="Times New Roman"/>
        <family val="1"/>
      </rPr>
      <t>2</t>
    </r>
    <r>
      <rPr>
        <sz val="11"/>
        <rFont val="宋体"/>
        <family val="3"/>
        <charset val="134"/>
      </rPr>
      <t>年增长率</t>
    </r>
  </si>
  <si>
    <r>
      <t>销量第</t>
    </r>
    <r>
      <rPr>
        <sz val="11"/>
        <rFont val="Times New Roman"/>
        <family val="1"/>
      </rPr>
      <t>3</t>
    </r>
    <r>
      <rPr>
        <sz val="11"/>
        <rFont val="宋体"/>
        <family val="3"/>
        <charset val="134"/>
      </rPr>
      <t>年增长率</t>
    </r>
  </si>
  <si>
    <r>
      <t>年固定成本</t>
    </r>
    <r>
      <rPr>
        <sz val="11"/>
        <rFont val="Times New Roman"/>
        <family val="1"/>
      </rPr>
      <t>(</t>
    </r>
    <r>
      <rPr>
        <sz val="11"/>
        <rFont val="宋体"/>
        <family val="3"/>
        <charset val="134"/>
      </rPr>
      <t>百万元</t>
    </r>
    <r>
      <rPr>
        <sz val="11"/>
        <rFont val="Times New Roman"/>
        <family val="1"/>
      </rPr>
      <t>)</t>
    </r>
  </si>
  <si>
    <t>单位可变成本最小值</t>
  </si>
  <si>
    <t>单位可变成本最大值</t>
  </si>
  <si>
    <t>6.图形区——图形数据表</t>
    <phoneticPr fontId="5" type="noConversion"/>
  </si>
  <si>
    <r>
      <t>初始销量</t>
    </r>
    <r>
      <rPr>
        <sz val="11"/>
        <rFont val="Times New Roman"/>
        <family val="1"/>
      </rPr>
      <t>(</t>
    </r>
    <r>
      <rPr>
        <sz val="11"/>
        <rFont val="宋体"/>
        <family val="3"/>
        <charset val="134"/>
      </rPr>
      <t>百万件</t>
    </r>
    <r>
      <rPr>
        <sz val="11"/>
        <rFont val="Times New Roman"/>
        <family val="1"/>
      </rPr>
      <t>)</t>
    </r>
  </si>
  <si>
    <t>区号</t>
  </si>
  <si>
    <t>&gt;某净值</t>
  </si>
  <si>
    <t>风险</t>
    <phoneticPr fontId="5" type="noConversion"/>
  </si>
  <si>
    <r>
      <t>价格</t>
    </r>
    <r>
      <rPr>
        <sz val="11"/>
        <rFont val="Times New Roman"/>
        <family val="1"/>
      </rPr>
      <t>(</t>
    </r>
    <r>
      <rPr>
        <sz val="11"/>
        <rFont val="宋体"/>
        <family val="3"/>
        <charset val="134"/>
      </rPr>
      <t>元</t>
    </r>
    <r>
      <rPr>
        <sz val="11"/>
        <rFont val="Times New Roman"/>
        <family val="1"/>
      </rPr>
      <t>)</t>
    </r>
    <phoneticPr fontId="5" type="noConversion"/>
  </si>
  <si>
    <r>
      <t>单位变动成本</t>
    </r>
    <r>
      <rPr>
        <sz val="11"/>
        <rFont val="Times New Roman"/>
        <family val="1"/>
      </rPr>
      <t>(</t>
    </r>
    <r>
      <rPr>
        <sz val="11"/>
        <rFont val="宋体"/>
        <family val="3"/>
        <charset val="134"/>
      </rPr>
      <t>元</t>
    </r>
    <r>
      <rPr>
        <sz val="11"/>
        <rFont val="Times New Roman"/>
        <family val="1"/>
      </rPr>
      <t>)</t>
    </r>
    <phoneticPr fontId="5" type="noConversion"/>
  </si>
  <si>
    <t>3.输出区—中间结果</t>
  </si>
  <si>
    <r>
      <t>第</t>
    </r>
    <r>
      <rPr>
        <sz val="11"/>
        <rFont val="Times New Roman"/>
        <family val="1"/>
      </rPr>
      <t>1</t>
    </r>
    <r>
      <rPr>
        <sz val="11"/>
        <rFont val="宋体"/>
        <family val="3"/>
        <charset val="134"/>
      </rPr>
      <t>年</t>
    </r>
  </si>
  <si>
    <r>
      <t>第</t>
    </r>
    <r>
      <rPr>
        <sz val="11"/>
        <rFont val="Times New Roman"/>
        <family val="1"/>
      </rPr>
      <t>2</t>
    </r>
    <r>
      <rPr>
        <sz val="11"/>
        <rFont val="宋体"/>
        <family val="3"/>
        <charset val="134"/>
      </rPr>
      <t>年</t>
    </r>
  </si>
  <si>
    <r>
      <t>第</t>
    </r>
    <r>
      <rPr>
        <sz val="11"/>
        <rFont val="Times New Roman"/>
        <family val="1"/>
      </rPr>
      <t>3</t>
    </r>
    <r>
      <rPr>
        <sz val="11"/>
        <rFont val="宋体"/>
        <family val="3"/>
        <charset val="134"/>
      </rPr>
      <t>年</t>
    </r>
  </si>
  <si>
    <t>销量</t>
  </si>
  <si>
    <t>销售收入</t>
    <phoneticPr fontId="5" type="noConversion"/>
  </si>
  <si>
    <t>总成本</t>
  </si>
  <si>
    <r>
      <t>利润</t>
    </r>
    <r>
      <rPr>
        <sz val="11"/>
        <rFont val="Times New Roman"/>
        <family val="1"/>
      </rPr>
      <t>/</t>
    </r>
    <r>
      <rPr>
        <sz val="11"/>
        <rFont val="宋体"/>
        <family val="3"/>
        <charset val="134"/>
      </rPr>
      <t>现金收入</t>
    </r>
    <r>
      <rPr>
        <sz val="11"/>
        <rFont val="Times New Roman"/>
        <family val="1"/>
      </rPr>
      <t>(</t>
    </r>
    <r>
      <rPr>
        <sz val="11"/>
        <rFont val="宋体"/>
        <family val="3"/>
        <charset val="134"/>
      </rPr>
      <t>百万元</t>
    </r>
    <r>
      <rPr>
        <sz val="11"/>
        <rFont val="Times New Roman"/>
        <family val="1"/>
      </rPr>
      <t>)</t>
    </r>
    <phoneticPr fontId="5" type="noConversion"/>
  </si>
  <si>
    <t>3.输出区—最终结果</t>
  </si>
  <si>
    <t>净现值(百万元)</t>
    <phoneticPr fontId="5" type="noConversion"/>
  </si>
  <si>
    <r>
      <t>1000</t>
    </r>
    <r>
      <rPr>
        <sz val="11"/>
        <rFont val="宋体"/>
        <family val="3"/>
        <charset val="134"/>
      </rPr>
      <t>次模拟净现值均值</t>
    </r>
    <r>
      <rPr>
        <sz val="11"/>
        <rFont val="Times New Roman"/>
        <family val="1"/>
      </rPr>
      <t>(</t>
    </r>
    <r>
      <rPr>
        <sz val="11"/>
        <rFont val="宋体"/>
        <family val="3"/>
        <charset val="134"/>
      </rPr>
      <t>百万元</t>
    </r>
    <r>
      <rPr>
        <sz val="11"/>
        <rFont val="Times New Roman"/>
        <family val="1"/>
      </rPr>
      <t>)</t>
    </r>
  </si>
  <si>
    <r>
      <t>1000</t>
    </r>
    <r>
      <rPr>
        <sz val="11"/>
        <rFont val="宋体"/>
        <family val="3"/>
        <charset val="134"/>
      </rPr>
      <t>次模拟净现值标准差</t>
    </r>
    <r>
      <rPr>
        <sz val="11"/>
        <rFont val="Times New Roman"/>
        <family val="1"/>
      </rPr>
      <t>(</t>
    </r>
    <r>
      <rPr>
        <sz val="11"/>
        <rFont val="宋体"/>
        <family val="3"/>
        <charset val="134"/>
      </rPr>
      <t>百万元</t>
    </r>
    <r>
      <rPr>
        <sz val="11"/>
        <rFont val="Times New Roman"/>
        <family val="1"/>
      </rPr>
      <t>)</t>
    </r>
  </si>
  <si>
    <r>
      <t>1000</t>
    </r>
    <r>
      <rPr>
        <sz val="11"/>
        <rFont val="宋体"/>
        <family val="3"/>
        <charset val="134"/>
      </rPr>
      <t>次模拟净现值最大值</t>
    </r>
    <r>
      <rPr>
        <sz val="11"/>
        <rFont val="Times New Roman"/>
        <family val="1"/>
      </rPr>
      <t>(</t>
    </r>
    <r>
      <rPr>
        <sz val="11"/>
        <rFont val="宋体"/>
        <family val="3"/>
        <charset val="134"/>
      </rPr>
      <t>百万元</t>
    </r>
    <r>
      <rPr>
        <sz val="11"/>
        <rFont val="Times New Roman"/>
        <family val="1"/>
      </rPr>
      <t>)</t>
    </r>
  </si>
  <si>
    <r>
      <t>1000</t>
    </r>
    <r>
      <rPr>
        <sz val="11"/>
        <rFont val="宋体"/>
        <family val="3"/>
        <charset val="134"/>
      </rPr>
      <t>次模拟净现值最小值</t>
    </r>
    <r>
      <rPr>
        <sz val="11"/>
        <rFont val="Times New Roman"/>
        <family val="1"/>
      </rPr>
      <t>(</t>
    </r>
    <r>
      <rPr>
        <sz val="11"/>
        <rFont val="宋体"/>
        <family val="3"/>
        <charset val="134"/>
      </rPr>
      <t>百万元</t>
    </r>
    <r>
      <rPr>
        <sz val="11"/>
        <rFont val="Times New Roman"/>
        <family val="1"/>
      </rPr>
      <t>)</t>
    </r>
  </si>
  <si>
    <t>6.图形区—控制参数区</t>
    <phoneticPr fontId="5" type="noConversion"/>
  </si>
  <si>
    <t>表单控件参数</t>
  </si>
  <si>
    <t>指定净现值</t>
    <phoneticPr fontId="5" type="noConversion"/>
  </si>
  <si>
    <t>大于指定净现值的概率</t>
    <phoneticPr fontId="5" type="noConversion"/>
  </si>
  <si>
    <r>
      <rPr>
        <sz val="11"/>
        <rFont val="宋体"/>
        <family val="3"/>
        <charset val="134"/>
      </rPr>
      <t>确定统计区间的行数</t>
    </r>
    <r>
      <rPr>
        <sz val="11"/>
        <rFont val="Times New Roman"/>
        <family val="1"/>
      </rPr>
      <t>(K)</t>
    </r>
    <phoneticPr fontId="5" type="noConversion"/>
  </si>
  <si>
    <r>
      <t>分段统计点之间间隔</t>
    </r>
    <r>
      <rPr>
        <sz val="11"/>
        <rFont val="Times New Roman"/>
        <family val="1"/>
      </rPr>
      <t>(H)</t>
    </r>
    <phoneticPr fontId="5" type="noConversion"/>
  </si>
  <si>
    <t>指定净现值可能性垂直线</t>
    <phoneticPr fontId="5" type="noConversion"/>
  </si>
  <si>
    <t>X坐标</t>
  </si>
  <si>
    <t>Y坐标</t>
  </si>
  <si>
    <t>最低点坐标</t>
  </si>
  <si>
    <t>与净现值概率曲线交点坐标</t>
    <phoneticPr fontId="5" type="noConversion"/>
  </si>
  <si>
    <t>最高点坐标</t>
  </si>
  <si>
    <t>指定净现值风险垂直线</t>
    <phoneticPr fontId="5" type="noConversion"/>
  </si>
  <si>
    <t>订货</t>
    <phoneticPr fontId="3" type="noConversion"/>
  </si>
  <si>
    <t>缺货天数</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</si>
</sst>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76" formatCode="0_);[Red]\(0\)"/>
    <numFmt numFmtId="177" formatCode="0.000"/>
    <numFmt numFmtId="178" formatCode="0.0"/>
    <numFmt numFmtId="179" formatCode="0_ "/>
    <numFmt numFmtId="180" formatCode="0.0%"/>
    <numFmt numFmtId="181" formatCode="0.00_ "/>
    <numFmt numFmtId="182" formatCode="0.00_);[Red]\(0.00\)"/>
    <numFmt numFmtId="183" formatCode="0.000%"/>
  </numFmts>
  <fonts count="15" x14ac:knownFonts="1">
    <font>
      <sz val="11"/>
      <color theme="1"/>
      <name val="等线"/>
      <family val="2"/>
      <charset val="134"/>
      <scheme val="minor"/>
    </font>
    <font>
      <sz val="11"/>
      <color theme="1"/>
      <name val="等线"/>
      <family val="2"/>
      <charset val="134"/>
      <scheme val="minor"/>
    </font>
    <font>
      <sz val="11"/>
      <name val="宋体"/>
      <family val="3"/>
      <charset val="134"/>
    </font>
    <font>
      <sz val="9"/>
      <name val="等线"/>
      <family val="2"/>
      <charset val="134"/>
      <scheme val="minor"/>
    </font>
    <font>
      <b/>
      <sz val="11"/>
      <name val="宋体"/>
      <family val="3"/>
      <charset val="134"/>
    </font>
    <font>
      <sz val="9"/>
      <name val="宋体"/>
      <family val="3"/>
      <charset val="134"/>
    </font>
    <font>
      <sz val="11"/>
      <color theme="1"/>
      <name val="宋体"/>
      <family val="3"/>
      <charset val="134"/>
    </font>
    <font>
      <sz val="11"/>
      <name val="Arial"/>
      <family val="2"/>
    </font>
    <font>
      <b/>
      <sz val="11"/>
      <name val="等线"/>
      <family val="3"/>
      <charset val="134"/>
      <scheme val="minor"/>
    </font>
    <font>
      <sz val="11"/>
      <color theme="1"/>
      <name val="Arial"/>
      <family val="2"/>
    </font>
    <font>
      <b/>
      <sz val="12"/>
      <name val="宋体"/>
      <family val="3"/>
      <charset val="134"/>
    </font>
    <font>
      <sz val="12"/>
      <name val="宋体"/>
      <family val="3"/>
      <charset val="134"/>
    </font>
    <font>
      <sz val="11"/>
      <name val="Times New Roman"/>
      <family val="1"/>
    </font>
    <font>
      <b/>
      <sz val="11"/>
      <color indexed="8"/>
      <name val="宋体"/>
      <family val="3"/>
      <charset val="134"/>
    </font>
    <font>
      <sz val="11"/>
      <color indexed="8"/>
      <name val="宋体"/>
      <family val="3"/>
      <charset val="134"/>
    </font>
  </fonts>
  <fills count="7">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rgb="FFFFFFCC"/>
        <bgColor indexed="64"/>
      </patternFill>
    </fill>
    <fill>
      <patternFill patternType="solid">
        <fgColor rgb="FFCCFFFF"/>
        <bgColor indexed="64"/>
      </patternFill>
    </fill>
    <fill>
      <patternFill patternType="solid">
        <fgColor theme="8" tint="0.59999389629810485"/>
        <bgColor indexed="64"/>
      </patternFill>
    </fill>
  </fills>
  <borders count="12">
    <border>
      <left/>
      <right/>
      <top/>
      <bottom/>
      <diagonal/>
    </border>
    <border>
      <left style="double">
        <color indexed="9"/>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s>
  <cellStyleXfs count="3">
    <xf numFmtId="0" fontId="0" fillId="0" borderId="0">
      <alignment vertical="center"/>
    </xf>
    <xf numFmtId="43"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100">
    <xf numFmtId="0" fontId="0" fillId="0" borderId="0" xfId="0">
      <alignment vertical="center"/>
    </xf>
    <xf numFmtId="0" fontId="2" fillId="0" borderId="0" xfId="0" applyFont="1">
      <alignment vertical="center"/>
    </xf>
    <xf numFmtId="0" fontId="2" fillId="0" borderId="0" xfId="0" applyFont="1" applyAlignment="1">
      <alignment horizontal="center" vertical="center"/>
    </xf>
    <xf numFmtId="1" fontId="4" fillId="0" borderId="1" xfId="1" applyNumberFormat="1" applyFont="1" applyFill="1" applyBorder="1" applyAlignment="1">
      <alignment horizontal="left" vertical="center"/>
    </xf>
    <xf numFmtId="1" fontId="2" fillId="0" borderId="0" xfId="1" applyNumberFormat="1" applyFont="1" applyFill="1" applyBorder="1" applyAlignment="1">
      <alignment horizontal="center" vertical="center"/>
    </xf>
    <xf numFmtId="0" fontId="4" fillId="0" borderId="0" xfId="0" applyFont="1" applyAlignment="1">
      <alignment horizontal="right" vertical="center"/>
    </xf>
    <xf numFmtId="1" fontId="2" fillId="0" borderId="2" xfId="0" applyNumberFormat="1" applyFont="1" applyBorder="1"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xf>
    <xf numFmtId="176" fontId="2" fillId="0" borderId="0" xfId="0" applyNumberFormat="1" applyFont="1" applyAlignment="1">
      <alignment horizontal="center" vertical="center"/>
    </xf>
    <xf numFmtId="0" fontId="2" fillId="0" borderId="0" xfId="0" applyFont="1" applyAlignment="1"/>
    <xf numFmtId="0" fontId="4" fillId="0" borderId="0" xfId="0" applyFont="1">
      <alignment vertical="center"/>
    </xf>
    <xf numFmtId="0" fontId="4" fillId="0" borderId="3" xfId="0" applyFont="1" applyBorder="1" applyAlignment="1">
      <alignment horizontal="center" vertical="center"/>
    </xf>
    <xf numFmtId="0" fontId="2" fillId="0" borderId="3" xfId="0" applyFont="1" applyBorder="1" applyAlignment="1">
      <alignment horizontal="center" vertical="center" wrapText="1"/>
    </xf>
    <xf numFmtId="1" fontId="2" fillId="0" borderId="3" xfId="1" applyNumberFormat="1" applyFont="1" applyFill="1" applyBorder="1" applyAlignment="1">
      <alignment horizontal="center" vertical="center" wrapText="1"/>
    </xf>
    <xf numFmtId="1" fontId="2" fillId="0" borderId="3" xfId="0" applyNumberFormat="1" applyFont="1" applyBorder="1" applyAlignment="1">
      <alignment horizontal="center" vertical="center" wrapText="1"/>
    </xf>
    <xf numFmtId="1" fontId="2" fillId="0" borderId="0" xfId="0" applyNumberFormat="1" applyFont="1" applyAlignment="1">
      <alignment horizontal="center" vertical="center"/>
    </xf>
    <xf numFmtId="176" fontId="2" fillId="0" borderId="3" xfId="0" applyNumberFormat="1"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lignment vertical="center"/>
    </xf>
    <xf numFmtId="0" fontId="2" fillId="0" borderId="2" xfId="0" applyFont="1" applyBorder="1" applyAlignment="1">
      <alignment horizontal="center" vertical="center"/>
    </xf>
    <xf numFmtId="0" fontId="4" fillId="0" borderId="5" xfId="0" applyFont="1" applyBorder="1" applyAlignment="1">
      <alignment horizontal="center" vertical="center"/>
    </xf>
    <xf numFmtId="0" fontId="2" fillId="0" borderId="5" xfId="0" applyFont="1" applyBorder="1" applyAlignment="1">
      <alignment horizontal="center" vertical="center" wrapText="1"/>
    </xf>
    <xf numFmtId="1" fontId="2" fillId="0" borderId="5" xfId="1" applyNumberFormat="1" applyFont="1" applyFill="1" applyBorder="1" applyAlignment="1">
      <alignment horizontal="center" vertical="center" wrapText="1"/>
    </xf>
    <xf numFmtId="1" fontId="2" fillId="0" borderId="5" xfId="0" applyNumberFormat="1" applyFont="1" applyBorder="1" applyAlignment="1">
      <alignment horizontal="center" vertical="center" wrapText="1"/>
    </xf>
    <xf numFmtId="176" fontId="2" fillId="0" borderId="2" xfId="0" applyNumberFormat="1" applyFont="1" applyBorder="1" applyAlignment="1">
      <alignment horizontal="center" vertical="center"/>
    </xf>
    <xf numFmtId="0" fontId="2" fillId="0" borderId="6" xfId="0" applyFont="1" applyBorder="1">
      <alignment vertical="center"/>
    </xf>
    <xf numFmtId="1" fontId="2" fillId="0" borderId="2" xfId="0" applyNumberFormat="1" applyFont="1" applyBorder="1">
      <alignment vertical="center"/>
    </xf>
    <xf numFmtId="0" fontId="2" fillId="0" borderId="7" xfId="0" applyFont="1" applyBorder="1">
      <alignment vertical="center"/>
    </xf>
    <xf numFmtId="177" fontId="2" fillId="0" borderId="2" xfId="0" applyNumberFormat="1" applyFont="1" applyBorder="1" applyAlignment="1">
      <alignment horizontal="center" vertical="center"/>
    </xf>
    <xf numFmtId="0" fontId="0" fillId="0" borderId="0" xfId="0" applyAlignment="1">
      <alignment horizontal="center" vertical="center"/>
    </xf>
    <xf numFmtId="0" fontId="6" fillId="0" borderId="0" xfId="0" applyFont="1" applyAlignment="1">
      <alignment horizontal="left" vertical="center"/>
    </xf>
    <xf numFmtId="0" fontId="7" fillId="0" borderId="0" xfId="0" applyFont="1">
      <alignment vertical="center"/>
    </xf>
    <xf numFmtId="9" fontId="2" fillId="0" borderId="2" xfId="0" applyNumberFormat="1" applyFont="1" applyBorder="1" applyAlignment="1">
      <alignment horizontal="center" vertical="center"/>
    </xf>
    <xf numFmtId="0" fontId="8" fillId="0" borderId="0" xfId="0" applyFont="1" applyAlignment="1">
      <alignment horizontal="left" vertical="center"/>
    </xf>
    <xf numFmtId="0" fontId="9" fillId="0" borderId="0" xfId="0" applyFont="1">
      <alignment vertical="center"/>
    </xf>
    <xf numFmtId="0" fontId="2" fillId="0" borderId="4" xfId="0" applyFont="1" applyBorder="1" applyAlignment="1">
      <alignment horizontal="left" vertical="center"/>
    </xf>
    <xf numFmtId="0" fontId="0" fillId="0" borderId="0" xfId="0" applyAlignment="1"/>
    <xf numFmtId="178" fontId="2" fillId="0" borderId="0" xfId="0" applyNumberFormat="1" applyFont="1" applyAlignment="1">
      <alignment horizontal="center" vertical="center"/>
    </xf>
    <xf numFmtId="1" fontId="2" fillId="0" borderId="0" xfId="1" applyNumberFormat="1" applyFont="1" applyFill="1" applyAlignment="1">
      <alignment horizontal="center" vertical="center"/>
    </xf>
    <xf numFmtId="43" fontId="2" fillId="0" borderId="0" xfId="1" applyFont="1" applyFill="1" applyAlignment="1">
      <alignment horizontal="center" vertical="center"/>
    </xf>
    <xf numFmtId="2" fontId="2" fillId="0" borderId="0" xfId="0" applyNumberFormat="1" applyFont="1" applyAlignment="1">
      <alignment horizontal="center" vertical="center"/>
    </xf>
    <xf numFmtId="1" fontId="5" fillId="0" borderId="3" xfId="1" applyNumberFormat="1" applyFont="1" applyFill="1" applyBorder="1" applyAlignment="1">
      <alignment horizontal="center" vertical="center" wrapText="1"/>
    </xf>
    <xf numFmtId="1" fontId="5" fillId="0" borderId="8" xfId="1" applyNumberFormat="1" applyFont="1" applyFill="1" applyBorder="1" applyAlignment="1">
      <alignment horizontal="center" vertical="center" wrapText="1"/>
    </xf>
    <xf numFmtId="1" fontId="5" fillId="0" borderId="5" xfId="1" applyNumberFormat="1" applyFont="1" applyFill="1" applyBorder="1" applyAlignment="1">
      <alignment horizontal="center" vertical="center" wrapText="1"/>
    </xf>
    <xf numFmtId="1" fontId="2" fillId="0" borderId="5" xfId="0" applyNumberFormat="1" applyFont="1" applyBorder="1" applyAlignment="1">
      <alignment horizontal="center" vertical="center"/>
    </xf>
    <xf numFmtId="0" fontId="2" fillId="0" borderId="9" xfId="0" applyFont="1" applyBorder="1" applyAlignment="1">
      <alignment horizontal="center" vertical="center"/>
    </xf>
    <xf numFmtId="0" fontId="2" fillId="2" borderId="0" xfId="0" applyFont="1" applyFill="1">
      <alignment vertical="center"/>
    </xf>
    <xf numFmtId="0" fontId="4" fillId="2" borderId="0" xfId="0" applyFont="1" applyFill="1">
      <alignment vertical="center"/>
    </xf>
    <xf numFmtId="0" fontId="10" fillId="0" borderId="0" xfId="0" applyFont="1">
      <alignment vertical="center"/>
    </xf>
    <xf numFmtId="0" fontId="2" fillId="3" borderId="2" xfId="0" applyFont="1" applyFill="1" applyBorder="1" applyAlignment="1">
      <alignment horizontal="center" vertical="center"/>
    </xf>
    <xf numFmtId="0" fontId="11" fillId="3" borderId="2" xfId="0" applyFont="1" applyFill="1" applyBorder="1" applyAlignment="1">
      <alignment horizontal="center" vertical="center"/>
    </xf>
    <xf numFmtId="0" fontId="2" fillId="3" borderId="4" xfId="0" applyFont="1" applyFill="1" applyBorder="1">
      <alignment vertical="center"/>
    </xf>
    <xf numFmtId="0" fontId="2" fillId="3" borderId="10" xfId="0" applyFont="1" applyFill="1" applyBorder="1">
      <alignment vertical="center"/>
    </xf>
    <xf numFmtId="0" fontId="2" fillId="4" borderId="2" xfId="0" applyFont="1" applyFill="1" applyBorder="1">
      <alignment vertical="center"/>
    </xf>
    <xf numFmtId="0" fontId="2" fillId="2" borderId="2" xfId="0" applyFont="1" applyFill="1" applyBorder="1">
      <alignment vertical="center"/>
    </xf>
    <xf numFmtId="182" fontId="2" fillId="6" borderId="2" xfId="0" applyNumberFormat="1" applyFont="1" applyFill="1" applyBorder="1">
      <alignment vertical="center"/>
    </xf>
    <xf numFmtId="0" fontId="2" fillId="5" borderId="2" xfId="0" applyFont="1" applyFill="1" applyBorder="1">
      <alignment vertical="center"/>
    </xf>
    <xf numFmtId="1" fontId="2" fillId="3" borderId="2" xfId="0" applyNumberFormat="1" applyFont="1" applyFill="1" applyBorder="1" applyAlignment="1">
      <alignment horizontal="center" vertical="center"/>
    </xf>
    <xf numFmtId="2" fontId="2" fillId="5" borderId="2" xfId="0" applyNumberFormat="1" applyFont="1" applyFill="1" applyBorder="1" applyAlignment="1">
      <alignment horizontal="center" vertical="center"/>
    </xf>
    <xf numFmtId="9" fontId="2" fillId="4" borderId="2" xfId="2" applyFont="1" applyFill="1" applyBorder="1" applyAlignment="1">
      <alignment vertical="center"/>
    </xf>
    <xf numFmtId="2" fontId="4" fillId="5" borderId="2" xfId="0" applyNumberFormat="1" applyFont="1" applyFill="1" applyBorder="1">
      <alignment vertical="center"/>
    </xf>
    <xf numFmtId="182" fontId="13" fillId="6" borderId="2" xfId="0" applyNumberFormat="1" applyFont="1" applyFill="1" applyBorder="1">
      <alignment vertical="center"/>
    </xf>
    <xf numFmtId="0" fontId="12" fillId="3" borderId="4" xfId="0" applyFont="1" applyFill="1" applyBorder="1">
      <alignment vertical="center"/>
    </xf>
    <xf numFmtId="182" fontId="14" fillId="0" borderId="2" xfId="0" applyNumberFormat="1" applyFont="1" applyBorder="1">
      <alignment vertical="center"/>
    </xf>
    <xf numFmtId="178" fontId="2" fillId="0" borderId="2" xfId="0" applyNumberFormat="1" applyFont="1" applyBorder="1" applyAlignment="1">
      <alignment horizontal="center" vertical="center"/>
    </xf>
    <xf numFmtId="1" fontId="2" fillId="2" borderId="0" xfId="0" applyNumberFormat="1" applyFont="1" applyFill="1" applyAlignment="1">
      <alignment horizontal="center" vertical="center"/>
    </xf>
    <xf numFmtId="2" fontId="2" fillId="2" borderId="0" xfId="0" applyNumberFormat="1" applyFont="1" applyFill="1">
      <alignment vertical="center"/>
    </xf>
    <xf numFmtId="0" fontId="2" fillId="0" borderId="10" xfId="0" applyFont="1" applyBorder="1">
      <alignment vertical="center"/>
    </xf>
    <xf numFmtId="0" fontId="2" fillId="0" borderId="9" xfId="0" applyFont="1" applyBorder="1">
      <alignment vertical="center"/>
    </xf>
    <xf numFmtId="0" fontId="2" fillId="0" borderId="2" xfId="0" applyFont="1" applyBorder="1">
      <alignment vertical="center"/>
    </xf>
    <xf numFmtId="182" fontId="2" fillId="0" borderId="2" xfId="0" applyNumberFormat="1" applyFont="1" applyBorder="1">
      <alignment vertical="center"/>
    </xf>
    <xf numFmtId="9" fontId="2" fillId="0" borderId="2" xfId="2" applyFont="1" applyFill="1" applyBorder="1" applyAlignment="1">
      <alignment horizontal="center" vertical="center"/>
    </xf>
    <xf numFmtId="2" fontId="2" fillId="0" borderId="2" xfId="0" applyNumberFormat="1" applyFont="1" applyBorder="1" applyAlignment="1">
      <alignment horizontal="center" vertical="center"/>
    </xf>
    <xf numFmtId="2" fontId="2" fillId="0" borderId="2" xfId="0" applyNumberFormat="1" applyFont="1" applyBorder="1">
      <alignment vertical="center"/>
    </xf>
    <xf numFmtId="0" fontId="2" fillId="0" borderId="8" xfId="0" applyFont="1" applyBorder="1">
      <alignment vertical="center"/>
    </xf>
    <xf numFmtId="1" fontId="2" fillId="0" borderId="8" xfId="0" applyNumberFormat="1" applyFont="1" applyBorder="1" applyAlignment="1">
      <alignment horizontal="right" vertical="center"/>
    </xf>
    <xf numFmtId="180" fontId="2" fillId="0" borderId="8" xfId="2" applyNumberFormat="1" applyFont="1" applyFill="1" applyBorder="1" applyAlignment="1">
      <alignment vertical="center"/>
    </xf>
    <xf numFmtId="180" fontId="2" fillId="0" borderId="3" xfId="2" applyNumberFormat="1" applyFont="1" applyFill="1" applyBorder="1" applyAlignment="1">
      <alignment vertical="center"/>
    </xf>
    <xf numFmtId="180" fontId="2" fillId="0" borderId="0" xfId="0" applyNumberFormat="1" applyFont="1">
      <alignment vertical="center"/>
    </xf>
    <xf numFmtId="180" fontId="2" fillId="0" borderId="0" xfId="2" applyNumberFormat="1" applyFont="1" applyFill="1" applyBorder="1" applyAlignment="1">
      <alignment vertical="center"/>
    </xf>
    <xf numFmtId="181" fontId="13" fillId="0" borderId="2" xfId="0" applyNumberFormat="1" applyFont="1" applyBorder="1">
      <alignment vertical="center"/>
    </xf>
    <xf numFmtId="0" fontId="12" fillId="0" borderId="4" xfId="0" applyFont="1" applyBorder="1">
      <alignment vertical="center"/>
    </xf>
    <xf numFmtId="176" fontId="14" fillId="0" borderId="2" xfId="0" applyNumberFormat="1" applyFont="1" applyBorder="1" applyAlignment="1">
      <alignment horizontal="center" vertical="center"/>
    </xf>
    <xf numFmtId="179" fontId="14" fillId="0" borderId="2" xfId="0" applyNumberFormat="1" applyFont="1" applyBorder="1" applyAlignment="1">
      <alignment horizontal="center" vertical="center"/>
    </xf>
    <xf numFmtId="180" fontId="2" fillId="0" borderId="2" xfId="2" applyNumberFormat="1" applyFont="1" applyFill="1" applyBorder="1" applyAlignment="1">
      <alignment horizontal="center" vertical="center"/>
    </xf>
    <xf numFmtId="0" fontId="2" fillId="0" borderId="11" xfId="0" applyFont="1" applyBorder="1" applyAlignment="1">
      <alignment horizontal="center" vertical="center"/>
    </xf>
    <xf numFmtId="180" fontId="2" fillId="0" borderId="2" xfId="0" applyNumberFormat="1" applyFont="1" applyBorder="1" applyAlignment="1">
      <alignment horizontal="center" vertical="center"/>
    </xf>
    <xf numFmtId="0" fontId="2" fillId="0" borderId="5" xfId="0" applyFont="1" applyBorder="1">
      <alignment vertical="center"/>
    </xf>
    <xf numFmtId="1" fontId="2" fillId="0" borderId="5" xfId="0" applyNumberFormat="1" applyFont="1" applyBorder="1" applyAlignment="1">
      <alignment horizontal="right" vertical="center"/>
    </xf>
    <xf numFmtId="180" fontId="2" fillId="0" borderId="5" xfId="2" applyNumberFormat="1" applyFont="1" applyFill="1" applyBorder="1" applyAlignment="1">
      <alignment vertical="center"/>
    </xf>
    <xf numFmtId="9" fontId="2" fillId="0" borderId="0" xfId="0" applyNumberFormat="1" applyFont="1">
      <alignment vertical="center"/>
    </xf>
    <xf numFmtId="183" fontId="2" fillId="0" borderId="0" xfId="0" applyNumberFormat="1" applyFont="1" applyAlignment="1">
      <alignment horizontal="center" vertical="center"/>
    </xf>
    <xf numFmtId="0" fontId="2" fillId="0" borderId="3" xfId="0" applyFont="1" applyBorder="1">
      <alignment vertical="center"/>
    </xf>
    <xf numFmtId="0" fontId="2" fillId="0" borderId="5" xfId="0" applyFont="1" applyBorder="1">
      <alignment vertical="center"/>
    </xf>
    <xf numFmtId="0" fontId="2" fillId="0" borderId="3" xfId="0" applyFont="1" applyBorder="1" applyAlignment="1">
      <alignment horizontal="center" vertical="center"/>
    </xf>
    <xf numFmtId="0" fontId="2" fillId="0" borderId="5" xfId="0" applyFont="1" applyBorder="1" applyAlignment="1">
      <alignment horizontal="center" vertical="center"/>
    </xf>
    <xf numFmtId="0" fontId="2" fillId="0" borderId="4" xfId="0" applyFont="1" applyBorder="1" applyAlignment="1">
      <alignment horizontal="left"/>
    </xf>
    <xf numFmtId="0" fontId="2" fillId="0" borderId="9" xfId="0" applyFont="1" applyBorder="1" applyAlignment="1">
      <alignment horizontal="left"/>
    </xf>
    <xf numFmtId="2" fontId="2" fillId="3" borderId="2" xfId="0" applyNumberFormat="1" applyFont="1" applyFill="1" applyBorder="1" applyAlignment="1">
      <alignment horizontal="left" vertical="center"/>
    </xf>
  </cellXfs>
  <cellStyles count="3">
    <cellStyle name="百分比" xfId="2" builtinId="5"/>
    <cellStyle name="常规" xfId="0" builtinId="0"/>
    <cellStyle name="千位分隔"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smoothMarker"/>
        <c:varyColors val="0"/>
        <c:ser>
          <c:idx val="0"/>
          <c:order val="0"/>
          <c:spPr>
            <a:ln w="19050" cap="rnd">
              <a:solidFill>
                <a:schemeClr val="accent1"/>
              </a:solidFill>
              <a:prstDash val="sysDash"/>
              <a:round/>
            </a:ln>
            <a:effectLst/>
          </c:spPr>
          <c:marker>
            <c:symbol val="none"/>
          </c:marker>
          <c:xVal>
            <c:numRef>
              <c:f>'1'!$O$3:$O$13</c:f>
              <c:numCache>
                <c:formatCode>General</c:formatCode>
                <c:ptCount val="11"/>
                <c:pt idx="0">
                  <c:v>600</c:v>
                </c:pt>
                <c:pt idx="1">
                  <c:v>700</c:v>
                </c:pt>
                <c:pt idx="2">
                  <c:v>800</c:v>
                </c:pt>
                <c:pt idx="3">
                  <c:v>900</c:v>
                </c:pt>
                <c:pt idx="4">
                  <c:v>1000</c:v>
                </c:pt>
                <c:pt idx="5">
                  <c:v>1100</c:v>
                </c:pt>
                <c:pt idx="6">
                  <c:v>1200</c:v>
                </c:pt>
                <c:pt idx="7">
                  <c:v>1300</c:v>
                </c:pt>
                <c:pt idx="8">
                  <c:v>1400</c:v>
                </c:pt>
                <c:pt idx="9">
                  <c:v>1500</c:v>
                </c:pt>
                <c:pt idx="10">
                  <c:v>1600</c:v>
                </c:pt>
              </c:numCache>
            </c:numRef>
          </c:xVal>
          <c:yVal>
            <c:numRef>
              <c:f>'1'!$P$3:$P$13</c:f>
              <c:numCache>
                <c:formatCode>0</c:formatCode>
                <c:ptCount val="11"/>
                <c:pt idx="0">
                  <c:v>18534.246575342462</c:v>
                </c:pt>
                <c:pt idx="1">
                  <c:v>17481.369863013701</c:v>
                </c:pt>
                <c:pt idx="2">
                  <c:v>14255.068493150682</c:v>
                </c:pt>
                <c:pt idx="3">
                  <c:v>15407.945205479456</c:v>
                </c:pt>
                <c:pt idx="4">
                  <c:v>13943.287671232876</c:v>
                </c:pt>
                <c:pt idx="5">
                  <c:v>13336.986301369863</c:v>
                </c:pt>
                <c:pt idx="6">
                  <c:v>13375.616438356163</c:v>
                </c:pt>
                <c:pt idx="7">
                  <c:v>13675.342465753418</c:v>
                </c:pt>
                <c:pt idx="8">
                  <c:v>12402.191780821915</c:v>
                </c:pt>
                <c:pt idx="9">
                  <c:v>13544.383561643834</c:v>
                </c:pt>
                <c:pt idx="10">
                  <c:v>14743.561643835612</c:v>
                </c:pt>
              </c:numCache>
            </c:numRef>
          </c:yVal>
          <c:smooth val="1"/>
          <c:extLst>
            <c:ext xmlns:c16="http://schemas.microsoft.com/office/drawing/2014/chart" uri="{C3380CC4-5D6E-409C-BE32-E72D297353CC}">
              <c16:uniqueId val="{00000000-14CB-46CC-AF1B-707CB9ED6EC3}"/>
            </c:ext>
          </c:extLst>
        </c:ser>
        <c:ser>
          <c:idx val="1"/>
          <c:order val="1"/>
          <c:spPr>
            <a:ln w="19050" cap="rnd">
              <a:solidFill>
                <a:schemeClr val="accent2"/>
              </a:solidFill>
              <a:round/>
            </a:ln>
            <a:effectLst/>
          </c:spPr>
          <c:marker>
            <c:symbol val="none"/>
          </c:marker>
          <c:xVal>
            <c:numRef>
              <c:f>'1'!$O$16:$O$18</c:f>
              <c:numCache>
                <c:formatCode>0_);[Red]\(0\)</c:formatCode>
                <c:ptCount val="3"/>
                <c:pt idx="0">
                  <c:v>1400</c:v>
                </c:pt>
                <c:pt idx="1">
                  <c:v>1400</c:v>
                </c:pt>
                <c:pt idx="2">
                  <c:v>1400</c:v>
                </c:pt>
              </c:numCache>
            </c:numRef>
          </c:xVal>
          <c:yVal>
            <c:numRef>
              <c:f>'1'!$P$16:$P$18</c:f>
              <c:numCache>
                <c:formatCode>0_);[Red]\(0\)</c:formatCode>
                <c:ptCount val="3"/>
                <c:pt idx="0">
                  <c:v>24000</c:v>
                </c:pt>
                <c:pt idx="1">
                  <c:v>12402.191780821915</c:v>
                </c:pt>
                <c:pt idx="2">
                  <c:v>10000</c:v>
                </c:pt>
              </c:numCache>
            </c:numRef>
          </c:yVal>
          <c:smooth val="1"/>
          <c:extLst>
            <c:ext xmlns:c16="http://schemas.microsoft.com/office/drawing/2014/chart" uri="{C3380CC4-5D6E-409C-BE32-E72D297353CC}">
              <c16:uniqueId val="{00000002-14CB-46CC-AF1B-707CB9ED6EC3}"/>
            </c:ext>
          </c:extLst>
        </c:ser>
        <c:ser>
          <c:idx val="2"/>
          <c:order val="2"/>
          <c:spPr>
            <a:ln w="19050" cap="rnd">
              <a:solidFill>
                <a:schemeClr val="accent3"/>
              </a:solidFill>
              <a:round/>
            </a:ln>
            <a:effectLst/>
          </c:spPr>
          <c:marker>
            <c:symbol val="none"/>
          </c:marker>
          <c:xVal>
            <c:numRef>
              <c:f>'1'!$R$3:$R$13</c:f>
              <c:numCache>
                <c:formatCode>General</c:formatCode>
                <c:ptCount val="11"/>
                <c:pt idx="0">
                  <c:v>600</c:v>
                </c:pt>
                <c:pt idx="1">
                  <c:v>700</c:v>
                </c:pt>
                <c:pt idx="2">
                  <c:v>800</c:v>
                </c:pt>
                <c:pt idx="3">
                  <c:v>900</c:v>
                </c:pt>
                <c:pt idx="4">
                  <c:v>1000</c:v>
                </c:pt>
                <c:pt idx="5">
                  <c:v>1100</c:v>
                </c:pt>
                <c:pt idx="6">
                  <c:v>1200</c:v>
                </c:pt>
                <c:pt idx="7">
                  <c:v>1300</c:v>
                </c:pt>
                <c:pt idx="8">
                  <c:v>1400</c:v>
                </c:pt>
                <c:pt idx="9">
                  <c:v>1500</c:v>
                </c:pt>
                <c:pt idx="10">
                  <c:v>1600</c:v>
                </c:pt>
              </c:numCache>
            </c:numRef>
          </c:xVal>
          <c:yVal>
            <c:numRef>
              <c:f>'1'!$DO$3:$DO$13</c:f>
              <c:numCache>
                <c:formatCode>0</c:formatCode>
                <c:ptCount val="11"/>
                <c:pt idx="0">
                  <c:v>18074.865753424659</c:v>
                </c:pt>
                <c:pt idx="1">
                  <c:v>16491.964383561652</c:v>
                </c:pt>
                <c:pt idx="2">
                  <c:v>15189.402739726023</c:v>
                </c:pt>
                <c:pt idx="3">
                  <c:v>14338.24383561644</c:v>
                </c:pt>
                <c:pt idx="4">
                  <c:v>14038.394520547945</c:v>
                </c:pt>
                <c:pt idx="5">
                  <c:v>13869.4</c:v>
                </c:pt>
                <c:pt idx="6">
                  <c:v>13571.035616438354</c:v>
                </c:pt>
                <c:pt idx="7">
                  <c:v>13537.326027397263</c:v>
                </c:pt>
                <c:pt idx="8">
                  <c:v>13538.668493150692</c:v>
                </c:pt>
                <c:pt idx="9">
                  <c:v>13568.789041095881</c:v>
                </c:pt>
                <c:pt idx="10">
                  <c:v>13617.723287671237</c:v>
                </c:pt>
              </c:numCache>
            </c:numRef>
          </c:yVal>
          <c:smooth val="1"/>
          <c:extLst>
            <c:ext xmlns:c16="http://schemas.microsoft.com/office/drawing/2014/chart" uri="{C3380CC4-5D6E-409C-BE32-E72D297353CC}">
              <c16:uniqueId val="{00000003-14CB-46CC-AF1B-707CB9ED6EC3}"/>
            </c:ext>
          </c:extLst>
        </c:ser>
        <c:ser>
          <c:idx val="3"/>
          <c:order val="3"/>
          <c:spPr>
            <a:ln w="19050" cap="rnd">
              <a:solidFill>
                <a:schemeClr val="accent4"/>
              </a:solidFill>
              <a:round/>
            </a:ln>
            <a:effectLst/>
          </c:spPr>
          <c:marker>
            <c:symbol val="none"/>
          </c:marker>
          <c:xVal>
            <c:numRef>
              <c:f>'1'!$O$21:$O$23</c:f>
              <c:numCache>
                <c:formatCode>0_);[Red]\(0\)</c:formatCode>
                <c:ptCount val="3"/>
                <c:pt idx="0">
                  <c:v>1300</c:v>
                </c:pt>
                <c:pt idx="1">
                  <c:v>1300</c:v>
                </c:pt>
                <c:pt idx="2">
                  <c:v>1300</c:v>
                </c:pt>
              </c:numCache>
            </c:numRef>
          </c:xVal>
          <c:yVal>
            <c:numRef>
              <c:f>'1'!$P$21:$P$23</c:f>
              <c:numCache>
                <c:formatCode>0_);[Red]\(0\)</c:formatCode>
                <c:ptCount val="3"/>
                <c:pt idx="0">
                  <c:v>24000</c:v>
                </c:pt>
                <c:pt idx="1">
                  <c:v>13537.326027397263</c:v>
                </c:pt>
                <c:pt idx="2">
                  <c:v>10000</c:v>
                </c:pt>
              </c:numCache>
            </c:numRef>
          </c:yVal>
          <c:smooth val="1"/>
          <c:extLst>
            <c:ext xmlns:c16="http://schemas.microsoft.com/office/drawing/2014/chart" uri="{C3380CC4-5D6E-409C-BE32-E72D297353CC}">
              <c16:uniqueId val="{00000004-14CB-46CC-AF1B-707CB9ED6EC3}"/>
            </c:ext>
          </c:extLst>
        </c:ser>
        <c:dLbls>
          <c:showLegendKey val="0"/>
          <c:showVal val="0"/>
          <c:showCatName val="0"/>
          <c:showSerName val="0"/>
          <c:showPercent val="0"/>
          <c:showBubbleSize val="0"/>
        </c:dLbls>
        <c:axId val="1179402400"/>
        <c:axId val="1179403232"/>
      </c:scatterChart>
      <c:valAx>
        <c:axId val="1179402400"/>
        <c:scaling>
          <c:orientation val="minMax"/>
          <c:max val="1600"/>
          <c:min val="600"/>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79403232"/>
        <c:crosses val="autoZero"/>
        <c:crossBetween val="midCat"/>
        <c:majorUnit val="100"/>
      </c:valAx>
      <c:valAx>
        <c:axId val="1179403232"/>
        <c:scaling>
          <c:orientation val="minMax"/>
          <c:max val="24000"/>
          <c:min val="10000"/>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79402400"/>
        <c:crosses val="autoZero"/>
        <c:crossBetween val="midCat"/>
        <c:majorUnit val="2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'1'!$R$29:$R$40</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'1'!$T$29:$T$40</c:f>
              <c:numCache>
                <c:formatCode>0.000%</c:formatCode>
                <c:ptCount val="12"/>
                <c:pt idx="0">
                  <c:v>0.90684931506849309</c:v>
                </c:pt>
                <c:pt idx="1">
                  <c:v>0.92602739726027394</c:v>
                </c:pt>
                <c:pt idx="2">
                  <c:v>0.92602739726027394</c:v>
                </c:pt>
                <c:pt idx="3">
                  <c:v>0.9506849315068493</c:v>
                </c:pt>
                <c:pt idx="4">
                  <c:v>0.95342465753424654</c:v>
                </c:pt>
                <c:pt idx="5">
                  <c:v>0.95342465753424654</c:v>
                </c:pt>
                <c:pt idx="6">
                  <c:v>0.9616438356164384</c:v>
                </c:pt>
                <c:pt idx="7">
                  <c:v>0.9671232876712329</c:v>
                </c:pt>
                <c:pt idx="8">
                  <c:v>0.989041095890411</c:v>
                </c:pt>
                <c:pt idx="9">
                  <c:v>0.99726027397260275</c:v>
                </c:pt>
                <c:pt idx="10">
                  <c:v>0.9945205479452055</c:v>
                </c:pt>
                <c:pt idx="11">
                  <c:v>0.99726027397260275</c:v>
                </c:pt>
              </c:numCache>
            </c:numRef>
          </c:yVal>
          <c:smooth val="1"/>
          <c:extLst>
            <c:ext xmlns:c16="http://schemas.microsoft.com/office/drawing/2014/chart" uri="{C3380CC4-5D6E-409C-BE32-E72D297353CC}">
              <c16:uniqueId val="{00000000-E9DA-4173-A806-780834B65598}"/>
            </c:ext>
          </c:extLst>
        </c:ser>
        <c:dLbls>
          <c:showLegendKey val="0"/>
          <c:showVal val="0"/>
          <c:showCatName val="0"/>
          <c:showSerName val="0"/>
          <c:showPercent val="0"/>
          <c:showBubbleSize val="0"/>
        </c:dLbls>
        <c:axId val="1188359312"/>
        <c:axId val="1188353072"/>
      </c:scatterChart>
      <c:valAx>
        <c:axId val="1188359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88353072"/>
        <c:crosses val="autoZero"/>
        <c:crossBetween val="midCat"/>
      </c:valAx>
      <c:valAx>
        <c:axId val="1188353072"/>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883593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50" b="1" i="0" u="none" strike="noStrike" baseline="0">
                <a:solidFill>
                  <a:srgbClr val="000000"/>
                </a:solidFill>
                <a:latin typeface="宋体"/>
                <a:ea typeface="宋体"/>
                <a:cs typeface="宋体"/>
              </a:defRPr>
            </a:pPr>
            <a:r>
              <a:rPr lang="zh-CN" altLang="en-US"/>
              <a:t>投资项目净现值的累计概率分布</a:t>
            </a:r>
          </a:p>
        </c:rich>
      </c:tx>
      <c:layout>
        <c:manualLayout>
          <c:xMode val="edge"/>
          <c:yMode val="edge"/>
          <c:x val="0.24110699601285016"/>
          <c:y val="4.2986425339366516E-2"/>
        </c:manualLayout>
      </c:layout>
      <c:overlay val="0"/>
      <c:spPr>
        <a:noFill/>
        <a:ln w="25400">
          <a:noFill/>
        </a:ln>
      </c:spPr>
    </c:title>
    <c:autoTitleDeleted val="0"/>
    <c:plotArea>
      <c:layout>
        <c:manualLayout>
          <c:layoutTarget val="inner"/>
          <c:xMode val="edge"/>
          <c:yMode val="edge"/>
          <c:x val="5.0065940569855187E-2"/>
          <c:y val="0.22624459382577619"/>
          <c:w val="0.81686534613974249"/>
          <c:h val="0.59049838988527592"/>
        </c:manualLayout>
      </c:layout>
      <c:scatterChart>
        <c:scatterStyle val="smoothMarker"/>
        <c:varyColors val="0"/>
        <c:ser>
          <c:idx val="0"/>
          <c:order val="0"/>
          <c:spPr>
            <a:ln w="38100">
              <a:solidFill>
                <a:srgbClr val="333333"/>
              </a:solidFill>
              <a:prstDash val="solid"/>
            </a:ln>
          </c:spPr>
          <c:marker>
            <c:symbol val="none"/>
          </c:marker>
          <c:xVal>
            <c:numRef>
              <c:f>'[1]蒙特卡洛投资风险分析模型 '!$K$15:$K$46</c:f>
              <c:numCache>
                <c:formatCode>General</c:formatCode>
                <c:ptCount val="32"/>
                <c:pt idx="0">
                  <c:v>-2086.3018087186492</c:v>
                </c:pt>
                <c:pt idx="1">
                  <c:v>-1806.7651740816364</c:v>
                </c:pt>
                <c:pt idx="2">
                  <c:v>-1527.2285394446235</c:v>
                </c:pt>
                <c:pt idx="3">
                  <c:v>-1247.6919048076106</c:v>
                </c:pt>
                <c:pt idx="4">
                  <c:v>-968.15527017059787</c:v>
                </c:pt>
                <c:pt idx="5">
                  <c:v>-688.61863553358512</c:v>
                </c:pt>
                <c:pt idx="6">
                  <c:v>-409.08200089657237</c:v>
                </c:pt>
                <c:pt idx="7">
                  <c:v>-129.54536625955961</c:v>
                </c:pt>
                <c:pt idx="8">
                  <c:v>149.99126837745314</c:v>
                </c:pt>
                <c:pt idx="9">
                  <c:v>429.52790301446589</c:v>
                </c:pt>
                <c:pt idx="10">
                  <c:v>709.06453765147864</c:v>
                </c:pt>
                <c:pt idx="11">
                  <c:v>988.6011722884914</c:v>
                </c:pt>
                <c:pt idx="12">
                  <c:v>1268.1378069255043</c:v>
                </c:pt>
                <c:pt idx="13">
                  <c:v>1547.6744415625171</c:v>
                </c:pt>
                <c:pt idx="14">
                  <c:v>1827.21107619953</c:v>
                </c:pt>
                <c:pt idx="15">
                  <c:v>2106.7477108365429</c:v>
                </c:pt>
                <c:pt idx="16">
                  <c:v>2386.2843454735557</c:v>
                </c:pt>
                <c:pt idx="17">
                  <c:v>2665.8209801105686</c:v>
                </c:pt>
                <c:pt idx="18">
                  <c:v>2945.3576147475815</c:v>
                </c:pt>
                <c:pt idx="19">
                  <c:v>3224.8942493845943</c:v>
                </c:pt>
                <c:pt idx="20">
                  <c:v>3504.4308840216072</c:v>
                </c:pt>
                <c:pt idx="21">
                  <c:v>3783.9675186586201</c:v>
                </c:pt>
                <c:pt idx="22">
                  <c:v>4063.5041532956329</c:v>
                </c:pt>
                <c:pt idx="23">
                  <c:v>4343.0407879326458</c:v>
                </c:pt>
                <c:pt idx="24">
                  <c:v>4622.5774225696587</c:v>
                </c:pt>
                <c:pt idx="25">
                  <c:v>4902.1140572066715</c:v>
                </c:pt>
                <c:pt idx="26">
                  <c:v>5181.6506918436844</c:v>
                </c:pt>
                <c:pt idx="27">
                  <c:v>5461.1873264806973</c:v>
                </c:pt>
                <c:pt idx="28">
                  <c:v>5740.7239611177101</c:v>
                </c:pt>
                <c:pt idx="29">
                  <c:v>6020.260595754723</c:v>
                </c:pt>
                <c:pt idx="30">
                  <c:v>6299.7972303917359</c:v>
                </c:pt>
                <c:pt idx="31">
                  <c:v>6579.3338650287487</c:v>
                </c:pt>
              </c:numCache>
            </c:numRef>
          </c:xVal>
          <c:yVal>
            <c:numRef>
              <c:f>'[1]蒙特卡洛投资风险分析模型 '!$N$15:$N$46</c:f>
              <c:numCache>
                <c:formatCode>General</c:formatCode>
                <c:ptCount val="32"/>
              </c:numCache>
            </c:numRef>
          </c:yVal>
          <c:smooth val="1"/>
          <c:extLst>
            <c:ext xmlns:c16="http://schemas.microsoft.com/office/drawing/2014/chart" uri="{C3380CC4-5D6E-409C-BE32-E72D297353CC}">
              <c16:uniqueId val="{00000000-DD97-429C-89B7-9D55A4016AA3}"/>
            </c:ext>
          </c:extLst>
        </c:ser>
        <c:dLbls>
          <c:showLegendKey val="0"/>
          <c:showVal val="0"/>
          <c:showCatName val="0"/>
          <c:showSerName val="0"/>
          <c:showPercent val="0"/>
          <c:showBubbleSize val="0"/>
        </c:dLbls>
        <c:axId val="108580224"/>
        <c:axId val="108580800"/>
      </c:scatterChart>
      <c:valAx>
        <c:axId val="108580224"/>
        <c:scaling>
          <c:orientation val="minMax"/>
          <c:max val="30"/>
          <c:min val="-20"/>
        </c:scaling>
        <c:delete val="0"/>
        <c:axPos val="b"/>
        <c:majorGridlines>
          <c:spPr>
            <a:ln w="3175">
              <a:solidFill>
                <a:srgbClr val="C0C0C0"/>
              </a:solidFill>
              <a:prstDash val="solid"/>
            </a:ln>
          </c:spPr>
        </c:majorGridlines>
        <c:title>
          <c:tx>
            <c:rich>
              <a:bodyPr/>
              <a:lstStyle/>
              <a:p>
                <a:pPr>
                  <a:defRPr sz="1100" b="0" i="0" u="none" strike="noStrike" baseline="0">
                    <a:solidFill>
                      <a:srgbClr val="000000"/>
                    </a:solidFill>
                    <a:latin typeface="宋体"/>
                    <a:ea typeface="宋体"/>
                    <a:cs typeface="宋体"/>
                  </a:defRPr>
                </a:pPr>
                <a:r>
                  <a:rPr lang="zh-CN" altLang="en-US" sz="1325" b="1" i="0" u="none" strike="noStrike" baseline="0">
                    <a:solidFill>
                      <a:srgbClr val="000000"/>
                    </a:solidFill>
                    <a:latin typeface="宋体"/>
                    <a:ea typeface="宋体"/>
                  </a:rPr>
                  <a:t>项目净现值(百万元)</a:t>
                </a:r>
                <a:endParaRPr lang="zh-CN" altLang="en-US"/>
              </a:p>
            </c:rich>
          </c:tx>
          <c:layout>
            <c:manualLayout>
              <c:xMode val="edge"/>
              <c:yMode val="edge"/>
              <c:x val="0.3412388866411461"/>
              <c:y val="0.87782900440612344"/>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宋体"/>
                <a:ea typeface="宋体"/>
                <a:cs typeface="宋体"/>
              </a:defRPr>
            </a:pPr>
            <a:endParaRPr lang="zh-CN"/>
          </a:p>
        </c:txPr>
        <c:crossAx val="108580800"/>
        <c:crossesAt val="-20"/>
        <c:crossBetween val="midCat"/>
        <c:majorUnit val="5"/>
        <c:minorUnit val="1"/>
      </c:valAx>
      <c:valAx>
        <c:axId val="108580800"/>
        <c:scaling>
          <c:orientation val="minMax"/>
          <c:max val="1"/>
          <c:min val="0"/>
        </c:scaling>
        <c:delete val="0"/>
        <c:axPos val="r"/>
        <c:majorGridlines>
          <c:spPr>
            <a:ln w="3175">
              <a:solidFill>
                <a:srgbClr val="C0C0C0"/>
              </a:solidFill>
              <a:prstDash val="solid"/>
            </a:ln>
          </c:spPr>
        </c:majorGridlines>
        <c:title>
          <c:tx>
            <c:rich>
              <a:bodyPr rot="0" vert="wordArtVertRtl"/>
              <a:lstStyle/>
              <a:p>
                <a:pPr algn="ctr">
                  <a:defRPr sz="1325" b="1" i="0" u="none" strike="noStrike" baseline="0">
                    <a:solidFill>
                      <a:srgbClr val="000000"/>
                    </a:solidFill>
                    <a:latin typeface="宋体"/>
                    <a:ea typeface="宋体"/>
                    <a:cs typeface="宋体"/>
                  </a:defRPr>
                </a:pPr>
                <a:r>
                  <a:rPr lang="zh-CN" altLang="en-US"/>
                  <a:t>累计概率值</a:t>
                </a:r>
              </a:p>
            </c:rich>
          </c:tx>
          <c:layout>
            <c:manualLayout>
              <c:xMode val="edge"/>
              <c:yMode val="edge"/>
              <c:x val="0.93807766124096148"/>
              <c:y val="0.3755660859134689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宋体"/>
                <a:ea typeface="宋体"/>
                <a:cs typeface="宋体"/>
              </a:defRPr>
            </a:pPr>
            <a:endParaRPr lang="zh-CN"/>
          </a:p>
        </c:txPr>
        <c:crossAx val="108580224"/>
        <c:crosses val="max"/>
        <c:crossBetween val="midCat"/>
        <c:majorUnit val="0.1"/>
        <c:minorUnit val="0.05"/>
      </c:valAx>
      <c:spPr>
        <a:solidFill>
          <a:srgbClr val="FFFFFF"/>
        </a:solidFill>
        <a:ln w="12700">
          <a:solidFill>
            <a:srgbClr val="808080"/>
          </a:solidFill>
          <a:prstDash val="solid"/>
        </a:ln>
      </c:spPr>
    </c:plotArea>
    <c:plotVisOnly val="1"/>
    <c:dispBlanksAs val="gap"/>
    <c:showDLblsOverMax val="0"/>
  </c:chart>
  <c:spPr>
    <a:noFill/>
    <a:ln w="9525">
      <a:noFill/>
    </a:ln>
  </c:spPr>
  <c:txPr>
    <a:bodyPr/>
    <a:lstStyle/>
    <a:p>
      <a:pPr>
        <a:defRPr sz="800" b="0" i="0" u="none" strike="noStrike" baseline="0">
          <a:solidFill>
            <a:srgbClr val="000000"/>
          </a:solidFill>
          <a:latin typeface="宋体"/>
          <a:ea typeface="宋体"/>
          <a:cs typeface="宋体"/>
        </a:defRPr>
      </a:pPr>
      <a:endParaRPr lang="zh-CN"/>
    </a:p>
  </c:txPr>
  <c:printSettings>
    <c:headerFooter alignWithMargins="0"/>
    <c:pageMargins b="1" l="0.75" r="0.75" t="1" header="0.5" footer="0.5"/>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emf"/><Relationship Id="rId1" Type="http://schemas.openxmlformats.org/officeDocument/2006/relationships/chart" Target="../charts/chart3.xml"/><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23</xdr:col>
      <xdr:colOff>597775</xdr:colOff>
      <xdr:row>15</xdr:row>
      <xdr:rowOff>0</xdr:rowOff>
    </xdr:from>
    <xdr:to>
      <xdr:col>33</xdr:col>
      <xdr:colOff>179307</xdr:colOff>
      <xdr:row>59</xdr:row>
      <xdr:rowOff>36878</xdr:rowOff>
    </xdr:to>
    <xdr:sp macro="" textlink="">
      <xdr:nvSpPr>
        <xdr:cNvPr id="5" name="TextBox 4">
          <a:extLst>
            <a:ext uri="{FF2B5EF4-FFF2-40B4-BE49-F238E27FC236}">
              <a16:creationId xmlns:a16="http://schemas.microsoft.com/office/drawing/2014/main" id="{21023A74-B9FE-4D4D-BB4E-AF3C507A2675}"/>
            </a:ext>
          </a:extLst>
        </xdr:cNvPr>
        <xdr:cNvSpPr txBox="1"/>
      </xdr:nvSpPr>
      <xdr:spPr>
        <a:xfrm>
          <a:off x="11719034" y="2483069"/>
          <a:ext cx="5559290" cy="7282447"/>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zh-CN" sz="1100">
              <a:solidFill>
                <a:schemeClr val="dk1"/>
              </a:solidFill>
              <a:effectLst/>
              <a:latin typeface="+mn-lt"/>
              <a:ea typeface="+mn-ea"/>
              <a:cs typeface="+mn-cs"/>
            </a:rPr>
            <a:t>【例</a:t>
          </a:r>
          <a:r>
            <a:rPr lang="en-US" altLang="zh-CN" sz="1100">
              <a:solidFill>
                <a:schemeClr val="dk1"/>
              </a:solidFill>
              <a:effectLst/>
              <a:latin typeface="+mn-lt"/>
              <a:ea typeface="+mn-ea"/>
              <a:cs typeface="+mn-cs"/>
            </a:rPr>
            <a:t>8-7</a:t>
          </a:r>
          <a:r>
            <a:rPr lang="zh-CN" altLang="zh-CN" sz="1100">
              <a:solidFill>
                <a:schemeClr val="dk1"/>
              </a:solidFill>
              <a:effectLst/>
              <a:latin typeface="+mn-lt"/>
              <a:ea typeface="+mn-ea"/>
              <a:cs typeface="+mn-cs"/>
            </a:rPr>
            <a:t>】如果例</a:t>
          </a:r>
          <a:r>
            <a:rPr lang="en-US" altLang="zh-CN" sz="1100">
              <a:solidFill>
                <a:schemeClr val="dk1"/>
              </a:solidFill>
              <a:effectLst/>
              <a:latin typeface="+mn-lt"/>
              <a:ea typeface="+mn-ea"/>
              <a:cs typeface="+mn-cs"/>
            </a:rPr>
            <a:t>8-6</a:t>
          </a:r>
          <a:r>
            <a:rPr lang="zh-CN" altLang="zh-CN" sz="1100">
              <a:solidFill>
                <a:schemeClr val="dk1"/>
              </a:solidFill>
              <a:effectLst/>
              <a:latin typeface="+mn-lt"/>
              <a:ea typeface="+mn-ea"/>
              <a:cs typeface="+mn-cs"/>
            </a:rPr>
            <a:t>中日需求量是服从</a:t>
          </a:r>
          <a:r>
            <a:rPr lang="zh-CN" altLang="en-US" sz="1100">
              <a:solidFill>
                <a:schemeClr val="dk1"/>
              </a:solidFill>
              <a:effectLst/>
              <a:latin typeface="+mn-lt"/>
              <a:ea typeface="+mn-ea"/>
              <a:cs typeface="+mn-cs"/>
            </a:rPr>
            <a:t>下</a:t>
          </a:r>
          <a:r>
            <a:rPr lang="zh-CN" altLang="zh-CN" sz="1100">
              <a:solidFill>
                <a:schemeClr val="dk1"/>
              </a:solidFill>
              <a:effectLst/>
              <a:latin typeface="+mn-lt"/>
              <a:ea typeface="+mn-ea"/>
              <a:cs typeface="+mn-cs"/>
            </a:rPr>
            <a:t>表中特定离散分布的随机数，公司为控制成本，采用安全库存补货策略，安全库存为</a:t>
          </a:r>
          <a:r>
            <a:rPr lang="en-US" altLang="zh-CN" sz="1100">
              <a:solidFill>
                <a:schemeClr val="dk1"/>
              </a:solidFill>
              <a:effectLst/>
              <a:latin typeface="+mn-lt"/>
              <a:ea typeface="+mn-ea"/>
              <a:cs typeface="+mn-cs"/>
            </a:rPr>
            <a:t>100</a:t>
          </a:r>
          <a:r>
            <a:rPr lang="zh-CN" altLang="zh-CN" sz="1100">
              <a:solidFill>
                <a:schemeClr val="dk1"/>
              </a:solidFill>
              <a:effectLst/>
              <a:latin typeface="+mn-lt"/>
              <a:ea typeface="+mn-ea"/>
              <a:cs typeface="+mn-cs"/>
            </a:rPr>
            <a:t>，起始库存显然也是</a:t>
          </a:r>
          <a:r>
            <a:rPr lang="en-US" altLang="zh-CN" sz="1100">
              <a:solidFill>
                <a:schemeClr val="dk1"/>
              </a:solidFill>
              <a:effectLst/>
              <a:latin typeface="+mn-lt"/>
              <a:ea typeface="+mn-ea"/>
              <a:cs typeface="+mn-cs"/>
            </a:rPr>
            <a:t>100</a:t>
          </a:r>
          <a:r>
            <a:rPr lang="zh-CN" altLang="zh-CN" sz="1100">
              <a:solidFill>
                <a:schemeClr val="dk1"/>
              </a:solidFill>
              <a:effectLst/>
              <a:latin typeface="+mn-lt"/>
              <a:ea typeface="+mn-ea"/>
              <a:cs typeface="+mn-cs"/>
            </a:rPr>
            <a:t>。如果发生缺货，每件的缺货成本为</a:t>
          </a:r>
          <a:r>
            <a:rPr lang="en-US" altLang="zh-CN" sz="1100">
              <a:solidFill>
                <a:schemeClr val="dk1"/>
              </a:solidFill>
              <a:effectLst/>
              <a:latin typeface="+mn-lt"/>
              <a:ea typeface="+mn-ea"/>
              <a:cs typeface="+mn-cs"/>
            </a:rPr>
            <a:t>50</a:t>
          </a:r>
          <a:r>
            <a:rPr lang="zh-CN" altLang="zh-CN" sz="1100">
              <a:solidFill>
                <a:schemeClr val="dk1"/>
              </a:solidFill>
              <a:effectLst/>
              <a:latin typeface="+mn-lt"/>
              <a:ea typeface="+mn-ea"/>
              <a:cs typeface="+mn-cs"/>
            </a:rPr>
            <a:t>元，其他已知参数保持不变。用活动扫面方法模拟随机需求且有缺货损失情况下的库存管理决策模型</a:t>
          </a:r>
          <a:r>
            <a:rPr lang="zh-CN" altLang="en-US" sz="1100">
              <a:solidFill>
                <a:schemeClr val="dk1"/>
              </a:solidFill>
              <a:effectLst/>
              <a:latin typeface="+mn-lt"/>
              <a:ea typeface="+mn-ea"/>
              <a:cs typeface="+mn-cs"/>
            </a:rPr>
            <a:t>。参考下面两图建立模型。</a:t>
          </a:r>
          <a:endParaRPr lang="zh-CN" altLang="zh-CN" sz="1100">
            <a:solidFill>
              <a:schemeClr val="dk1"/>
            </a:solidFill>
            <a:effectLst/>
            <a:latin typeface="+mn-lt"/>
            <a:ea typeface="+mn-ea"/>
            <a:cs typeface="+mn-cs"/>
          </a:endParaRPr>
        </a:p>
      </xdr:txBody>
    </xdr:sp>
    <xdr:clientData/>
  </xdr:twoCellAnchor>
  <xdr:twoCellAnchor>
    <xdr:from>
      <xdr:col>24</xdr:col>
      <xdr:colOff>321880</xdr:colOff>
      <xdr:row>20</xdr:row>
      <xdr:rowOff>72258</xdr:rowOff>
    </xdr:from>
    <xdr:to>
      <xdr:col>33</xdr:col>
      <xdr:colOff>120537</xdr:colOff>
      <xdr:row>37</xdr:row>
      <xdr:rowOff>26604</xdr:rowOff>
    </xdr:to>
    <xdr:pic>
      <xdr:nvPicPr>
        <xdr:cNvPr id="6" name="图片 5">
          <a:extLst>
            <a:ext uri="{FF2B5EF4-FFF2-40B4-BE49-F238E27FC236}">
              <a16:creationId xmlns:a16="http://schemas.microsoft.com/office/drawing/2014/main" id="{E89A1452-BEEF-41F7-8EF2-8F8019B6D2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0914" y="3396155"/>
          <a:ext cx="5178640" cy="27461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275897</xdr:colOff>
      <xdr:row>38</xdr:row>
      <xdr:rowOff>32845</xdr:rowOff>
    </xdr:from>
    <xdr:to>
      <xdr:col>33</xdr:col>
      <xdr:colOff>91776</xdr:colOff>
      <xdr:row>54</xdr:row>
      <xdr:rowOff>160548</xdr:rowOff>
    </xdr:to>
    <xdr:pic>
      <xdr:nvPicPr>
        <xdr:cNvPr id="7" name="图片 6">
          <a:extLst>
            <a:ext uri="{FF2B5EF4-FFF2-40B4-BE49-F238E27FC236}">
              <a16:creationId xmlns:a16="http://schemas.microsoft.com/office/drawing/2014/main" id="{D298544C-5472-4A4E-B3CE-00F95B295B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94931" y="6312776"/>
          <a:ext cx="5195862" cy="27552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1380614</xdr:colOff>
      <xdr:row>25</xdr:row>
      <xdr:rowOff>31544</xdr:rowOff>
    </xdr:from>
    <xdr:to>
      <xdr:col>15</xdr:col>
      <xdr:colOff>135194</xdr:colOff>
      <xdr:row>41</xdr:row>
      <xdr:rowOff>152809</xdr:rowOff>
    </xdr:to>
    <xdr:graphicFrame macro="">
      <xdr:nvGraphicFramePr>
        <xdr:cNvPr id="2" name="图表 1">
          <a:extLst>
            <a:ext uri="{FF2B5EF4-FFF2-40B4-BE49-F238E27FC236}">
              <a16:creationId xmlns:a16="http://schemas.microsoft.com/office/drawing/2014/main" id="{AFF1BE6C-8805-4070-A432-52380D7DA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274484</xdr:colOff>
      <xdr:row>41</xdr:row>
      <xdr:rowOff>62271</xdr:rowOff>
    </xdr:from>
    <xdr:to>
      <xdr:col>21</xdr:col>
      <xdr:colOff>53259</xdr:colOff>
      <xdr:row>58</xdr:row>
      <xdr:rowOff>19664</xdr:rowOff>
    </xdr:to>
    <xdr:graphicFrame macro="">
      <xdr:nvGraphicFramePr>
        <xdr:cNvPr id="3" name="图表 2">
          <a:extLst>
            <a:ext uri="{FF2B5EF4-FFF2-40B4-BE49-F238E27FC236}">
              <a16:creationId xmlns:a16="http://schemas.microsoft.com/office/drawing/2014/main" id="{970DB729-CF42-46A6-92B1-D1F4E34D87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22</xdr:col>
      <xdr:colOff>0</xdr:colOff>
      <xdr:row>23</xdr:row>
      <xdr:rowOff>0</xdr:rowOff>
    </xdr:from>
    <xdr:to>
      <xdr:col>31</xdr:col>
      <xdr:colOff>167799</xdr:colOff>
      <xdr:row>77</xdr:row>
      <xdr:rowOff>154385</xdr:rowOff>
    </xdr:to>
    <xdr:sp macro="" textlink="">
      <xdr:nvSpPr>
        <xdr:cNvPr id="4" name="TextBox 4">
          <a:extLst>
            <a:ext uri="{FF2B5EF4-FFF2-40B4-BE49-F238E27FC236}">
              <a16:creationId xmlns:a16="http://schemas.microsoft.com/office/drawing/2014/main" id="{6568611E-E4B8-4BBD-9CC4-861F82692A18}"/>
            </a:ext>
          </a:extLst>
        </xdr:cNvPr>
        <xdr:cNvSpPr txBox="1"/>
      </xdr:nvSpPr>
      <xdr:spPr>
        <a:xfrm>
          <a:off x="8310563" y="3744516"/>
          <a:ext cx="5406549" cy="8834041"/>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zh-CN" sz="1100">
              <a:solidFill>
                <a:schemeClr val="dk1"/>
              </a:solidFill>
              <a:effectLst/>
              <a:latin typeface="+mn-lt"/>
              <a:ea typeface="+mn-ea"/>
              <a:cs typeface="+mn-cs"/>
            </a:rPr>
            <a:t>【例</a:t>
          </a:r>
          <a:r>
            <a:rPr lang="en-US" altLang="zh-CN" sz="1100">
              <a:solidFill>
                <a:schemeClr val="dk1"/>
              </a:solidFill>
              <a:effectLst/>
              <a:latin typeface="+mn-lt"/>
              <a:ea typeface="+mn-ea"/>
              <a:cs typeface="+mn-cs"/>
            </a:rPr>
            <a:t>8-8</a:t>
          </a:r>
          <a:r>
            <a:rPr lang="zh-CN" altLang="zh-CN" sz="1100">
              <a:solidFill>
                <a:schemeClr val="dk1"/>
              </a:solidFill>
              <a:effectLst/>
              <a:latin typeface="+mn-lt"/>
              <a:ea typeface="+mn-ea"/>
              <a:cs typeface="+mn-cs"/>
            </a:rPr>
            <a:t>】以</a:t>
          </a:r>
          <a:r>
            <a:rPr lang="zh-CN" altLang="en-US" sz="1100">
              <a:solidFill>
                <a:schemeClr val="dk1"/>
              </a:solidFill>
              <a:effectLst/>
              <a:latin typeface="+mn-lt"/>
              <a:ea typeface="+mn-ea"/>
              <a:cs typeface="+mn-cs"/>
            </a:rPr>
            <a:t>前面第</a:t>
          </a:r>
          <a:r>
            <a:rPr lang="en-US" altLang="zh-CN" sz="1100">
              <a:solidFill>
                <a:schemeClr val="dk1"/>
              </a:solidFill>
              <a:effectLst/>
              <a:latin typeface="+mn-lt"/>
              <a:ea typeface="+mn-ea"/>
              <a:cs typeface="+mn-cs"/>
            </a:rPr>
            <a:t>1</a:t>
          </a:r>
          <a:r>
            <a:rPr lang="zh-CN" altLang="en-US" sz="1100">
              <a:solidFill>
                <a:schemeClr val="dk1"/>
              </a:solidFill>
              <a:effectLst/>
              <a:latin typeface="+mn-lt"/>
              <a:ea typeface="+mn-ea"/>
              <a:cs typeface="+mn-cs"/>
            </a:rPr>
            <a:t>题</a:t>
          </a:r>
          <a:r>
            <a:rPr lang="zh-CN" altLang="zh-CN" sz="1100">
              <a:solidFill>
                <a:schemeClr val="dk1"/>
              </a:solidFill>
              <a:effectLst/>
              <a:latin typeface="+mn-lt"/>
              <a:ea typeface="+mn-ea"/>
              <a:cs typeface="+mn-cs"/>
            </a:rPr>
            <a:t>为基础，再考虑有延期交货的情况。假如每次发出订单，第二天不一定能准时收到货，有可能会延迟一天才收到货。根据以往经验，准时与延迟的可能性各占</a:t>
          </a:r>
          <a:r>
            <a:rPr lang="en-US" altLang="zh-CN" sz="1100">
              <a:solidFill>
                <a:schemeClr val="dk1"/>
              </a:solidFill>
              <a:effectLst/>
              <a:latin typeface="+mn-lt"/>
              <a:ea typeface="+mn-ea"/>
              <a:cs typeface="+mn-cs"/>
            </a:rPr>
            <a:t>50%</a:t>
          </a:r>
          <a:r>
            <a:rPr lang="zh-CN" altLang="zh-CN" sz="1100">
              <a:solidFill>
                <a:schemeClr val="dk1"/>
              </a:solidFill>
              <a:effectLst/>
              <a:latin typeface="+mn-lt"/>
              <a:ea typeface="+mn-ea"/>
              <a:cs typeface="+mn-cs"/>
            </a:rPr>
            <a:t>。库存管理人员需要了解此种情况下，最优订货量如何确定、服务水平怎样、一年中每天的库存如何变化。</a:t>
          </a:r>
          <a:r>
            <a:rPr lang="zh-CN" altLang="en-US" sz="1100">
              <a:solidFill>
                <a:schemeClr val="dk1"/>
              </a:solidFill>
              <a:effectLst/>
              <a:latin typeface="+mn-lt"/>
              <a:ea typeface="+mn-ea"/>
              <a:cs typeface="+mn-cs"/>
            </a:rPr>
            <a:t>参考下面三图建立模拟模型。</a:t>
          </a:r>
          <a:endParaRPr lang="zh-CN" altLang="zh-CN" sz="1100">
            <a:solidFill>
              <a:schemeClr val="dk1"/>
            </a:solidFill>
            <a:effectLst/>
            <a:latin typeface="+mn-lt"/>
            <a:ea typeface="+mn-ea"/>
            <a:cs typeface="+mn-cs"/>
          </a:endParaRPr>
        </a:p>
      </xdr:txBody>
    </xdr:sp>
    <xdr:clientData/>
  </xdr:twoCellAnchor>
  <xdr:twoCellAnchor>
    <xdr:from>
      <xdr:col>22</xdr:col>
      <xdr:colOff>190499</xdr:colOff>
      <xdr:row>28</xdr:row>
      <xdr:rowOff>47624</xdr:rowOff>
    </xdr:from>
    <xdr:to>
      <xdr:col>30</xdr:col>
      <xdr:colOff>586456</xdr:colOff>
      <xdr:row>45</xdr:row>
      <xdr:rowOff>15502</xdr:rowOff>
    </xdr:to>
    <xdr:pic>
      <xdr:nvPicPr>
        <xdr:cNvPr id="5" name="图片 4">
          <a:extLst>
            <a:ext uri="{FF2B5EF4-FFF2-40B4-BE49-F238E27FC236}">
              <a16:creationId xmlns:a16="http://schemas.microsoft.com/office/drawing/2014/main" id="{DB6A015D-376A-4688-940C-2F827FF635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01062" y="4595812"/>
          <a:ext cx="5045347" cy="27003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238125</xdr:colOff>
      <xdr:row>46</xdr:row>
      <xdr:rowOff>0</xdr:rowOff>
    </xdr:from>
    <xdr:to>
      <xdr:col>31</xdr:col>
      <xdr:colOff>69709</xdr:colOff>
      <xdr:row>62</xdr:row>
      <xdr:rowOff>141985</xdr:rowOff>
    </xdr:to>
    <xdr:pic>
      <xdr:nvPicPr>
        <xdr:cNvPr id="6" name="图片 5">
          <a:extLst>
            <a:ext uri="{FF2B5EF4-FFF2-40B4-BE49-F238E27FC236}">
              <a16:creationId xmlns:a16="http://schemas.microsoft.com/office/drawing/2014/main" id="{9028EFB1-9FC8-4D34-8FFB-3638D96376D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48688" y="7441406"/>
          <a:ext cx="5070334" cy="2713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166687</xdr:colOff>
      <xdr:row>63</xdr:row>
      <xdr:rowOff>83343</xdr:rowOff>
    </xdr:from>
    <xdr:to>
      <xdr:col>30</xdr:col>
      <xdr:colOff>577240</xdr:colOff>
      <xdr:row>77</xdr:row>
      <xdr:rowOff>103116</xdr:rowOff>
    </xdr:to>
    <xdr:pic>
      <xdr:nvPicPr>
        <xdr:cNvPr id="7" name="图片 6">
          <a:extLst>
            <a:ext uri="{FF2B5EF4-FFF2-40B4-BE49-F238E27FC236}">
              <a16:creationId xmlns:a16="http://schemas.microsoft.com/office/drawing/2014/main" id="{363383E5-DDB2-4919-94CD-C26A31CD86B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77250" y="10257234"/>
          <a:ext cx="5059943" cy="2270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14</xdr:col>
      <xdr:colOff>0</xdr:colOff>
      <xdr:row>3</xdr:row>
      <xdr:rowOff>0</xdr:rowOff>
    </xdr:from>
    <xdr:to>
      <xdr:col>19</xdr:col>
      <xdr:colOff>82550</xdr:colOff>
      <xdr:row>9</xdr:row>
      <xdr:rowOff>76200</xdr:rowOff>
    </xdr:to>
    <xdr:sp macro="" textlink="">
      <xdr:nvSpPr>
        <xdr:cNvPr id="2" name="Text Box 1">
          <a:extLst>
            <a:ext uri="{FF2B5EF4-FFF2-40B4-BE49-F238E27FC236}">
              <a16:creationId xmlns:a16="http://schemas.microsoft.com/office/drawing/2014/main" id="{CFF3B5DC-24D4-4C36-ABEF-79D53FBFEEC4}"/>
            </a:ext>
          </a:extLst>
        </xdr:cNvPr>
        <xdr:cNvSpPr txBox="1">
          <a:spLocks noChangeArrowheads="1"/>
        </xdr:cNvSpPr>
      </xdr:nvSpPr>
      <xdr:spPr bwMode="auto">
        <a:xfrm>
          <a:off x="9601200" y="542925"/>
          <a:ext cx="3511550" cy="1209675"/>
        </a:xfrm>
        <a:prstGeom prst="rect">
          <a:avLst/>
        </a:prstGeom>
        <a:solidFill>
          <a:schemeClr val="accent5">
            <a:lumMod val="20000"/>
            <a:lumOff val="80000"/>
          </a:schemeClr>
        </a:solidFill>
        <a:ln w="9525">
          <a:solidFill>
            <a:srgbClr val="000000"/>
          </a:solidFill>
          <a:miter lim="800000"/>
          <a:headEnd/>
          <a:tailEnd/>
        </a:ln>
      </xdr:spPr>
      <xdr:txBody>
        <a:bodyPr vertOverflow="clip" wrap="square" lIns="27432" tIns="18288" rIns="0" bIns="0" anchor="t" upright="1"/>
        <a:lstStyle/>
        <a:p>
          <a:r>
            <a:rPr lang="zh-CN" altLang="zh-CN" sz="1100">
              <a:effectLst/>
              <a:latin typeface="+mn-lt"/>
              <a:ea typeface="+mn-ea"/>
              <a:cs typeface="+mn-cs"/>
            </a:rPr>
            <a:t>【例</a:t>
          </a:r>
          <a:r>
            <a:rPr lang="en-US" altLang="zh-CN" sz="1100">
              <a:effectLst/>
              <a:latin typeface="+mn-lt"/>
              <a:ea typeface="+mn-ea"/>
              <a:cs typeface="+mn-cs"/>
            </a:rPr>
            <a:t>9-6</a:t>
          </a:r>
          <a:r>
            <a:rPr lang="zh-CN" altLang="zh-CN" sz="1100">
              <a:effectLst/>
              <a:latin typeface="+mn-lt"/>
              <a:ea typeface="+mn-ea"/>
              <a:cs typeface="+mn-cs"/>
            </a:rPr>
            <a:t>】某公司准备投资一种新型设备，初始投资额为</a:t>
          </a:r>
          <a:r>
            <a:rPr lang="en-US" altLang="zh-CN" sz="1100">
              <a:effectLst/>
              <a:latin typeface="+mn-lt"/>
              <a:ea typeface="+mn-ea"/>
              <a:cs typeface="+mn-cs"/>
            </a:rPr>
            <a:t>5</a:t>
          </a:r>
          <a:r>
            <a:rPr lang="zh-CN" altLang="zh-CN" sz="1100">
              <a:effectLst/>
              <a:latin typeface="+mn-lt"/>
              <a:ea typeface="+mn-ea"/>
              <a:cs typeface="+mn-cs"/>
            </a:rPr>
            <a:t>万元，有效期为</a:t>
          </a:r>
          <a:r>
            <a:rPr lang="en-US" altLang="zh-CN" sz="1100">
              <a:effectLst/>
              <a:latin typeface="+mn-lt"/>
              <a:ea typeface="+mn-ea"/>
              <a:cs typeface="+mn-cs"/>
            </a:rPr>
            <a:t>3</a:t>
          </a:r>
          <a:r>
            <a:rPr lang="zh-CN" altLang="zh-CN" sz="1100">
              <a:effectLst/>
              <a:latin typeface="+mn-lt"/>
              <a:ea typeface="+mn-ea"/>
              <a:cs typeface="+mn-cs"/>
            </a:rPr>
            <a:t>年。该新型设备投入运营后，第一年的预期回报是</a:t>
          </a:r>
          <a:r>
            <a:rPr lang="en-US" altLang="zh-CN" sz="1100">
              <a:effectLst/>
              <a:latin typeface="+mn-lt"/>
              <a:ea typeface="+mn-ea"/>
              <a:cs typeface="+mn-cs"/>
            </a:rPr>
            <a:t>3</a:t>
          </a:r>
          <a:r>
            <a:rPr lang="zh-CN" altLang="zh-CN" sz="1100">
              <a:effectLst/>
              <a:latin typeface="+mn-lt"/>
              <a:ea typeface="+mn-ea"/>
              <a:cs typeface="+mn-cs"/>
            </a:rPr>
            <a:t>万元，第二年的预期回报是</a:t>
          </a:r>
          <a:r>
            <a:rPr lang="en-US" altLang="zh-CN" sz="1100">
              <a:effectLst/>
              <a:latin typeface="+mn-lt"/>
              <a:ea typeface="+mn-ea"/>
              <a:cs typeface="+mn-cs"/>
            </a:rPr>
            <a:t>2.5</a:t>
          </a:r>
          <a:r>
            <a:rPr lang="zh-CN" altLang="zh-CN" sz="1100">
              <a:effectLst/>
              <a:latin typeface="+mn-lt"/>
              <a:ea typeface="+mn-ea"/>
              <a:cs typeface="+mn-cs"/>
            </a:rPr>
            <a:t>万元，第三年的预期回报服从均值为</a:t>
          </a:r>
          <a:r>
            <a:rPr lang="en-US" altLang="zh-CN" sz="1100">
              <a:effectLst/>
              <a:latin typeface="+mn-lt"/>
              <a:ea typeface="+mn-ea"/>
              <a:cs typeface="+mn-cs"/>
            </a:rPr>
            <a:t>2</a:t>
          </a:r>
          <a:r>
            <a:rPr lang="zh-CN" altLang="zh-CN" sz="1100">
              <a:effectLst/>
              <a:latin typeface="+mn-lt"/>
              <a:ea typeface="+mn-ea"/>
              <a:cs typeface="+mn-cs"/>
            </a:rPr>
            <a:t>万元、标准差为</a:t>
          </a:r>
          <a:r>
            <a:rPr lang="en-US" altLang="zh-CN" sz="1100">
              <a:effectLst/>
              <a:latin typeface="+mn-lt"/>
              <a:ea typeface="+mn-ea"/>
              <a:cs typeface="+mn-cs"/>
            </a:rPr>
            <a:t>0.2</a:t>
          </a:r>
          <a:r>
            <a:rPr lang="zh-CN" altLang="zh-CN" sz="1100">
              <a:effectLst/>
              <a:latin typeface="+mn-lt"/>
              <a:ea typeface="+mn-ea"/>
              <a:cs typeface="+mn-cs"/>
            </a:rPr>
            <a:t>万元的正态分布随机数，如果此投资项目的贴现率为</a:t>
          </a:r>
          <a:r>
            <a:rPr lang="en-US" altLang="zh-CN" sz="1100">
              <a:effectLst/>
              <a:latin typeface="+mn-lt"/>
              <a:ea typeface="+mn-ea"/>
              <a:cs typeface="+mn-cs"/>
            </a:rPr>
            <a:t>8%</a:t>
          </a:r>
          <a:r>
            <a:rPr lang="zh-CN" altLang="zh-CN" sz="1100">
              <a:effectLst/>
              <a:latin typeface="+mn-lt"/>
              <a:ea typeface="+mn-ea"/>
              <a:cs typeface="+mn-cs"/>
            </a:rPr>
            <a:t>，公司需要此投资项目的风险进行评估。</a:t>
          </a:r>
        </a:p>
      </xdr:txBody>
    </xdr:sp>
    <xdr:clientData/>
  </xdr:twoCellAnchor>
  <xdr:twoCellAnchor editAs="oneCell">
    <xdr:from>
      <xdr:col>16</xdr:col>
      <xdr:colOff>0</xdr:colOff>
      <xdr:row>13</xdr:row>
      <xdr:rowOff>0</xdr:rowOff>
    </xdr:from>
    <xdr:to>
      <xdr:col>25</xdr:col>
      <xdr:colOff>168190</xdr:colOff>
      <xdr:row>28</xdr:row>
      <xdr:rowOff>143126</xdr:rowOff>
    </xdr:to>
    <xdr:pic>
      <xdr:nvPicPr>
        <xdr:cNvPr id="3" name="图片 2">
          <a:extLst>
            <a:ext uri="{FF2B5EF4-FFF2-40B4-BE49-F238E27FC236}">
              <a16:creationId xmlns:a16="http://schemas.microsoft.com/office/drawing/2014/main" id="{2344EDD7-656F-41B3-B035-567F29F70E3D}"/>
            </a:ext>
          </a:extLst>
        </xdr:cNvPr>
        <xdr:cNvPicPr>
          <a:picLocks noChangeAspect="1"/>
        </xdr:cNvPicPr>
      </xdr:nvPicPr>
      <xdr:blipFill>
        <a:blip xmlns:r="http://schemas.openxmlformats.org/officeDocument/2006/relationships" r:embed="rId1"/>
        <a:stretch>
          <a:fillRect/>
        </a:stretch>
      </xdr:blipFill>
      <xdr:spPr>
        <a:xfrm>
          <a:off x="10972800" y="2409825"/>
          <a:ext cx="6340390" cy="2895851"/>
        </a:xfrm>
        <a:prstGeom prst="rect">
          <a:avLst/>
        </a:prstGeom>
      </xdr:spPr>
    </xdr:pic>
    <xdr:clientData/>
  </xdr:twoCellAnchor>
  <xdr:twoCellAnchor editAs="oneCell">
    <xdr:from>
      <xdr:col>16</xdr:col>
      <xdr:colOff>0</xdr:colOff>
      <xdr:row>32</xdr:row>
      <xdr:rowOff>0</xdr:rowOff>
    </xdr:from>
    <xdr:to>
      <xdr:col>24</xdr:col>
      <xdr:colOff>506487</xdr:colOff>
      <xdr:row>47</xdr:row>
      <xdr:rowOff>83682</xdr:rowOff>
    </xdr:to>
    <xdr:pic>
      <xdr:nvPicPr>
        <xdr:cNvPr id="4" name="图片 3">
          <a:extLst>
            <a:ext uri="{FF2B5EF4-FFF2-40B4-BE49-F238E27FC236}">
              <a16:creationId xmlns:a16="http://schemas.microsoft.com/office/drawing/2014/main" id="{E17A3D02-5B0A-4E18-9939-331B6C68DDD5}"/>
            </a:ext>
          </a:extLst>
        </xdr:cNvPr>
        <xdr:cNvPicPr>
          <a:picLocks noChangeAspect="1"/>
        </xdr:cNvPicPr>
      </xdr:nvPicPr>
      <xdr:blipFill>
        <a:blip xmlns:r="http://schemas.openxmlformats.org/officeDocument/2006/relationships" r:embed="rId2"/>
        <a:stretch>
          <a:fillRect/>
        </a:stretch>
      </xdr:blipFill>
      <xdr:spPr>
        <a:xfrm>
          <a:off x="10972800" y="5886450"/>
          <a:ext cx="5992887" cy="279830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38</xdr:col>
      <xdr:colOff>0</xdr:colOff>
      <xdr:row>1</xdr:row>
      <xdr:rowOff>0</xdr:rowOff>
    </xdr:from>
    <xdr:to>
      <xdr:col>48</xdr:col>
      <xdr:colOff>371475</xdr:colOff>
      <xdr:row>23</xdr:row>
      <xdr:rowOff>19050</xdr:rowOff>
    </xdr:to>
    <xdr:graphicFrame macro="">
      <xdr:nvGraphicFramePr>
        <xdr:cNvPr id="2" name="Chart 29">
          <a:extLst>
            <a:ext uri="{FF2B5EF4-FFF2-40B4-BE49-F238E27FC236}">
              <a16:creationId xmlns:a16="http://schemas.microsoft.com/office/drawing/2014/main" id="{811D22AD-D82A-49CC-BAB7-46AF30B15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0</xdr:colOff>
      <xdr:row>3</xdr:row>
      <xdr:rowOff>0</xdr:rowOff>
    </xdr:from>
    <xdr:to>
      <xdr:col>25</xdr:col>
      <xdr:colOff>595923</xdr:colOff>
      <xdr:row>15</xdr:row>
      <xdr:rowOff>101600</xdr:rowOff>
    </xdr:to>
    <xdr:sp macro="" textlink="">
      <xdr:nvSpPr>
        <xdr:cNvPr id="3" name="Text Box 1">
          <a:extLst>
            <a:ext uri="{FF2B5EF4-FFF2-40B4-BE49-F238E27FC236}">
              <a16:creationId xmlns:a16="http://schemas.microsoft.com/office/drawing/2014/main" id="{ADAFC6FF-58A9-4C95-9142-5585DE9C9E2E}"/>
            </a:ext>
          </a:extLst>
        </xdr:cNvPr>
        <xdr:cNvSpPr txBox="1">
          <a:spLocks noChangeArrowheads="1"/>
        </xdr:cNvSpPr>
      </xdr:nvSpPr>
      <xdr:spPr bwMode="auto">
        <a:xfrm>
          <a:off x="11039475" y="514350"/>
          <a:ext cx="5853723" cy="2292350"/>
        </a:xfrm>
        <a:prstGeom prst="rect">
          <a:avLst/>
        </a:prstGeom>
        <a:solidFill>
          <a:schemeClr val="accent5">
            <a:lumMod val="20000"/>
            <a:lumOff val="80000"/>
          </a:schemeClr>
        </a:solidFill>
        <a:ln w="9525">
          <a:solidFill>
            <a:srgbClr val="000000"/>
          </a:solidFill>
          <a:miter lim="800000"/>
          <a:headEnd/>
          <a:tailEnd/>
        </a:ln>
      </xdr:spPr>
      <xdr:txBody>
        <a:bodyPr vertOverflow="clip" wrap="square" lIns="27432" tIns="18288" rIns="0" bIns="0" anchor="t" upright="1"/>
        <a:lstStyle/>
        <a:p>
          <a:r>
            <a:rPr lang="zh-CN" altLang="zh-CN" sz="1100">
              <a:effectLst/>
              <a:latin typeface="+mn-lt"/>
              <a:ea typeface="+mn-ea"/>
              <a:cs typeface="+mn-cs"/>
            </a:rPr>
            <a:t>【例</a:t>
          </a:r>
          <a:r>
            <a:rPr lang="en-US" altLang="zh-CN" sz="1100">
              <a:effectLst/>
              <a:latin typeface="+mn-lt"/>
              <a:ea typeface="+mn-ea"/>
              <a:cs typeface="+mn-cs"/>
            </a:rPr>
            <a:t>9-7</a:t>
          </a:r>
          <a:r>
            <a:rPr lang="zh-CN" altLang="zh-CN" sz="1100">
              <a:effectLst/>
              <a:latin typeface="+mn-lt"/>
              <a:ea typeface="+mn-ea"/>
              <a:cs typeface="+mn-cs"/>
            </a:rPr>
            <a:t>】银河公司有一个研究开发智能医疗可穿戴设备的投资项目，其初始投资额为</a:t>
          </a:r>
          <a:r>
            <a:rPr lang="en-US" altLang="zh-CN" sz="1100">
              <a:effectLst/>
              <a:latin typeface="+mn-lt"/>
              <a:ea typeface="+mn-ea"/>
              <a:cs typeface="+mn-cs"/>
            </a:rPr>
            <a:t>1000</a:t>
          </a:r>
          <a:r>
            <a:rPr lang="zh-CN" altLang="zh-CN" sz="1100">
              <a:effectLst/>
              <a:latin typeface="+mn-lt"/>
              <a:ea typeface="+mn-ea"/>
              <a:cs typeface="+mn-cs"/>
            </a:rPr>
            <a:t>万元，有效期为</a:t>
          </a:r>
          <a:r>
            <a:rPr lang="en-US" altLang="zh-CN" sz="1100">
              <a:effectLst/>
              <a:latin typeface="+mn-lt"/>
              <a:ea typeface="+mn-ea"/>
              <a:cs typeface="+mn-cs"/>
            </a:rPr>
            <a:t>3</a:t>
          </a:r>
          <a:r>
            <a:rPr lang="zh-CN" altLang="zh-CN" sz="1100">
              <a:effectLst/>
              <a:latin typeface="+mn-lt"/>
              <a:ea typeface="+mn-ea"/>
              <a:cs typeface="+mn-cs"/>
            </a:rPr>
            <a:t>年。该项目一旦投入运营后，第一年产品的销量服从均值为</a:t>
          </a:r>
          <a:r>
            <a:rPr lang="en-US" altLang="zh-CN" sz="1100">
              <a:effectLst/>
              <a:latin typeface="+mn-lt"/>
              <a:ea typeface="+mn-ea"/>
              <a:cs typeface="+mn-cs"/>
            </a:rPr>
            <a:t>300</a:t>
          </a:r>
          <a:r>
            <a:rPr lang="zh-CN" altLang="zh-CN" sz="1100">
              <a:effectLst/>
              <a:latin typeface="+mn-lt"/>
              <a:ea typeface="+mn-ea"/>
              <a:cs typeface="+mn-cs"/>
            </a:rPr>
            <a:t>万件而标准差为</a:t>
          </a:r>
          <a:r>
            <a:rPr lang="en-US" altLang="zh-CN" sz="1100">
              <a:effectLst/>
              <a:latin typeface="+mn-lt"/>
              <a:ea typeface="+mn-ea"/>
              <a:cs typeface="+mn-cs"/>
            </a:rPr>
            <a:t>100</a:t>
          </a:r>
          <a:r>
            <a:rPr lang="zh-CN" altLang="zh-CN" sz="1100">
              <a:effectLst/>
              <a:latin typeface="+mn-lt"/>
              <a:ea typeface="+mn-ea"/>
              <a:cs typeface="+mn-cs"/>
            </a:rPr>
            <a:t>万件的正态分布随机数，预期第二年销量将在第一年的基础上增长</a:t>
          </a:r>
          <a:r>
            <a:rPr lang="en-US" altLang="zh-CN" sz="1100">
              <a:effectLst/>
              <a:latin typeface="+mn-lt"/>
              <a:ea typeface="+mn-ea"/>
              <a:cs typeface="+mn-cs"/>
            </a:rPr>
            <a:t>25%</a:t>
          </a:r>
          <a:r>
            <a:rPr lang="zh-CN" altLang="zh-CN" sz="1100">
              <a:effectLst/>
              <a:latin typeface="+mn-lt"/>
              <a:ea typeface="+mn-ea"/>
              <a:cs typeface="+mn-cs"/>
            </a:rPr>
            <a:t>，预期第三年销量将在第二年基础上下降</a:t>
          </a:r>
          <a:r>
            <a:rPr lang="en-US" altLang="zh-CN" sz="1100">
              <a:effectLst/>
              <a:latin typeface="+mn-lt"/>
              <a:ea typeface="+mn-ea"/>
              <a:cs typeface="+mn-cs"/>
            </a:rPr>
            <a:t>40%</a:t>
          </a:r>
          <a:r>
            <a:rPr lang="zh-CN" altLang="zh-CN" sz="1100">
              <a:effectLst/>
              <a:latin typeface="+mn-lt"/>
              <a:ea typeface="+mn-ea"/>
              <a:cs typeface="+mn-cs"/>
            </a:rPr>
            <a:t>。三年内每年需要投入的固定成本为</a:t>
          </a:r>
          <a:r>
            <a:rPr lang="en-US" altLang="zh-CN" sz="1100">
              <a:effectLst/>
              <a:latin typeface="+mn-lt"/>
              <a:ea typeface="+mn-ea"/>
              <a:cs typeface="+mn-cs"/>
            </a:rPr>
            <a:t>500</a:t>
          </a:r>
          <a:r>
            <a:rPr lang="zh-CN" altLang="zh-CN" sz="1100">
              <a:effectLst/>
              <a:latin typeface="+mn-lt"/>
              <a:ea typeface="+mn-ea"/>
              <a:cs typeface="+mn-cs"/>
            </a:rPr>
            <a:t>万元。产品的单价与单位变动成本也都是随机变量，三年内每一年的单位变动成本都是在</a:t>
          </a:r>
          <a:r>
            <a:rPr lang="en-US" altLang="zh-CN" sz="1100">
              <a:effectLst/>
              <a:latin typeface="+mn-lt"/>
              <a:ea typeface="+mn-ea"/>
              <a:cs typeface="+mn-cs"/>
            </a:rPr>
            <a:t>200</a:t>
          </a:r>
          <a:r>
            <a:rPr lang="zh-CN" altLang="zh-CN" sz="1100">
              <a:effectLst/>
              <a:latin typeface="+mn-lt"/>
              <a:ea typeface="+mn-ea"/>
              <a:cs typeface="+mn-cs"/>
            </a:rPr>
            <a:t>元</a:t>
          </a:r>
          <a:r>
            <a:rPr lang="en-US" altLang="zh-CN" sz="1100">
              <a:effectLst/>
              <a:latin typeface="+mn-lt"/>
              <a:ea typeface="+mn-ea"/>
              <a:cs typeface="+mn-cs"/>
            </a:rPr>
            <a:t>/</a:t>
          </a:r>
          <a:r>
            <a:rPr lang="zh-CN" altLang="zh-CN" sz="1100">
              <a:effectLst/>
              <a:latin typeface="+mn-lt"/>
              <a:ea typeface="+mn-ea"/>
              <a:cs typeface="+mn-cs"/>
            </a:rPr>
            <a:t>件～</a:t>
          </a:r>
          <a:r>
            <a:rPr lang="en-US" altLang="zh-CN" sz="1100">
              <a:effectLst/>
              <a:latin typeface="+mn-lt"/>
              <a:ea typeface="+mn-ea"/>
              <a:cs typeface="+mn-cs"/>
            </a:rPr>
            <a:t>400</a:t>
          </a:r>
          <a:r>
            <a:rPr lang="zh-CN" altLang="zh-CN" sz="1100">
              <a:effectLst/>
              <a:latin typeface="+mn-lt"/>
              <a:ea typeface="+mn-ea"/>
              <a:cs typeface="+mn-cs"/>
            </a:rPr>
            <a:t>元</a:t>
          </a:r>
          <a:r>
            <a:rPr lang="en-US" altLang="zh-CN" sz="1100">
              <a:effectLst/>
              <a:latin typeface="+mn-lt"/>
              <a:ea typeface="+mn-ea"/>
              <a:cs typeface="+mn-cs"/>
            </a:rPr>
            <a:t>/</a:t>
          </a:r>
          <a:r>
            <a:rPr lang="zh-CN" altLang="zh-CN" sz="1100">
              <a:effectLst/>
              <a:latin typeface="+mn-lt"/>
              <a:ea typeface="+mn-ea"/>
              <a:cs typeface="+mn-cs"/>
            </a:rPr>
            <a:t>件之间变化的均匀分布的随机数，三年内每一年的产品销售单价都是按照</a:t>
          </a:r>
          <a:r>
            <a:rPr lang="zh-CN" altLang="en-US" sz="1100">
              <a:effectLst/>
              <a:latin typeface="+mn-lt"/>
              <a:ea typeface="+mn-ea"/>
              <a:cs typeface="+mn-cs"/>
            </a:rPr>
            <a:t>下</a:t>
          </a:r>
          <a:r>
            <a:rPr lang="zh-CN" altLang="zh-CN" sz="1100">
              <a:effectLst/>
              <a:latin typeface="+mn-lt"/>
              <a:ea typeface="+mn-ea"/>
              <a:cs typeface="+mn-cs"/>
            </a:rPr>
            <a:t>表所示的离散分布随机数。如果该智能医疗可穿戴设备投资项目的贴现率为</a:t>
          </a:r>
          <a:r>
            <a:rPr lang="en-US" altLang="zh-CN" sz="1100">
              <a:effectLst/>
              <a:latin typeface="+mn-lt"/>
              <a:ea typeface="+mn-ea"/>
              <a:cs typeface="+mn-cs"/>
            </a:rPr>
            <a:t>9</a:t>
          </a:r>
          <a:r>
            <a:rPr lang="zh-CN" altLang="zh-CN" sz="1100">
              <a:effectLst/>
              <a:latin typeface="+mn-lt"/>
              <a:ea typeface="+mn-ea"/>
              <a:cs typeface="+mn-cs"/>
            </a:rPr>
            <a:t>％，银河公司投资决策前需要分析这项智能医疗可穿戴设备的投资风险。</a:t>
          </a:r>
        </a:p>
      </xdr:txBody>
    </xdr:sp>
    <xdr:clientData/>
  </xdr:twoCellAnchor>
  <xdr:twoCellAnchor editAs="oneCell">
    <xdr:from>
      <xdr:col>19</xdr:col>
      <xdr:colOff>114300</xdr:colOff>
      <xdr:row>11</xdr:row>
      <xdr:rowOff>19050</xdr:rowOff>
    </xdr:from>
    <xdr:to>
      <xdr:col>24</xdr:col>
      <xdr:colOff>106910</xdr:colOff>
      <xdr:row>13</xdr:row>
      <xdr:rowOff>163146</xdr:rowOff>
    </xdr:to>
    <xdr:pic>
      <xdr:nvPicPr>
        <xdr:cNvPr id="4" name="图片 3">
          <a:extLst>
            <a:ext uri="{FF2B5EF4-FFF2-40B4-BE49-F238E27FC236}">
              <a16:creationId xmlns:a16="http://schemas.microsoft.com/office/drawing/2014/main" id="{81948B2E-2551-4E33-B485-2A721632763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68225" y="2000250"/>
          <a:ext cx="3278735" cy="4869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590550</xdr:colOff>
      <xdr:row>17</xdr:row>
      <xdr:rowOff>19050</xdr:rowOff>
    </xdr:from>
    <xdr:to>
      <xdr:col>25</xdr:col>
      <xdr:colOff>636730</xdr:colOff>
      <xdr:row>32</xdr:row>
      <xdr:rowOff>70341</xdr:rowOff>
    </xdr:to>
    <xdr:pic>
      <xdr:nvPicPr>
        <xdr:cNvPr id="5" name="图片 4">
          <a:extLst>
            <a:ext uri="{FF2B5EF4-FFF2-40B4-BE49-F238E27FC236}">
              <a16:creationId xmlns:a16="http://schemas.microsoft.com/office/drawing/2014/main" id="{83B52A2E-295C-441A-A9FE-F33A01A4A925}"/>
            </a:ext>
          </a:extLst>
        </xdr:cNvPr>
        <xdr:cNvPicPr>
          <a:picLocks noChangeAspect="1"/>
        </xdr:cNvPicPr>
      </xdr:nvPicPr>
      <xdr:blipFill>
        <a:blip xmlns:r="http://schemas.openxmlformats.org/officeDocument/2006/relationships" r:embed="rId3"/>
        <a:stretch>
          <a:fillRect/>
        </a:stretch>
      </xdr:blipFill>
      <xdr:spPr>
        <a:xfrm>
          <a:off x="11630025" y="3086100"/>
          <a:ext cx="5303980" cy="2737341"/>
        </a:xfrm>
        <a:prstGeom prst="rect">
          <a:avLst/>
        </a:prstGeom>
      </xdr:spPr>
    </xdr:pic>
    <xdr:clientData/>
  </xdr:twoCellAnchor>
  <xdr:twoCellAnchor editAs="oneCell">
    <xdr:from>
      <xdr:col>18</xdr:col>
      <xdr:colOff>121292</xdr:colOff>
      <xdr:row>34</xdr:row>
      <xdr:rowOff>99888</xdr:rowOff>
    </xdr:from>
    <xdr:to>
      <xdr:col>26</xdr:col>
      <xdr:colOff>161375</xdr:colOff>
      <xdr:row>50</xdr:row>
      <xdr:rowOff>49008</xdr:rowOff>
    </xdr:to>
    <xdr:pic>
      <xdr:nvPicPr>
        <xdr:cNvPr id="6" name="图片 5">
          <a:extLst>
            <a:ext uri="{FF2B5EF4-FFF2-40B4-BE49-F238E27FC236}">
              <a16:creationId xmlns:a16="http://schemas.microsoft.com/office/drawing/2014/main" id="{0B84A018-21B4-4753-B98C-D7A9D8D121CF}"/>
            </a:ext>
          </a:extLst>
        </xdr:cNvPr>
        <xdr:cNvPicPr>
          <a:picLocks noChangeAspect="1"/>
        </xdr:cNvPicPr>
      </xdr:nvPicPr>
      <xdr:blipFill>
        <a:blip xmlns:r="http://schemas.openxmlformats.org/officeDocument/2006/relationships" r:embed="rId4"/>
        <a:stretch>
          <a:fillRect/>
        </a:stretch>
      </xdr:blipFill>
      <xdr:spPr>
        <a:xfrm>
          <a:off x="11779607" y="6135955"/>
          <a:ext cx="5291319" cy="280305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0-&#25945;&#23398;2024-09\&#32463;&#27982;&#31649;&#29702;&#20013;&#30340;&#35745;&#31639;&#26426;&#24212;&#29992;\01\3-&#31532;&#20116;&#29256;&#20363;&#39064;&#65288;&#31572;&#26696;&#65289;-0731\&#31532;09&#31456;&#20363;&#39064;&#31572;&#26696;\&#20363;9-7%20&#33945;&#29305;&#21345;&#27931;&#25237;&#36164;&#39118;&#38505;&#20998;&#26512;&#27169;&#224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例9-7"/>
      <sheetName val="蒙特卡洛投资风险分析模型 "/>
      <sheetName val="实现指定净现值的可能性分析图"/>
      <sheetName val="实现指定净现值的风险分析图"/>
    </sheetNames>
    <sheetDataSet>
      <sheetData sheetId="0"/>
      <sheetData sheetId="1">
        <row r="15">
          <cell r="K15">
            <v>-2086.3018087186492</v>
          </cell>
          <cell r="N15"/>
        </row>
        <row r="16">
          <cell r="K16">
            <v>-1806.7651740816364</v>
          </cell>
          <cell r="N16"/>
        </row>
        <row r="17">
          <cell r="K17">
            <v>-1527.2285394446235</v>
          </cell>
          <cell r="N17"/>
        </row>
        <row r="18">
          <cell r="K18">
            <v>-1247.6919048076106</v>
          </cell>
          <cell r="N18"/>
        </row>
        <row r="19">
          <cell r="K19">
            <v>-968.15527017059787</v>
          </cell>
          <cell r="N19"/>
        </row>
        <row r="20">
          <cell r="K20">
            <v>-688.61863553358512</v>
          </cell>
          <cell r="N20"/>
        </row>
        <row r="21">
          <cell r="K21">
            <v>-409.08200089657237</v>
          </cell>
          <cell r="N21"/>
        </row>
        <row r="22">
          <cell r="K22">
            <v>-129.54536625955961</v>
          </cell>
          <cell r="N22"/>
        </row>
        <row r="23">
          <cell r="K23">
            <v>149.99126837745314</v>
          </cell>
          <cell r="N23"/>
        </row>
        <row r="24">
          <cell r="K24">
            <v>429.52790301446589</v>
          </cell>
          <cell r="N24"/>
        </row>
        <row r="25">
          <cell r="K25">
            <v>709.06453765147864</v>
          </cell>
          <cell r="N25"/>
        </row>
        <row r="26">
          <cell r="K26">
            <v>988.6011722884914</v>
          </cell>
          <cell r="N26"/>
        </row>
        <row r="27">
          <cell r="K27">
            <v>1268.1378069255043</v>
          </cell>
          <cell r="N27"/>
        </row>
        <row r="28">
          <cell r="K28">
            <v>1547.6744415625171</v>
          </cell>
          <cell r="N28"/>
        </row>
        <row r="29">
          <cell r="K29">
            <v>1827.21107619953</v>
          </cell>
          <cell r="N29"/>
        </row>
        <row r="30">
          <cell r="K30">
            <v>2106.7477108365429</v>
          </cell>
          <cell r="N30"/>
        </row>
        <row r="31">
          <cell r="K31">
            <v>2386.2843454735557</v>
          </cell>
          <cell r="N31"/>
        </row>
        <row r="32">
          <cell r="K32">
            <v>2665.8209801105686</v>
          </cell>
          <cell r="N32"/>
        </row>
        <row r="33">
          <cell r="K33">
            <v>2945.3576147475815</v>
          </cell>
          <cell r="N33"/>
        </row>
        <row r="34">
          <cell r="K34">
            <v>3224.8942493845943</v>
          </cell>
          <cell r="N34"/>
        </row>
        <row r="35">
          <cell r="K35">
            <v>3504.4308840216072</v>
          </cell>
          <cell r="N35"/>
        </row>
        <row r="36">
          <cell r="K36">
            <v>3783.9675186586201</v>
          </cell>
          <cell r="N36"/>
        </row>
        <row r="37">
          <cell r="K37">
            <v>4063.5041532956329</v>
          </cell>
          <cell r="N37"/>
        </row>
        <row r="38">
          <cell r="K38">
            <v>4343.0407879326458</v>
          </cell>
          <cell r="N38"/>
        </row>
        <row r="39">
          <cell r="K39">
            <v>4622.5774225696587</v>
          </cell>
          <cell r="N39"/>
        </row>
        <row r="40">
          <cell r="K40">
            <v>4902.1140572066715</v>
          </cell>
        </row>
        <row r="41">
          <cell r="K41">
            <v>5181.6506918436844</v>
          </cell>
          <cell r="N41"/>
        </row>
        <row r="42">
          <cell r="K42">
            <v>5461.1873264806973</v>
          </cell>
          <cell r="N42"/>
        </row>
        <row r="43">
          <cell r="K43">
            <v>5740.7239611177101</v>
          </cell>
          <cell r="N43"/>
        </row>
        <row r="44">
          <cell r="K44">
            <v>6020.260595754723</v>
          </cell>
          <cell r="N44"/>
        </row>
        <row r="45">
          <cell r="K45">
            <v>6299.7972303917359</v>
          </cell>
          <cell r="N45"/>
        </row>
        <row r="46">
          <cell r="K46">
            <v>6579.3338650287487</v>
          </cell>
          <cell r="N46"/>
        </row>
      </sheetData>
      <sheetData sheetId="2"/>
      <sheetData sheetId="3"/>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DE647-AF93-4551-B08E-776D508851BE}">
  <dimension ref="B1:DQ429"/>
  <sheetViews>
    <sheetView topLeftCell="G17" zoomScale="93" zoomScaleNormal="93" workbookViewId="0">
      <selection activeCell="H7" sqref="H7"/>
    </sheetView>
  </sheetViews>
  <sheetFormatPr defaultColWidth="7.83203125" defaultRowHeight="14" x14ac:dyDescent="0.25"/>
  <cols>
    <col min="1" max="1" width="1.25" style="10" customWidth="1"/>
    <col min="2" max="2" width="13.08203125" style="10" customWidth="1"/>
    <col min="3" max="3" width="7" style="2" customWidth="1"/>
    <col min="4" max="4" width="1.25" style="2" customWidth="1"/>
    <col min="5" max="5" width="3.58203125" style="2" customWidth="1"/>
    <col min="6" max="6" width="21" style="2" customWidth="1"/>
    <col min="7" max="7" width="6" style="39" customWidth="1"/>
    <col min="8" max="8" width="9" style="40" customWidth="1"/>
    <col min="9" max="9" width="7.25" style="40" customWidth="1"/>
    <col min="10" max="10" width="6.33203125" style="40" customWidth="1"/>
    <col min="11" max="11" width="6.75" style="2" customWidth="1"/>
    <col min="12" max="12" width="6.83203125" style="2" customWidth="1"/>
    <col min="13" max="13" width="5.33203125" style="41" customWidth="1"/>
    <col min="14" max="14" width="0.83203125" style="2" customWidth="1"/>
    <col min="15" max="15" width="6.83203125" style="2" customWidth="1"/>
    <col min="16" max="16" width="7.58203125" style="2" customWidth="1"/>
    <col min="17" max="17" width="1.33203125" style="2" customWidth="1"/>
    <col min="18" max="18" width="5.33203125" style="2" customWidth="1"/>
    <col min="19" max="19" width="7.33203125" style="9" customWidth="1"/>
    <col min="20" max="20" width="14.4140625" style="9" customWidth="1"/>
    <col min="21" max="21" width="7" style="9" customWidth="1"/>
    <col min="22" max="117" width="7.83203125" style="9" customWidth="1"/>
    <col min="118" max="118" width="7.08203125" style="9" customWidth="1"/>
    <col min="119" max="119" width="5.75" style="2" customWidth="1"/>
    <col min="120" max="120" width="1.33203125" style="10" customWidth="1"/>
    <col min="121" max="190" width="17.08203125" style="10" customWidth="1"/>
    <col min="191" max="191" width="9.25" style="10" customWidth="1"/>
    <col min="192" max="199" width="16.25" style="10" customWidth="1"/>
    <col min="200" max="200" width="9.25" style="10" customWidth="1"/>
    <col min="201" max="16384" width="7.83203125" style="10"/>
  </cols>
  <sheetData>
    <row r="1" spans="2:119" x14ac:dyDescent="0.25">
      <c r="B1" s="1"/>
      <c r="E1" s="3" t="s">
        <v>0</v>
      </c>
      <c r="F1" s="4"/>
      <c r="G1" s="2"/>
      <c r="H1" s="2"/>
      <c r="I1" s="2"/>
      <c r="J1" s="5" t="s">
        <v>1</v>
      </c>
      <c r="K1" s="6">
        <f ca="1">SUM(K5:K369)</f>
        <v>500</v>
      </c>
      <c r="L1" s="6">
        <f ca="1">SUM(L5:L369)</f>
        <v>7600</v>
      </c>
      <c r="M1" s="6">
        <f ca="1">SUM(M5:M369)</f>
        <v>5032.602739726025</v>
      </c>
      <c r="O1" s="7" t="s">
        <v>2</v>
      </c>
      <c r="P1" s="2" t="s">
        <v>3</v>
      </c>
      <c r="R1" s="8" t="s">
        <v>4</v>
      </c>
      <c r="DO1" s="5" t="s">
        <v>5</v>
      </c>
    </row>
    <row r="2" spans="2:119" ht="13.9" customHeight="1" x14ac:dyDescent="0.25">
      <c r="B2" s="11" t="s">
        <v>6</v>
      </c>
      <c r="E2" s="93" t="s">
        <v>7</v>
      </c>
      <c r="F2" s="12" t="s">
        <v>8</v>
      </c>
      <c r="G2" s="13" t="s">
        <v>9</v>
      </c>
      <c r="H2" s="13" t="s">
        <v>10</v>
      </c>
      <c r="I2" s="14" t="s">
        <v>11</v>
      </c>
      <c r="J2" s="13" t="s">
        <v>12</v>
      </c>
      <c r="K2" s="15" t="s">
        <v>12</v>
      </c>
      <c r="L2" s="15" t="s">
        <v>113</v>
      </c>
      <c r="M2" s="15" t="s">
        <v>13</v>
      </c>
      <c r="P2" s="6">
        <f ca="1">C14</f>
        <v>13132.602739726026</v>
      </c>
      <c r="R2" s="16">
        <f ca="1">C14</f>
        <v>13132.602739726026</v>
      </c>
      <c r="S2" s="17">
        <v>1</v>
      </c>
      <c r="T2" s="17">
        <v>2</v>
      </c>
      <c r="U2" s="17">
        <v>3</v>
      </c>
      <c r="V2" s="17">
        <v>4</v>
      </c>
      <c r="W2" s="17">
        <v>5</v>
      </c>
      <c r="X2" s="17">
        <v>6</v>
      </c>
      <c r="Y2" s="17">
        <v>7</v>
      </c>
      <c r="Z2" s="17">
        <v>8</v>
      </c>
      <c r="AA2" s="17">
        <v>9</v>
      </c>
      <c r="AB2" s="17">
        <v>10</v>
      </c>
      <c r="AC2" s="17">
        <v>11</v>
      </c>
      <c r="AD2" s="17">
        <v>12</v>
      </c>
      <c r="AE2" s="17">
        <v>13</v>
      </c>
      <c r="AF2" s="17">
        <v>14</v>
      </c>
      <c r="AG2" s="17">
        <v>15</v>
      </c>
      <c r="AH2" s="17">
        <v>16</v>
      </c>
      <c r="AI2" s="17">
        <v>17</v>
      </c>
      <c r="AJ2" s="17">
        <v>18</v>
      </c>
      <c r="AK2" s="17">
        <v>19</v>
      </c>
      <c r="AL2" s="17">
        <v>20</v>
      </c>
      <c r="AM2" s="17">
        <v>21</v>
      </c>
      <c r="AN2" s="17">
        <v>22</v>
      </c>
      <c r="AO2" s="17">
        <v>23</v>
      </c>
      <c r="AP2" s="17">
        <v>24</v>
      </c>
      <c r="AQ2" s="17">
        <v>25</v>
      </c>
      <c r="AR2" s="17">
        <v>26</v>
      </c>
      <c r="AS2" s="17">
        <v>27</v>
      </c>
      <c r="AT2" s="17">
        <v>28</v>
      </c>
      <c r="AU2" s="17">
        <v>29</v>
      </c>
      <c r="AV2" s="17">
        <v>30</v>
      </c>
      <c r="AW2" s="17">
        <v>31</v>
      </c>
      <c r="AX2" s="17">
        <v>32</v>
      </c>
      <c r="AY2" s="17">
        <v>33</v>
      </c>
      <c r="AZ2" s="17">
        <v>34</v>
      </c>
      <c r="BA2" s="17">
        <v>35</v>
      </c>
      <c r="BB2" s="17">
        <v>36</v>
      </c>
      <c r="BC2" s="17">
        <v>37</v>
      </c>
      <c r="BD2" s="17">
        <v>38</v>
      </c>
      <c r="BE2" s="17">
        <v>39</v>
      </c>
      <c r="BF2" s="17">
        <v>40</v>
      </c>
      <c r="BG2" s="17">
        <v>41</v>
      </c>
      <c r="BH2" s="17">
        <v>42</v>
      </c>
      <c r="BI2" s="17">
        <v>43</v>
      </c>
      <c r="BJ2" s="17">
        <v>44</v>
      </c>
      <c r="BK2" s="17">
        <v>45</v>
      </c>
      <c r="BL2" s="17">
        <v>46</v>
      </c>
      <c r="BM2" s="17">
        <v>47</v>
      </c>
      <c r="BN2" s="17">
        <v>48</v>
      </c>
      <c r="BO2" s="17">
        <v>49</v>
      </c>
      <c r="BP2" s="17">
        <v>50</v>
      </c>
      <c r="BQ2" s="17">
        <v>51</v>
      </c>
      <c r="BR2" s="17">
        <v>52</v>
      </c>
      <c r="BS2" s="17">
        <v>53</v>
      </c>
      <c r="BT2" s="17">
        <v>54</v>
      </c>
      <c r="BU2" s="17">
        <v>55</v>
      </c>
      <c r="BV2" s="17">
        <v>56</v>
      </c>
      <c r="BW2" s="17">
        <v>57</v>
      </c>
      <c r="BX2" s="17">
        <v>58</v>
      </c>
      <c r="BY2" s="17">
        <v>59</v>
      </c>
      <c r="BZ2" s="17">
        <v>60</v>
      </c>
      <c r="CA2" s="17">
        <v>61</v>
      </c>
      <c r="CB2" s="17">
        <v>62</v>
      </c>
      <c r="CC2" s="17">
        <v>63</v>
      </c>
      <c r="CD2" s="17">
        <v>64</v>
      </c>
      <c r="CE2" s="17">
        <v>65</v>
      </c>
      <c r="CF2" s="17">
        <v>66</v>
      </c>
      <c r="CG2" s="17">
        <v>67</v>
      </c>
      <c r="CH2" s="17">
        <v>68</v>
      </c>
      <c r="CI2" s="17">
        <v>69</v>
      </c>
      <c r="CJ2" s="17">
        <v>70</v>
      </c>
      <c r="CK2" s="17">
        <v>71</v>
      </c>
      <c r="CL2" s="17">
        <v>72</v>
      </c>
      <c r="CM2" s="17">
        <v>73</v>
      </c>
      <c r="CN2" s="17">
        <v>74</v>
      </c>
      <c r="CO2" s="17">
        <v>75</v>
      </c>
      <c r="CP2" s="17">
        <v>76</v>
      </c>
      <c r="CQ2" s="17">
        <v>77</v>
      </c>
      <c r="CR2" s="17">
        <v>78</v>
      </c>
      <c r="CS2" s="17">
        <v>79</v>
      </c>
      <c r="CT2" s="17">
        <v>80</v>
      </c>
      <c r="CU2" s="17">
        <v>81</v>
      </c>
      <c r="CV2" s="17">
        <v>82</v>
      </c>
      <c r="CW2" s="17">
        <v>83</v>
      </c>
      <c r="CX2" s="17">
        <v>84</v>
      </c>
      <c r="CY2" s="17">
        <v>85</v>
      </c>
      <c r="CZ2" s="17">
        <v>86</v>
      </c>
      <c r="DA2" s="17">
        <v>87</v>
      </c>
      <c r="DB2" s="17">
        <v>88</v>
      </c>
      <c r="DC2" s="17">
        <v>89</v>
      </c>
      <c r="DD2" s="17">
        <v>90</v>
      </c>
      <c r="DE2" s="17">
        <v>91</v>
      </c>
      <c r="DF2" s="17">
        <v>92</v>
      </c>
      <c r="DG2" s="17">
        <v>93</v>
      </c>
      <c r="DH2" s="17">
        <v>94</v>
      </c>
      <c r="DI2" s="17">
        <v>95</v>
      </c>
      <c r="DJ2" s="17">
        <v>96</v>
      </c>
      <c r="DK2" s="17">
        <v>97</v>
      </c>
      <c r="DL2" s="17">
        <v>98</v>
      </c>
      <c r="DM2" s="17">
        <v>99</v>
      </c>
      <c r="DN2" s="17">
        <v>100</v>
      </c>
      <c r="DO2" s="18" t="s">
        <v>14</v>
      </c>
    </row>
    <row r="3" spans="2:119" ht="14.15" customHeight="1" x14ac:dyDescent="0.25">
      <c r="B3" s="19" t="s">
        <v>15</v>
      </c>
      <c r="C3" s="20">
        <v>100</v>
      </c>
      <c r="E3" s="94"/>
      <c r="F3" s="21" t="s">
        <v>16</v>
      </c>
      <c r="G3" s="22" t="s">
        <v>17</v>
      </c>
      <c r="H3" s="22" t="s">
        <v>17</v>
      </c>
      <c r="I3" s="23" t="s">
        <v>18</v>
      </c>
      <c r="J3" s="22" t="s">
        <v>19</v>
      </c>
      <c r="K3" s="24" t="s">
        <v>20</v>
      </c>
      <c r="L3" s="24" t="s">
        <v>21</v>
      </c>
      <c r="M3" s="24" t="s">
        <v>21</v>
      </c>
      <c r="O3" s="20">
        <v>600</v>
      </c>
      <c r="P3" s="6">
        <f t="dataTable" ref="P3:P13" dt2D="0" dtr="0" r1="C9" ca="1"/>
        <v>18534.246575342462</v>
      </c>
      <c r="R3" s="20">
        <v>600</v>
      </c>
      <c r="S3" s="25">
        <f t="dataTable" ref="S3:DN13" dt2D="1" dtr="1" r1="U1" r2="C9" ca="1"/>
        <v>19312.60273972603</v>
      </c>
      <c r="T3" s="25">
        <v>20245.479452054795</v>
      </c>
      <c r="U3" s="25">
        <v>16788.493150684932</v>
      </c>
      <c r="V3" s="25">
        <v>19962.465753424658</v>
      </c>
      <c r="W3" s="25">
        <v>19035.616438356166</v>
      </c>
      <c r="X3" s="25">
        <v>18337.260273972603</v>
      </c>
      <c r="Y3" s="25">
        <v>17830.684931506847</v>
      </c>
      <c r="Z3" s="25">
        <v>17827.945205479453</v>
      </c>
      <c r="AA3" s="25">
        <v>21029.31506849315</v>
      </c>
      <c r="AB3" s="25">
        <v>18464.383561643837</v>
      </c>
      <c r="AC3" s="25">
        <v>17885.753424657534</v>
      </c>
      <c r="AD3" s="25">
        <v>16502.191780821915</v>
      </c>
      <c r="AE3" s="25">
        <v>17000</v>
      </c>
      <c r="AF3" s="25">
        <v>19028.767123287671</v>
      </c>
      <c r="AG3" s="25">
        <v>19975.068493150684</v>
      </c>
      <c r="AH3" s="25">
        <v>17838.630136986303</v>
      </c>
      <c r="AI3" s="25">
        <v>18354.794520547945</v>
      </c>
      <c r="AJ3" s="25">
        <v>19500</v>
      </c>
      <c r="AK3" s="25">
        <v>17807.945205479453</v>
      </c>
      <c r="AL3" s="25">
        <v>16516.164383561645</v>
      </c>
      <c r="AM3" s="25">
        <v>16927.123287671231</v>
      </c>
      <c r="AN3" s="25">
        <v>17790.68493150685</v>
      </c>
      <c r="AO3" s="25">
        <v>19507.123287671235</v>
      </c>
      <c r="AP3" s="25">
        <v>17316.986301369863</v>
      </c>
      <c r="AQ3" s="25">
        <v>18535.068493150684</v>
      </c>
      <c r="AR3" s="25">
        <v>20881.917808219179</v>
      </c>
      <c r="AS3" s="25">
        <v>19434.794520547945</v>
      </c>
      <c r="AT3" s="25">
        <v>17975.890410958902</v>
      </c>
      <c r="AU3" s="25">
        <v>18588.493150684932</v>
      </c>
      <c r="AV3" s="25">
        <v>15566.575342465754</v>
      </c>
      <c r="AW3" s="25">
        <v>15793.424657534249</v>
      </c>
      <c r="AX3" s="25">
        <v>20850.95890410959</v>
      </c>
      <c r="AY3" s="25">
        <v>15840.000000000002</v>
      </c>
      <c r="AZ3" s="25">
        <v>19335.068493150684</v>
      </c>
      <c r="BA3" s="25">
        <v>18510.95890410959</v>
      </c>
      <c r="BB3" s="25">
        <v>19005.205479452052</v>
      </c>
      <c r="BC3" s="25">
        <v>19813.972602739726</v>
      </c>
      <c r="BD3" s="25">
        <v>18013.698630136987</v>
      </c>
      <c r="BE3" s="25">
        <v>17003.287671232876</v>
      </c>
      <c r="BF3" s="25">
        <v>16056.438356164386</v>
      </c>
      <c r="BG3" s="25">
        <v>18841.917808219176</v>
      </c>
      <c r="BH3" s="25">
        <v>19788.219178082192</v>
      </c>
      <c r="BI3" s="25">
        <v>18385.753424657531</v>
      </c>
      <c r="BJ3" s="25">
        <v>18370.95890410959</v>
      </c>
      <c r="BK3" s="25">
        <v>17543.835616438359</v>
      </c>
      <c r="BL3" s="25">
        <v>17540.821917808218</v>
      </c>
      <c r="BM3" s="25">
        <v>18536.164383561641</v>
      </c>
      <c r="BN3" s="25">
        <v>17033.972602739723</v>
      </c>
      <c r="BO3" s="25">
        <v>16316.164383561645</v>
      </c>
      <c r="BP3" s="25">
        <v>17520.821917808222</v>
      </c>
      <c r="BQ3" s="25">
        <v>16924.109589041102</v>
      </c>
      <c r="BR3" s="25">
        <v>19501.369863013697</v>
      </c>
      <c r="BS3" s="25">
        <v>17970.958904109586</v>
      </c>
      <c r="BT3" s="25">
        <v>18356.164383561645</v>
      </c>
      <c r="BU3" s="25">
        <v>19399.452054794521</v>
      </c>
      <c r="BV3" s="25">
        <v>16983.28767123288</v>
      </c>
      <c r="BW3" s="25">
        <v>18754.520547945205</v>
      </c>
      <c r="BX3" s="25">
        <v>16855.890410958906</v>
      </c>
      <c r="BY3" s="25">
        <v>16531.780821917811</v>
      </c>
      <c r="BZ3" s="25">
        <v>19848.493150684932</v>
      </c>
      <c r="CA3" s="25">
        <v>16372.876712328765</v>
      </c>
      <c r="CB3" s="25">
        <v>17867.945205479453</v>
      </c>
      <c r="CC3" s="25">
        <v>18518.082191780821</v>
      </c>
      <c r="CD3" s="25">
        <v>16903.28767123288</v>
      </c>
      <c r="CE3" s="25">
        <v>21380.821917808222</v>
      </c>
      <c r="CF3" s="25">
        <v>19207.67123287671</v>
      </c>
      <c r="CG3" s="25">
        <v>18058.630136986303</v>
      </c>
      <c r="CH3" s="25">
        <v>18818.630136986303</v>
      </c>
      <c r="CI3" s="25">
        <v>17996.712328767124</v>
      </c>
      <c r="CJ3" s="25">
        <v>19376.164383561641</v>
      </c>
      <c r="CK3" s="25">
        <v>17999.452054794521</v>
      </c>
      <c r="CL3" s="25">
        <v>17986.027397260274</v>
      </c>
      <c r="CM3" s="25">
        <v>17287.671232876713</v>
      </c>
      <c r="CN3" s="25">
        <v>17845.753424657534</v>
      </c>
      <c r="CO3" s="25">
        <v>16366.301369863015</v>
      </c>
      <c r="CP3" s="25">
        <v>17997.534246575342</v>
      </c>
      <c r="CQ3" s="25">
        <v>17004.657534246577</v>
      </c>
      <c r="CR3" s="25">
        <v>17324.931506849312</v>
      </c>
      <c r="CS3" s="25">
        <v>18776.98630136986</v>
      </c>
      <c r="CT3" s="25">
        <v>18078.904109589042</v>
      </c>
      <c r="CU3" s="25">
        <v>18847.123287671231</v>
      </c>
      <c r="CV3" s="25">
        <v>22299.452054794521</v>
      </c>
      <c r="CW3" s="25">
        <v>15529.315068493152</v>
      </c>
      <c r="CX3" s="25">
        <v>15372.876712328769</v>
      </c>
      <c r="CY3" s="25">
        <v>18777.260273972603</v>
      </c>
      <c r="CZ3" s="25">
        <v>17352.054794520544</v>
      </c>
      <c r="DA3" s="25">
        <v>18842.739726027394</v>
      </c>
      <c r="DB3" s="25">
        <v>19586.575342465752</v>
      </c>
      <c r="DC3" s="25">
        <v>16370.958904109588</v>
      </c>
      <c r="DD3" s="25">
        <v>16453.972602739726</v>
      </c>
      <c r="DE3" s="25">
        <v>17491.780821917808</v>
      </c>
      <c r="DF3" s="25">
        <v>15853.424657534246</v>
      </c>
      <c r="DG3" s="25">
        <v>18661.643835616436</v>
      </c>
      <c r="DH3" s="25">
        <v>20386.027397260274</v>
      </c>
      <c r="DI3" s="25">
        <v>15314.246575342466</v>
      </c>
      <c r="DJ3" s="25">
        <v>16877.534246575342</v>
      </c>
      <c r="DK3" s="25">
        <v>17058.904109589042</v>
      </c>
      <c r="DL3" s="25">
        <v>16370.95890410959</v>
      </c>
      <c r="DM3" s="25">
        <v>16389.863013698628</v>
      </c>
      <c r="DN3" s="25">
        <v>19484.93150684932</v>
      </c>
      <c r="DO3" s="6">
        <f>AVERAGE(S3:DN3)</f>
        <v>18074.865753424659</v>
      </c>
    </row>
    <row r="4" spans="2:119" ht="13.4" customHeight="1" x14ac:dyDescent="0.25">
      <c r="B4" s="26" t="s">
        <v>22</v>
      </c>
      <c r="C4" s="20">
        <v>200</v>
      </c>
      <c r="E4" s="27">
        <v>0</v>
      </c>
      <c r="F4" s="6"/>
      <c r="G4" s="6"/>
      <c r="H4" s="6">
        <f>C6</f>
        <v>100</v>
      </c>
      <c r="I4" s="6">
        <f>IF(H4&lt;$C$3,1,0)</f>
        <v>0</v>
      </c>
      <c r="J4" s="6">
        <v>0</v>
      </c>
      <c r="K4" s="6">
        <v>0</v>
      </c>
      <c r="L4" s="6">
        <v>0</v>
      </c>
      <c r="M4" s="20">
        <f>H4*$C$7</f>
        <v>2.7397260273972601</v>
      </c>
      <c r="O4" s="20">
        <v>700</v>
      </c>
      <c r="P4" s="6">
        <v>17481.369863013701</v>
      </c>
      <c r="R4" s="20">
        <v>700</v>
      </c>
      <c r="S4" s="25">
        <v>16723.013698630137</v>
      </c>
      <c r="T4" s="25">
        <v>18230.958904109586</v>
      </c>
      <c r="U4" s="25">
        <v>14778.630136986303</v>
      </c>
      <c r="V4" s="25">
        <v>16270.13698630137</v>
      </c>
      <c r="W4" s="25">
        <v>19467.67123287671</v>
      </c>
      <c r="X4" s="25">
        <v>20668.219178082192</v>
      </c>
      <c r="Y4" s="25">
        <v>16485.753424657538</v>
      </c>
      <c r="Z4" s="25">
        <v>16525.753424657538</v>
      </c>
      <c r="AA4" s="25">
        <v>15564.383561643837</v>
      </c>
      <c r="AB4" s="25">
        <v>18231.506849315068</v>
      </c>
      <c r="AC4" s="25">
        <v>15255.068493150684</v>
      </c>
      <c r="AD4" s="25">
        <v>15271.232876712331</v>
      </c>
      <c r="AE4" s="25">
        <v>15701.917808219179</v>
      </c>
      <c r="AF4" s="25">
        <v>16692.054794520544</v>
      </c>
      <c r="AG4" s="25">
        <v>16510.410958904107</v>
      </c>
      <c r="AH4" s="25">
        <v>14728.767123287669</v>
      </c>
      <c r="AI4" s="25">
        <v>17647.67123287671</v>
      </c>
      <c r="AJ4" s="25">
        <v>17185.479452054795</v>
      </c>
      <c r="AK4" s="25">
        <v>17706.575342465756</v>
      </c>
      <c r="AL4" s="25">
        <v>16215.068493150686</v>
      </c>
      <c r="AM4" s="25">
        <v>16269.589041095891</v>
      </c>
      <c r="AN4" s="25">
        <v>16747.671232876713</v>
      </c>
      <c r="AO4" s="25">
        <v>15250.410958904111</v>
      </c>
      <c r="AP4" s="25">
        <v>15208.219178082192</v>
      </c>
      <c r="AQ4" s="25">
        <v>14754.520547945205</v>
      </c>
      <c r="AR4" s="25">
        <v>18018.356164383564</v>
      </c>
      <c r="AS4" s="25">
        <v>18697.260273972603</v>
      </c>
      <c r="AT4" s="25">
        <v>17531.506849315072</v>
      </c>
      <c r="AU4" s="25">
        <v>16216.164383561645</v>
      </c>
      <c r="AV4" s="25">
        <v>18669.04109589041</v>
      </c>
      <c r="AW4" s="25">
        <v>16011.506849315068</v>
      </c>
      <c r="AX4" s="25">
        <v>15242.739726027397</v>
      </c>
      <c r="AY4" s="25">
        <v>14029.589041095893</v>
      </c>
      <c r="AZ4" s="25">
        <v>17207.123287671235</v>
      </c>
      <c r="BA4" s="25">
        <v>14758.904109589037</v>
      </c>
      <c r="BB4" s="25">
        <v>15780.547945205481</v>
      </c>
      <c r="BC4" s="25">
        <v>17506.301369863013</v>
      </c>
      <c r="BD4" s="25">
        <v>17676.164383561645</v>
      </c>
      <c r="BE4" s="25">
        <v>17265.753424657534</v>
      </c>
      <c r="BF4" s="25">
        <v>19230.958904109586</v>
      </c>
      <c r="BG4" s="25">
        <v>15024.931506849314</v>
      </c>
      <c r="BH4" s="25">
        <v>15727.123287671233</v>
      </c>
      <c r="BI4" s="25">
        <v>15692.328767123287</v>
      </c>
      <c r="BJ4" s="25">
        <v>16264.657534246575</v>
      </c>
      <c r="BK4" s="25">
        <v>15327.123287671231</v>
      </c>
      <c r="BL4" s="25">
        <v>17230.68493150685</v>
      </c>
      <c r="BM4" s="25">
        <v>16493.972602739726</v>
      </c>
      <c r="BN4" s="25">
        <v>14261.369863013701</v>
      </c>
      <c r="BO4" s="25">
        <v>17195.342465753423</v>
      </c>
      <c r="BP4" s="25">
        <v>15971.232876712331</v>
      </c>
      <c r="BQ4" s="25">
        <v>16527.397260273978</v>
      </c>
      <c r="BR4" s="25">
        <v>17738.356164383564</v>
      </c>
      <c r="BS4" s="25">
        <v>17156.986301369863</v>
      </c>
      <c r="BT4" s="25">
        <v>14309.04109589041</v>
      </c>
      <c r="BU4" s="25">
        <v>16977.808219178081</v>
      </c>
      <c r="BV4" s="25">
        <v>16721.095890410961</v>
      </c>
      <c r="BW4" s="25">
        <v>15238.630136986299</v>
      </c>
      <c r="BX4" s="25">
        <v>16727.67123287671</v>
      </c>
      <c r="BY4" s="25">
        <v>17242.739726027401</v>
      </c>
      <c r="BZ4" s="25">
        <v>19695.068493150684</v>
      </c>
      <c r="CA4" s="25">
        <v>15073.424657534248</v>
      </c>
      <c r="CB4" s="25">
        <v>16960.273972602739</v>
      </c>
      <c r="CC4" s="25">
        <v>15042.465753424656</v>
      </c>
      <c r="CD4" s="25">
        <v>16216.438356164384</v>
      </c>
      <c r="CE4" s="25">
        <v>17162.739726027401</v>
      </c>
      <c r="CF4" s="25">
        <v>16135.890410958906</v>
      </c>
      <c r="CG4" s="25">
        <v>17243.013698630137</v>
      </c>
      <c r="CH4" s="25">
        <v>15546.027397260274</v>
      </c>
      <c r="CI4" s="25">
        <v>16256.986301369861</v>
      </c>
      <c r="CJ4" s="25">
        <v>16816.986301369863</v>
      </c>
      <c r="CK4" s="25">
        <v>18540.547945205482</v>
      </c>
      <c r="CL4" s="25">
        <v>16579.726027397264</v>
      </c>
      <c r="CM4" s="25">
        <v>17167.123287671235</v>
      </c>
      <c r="CN4" s="25">
        <v>15718.082191780823</v>
      </c>
      <c r="CO4" s="25">
        <v>15223.835616438355</v>
      </c>
      <c r="CP4" s="25">
        <v>16688.493150684935</v>
      </c>
      <c r="CQ4" s="25">
        <v>20659.178082191782</v>
      </c>
      <c r="CR4" s="25">
        <v>14024.383561643839</v>
      </c>
      <c r="CS4" s="25">
        <v>14283.835616438355</v>
      </c>
      <c r="CT4" s="25">
        <v>17243.835616438359</v>
      </c>
      <c r="CU4" s="25">
        <v>19587.123287671235</v>
      </c>
      <c r="CV4" s="25">
        <v>15744.383561643834</v>
      </c>
      <c r="CW4" s="25">
        <v>15723.28767123288</v>
      </c>
      <c r="CX4" s="25">
        <v>16213.698630136987</v>
      </c>
      <c r="CY4" s="25">
        <v>17174.794520547945</v>
      </c>
      <c r="CZ4" s="25">
        <v>16569.04109589041</v>
      </c>
      <c r="DA4" s="25">
        <v>15269.86301369863</v>
      </c>
      <c r="DB4" s="25">
        <v>15294.794520547945</v>
      </c>
      <c r="DC4" s="25">
        <v>15263.561643835619</v>
      </c>
      <c r="DD4" s="25">
        <v>15293.424657534246</v>
      </c>
      <c r="DE4" s="25">
        <v>16296.438356164384</v>
      </c>
      <c r="DF4" s="25">
        <v>15080</v>
      </c>
      <c r="DG4" s="25">
        <v>15550.68493150685</v>
      </c>
      <c r="DH4" s="25">
        <v>17990.68493150685</v>
      </c>
      <c r="DI4" s="25">
        <v>15088.767123287669</v>
      </c>
      <c r="DJ4" s="25">
        <v>17448.767123287671</v>
      </c>
      <c r="DK4" s="25">
        <v>16037.260273972603</v>
      </c>
      <c r="DL4" s="25">
        <v>17245.479452054795</v>
      </c>
      <c r="DM4" s="25">
        <v>14753.424657534248</v>
      </c>
      <c r="DN4" s="25">
        <v>17531.506849315068</v>
      </c>
      <c r="DO4" s="6">
        <f t="shared" ref="DO4:DO13" si="0">AVERAGE(S4:DN4)</f>
        <v>16491.964383561652</v>
      </c>
    </row>
    <row r="5" spans="2:119" ht="13.4" customHeight="1" x14ac:dyDescent="0.25">
      <c r="B5" s="19" t="s">
        <v>23</v>
      </c>
      <c r="C5" s="20">
        <v>10</v>
      </c>
      <c r="E5" s="27">
        <v>1</v>
      </c>
      <c r="F5" s="6">
        <f t="shared" ref="F5:F68" ca="1" si="1">INDEX($R$17:$R$21,MATCH(RAND(),$T$17:$T$22,1))</f>
        <v>110</v>
      </c>
      <c r="G5" s="6">
        <f>H4+I4*$C$9</f>
        <v>100</v>
      </c>
      <c r="H5" s="6">
        <f ca="1">MAX(G5-F5,0)</f>
        <v>0</v>
      </c>
      <c r="I5" s="6">
        <f ca="1">IF(H5&lt;$C$3,1,0)</f>
        <v>1</v>
      </c>
      <c r="J5" s="6">
        <f ca="1">-MIN(F5-G5,0)</f>
        <v>0</v>
      </c>
      <c r="K5" s="6">
        <f ca="1">J5*$C$8</f>
        <v>0</v>
      </c>
      <c r="L5" s="6">
        <f ca="1">I5*$C$4</f>
        <v>200</v>
      </c>
      <c r="M5" s="20">
        <f ca="1">H5*$C$7</f>
        <v>0</v>
      </c>
      <c r="O5" s="20">
        <v>800</v>
      </c>
      <c r="P5" s="6">
        <v>14255.068493150682</v>
      </c>
      <c r="R5" s="20">
        <v>800</v>
      </c>
      <c r="S5" s="25">
        <v>16781.369863013697</v>
      </c>
      <c r="T5" s="25">
        <v>13846.849315068497</v>
      </c>
      <c r="U5" s="25">
        <v>14784.657534246575</v>
      </c>
      <c r="V5" s="25">
        <v>16275.890410958906</v>
      </c>
      <c r="W5" s="25">
        <v>13389.04109589041</v>
      </c>
      <c r="X5" s="25">
        <v>14320.000000000004</v>
      </c>
      <c r="Y5" s="25">
        <v>15348.767123287671</v>
      </c>
      <c r="Z5" s="25">
        <v>13844.109589041094</v>
      </c>
      <c r="AA5" s="25">
        <v>16286.575342465756</v>
      </c>
      <c r="AB5" s="25">
        <v>14289.315068493152</v>
      </c>
      <c r="AC5" s="25">
        <v>14353.424657534248</v>
      </c>
      <c r="AD5" s="25">
        <v>15803.287671232876</v>
      </c>
      <c r="AE5" s="25">
        <v>16322.19178082192</v>
      </c>
      <c r="AF5" s="25">
        <v>14343.835616438357</v>
      </c>
      <c r="AG5" s="25">
        <v>14789.863013698628</v>
      </c>
      <c r="AH5" s="25">
        <v>15352.876712328765</v>
      </c>
      <c r="AI5" s="25">
        <v>15338.082191780823</v>
      </c>
      <c r="AJ5" s="25">
        <v>16085.479452054793</v>
      </c>
      <c r="AK5" s="25">
        <v>13804.383561643837</v>
      </c>
      <c r="AL5" s="25">
        <v>15338.904109589037</v>
      </c>
      <c r="AM5" s="25">
        <v>13859.726027397264</v>
      </c>
      <c r="AN5" s="25">
        <v>14276.71232876712</v>
      </c>
      <c r="AO5" s="25">
        <v>14321.64383561644</v>
      </c>
      <c r="AP5" s="25">
        <v>16726.301369863017</v>
      </c>
      <c r="AQ5" s="25">
        <v>15121.64383561644</v>
      </c>
      <c r="AR5" s="25">
        <v>15127.945205479453</v>
      </c>
      <c r="AS5" s="25">
        <v>14772.054794520545</v>
      </c>
      <c r="AT5" s="25">
        <v>15329.04109589041</v>
      </c>
      <c r="AU5" s="25">
        <v>15825.753424657534</v>
      </c>
      <c r="AV5" s="25">
        <v>14841.095890410961</v>
      </c>
      <c r="AW5" s="25">
        <v>15656.438356164386</v>
      </c>
      <c r="AX5" s="25">
        <v>15756.986301369867</v>
      </c>
      <c r="AY5" s="25">
        <v>13843.835616438355</v>
      </c>
      <c r="AZ5" s="25">
        <v>16802.739726027401</v>
      </c>
      <c r="BA5" s="25">
        <v>16827.39726027397</v>
      </c>
      <c r="BB5" s="25">
        <v>17312.60273972603</v>
      </c>
      <c r="BC5" s="25">
        <v>16786.301369863013</v>
      </c>
      <c r="BD5" s="25">
        <v>15790.958904109593</v>
      </c>
      <c r="BE5" s="25">
        <v>17301.369863013697</v>
      </c>
      <c r="BF5" s="25">
        <v>14377.534246575344</v>
      </c>
      <c r="BG5" s="25">
        <v>14321.917808219179</v>
      </c>
      <c r="BH5" s="25">
        <v>15804.931506849316</v>
      </c>
      <c r="BI5" s="25">
        <v>16261.643835616438</v>
      </c>
      <c r="BJ5" s="25">
        <v>14791.780821917806</v>
      </c>
      <c r="BK5" s="25">
        <v>13838.904109589044</v>
      </c>
      <c r="BL5" s="25">
        <v>14380.547945205482</v>
      </c>
      <c r="BM5" s="25">
        <v>13826.849315068495</v>
      </c>
      <c r="BN5" s="25">
        <v>13836.986301369867</v>
      </c>
      <c r="BO5" s="25">
        <v>14301.369863013699</v>
      </c>
      <c r="BP5" s="25">
        <v>15489.04109589041</v>
      </c>
      <c r="BQ5" s="25">
        <v>15349.863013698632</v>
      </c>
      <c r="BR5" s="25">
        <v>14865.753424657536</v>
      </c>
      <c r="BS5" s="25">
        <v>14852.876712328763</v>
      </c>
      <c r="BT5" s="25">
        <v>16901.917808219179</v>
      </c>
      <c r="BU5" s="25">
        <v>17886.849315068495</v>
      </c>
      <c r="BV5" s="25">
        <v>15163.561643835616</v>
      </c>
      <c r="BW5" s="25">
        <v>14324.931506849312</v>
      </c>
      <c r="BX5" s="25">
        <v>14800.821917808218</v>
      </c>
      <c r="BY5" s="25">
        <v>14355.342465753427</v>
      </c>
      <c r="BZ5" s="25">
        <v>16822.739726027397</v>
      </c>
      <c r="CA5" s="25">
        <v>16886.575342465756</v>
      </c>
      <c r="CB5" s="25">
        <v>14416.986301369865</v>
      </c>
      <c r="CC5" s="25">
        <v>13334.246575342466</v>
      </c>
      <c r="CD5" s="25">
        <v>14834.520547945209</v>
      </c>
      <c r="CE5" s="25">
        <v>13320.821917808218</v>
      </c>
      <c r="CF5" s="25">
        <v>13382.465753424658</v>
      </c>
      <c r="CG5" s="25">
        <v>13872.602739726026</v>
      </c>
      <c r="CH5" s="25">
        <v>15345.479452054793</v>
      </c>
      <c r="CI5" s="25">
        <v>16289.589041095891</v>
      </c>
      <c r="CJ5" s="25">
        <v>14340.821917808218</v>
      </c>
      <c r="CK5" s="25">
        <v>14372.60273972603</v>
      </c>
      <c r="CL5" s="25">
        <v>14867.397260273974</v>
      </c>
      <c r="CM5" s="25">
        <v>14954.794520547943</v>
      </c>
      <c r="CN5" s="25">
        <v>16779.452054794525</v>
      </c>
      <c r="CO5" s="25">
        <v>15822.191780821917</v>
      </c>
      <c r="CP5" s="25">
        <v>15396.164383561647</v>
      </c>
      <c r="CQ5" s="25">
        <v>15246.575342465754</v>
      </c>
      <c r="CR5" s="25">
        <v>14819.726027397261</v>
      </c>
      <c r="CS5" s="25">
        <v>15265.753424657534</v>
      </c>
      <c r="CT5" s="25">
        <v>15875.616438356163</v>
      </c>
      <c r="CU5" s="25">
        <v>15826.027397260274</v>
      </c>
      <c r="CV5" s="25">
        <v>15821.369863013697</v>
      </c>
      <c r="CW5" s="25">
        <v>13355.890410958906</v>
      </c>
      <c r="CX5" s="25">
        <v>16787.123287671231</v>
      </c>
      <c r="CY5" s="25">
        <v>16403.013698630137</v>
      </c>
      <c r="CZ5" s="25">
        <v>14311.50684931507</v>
      </c>
      <c r="DA5" s="25">
        <v>14837.53424657534</v>
      </c>
      <c r="DB5" s="25">
        <v>14424.383561643834</v>
      </c>
      <c r="DC5" s="25">
        <v>16359.178082191782</v>
      </c>
      <c r="DD5" s="25">
        <v>15114.246575342469</v>
      </c>
      <c r="DE5" s="25">
        <v>14393.424657534246</v>
      </c>
      <c r="DF5" s="25">
        <v>13384.657534246575</v>
      </c>
      <c r="DG5" s="25">
        <v>16784.109589041094</v>
      </c>
      <c r="DH5" s="25">
        <v>15267.671232876713</v>
      </c>
      <c r="DI5" s="25">
        <v>16663.28767123288</v>
      </c>
      <c r="DJ5" s="25">
        <v>16875.616438356166</v>
      </c>
      <c r="DK5" s="25">
        <v>13793.424657534248</v>
      </c>
      <c r="DL5" s="25">
        <v>15809.04109589041</v>
      </c>
      <c r="DM5" s="25">
        <v>15341.095890410961</v>
      </c>
      <c r="DN5" s="25">
        <v>14427.671232876715</v>
      </c>
      <c r="DO5" s="6">
        <f t="shared" si="0"/>
        <v>15189.402739726023</v>
      </c>
    </row>
    <row r="6" spans="2:119" ht="13.4" customHeight="1" x14ac:dyDescent="0.25">
      <c r="B6" s="26" t="s">
        <v>24</v>
      </c>
      <c r="C6" s="20">
        <v>100</v>
      </c>
      <c r="E6" s="27">
        <v>2</v>
      </c>
      <c r="F6" s="6">
        <f t="shared" ca="1" si="1"/>
        <v>110</v>
      </c>
      <c r="G6" s="6">
        <f ca="1">H5+I5*$C$9</f>
        <v>1000</v>
      </c>
      <c r="H6" s="6">
        <f ca="1">MAX(G6-F6,0)</f>
        <v>890</v>
      </c>
      <c r="I6" s="6">
        <f ca="1">IF(H6&lt;$C$3,1,0)</f>
        <v>0</v>
      </c>
      <c r="J6" s="6">
        <f ca="1">-MIN(G6-F6,0)</f>
        <v>0</v>
      </c>
      <c r="K6" s="6">
        <f t="shared" ref="K6:K69" ca="1" si="2">J6*$C$8</f>
        <v>0</v>
      </c>
      <c r="L6" s="6">
        <f t="shared" ref="L6:L69" ca="1" si="3">I6*$C$4</f>
        <v>0</v>
      </c>
      <c r="M6" s="20">
        <f t="shared" ref="M6:M69" ca="1" si="4">H6*$C$7</f>
        <v>24.383561643835616</v>
      </c>
      <c r="O6" s="20">
        <v>900</v>
      </c>
      <c r="P6" s="6">
        <v>15407.945205479456</v>
      </c>
      <c r="R6" s="20">
        <v>900</v>
      </c>
      <c r="S6" s="25">
        <v>14405.753424657534</v>
      </c>
      <c r="T6" s="25">
        <v>14038.630136986299</v>
      </c>
      <c r="U6" s="25">
        <v>12758.35616438356</v>
      </c>
      <c r="V6" s="25">
        <v>15380.273972602738</v>
      </c>
      <c r="W6" s="25">
        <v>13896.712328767126</v>
      </c>
      <c r="X6" s="25">
        <v>12825.479452054798</v>
      </c>
      <c r="Y6" s="25">
        <v>15322.191780821919</v>
      </c>
      <c r="Z6" s="25">
        <v>14317.534246575342</v>
      </c>
      <c r="AA6" s="25">
        <v>14380.821917808218</v>
      </c>
      <c r="AB6" s="25">
        <v>14155.890410958904</v>
      </c>
      <c r="AC6" s="25">
        <v>12878.356164383564</v>
      </c>
      <c r="AD6" s="25">
        <v>14808.493150684932</v>
      </c>
      <c r="AE6" s="25">
        <v>15308.493150684932</v>
      </c>
      <c r="AF6" s="25">
        <v>13818.082191780824</v>
      </c>
      <c r="AG6" s="25">
        <v>14853.424657534244</v>
      </c>
      <c r="AH6" s="25">
        <v>14380.273972602739</v>
      </c>
      <c r="AI6" s="25">
        <v>14317.808219178085</v>
      </c>
      <c r="AJ6" s="25">
        <v>13371.506849315068</v>
      </c>
      <c r="AK6" s="25">
        <v>13344.657534246573</v>
      </c>
      <c r="AL6" s="25">
        <v>13855.068493150684</v>
      </c>
      <c r="AM6" s="25">
        <v>14864.657534246575</v>
      </c>
      <c r="AN6" s="25">
        <v>14633.972602739726</v>
      </c>
      <c r="AO6" s="25">
        <v>13813.698630136987</v>
      </c>
      <c r="AP6" s="25">
        <v>14309.589041095893</v>
      </c>
      <c r="AQ6" s="25">
        <v>14789.863013698632</v>
      </c>
      <c r="AR6" s="25">
        <v>14298.082191780821</v>
      </c>
      <c r="AS6" s="25">
        <v>14809.863013698632</v>
      </c>
      <c r="AT6" s="25">
        <v>14884.109589041092</v>
      </c>
      <c r="AU6" s="25">
        <v>15347.67123287671</v>
      </c>
      <c r="AV6" s="25">
        <v>13850.13698630137</v>
      </c>
      <c r="AW6" s="25">
        <v>13324.383561643837</v>
      </c>
      <c r="AX6" s="25">
        <v>13369.589041095889</v>
      </c>
      <c r="AY6" s="25">
        <v>14208.493150684928</v>
      </c>
      <c r="AZ6" s="25">
        <v>12781.917808219179</v>
      </c>
      <c r="BA6" s="25">
        <v>12848.219178082187</v>
      </c>
      <c r="BB6" s="25">
        <v>15327.671232876713</v>
      </c>
      <c r="BC6" s="25">
        <v>15240.000000000002</v>
      </c>
      <c r="BD6" s="25">
        <v>13312.876712328765</v>
      </c>
      <c r="BE6" s="25">
        <v>14934.246575342468</v>
      </c>
      <c r="BF6" s="25">
        <v>14849.589041095893</v>
      </c>
      <c r="BG6" s="25">
        <v>13165.205479452054</v>
      </c>
      <c r="BH6" s="25">
        <v>15259.999999999996</v>
      </c>
      <c r="BI6" s="25">
        <v>13327.123287671229</v>
      </c>
      <c r="BJ6" s="25">
        <v>14777.260273972603</v>
      </c>
      <c r="BK6" s="25">
        <v>15505.479452054795</v>
      </c>
      <c r="BL6" s="25">
        <v>14864.109589041094</v>
      </c>
      <c r="BM6" s="25">
        <v>14140.547945205479</v>
      </c>
      <c r="BN6" s="25">
        <v>13259.452054794518</v>
      </c>
      <c r="BO6" s="25">
        <v>13792.876712328767</v>
      </c>
      <c r="BP6" s="25">
        <v>14423.835616438357</v>
      </c>
      <c r="BQ6" s="25">
        <v>13401.64383561644</v>
      </c>
      <c r="BR6" s="25">
        <v>14407.945205479453</v>
      </c>
      <c r="BS6" s="25">
        <v>13799.178082191782</v>
      </c>
      <c r="BT6" s="25">
        <v>13792.876712328769</v>
      </c>
      <c r="BU6" s="25">
        <v>14268.767123287671</v>
      </c>
      <c r="BV6" s="25">
        <v>13330.958904109588</v>
      </c>
      <c r="BW6" s="25">
        <v>18274.246575342469</v>
      </c>
      <c r="BX6" s="25">
        <v>15318.082191780824</v>
      </c>
      <c r="BY6" s="25">
        <v>16335.616438356163</v>
      </c>
      <c r="BZ6" s="25">
        <v>13913.698630136991</v>
      </c>
      <c r="CA6" s="25">
        <v>12812.876712328769</v>
      </c>
      <c r="CB6" s="25">
        <v>13871.232876712331</v>
      </c>
      <c r="CC6" s="25">
        <v>13829.04109589041</v>
      </c>
      <c r="CD6" s="25">
        <v>13787.397260273976</v>
      </c>
      <c r="CE6" s="25">
        <v>14285.479452054797</v>
      </c>
      <c r="CF6" s="25">
        <v>13341.64383561644</v>
      </c>
      <c r="CG6" s="25">
        <v>14248.219178082192</v>
      </c>
      <c r="CH6" s="25">
        <v>13769.589041095891</v>
      </c>
      <c r="CI6" s="25">
        <v>14865.205479452052</v>
      </c>
      <c r="CJ6" s="25">
        <v>13832.876712328769</v>
      </c>
      <c r="CK6" s="25">
        <v>12879.726027397259</v>
      </c>
      <c r="CL6" s="25">
        <v>12873.698630136987</v>
      </c>
      <c r="CM6" s="25">
        <v>16070.136986301368</v>
      </c>
      <c r="CN6" s="25">
        <v>14850.68493150685</v>
      </c>
      <c r="CO6" s="25">
        <v>13883.013698630137</v>
      </c>
      <c r="CP6" s="25">
        <v>14380.547945205481</v>
      </c>
      <c r="CQ6" s="25">
        <v>13848.767123287675</v>
      </c>
      <c r="CR6" s="25">
        <v>13376.438356164383</v>
      </c>
      <c r="CS6" s="25">
        <v>15374.520547945205</v>
      </c>
      <c r="CT6" s="25">
        <v>14818.630136986307</v>
      </c>
      <c r="CU6" s="25">
        <v>15306.027397260277</v>
      </c>
      <c r="CV6" s="25">
        <v>15853.698630136983</v>
      </c>
      <c r="CW6" s="25">
        <v>14415.616438356163</v>
      </c>
      <c r="CX6" s="25">
        <v>13665.753424657532</v>
      </c>
      <c r="CY6" s="25">
        <v>16279.178082191782</v>
      </c>
      <c r="CZ6" s="25">
        <v>13863.561643835619</v>
      </c>
      <c r="DA6" s="25">
        <v>15716.712328767124</v>
      </c>
      <c r="DB6" s="25">
        <v>13354.794520547946</v>
      </c>
      <c r="DC6" s="25">
        <v>14870.684931506854</v>
      </c>
      <c r="DD6" s="25">
        <v>13322.739726027394</v>
      </c>
      <c r="DE6" s="25">
        <v>13857.808219178085</v>
      </c>
      <c r="DF6" s="25">
        <v>14812.054794520547</v>
      </c>
      <c r="DG6" s="25">
        <v>14800.547945205481</v>
      </c>
      <c r="DH6" s="25">
        <v>16294.794520547945</v>
      </c>
      <c r="DI6" s="25">
        <v>15368.493150684932</v>
      </c>
      <c r="DJ6" s="25">
        <v>13915.342465753423</v>
      </c>
      <c r="DK6" s="25">
        <v>17225.479452054791</v>
      </c>
      <c r="DL6" s="25">
        <v>13826.575342465754</v>
      </c>
      <c r="DM6" s="25">
        <v>14825.205479452055</v>
      </c>
      <c r="DN6" s="25">
        <v>13674.246575342471</v>
      </c>
      <c r="DO6" s="6">
        <f t="shared" si="0"/>
        <v>14338.24383561644</v>
      </c>
    </row>
    <row r="7" spans="2:119" ht="13.4" customHeight="1" x14ac:dyDescent="0.25">
      <c r="B7" s="28" t="s">
        <v>25</v>
      </c>
      <c r="C7" s="29">
        <f>C5/365</f>
        <v>2.7397260273972601E-2</v>
      </c>
      <c r="E7" s="27">
        <v>3</v>
      </c>
      <c r="F7" s="6">
        <f t="shared" ca="1" si="1"/>
        <v>110</v>
      </c>
      <c r="G7" s="6">
        <f t="shared" ref="G7:G70" ca="1" si="5">H6+I6*$C$9</f>
        <v>890</v>
      </c>
      <c r="H7" s="6">
        <f t="shared" ref="H7:H70" ca="1" si="6">MAX(G7-F7,0)</f>
        <v>780</v>
      </c>
      <c r="I7" s="6">
        <f t="shared" ref="I7:I70" ca="1" si="7">IF(H7&lt;$C$3,1,0)</f>
        <v>0</v>
      </c>
      <c r="J7" s="6">
        <f t="shared" ref="J7:J70" ca="1" si="8">-MIN(G7-F7,0)</f>
        <v>0</v>
      </c>
      <c r="K7" s="6">
        <f t="shared" ca="1" si="2"/>
        <v>0</v>
      </c>
      <c r="L7" s="6">
        <f t="shared" ca="1" si="3"/>
        <v>0</v>
      </c>
      <c r="M7" s="20">
        <f t="shared" ca="1" si="4"/>
        <v>21.36986301369863</v>
      </c>
      <c r="O7" s="20">
        <v>1000</v>
      </c>
      <c r="P7" s="6">
        <v>13943.287671232876</v>
      </c>
      <c r="R7" s="20">
        <v>1000</v>
      </c>
      <c r="S7" s="25">
        <v>14555.342465753423</v>
      </c>
      <c r="T7" s="25">
        <v>15036.438356164383</v>
      </c>
      <c r="U7" s="25">
        <v>14037.53424657534</v>
      </c>
      <c r="V7" s="25">
        <v>14020.547945205479</v>
      </c>
      <c r="W7" s="25">
        <v>13532.876712328771</v>
      </c>
      <c r="X7" s="25">
        <v>14541.095890410959</v>
      </c>
      <c r="Y7" s="25">
        <v>13273.150684931505</v>
      </c>
      <c r="Z7" s="25">
        <v>12307.123287671231</v>
      </c>
      <c r="AA7" s="25">
        <v>12592.054794520551</v>
      </c>
      <c r="AB7" s="25">
        <v>14096.71232876712</v>
      </c>
      <c r="AC7" s="25">
        <v>14083.561643835614</v>
      </c>
      <c r="AD7" s="25">
        <v>14075.342465753427</v>
      </c>
      <c r="AE7" s="25">
        <v>14469.31506849315</v>
      </c>
      <c r="AF7" s="25">
        <v>14596.164383561645</v>
      </c>
      <c r="AG7" s="25">
        <v>14109.04109589041</v>
      </c>
      <c r="AH7" s="25">
        <v>15460.000000000004</v>
      </c>
      <c r="AI7" s="25">
        <v>13957.260273972604</v>
      </c>
      <c r="AJ7" s="25">
        <v>13550.136986301366</v>
      </c>
      <c r="AK7" s="25">
        <v>13954.520547945205</v>
      </c>
      <c r="AL7" s="25">
        <v>12566.301369863013</v>
      </c>
      <c r="AM7" s="25">
        <v>14020.821917808218</v>
      </c>
      <c r="AN7" s="25">
        <v>13324.383561643835</v>
      </c>
      <c r="AO7" s="25">
        <v>13518.630136986301</v>
      </c>
      <c r="AP7" s="25">
        <v>14046.027397260275</v>
      </c>
      <c r="AQ7" s="25">
        <v>14469.863013698632</v>
      </c>
      <c r="AR7" s="25">
        <v>14515.890410958908</v>
      </c>
      <c r="AS7" s="25">
        <v>13857.260273972601</v>
      </c>
      <c r="AT7" s="25">
        <v>13973.150684931508</v>
      </c>
      <c r="AU7" s="25">
        <v>14054.520547945205</v>
      </c>
      <c r="AV7" s="25">
        <v>14001.095890410958</v>
      </c>
      <c r="AW7" s="25">
        <v>13776.164383561645</v>
      </c>
      <c r="AX7" s="25">
        <v>14037.260273972604</v>
      </c>
      <c r="AY7" s="25">
        <v>14980.821917808218</v>
      </c>
      <c r="AZ7" s="25">
        <v>14055.616438356166</v>
      </c>
      <c r="BA7" s="25">
        <v>13065.205479452057</v>
      </c>
      <c r="BB7" s="25">
        <v>13526.301369863017</v>
      </c>
      <c r="BC7" s="25">
        <v>13616.712328767122</v>
      </c>
      <c r="BD7" s="25">
        <v>14580.821917808218</v>
      </c>
      <c r="BE7" s="25">
        <v>13972.054794520547</v>
      </c>
      <c r="BF7" s="25">
        <v>13652.054794520542</v>
      </c>
      <c r="BG7" s="25">
        <v>13977.260273972599</v>
      </c>
      <c r="BH7" s="25">
        <v>15508.493150684932</v>
      </c>
      <c r="BI7" s="25">
        <v>13526.575342465752</v>
      </c>
      <c r="BJ7" s="25">
        <v>16112.602739726026</v>
      </c>
      <c r="BK7" s="25">
        <v>14356.986301369863</v>
      </c>
      <c r="BL7" s="25">
        <v>12560</v>
      </c>
      <c r="BM7" s="25">
        <v>14103.287671232874</v>
      </c>
      <c r="BN7" s="25">
        <v>13431.232876712327</v>
      </c>
      <c r="BO7" s="25">
        <v>14811.232876712325</v>
      </c>
      <c r="BP7" s="25">
        <v>13524.931506849312</v>
      </c>
      <c r="BQ7" s="25">
        <v>13070.410958904107</v>
      </c>
      <c r="BR7" s="25">
        <v>14473.698630136987</v>
      </c>
      <c r="BS7" s="25">
        <v>14047.123287671237</v>
      </c>
      <c r="BT7" s="25">
        <v>12532.876712328763</v>
      </c>
      <c r="BU7" s="25">
        <v>13887.671232876713</v>
      </c>
      <c r="BV7" s="25">
        <v>14340.273972602743</v>
      </c>
      <c r="BW7" s="25">
        <v>14568.767123287671</v>
      </c>
      <c r="BX7" s="25">
        <v>13987.39726027397</v>
      </c>
      <c r="BY7" s="25">
        <v>13545.205479452052</v>
      </c>
      <c r="BZ7" s="25">
        <v>13094.520547945202</v>
      </c>
      <c r="CA7" s="25">
        <v>14159.452054794518</v>
      </c>
      <c r="CB7" s="25">
        <v>13561.64383561644</v>
      </c>
      <c r="CC7" s="25">
        <v>13317.534246575338</v>
      </c>
      <c r="CD7" s="25">
        <v>12603.835616438359</v>
      </c>
      <c r="CE7" s="25">
        <v>13554.794520547943</v>
      </c>
      <c r="CF7" s="25">
        <v>17458.630136986299</v>
      </c>
      <c r="CG7" s="25">
        <v>15070.136986301372</v>
      </c>
      <c r="CH7" s="25">
        <v>15020.273972602741</v>
      </c>
      <c r="CI7" s="25">
        <v>13443.287671232876</v>
      </c>
      <c r="CJ7" s="25">
        <v>13533.698630136987</v>
      </c>
      <c r="CK7" s="25">
        <v>13302.465753424663</v>
      </c>
      <c r="CL7" s="25">
        <v>15628.767123287675</v>
      </c>
      <c r="CM7" s="25">
        <v>14518.082191780828</v>
      </c>
      <c r="CN7" s="25">
        <v>12407.945205479451</v>
      </c>
      <c r="CO7" s="25">
        <v>12538.630136986307</v>
      </c>
      <c r="CP7" s="25">
        <v>15558.356164383564</v>
      </c>
      <c r="CQ7" s="25">
        <v>14559.452054794521</v>
      </c>
      <c r="CR7" s="25">
        <v>12804.109589041098</v>
      </c>
      <c r="CS7" s="25">
        <v>13060.821917808218</v>
      </c>
      <c r="CT7" s="25">
        <v>14491.232876712329</v>
      </c>
      <c r="CU7" s="25">
        <v>13328.767123287671</v>
      </c>
      <c r="CV7" s="25">
        <v>13488.493150684932</v>
      </c>
      <c r="CW7" s="25">
        <v>14114.520547945205</v>
      </c>
      <c r="CX7" s="25">
        <v>13060.273972602739</v>
      </c>
      <c r="CY7" s="25">
        <v>14561.369863013701</v>
      </c>
      <c r="CZ7" s="25">
        <v>15540.273972602736</v>
      </c>
      <c r="DA7" s="25">
        <v>12570.136986301366</v>
      </c>
      <c r="DB7" s="25">
        <v>13946.849315068492</v>
      </c>
      <c r="DC7" s="25">
        <v>14061.917808219176</v>
      </c>
      <c r="DD7" s="25">
        <v>13539.178082191786</v>
      </c>
      <c r="DE7" s="25">
        <v>14035.068493150686</v>
      </c>
      <c r="DF7" s="25">
        <v>16022.191780821922</v>
      </c>
      <c r="DG7" s="25">
        <v>15053.150684931508</v>
      </c>
      <c r="DH7" s="25">
        <v>16487.945205479453</v>
      </c>
      <c r="DI7" s="25">
        <v>15729.041095890414</v>
      </c>
      <c r="DJ7" s="25">
        <v>13562.739726027397</v>
      </c>
      <c r="DK7" s="25">
        <v>13992.876712328767</v>
      </c>
      <c r="DL7" s="25">
        <v>12370.410958904115</v>
      </c>
      <c r="DM7" s="25">
        <v>14543.287671232876</v>
      </c>
      <c r="DN7" s="25">
        <v>15918.082191780817</v>
      </c>
      <c r="DO7" s="6">
        <f t="shared" si="0"/>
        <v>14038.394520547945</v>
      </c>
    </row>
    <row r="8" spans="2:119" ht="13.4" customHeight="1" x14ac:dyDescent="0.25">
      <c r="B8" s="19" t="s">
        <v>26</v>
      </c>
      <c r="C8" s="20">
        <v>50</v>
      </c>
      <c r="E8" s="27">
        <v>4</v>
      </c>
      <c r="F8" s="6">
        <f t="shared" ca="1" si="1"/>
        <v>100</v>
      </c>
      <c r="G8" s="6">
        <f t="shared" ca="1" si="5"/>
        <v>780</v>
      </c>
      <c r="H8" s="6">
        <f t="shared" ca="1" si="6"/>
        <v>680</v>
      </c>
      <c r="I8" s="6">
        <f t="shared" ca="1" si="7"/>
        <v>0</v>
      </c>
      <c r="J8" s="6">
        <f t="shared" ca="1" si="8"/>
        <v>0</v>
      </c>
      <c r="K8" s="6">
        <f t="shared" ca="1" si="2"/>
        <v>0</v>
      </c>
      <c r="L8" s="6">
        <f t="shared" ca="1" si="3"/>
        <v>0</v>
      </c>
      <c r="M8" s="20">
        <f t="shared" ca="1" si="4"/>
        <v>18.63013698630137</v>
      </c>
      <c r="O8" s="20">
        <v>1100</v>
      </c>
      <c r="P8" s="6">
        <v>13336.986301369863</v>
      </c>
      <c r="R8" s="20">
        <v>1100</v>
      </c>
      <c r="S8" s="25">
        <v>13763.013698630137</v>
      </c>
      <c r="T8" s="25">
        <v>14782.739726027399</v>
      </c>
      <c r="U8" s="25">
        <v>12942.465753424656</v>
      </c>
      <c r="V8" s="25">
        <v>14193.972602739725</v>
      </c>
      <c r="W8" s="25">
        <v>14703.835616438355</v>
      </c>
      <c r="X8" s="25">
        <v>12414.246575342466</v>
      </c>
      <c r="Y8" s="25">
        <v>15339.726027397259</v>
      </c>
      <c r="Z8" s="25">
        <v>15242.191780821917</v>
      </c>
      <c r="AA8" s="25">
        <v>12313.698630136989</v>
      </c>
      <c r="AB8" s="25">
        <v>13730.958904109586</v>
      </c>
      <c r="AC8" s="25">
        <v>13408.493150684932</v>
      </c>
      <c r="AD8" s="25">
        <v>14179.999999999996</v>
      </c>
      <c r="AE8" s="25">
        <v>13260.273972602736</v>
      </c>
      <c r="AF8" s="25">
        <v>13662.46575342466</v>
      </c>
      <c r="AG8" s="25">
        <v>17235.890410958906</v>
      </c>
      <c r="AH8" s="25">
        <v>14259.452054794518</v>
      </c>
      <c r="AI8" s="25">
        <v>12805.753424657532</v>
      </c>
      <c r="AJ8" s="25">
        <v>12787.123287671231</v>
      </c>
      <c r="AK8" s="25">
        <v>13327.397260273972</v>
      </c>
      <c r="AL8" s="25">
        <v>14259.178082191784</v>
      </c>
      <c r="AM8" s="25">
        <v>12813.698630136983</v>
      </c>
      <c r="AN8" s="25">
        <v>12752.876712328765</v>
      </c>
      <c r="AO8" s="25">
        <v>13765.205479452055</v>
      </c>
      <c r="AP8" s="25">
        <v>13222.739726027401</v>
      </c>
      <c r="AQ8" s="25">
        <v>14888.219178082189</v>
      </c>
      <c r="AR8" s="25">
        <v>12768.493150684932</v>
      </c>
      <c r="AS8" s="25">
        <v>13769.04109589041</v>
      </c>
      <c r="AT8" s="25">
        <v>13983.835616438357</v>
      </c>
      <c r="AU8" s="25">
        <v>12302.465753424656</v>
      </c>
      <c r="AV8" s="25">
        <v>13721.095890410961</v>
      </c>
      <c r="AW8" s="25">
        <v>13735.342465753418</v>
      </c>
      <c r="AX8" s="25">
        <v>13796.712328767118</v>
      </c>
      <c r="AY8" s="25">
        <v>14727.123287671235</v>
      </c>
      <c r="AZ8" s="25">
        <v>13387.671232876715</v>
      </c>
      <c r="BA8" s="25">
        <v>12300.000000000004</v>
      </c>
      <c r="BB8" s="25">
        <v>13212.32876712329</v>
      </c>
      <c r="BC8" s="25">
        <v>13724.657534246573</v>
      </c>
      <c r="BD8" s="25">
        <v>13348.493150684928</v>
      </c>
      <c r="BE8" s="25">
        <v>14265.205479452059</v>
      </c>
      <c r="BF8" s="25">
        <v>15198.904109589044</v>
      </c>
      <c r="BG8" s="25">
        <v>14804.109589041091</v>
      </c>
      <c r="BH8" s="25">
        <v>13709.589041095893</v>
      </c>
      <c r="BI8" s="25">
        <v>12766.849315068492</v>
      </c>
      <c r="BJ8" s="25">
        <v>13712.054794520544</v>
      </c>
      <c r="BK8" s="25">
        <v>13301.917808219179</v>
      </c>
      <c r="BL8" s="25">
        <v>14013.424657534248</v>
      </c>
      <c r="BM8" s="25">
        <v>13708.493150684937</v>
      </c>
      <c r="BN8" s="25">
        <v>13271.780821917808</v>
      </c>
      <c r="BO8" s="25">
        <v>14169.315068493153</v>
      </c>
      <c r="BP8" s="25">
        <v>14178.082191780823</v>
      </c>
      <c r="BQ8" s="25">
        <v>13251.780821917808</v>
      </c>
      <c r="BR8" s="25">
        <v>14234.794520547945</v>
      </c>
      <c r="BS8" s="25">
        <v>13204.383561643837</v>
      </c>
      <c r="BT8" s="25">
        <v>15181.095890410958</v>
      </c>
      <c r="BU8" s="25">
        <v>13737.260273972603</v>
      </c>
      <c r="BV8" s="25">
        <v>12759.452054794521</v>
      </c>
      <c r="BW8" s="25">
        <v>14818.082191780823</v>
      </c>
      <c r="BX8" s="25">
        <v>13357.260273972603</v>
      </c>
      <c r="BY8" s="25">
        <v>13792.876712328765</v>
      </c>
      <c r="BZ8" s="25">
        <v>12949.589041095889</v>
      </c>
      <c r="CA8" s="25">
        <v>13936.712328767126</v>
      </c>
      <c r="CB8" s="25">
        <v>13715.342465753423</v>
      </c>
      <c r="CC8" s="25">
        <v>13318.904109589039</v>
      </c>
      <c r="CD8" s="25">
        <v>14167.671232876715</v>
      </c>
      <c r="CE8" s="25">
        <v>14736.438356164384</v>
      </c>
      <c r="CF8" s="25">
        <v>13357.260273972604</v>
      </c>
      <c r="CG8" s="25">
        <v>13195.068493150688</v>
      </c>
      <c r="CH8" s="25">
        <v>13201.643835616444</v>
      </c>
      <c r="CI8" s="25">
        <v>13784.109589041094</v>
      </c>
      <c r="CJ8" s="25">
        <v>13721.369863013701</v>
      </c>
      <c r="CK8" s="25">
        <v>14681.369863013699</v>
      </c>
      <c r="CL8" s="25">
        <v>12881.917808219179</v>
      </c>
      <c r="CM8" s="25">
        <v>13735.068493150684</v>
      </c>
      <c r="CN8" s="25">
        <v>14695.890410958902</v>
      </c>
      <c r="CO8" s="25">
        <v>13425.753424657538</v>
      </c>
      <c r="CP8" s="25">
        <v>14660.273972602743</v>
      </c>
      <c r="CQ8" s="25">
        <v>14245.479452054795</v>
      </c>
      <c r="CR8" s="25">
        <v>13300</v>
      </c>
      <c r="CS8" s="25">
        <v>14200.821917808218</v>
      </c>
      <c r="CT8" s="25">
        <v>15384.931506849312</v>
      </c>
      <c r="CU8" s="25">
        <v>13344.109589041096</v>
      </c>
      <c r="CV8" s="25">
        <v>14269.589041095887</v>
      </c>
      <c r="CW8" s="25">
        <v>14971.232876712325</v>
      </c>
      <c r="CX8" s="25">
        <v>15862.191780821917</v>
      </c>
      <c r="CY8" s="25">
        <v>16624.931506849316</v>
      </c>
      <c r="CZ8" s="25">
        <v>13244.657534246579</v>
      </c>
      <c r="DA8" s="25">
        <v>13314.794520547948</v>
      </c>
      <c r="DB8" s="25">
        <v>13268.219178082192</v>
      </c>
      <c r="DC8" s="25">
        <v>13804.109589041094</v>
      </c>
      <c r="DD8" s="25">
        <v>14893.698630136983</v>
      </c>
      <c r="DE8" s="25">
        <v>13244.383561643837</v>
      </c>
      <c r="DF8" s="25">
        <v>13921.369863013699</v>
      </c>
      <c r="DG8" s="25">
        <v>13240.821917808218</v>
      </c>
      <c r="DH8" s="25">
        <v>12778.904109589048</v>
      </c>
      <c r="DI8" s="25">
        <v>14178.904109589042</v>
      </c>
      <c r="DJ8" s="25">
        <v>14236.438356164386</v>
      </c>
      <c r="DK8" s="25">
        <v>14194.794520547946</v>
      </c>
      <c r="DL8" s="25">
        <v>13757.260273972604</v>
      </c>
      <c r="DM8" s="25">
        <v>15706.301369863015</v>
      </c>
      <c r="DN8" s="25">
        <v>14518.082191780823</v>
      </c>
      <c r="DO8" s="6">
        <f t="shared" si="0"/>
        <v>13869.4</v>
      </c>
    </row>
    <row r="9" spans="2:119" ht="13.4" customHeight="1" x14ac:dyDescent="0.25">
      <c r="B9" s="19" t="s">
        <v>27</v>
      </c>
      <c r="C9" s="20">
        <v>1000</v>
      </c>
      <c r="E9" s="27">
        <v>5</v>
      </c>
      <c r="F9" s="6">
        <f t="shared" ca="1" si="1"/>
        <v>110</v>
      </c>
      <c r="G9" s="6">
        <f t="shared" ca="1" si="5"/>
        <v>680</v>
      </c>
      <c r="H9" s="6">
        <f t="shared" ca="1" si="6"/>
        <v>570</v>
      </c>
      <c r="I9" s="6">
        <f t="shared" ca="1" si="7"/>
        <v>0</v>
      </c>
      <c r="J9" s="6">
        <f t="shared" ca="1" si="8"/>
        <v>0</v>
      </c>
      <c r="K9" s="6">
        <f t="shared" ca="1" si="2"/>
        <v>0</v>
      </c>
      <c r="L9" s="6">
        <f t="shared" ca="1" si="3"/>
        <v>0</v>
      </c>
      <c r="M9" s="20">
        <f t="shared" ca="1" si="4"/>
        <v>15.616438356164382</v>
      </c>
      <c r="O9" s="20">
        <v>1200</v>
      </c>
      <c r="P9" s="6">
        <v>13375.616438356163</v>
      </c>
      <c r="R9" s="20">
        <v>1200</v>
      </c>
      <c r="S9" s="25">
        <v>12846.301369863013</v>
      </c>
      <c r="T9" s="25">
        <v>14749.315068493153</v>
      </c>
      <c r="U9" s="25">
        <v>13796.164383561647</v>
      </c>
      <c r="V9" s="25">
        <v>15590.136986301375</v>
      </c>
      <c r="W9" s="25">
        <v>12396.438356164388</v>
      </c>
      <c r="X9" s="25">
        <v>13178.35616438356</v>
      </c>
      <c r="Y9" s="25">
        <v>13806.849315068495</v>
      </c>
      <c r="Z9" s="25">
        <v>12665.205479452055</v>
      </c>
      <c r="AA9" s="25">
        <v>14799.726027397264</v>
      </c>
      <c r="AB9" s="25">
        <v>13655.068493150684</v>
      </c>
      <c r="AC9" s="25">
        <v>16079.999999999996</v>
      </c>
      <c r="AD9" s="25">
        <v>12653.424657534249</v>
      </c>
      <c r="AE9" s="25">
        <v>13166.84931506849</v>
      </c>
      <c r="AF9" s="25">
        <v>12636.986301369863</v>
      </c>
      <c r="AG9" s="25">
        <v>12366.027397260281</v>
      </c>
      <c r="AH9" s="25">
        <v>14644.931506849316</v>
      </c>
      <c r="AI9" s="25">
        <v>13655.342465753423</v>
      </c>
      <c r="AJ9" s="25">
        <v>13361.917808219176</v>
      </c>
      <c r="AK9" s="25">
        <v>13785.205479452059</v>
      </c>
      <c r="AL9" s="25">
        <v>14313.972602739726</v>
      </c>
      <c r="AM9" s="25">
        <v>12192.054794520544</v>
      </c>
      <c r="AN9" s="25">
        <v>13945.205479452054</v>
      </c>
      <c r="AO9" s="25">
        <v>12403.835616438355</v>
      </c>
      <c r="AP9" s="25">
        <v>13600.821917808222</v>
      </c>
      <c r="AQ9" s="25">
        <v>12801.643835616436</v>
      </c>
      <c r="AR9" s="25">
        <v>13829.589041095891</v>
      </c>
      <c r="AS9" s="25">
        <v>13126.301369863009</v>
      </c>
      <c r="AT9" s="25">
        <v>13302.191780821919</v>
      </c>
      <c r="AU9" s="25">
        <v>13854.79452054795</v>
      </c>
      <c r="AV9" s="25">
        <v>13720.273972602739</v>
      </c>
      <c r="AW9" s="25">
        <v>13649.041095890412</v>
      </c>
      <c r="AX9" s="25">
        <v>12866.575342465756</v>
      </c>
      <c r="AY9" s="25">
        <v>12881.095890410961</v>
      </c>
      <c r="AZ9" s="25">
        <v>14850.410958904111</v>
      </c>
      <c r="BA9" s="25">
        <v>12813.698630136989</v>
      </c>
      <c r="BB9" s="25">
        <v>14098.630136986299</v>
      </c>
      <c r="BC9" s="25">
        <v>13106.849315068492</v>
      </c>
      <c r="BD9" s="25">
        <v>12796.438356164381</v>
      </c>
      <c r="BE9" s="25">
        <v>12339.452054794519</v>
      </c>
      <c r="BF9" s="25">
        <v>12637.808219178081</v>
      </c>
      <c r="BG9" s="25">
        <v>13687.945205479453</v>
      </c>
      <c r="BH9" s="25">
        <v>13195.890410958902</v>
      </c>
      <c r="BI9" s="25">
        <v>13449.863013698625</v>
      </c>
      <c r="BJ9" s="25">
        <v>13813.15068493151</v>
      </c>
      <c r="BK9" s="25">
        <v>13111.506849315068</v>
      </c>
      <c r="BL9" s="25">
        <v>14625.205479452055</v>
      </c>
      <c r="BM9" s="25">
        <v>12161.643835616444</v>
      </c>
      <c r="BN9" s="25">
        <v>12661.917808219187</v>
      </c>
      <c r="BO9" s="25">
        <v>13161.369863013701</v>
      </c>
      <c r="BP9" s="25">
        <v>14554.520547945202</v>
      </c>
      <c r="BQ9" s="25">
        <v>13355.068493150684</v>
      </c>
      <c r="BR9" s="25">
        <v>12760.821917808222</v>
      </c>
      <c r="BS9" s="25">
        <v>13267.397260273974</v>
      </c>
      <c r="BT9" s="25">
        <v>15272.054794520547</v>
      </c>
      <c r="BU9" s="25">
        <v>14421.369863013701</v>
      </c>
      <c r="BV9" s="25">
        <v>12835.068493150684</v>
      </c>
      <c r="BW9" s="25">
        <v>12612.876712328773</v>
      </c>
      <c r="BX9" s="25">
        <v>15543.287671232876</v>
      </c>
      <c r="BY9" s="25">
        <v>13808.219178082189</v>
      </c>
      <c r="BZ9" s="25">
        <v>14626.02739726027</v>
      </c>
      <c r="CA9" s="25">
        <v>13645.479452054795</v>
      </c>
      <c r="CB9" s="25">
        <v>15166.027397260274</v>
      </c>
      <c r="CC9" s="25">
        <v>12226.027397260277</v>
      </c>
      <c r="CD9" s="25">
        <v>13295.890410958902</v>
      </c>
      <c r="CE9" s="25">
        <v>15610.136986301372</v>
      </c>
      <c r="CF9" s="25">
        <v>15132.602739726026</v>
      </c>
      <c r="CG9" s="25">
        <v>13763.835616438351</v>
      </c>
      <c r="CH9" s="25">
        <v>15326.849315068492</v>
      </c>
      <c r="CI9" s="25">
        <v>14351.232876712333</v>
      </c>
      <c r="CJ9" s="25">
        <v>13280.273972602739</v>
      </c>
      <c r="CK9" s="25">
        <v>14130.410958904113</v>
      </c>
      <c r="CL9" s="25">
        <v>14742.739726027399</v>
      </c>
      <c r="CM9" s="25">
        <v>13147.671232876715</v>
      </c>
      <c r="CN9" s="25">
        <v>12286.301369863009</v>
      </c>
      <c r="CO9" s="25">
        <v>14258.356164383564</v>
      </c>
      <c r="CP9" s="25">
        <v>12647.39726027398</v>
      </c>
      <c r="CQ9" s="25">
        <v>14086.027397260272</v>
      </c>
      <c r="CR9" s="25">
        <v>15880</v>
      </c>
      <c r="CS9" s="25">
        <v>12802.739726027401</v>
      </c>
      <c r="CT9" s="25">
        <v>12302.739726027397</v>
      </c>
      <c r="CU9" s="25">
        <v>12558.356164383566</v>
      </c>
      <c r="CV9" s="25">
        <v>12656.164383561645</v>
      </c>
      <c r="CW9" s="25">
        <v>14782.465753424654</v>
      </c>
      <c r="CX9" s="25">
        <v>13379.726027397264</v>
      </c>
      <c r="CY9" s="25">
        <v>13654.794520547945</v>
      </c>
      <c r="CZ9" s="25">
        <v>13158.082191780821</v>
      </c>
      <c r="DA9" s="25">
        <v>13177.534246575342</v>
      </c>
      <c r="DB9" s="25">
        <v>14733.972602739723</v>
      </c>
      <c r="DC9" s="25">
        <v>13193.698630136989</v>
      </c>
      <c r="DD9" s="25">
        <v>12399.178082191784</v>
      </c>
      <c r="DE9" s="25">
        <v>13637.534246575349</v>
      </c>
      <c r="DF9" s="25">
        <v>13164.383561643837</v>
      </c>
      <c r="DG9" s="25">
        <v>13358.082191780815</v>
      </c>
      <c r="DH9" s="25">
        <v>13105.753424657534</v>
      </c>
      <c r="DI9" s="25">
        <v>13050.95890410959</v>
      </c>
      <c r="DJ9" s="25">
        <v>14617.534246575346</v>
      </c>
      <c r="DK9" s="25">
        <v>13103.287671232876</v>
      </c>
      <c r="DL9" s="25">
        <v>12161.369863013701</v>
      </c>
      <c r="DM9" s="25">
        <v>13883.835616438355</v>
      </c>
      <c r="DN9" s="25">
        <v>13353.972602739726</v>
      </c>
      <c r="DO9" s="6">
        <f t="shared" si="0"/>
        <v>13571.035616438354</v>
      </c>
    </row>
    <row r="10" spans="2:119" ht="13.4" customHeight="1" x14ac:dyDescent="0.25">
      <c r="B10" s="8" t="s">
        <v>1</v>
      </c>
      <c r="E10" s="27">
        <v>6</v>
      </c>
      <c r="F10" s="6">
        <f t="shared" ca="1" si="1"/>
        <v>100</v>
      </c>
      <c r="G10" s="6">
        <f t="shared" ca="1" si="5"/>
        <v>570</v>
      </c>
      <c r="H10" s="6">
        <f t="shared" ca="1" si="6"/>
        <v>470</v>
      </c>
      <c r="I10" s="6">
        <f t="shared" ca="1" si="7"/>
        <v>0</v>
      </c>
      <c r="J10" s="6">
        <f t="shared" ca="1" si="8"/>
        <v>0</v>
      </c>
      <c r="K10" s="6">
        <f t="shared" ca="1" si="2"/>
        <v>0</v>
      </c>
      <c r="L10" s="6">
        <f t="shared" ca="1" si="3"/>
        <v>0</v>
      </c>
      <c r="M10" s="20">
        <f t="shared" ca="1" si="4"/>
        <v>12.876712328767123</v>
      </c>
      <c r="O10" s="20">
        <v>1300</v>
      </c>
      <c r="P10" s="6">
        <v>13675.342465753418</v>
      </c>
      <c r="R10" s="20">
        <v>1300</v>
      </c>
      <c r="S10" s="25">
        <v>13229.863013698628</v>
      </c>
      <c r="T10" s="25">
        <v>15318.630136986299</v>
      </c>
      <c r="U10" s="25">
        <v>14178.630136986299</v>
      </c>
      <c r="V10" s="25">
        <v>12249.04109589041</v>
      </c>
      <c r="W10" s="25">
        <v>14227.123287671235</v>
      </c>
      <c r="X10" s="25">
        <v>13157.534246575342</v>
      </c>
      <c r="Y10" s="25">
        <v>13862.739726027397</v>
      </c>
      <c r="Z10" s="25">
        <v>12294.520547945202</v>
      </c>
      <c r="AA10" s="25">
        <v>12793.972602739723</v>
      </c>
      <c r="AB10" s="25">
        <v>13225.753424657534</v>
      </c>
      <c r="AC10" s="25">
        <v>12803.561643835614</v>
      </c>
      <c r="AD10" s="25">
        <v>13660.547945205479</v>
      </c>
      <c r="AE10" s="25">
        <v>13793.150684931508</v>
      </c>
      <c r="AF10" s="25">
        <v>12720.273972602739</v>
      </c>
      <c r="AG10" s="25">
        <v>15672.60273972603</v>
      </c>
      <c r="AH10" s="25">
        <v>14345.205479452052</v>
      </c>
      <c r="AI10" s="25">
        <v>13273.972602739725</v>
      </c>
      <c r="AJ10" s="25">
        <v>12677.534246575344</v>
      </c>
      <c r="AK10" s="25">
        <v>12740.273972602738</v>
      </c>
      <c r="AL10" s="25">
        <v>13225.479452054798</v>
      </c>
      <c r="AM10" s="25">
        <v>13315.068493150684</v>
      </c>
      <c r="AN10" s="25">
        <v>13716.986301369861</v>
      </c>
      <c r="AO10" s="25">
        <v>14099.178082191784</v>
      </c>
      <c r="AP10" s="25">
        <v>13313.424657534251</v>
      </c>
      <c r="AQ10" s="25">
        <v>13166.027397260277</v>
      </c>
      <c r="AR10" s="25">
        <v>13890.136986301372</v>
      </c>
      <c r="AS10" s="25">
        <v>13634.246575342469</v>
      </c>
      <c r="AT10" s="25">
        <v>14060.547945205482</v>
      </c>
      <c r="AU10" s="25">
        <v>13344.383561643834</v>
      </c>
      <c r="AV10" s="25">
        <v>12772.876712328769</v>
      </c>
      <c r="AW10" s="25">
        <v>14680.547945205479</v>
      </c>
      <c r="AX10" s="25">
        <v>14244.109589041091</v>
      </c>
      <c r="AY10" s="25">
        <v>13721.095890410958</v>
      </c>
      <c r="AZ10" s="25">
        <v>13647.945205479449</v>
      </c>
      <c r="BA10" s="25">
        <v>15712.602739726026</v>
      </c>
      <c r="BB10" s="25">
        <v>13173.972602739728</v>
      </c>
      <c r="BC10" s="25">
        <v>13739.726027397261</v>
      </c>
      <c r="BD10" s="25">
        <v>14693.972602739726</v>
      </c>
      <c r="BE10" s="25">
        <v>13740.821917808218</v>
      </c>
      <c r="BF10" s="25">
        <v>12797.808219178081</v>
      </c>
      <c r="BG10" s="25">
        <v>12798.356164383562</v>
      </c>
      <c r="BH10" s="25">
        <v>14239.178082191784</v>
      </c>
      <c r="BI10" s="25">
        <v>15221.917808219176</v>
      </c>
      <c r="BJ10" s="25">
        <v>13207.945205479453</v>
      </c>
      <c r="BK10" s="25">
        <v>14712.328767123292</v>
      </c>
      <c r="BL10" s="25">
        <v>15235.616438356165</v>
      </c>
      <c r="BM10" s="25">
        <v>13290.410958904109</v>
      </c>
      <c r="BN10" s="25">
        <v>13304.65753424658</v>
      </c>
      <c r="BO10" s="25">
        <v>14196.712328767124</v>
      </c>
      <c r="BP10" s="25">
        <v>14263.835616438359</v>
      </c>
      <c r="BQ10" s="25">
        <v>13293.972602739723</v>
      </c>
      <c r="BR10" s="25">
        <v>12706.849315068494</v>
      </c>
      <c r="BS10" s="25">
        <v>14212.054794520547</v>
      </c>
      <c r="BT10" s="25">
        <v>13781.095890410954</v>
      </c>
      <c r="BU10" s="25">
        <v>13298.630136986298</v>
      </c>
      <c r="BV10" s="25">
        <v>13185.479452054791</v>
      </c>
      <c r="BW10" s="25">
        <v>13694.520547945202</v>
      </c>
      <c r="BX10" s="25">
        <v>13298.35616438356</v>
      </c>
      <c r="BY10" s="25">
        <v>13192.876712328771</v>
      </c>
      <c r="BZ10" s="25">
        <v>14318.082191780821</v>
      </c>
      <c r="CA10" s="25">
        <v>15798.35616438356</v>
      </c>
      <c r="CB10" s="25">
        <v>14305.205479452052</v>
      </c>
      <c r="CC10" s="25">
        <v>13310.136986301377</v>
      </c>
      <c r="CD10" s="25">
        <v>13268.493150684932</v>
      </c>
      <c r="CE10" s="25">
        <v>13770.68493150685</v>
      </c>
      <c r="CF10" s="25">
        <v>13283.835616438355</v>
      </c>
      <c r="CG10" s="25">
        <v>14753.698630136985</v>
      </c>
      <c r="CH10" s="25">
        <v>13760.821917808222</v>
      </c>
      <c r="CI10" s="25">
        <v>12701.369863013701</v>
      </c>
      <c r="CJ10" s="25">
        <v>12217.808219178081</v>
      </c>
      <c r="CK10" s="25">
        <v>12761.643835616444</v>
      </c>
      <c r="CL10" s="25">
        <v>12711.506849315068</v>
      </c>
      <c r="CM10" s="25">
        <v>14237.26027397261</v>
      </c>
      <c r="CN10" s="25">
        <v>13224.931506849309</v>
      </c>
      <c r="CO10" s="25">
        <v>12267.123287671233</v>
      </c>
      <c r="CP10" s="25">
        <v>15209.863013698634</v>
      </c>
      <c r="CQ10" s="25">
        <v>12752.87671232876</v>
      </c>
      <c r="CR10" s="25">
        <v>13328.767123287671</v>
      </c>
      <c r="CS10" s="25">
        <v>13235.890410958909</v>
      </c>
      <c r="CT10" s="25">
        <v>13731.780821917806</v>
      </c>
      <c r="CU10" s="25">
        <v>13207.123287671227</v>
      </c>
      <c r="CV10" s="25">
        <v>15182.739726027397</v>
      </c>
      <c r="CW10" s="25">
        <v>13861.369863013704</v>
      </c>
      <c r="CX10" s="25">
        <v>12219.726027397259</v>
      </c>
      <c r="CY10" s="25">
        <v>14870.410958904107</v>
      </c>
      <c r="CZ10" s="25">
        <v>12750.13698630137</v>
      </c>
      <c r="DA10" s="25">
        <v>13290.410958904107</v>
      </c>
      <c r="DB10" s="25">
        <v>13275.890410958902</v>
      </c>
      <c r="DC10" s="25">
        <v>12367.945205479453</v>
      </c>
      <c r="DD10" s="25">
        <v>13731.232876712329</v>
      </c>
      <c r="DE10" s="25">
        <v>12793.698630136987</v>
      </c>
      <c r="DF10" s="25">
        <v>12363.01369863014</v>
      </c>
      <c r="DG10" s="25">
        <v>12305.479452054797</v>
      </c>
      <c r="DH10" s="25">
        <v>12787.397260273969</v>
      </c>
      <c r="DI10" s="25">
        <v>13885.753424657541</v>
      </c>
      <c r="DJ10" s="25">
        <v>12277.534246575346</v>
      </c>
      <c r="DK10" s="25">
        <v>12679.726027397253</v>
      </c>
      <c r="DL10" s="25">
        <v>12801.643835616436</v>
      </c>
      <c r="DM10" s="25">
        <v>13287.39726027397</v>
      </c>
      <c r="DN10" s="25">
        <v>12793.150684931501</v>
      </c>
      <c r="DO10" s="6">
        <f t="shared" si="0"/>
        <v>13537.326027397263</v>
      </c>
    </row>
    <row r="11" spans="2:119" ht="13.4" customHeight="1" x14ac:dyDescent="0.25">
      <c r="B11" s="19" t="s">
        <v>28</v>
      </c>
      <c r="C11" s="6">
        <f ca="1">K1</f>
        <v>500</v>
      </c>
      <c r="E11" s="27">
        <v>7</v>
      </c>
      <c r="F11" s="6">
        <f t="shared" ca="1" si="1"/>
        <v>110</v>
      </c>
      <c r="G11" s="6">
        <f t="shared" ca="1" si="5"/>
        <v>470</v>
      </c>
      <c r="H11" s="6">
        <f t="shared" ca="1" si="6"/>
        <v>360</v>
      </c>
      <c r="I11" s="6">
        <f t="shared" ca="1" si="7"/>
        <v>0</v>
      </c>
      <c r="J11" s="6">
        <f t="shared" ca="1" si="8"/>
        <v>0</v>
      </c>
      <c r="K11" s="6">
        <f t="shared" ca="1" si="2"/>
        <v>0</v>
      </c>
      <c r="L11" s="6">
        <f t="shared" ca="1" si="3"/>
        <v>0</v>
      </c>
      <c r="M11" s="20">
        <f t="shared" ca="1" si="4"/>
        <v>9.8630136986301373</v>
      </c>
      <c r="O11" s="20">
        <v>1400</v>
      </c>
      <c r="P11" s="6">
        <v>12402.191780821915</v>
      </c>
      <c r="R11" s="20">
        <v>1400</v>
      </c>
      <c r="S11" s="25">
        <v>12747.397260273972</v>
      </c>
      <c r="T11" s="25">
        <v>16253.424657534251</v>
      </c>
      <c r="U11" s="25">
        <v>12910.68493150685</v>
      </c>
      <c r="V11" s="25">
        <v>12880.273972602736</v>
      </c>
      <c r="W11" s="25">
        <v>14291.232876712325</v>
      </c>
      <c r="X11" s="25">
        <v>14346.849315068495</v>
      </c>
      <c r="Y11" s="25">
        <v>13360.821917808222</v>
      </c>
      <c r="Z11" s="25">
        <v>13817.808219178085</v>
      </c>
      <c r="AA11" s="25">
        <v>13824.65753424658</v>
      </c>
      <c r="AB11" s="25">
        <v>13327.123287671231</v>
      </c>
      <c r="AC11" s="25">
        <v>13007.39726027397</v>
      </c>
      <c r="AD11" s="25">
        <v>13330.410958904109</v>
      </c>
      <c r="AE11" s="25">
        <v>14359.726027397261</v>
      </c>
      <c r="AF11" s="25">
        <v>12855.342465753427</v>
      </c>
      <c r="AG11" s="25">
        <v>12815.068493150684</v>
      </c>
      <c r="AH11" s="25">
        <v>12911.50684931507</v>
      </c>
      <c r="AI11" s="25">
        <v>13356.164383561643</v>
      </c>
      <c r="AJ11" s="25">
        <v>14315.616438356163</v>
      </c>
      <c r="AK11" s="25">
        <v>12327.671232876717</v>
      </c>
      <c r="AL11" s="25">
        <v>13879.999999999996</v>
      </c>
      <c r="AM11" s="25">
        <v>13884.931506849314</v>
      </c>
      <c r="AN11" s="25">
        <v>12863.835616438351</v>
      </c>
      <c r="AO11" s="25">
        <v>13848.219178082189</v>
      </c>
      <c r="AP11" s="25">
        <v>12768.767123287675</v>
      </c>
      <c r="AQ11" s="25">
        <v>12385.205479452048</v>
      </c>
      <c r="AR11" s="25">
        <v>13499.178082191782</v>
      </c>
      <c r="AS11" s="25">
        <v>12879.726027397261</v>
      </c>
      <c r="AT11" s="25">
        <v>13372.32876712329</v>
      </c>
      <c r="AU11" s="25">
        <v>13910.958904109582</v>
      </c>
      <c r="AV11" s="25">
        <v>13869.589041095891</v>
      </c>
      <c r="AW11" s="25">
        <v>12718.630136986299</v>
      </c>
      <c r="AX11" s="25">
        <v>14292.054794520547</v>
      </c>
      <c r="AY11" s="25">
        <v>13924.931506849314</v>
      </c>
      <c r="AZ11" s="25">
        <v>13846.849315068492</v>
      </c>
      <c r="BA11" s="25">
        <v>12396.164383561641</v>
      </c>
      <c r="BB11" s="25">
        <v>13308.219178082192</v>
      </c>
      <c r="BC11" s="25">
        <v>13418.630136986299</v>
      </c>
      <c r="BD11" s="25">
        <v>12870.684931506848</v>
      </c>
      <c r="BE11" s="25">
        <v>13369.04109589041</v>
      </c>
      <c r="BF11" s="25">
        <v>13810.136986301372</v>
      </c>
      <c r="BG11" s="25">
        <v>12860.821917808214</v>
      </c>
      <c r="BH11" s="25">
        <v>15378.356164383562</v>
      </c>
      <c r="BI11" s="25">
        <v>12991.506849315072</v>
      </c>
      <c r="BJ11" s="25">
        <v>13421.369863013704</v>
      </c>
      <c r="BK11" s="25">
        <v>13393.972602739726</v>
      </c>
      <c r="BL11" s="25">
        <v>13387.67123287671</v>
      </c>
      <c r="BM11" s="25">
        <v>13873.15068493151</v>
      </c>
      <c r="BN11" s="25">
        <v>13962.739726027397</v>
      </c>
      <c r="BO11" s="25">
        <v>15433.698630136983</v>
      </c>
      <c r="BP11" s="25">
        <v>12454.794520547941</v>
      </c>
      <c r="BQ11" s="25">
        <v>13859.178082191782</v>
      </c>
      <c r="BR11" s="25">
        <v>14326.849315068494</v>
      </c>
      <c r="BS11" s="25">
        <v>12836.98630136986</v>
      </c>
      <c r="BT11" s="25">
        <v>13867.945205479449</v>
      </c>
      <c r="BU11" s="25">
        <v>13007.945205479456</v>
      </c>
      <c r="BV11" s="25">
        <v>13917.260273972603</v>
      </c>
      <c r="BW11" s="25">
        <v>13315.068493150688</v>
      </c>
      <c r="BX11" s="25">
        <v>13347.397260273974</v>
      </c>
      <c r="BY11" s="25">
        <v>12366.027397260275</v>
      </c>
      <c r="BZ11" s="25">
        <v>13754.794520547941</v>
      </c>
      <c r="CA11" s="25">
        <v>12837.534246575346</v>
      </c>
      <c r="CB11" s="25">
        <v>12505.479452054798</v>
      </c>
      <c r="CC11" s="25">
        <v>12867.123287671235</v>
      </c>
      <c r="CD11" s="25">
        <v>13940.82191780822</v>
      </c>
      <c r="CE11" s="25">
        <v>13784.931506849316</v>
      </c>
      <c r="CF11" s="25">
        <v>13924.383561643837</v>
      </c>
      <c r="CG11" s="25">
        <v>14916.438356164384</v>
      </c>
      <c r="CH11" s="25">
        <v>14373.150684931512</v>
      </c>
      <c r="CI11" s="25">
        <v>12838.904109589042</v>
      </c>
      <c r="CJ11" s="25">
        <v>12336.986301369858</v>
      </c>
      <c r="CK11" s="25">
        <v>14909.315068493153</v>
      </c>
      <c r="CL11" s="25">
        <v>12853.150684931505</v>
      </c>
      <c r="CM11" s="25">
        <v>14372.328767123294</v>
      </c>
      <c r="CN11" s="25">
        <v>13295.890410958906</v>
      </c>
      <c r="CO11" s="25">
        <v>12812.054794520544</v>
      </c>
      <c r="CP11" s="25">
        <v>13352.602739726026</v>
      </c>
      <c r="CQ11" s="25">
        <v>13323.013698630137</v>
      </c>
      <c r="CR11" s="25">
        <v>12955.34246575342</v>
      </c>
      <c r="CS11" s="25">
        <v>12799.178082191778</v>
      </c>
      <c r="CT11" s="25">
        <v>14825.205479452059</v>
      </c>
      <c r="CU11" s="25">
        <v>13848.219178082192</v>
      </c>
      <c r="CV11" s="25">
        <v>12361.369863013704</v>
      </c>
      <c r="CW11" s="25">
        <v>13946.301369863017</v>
      </c>
      <c r="CX11" s="25">
        <v>14807.123287671231</v>
      </c>
      <c r="CY11" s="25">
        <v>13316.438356164377</v>
      </c>
      <c r="CZ11" s="25">
        <v>12451.506849315063</v>
      </c>
      <c r="DA11" s="25">
        <v>14846.84931506849</v>
      </c>
      <c r="DB11" s="25">
        <v>13357.808219178087</v>
      </c>
      <c r="DC11" s="25">
        <v>13870.68493150685</v>
      </c>
      <c r="DD11" s="25">
        <v>13734.246575342466</v>
      </c>
      <c r="DE11" s="25">
        <v>13876.712328767122</v>
      </c>
      <c r="DF11" s="25">
        <v>12356.438356164392</v>
      </c>
      <c r="DG11" s="25">
        <v>16224.109589041098</v>
      </c>
      <c r="DH11" s="25">
        <v>12419.452054794521</v>
      </c>
      <c r="DI11" s="25">
        <v>14951.232876712331</v>
      </c>
      <c r="DJ11" s="25">
        <v>12768.219178082189</v>
      </c>
      <c r="DK11" s="25">
        <v>13415.342465753421</v>
      </c>
      <c r="DL11" s="25">
        <v>13467.397260273972</v>
      </c>
      <c r="DM11" s="25">
        <v>12879.178082191782</v>
      </c>
      <c r="DN11" s="25">
        <v>15229.589041095882</v>
      </c>
      <c r="DO11" s="6">
        <f t="shared" si="0"/>
        <v>13538.668493150692</v>
      </c>
    </row>
    <row r="12" spans="2:119" ht="12.75" customHeight="1" x14ac:dyDescent="0.25">
      <c r="B12" s="19" t="s">
        <v>29</v>
      </c>
      <c r="C12" s="6">
        <f ca="1">L1</f>
        <v>7600</v>
      </c>
      <c r="E12" s="27">
        <v>8</v>
      </c>
      <c r="F12" s="6">
        <f t="shared" ca="1" si="1"/>
        <v>100</v>
      </c>
      <c r="G12" s="6">
        <f t="shared" ca="1" si="5"/>
        <v>360</v>
      </c>
      <c r="H12" s="6">
        <f t="shared" ca="1" si="6"/>
        <v>260</v>
      </c>
      <c r="I12" s="6">
        <f t="shared" ca="1" si="7"/>
        <v>0</v>
      </c>
      <c r="J12" s="6">
        <f t="shared" ca="1" si="8"/>
        <v>0</v>
      </c>
      <c r="K12" s="6">
        <f t="shared" ca="1" si="2"/>
        <v>0</v>
      </c>
      <c r="L12" s="6">
        <f t="shared" ca="1" si="3"/>
        <v>0</v>
      </c>
      <c r="M12" s="20">
        <f t="shared" ca="1" si="4"/>
        <v>7.1232876712328768</v>
      </c>
      <c r="O12" s="20">
        <v>1500</v>
      </c>
      <c r="P12" s="6">
        <v>13544.383561643834</v>
      </c>
      <c r="R12" s="20">
        <v>1500</v>
      </c>
      <c r="S12" s="25">
        <v>13465.479452054791</v>
      </c>
      <c r="T12" s="25">
        <v>13896.98630136986</v>
      </c>
      <c r="U12" s="25">
        <v>14938.630136986301</v>
      </c>
      <c r="V12" s="25">
        <v>13566.575342465749</v>
      </c>
      <c r="W12" s="25">
        <v>12522.739726027397</v>
      </c>
      <c r="X12" s="25">
        <v>14302.19178082192</v>
      </c>
      <c r="Y12" s="25">
        <v>12435.342465753427</v>
      </c>
      <c r="Z12" s="25">
        <v>14437.808219178078</v>
      </c>
      <c r="AA12" s="25">
        <v>12988.219178082192</v>
      </c>
      <c r="AB12" s="25">
        <v>15575.8904109589</v>
      </c>
      <c r="AC12" s="25">
        <v>13110.136986301372</v>
      </c>
      <c r="AD12" s="25">
        <v>13427.123287671235</v>
      </c>
      <c r="AE12" s="25">
        <v>13271.506849315065</v>
      </c>
      <c r="AF12" s="25">
        <v>13582.191780821915</v>
      </c>
      <c r="AG12" s="25">
        <v>14026.575342465756</v>
      </c>
      <c r="AH12" s="25">
        <v>13478.35616438356</v>
      </c>
      <c r="AI12" s="25">
        <v>13026.575342465756</v>
      </c>
      <c r="AJ12" s="25">
        <v>14569.04109589041</v>
      </c>
      <c r="AK12" s="25">
        <v>13439.726027397261</v>
      </c>
      <c r="AL12" s="25">
        <v>13452.054794520547</v>
      </c>
      <c r="AM12" s="25">
        <v>12477.260273972595</v>
      </c>
      <c r="AN12" s="25">
        <v>13044.383561643834</v>
      </c>
      <c r="AO12" s="25">
        <v>13483.835616438355</v>
      </c>
      <c r="AP12" s="25">
        <v>13448.767123287675</v>
      </c>
      <c r="AQ12" s="25">
        <v>13063.287671232874</v>
      </c>
      <c r="AR12" s="25">
        <v>13596.164383561649</v>
      </c>
      <c r="AS12" s="25">
        <v>13444.931506849316</v>
      </c>
      <c r="AT12" s="25">
        <v>14481.643835616436</v>
      </c>
      <c r="AU12" s="25">
        <v>12548.493150684933</v>
      </c>
      <c r="AV12" s="25">
        <v>13389.589041095889</v>
      </c>
      <c r="AW12" s="25">
        <v>14481.369863013697</v>
      </c>
      <c r="AX12" s="25">
        <v>12632.32876712329</v>
      </c>
      <c r="AY12" s="25">
        <v>12961.643835616436</v>
      </c>
      <c r="AZ12" s="25">
        <v>13507.945205479458</v>
      </c>
      <c r="BA12" s="25">
        <v>12463.01369863014</v>
      </c>
      <c r="BB12" s="25">
        <v>14565.479452054789</v>
      </c>
      <c r="BC12" s="25">
        <v>14039.726027397257</v>
      </c>
      <c r="BD12" s="25">
        <v>13521.917808219176</v>
      </c>
      <c r="BE12" s="25">
        <v>12878.630136986307</v>
      </c>
      <c r="BF12" s="25">
        <v>13527.397260273967</v>
      </c>
      <c r="BG12" s="25">
        <v>14547.671232876713</v>
      </c>
      <c r="BH12" s="25">
        <v>13365.205479452055</v>
      </c>
      <c r="BI12" s="25">
        <v>13886.027397260274</v>
      </c>
      <c r="BJ12" s="25">
        <v>13497.260273972603</v>
      </c>
      <c r="BK12" s="25">
        <v>12907.671232876712</v>
      </c>
      <c r="BL12" s="25">
        <v>14452.054794520544</v>
      </c>
      <c r="BM12" s="25">
        <v>13465.205479452055</v>
      </c>
      <c r="BN12" s="25">
        <v>15439.726027397261</v>
      </c>
      <c r="BO12" s="25">
        <v>13855.342465753431</v>
      </c>
      <c r="BP12" s="25">
        <v>14384.931506849312</v>
      </c>
      <c r="BQ12" s="25">
        <v>13481.095890410958</v>
      </c>
      <c r="BR12" s="25">
        <v>13545.479452054797</v>
      </c>
      <c r="BS12" s="25">
        <v>13578.904109589042</v>
      </c>
      <c r="BT12" s="25">
        <v>12983.561643835616</v>
      </c>
      <c r="BU12" s="25">
        <v>13051.780821917815</v>
      </c>
      <c r="BV12" s="25">
        <v>12981.095890410956</v>
      </c>
      <c r="BW12" s="25">
        <v>13512.602739726026</v>
      </c>
      <c r="BX12" s="25">
        <v>13026.027397260274</v>
      </c>
      <c r="BY12" s="25">
        <v>12518.630136986299</v>
      </c>
      <c r="BZ12" s="25">
        <v>15476.438356164386</v>
      </c>
      <c r="CA12" s="25">
        <v>12545.205479452055</v>
      </c>
      <c r="CB12" s="25">
        <v>13526.575342465756</v>
      </c>
      <c r="CC12" s="25">
        <v>15932.60273972603</v>
      </c>
      <c r="CD12" s="25">
        <v>13990.136986301373</v>
      </c>
      <c r="CE12" s="25">
        <v>12846.849315068497</v>
      </c>
      <c r="CF12" s="25">
        <v>12990.95890410959</v>
      </c>
      <c r="CG12" s="25">
        <v>13155.890410958902</v>
      </c>
      <c r="CH12" s="25">
        <v>12932.876712328765</v>
      </c>
      <c r="CI12" s="25">
        <v>13890.958904109586</v>
      </c>
      <c r="CJ12" s="25">
        <v>13414.246575342462</v>
      </c>
      <c r="CK12" s="25">
        <v>13040.547945205482</v>
      </c>
      <c r="CL12" s="25">
        <v>14022.46575342466</v>
      </c>
      <c r="CM12" s="25">
        <v>13423.835616438359</v>
      </c>
      <c r="CN12" s="25">
        <v>13533.972602739732</v>
      </c>
      <c r="CO12" s="25">
        <v>12507.671232876717</v>
      </c>
      <c r="CP12" s="25">
        <v>13455.61643835617</v>
      </c>
      <c r="CQ12" s="25">
        <v>13932.602739726028</v>
      </c>
      <c r="CR12" s="25">
        <v>14084.657534246579</v>
      </c>
      <c r="CS12" s="25">
        <v>13038.904109589044</v>
      </c>
      <c r="CT12" s="25">
        <v>12973.698630136987</v>
      </c>
      <c r="CU12" s="25">
        <v>12972.32876712329</v>
      </c>
      <c r="CV12" s="25">
        <v>13506.575342465749</v>
      </c>
      <c r="CW12" s="25">
        <v>14374.794520547945</v>
      </c>
      <c r="CX12" s="25">
        <v>12932.876712328773</v>
      </c>
      <c r="CY12" s="25">
        <v>14938.082191780824</v>
      </c>
      <c r="CZ12" s="25">
        <v>13903.561643835614</v>
      </c>
      <c r="DA12" s="25">
        <v>13898.356164383564</v>
      </c>
      <c r="DB12" s="25">
        <v>13921.095890410956</v>
      </c>
      <c r="DC12" s="25">
        <v>13567.945205479449</v>
      </c>
      <c r="DD12" s="25">
        <v>13554.520547945209</v>
      </c>
      <c r="DE12" s="25">
        <v>14409.31506849315</v>
      </c>
      <c r="DF12" s="25">
        <v>14369.04109589041</v>
      </c>
      <c r="DG12" s="25">
        <v>12540</v>
      </c>
      <c r="DH12" s="25">
        <v>12941.369863013701</v>
      </c>
      <c r="DI12" s="25">
        <v>14590.136986301368</v>
      </c>
      <c r="DJ12" s="25">
        <v>12640.821917808216</v>
      </c>
      <c r="DK12" s="25">
        <v>12895.890410958906</v>
      </c>
      <c r="DL12" s="25">
        <v>14051.506849315074</v>
      </c>
      <c r="DM12" s="25">
        <v>12685.479452054797</v>
      </c>
      <c r="DN12" s="25">
        <v>13917.260273972606</v>
      </c>
      <c r="DO12" s="6">
        <f t="shared" si="0"/>
        <v>13568.789041095881</v>
      </c>
    </row>
    <row r="13" spans="2:119" ht="13.4" customHeight="1" x14ac:dyDescent="0.25">
      <c r="B13" s="19" t="s">
        <v>30</v>
      </c>
      <c r="C13" s="6">
        <f ca="1">M1</f>
        <v>5032.602739726025</v>
      </c>
      <c r="E13" s="27">
        <v>9</v>
      </c>
      <c r="F13" s="6">
        <f t="shared" ca="1" si="1"/>
        <v>90</v>
      </c>
      <c r="G13" s="6">
        <f t="shared" ca="1" si="5"/>
        <v>260</v>
      </c>
      <c r="H13" s="6">
        <f t="shared" ca="1" si="6"/>
        <v>170</v>
      </c>
      <c r="I13" s="6">
        <f t="shared" ca="1" si="7"/>
        <v>0</v>
      </c>
      <c r="J13" s="6">
        <f t="shared" ca="1" si="8"/>
        <v>0</v>
      </c>
      <c r="K13" s="6">
        <f t="shared" ca="1" si="2"/>
        <v>0</v>
      </c>
      <c r="L13" s="6">
        <f t="shared" ca="1" si="3"/>
        <v>0</v>
      </c>
      <c r="M13" s="20">
        <f t="shared" ca="1" si="4"/>
        <v>4.6575342465753424</v>
      </c>
      <c r="O13" s="20">
        <v>1600</v>
      </c>
      <c r="P13" s="6">
        <v>14743.561643835612</v>
      </c>
      <c r="R13" s="20">
        <v>1600</v>
      </c>
      <c r="S13" s="25">
        <v>14806.301369863013</v>
      </c>
      <c r="T13" s="25">
        <v>13307.671232876715</v>
      </c>
      <c r="U13" s="25">
        <v>13748.49315068493</v>
      </c>
      <c r="V13" s="25">
        <v>13809.589041095887</v>
      </c>
      <c r="W13" s="25">
        <v>14725.479452054795</v>
      </c>
      <c r="X13" s="25">
        <v>12747.123287671229</v>
      </c>
      <c r="Y13" s="25">
        <v>14194.246575342469</v>
      </c>
      <c r="Z13" s="25">
        <v>12861.369863013704</v>
      </c>
      <c r="AA13" s="25">
        <v>13163.561643835612</v>
      </c>
      <c r="AB13" s="25">
        <v>13251.78082191781</v>
      </c>
      <c r="AC13" s="25">
        <v>14786.027397260277</v>
      </c>
      <c r="AD13" s="25">
        <v>15233.150684931505</v>
      </c>
      <c r="AE13" s="25">
        <v>12714.79452054795</v>
      </c>
      <c r="AF13" s="25">
        <v>14193.150684931506</v>
      </c>
      <c r="AG13" s="25">
        <v>12905.479452054791</v>
      </c>
      <c r="AH13" s="25">
        <v>13147.397260273978</v>
      </c>
      <c r="AI13" s="25">
        <v>13849.863013698632</v>
      </c>
      <c r="AJ13" s="25">
        <v>13643.835616438355</v>
      </c>
      <c r="AK13" s="25">
        <v>12447.67123287671</v>
      </c>
      <c r="AL13" s="25">
        <v>13361.643835616444</v>
      </c>
      <c r="AM13" s="25">
        <v>14303.835616438355</v>
      </c>
      <c r="AN13" s="25">
        <v>12756.712328767122</v>
      </c>
      <c r="AO13" s="25">
        <v>13241.917808219183</v>
      </c>
      <c r="AP13" s="25">
        <v>13858.082191780828</v>
      </c>
      <c r="AQ13" s="25">
        <v>12876.71232876712</v>
      </c>
      <c r="AR13" s="25">
        <v>12829.863013698628</v>
      </c>
      <c r="AS13" s="25">
        <v>13725.479452054791</v>
      </c>
      <c r="AT13" s="25">
        <v>14293.69863013698</v>
      </c>
      <c r="AU13" s="25">
        <v>12782.739726027397</v>
      </c>
      <c r="AV13" s="25">
        <v>12670.410958904115</v>
      </c>
      <c r="AW13" s="25">
        <v>13310.958904109586</v>
      </c>
      <c r="AX13" s="25">
        <v>13788.767123287669</v>
      </c>
      <c r="AY13" s="25">
        <v>13206.575342465752</v>
      </c>
      <c r="AZ13" s="25">
        <v>13795.616438356165</v>
      </c>
      <c r="BA13" s="25">
        <v>13178.082191780826</v>
      </c>
      <c r="BB13" s="25">
        <v>13236.164383561649</v>
      </c>
      <c r="BC13" s="25">
        <v>13836.164383561641</v>
      </c>
      <c r="BD13" s="25">
        <v>13720.547945205482</v>
      </c>
      <c r="BE13" s="25">
        <v>12904.931506849312</v>
      </c>
      <c r="BF13" s="25">
        <v>14683.835616438355</v>
      </c>
      <c r="BG13" s="25">
        <v>14179.178082191789</v>
      </c>
      <c r="BH13" s="25">
        <v>13208.767123287675</v>
      </c>
      <c r="BI13" s="25">
        <v>13619.17808219178</v>
      </c>
      <c r="BJ13" s="25">
        <v>13385.479452054791</v>
      </c>
      <c r="BK13" s="25">
        <v>13310.136986301366</v>
      </c>
      <c r="BL13" s="25">
        <v>14508.21917808219</v>
      </c>
      <c r="BM13" s="25">
        <v>13751.780821917811</v>
      </c>
      <c r="BN13" s="25">
        <v>13703.835616438359</v>
      </c>
      <c r="BO13" s="25">
        <v>16273.972602739726</v>
      </c>
      <c r="BP13" s="25">
        <v>13656.986301369863</v>
      </c>
      <c r="BQ13" s="25">
        <v>13686.849315068488</v>
      </c>
      <c r="BR13" s="25">
        <v>14800.547945205482</v>
      </c>
      <c r="BS13" s="25">
        <v>12883.835616438359</v>
      </c>
      <c r="BT13" s="25">
        <v>13687.123287671227</v>
      </c>
      <c r="BU13" s="25">
        <v>12860.000000000007</v>
      </c>
      <c r="BV13" s="25">
        <v>12777.260273972604</v>
      </c>
      <c r="BW13" s="25">
        <v>13261.64383561644</v>
      </c>
      <c r="BX13" s="25">
        <v>12735.34246575342</v>
      </c>
      <c r="BY13" s="25">
        <v>14976.164383561645</v>
      </c>
      <c r="BZ13" s="25">
        <v>12805.479452054788</v>
      </c>
      <c r="CA13" s="25">
        <v>13743.287671232876</v>
      </c>
      <c r="CB13" s="25">
        <v>13262.739726027397</v>
      </c>
      <c r="CC13" s="25">
        <v>13720.821917808218</v>
      </c>
      <c r="CD13" s="25">
        <v>13361.64383561644</v>
      </c>
      <c r="CE13" s="25">
        <v>13664.383561643832</v>
      </c>
      <c r="CF13" s="25">
        <v>12830.136986301372</v>
      </c>
      <c r="CG13" s="25">
        <v>12842.19178082191</v>
      </c>
      <c r="CH13" s="25">
        <v>13160.821917808218</v>
      </c>
      <c r="CI13" s="25">
        <v>13248.219178082192</v>
      </c>
      <c r="CJ13" s="25">
        <v>12762.465753424654</v>
      </c>
      <c r="CK13" s="25">
        <v>13720.82191780822</v>
      </c>
      <c r="CL13" s="25">
        <v>13809.04109589041</v>
      </c>
      <c r="CM13" s="25">
        <v>14371.232876712331</v>
      </c>
      <c r="CN13" s="25">
        <v>16685.753424657531</v>
      </c>
      <c r="CO13" s="25">
        <v>12766.575342465754</v>
      </c>
      <c r="CP13" s="25">
        <v>13666.849315068494</v>
      </c>
      <c r="CQ13" s="25">
        <v>13187.123287671229</v>
      </c>
      <c r="CR13" s="25">
        <v>12812.328767123287</v>
      </c>
      <c r="CS13" s="25">
        <v>13163.287671232873</v>
      </c>
      <c r="CT13" s="25">
        <v>13310.684931506847</v>
      </c>
      <c r="CU13" s="25">
        <v>13792.054794520547</v>
      </c>
      <c r="CV13" s="25">
        <v>13675.342465753425</v>
      </c>
      <c r="CW13" s="25">
        <v>13700.547945205479</v>
      </c>
      <c r="CX13" s="25">
        <v>13809.041095890414</v>
      </c>
      <c r="CY13" s="25">
        <v>13652.602739726028</v>
      </c>
      <c r="CZ13" s="25">
        <v>13183.835616438359</v>
      </c>
      <c r="DA13" s="25">
        <v>12794.246575342462</v>
      </c>
      <c r="DB13" s="25">
        <v>13880.273972602739</v>
      </c>
      <c r="DC13" s="25">
        <v>13747.671232876713</v>
      </c>
      <c r="DD13" s="25">
        <v>13669.041095890412</v>
      </c>
      <c r="DE13" s="25">
        <v>13243.013698630133</v>
      </c>
      <c r="DF13" s="25">
        <v>13726.02739726027</v>
      </c>
      <c r="DG13" s="25">
        <v>13823.835616438351</v>
      </c>
      <c r="DH13" s="25">
        <v>15261.09589041095</v>
      </c>
      <c r="DI13" s="25">
        <v>13766.849315068492</v>
      </c>
      <c r="DJ13" s="25">
        <v>13389.863013698634</v>
      </c>
      <c r="DK13" s="25">
        <v>14149.04109589041</v>
      </c>
      <c r="DL13" s="25">
        <v>13723.561643835612</v>
      </c>
      <c r="DM13" s="25">
        <v>13830.958904109591</v>
      </c>
      <c r="DN13" s="25">
        <v>14891.506849315068</v>
      </c>
      <c r="DO13" s="6">
        <f t="shared" si="0"/>
        <v>13617.723287671237</v>
      </c>
    </row>
    <row r="14" spans="2:119" ht="12.75" customHeight="1" x14ac:dyDescent="0.25">
      <c r="B14" s="26" t="s">
        <v>31</v>
      </c>
      <c r="C14" s="6">
        <f ca="1">C11+C12+C13</f>
        <v>13132.602739726026</v>
      </c>
      <c r="E14" s="27">
        <v>10</v>
      </c>
      <c r="F14" s="6">
        <f t="shared" ca="1" si="1"/>
        <v>110</v>
      </c>
      <c r="G14" s="6">
        <f t="shared" ca="1" si="5"/>
        <v>170</v>
      </c>
      <c r="H14" s="6">
        <f t="shared" ca="1" si="6"/>
        <v>60</v>
      </c>
      <c r="I14" s="6">
        <f t="shared" ca="1" si="7"/>
        <v>1</v>
      </c>
      <c r="J14" s="6">
        <f t="shared" ca="1" si="8"/>
        <v>0</v>
      </c>
      <c r="K14" s="6">
        <f t="shared" ca="1" si="2"/>
        <v>0</v>
      </c>
      <c r="L14" s="6">
        <f t="shared" ca="1" si="3"/>
        <v>200</v>
      </c>
      <c r="M14" s="20">
        <f t="shared" ca="1" si="4"/>
        <v>1.6438356164383561</v>
      </c>
      <c r="P14" s="30"/>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row>
    <row r="15" spans="2:119" ht="12.75" customHeight="1" x14ac:dyDescent="0.25">
      <c r="B15" s="1"/>
      <c r="E15" s="27">
        <v>11</v>
      </c>
      <c r="F15" s="6">
        <f t="shared" ca="1" si="1"/>
        <v>110</v>
      </c>
      <c r="G15" s="6">
        <f t="shared" ca="1" si="5"/>
        <v>1060</v>
      </c>
      <c r="H15" s="6">
        <f t="shared" ca="1" si="6"/>
        <v>950</v>
      </c>
      <c r="I15" s="6">
        <f t="shared" ca="1" si="7"/>
        <v>0</v>
      </c>
      <c r="J15" s="6">
        <f t="shared" ca="1" si="8"/>
        <v>0</v>
      </c>
      <c r="K15" s="6">
        <f t="shared" ca="1" si="2"/>
        <v>0</v>
      </c>
      <c r="L15" s="6">
        <f t="shared" ca="1" si="3"/>
        <v>0</v>
      </c>
      <c r="M15" s="20">
        <f t="shared" ca="1" si="4"/>
        <v>26.027397260273972</v>
      </c>
      <c r="O15" s="31" t="s">
        <v>32</v>
      </c>
      <c r="P15" s="32"/>
      <c r="Q15" s="1"/>
      <c r="R15" s="1" t="s">
        <v>33</v>
      </c>
      <c r="S15" s="1"/>
      <c r="T15" s="2"/>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row>
    <row r="16" spans="2:119" ht="12.75" customHeight="1" x14ac:dyDescent="0.25">
      <c r="B16" s="1" t="s">
        <v>34</v>
      </c>
      <c r="E16" s="27">
        <v>12</v>
      </c>
      <c r="F16" s="6">
        <f t="shared" ca="1" si="1"/>
        <v>90</v>
      </c>
      <c r="G16" s="6">
        <f t="shared" ca="1" si="5"/>
        <v>950</v>
      </c>
      <c r="H16" s="6">
        <f t="shared" ca="1" si="6"/>
        <v>860</v>
      </c>
      <c r="I16" s="6">
        <f t="shared" ca="1" si="7"/>
        <v>0</v>
      </c>
      <c r="J16" s="6">
        <f t="shared" ca="1" si="8"/>
        <v>0</v>
      </c>
      <c r="K16" s="6">
        <f t="shared" ca="1" si="2"/>
        <v>0</v>
      </c>
      <c r="L16" s="6">
        <f t="shared" ca="1" si="3"/>
        <v>0</v>
      </c>
      <c r="M16" s="20">
        <f t="shared" ca="1" si="4"/>
        <v>23.561643835616437</v>
      </c>
      <c r="O16" s="25">
        <f>$C$18</f>
        <v>1400</v>
      </c>
      <c r="P16" s="25">
        <v>24000</v>
      </c>
      <c r="Q16" s="1"/>
      <c r="R16" s="20" t="s">
        <v>35</v>
      </c>
      <c r="S16" s="20" t="s">
        <v>36</v>
      </c>
      <c r="T16" s="20" t="s">
        <v>37</v>
      </c>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row>
    <row r="17" spans="2:121" x14ac:dyDescent="0.25">
      <c r="B17" s="19" t="s">
        <v>38</v>
      </c>
      <c r="C17" s="6">
        <f>MIN(P3:P13)</f>
        <v>12402.191780821915</v>
      </c>
      <c r="E17" s="27">
        <v>13</v>
      </c>
      <c r="F17" s="6">
        <f t="shared" ca="1" si="1"/>
        <v>120</v>
      </c>
      <c r="G17" s="6">
        <f t="shared" ca="1" si="5"/>
        <v>860</v>
      </c>
      <c r="H17" s="6">
        <f t="shared" ca="1" si="6"/>
        <v>740</v>
      </c>
      <c r="I17" s="6">
        <f t="shared" ca="1" si="7"/>
        <v>0</v>
      </c>
      <c r="J17" s="6">
        <f t="shared" ca="1" si="8"/>
        <v>0</v>
      </c>
      <c r="K17" s="6">
        <f t="shared" ca="1" si="2"/>
        <v>0</v>
      </c>
      <c r="L17" s="6">
        <f t="shared" ca="1" si="3"/>
        <v>0</v>
      </c>
      <c r="M17" s="20">
        <f t="shared" ca="1" si="4"/>
        <v>20.273972602739725</v>
      </c>
      <c r="O17" s="25">
        <f t="shared" ref="O17:O18" si="9">$C$18</f>
        <v>1400</v>
      </c>
      <c r="P17" s="25">
        <f>C17</f>
        <v>12402.191780821915</v>
      </c>
      <c r="Q17" s="1"/>
      <c r="R17" s="20">
        <v>80</v>
      </c>
      <c r="S17" s="33">
        <v>0.1</v>
      </c>
      <c r="T17" s="33">
        <v>0</v>
      </c>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row>
    <row r="18" spans="2:121" ht="12.75" customHeight="1" x14ac:dyDescent="0.25">
      <c r="B18" s="19" t="s">
        <v>39</v>
      </c>
      <c r="C18" s="20">
        <f>INDEX(O3:O13,MATCH(C17,P3:P13,0))</f>
        <v>1400</v>
      </c>
      <c r="E18" s="27">
        <v>14</v>
      </c>
      <c r="F18" s="6">
        <f t="shared" ca="1" si="1"/>
        <v>100</v>
      </c>
      <c r="G18" s="6">
        <f t="shared" ca="1" si="5"/>
        <v>740</v>
      </c>
      <c r="H18" s="6">
        <f t="shared" ca="1" si="6"/>
        <v>640</v>
      </c>
      <c r="I18" s="6">
        <f t="shared" ca="1" si="7"/>
        <v>0</v>
      </c>
      <c r="J18" s="6">
        <f t="shared" ca="1" si="8"/>
        <v>0</v>
      </c>
      <c r="K18" s="6">
        <f t="shared" ca="1" si="2"/>
        <v>0</v>
      </c>
      <c r="L18" s="6">
        <f t="shared" ca="1" si="3"/>
        <v>0</v>
      </c>
      <c r="M18" s="20">
        <f t="shared" ca="1" si="4"/>
        <v>17.534246575342465</v>
      </c>
      <c r="O18" s="25">
        <f t="shared" si="9"/>
        <v>1400</v>
      </c>
      <c r="P18" s="25">
        <v>10000</v>
      </c>
      <c r="Q18" s="1"/>
      <c r="R18" s="20">
        <v>90</v>
      </c>
      <c r="S18" s="33">
        <v>0.2</v>
      </c>
      <c r="T18" s="33">
        <f>S17+T17</f>
        <v>0.1</v>
      </c>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row>
    <row r="19" spans="2:121" ht="12.75" customHeight="1" x14ac:dyDescent="0.25">
      <c r="B19" s="1"/>
      <c r="E19" s="27">
        <v>15</v>
      </c>
      <c r="F19" s="6">
        <f t="shared" ca="1" si="1"/>
        <v>110</v>
      </c>
      <c r="G19" s="6">
        <f t="shared" ca="1" si="5"/>
        <v>640</v>
      </c>
      <c r="H19" s="6">
        <f t="shared" ca="1" si="6"/>
        <v>530</v>
      </c>
      <c r="I19" s="6">
        <f t="shared" ca="1" si="7"/>
        <v>0</v>
      </c>
      <c r="J19" s="6">
        <f t="shared" ca="1" si="8"/>
        <v>0</v>
      </c>
      <c r="K19" s="6">
        <f t="shared" ca="1" si="2"/>
        <v>0</v>
      </c>
      <c r="L19" s="6">
        <f t="shared" ca="1" si="3"/>
        <v>0</v>
      </c>
      <c r="M19" s="20">
        <f t="shared" ca="1" si="4"/>
        <v>14.520547945205479</v>
      </c>
      <c r="P19" s="32"/>
      <c r="Q19" s="1"/>
      <c r="R19" s="20">
        <v>100</v>
      </c>
      <c r="S19" s="33">
        <v>0.25</v>
      </c>
      <c r="T19" s="33">
        <f t="shared" ref="T19:T22" si="10">S18+T18</f>
        <v>0.30000000000000004</v>
      </c>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row>
    <row r="20" spans="2:121" ht="12.75" customHeight="1" x14ac:dyDescent="0.25">
      <c r="B20" s="34" t="s">
        <v>40</v>
      </c>
      <c r="E20" s="27">
        <v>16</v>
      </c>
      <c r="F20" s="6">
        <f t="shared" ca="1" si="1"/>
        <v>90</v>
      </c>
      <c r="G20" s="6">
        <f t="shared" ca="1" si="5"/>
        <v>530</v>
      </c>
      <c r="H20" s="6">
        <f t="shared" ca="1" si="6"/>
        <v>440</v>
      </c>
      <c r="I20" s="6">
        <f t="shared" ca="1" si="7"/>
        <v>0</v>
      </c>
      <c r="J20" s="6">
        <f t="shared" ca="1" si="8"/>
        <v>0</v>
      </c>
      <c r="K20" s="6">
        <f t="shared" ca="1" si="2"/>
        <v>0</v>
      </c>
      <c r="L20" s="6">
        <f t="shared" ca="1" si="3"/>
        <v>0</v>
      </c>
      <c r="M20" s="20">
        <f t="shared" ca="1" si="4"/>
        <v>12.054794520547944</v>
      </c>
      <c r="O20" s="34" t="s">
        <v>40</v>
      </c>
      <c r="P20" s="32"/>
      <c r="Q20" s="35"/>
      <c r="R20" s="20">
        <v>110</v>
      </c>
      <c r="S20" s="33">
        <v>0.3</v>
      </c>
      <c r="T20" s="33">
        <f t="shared" si="10"/>
        <v>0.55000000000000004</v>
      </c>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row>
    <row r="21" spans="2:121" ht="13.4" customHeight="1" x14ac:dyDescent="0.25">
      <c r="B21" s="36" t="s">
        <v>38</v>
      </c>
      <c r="C21" s="6">
        <f>MIN(DO3:DO13)</f>
        <v>13537.326027397263</v>
      </c>
      <c r="E21" s="27">
        <v>17</v>
      </c>
      <c r="F21" s="6">
        <f t="shared" ca="1" si="1"/>
        <v>110</v>
      </c>
      <c r="G21" s="6">
        <f t="shared" ca="1" si="5"/>
        <v>440</v>
      </c>
      <c r="H21" s="6">
        <f t="shared" ca="1" si="6"/>
        <v>330</v>
      </c>
      <c r="I21" s="6">
        <f t="shared" ca="1" si="7"/>
        <v>0</v>
      </c>
      <c r="J21" s="6">
        <f t="shared" ca="1" si="8"/>
        <v>0</v>
      </c>
      <c r="K21" s="6">
        <f t="shared" ca="1" si="2"/>
        <v>0</v>
      </c>
      <c r="L21" s="6">
        <f t="shared" ca="1" si="3"/>
        <v>0</v>
      </c>
      <c r="M21" s="20">
        <f t="shared" ca="1" si="4"/>
        <v>9.0410958904109577</v>
      </c>
      <c r="O21" s="25">
        <f>$C$22</f>
        <v>1300</v>
      </c>
      <c r="P21" s="25">
        <v>24000</v>
      </c>
      <c r="Q21" s="35"/>
      <c r="R21" s="20">
        <v>120</v>
      </c>
      <c r="S21" s="33">
        <v>0.15</v>
      </c>
      <c r="T21" s="33">
        <f t="shared" si="10"/>
        <v>0.85000000000000009</v>
      </c>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row>
    <row r="22" spans="2:121" ht="13.4" customHeight="1" x14ac:dyDescent="0.25">
      <c r="B22" s="36" t="s">
        <v>39</v>
      </c>
      <c r="C22" s="20">
        <f>INDEX(R3:R13,MATCH(C21,DO3:DO13,0))</f>
        <v>1300</v>
      </c>
      <c r="E22" s="27">
        <v>18</v>
      </c>
      <c r="F22" s="6">
        <f t="shared" ca="1" si="1"/>
        <v>100</v>
      </c>
      <c r="G22" s="6">
        <f t="shared" ca="1" si="5"/>
        <v>330</v>
      </c>
      <c r="H22" s="6">
        <f t="shared" ca="1" si="6"/>
        <v>230</v>
      </c>
      <c r="I22" s="6">
        <f t="shared" ca="1" si="7"/>
        <v>0</v>
      </c>
      <c r="J22" s="6">
        <f t="shared" ca="1" si="8"/>
        <v>0</v>
      </c>
      <c r="K22" s="6">
        <f t="shared" ca="1" si="2"/>
        <v>0</v>
      </c>
      <c r="L22" s="6">
        <f t="shared" ca="1" si="3"/>
        <v>0</v>
      </c>
      <c r="M22" s="20">
        <f t="shared" ca="1" si="4"/>
        <v>6.3013698630136981</v>
      </c>
      <c r="O22" s="25">
        <f t="shared" ref="O22:O23" si="11">$C$22</f>
        <v>1300</v>
      </c>
      <c r="P22" s="25">
        <f>C21</f>
        <v>13537.326027397263</v>
      </c>
      <c r="S22" s="2"/>
      <c r="T22" s="33">
        <f t="shared" si="10"/>
        <v>1</v>
      </c>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row>
    <row r="23" spans="2:121" ht="13.4" customHeight="1" x14ac:dyDescent="0.25">
      <c r="B23" s="1"/>
      <c r="E23" s="27">
        <v>19</v>
      </c>
      <c r="F23" s="6">
        <f t="shared" ca="1" si="1"/>
        <v>90</v>
      </c>
      <c r="G23" s="6">
        <f t="shared" ca="1" si="5"/>
        <v>230</v>
      </c>
      <c r="H23" s="6">
        <f t="shared" ca="1" si="6"/>
        <v>140</v>
      </c>
      <c r="I23" s="6">
        <f t="shared" ca="1" si="7"/>
        <v>0</v>
      </c>
      <c r="J23" s="6">
        <f t="shared" ca="1" si="8"/>
        <v>0</v>
      </c>
      <c r="K23" s="6">
        <f t="shared" ca="1" si="2"/>
        <v>0</v>
      </c>
      <c r="L23" s="6">
        <f t="shared" ca="1" si="3"/>
        <v>0</v>
      </c>
      <c r="M23" s="20">
        <f t="shared" ca="1" si="4"/>
        <v>3.8356164383561642</v>
      </c>
      <c r="O23" s="25">
        <f t="shared" si="11"/>
        <v>1300</v>
      </c>
      <c r="P23" s="25">
        <v>10000</v>
      </c>
      <c r="S23" s="2"/>
      <c r="T23" s="2"/>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row>
    <row r="24" spans="2:121" ht="13.4" customHeight="1" x14ac:dyDescent="0.25">
      <c r="B24" s="1"/>
      <c r="E24" s="27">
        <v>20</v>
      </c>
      <c r="F24" s="6">
        <f t="shared" ca="1" si="1"/>
        <v>80</v>
      </c>
      <c r="G24" s="6">
        <f t="shared" ca="1" si="5"/>
        <v>140</v>
      </c>
      <c r="H24" s="6">
        <f t="shared" ca="1" si="6"/>
        <v>60</v>
      </c>
      <c r="I24" s="6">
        <f t="shared" ca="1" si="7"/>
        <v>1</v>
      </c>
      <c r="J24" s="6">
        <f t="shared" ca="1" si="8"/>
        <v>0</v>
      </c>
      <c r="K24" s="6">
        <f t="shared" ca="1" si="2"/>
        <v>0</v>
      </c>
      <c r="L24" s="6">
        <f t="shared" ca="1" si="3"/>
        <v>200</v>
      </c>
      <c r="M24" s="20">
        <f t="shared" ca="1" si="4"/>
        <v>1.6438356164383561</v>
      </c>
      <c r="O24" s="30"/>
      <c r="P24" s="30"/>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row>
    <row r="25" spans="2:121" ht="13.4" customHeight="1" x14ac:dyDescent="0.25">
      <c r="B25" s="1"/>
      <c r="E25" s="27">
        <v>21</v>
      </c>
      <c r="F25" s="6">
        <f t="shared" ca="1" si="1"/>
        <v>110</v>
      </c>
      <c r="G25" s="6">
        <f t="shared" ca="1" si="5"/>
        <v>1060</v>
      </c>
      <c r="H25" s="6">
        <f t="shared" ca="1" si="6"/>
        <v>950</v>
      </c>
      <c r="I25" s="6">
        <f t="shared" ca="1" si="7"/>
        <v>0</v>
      </c>
      <c r="J25" s="6">
        <f t="shared" ca="1" si="8"/>
        <v>0</v>
      </c>
      <c r="K25" s="6">
        <f t="shared" ca="1" si="2"/>
        <v>0</v>
      </c>
      <c r="L25" s="6">
        <f t="shared" ca="1" si="3"/>
        <v>0</v>
      </c>
      <c r="M25" s="20">
        <f t="shared" ca="1" si="4"/>
        <v>26.027397260273972</v>
      </c>
      <c r="O25" s="30"/>
      <c r="P25" s="30"/>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row>
    <row r="26" spans="2:121" ht="13.4" customHeight="1" x14ac:dyDescent="0.25">
      <c r="B26" s="1"/>
      <c r="E26" s="27">
        <v>22</v>
      </c>
      <c r="F26" s="6">
        <f t="shared" ca="1" si="1"/>
        <v>110</v>
      </c>
      <c r="G26" s="6">
        <f t="shared" ca="1" si="5"/>
        <v>950</v>
      </c>
      <c r="H26" s="6">
        <f t="shared" ca="1" si="6"/>
        <v>840</v>
      </c>
      <c r="I26" s="6">
        <f t="shared" ca="1" si="7"/>
        <v>0</v>
      </c>
      <c r="J26" s="6">
        <f t="shared" ca="1" si="8"/>
        <v>0</v>
      </c>
      <c r="K26" s="6">
        <f t="shared" ca="1" si="2"/>
        <v>0</v>
      </c>
      <c r="L26" s="6">
        <f t="shared" ca="1" si="3"/>
        <v>0</v>
      </c>
      <c r="M26" s="20">
        <f t="shared" ca="1" si="4"/>
        <v>23.013698630136986</v>
      </c>
      <c r="O26" s="30"/>
      <c r="P26" s="30"/>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row>
    <row r="27" spans="2:121" ht="13.4" customHeight="1" x14ac:dyDescent="0.3">
      <c r="B27" s="1"/>
      <c r="E27" s="27">
        <v>23</v>
      </c>
      <c r="F27" s="6">
        <f t="shared" ca="1" si="1"/>
        <v>80</v>
      </c>
      <c r="G27" s="6">
        <f t="shared" ca="1" si="5"/>
        <v>840</v>
      </c>
      <c r="H27" s="6">
        <f t="shared" ca="1" si="6"/>
        <v>760</v>
      </c>
      <c r="I27" s="6">
        <f t="shared" ca="1" si="7"/>
        <v>0</v>
      </c>
      <c r="J27" s="6">
        <f t="shared" ca="1" si="8"/>
        <v>0</v>
      </c>
      <c r="K27" s="6">
        <f t="shared" ca="1" si="2"/>
        <v>0</v>
      </c>
      <c r="L27" s="6">
        <f t="shared" ca="1" si="3"/>
        <v>0</v>
      </c>
      <c r="M27" s="20">
        <f t="shared" ca="1" si="4"/>
        <v>20.821917808219176</v>
      </c>
      <c r="O27"/>
      <c r="P27"/>
      <c r="Q27"/>
      <c r="R27"/>
      <c r="S27">
        <f ca="1">C28</f>
        <v>1</v>
      </c>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s="37"/>
      <c r="DQ27" s="37"/>
    </row>
    <row r="28" spans="2:121" ht="13.4" customHeight="1" x14ac:dyDescent="0.3">
      <c r="B28" s="1" t="s">
        <v>114</v>
      </c>
      <c r="C28" s="2">
        <f ca="1">COUNTIF(J4:J369,"&gt;0")</f>
        <v>1</v>
      </c>
      <c r="E28" s="27">
        <v>24</v>
      </c>
      <c r="F28" s="6">
        <f t="shared" ca="1" si="1"/>
        <v>120</v>
      </c>
      <c r="G28" s="6">
        <f t="shared" ca="1" si="5"/>
        <v>760</v>
      </c>
      <c r="H28" s="6">
        <f t="shared" ca="1" si="6"/>
        <v>640</v>
      </c>
      <c r="I28" s="6">
        <f t="shared" ca="1" si="7"/>
        <v>0</v>
      </c>
      <c r="J28" s="6">
        <f t="shared" ca="1" si="8"/>
        <v>0</v>
      </c>
      <c r="K28" s="6">
        <f t="shared" ca="1" si="2"/>
        <v>0</v>
      </c>
      <c r="L28" s="6">
        <f t="shared" ca="1" si="3"/>
        <v>0</v>
      </c>
      <c r="M28" s="20">
        <f t="shared" ca="1" si="4"/>
        <v>17.534246575342465</v>
      </c>
      <c r="O28"/>
      <c r="P28"/>
      <c r="Q28"/>
      <c r="S28">
        <f ca="1">S27/365</f>
        <v>2.7397260273972603E-3</v>
      </c>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s="37"/>
      <c r="DQ28" s="37"/>
    </row>
    <row r="29" spans="2:121" ht="13.4" customHeight="1" x14ac:dyDescent="0.25">
      <c r="B29" s="1"/>
      <c r="E29" s="27">
        <v>25</v>
      </c>
      <c r="F29" s="6">
        <f t="shared" ca="1" si="1"/>
        <v>120</v>
      </c>
      <c r="G29" s="6">
        <f t="shared" ca="1" si="5"/>
        <v>640</v>
      </c>
      <c r="H29" s="6">
        <f t="shared" ca="1" si="6"/>
        <v>520</v>
      </c>
      <c r="I29" s="6">
        <f t="shared" ca="1" si="7"/>
        <v>0</v>
      </c>
      <c r="J29" s="6">
        <f t="shared" ca="1" si="8"/>
        <v>0</v>
      </c>
      <c r="K29" s="6">
        <f t="shared" ca="1" si="2"/>
        <v>0</v>
      </c>
      <c r="L29" s="6">
        <f t="shared" ca="1" si="3"/>
        <v>0</v>
      </c>
      <c r="M29" s="20">
        <f t="shared" ca="1" si="4"/>
        <v>14.246575342465754</v>
      </c>
      <c r="P29" s="38"/>
      <c r="R29">
        <v>10</v>
      </c>
      <c r="S29" s="92">
        <f t="dataTable" ref="S29:S40" dt2D="0" dtr="0" r1="C3" ca="1"/>
        <v>9.3150684931506855E-2</v>
      </c>
      <c r="T29" s="92">
        <f>1-S29</f>
        <v>0.90684931506849309</v>
      </c>
      <c r="DO29" s="38"/>
    </row>
    <row r="30" spans="2:121" ht="13.4" customHeight="1" x14ac:dyDescent="0.25">
      <c r="B30" s="1"/>
      <c r="E30" s="27">
        <v>26</v>
      </c>
      <c r="F30" s="6">
        <f t="shared" ca="1" si="1"/>
        <v>110</v>
      </c>
      <c r="G30" s="6">
        <f t="shared" ca="1" si="5"/>
        <v>520</v>
      </c>
      <c r="H30" s="6">
        <f t="shared" ca="1" si="6"/>
        <v>410</v>
      </c>
      <c r="I30" s="6">
        <f t="shared" ca="1" si="7"/>
        <v>0</v>
      </c>
      <c r="J30" s="6">
        <f t="shared" ca="1" si="8"/>
        <v>0</v>
      </c>
      <c r="K30" s="6">
        <f t="shared" ca="1" si="2"/>
        <v>0</v>
      </c>
      <c r="L30" s="6">
        <f t="shared" ca="1" si="3"/>
        <v>0</v>
      </c>
      <c r="M30" s="20">
        <f t="shared" ca="1" si="4"/>
        <v>11.232876712328766</v>
      </c>
      <c r="P30" s="38"/>
      <c r="R30" s="2">
        <v>20</v>
      </c>
      <c r="S30" s="92">
        <v>7.3972602739726029E-2</v>
      </c>
      <c r="T30" s="92">
        <f t="shared" ref="T30:T40" si="12">1-S30</f>
        <v>0.92602739726027394</v>
      </c>
      <c r="DO30" s="38"/>
    </row>
    <row r="31" spans="2:121" ht="13.4" customHeight="1" x14ac:dyDescent="0.25">
      <c r="B31" s="1"/>
      <c r="E31" s="27">
        <v>27</v>
      </c>
      <c r="F31" s="6">
        <f t="shared" ca="1" si="1"/>
        <v>80</v>
      </c>
      <c r="G31" s="6">
        <f t="shared" ca="1" si="5"/>
        <v>410</v>
      </c>
      <c r="H31" s="6">
        <f t="shared" ca="1" si="6"/>
        <v>330</v>
      </c>
      <c r="I31" s="6">
        <f t="shared" ca="1" si="7"/>
        <v>0</v>
      </c>
      <c r="J31" s="6">
        <f t="shared" ca="1" si="8"/>
        <v>0</v>
      </c>
      <c r="K31" s="6">
        <f t="shared" ca="1" si="2"/>
        <v>0</v>
      </c>
      <c r="L31" s="6">
        <f t="shared" ca="1" si="3"/>
        <v>0</v>
      </c>
      <c r="M31" s="20">
        <f t="shared" ca="1" si="4"/>
        <v>9.0410958904109577</v>
      </c>
      <c r="P31" s="38"/>
      <c r="R31">
        <v>30</v>
      </c>
      <c r="S31" s="92">
        <v>7.3972602739726029E-2</v>
      </c>
      <c r="T31" s="92">
        <f t="shared" si="12"/>
        <v>0.92602739726027394</v>
      </c>
      <c r="DO31" s="38"/>
    </row>
    <row r="32" spans="2:121" ht="13.4" customHeight="1" x14ac:dyDescent="0.25">
      <c r="B32" s="1"/>
      <c r="E32" s="27">
        <v>28</v>
      </c>
      <c r="F32" s="6">
        <f t="shared" ca="1" si="1"/>
        <v>120</v>
      </c>
      <c r="G32" s="6">
        <f t="shared" ca="1" si="5"/>
        <v>330</v>
      </c>
      <c r="H32" s="6">
        <f t="shared" ca="1" si="6"/>
        <v>210</v>
      </c>
      <c r="I32" s="6">
        <f t="shared" ca="1" si="7"/>
        <v>0</v>
      </c>
      <c r="J32" s="6">
        <f t="shared" ca="1" si="8"/>
        <v>0</v>
      </c>
      <c r="K32" s="6">
        <f t="shared" ca="1" si="2"/>
        <v>0</v>
      </c>
      <c r="L32" s="6">
        <f t="shared" ca="1" si="3"/>
        <v>0</v>
      </c>
      <c r="M32" s="20">
        <f t="shared" ca="1" si="4"/>
        <v>5.7534246575342465</v>
      </c>
      <c r="P32" s="38"/>
      <c r="R32" s="2">
        <v>40</v>
      </c>
      <c r="S32" s="92">
        <v>4.9315068493150684E-2</v>
      </c>
      <c r="T32" s="92">
        <f t="shared" si="12"/>
        <v>0.9506849315068493</v>
      </c>
      <c r="DO32" s="38"/>
    </row>
    <row r="33" spans="2:119" ht="13.4" customHeight="1" x14ac:dyDescent="0.25">
      <c r="B33" s="1"/>
      <c r="E33" s="27">
        <v>29</v>
      </c>
      <c r="F33" s="6">
        <f t="shared" ca="1" si="1"/>
        <v>120</v>
      </c>
      <c r="G33" s="6">
        <f t="shared" ca="1" si="5"/>
        <v>210</v>
      </c>
      <c r="H33" s="6">
        <f t="shared" ca="1" si="6"/>
        <v>90</v>
      </c>
      <c r="I33" s="6">
        <f t="shared" ca="1" si="7"/>
        <v>1</v>
      </c>
      <c r="J33" s="6">
        <f t="shared" ca="1" si="8"/>
        <v>0</v>
      </c>
      <c r="K33" s="6">
        <f t="shared" ca="1" si="2"/>
        <v>0</v>
      </c>
      <c r="L33" s="6">
        <f t="shared" ca="1" si="3"/>
        <v>200</v>
      </c>
      <c r="M33" s="20">
        <f t="shared" ca="1" si="4"/>
        <v>2.4657534246575343</v>
      </c>
      <c r="P33" s="38"/>
      <c r="R33">
        <v>50</v>
      </c>
      <c r="S33" s="92">
        <v>4.6575342465753428E-2</v>
      </c>
      <c r="T33" s="92">
        <f t="shared" si="12"/>
        <v>0.95342465753424654</v>
      </c>
      <c r="DO33" s="38"/>
    </row>
    <row r="34" spans="2:119" ht="13.4" customHeight="1" x14ac:dyDescent="0.25">
      <c r="B34" s="1"/>
      <c r="E34" s="27">
        <v>30</v>
      </c>
      <c r="F34" s="6">
        <f t="shared" ca="1" si="1"/>
        <v>100</v>
      </c>
      <c r="G34" s="6">
        <f t="shared" ca="1" si="5"/>
        <v>1090</v>
      </c>
      <c r="H34" s="6">
        <f t="shared" ca="1" si="6"/>
        <v>990</v>
      </c>
      <c r="I34" s="6">
        <f t="shared" ca="1" si="7"/>
        <v>0</v>
      </c>
      <c r="J34" s="6">
        <f t="shared" ca="1" si="8"/>
        <v>0</v>
      </c>
      <c r="K34" s="6">
        <f t="shared" ca="1" si="2"/>
        <v>0</v>
      </c>
      <c r="L34" s="6">
        <f t="shared" ca="1" si="3"/>
        <v>0</v>
      </c>
      <c r="M34" s="20">
        <f t="shared" ca="1" si="4"/>
        <v>27.123287671232877</v>
      </c>
      <c r="P34" s="38"/>
      <c r="R34" s="2">
        <v>60</v>
      </c>
      <c r="S34" s="92">
        <v>4.6575342465753428E-2</v>
      </c>
      <c r="T34" s="92">
        <f t="shared" si="12"/>
        <v>0.95342465753424654</v>
      </c>
      <c r="DO34" s="38"/>
    </row>
    <row r="35" spans="2:119" ht="13.4" customHeight="1" x14ac:dyDescent="0.25">
      <c r="B35" s="1"/>
      <c r="E35" s="27">
        <v>31</v>
      </c>
      <c r="F35" s="6">
        <f t="shared" ca="1" si="1"/>
        <v>100</v>
      </c>
      <c r="G35" s="6">
        <f t="shared" ca="1" si="5"/>
        <v>990</v>
      </c>
      <c r="H35" s="6">
        <f t="shared" ca="1" si="6"/>
        <v>890</v>
      </c>
      <c r="I35" s="6">
        <f t="shared" ca="1" si="7"/>
        <v>0</v>
      </c>
      <c r="J35" s="6">
        <f t="shared" ca="1" si="8"/>
        <v>0</v>
      </c>
      <c r="K35" s="6">
        <f t="shared" ca="1" si="2"/>
        <v>0</v>
      </c>
      <c r="L35" s="6">
        <f t="shared" ca="1" si="3"/>
        <v>0</v>
      </c>
      <c r="M35" s="20">
        <f t="shared" ca="1" si="4"/>
        <v>24.383561643835616</v>
      </c>
      <c r="P35" s="38"/>
      <c r="R35">
        <v>70</v>
      </c>
      <c r="S35" s="92">
        <v>3.8356164383561646E-2</v>
      </c>
      <c r="T35" s="92">
        <f t="shared" si="12"/>
        <v>0.9616438356164384</v>
      </c>
      <c r="DO35" s="38"/>
    </row>
    <row r="36" spans="2:119" ht="13.4" customHeight="1" x14ac:dyDescent="0.25">
      <c r="B36" s="1"/>
      <c r="E36" s="27">
        <v>32</v>
      </c>
      <c r="F36" s="6">
        <f t="shared" ca="1" si="1"/>
        <v>90</v>
      </c>
      <c r="G36" s="6">
        <f t="shared" ca="1" si="5"/>
        <v>890</v>
      </c>
      <c r="H36" s="6">
        <f t="shared" ca="1" si="6"/>
        <v>800</v>
      </c>
      <c r="I36" s="6">
        <f t="shared" ca="1" si="7"/>
        <v>0</v>
      </c>
      <c r="J36" s="6">
        <f t="shared" ca="1" si="8"/>
        <v>0</v>
      </c>
      <c r="K36" s="6">
        <f t="shared" ca="1" si="2"/>
        <v>0</v>
      </c>
      <c r="L36" s="6">
        <f t="shared" ca="1" si="3"/>
        <v>0</v>
      </c>
      <c r="M36" s="20">
        <f t="shared" ca="1" si="4"/>
        <v>21.917808219178081</v>
      </c>
      <c r="P36" s="38"/>
      <c r="R36" s="2">
        <v>80</v>
      </c>
      <c r="S36" s="92">
        <v>3.287671232876712E-2</v>
      </c>
      <c r="T36" s="92">
        <f t="shared" si="12"/>
        <v>0.9671232876712329</v>
      </c>
      <c r="DO36" s="38"/>
    </row>
    <row r="37" spans="2:119" ht="13.4" customHeight="1" x14ac:dyDescent="0.25">
      <c r="B37" s="1"/>
      <c r="E37" s="27">
        <v>33</v>
      </c>
      <c r="F37" s="6">
        <f t="shared" ca="1" si="1"/>
        <v>110</v>
      </c>
      <c r="G37" s="6">
        <f t="shared" ca="1" si="5"/>
        <v>800</v>
      </c>
      <c r="H37" s="6">
        <f t="shared" ca="1" si="6"/>
        <v>690</v>
      </c>
      <c r="I37" s="6">
        <f t="shared" ca="1" si="7"/>
        <v>0</v>
      </c>
      <c r="J37" s="6">
        <f t="shared" ca="1" si="8"/>
        <v>0</v>
      </c>
      <c r="K37" s="6">
        <f t="shared" ca="1" si="2"/>
        <v>0</v>
      </c>
      <c r="L37" s="6">
        <f t="shared" ca="1" si="3"/>
        <v>0</v>
      </c>
      <c r="M37" s="20">
        <f t="shared" ca="1" si="4"/>
        <v>18.904109589041095</v>
      </c>
      <c r="P37" s="38"/>
      <c r="R37">
        <v>90</v>
      </c>
      <c r="S37" s="92">
        <v>1.0958904109589041E-2</v>
      </c>
      <c r="T37" s="92">
        <f t="shared" si="12"/>
        <v>0.989041095890411</v>
      </c>
      <c r="DO37" s="38"/>
    </row>
    <row r="38" spans="2:119" ht="13.4" customHeight="1" x14ac:dyDescent="0.25">
      <c r="B38" s="1"/>
      <c r="E38" s="27">
        <v>34</v>
      </c>
      <c r="F38" s="6">
        <f t="shared" ca="1" si="1"/>
        <v>110</v>
      </c>
      <c r="G38" s="6">
        <f t="shared" ca="1" si="5"/>
        <v>690</v>
      </c>
      <c r="H38" s="6">
        <f t="shared" ca="1" si="6"/>
        <v>580</v>
      </c>
      <c r="I38" s="6">
        <f t="shared" ca="1" si="7"/>
        <v>0</v>
      </c>
      <c r="J38" s="6">
        <f t="shared" ca="1" si="8"/>
        <v>0</v>
      </c>
      <c r="K38" s="6">
        <f t="shared" ca="1" si="2"/>
        <v>0</v>
      </c>
      <c r="L38" s="6">
        <f t="shared" ca="1" si="3"/>
        <v>0</v>
      </c>
      <c r="M38" s="20">
        <f t="shared" ca="1" si="4"/>
        <v>15.890410958904109</v>
      </c>
      <c r="P38" s="38"/>
      <c r="R38" s="2">
        <v>100</v>
      </c>
      <c r="S38" s="92">
        <v>2.7397260273972603E-3</v>
      </c>
      <c r="T38" s="92">
        <f t="shared" si="12"/>
        <v>0.99726027397260275</v>
      </c>
      <c r="DO38" s="38"/>
    </row>
    <row r="39" spans="2:119" ht="13.4" customHeight="1" x14ac:dyDescent="0.25">
      <c r="B39" s="1"/>
      <c r="E39" s="27">
        <v>35</v>
      </c>
      <c r="F39" s="6">
        <f t="shared" ca="1" si="1"/>
        <v>110</v>
      </c>
      <c r="G39" s="6">
        <f t="shared" ca="1" si="5"/>
        <v>580</v>
      </c>
      <c r="H39" s="6">
        <f t="shared" ca="1" si="6"/>
        <v>470</v>
      </c>
      <c r="I39" s="6">
        <f t="shared" ca="1" si="7"/>
        <v>0</v>
      </c>
      <c r="J39" s="6">
        <f t="shared" ca="1" si="8"/>
        <v>0</v>
      </c>
      <c r="K39" s="6">
        <f t="shared" ca="1" si="2"/>
        <v>0</v>
      </c>
      <c r="L39" s="6">
        <f t="shared" ca="1" si="3"/>
        <v>0</v>
      </c>
      <c r="M39" s="20">
        <f t="shared" ca="1" si="4"/>
        <v>12.876712328767123</v>
      </c>
      <c r="P39" s="38"/>
      <c r="R39">
        <v>110</v>
      </c>
      <c r="S39" s="92">
        <v>5.4794520547945206E-3</v>
      </c>
      <c r="T39" s="92">
        <f t="shared" si="12"/>
        <v>0.9945205479452055</v>
      </c>
      <c r="DO39" s="38"/>
    </row>
    <row r="40" spans="2:119" ht="13.4" customHeight="1" x14ac:dyDescent="0.25">
      <c r="B40" s="1"/>
      <c r="E40" s="27">
        <v>36</v>
      </c>
      <c r="F40" s="6">
        <f t="shared" ca="1" si="1"/>
        <v>100</v>
      </c>
      <c r="G40" s="6">
        <f t="shared" ca="1" si="5"/>
        <v>470</v>
      </c>
      <c r="H40" s="6">
        <f t="shared" ca="1" si="6"/>
        <v>370</v>
      </c>
      <c r="I40" s="6">
        <f t="shared" ca="1" si="7"/>
        <v>0</v>
      </c>
      <c r="J40" s="6">
        <f t="shared" ca="1" si="8"/>
        <v>0</v>
      </c>
      <c r="K40" s="6">
        <f t="shared" ca="1" si="2"/>
        <v>0</v>
      </c>
      <c r="L40" s="6">
        <f t="shared" ca="1" si="3"/>
        <v>0</v>
      </c>
      <c r="M40" s="20">
        <f t="shared" ca="1" si="4"/>
        <v>10.136986301369863</v>
      </c>
      <c r="P40" s="38"/>
      <c r="R40" s="2">
        <v>120</v>
      </c>
      <c r="S40" s="92">
        <v>2.7397260273972603E-3</v>
      </c>
      <c r="T40" s="92">
        <f t="shared" si="12"/>
        <v>0.99726027397260275</v>
      </c>
      <c r="DO40" s="38"/>
    </row>
    <row r="41" spans="2:119" ht="13.4" customHeight="1" x14ac:dyDescent="0.25">
      <c r="B41" s="1"/>
      <c r="E41" s="27">
        <v>37</v>
      </c>
      <c r="F41" s="6">
        <f t="shared" ca="1" si="1"/>
        <v>110</v>
      </c>
      <c r="G41" s="6">
        <f t="shared" ca="1" si="5"/>
        <v>370</v>
      </c>
      <c r="H41" s="6">
        <f t="shared" ca="1" si="6"/>
        <v>260</v>
      </c>
      <c r="I41" s="6">
        <f t="shared" ca="1" si="7"/>
        <v>0</v>
      </c>
      <c r="J41" s="6">
        <f t="shared" ca="1" si="8"/>
        <v>0</v>
      </c>
      <c r="K41" s="6">
        <f t="shared" ca="1" si="2"/>
        <v>0</v>
      </c>
      <c r="L41" s="6">
        <f t="shared" ca="1" si="3"/>
        <v>0</v>
      </c>
      <c r="M41" s="20">
        <f t="shared" ca="1" si="4"/>
        <v>7.1232876712328768</v>
      </c>
      <c r="P41" s="38"/>
      <c r="S41" s="92"/>
      <c r="DO41" s="38"/>
    </row>
    <row r="42" spans="2:119" ht="13.4" customHeight="1" x14ac:dyDescent="0.25">
      <c r="B42" s="1"/>
      <c r="E42" s="27">
        <v>38</v>
      </c>
      <c r="F42" s="6">
        <f t="shared" ca="1" si="1"/>
        <v>110</v>
      </c>
      <c r="G42" s="6">
        <f t="shared" ca="1" si="5"/>
        <v>260</v>
      </c>
      <c r="H42" s="6">
        <f t="shared" ca="1" si="6"/>
        <v>150</v>
      </c>
      <c r="I42" s="6">
        <f t="shared" ca="1" si="7"/>
        <v>0</v>
      </c>
      <c r="J42" s="6">
        <f t="shared" ca="1" si="8"/>
        <v>0</v>
      </c>
      <c r="K42" s="6">
        <f t="shared" ca="1" si="2"/>
        <v>0</v>
      </c>
      <c r="L42" s="6">
        <f t="shared" ca="1" si="3"/>
        <v>0</v>
      </c>
      <c r="M42" s="20">
        <f t="shared" ca="1" si="4"/>
        <v>4.10958904109589</v>
      </c>
      <c r="P42" s="38"/>
      <c r="DO42" s="38"/>
    </row>
    <row r="43" spans="2:119" ht="13.4" customHeight="1" x14ac:dyDescent="0.25">
      <c r="B43" s="1"/>
      <c r="E43" s="27">
        <v>39</v>
      </c>
      <c r="F43" s="6">
        <f t="shared" ca="1" si="1"/>
        <v>90</v>
      </c>
      <c r="G43" s="6">
        <f t="shared" ca="1" si="5"/>
        <v>150</v>
      </c>
      <c r="H43" s="6">
        <f t="shared" ca="1" si="6"/>
        <v>60</v>
      </c>
      <c r="I43" s="6">
        <f t="shared" ca="1" si="7"/>
        <v>1</v>
      </c>
      <c r="J43" s="6">
        <f t="shared" ca="1" si="8"/>
        <v>0</v>
      </c>
      <c r="K43" s="6">
        <f t="shared" ca="1" si="2"/>
        <v>0</v>
      </c>
      <c r="L43" s="6">
        <f t="shared" ca="1" si="3"/>
        <v>200</v>
      </c>
      <c r="M43" s="20">
        <f t="shared" ca="1" si="4"/>
        <v>1.6438356164383561</v>
      </c>
      <c r="P43" s="38"/>
      <c r="DO43" s="38"/>
    </row>
    <row r="44" spans="2:119" ht="13.4" customHeight="1" x14ac:dyDescent="0.25">
      <c r="B44" s="1"/>
      <c r="E44" s="27">
        <v>40</v>
      </c>
      <c r="F44" s="6">
        <f t="shared" ca="1" si="1"/>
        <v>110</v>
      </c>
      <c r="G44" s="6">
        <f t="shared" ca="1" si="5"/>
        <v>1060</v>
      </c>
      <c r="H44" s="6">
        <f t="shared" ca="1" si="6"/>
        <v>950</v>
      </c>
      <c r="I44" s="6">
        <f t="shared" ca="1" si="7"/>
        <v>0</v>
      </c>
      <c r="J44" s="6">
        <f t="shared" ca="1" si="8"/>
        <v>0</v>
      </c>
      <c r="K44" s="6">
        <f t="shared" ca="1" si="2"/>
        <v>0</v>
      </c>
      <c r="L44" s="6">
        <f t="shared" ca="1" si="3"/>
        <v>0</v>
      </c>
      <c r="M44" s="20">
        <f t="shared" ca="1" si="4"/>
        <v>26.027397260273972</v>
      </c>
      <c r="P44" s="38"/>
      <c r="DO44" s="38"/>
    </row>
    <row r="45" spans="2:119" ht="13.4" customHeight="1" x14ac:dyDescent="0.25">
      <c r="B45" s="1"/>
      <c r="E45" s="27">
        <v>41</v>
      </c>
      <c r="F45" s="6">
        <f t="shared" ca="1" si="1"/>
        <v>100</v>
      </c>
      <c r="G45" s="6">
        <f t="shared" ca="1" si="5"/>
        <v>950</v>
      </c>
      <c r="H45" s="6">
        <f t="shared" ca="1" si="6"/>
        <v>850</v>
      </c>
      <c r="I45" s="6">
        <f t="shared" ca="1" si="7"/>
        <v>0</v>
      </c>
      <c r="J45" s="6">
        <f t="shared" ca="1" si="8"/>
        <v>0</v>
      </c>
      <c r="K45" s="6">
        <f t="shared" ca="1" si="2"/>
        <v>0</v>
      </c>
      <c r="L45" s="6">
        <f t="shared" ca="1" si="3"/>
        <v>0</v>
      </c>
      <c r="M45" s="20">
        <f t="shared" ca="1" si="4"/>
        <v>23.287671232876711</v>
      </c>
      <c r="P45" s="38"/>
      <c r="DO45" s="38"/>
    </row>
    <row r="46" spans="2:119" ht="13.4" customHeight="1" x14ac:dyDescent="0.25">
      <c r="B46" s="1"/>
      <c r="E46" s="27">
        <v>42</v>
      </c>
      <c r="F46" s="6">
        <f t="shared" ca="1" si="1"/>
        <v>90</v>
      </c>
      <c r="G46" s="6">
        <f t="shared" ca="1" si="5"/>
        <v>850</v>
      </c>
      <c r="H46" s="6">
        <f t="shared" ca="1" si="6"/>
        <v>760</v>
      </c>
      <c r="I46" s="6">
        <f t="shared" ca="1" si="7"/>
        <v>0</v>
      </c>
      <c r="J46" s="6">
        <f t="shared" ca="1" si="8"/>
        <v>0</v>
      </c>
      <c r="K46" s="6">
        <f t="shared" ca="1" si="2"/>
        <v>0</v>
      </c>
      <c r="L46" s="6">
        <f t="shared" ca="1" si="3"/>
        <v>0</v>
      </c>
      <c r="M46" s="20">
        <f t="shared" ca="1" si="4"/>
        <v>20.821917808219176</v>
      </c>
      <c r="P46" s="38"/>
      <c r="DO46" s="38"/>
    </row>
    <row r="47" spans="2:119" ht="13.4" customHeight="1" x14ac:dyDescent="0.25">
      <c r="B47" s="1"/>
      <c r="E47" s="27">
        <v>43</v>
      </c>
      <c r="F47" s="6">
        <f t="shared" ca="1" si="1"/>
        <v>110</v>
      </c>
      <c r="G47" s="6">
        <f t="shared" ca="1" si="5"/>
        <v>760</v>
      </c>
      <c r="H47" s="6">
        <f t="shared" ca="1" si="6"/>
        <v>650</v>
      </c>
      <c r="I47" s="6">
        <f t="shared" ca="1" si="7"/>
        <v>0</v>
      </c>
      <c r="J47" s="6">
        <f t="shared" ca="1" si="8"/>
        <v>0</v>
      </c>
      <c r="K47" s="6">
        <f t="shared" ca="1" si="2"/>
        <v>0</v>
      </c>
      <c r="L47" s="6">
        <f t="shared" ca="1" si="3"/>
        <v>0</v>
      </c>
      <c r="M47" s="20">
        <f t="shared" ca="1" si="4"/>
        <v>17.80821917808219</v>
      </c>
      <c r="P47" s="38"/>
      <c r="DO47" s="38"/>
    </row>
    <row r="48" spans="2:119" ht="13.4" customHeight="1" x14ac:dyDescent="0.25">
      <c r="B48" s="1"/>
      <c r="E48" s="27">
        <v>44</v>
      </c>
      <c r="F48" s="6">
        <f t="shared" ca="1" si="1"/>
        <v>90</v>
      </c>
      <c r="G48" s="6">
        <f t="shared" ca="1" si="5"/>
        <v>650</v>
      </c>
      <c r="H48" s="6">
        <f t="shared" ca="1" si="6"/>
        <v>560</v>
      </c>
      <c r="I48" s="6">
        <f t="shared" ca="1" si="7"/>
        <v>0</v>
      </c>
      <c r="J48" s="6">
        <f t="shared" ca="1" si="8"/>
        <v>0</v>
      </c>
      <c r="K48" s="6">
        <f t="shared" ca="1" si="2"/>
        <v>0</v>
      </c>
      <c r="L48" s="6">
        <f t="shared" ca="1" si="3"/>
        <v>0</v>
      </c>
      <c r="M48" s="20">
        <f t="shared" ca="1" si="4"/>
        <v>15.342465753424657</v>
      </c>
      <c r="P48" s="38"/>
      <c r="DO48" s="38"/>
    </row>
    <row r="49" spans="2:119" ht="13.4" customHeight="1" x14ac:dyDescent="0.25">
      <c r="B49" s="1"/>
      <c r="E49" s="27">
        <v>45</v>
      </c>
      <c r="F49" s="6">
        <f t="shared" ca="1" si="1"/>
        <v>100</v>
      </c>
      <c r="G49" s="6">
        <f t="shared" ca="1" si="5"/>
        <v>560</v>
      </c>
      <c r="H49" s="6">
        <f t="shared" ca="1" si="6"/>
        <v>460</v>
      </c>
      <c r="I49" s="6">
        <f t="shared" ca="1" si="7"/>
        <v>0</v>
      </c>
      <c r="J49" s="6">
        <f t="shared" ca="1" si="8"/>
        <v>0</v>
      </c>
      <c r="K49" s="6">
        <f t="shared" ca="1" si="2"/>
        <v>0</v>
      </c>
      <c r="L49" s="6">
        <f t="shared" ca="1" si="3"/>
        <v>0</v>
      </c>
      <c r="M49" s="20">
        <f t="shared" ca="1" si="4"/>
        <v>12.602739726027396</v>
      </c>
      <c r="P49" s="38"/>
      <c r="DO49" s="38"/>
    </row>
    <row r="50" spans="2:119" ht="13.4" customHeight="1" x14ac:dyDescent="0.25">
      <c r="B50" s="1"/>
      <c r="E50" s="27">
        <v>46</v>
      </c>
      <c r="F50" s="6">
        <f t="shared" ca="1" si="1"/>
        <v>110</v>
      </c>
      <c r="G50" s="6">
        <f t="shared" ca="1" si="5"/>
        <v>460</v>
      </c>
      <c r="H50" s="6">
        <f t="shared" ca="1" si="6"/>
        <v>350</v>
      </c>
      <c r="I50" s="6">
        <f t="shared" ca="1" si="7"/>
        <v>0</v>
      </c>
      <c r="J50" s="6">
        <f t="shared" ca="1" si="8"/>
        <v>0</v>
      </c>
      <c r="K50" s="6">
        <f t="shared" ca="1" si="2"/>
        <v>0</v>
      </c>
      <c r="L50" s="6">
        <f t="shared" ca="1" si="3"/>
        <v>0</v>
      </c>
      <c r="M50" s="20">
        <f t="shared" ca="1" si="4"/>
        <v>9.5890410958904102</v>
      </c>
      <c r="P50" s="38"/>
      <c r="DO50" s="38"/>
    </row>
    <row r="51" spans="2:119" ht="13.4" customHeight="1" x14ac:dyDescent="0.25">
      <c r="B51" s="1"/>
      <c r="E51" s="27">
        <v>47</v>
      </c>
      <c r="F51" s="6">
        <f t="shared" ca="1" si="1"/>
        <v>110</v>
      </c>
      <c r="G51" s="6">
        <f t="shared" ca="1" si="5"/>
        <v>350</v>
      </c>
      <c r="H51" s="6">
        <f t="shared" ca="1" si="6"/>
        <v>240</v>
      </c>
      <c r="I51" s="6">
        <f t="shared" ca="1" si="7"/>
        <v>0</v>
      </c>
      <c r="J51" s="6">
        <f t="shared" ca="1" si="8"/>
        <v>0</v>
      </c>
      <c r="K51" s="6">
        <f t="shared" ca="1" si="2"/>
        <v>0</v>
      </c>
      <c r="L51" s="6">
        <f t="shared" ca="1" si="3"/>
        <v>0</v>
      </c>
      <c r="M51" s="20">
        <f t="shared" ca="1" si="4"/>
        <v>6.5753424657534243</v>
      </c>
      <c r="P51" s="38"/>
      <c r="DO51" s="38"/>
    </row>
    <row r="52" spans="2:119" ht="13.4" customHeight="1" x14ac:dyDescent="0.25">
      <c r="B52" s="1"/>
      <c r="E52" s="27">
        <v>48</v>
      </c>
      <c r="F52" s="6">
        <f t="shared" ca="1" si="1"/>
        <v>100</v>
      </c>
      <c r="G52" s="6">
        <f t="shared" ca="1" si="5"/>
        <v>240</v>
      </c>
      <c r="H52" s="6">
        <f t="shared" ca="1" si="6"/>
        <v>140</v>
      </c>
      <c r="I52" s="6">
        <f t="shared" ca="1" si="7"/>
        <v>0</v>
      </c>
      <c r="J52" s="6">
        <f t="shared" ca="1" si="8"/>
        <v>0</v>
      </c>
      <c r="K52" s="6">
        <f t="shared" ca="1" si="2"/>
        <v>0</v>
      </c>
      <c r="L52" s="6">
        <f t="shared" ca="1" si="3"/>
        <v>0</v>
      </c>
      <c r="M52" s="20">
        <f t="shared" ca="1" si="4"/>
        <v>3.8356164383561642</v>
      </c>
      <c r="P52" s="38"/>
      <c r="DO52" s="38"/>
    </row>
    <row r="53" spans="2:119" ht="13.4" customHeight="1" x14ac:dyDescent="0.25">
      <c r="B53" s="1"/>
      <c r="E53" s="27">
        <v>49</v>
      </c>
      <c r="F53" s="6">
        <f t="shared" ca="1" si="1"/>
        <v>80</v>
      </c>
      <c r="G53" s="6">
        <f t="shared" ca="1" si="5"/>
        <v>140</v>
      </c>
      <c r="H53" s="6">
        <f t="shared" ca="1" si="6"/>
        <v>60</v>
      </c>
      <c r="I53" s="6">
        <f t="shared" ca="1" si="7"/>
        <v>1</v>
      </c>
      <c r="J53" s="6">
        <f t="shared" ca="1" si="8"/>
        <v>0</v>
      </c>
      <c r="K53" s="6">
        <f t="shared" ca="1" si="2"/>
        <v>0</v>
      </c>
      <c r="L53" s="6">
        <f t="shared" ca="1" si="3"/>
        <v>200</v>
      </c>
      <c r="M53" s="20">
        <f t="shared" ca="1" si="4"/>
        <v>1.6438356164383561</v>
      </c>
      <c r="P53" s="38"/>
      <c r="DO53" s="38"/>
    </row>
    <row r="54" spans="2:119" ht="13.4" customHeight="1" x14ac:dyDescent="0.25">
      <c r="B54" s="1"/>
      <c r="E54" s="27">
        <v>50</v>
      </c>
      <c r="F54" s="6">
        <f t="shared" ca="1" si="1"/>
        <v>80</v>
      </c>
      <c r="G54" s="6">
        <f t="shared" ca="1" si="5"/>
        <v>1060</v>
      </c>
      <c r="H54" s="6">
        <f t="shared" ca="1" si="6"/>
        <v>980</v>
      </c>
      <c r="I54" s="6">
        <f t="shared" ca="1" si="7"/>
        <v>0</v>
      </c>
      <c r="J54" s="6">
        <f t="shared" ca="1" si="8"/>
        <v>0</v>
      </c>
      <c r="K54" s="6">
        <f t="shared" ca="1" si="2"/>
        <v>0</v>
      </c>
      <c r="L54" s="6">
        <f t="shared" ca="1" si="3"/>
        <v>0</v>
      </c>
      <c r="M54" s="20">
        <f t="shared" ca="1" si="4"/>
        <v>26.849315068493148</v>
      </c>
    </row>
    <row r="55" spans="2:119" ht="13.4" customHeight="1" x14ac:dyDescent="0.25">
      <c r="B55" s="1"/>
      <c r="E55" s="27">
        <v>51</v>
      </c>
      <c r="F55" s="6">
        <f t="shared" ca="1" si="1"/>
        <v>90</v>
      </c>
      <c r="G55" s="6">
        <f t="shared" ca="1" si="5"/>
        <v>980</v>
      </c>
      <c r="H55" s="6">
        <f t="shared" ca="1" si="6"/>
        <v>890</v>
      </c>
      <c r="I55" s="6">
        <f t="shared" ca="1" si="7"/>
        <v>0</v>
      </c>
      <c r="J55" s="6">
        <f t="shared" ca="1" si="8"/>
        <v>0</v>
      </c>
      <c r="K55" s="6">
        <f t="shared" ca="1" si="2"/>
        <v>0</v>
      </c>
      <c r="L55" s="6">
        <f t="shared" ca="1" si="3"/>
        <v>0</v>
      </c>
      <c r="M55" s="20">
        <f t="shared" ca="1" si="4"/>
        <v>24.383561643835616</v>
      </c>
    </row>
    <row r="56" spans="2:119" ht="13.4" customHeight="1" x14ac:dyDescent="0.25">
      <c r="B56" s="1"/>
      <c r="E56" s="27">
        <v>52</v>
      </c>
      <c r="F56" s="6">
        <f t="shared" ca="1" si="1"/>
        <v>80</v>
      </c>
      <c r="G56" s="6">
        <f t="shared" ca="1" si="5"/>
        <v>890</v>
      </c>
      <c r="H56" s="6">
        <f t="shared" ca="1" si="6"/>
        <v>810</v>
      </c>
      <c r="I56" s="6">
        <f t="shared" ca="1" si="7"/>
        <v>0</v>
      </c>
      <c r="J56" s="6">
        <f t="shared" ca="1" si="8"/>
        <v>0</v>
      </c>
      <c r="K56" s="6">
        <f t="shared" ca="1" si="2"/>
        <v>0</v>
      </c>
      <c r="L56" s="6">
        <f t="shared" ca="1" si="3"/>
        <v>0</v>
      </c>
      <c r="M56" s="20">
        <f t="shared" ca="1" si="4"/>
        <v>22.191780821917806</v>
      </c>
    </row>
    <row r="57" spans="2:119" ht="13.4" customHeight="1" x14ac:dyDescent="0.25">
      <c r="B57" s="1"/>
      <c r="E57" s="27">
        <v>53</v>
      </c>
      <c r="F57" s="6">
        <f t="shared" ca="1" si="1"/>
        <v>90</v>
      </c>
      <c r="G57" s="6">
        <f t="shared" ca="1" si="5"/>
        <v>810</v>
      </c>
      <c r="H57" s="6">
        <f t="shared" ca="1" si="6"/>
        <v>720</v>
      </c>
      <c r="I57" s="6">
        <f t="shared" ca="1" si="7"/>
        <v>0</v>
      </c>
      <c r="J57" s="6">
        <f t="shared" ca="1" si="8"/>
        <v>0</v>
      </c>
      <c r="K57" s="6">
        <f t="shared" ca="1" si="2"/>
        <v>0</v>
      </c>
      <c r="L57" s="6">
        <f t="shared" ca="1" si="3"/>
        <v>0</v>
      </c>
      <c r="M57" s="20">
        <f t="shared" ca="1" si="4"/>
        <v>19.726027397260275</v>
      </c>
    </row>
    <row r="58" spans="2:119" ht="13.4" customHeight="1" x14ac:dyDescent="0.25">
      <c r="B58" s="1"/>
      <c r="E58" s="27">
        <v>54</v>
      </c>
      <c r="F58" s="6">
        <f t="shared" ca="1" si="1"/>
        <v>90</v>
      </c>
      <c r="G58" s="6">
        <f t="shared" ca="1" si="5"/>
        <v>720</v>
      </c>
      <c r="H58" s="6">
        <f t="shared" ca="1" si="6"/>
        <v>630</v>
      </c>
      <c r="I58" s="6">
        <f t="shared" ca="1" si="7"/>
        <v>0</v>
      </c>
      <c r="J58" s="6">
        <f t="shared" ca="1" si="8"/>
        <v>0</v>
      </c>
      <c r="K58" s="6">
        <f t="shared" ca="1" si="2"/>
        <v>0</v>
      </c>
      <c r="L58" s="6">
        <f t="shared" ca="1" si="3"/>
        <v>0</v>
      </c>
      <c r="M58" s="20">
        <f t="shared" ca="1" si="4"/>
        <v>17.260273972602739</v>
      </c>
    </row>
    <row r="59" spans="2:119" ht="13.4" customHeight="1" x14ac:dyDescent="0.25">
      <c r="B59" s="1"/>
      <c r="E59" s="27">
        <v>55</v>
      </c>
      <c r="F59" s="6">
        <f t="shared" ca="1" si="1"/>
        <v>90</v>
      </c>
      <c r="G59" s="6">
        <f t="shared" ca="1" si="5"/>
        <v>630</v>
      </c>
      <c r="H59" s="6">
        <f t="shared" ca="1" si="6"/>
        <v>540</v>
      </c>
      <c r="I59" s="6">
        <f t="shared" ca="1" si="7"/>
        <v>0</v>
      </c>
      <c r="J59" s="6">
        <f t="shared" ca="1" si="8"/>
        <v>0</v>
      </c>
      <c r="K59" s="6">
        <f t="shared" ca="1" si="2"/>
        <v>0</v>
      </c>
      <c r="L59" s="6">
        <f t="shared" ca="1" si="3"/>
        <v>0</v>
      </c>
      <c r="M59" s="20">
        <f t="shared" ca="1" si="4"/>
        <v>14.794520547945204</v>
      </c>
    </row>
    <row r="60" spans="2:119" ht="13.4" customHeight="1" x14ac:dyDescent="0.25">
      <c r="B60" s="1"/>
      <c r="E60" s="27">
        <v>56</v>
      </c>
      <c r="F60" s="6">
        <f t="shared" ca="1" si="1"/>
        <v>110</v>
      </c>
      <c r="G60" s="6">
        <f t="shared" ca="1" si="5"/>
        <v>540</v>
      </c>
      <c r="H60" s="6">
        <f t="shared" ca="1" si="6"/>
        <v>430</v>
      </c>
      <c r="I60" s="6">
        <f t="shared" ca="1" si="7"/>
        <v>0</v>
      </c>
      <c r="J60" s="6">
        <f t="shared" ca="1" si="8"/>
        <v>0</v>
      </c>
      <c r="K60" s="6">
        <f t="shared" ca="1" si="2"/>
        <v>0</v>
      </c>
      <c r="L60" s="6">
        <f t="shared" ca="1" si="3"/>
        <v>0</v>
      </c>
      <c r="M60" s="20">
        <f t="shared" ca="1" si="4"/>
        <v>11.780821917808218</v>
      </c>
    </row>
    <row r="61" spans="2:119" ht="13.4" customHeight="1" x14ac:dyDescent="0.25">
      <c r="B61" s="1"/>
      <c r="E61" s="27">
        <v>57</v>
      </c>
      <c r="F61" s="6">
        <f t="shared" ca="1" si="1"/>
        <v>100</v>
      </c>
      <c r="G61" s="6">
        <f t="shared" ca="1" si="5"/>
        <v>430</v>
      </c>
      <c r="H61" s="6">
        <f t="shared" ca="1" si="6"/>
        <v>330</v>
      </c>
      <c r="I61" s="6">
        <f t="shared" ca="1" si="7"/>
        <v>0</v>
      </c>
      <c r="J61" s="6">
        <f t="shared" ca="1" si="8"/>
        <v>0</v>
      </c>
      <c r="K61" s="6">
        <f t="shared" ca="1" si="2"/>
        <v>0</v>
      </c>
      <c r="L61" s="6">
        <f t="shared" ca="1" si="3"/>
        <v>0</v>
      </c>
      <c r="M61" s="20">
        <f t="shared" ca="1" si="4"/>
        <v>9.0410958904109577</v>
      </c>
    </row>
    <row r="62" spans="2:119" ht="13.4" customHeight="1" x14ac:dyDescent="0.25">
      <c r="B62" s="1"/>
      <c r="E62" s="27">
        <v>58</v>
      </c>
      <c r="F62" s="6">
        <f t="shared" ca="1" si="1"/>
        <v>100</v>
      </c>
      <c r="G62" s="6">
        <f t="shared" ca="1" si="5"/>
        <v>330</v>
      </c>
      <c r="H62" s="6">
        <f t="shared" ca="1" si="6"/>
        <v>230</v>
      </c>
      <c r="I62" s="6">
        <f t="shared" ca="1" si="7"/>
        <v>0</v>
      </c>
      <c r="J62" s="6">
        <f t="shared" ca="1" si="8"/>
        <v>0</v>
      </c>
      <c r="K62" s="6">
        <f t="shared" ca="1" si="2"/>
        <v>0</v>
      </c>
      <c r="L62" s="6">
        <f t="shared" ca="1" si="3"/>
        <v>0</v>
      </c>
      <c r="M62" s="20">
        <f t="shared" ca="1" si="4"/>
        <v>6.3013698630136981</v>
      </c>
    </row>
    <row r="63" spans="2:119" ht="13.4" customHeight="1" x14ac:dyDescent="0.25">
      <c r="B63" s="1"/>
      <c r="E63" s="27">
        <v>59</v>
      </c>
      <c r="F63" s="6">
        <f t="shared" ca="1" si="1"/>
        <v>110</v>
      </c>
      <c r="G63" s="6">
        <f t="shared" ca="1" si="5"/>
        <v>230</v>
      </c>
      <c r="H63" s="6">
        <f t="shared" ca="1" si="6"/>
        <v>120</v>
      </c>
      <c r="I63" s="6">
        <f t="shared" ca="1" si="7"/>
        <v>0</v>
      </c>
      <c r="J63" s="6">
        <f t="shared" ca="1" si="8"/>
        <v>0</v>
      </c>
      <c r="K63" s="6">
        <f t="shared" ca="1" si="2"/>
        <v>0</v>
      </c>
      <c r="L63" s="6">
        <f t="shared" ca="1" si="3"/>
        <v>0</v>
      </c>
      <c r="M63" s="20">
        <f t="shared" ca="1" si="4"/>
        <v>3.2876712328767121</v>
      </c>
    </row>
    <row r="64" spans="2:119" ht="13.4" customHeight="1" x14ac:dyDescent="0.25">
      <c r="B64" s="1"/>
      <c r="E64" s="27">
        <v>60</v>
      </c>
      <c r="F64" s="6">
        <f t="shared" ca="1" si="1"/>
        <v>110</v>
      </c>
      <c r="G64" s="6">
        <f t="shared" ca="1" si="5"/>
        <v>120</v>
      </c>
      <c r="H64" s="6">
        <f t="shared" ca="1" si="6"/>
        <v>10</v>
      </c>
      <c r="I64" s="6">
        <f t="shared" ca="1" si="7"/>
        <v>1</v>
      </c>
      <c r="J64" s="6">
        <f t="shared" ca="1" si="8"/>
        <v>0</v>
      </c>
      <c r="K64" s="6">
        <f t="shared" ca="1" si="2"/>
        <v>0</v>
      </c>
      <c r="L64" s="6">
        <f t="shared" ca="1" si="3"/>
        <v>200</v>
      </c>
      <c r="M64" s="20">
        <f t="shared" ca="1" si="4"/>
        <v>0.27397260273972601</v>
      </c>
    </row>
    <row r="65" spans="2:13" ht="13.4" customHeight="1" x14ac:dyDescent="0.25">
      <c r="B65" s="1"/>
      <c r="E65" s="27">
        <v>61</v>
      </c>
      <c r="F65" s="6">
        <f t="shared" ca="1" si="1"/>
        <v>110</v>
      </c>
      <c r="G65" s="6">
        <f t="shared" ca="1" si="5"/>
        <v>1010</v>
      </c>
      <c r="H65" s="6">
        <f t="shared" ca="1" si="6"/>
        <v>900</v>
      </c>
      <c r="I65" s="6">
        <f t="shared" ca="1" si="7"/>
        <v>0</v>
      </c>
      <c r="J65" s="6">
        <f t="shared" ca="1" si="8"/>
        <v>0</v>
      </c>
      <c r="K65" s="6">
        <f t="shared" ca="1" si="2"/>
        <v>0</v>
      </c>
      <c r="L65" s="6">
        <f t="shared" ca="1" si="3"/>
        <v>0</v>
      </c>
      <c r="M65" s="20">
        <f t="shared" ca="1" si="4"/>
        <v>24.657534246575342</v>
      </c>
    </row>
    <row r="66" spans="2:13" ht="13.4" customHeight="1" x14ac:dyDescent="0.25">
      <c r="B66" s="1"/>
      <c r="E66" s="27">
        <v>62</v>
      </c>
      <c r="F66" s="6">
        <f t="shared" ca="1" si="1"/>
        <v>120</v>
      </c>
      <c r="G66" s="6">
        <f t="shared" ca="1" si="5"/>
        <v>900</v>
      </c>
      <c r="H66" s="6">
        <f t="shared" ca="1" si="6"/>
        <v>780</v>
      </c>
      <c r="I66" s="6">
        <f t="shared" ca="1" si="7"/>
        <v>0</v>
      </c>
      <c r="J66" s="6">
        <f t="shared" ca="1" si="8"/>
        <v>0</v>
      </c>
      <c r="K66" s="6">
        <f t="shared" ca="1" si="2"/>
        <v>0</v>
      </c>
      <c r="L66" s="6">
        <f t="shared" ca="1" si="3"/>
        <v>0</v>
      </c>
      <c r="M66" s="20">
        <f t="shared" ca="1" si="4"/>
        <v>21.36986301369863</v>
      </c>
    </row>
    <row r="67" spans="2:13" ht="13.4" customHeight="1" x14ac:dyDescent="0.25">
      <c r="B67" s="1"/>
      <c r="E67" s="27">
        <v>63</v>
      </c>
      <c r="F67" s="6">
        <f t="shared" ca="1" si="1"/>
        <v>100</v>
      </c>
      <c r="G67" s="6">
        <f t="shared" ca="1" si="5"/>
        <v>780</v>
      </c>
      <c r="H67" s="6">
        <f t="shared" ca="1" si="6"/>
        <v>680</v>
      </c>
      <c r="I67" s="6">
        <f t="shared" ca="1" si="7"/>
        <v>0</v>
      </c>
      <c r="J67" s="6">
        <f t="shared" ca="1" si="8"/>
        <v>0</v>
      </c>
      <c r="K67" s="6">
        <f t="shared" ca="1" si="2"/>
        <v>0</v>
      </c>
      <c r="L67" s="6">
        <f t="shared" ca="1" si="3"/>
        <v>0</v>
      </c>
      <c r="M67" s="20">
        <f t="shared" ca="1" si="4"/>
        <v>18.63013698630137</v>
      </c>
    </row>
    <row r="68" spans="2:13" ht="13.4" customHeight="1" x14ac:dyDescent="0.25">
      <c r="B68" s="1"/>
      <c r="E68" s="27">
        <v>64</v>
      </c>
      <c r="F68" s="6">
        <f t="shared" ca="1" si="1"/>
        <v>110</v>
      </c>
      <c r="G68" s="6">
        <f t="shared" ca="1" si="5"/>
        <v>680</v>
      </c>
      <c r="H68" s="6">
        <f t="shared" ca="1" si="6"/>
        <v>570</v>
      </c>
      <c r="I68" s="6">
        <f t="shared" ca="1" si="7"/>
        <v>0</v>
      </c>
      <c r="J68" s="6">
        <f t="shared" ca="1" si="8"/>
        <v>0</v>
      </c>
      <c r="K68" s="6">
        <f t="shared" ca="1" si="2"/>
        <v>0</v>
      </c>
      <c r="L68" s="6">
        <f t="shared" ca="1" si="3"/>
        <v>0</v>
      </c>
      <c r="M68" s="20">
        <f t="shared" ca="1" si="4"/>
        <v>15.616438356164382</v>
      </c>
    </row>
    <row r="69" spans="2:13" ht="13.4" customHeight="1" x14ac:dyDescent="0.25">
      <c r="B69" s="1"/>
      <c r="E69" s="27">
        <v>65</v>
      </c>
      <c r="F69" s="6">
        <f t="shared" ref="F69:F132" ca="1" si="13">INDEX($R$17:$R$21,MATCH(RAND(),$T$17:$T$22,1))</f>
        <v>110</v>
      </c>
      <c r="G69" s="6">
        <f t="shared" ca="1" si="5"/>
        <v>570</v>
      </c>
      <c r="H69" s="6">
        <f t="shared" ca="1" si="6"/>
        <v>460</v>
      </c>
      <c r="I69" s="6">
        <f t="shared" ca="1" si="7"/>
        <v>0</v>
      </c>
      <c r="J69" s="6">
        <f t="shared" ca="1" si="8"/>
        <v>0</v>
      </c>
      <c r="K69" s="6">
        <f t="shared" ca="1" si="2"/>
        <v>0</v>
      </c>
      <c r="L69" s="6">
        <f t="shared" ca="1" si="3"/>
        <v>0</v>
      </c>
      <c r="M69" s="20">
        <f t="shared" ca="1" si="4"/>
        <v>12.602739726027396</v>
      </c>
    </row>
    <row r="70" spans="2:13" ht="13.4" customHeight="1" x14ac:dyDescent="0.25">
      <c r="B70" s="1"/>
      <c r="E70" s="27">
        <v>66</v>
      </c>
      <c r="F70" s="6">
        <f t="shared" ca="1" si="13"/>
        <v>100</v>
      </c>
      <c r="G70" s="6">
        <f t="shared" ca="1" si="5"/>
        <v>460</v>
      </c>
      <c r="H70" s="6">
        <f t="shared" ca="1" si="6"/>
        <v>360</v>
      </c>
      <c r="I70" s="6">
        <f t="shared" ca="1" si="7"/>
        <v>0</v>
      </c>
      <c r="J70" s="6">
        <f t="shared" ca="1" si="8"/>
        <v>0</v>
      </c>
      <c r="K70" s="6">
        <f t="shared" ref="K70:K133" ca="1" si="14">J70*$C$8</f>
        <v>0</v>
      </c>
      <c r="L70" s="6">
        <f t="shared" ref="L70:L133" ca="1" si="15">I70*$C$4</f>
        <v>0</v>
      </c>
      <c r="M70" s="20">
        <f t="shared" ref="M70:M133" ca="1" si="16">H70*$C$7</f>
        <v>9.8630136986301373</v>
      </c>
    </row>
    <row r="71" spans="2:13" ht="13.4" customHeight="1" x14ac:dyDescent="0.25">
      <c r="B71" s="1"/>
      <c r="E71" s="27">
        <v>67</v>
      </c>
      <c r="F71" s="6">
        <f t="shared" ca="1" si="13"/>
        <v>80</v>
      </c>
      <c r="G71" s="6">
        <f t="shared" ref="G71:G134" ca="1" si="17">H70+I70*$C$9</f>
        <v>360</v>
      </c>
      <c r="H71" s="6">
        <f t="shared" ref="H71:H134" ca="1" si="18">MAX(G71-F71,0)</f>
        <v>280</v>
      </c>
      <c r="I71" s="6">
        <f t="shared" ref="I71:I134" ca="1" si="19">IF(H71&lt;$C$3,1,0)</f>
        <v>0</v>
      </c>
      <c r="J71" s="6">
        <f t="shared" ref="J71:J134" ca="1" si="20">-MIN(G71-F71,0)</f>
        <v>0</v>
      </c>
      <c r="K71" s="6">
        <f t="shared" ca="1" si="14"/>
        <v>0</v>
      </c>
      <c r="L71" s="6">
        <f t="shared" ca="1" si="15"/>
        <v>0</v>
      </c>
      <c r="M71" s="20">
        <f t="shared" ca="1" si="16"/>
        <v>7.6712328767123283</v>
      </c>
    </row>
    <row r="72" spans="2:13" ht="13.4" customHeight="1" x14ac:dyDescent="0.25">
      <c r="B72" s="1"/>
      <c r="E72" s="27">
        <v>68</v>
      </c>
      <c r="F72" s="6">
        <f t="shared" ca="1" si="13"/>
        <v>100</v>
      </c>
      <c r="G72" s="6">
        <f t="shared" ca="1" si="17"/>
        <v>280</v>
      </c>
      <c r="H72" s="6">
        <f t="shared" ca="1" si="18"/>
        <v>180</v>
      </c>
      <c r="I72" s="6">
        <f t="shared" ca="1" si="19"/>
        <v>0</v>
      </c>
      <c r="J72" s="6">
        <f t="shared" ca="1" si="20"/>
        <v>0</v>
      </c>
      <c r="K72" s="6">
        <f t="shared" ca="1" si="14"/>
        <v>0</v>
      </c>
      <c r="L72" s="6">
        <f t="shared" ca="1" si="15"/>
        <v>0</v>
      </c>
      <c r="M72" s="20">
        <f t="shared" ca="1" si="16"/>
        <v>4.9315068493150687</v>
      </c>
    </row>
    <row r="73" spans="2:13" ht="13.4" customHeight="1" x14ac:dyDescent="0.25">
      <c r="B73" s="1"/>
      <c r="E73" s="27">
        <v>69</v>
      </c>
      <c r="F73" s="6">
        <f t="shared" ca="1" si="13"/>
        <v>110</v>
      </c>
      <c r="G73" s="6">
        <f t="shared" ca="1" si="17"/>
        <v>180</v>
      </c>
      <c r="H73" s="6">
        <f t="shared" ca="1" si="18"/>
        <v>70</v>
      </c>
      <c r="I73" s="6">
        <f t="shared" ca="1" si="19"/>
        <v>1</v>
      </c>
      <c r="J73" s="6">
        <f t="shared" ca="1" si="20"/>
        <v>0</v>
      </c>
      <c r="K73" s="6">
        <f t="shared" ca="1" si="14"/>
        <v>0</v>
      </c>
      <c r="L73" s="6">
        <f t="shared" ca="1" si="15"/>
        <v>200</v>
      </c>
      <c r="M73" s="20">
        <f t="shared" ca="1" si="16"/>
        <v>1.9178082191780821</v>
      </c>
    </row>
    <row r="74" spans="2:13" ht="13.4" customHeight="1" x14ac:dyDescent="0.25">
      <c r="B74" s="1"/>
      <c r="E74" s="27">
        <v>70</v>
      </c>
      <c r="F74" s="6">
        <f t="shared" ca="1" si="13"/>
        <v>100</v>
      </c>
      <c r="G74" s="6">
        <f t="shared" ca="1" si="17"/>
        <v>1070</v>
      </c>
      <c r="H74" s="6">
        <f t="shared" ca="1" si="18"/>
        <v>970</v>
      </c>
      <c r="I74" s="6">
        <f t="shared" ca="1" si="19"/>
        <v>0</v>
      </c>
      <c r="J74" s="6">
        <f t="shared" ca="1" si="20"/>
        <v>0</v>
      </c>
      <c r="K74" s="6">
        <f t="shared" ca="1" si="14"/>
        <v>0</v>
      </c>
      <c r="L74" s="6">
        <f t="shared" ca="1" si="15"/>
        <v>0</v>
      </c>
      <c r="M74" s="20">
        <f t="shared" ca="1" si="16"/>
        <v>26.575342465753423</v>
      </c>
    </row>
    <row r="75" spans="2:13" ht="13.4" customHeight="1" x14ac:dyDescent="0.25">
      <c r="B75" s="1"/>
      <c r="E75" s="27">
        <v>71</v>
      </c>
      <c r="F75" s="6">
        <f t="shared" ca="1" si="13"/>
        <v>100</v>
      </c>
      <c r="G75" s="6">
        <f t="shared" ca="1" si="17"/>
        <v>970</v>
      </c>
      <c r="H75" s="6">
        <f t="shared" ca="1" si="18"/>
        <v>870</v>
      </c>
      <c r="I75" s="6">
        <f t="shared" ca="1" si="19"/>
        <v>0</v>
      </c>
      <c r="J75" s="6">
        <f t="shared" ca="1" si="20"/>
        <v>0</v>
      </c>
      <c r="K75" s="6">
        <f t="shared" ca="1" si="14"/>
        <v>0</v>
      </c>
      <c r="L75" s="6">
        <f t="shared" ca="1" si="15"/>
        <v>0</v>
      </c>
      <c r="M75" s="20">
        <f t="shared" ca="1" si="16"/>
        <v>23.835616438356162</v>
      </c>
    </row>
    <row r="76" spans="2:13" ht="13.4" customHeight="1" x14ac:dyDescent="0.25">
      <c r="B76" s="1"/>
      <c r="E76" s="27">
        <v>72</v>
      </c>
      <c r="F76" s="6">
        <f t="shared" ca="1" si="13"/>
        <v>90</v>
      </c>
      <c r="G76" s="6">
        <f t="shared" ca="1" si="17"/>
        <v>870</v>
      </c>
      <c r="H76" s="6">
        <f t="shared" ca="1" si="18"/>
        <v>780</v>
      </c>
      <c r="I76" s="6">
        <f t="shared" ca="1" si="19"/>
        <v>0</v>
      </c>
      <c r="J76" s="6">
        <f t="shared" ca="1" si="20"/>
        <v>0</v>
      </c>
      <c r="K76" s="6">
        <f t="shared" ca="1" si="14"/>
        <v>0</v>
      </c>
      <c r="L76" s="6">
        <f t="shared" ca="1" si="15"/>
        <v>0</v>
      </c>
      <c r="M76" s="20">
        <f t="shared" ca="1" si="16"/>
        <v>21.36986301369863</v>
      </c>
    </row>
    <row r="77" spans="2:13" ht="13.4" customHeight="1" x14ac:dyDescent="0.25">
      <c r="B77" s="1"/>
      <c r="E77" s="27">
        <v>73</v>
      </c>
      <c r="F77" s="6">
        <f t="shared" ca="1" si="13"/>
        <v>90</v>
      </c>
      <c r="G77" s="6">
        <f t="shared" ca="1" si="17"/>
        <v>780</v>
      </c>
      <c r="H77" s="6">
        <f t="shared" ca="1" si="18"/>
        <v>690</v>
      </c>
      <c r="I77" s="6">
        <f t="shared" ca="1" si="19"/>
        <v>0</v>
      </c>
      <c r="J77" s="6">
        <f t="shared" ca="1" si="20"/>
        <v>0</v>
      </c>
      <c r="K77" s="6">
        <f t="shared" ca="1" si="14"/>
        <v>0</v>
      </c>
      <c r="L77" s="6">
        <f t="shared" ca="1" si="15"/>
        <v>0</v>
      </c>
      <c r="M77" s="20">
        <f t="shared" ca="1" si="16"/>
        <v>18.904109589041095</v>
      </c>
    </row>
    <row r="78" spans="2:13" ht="13.4" customHeight="1" x14ac:dyDescent="0.25">
      <c r="B78" s="1"/>
      <c r="E78" s="27">
        <v>74</v>
      </c>
      <c r="F78" s="6">
        <f t="shared" ca="1" si="13"/>
        <v>110</v>
      </c>
      <c r="G78" s="6">
        <f t="shared" ca="1" si="17"/>
        <v>690</v>
      </c>
      <c r="H78" s="6">
        <f t="shared" ca="1" si="18"/>
        <v>580</v>
      </c>
      <c r="I78" s="6">
        <f t="shared" ca="1" si="19"/>
        <v>0</v>
      </c>
      <c r="J78" s="6">
        <f t="shared" ca="1" si="20"/>
        <v>0</v>
      </c>
      <c r="K78" s="6">
        <f t="shared" ca="1" si="14"/>
        <v>0</v>
      </c>
      <c r="L78" s="6">
        <f t="shared" ca="1" si="15"/>
        <v>0</v>
      </c>
      <c r="M78" s="20">
        <f t="shared" ca="1" si="16"/>
        <v>15.890410958904109</v>
      </c>
    </row>
    <row r="79" spans="2:13" ht="13.4" customHeight="1" x14ac:dyDescent="0.25">
      <c r="B79" s="1"/>
      <c r="E79" s="27">
        <v>75</v>
      </c>
      <c r="F79" s="6">
        <f t="shared" ca="1" si="13"/>
        <v>100</v>
      </c>
      <c r="G79" s="6">
        <f t="shared" ca="1" si="17"/>
        <v>580</v>
      </c>
      <c r="H79" s="6">
        <f t="shared" ca="1" si="18"/>
        <v>480</v>
      </c>
      <c r="I79" s="6">
        <f t="shared" ca="1" si="19"/>
        <v>0</v>
      </c>
      <c r="J79" s="6">
        <f t="shared" ca="1" si="20"/>
        <v>0</v>
      </c>
      <c r="K79" s="6">
        <f t="shared" ca="1" si="14"/>
        <v>0</v>
      </c>
      <c r="L79" s="6">
        <f t="shared" ca="1" si="15"/>
        <v>0</v>
      </c>
      <c r="M79" s="20">
        <f t="shared" ca="1" si="16"/>
        <v>13.150684931506849</v>
      </c>
    </row>
    <row r="80" spans="2:13" ht="13.4" customHeight="1" x14ac:dyDescent="0.25">
      <c r="B80" s="1"/>
      <c r="E80" s="27">
        <v>76</v>
      </c>
      <c r="F80" s="6">
        <f t="shared" ca="1" si="13"/>
        <v>100</v>
      </c>
      <c r="G80" s="6">
        <f t="shared" ca="1" si="17"/>
        <v>480</v>
      </c>
      <c r="H80" s="6">
        <f t="shared" ca="1" si="18"/>
        <v>380</v>
      </c>
      <c r="I80" s="6">
        <f t="shared" ca="1" si="19"/>
        <v>0</v>
      </c>
      <c r="J80" s="6">
        <f t="shared" ca="1" si="20"/>
        <v>0</v>
      </c>
      <c r="K80" s="6">
        <f t="shared" ca="1" si="14"/>
        <v>0</v>
      </c>
      <c r="L80" s="6">
        <f t="shared" ca="1" si="15"/>
        <v>0</v>
      </c>
      <c r="M80" s="20">
        <f t="shared" ca="1" si="16"/>
        <v>10.410958904109588</v>
      </c>
    </row>
    <row r="81" spans="2:13" ht="13.4" customHeight="1" x14ac:dyDescent="0.25">
      <c r="B81" s="1"/>
      <c r="E81" s="27">
        <v>77</v>
      </c>
      <c r="F81" s="6">
        <f t="shared" ca="1" si="13"/>
        <v>100</v>
      </c>
      <c r="G81" s="6">
        <f t="shared" ca="1" si="17"/>
        <v>380</v>
      </c>
      <c r="H81" s="6">
        <f t="shared" ca="1" si="18"/>
        <v>280</v>
      </c>
      <c r="I81" s="6">
        <f t="shared" ca="1" si="19"/>
        <v>0</v>
      </c>
      <c r="J81" s="6">
        <f t="shared" ca="1" si="20"/>
        <v>0</v>
      </c>
      <c r="K81" s="6">
        <f t="shared" ca="1" si="14"/>
        <v>0</v>
      </c>
      <c r="L81" s="6">
        <f t="shared" ca="1" si="15"/>
        <v>0</v>
      </c>
      <c r="M81" s="20">
        <f t="shared" ca="1" si="16"/>
        <v>7.6712328767123283</v>
      </c>
    </row>
    <row r="82" spans="2:13" ht="13.4" customHeight="1" x14ac:dyDescent="0.25">
      <c r="B82" s="1"/>
      <c r="E82" s="27">
        <v>78</v>
      </c>
      <c r="F82" s="6">
        <f t="shared" ca="1" si="13"/>
        <v>120</v>
      </c>
      <c r="G82" s="6">
        <f t="shared" ca="1" si="17"/>
        <v>280</v>
      </c>
      <c r="H82" s="6">
        <f t="shared" ca="1" si="18"/>
        <v>160</v>
      </c>
      <c r="I82" s="6">
        <f t="shared" ca="1" si="19"/>
        <v>0</v>
      </c>
      <c r="J82" s="6">
        <f t="shared" ca="1" si="20"/>
        <v>0</v>
      </c>
      <c r="K82" s="6">
        <f t="shared" ca="1" si="14"/>
        <v>0</v>
      </c>
      <c r="L82" s="6">
        <f t="shared" ca="1" si="15"/>
        <v>0</v>
      </c>
      <c r="M82" s="20">
        <f t="shared" ca="1" si="16"/>
        <v>4.3835616438356162</v>
      </c>
    </row>
    <row r="83" spans="2:13" ht="13.4" customHeight="1" x14ac:dyDescent="0.25">
      <c r="B83" s="1"/>
      <c r="E83" s="27">
        <v>79</v>
      </c>
      <c r="F83" s="6">
        <f t="shared" ca="1" si="13"/>
        <v>120</v>
      </c>
      <c r="G83" s="6">
        <f t="shared" ca="1" si="17"/>
        <v>160</v>
      </c>
      <c r="H83" s="6">
        <f t="shared" ca="1" si="18"/>
        <v>40</v>
      </c>
      <c r="I83" s="6">
        <f t="shared" ca="1" si="19"/>
        <v>1</v>
      </c>
      <c r="J83" s="6">
        <f t="shared" ca="1" si="20"/>
        <v>0</v>
      </c>
      <c r="K83" s="6">
        <f t="shared" ca="1" si="14"/>
        <v>0</v>
      </c>
      <c r="L83" s="6">
        <f t="shared" ca="1" si="15"/>
        <v>200</v>
      </c>
      <c r="M83" s="20">
        <f t="shared" ca="1" si="16"/>
        <v>1.095890410958904</v>
      </c>
    </row>
    <row r="84" spans="2:13" ht="13.4" customHeight="1" x14ac:dyDescent="0.25">
      <c r="B84" s="1"/>
      <c r="E84" s="27">
        <v>80</v>
      </c>
      <c r="F84" s="6">
        <f t="shared" ca="1" si="13"/>
        <v>80</v>
      </c>
      <c r="G84" s="6">
        <f t="shared" ca="1" si="17"/>
        <v>1040</v>
      </c>
      <c r="H84" s="6">
        <f t="shared" ca="1" si="18"/>
        <v>960</v>
      </c>
      <c r="I84" s="6">
        <f t="shared" ca="1" si="19"/>
        <v>0</v>
      </c>
      <c r="J84" s="6">
        <f t="shared" ca="1" si="20"/>
        <v>0</v>
      </c>
      <c r="K84" s="6">
        <f t="shared" ca="1" si="14"/>
        <v>0</v>
      </c>
      <c r="L84" s="6">
        <f t="shared" ca="1" si="15"/>
        <v>0</v>
      </c>
      <c r="M84" s="20">
        <f t="shared" ca="1" si="16"/>
        <v>26.301369863013697</v>
      </c>
    </row>
    <row r="85" spans="2:13" ht="13.4" customHeight="1" x14ac:dyDescent="0.25">
      <c r="B85" s="1"/>
      <c r="E85" s="27">
        <v>81</v>
      </c>
      <c r="F85" s="6">
        <f t="shared" ca="1" si="13"/>
        <v>90</v>
      </c>
      <c r="G85" s="6">
        <f t="shared" ca="1" si="17"/>
        <v>960</v>
      </c>
      <c r="H85" s="6">
        <f t="shared" ca="1" si="18"/>
        <v>870</v>
      </c>
      <c r="I85" s="6">
        <f t="shared" ca="1" si="19"/>
        <v>0</v>
      </c>
      <c r="J85" s="6">
        <f t="shared" ca="1" si="20"/>
        <v>0</v>
      </c>
      <c r="K85" s="6">
        <f t="shared" ca="1" si="14"/>
        <v>0</v>
      </c>
      <c r="L85" s="6">
        <f t="shared" ca="1" si="15"/>
        <v>0</v>
      </c>
      <c r="M85" s="20">
        <f t="shared" ca="1" si="16"/>
        <v>23.835616438356162</v>
      </c>
    </row>
    <row r="86" spans="2:13" ht="13.4" customHeight="1" x14ac:dyDescent="0.25">
      <c r="B86" s="1"/>
      <c r="E86" s="27">
        <v>82</v>
      </c>
      <c r="F86" s="6">
        <f t="shared" ca="1" si="13"/>
        <v>120</v>
      </c>
      <c r="G86" s="6">
        <f t="shared" ca="1" si="17"/>
        <v>870</v>
      </c>
      <c r="H86" s="6">
        <f t="shared" ca="1" si="18"/>
        <v>750</v>
      </c>
      <c r="I86" s="6">
        <f t="shared" ca="1" si="19"/>
        <v>0</v>
      </c>
      <c r="J86" s="6">
        <f t="shared" ca="1" si="20"/>
        <v>0</v>
      </c>
      <c r="K86" s="6">
        <f t="shared" ca="1" si="14"/>
        <v>0</v>
      </c>
      <c r="L86" s="6">
        <f t="shared" ca="1" si="15"/>
        <v>0</v>
      </c>
      <c r="M86" s="20">
        <f t="shared" ca="1" si="16"/>
        <v>20.547945205479451</v>
      </c>
    </row>
    <row r="87" spans="2:13" ht="13.4" customHeight="1" x14ac:dyDescent="0.25">
      <c r="B87" s="1"/>
      <c r="E87" s="27">
        <v>83</v>
      </c>
      <c r="F87" s="6">
        <f t="shared" ca="1" si="13"/>
        <v>90</v>
      </c>
      <c r="G87" s="6">
        <f t="shared" ca="1" si="17"/>
        <v>750</v>
      </c>
      <c r="H87" s="6">
        <f t="shared" ca="1" si="18"/>
        <v>660</v>
      </c>
      <c r="I87" s="6">
        <f t="shared" ca="1" si="19"/>
        <v>0</v>
      </c>
      <c r="J87" s="6">
        <f t="shared" ca="1" si="20"/>
        <v>0</v>
      </c>
      <c r="K87" s="6">
        <f t="shared" ca="1" si="14"/>
        <v>0</v>
      </c>
      <c r="L87" s="6">
        <f t="shared" ca="1" si="15"/>
        <v>0</v>
      </c>
      <c r="M87" s="20">
        <f t="shared" ca="1" si="16"/>
        <v>18.082191780821915</v>
      </c>
    </row>
    <row r="88" spans="2:13" ht="13.4" customHeight="1" x14ac:dyDescent="0.25">
      <c r="B88" s="1"/>
      <c r="E88" s="27">
        <v>84</v>
      </c>
      <c r="F88" s="6">
        <f t="shared" ca="1" si="13"/>
        <v>110</v>
      </c>
      <c r="G88" s="6">
        <f t="shared" ca="1" si="17"/>
        <v>660</v>
      </c>
      <c r="H88" s="6">
        <f t="shared" ca="1" si="18"/>
        <v>550</v>
      </c>
      <c r="I88" s="6">
        <f t="shared" ca="1" si="19"/>
        <v>0</v>
      </c>
      <c r="J88" s="6">
        <f t="shared" ca="1" si="20"/>
        <v>0</v>
      </c>
      <c r="K88" s="6">
        <f t="shared" ca="1" si="14"/>
        <v>0</v>
      </c>
      <c r="L88" s="6">
        <f t="shared" ca="1" si="15"/>
        <v>0</v>
      </c>
      <c r="M88" s="20">
        <f t="shared" ca="1" si="16"/>
        <v>15.068493150684931</v>
      </c>
    </row>
    <row r="89" spans="2:13" ht="13.4" customHeight="1" x14ac:dyDescent="0.25">
      <c r="B89" s="1"/>
      <c r="E89" s="27">
        <v>85</v>
      </c>
      <c r="F89" s="6">
        <f t="shared" ca="1" si="13"/>
        <v>90</v>
      </c>
      <c r="G89" s="6">
        <f t="shared" ca="1" si="17"/>
        <v>550</v>
      </c>
      <c r="H89" s="6">
        <f t="shared" ca="1" si="18"/>
        <v>460</v>
      </c>
      <c r="I89" s="6">
        <f t="shared" ca="1" si="19"/>
        <v>0</v>
      </c>
      <c r="J89" s="6">
        <f t="shared" ca="1" si="20"/>
        <v>0</v>
      </c>
      <c r="K89" s="6">
        <f t="shared" ca="1" si="14"/>
        <v>0</v>
      </c>
      <c r="L89" s="6">
        <f t="shared" ca="1" si="15"/>
        <v>0</v>
      </c>
      <c r="M89" s="20">
        <f t="shared" ca="1" si="16"/>
        <v>12.602739726027396</v>
      </c>
    </row>
    <row r="90" spans="2:13" ht="13.4" customHeight="1" x14ac:dyDescent="0.25">
      <c r="B90" s="1"/>
      <c r="E90" s="27">
        <v>86</v>
      </c>
      <c r="F90" s="6">
        <f t="shared" ca="1" si="13"/>
        <v>100</v>
      </c>
      <c r="G90" s="6">
        <f t="shared" ca="1" si="17"/>
        <v>460</v>
      </c>
      <c r="H90" s="6">
        <f t="shared" ca="1" si="18"/>
        <v>360</v>
      </c>
      <c r="I90" s="6">
        <f t="shared" ca="1" si="19"/>
        <v>0</v>
      </c>
      <c r="J90" s="6">
        <f t="shared" ca="1" si="20"/>
        <v>0</v>
      </c>
      <c r="K90" s="6">
        <f t="shared" ca="1" si="14"/>
        <v>0</v>
      </c>
      <c r="L90" s="6">
        <f t="shared" ca="1" si="15"/>
        <v>0</v>
      </c>
      <c r="M90" s="20">
        <f t="shared" ca="1" si="16"/>
        <v>9.8630136986301373</v>
      </c>
    </row>
    <row r="91" spans="2:13" ht="13.4" customHeight="1" x14ac:dyDescent="0.25">
      <c r="B91" s="1"/>
      <c r="E91" s="27">
        <v>87</v>
      </c>
      <c r="F91" s="6">
        <f t="shared" ca="1" si="13"/>
        <v>80</v>
      </c>
      <c r="G91" s="6">
        <f t="shared" ca="1" si="17"/>
        <v>360</v>
      </c>
      <c r="H91" s="6">
        <f t="shared" ca="1" si="18"/>
        <v>280</v>
      </c>
      <c r="I91" s="6">
        <f t="shared" ca="1" si="19"/>
        <v>0</v>
      </c>
      <c r="J91" s="6">
        <f t="shared" ca="1" si="20"/>
        <v>0</v>
      </c>
      <c r="K91" s="6">
        <f t="shared" ca="1" si="14"/>
        <v>0</v>
      </c>
      <c r="L91" s="6">
        <f t="shared" ca="1" si="15"/>
        <v>0</v>
      </c>
      <c r="M91" s="20">
        <f t="shared" ca="1" si="16"/>
        <v>7.6712328767123283</v>
      </c>
    </row>
    <row r="92" spans="2:13" ht="13.4" customHeight="1" x14ac:dyDescent="0.25">
      <c r="B92" s="1"/>
      <c r="E92" s="27">
        <v>88</v>
      </c>
      <c r="F92" s="6">
        <f t="shared" ca="1" si="13"/>
        <v>90</v>
      </c>
      <c r="G92" s="6">
        <f t="shared" ca="1" si="17"/>
        <v>280</v>
      </c>
      <c r="H92" s="6">
        <f t="shared" ca="1" si="18"/>
        <v>190</v>
      </c>
      <c r="I92" s="6">
        <f t="shared" ca="1" si="19"/>
        <v>0</v>
      </c>
      <c r="J92" s="6">
        <f t="shared" ca="1" si="20"/>
        <v>0</v>
      </c>
      <c r="K92" s="6">
        <f t="shared" ca="1" si="14"/>
        <v>0</v>
      </c>
      <c r="L92" s="6">
        <f t="shared" ca="1" si="15"/>
        <v>0</v>
      </c>
      <c r="M92" s="20">
        <f t="shared" ca="1" si="16"/>
        <v>5.205479452054794</v>
      </c>
    </row>
    <row r="93" spans="2:13" ht="13.4" customHeight="1" x14ac:dyDescent="0.25">
      <c r="B93" s="1"/>
      <c r="E93" s="27">
        <v>89</v>
      </c>
      <c r="F93" s="6">
        <f t="shared" ca="1" si="13"/>
        <v>110</v>
      </c>
      <c r="G93" s="6">
        <f t="shared" ca="1" si="17"/>
        <v>190</v>
      </c>
      <c r="H93" s="6">
        <f t="shared" ca="1" si="18"/>
        <v>80</v>
      </c>
      <c r="I93" s="6">
        <f t="shared" ca="1" si="19"/>
        <v>1</v>
      </c>
      <c r="J93" s="6">
        <f t="shared" ca="1" si="20"/>
        <v>0</v>
      </c>
      <c r="K93" s="6">
        <f t="shared" ca="1" si="14"/>
        <v>0</v>
      </c>
      <c r="L93" s="6">
        <f t="shared" ca="1" si="15"/>
        <v>200</v>
      </c>
      <c r="M93" s="20">
        <f t="shared" ca="1" si="16"/>
        <v>2.1917808219178081</v>
      </c>
    </row>
    <row r="94" spans="2:13" ht="13.4" customHeight="1" x14ac:dyDescent="0.25">
      <c r="B94" s="1"/>
      <c r="E94" s="27">
        <v>90</v>
      </c>
      <c r="F94" s="6">
        <f t="shared" ca="1" si="13"/>
        <v>100</v>
      </c>
      <c r="G94" s="6">
        <f t="shared" ca="1" si="17"/>
        <v>1080</v>
      </c>
      <c r="H94" s="6">
        <f t="shared" ca="1" si="18"/>
        <v>980</v>
      </c>
      <c r="I94" s="6">
        <f t="shared" ca="1" si="19"/>
        <v>0</v>
      </c>
      <c r="J94" s="6">
        <f t="shared" ca="1" si="20"/>
        <v>0</v>
      </c>
      <c r="K94" s="6">
        <f t="shared" ca="1" si="14"/>
        <v>0</v>
      </c>
      <c r="L94" s="6">
        <f t="shared" ca="1" si="15"/>
        <v>0</v>
      </c>
      <c r="M94" s="20">
        <f t="shared" ca="1" si="16"/>
        <v>26.849315068493148</v>
      </c>
    </row>
    <row r="95" spans="2:13" ht="13.4" customHeight="1" x14ac:dyDescent="0.25">
      <c r="B95" s="1"/>
      <c r="E95" s="27">
        <v>91</v>
      </c>
      <c r="F95" s="6">
        <f t="shared" ca="1" si="13"/>
        <v>110</v>
      </c>
      <c r="G95" s="6">
        <f t="shared" ca="1" si="17"/>
        <v>980</v>
      </c>
      <c r="H95" s="6">
        <f t="shared" ca="1" si="18"/>
        <v>870</v>
      </c>
      <c r="I95" s="6">
        <f t="shared" ca="1" si="19"/>
        <v>0</v>
      </c>
      <c r="J95" s="6">
        <f t="shared" ca="1" si="20"/>
        <v>0</v>
      </c>
      <c r="K95" s="6">
        <f t="shared" ca="1" si="14"/>
        <v>0</v>
      </c>
      <c r="L95" s="6">
        <f t="shared" ca="1" si="15"/>
        <v>0</v>
      </c>
      <c r="M95" s="20">
        <f t="shared" ca="1" si="16"/>
        <v>23.835616438356162</v>
      </c>
    </row>
    <row r="96" spans="2:13" ht="13.4" customHeight="1" x14ac:dyDescent="0.25">
      <c r="B96" s="1"/>
      <c r="E96" s="27">
        <v>92</v>
      </c>
      <c r="F96" s="6">
        <f t="shared" ca="1" si="13"/>
        <v>100</v>
      </c>
      <c r="G96" s="6">
        <f t="shared" ca="1" si="17"/>
        <v>870</v>
      </c>
      <c r="H96" s="6">
        <f t="shared" ca="1" si="18"/>
        <v>770</v>
      </c>
      <c r="I96" s="6">
        <f t="shared" ca="1" si="19"/>
        <v>0</v>
      </c>
      <c r="J96" s="6">
        <f t="shared" ca="1" si="20"/>
        <v>0</v>
      </c>
      <c r="K96" s="6">
        <f t="shared" ca="1" si="14"/>
        <v>0</v>
      </c>
      <c r="L96" s="6">
        <f t="shared" ca="1" si="15"/>
        <v>0</v>
      </c>
      <c r="M96" s="20">
        <f t="shared" ca="1" si="16"/>
        <v>21.095890410958901</v>
      </c>
    </row>
    <row r="97" spans="2:13" ht="13.4" customHeight="1" x14ac:dyDescent="0.25">
      <c r="B97" s="1"/>
      <c r="E97" s="27">
        <v>93</v>
      </c>
      <c r="F97" s="6">
        <f t="shared" ca="1" si="13"/>
        <v>80</v>
      </c>
      <c r="G97" s="6">
        <f t="shared" ca="1" si="17"/>
        <v>770</v>
      </c>
      <c r="H97" s="6">
        <f t="shared" ca="1" si="18"/>
        <v>690</v>
      </c>
      <c r="I97" s="6">
        <f t="shared" ca="1" si="19"/>
        <v>0</v>
      </c>
      <c r="J97" s="6">
        <f t="shared" ca="1" si="20"/>
        <v>0</v>
      </c>
      <c r="K97" s="6">
        <f t="shared" ca="1" si="14"/>
        <v>0</v>
      </c>
      <c r="L97" s="6">
        <f t="shared" ca="1" si="15"/>
        <v>0</v>
      </c>
      <c r="M97" s="20">
        <f t="shared" ca="1" si="16"/>
        <v>18.904109589041095</v>
      </c>
    </row>
    <row r="98" spans="2:13" ht="13.4" customHeight="1" x14ac:dyDescent="0.25">
      <c r="B98" s="1"/>
      <c r="E98" s="27">
        <v>94</v>
      </c>
      <c r="F98" s="6">
        <f t="shared" ca="1" si="13"/>
        <v>100</v>
      </c>
      <c r="G98" s="6">
        <f t="shared" ca="1" si="17"/>
        <v>690</v>
      </c>
      <c r="H98" s="6">
        <f t="shared" ca="1" si="18"/>
        <v>590</v>
      </c>
      <c r="I98" s="6">
        <f t="shared" ca="1" si="19"/>
        <v>0</v>
      </c>
      <c r="J98" s="6">
        <f t="shared" ca="1" si="20"/>
        <v>0</v>
      </c>
      <c r="K98" s="6">
        <f t="shared" ca="1" si="14"/>
        <v>0</v>
      </c>
      <c r="L98" s="6">
        <f t="shared" ca="1" si="15"/>
        <v>0</v>
      </c>
      <c r="M98" s="20">
        <f t="shared" ca="1" si="16"/>
        <v>16.164383561643834</v>
      </c>
    </row>
    <row r="99" spans="2:13" ht="13.4" customHeight="1" x14ac:dyDescent="0.25">
      <c r="B99" s="1"/>
      <c r="E99" s="27">
        <v>95</v>
      </c>
      <c r="F99" s="6">
        <f t="shared" ca="1" si="13"/>
        <v>100</v>
      </c>
      <c r="G99" s="6">
        <f t="shared" ca="1" si="17"/>
        <v>590</v>
      </c>
      <c r="H99" s="6">
        <f t="shared" ca="1" si="18"/>
        <v>490</v>
      </c>
      <c r="I99" s="6">
        <f t="shared" ca="1" si="19"/>
        <v>0</v>
      </c>
      <c r="J99" s="6">
        <f t="shared" ca="1" si="20"/>
        <v>0</v>
      </c>
      <c r="K99" s="6">
        <f t="shared" ca="1" si="14"/>
        <v>0</v>
      </c>
      <c r="L99" s="6">
        <f t="shared" ca="1" si="15"/>
        <v>0</v>
      </c>
      <c r="M99" s="20">
        <f t="shared" ca="1" si="16"/>
        <v>13.424657534246574</v>
      </c>
    </row>
    <row r="100" spans="2:13" ht="13.4" customHeight="1" x14ac:dyDescent="0.25">
      <c r="B100" s="1"/>
      <c r="E100" s="27">
        <v>96</v>
      </c>
      <c r="F100" s="6">
        <f t="shared" ca="1" si="13"/>
        <v>90</v>
      </c>
      <c r="G100" s="6">
        <f t="shared" ca="1" si="17"/>
        <v>490</v>
      </c>
      <c r="H100" s="6">
        <f t="shared" ca="1" si="18"/>
        <v>400</v>
      </c>
      <c r="I100" s="6">
        <f t="shared" ca="1" si="19"/>
        <v>0</v>
      </c>
      <c r="J100" s="6">
        <f t="shared" ca="1" si="20"/>
        <v>0</v>
      </c>
      <c r="K100" s="6">
        <f t="shared" ca="1" si="14"/>
        <v>0</v>
      </c>
      <c r="L100" s="6">
        <f t="shared" ca="1" si="15"/>
        <v>0</v>
      </c>
      <c r="M100" s="20">
        <f t="shared" ca="1" si="16"/>
        <v>10.95890410958904</v>
      </c>
    </row>
    <row r="101" spans="2:13" ht="13.4" customHeight="1" x14ac:dyDescent="0.25">
      <c r="B101" s="1"/>
      <c r="E101" s="27">
        <v>97</v>
      </c>
      <c r="F101" s="6">
        <f t="shared" ca="1" si="13"/>
        <v>110</v>
      </c>
      <c r="G101" s="6">
        <f t="shared" ca="1" si="17"/>
        <v>400</v>
      </c>
      <c r="H101" s="6">
        <f t="shared" ca="1" si="18"/>
        <v>290</v>
      </c>
      <c r="I101" s="6">
        <f t="shared" ca="1" si="19"/>
        <v>0</v>
      </c>
      <c r="J101" s="6">
        <f t="shared" ca="1" si="20"/>
        <v>0</v>
      </c>
      <c r="K101" s="6">
        <f t="shared" ca="1" si="14"/>
        <v>0</v>
      </c>
      <c r="L101" s="6">
        <f t="shared" ca="1" si="15"/>
        <v>0</v>
      </c>
      <c r="M101" s="20">
        <f t="shared" ca="1" si="16"/>
        <v>7.9452054794520546</v>
      </c>
    </row>
    <row r="102" spans="2:13" ht="13.4" customHeight="1" x14ac:dyDescent="0.25">
      <c r="B102" s="1"/>
      <c r="E102" s="27">
        <v>98</v>
      </c>
      <c r="F102" s="6">
        <f t="shared" ca="1" si="13"/>
        <v>110</v>
      </c>
      <c r="G102" s="6">
        <f t="shared" ca="1" si="17"/>
        <v>290</v>
      </c>
      <c r="H102" s="6">
        <f t="shared" ca="1" si="18"/>
        <v>180</v>
      </c>
      <c r="I102" s="6">
        <f t="shared" ca="1" si="19"/>
        <v>0</v>
      </c>
      <c r="J102" s="6">
        <f t="shared" ca="1" si="20"/>
        <v>0</v>
      </c>
      <c r="K102" s="6">
        <f t="shared" ca="1" si="14"/>
        <v>0</v>
      </c>
      <c r="L102" s="6">
        <f t="shared" ca="1" si="15"/>
        <v>0</v>
      </c>
      <c r="M102" s="20">
        <f t="shared" ca="1" si="16"/>
        <v>4.9315068493150687</v>
      </c>
    </row>
    <row r="103" spans="2:13" ht="13.4" customHeight="1" x14ac:dyDescent="0.25">
      <c r="B103" s="1"/>
      <c r="E103" s="27">
        <v>99</v>
      </c>
      <c r="F103" s="6">
        <f t="shared" ca="1" si="13"/>
        <v>110</v>
      </c>
      <c r="G103" s="6">
        <f t="shared" ca="1" si="17"/>
        <v>180</v>
      </c>
      <c r="H103" s="6">
        <f t="shared" ca="1" si="18"/>
        <v>70</v>
      </c>
      <c r="I103" s="6">
        <f t="shared" ca="1" si="19"/>
        <v>1</v>
      </c>
      <c r="J103" s="6">
        <f t="shared" ca="1" si="20"/>
        <v>0</v>
      </c>
      <c r="K103" s="6">
        <f t="shared" ca="1" si="14"/>
        <v>0</v>
      </c>
      <c r="L103" s="6">
        <f t="shared" ca="1" si="15"/>
        <v>200</v>
      </c>
      <c r="M103" s="20">
        <f t="shared" ca="1" si="16"/>
        <v>1.9178082191780821</v>
      </c>
    </row>
    <row r="104" spans="2:13" ht="13.4" customHeight="1" x14ac:dyDescent="0.25">
      <c r="B104" s="1"/>
      <c r="E104" s="27">
        <v>100</v>
      </c>
      <c r="F104" s="6">
        <f t="shared" ca="1" si="13"/>
        <v>110</v>
      </c>
      <c r="G104" s="6">
        <f t="shared" ca="1" si="17"/>
        <v>1070</v>
      </c>
      <c r="H104" s="6">
        <f t="shared" ca="1" si="18"/>
        <v>960</v>
      </c>
      <c r="I104" s="6">
        <f t="shared" ca="1" si="19"/>
        <v>0</v>
      </c>
      <c r="J104" s="6">
        <f t="shared" ca="1" si="20"/>
        <v>0</v>
      </c>
      <c r="K104" s="6">
        <f t="shared" ca="1" si="14"/>
        <v>0</v>
      </c>
      <c r="L104" s="6">
        <f t="shared" ca="1" si="15"/>
        <v>0</v>
      </c>
      <c r="M104" s="20">
        <f t="shared" ca="1" si="16"/>
        <v>26.301369863013697</v>
      </c>
    </row>
    <row r="105" spans="2:13" ht="13.4" customHeight="1" x14ac:dyDescent="0.25">
      <c r="B105" s="1"/>
      <c r="E105" s="27">
        <v>101</v>
      </c>
      <c r="F105" s="6">
        <f t="shared" ca="1" si="13"/>
        <v>80</v>
      </c>
      <c r="G105" s="6">
        <f t="shared" ca="1" si="17"/>
        <v>960</v>
      </c>
      <c r="H105" s="6">
        <f t="shared" ca="1" si="18"/>
        <v>880</v>
      </c>
      <c r="I105" s="6">
        <f t="shared" ca="1" si="19"/>
        <v>0</v>
      </c>
      <c r="J105" s="6">
        <f t="shared" ca="1" si="20"/>
        <v>0</v>
      </c>
      <c r="K105" s="6">
        <f t="shared" ca="1" si="14"/>
        <v>0</v>
      </c>
      <c r="L105" s="6">
        <f t="shared" ca="1" si="15"/>
        <v>0</v>
      </c>
      <c r="M105" s="20">
        <f t="shared" ca="1" si="16"/>
        <v>24.109589041095887</v>
      </c>
    </row>
    <row r="106" spans="2:13" ht="13.4" customHeight="1" x14ac:dyDescent="0.25">
      <c r="B106" s="1"/>
      <c r="E106" s="27">
        <v>102</v>
      </c>
      <c r="F106" s="6">
        <f t="shared" ca="1" si="13"/>
        <v>110</v>
      </c>
      <c r="G106" s="6">
        <f t="shared" ca="1" si="17"/>
        <v>880</v>
      </c>
      <c r="H106" s="6">
        <f t="shared" ca="1" si="18"/>
        <v>770</v>
      </c>
      <c r="I106" s="6">
        <f t="shared" ca="1" si="19"/>
        <v>0</v>
      </c>
      <c r="J106" s="6">
        <f t="shared" ca="1" si="20"/>
        <v>0</v>
      </c>
      <c r="K106" s="6">
        <f t="shared" ca="1" si="14"/>
        <v>0</v>
      </c>
      <c r="L106" s="6">
        <f t="shared" ca="1" si="15"/>
        <v>0</v>
      </c>
      <c r="M106" s="20">
        <f t="shared" ca="1" si="16"/>
        <v>21.095890410958901</v>
      </c>
    </row>
    <row r="107" spans="2:13" ht="13.4" customHeight="1" x14ac:dyDescent="0.25">
      <c r="B107" s="1"/>
      <c r="E107" s="27">
        <v>103</v>
      </c>
      <c r="F107" s="6">
        <f t="shared" ca="1" si="13"/>
        <v>110</v>
      </c>
      <c r="G107" s="6">
        <f t="shared" ca="1" si="17"/>
        <v>770</v>
      </c>
      <c r="H107" s="6">
        <f t="shared" ca="1" si="18"/>
        <v>660</v>
      </c>
      <c r="I107" s="6">
        <f t="shared" ca="1" si="19"/>
        <v>0</v>
      </c>
      <c r="J107" s="6">
        <f t="shared" ca="1" si="20"/>
        <v>0</v>
      </c>
      <c r="K107" s="6">
        <f t="shared" ca="1" si="14"/>
        <v>0</v>
      </c>
      <c r="L107" s="6">
        <f t="shared" ca="1" si="15"/>
        <v>0</v>
      </c>
      <c r="M107" s="20">
        <f t="shared" ca="1" si="16"/>
        <v>18.082191780821915</v>
      </c>
    </row>
    <row r="108" spans="2:13" ht="13.4" customHeight="1" x14ac:dyDescent="0.25">
      <c r="B108" s="1"/>
      <c r="E108" s="27">
        <v>104</v>
      </c>
      <c r="F108" s="6">
        <f t="shared" ca="1" si="13"/>
        <v>90</v>
      </c>
      <c r="G108" s="6">
        <f t="shared" ca="1" si="17"/>
        <v>660</v>
      </c>
      <c r="H108" s="6">
        <f t="shared" ca="1" si="18"/>
        <v>570</v>
      </c>
      <c r="I108" s="6">
        <f t="shared" ca="1" si="19"/>
        <v>0</v>
      </c>
      <c r="J108" s="6">
        <f t="shared" ca="1" si="20"/>
        <v>0</v>
      </c>
      <c r="K108" s="6">
        <f t="shared" ca="1" si="14"/>
        <v>0</v>
      </c>
      <c r="L108" s="6">
        <f t="shared" ca="1" si="15"/>
        <v>0</v>
      </c>
      <c r="M108" s="20">
        <f t="shared" ca="1" si="16"/>
        <v>15.616438356164382</v>
      </c>
    </row>
    <row r="109" spans="2:13" ht="13.4" customHeight="1" x14ac:dyDescent="0.25">
      <c r="B109" s="1"/>
      <c r="E109" s="27">
        <v>105</v>
      </c>
      <c r="F109" s="6">
        <f t="shared" ca="1" si="13"/>
        <v>90</v>
      </c>
      <c r="G109" s="6">
        <f t="shared" ca="1" si="17"/>
        <v>570</v>
      </c>
      <c r="H109" s="6">
        <f t="shared" ca="1" si="18"/>
        <v>480</v>
      </c>
      <c r="I109" s="6">
        <f t="shared" ca="1" si="19"/>
        <v>0</v>
      </c>
      <c r="J109" s="6">
        <f t="shared" ca="1" si="20"/>
        <v>0</v>
      </c>
      <c r="K109" s="6">
        <f t="shared" ca="1" si="14"/>
        <v>0</v>
      </c>
      <c r="L109" s="6">
        <f t="shared" ca="1" si="15"/>
        <v>0</v>
      </c>
      <c r="M109" s="20">
        <f t="shared" ca="1" si="16"/>
        <v>13.150684931506849</v>
      </c>
    </row>
    <row r="110" spans="2:13" ht="13.4" customHeight="1" x14ac:dyDescent="0.25">
      <c r="B110" s="1"/>
      <c r="E110" s="27">
        <v>106</v>
      </c>
      <c r="F110" s="6">
        <f t="shared" ca="1" si="13"/>
        <v>110</v>
      </c>
      <c r="G110" s="6">
        <f t="shared" ca="1" si="17"/>
        <v>480</v>
      </c>
      <c r="H110" s="6">
        <f t="shared" ca="1" si="18"/>
        <v>370</v>
      </c>
      <c r="I110" s="6">
        <f t="shared" ca="1" si="19"/>
        <v>0</v>
      </c>
      <c r="J110" s="6">
        <f t="shared" ca="1" si="20"/>
        <v>0</v>
      </c>
      <c r="K110" s="6">
        <f t="shared" ca="1" si="14"/>
        <v>0</v>
      </c>
      <c r="L110" s="6">
        <f t="shared" ca="1" si="15"/>
        <v>0</v>
      </c>
      <c r="M110" s="20">
        <f t="shared" ca="1" si="16"/>
        <v>10.136986301369863</v>
      </c>
    </row>
    <row r="111" spans="2:13" ht="13.4" customHeight="1" x14ac:dyDescent="0.25">
      <c r="B111" s="1"/>
      <c r="E111" s="27">
        <v>107</v>
      </c>
      <c r="F111" s="6">
        <f t="shared" ca="1" si="13"/>
        <v>110</v>
      </c>
      <c r="G111" s="6">
        <f t="shared" ca="1" si="17"/>
        <v>370</v>
      </c>
      <c r="H111" s="6">
        <f t="shared" ca="1" si="18"/>
        <v>260</v>
      </c>
      <c r="I111" s="6">
        <f t="shared" ca="1" si="19"/>
        <v>0</v>
      </c>
      <c r="J111" s="6">
        <f t="shared" ca="1" si="20"/>
        <v>0</v>
      </c>
      <c r="K111" s="6">
        <f t="shared" ca="1" si="14"/>
        <v>0</v>
      </c>
      <c r="L111" s="6">
        <f t="shared" ca="1" si="15"/>
        <v>0</v>
      </c>
      <c r="M111" s="20">
        <f t="shared" ca="1" si="16"/>
        <v>7.1232876712328768</v>
      </c>
    </row>
    <row r="112" spans="2:13" ht="13.4" customHeight="1" x14ac:dyDescent="0.25">
      <c r="B112" s="1"/>
      <c r="E112" s="27">
        <v>108</v>
      </c>
      <c r="F112" s="6">
        <f t="shared" ca="1" si="13"/>
        <v>90</v>
      </c>
      <c r="G112" s="6">
        <f t="shared" ca="1" si="17"/>
        <v>260</v>
      </c>
      <c r="H112" s="6">
        <f t="shared" ca="1" si="18"/>
        <v>170</v>
      </c>
      <c r="I112" s="6">
        <f t="shared" ca="1" si="19"/>
        <v>0</v>
      </c>
      <c r="J112" s="6">
        <f t="shared" ca="1" si="20"/>
        <v>0</v>
      </c>
      <c r="K112" s="6">
        <f t="shared" ca="1" si="14"/>
        <v>0</v>
      </c>
      <c r="L112" s="6">
        <f t="shared" ca="1" si="15"/>
        <v>0</v>
      </c>
      <c r="M112" s="20">
        <f t="shared" ca="1" si="16"/>
        <v>4.6575342465753424</v>
      </c>
    </row>
    <row r="113" spans="2:13" ht="13.4" customHeight="1" x14ac:dyDescent="0.25">
      <c r="B113" s="1"/>
      <c r="E113" s="27">
        <v>109</v>
      </c>
      <c r="F113" s="6">
        <f t="shared" ca="1" si="13"/>
        <v>100</v>
      </c>
      <c r="G113" s="6">
        <f t="shared" ca="1" si="17"/>
        <v>170</v>
      </c>
      <c r="H113" s="6">
        <f t="shared" ca="1" si="18"/>
        <v>70</v>
      </c>
      <c r="I113" s="6">
        <f t="shared" ca="1" si="19"/>
        <v>1</v>
      </c>
      <c r="J113" s="6">
        <f t="shared" ca="1" si="20"/>
        <v>0</v>
      </c>
      <c r="K113" s="6">
        <f t="shared" ca="1" si="14"/>
        <v>0</v>
      </c>
      <c r="L113" s="6">
        <f t="shared" ca="1" si="15"/>
        <v>200</v>
      </c>
      <c r="M113" s="20">
        <f t="shared" ca="1" si="16"/>
        <v>1.9178082191780821</v>
      </c>
    </row>
    <row r="114" spans="2:13" ht="13.4" customHeight="1" x14ac:dyDescent="0.25">
      <c r="B114" s="1"/>
      <c r="E114" s="27">
        <v>110</v>
      </c>
      <c r="F114" s="6">
        <f t="shared" ca="1" si="13"/>
        <v>120</v>
      </c>
      <c r="G114" s="6">
        <f t="shared" ca="1" si="17"/>
        <v>1070</v>
      </c>
      <c r="H114" s="6">
        <f t="shared" ca="1" si="18"/>
        <v>950</v>
      </c>
      <c r="I114" s="6">
        <f t="shared" ca="1" si="19"/>
        <v>0</v>
      </c>
      <c r="J114" s="6">
        <f t="shared" ca="1" si="20"/>
        <v>0</v>
      </c>
      <c r="K114" s="6">
        <f t="shared" ca="1" si="14"/>
        <v>0</v>
      </c>
      <c r="L114" s="6">
        <f t="shared" ca="1" si="15"/>
        <v>0</v>
      </c>
      <c r="M114" s="20">
        <f t="shared" ca="1" si="16"/>
        <v>26.027397260273972</v>
      </c>
    </row>
    <row r="115" spans="2:13" ht="13.4" customHeight="1" x14ac:dyDescent="0.25">
      <c r="B115" s="1"/>
      <c r="E115" s="27">
        <v>111</v>
      </c>
      <c r="F115" s="6">
        <f t="shared" ca="1" si="13"/>
        <v>100</v>
      </c>
      <c r="G115" s="6">
        <f t="shared" ca="1" si="17"/>
        <v>950</v>
      </c>
      <c r="H115" s="6">
        <f t="shared" ca="1" si="18"/>
        <v>850</v>
      </c>
      <c r="I115" s="6">
        <f t="shared" ca="1" si="19"/>
        <v>0</v>
      </c>
      <c r="J115" s="6">
        <f t="shared" ca="1" si="20"/>
        <v>0</v>
      </c>
      <c r="K115" s="6">
        <f t="shared" ca="1" si="14"/>
        <v>0</v>
      </c>
      <c r="L115" s="6">
        <f t="shared" ca="1" si="15"/>
        <v>0</v>
      </c>
      <c r="M115" s="20">
        <f t="shared" ca="1" si="16"/>
        <v>23.287671232876711</v>
      </c>
    </row>
    <row r="116" spans="2:13" ht="13.4" customHeight="1" x14ac:dyDescent="0.25">
      <c r="B116" s="1"/>
      <c r="E116" s="27">
        <v>112</v>
      </c>
      <c r="F116" s="6">
        <f t="shared" ca="1" si="13"/>
        <v>80</v>
      </c>
      <c r="G116" s="6">
        <f t="shared" ca="1" si="17"/>
        <v>850</v>
      </c>
      <c r="H116" s="6">
        <f t="shared" ca="1" si="18"/>
        <v>770</v>
      </c>
      <c r="I116" s="6">
        <f t="shared" ca="1" si="19"/>
        <v>0</v>
      </c>
      <c r="J116" s="6">
        <f t="shared" ca="1" si="20"/>
        <v>0</v>
      </c>
      <c r="K116" s="6">
        <f t="shared" ca="1" si="14"/>
        <v>0</v>
      </c>
      <c r="L116" s="6">
        <f t="shared" ca="1" si="15"/>
        <v>0</v>
      </c>
      <c r="M116" s="20">
        <f t="shared" ca="1" si="16"/>
        <v>21.095890410958901</v>
      </c>
    </row>
    <row r="117" spans="2:13" ht="13.4" customHeight="1" x14ac:dyDescent="0.25">
      <c r="B117" s="1"/>
      <c r="E117" s="27">
        <v>113</v>
      </c>
      <c r="F117" s="6">
        <f t="shared" ca="1" si="13"/>
        <v>120</v>
      </c>
      <c r="G117" s="6">
        <f t="shared" ca="1" si="17"/>
        <v>770</v>
      </c>
      <c r="H117" s="6">
        <f t="shared" ca="1" si="18"/>
        <v>650</v>
      </c>
      <c r="I117" s="6">
        <f t="shared" ca="1" si="19"/>
        <v>0</v>
      </c>
      <c r="J117" s="6">
        <f t="shared" ca="1" si="20"/>
        <v>0</v>
      </c>
      <c r="K117" s="6">
        <f t="shared" ca="1" si="14"/>
        <v>0</v>
      </c>
      <c r="L117" s="6">
        <f t="shared" ca="1" si="15"/>
        <v>0</v>
      </c>
      <c r="M117" s="20">
        <f t="shared" ca="1" si="16"/>
        <v>17.80821917808219</v>
      </c>
    </row>
    <row r="118" spans="2:13" ht="13.4" customHeight="1" x14ac:dyDescent="0.25">
      <c r="B118" s="1"/>
      <c r="E118" s="27">
        <v>114</v>
      </c>
      <c r="F118" s="6">
        <f t="shared" ca="1" si="13"/>
        <v>90</v>
      </c>
      <c r="G118" s="6">
        <f t="shared" ca="1" si="17"/>
        <v>650</v>
      </c>
      <c r="H118" s="6">
        <f t="shared" ca="1" si="18"/>
        <v>560</v>
      </c>
      <c r="I118" s="6">
        <f t="shared" ca="1" si="19"/>
        <v>0</v>
      </c>
      <c r="J118" s="6">
        <f t="shared" ca="1" si="20"/>
        <v>0</v>
      </c>
      <c r="K118" s="6">
        <f t="shared" ca="1" si="14"/>
        <v>0</v>
      </c>
      <c r="L118" s="6">
        <f t="shared" ca="1" si="15"/>
        <v>0</v>
      </c>
      <c r="M118" s="20">
        <f t="shared" ca="1" si="16"/>
        <v>15.342465753424657</v>
      </c>
    </row>
    <row r="119" spans="2:13" ht="13.4" customHeight="1" x14ac:dyDescent="0.25">
      <c r="B119" s="1"/>
      <c r="E119" s="27">
        <v>115</v>
      </c>
      <c r="F119" s="6">
        <f t="shared" ca="1" si="13"/>
        <v>110</v>
      </c>
      <c r="G119" s="6">
        <f t="shared" ca="1" si="17"/>
        <v>560</v>
      </c>
      <c r="H119" s="6">
        <f t="shared" ca="1" si="18"/>
        <v>450</v>
      </c>
      <c r="I119" s="6">
        <f t="shared" ca="1" si="19"/>
        <v>0</v>
      </c>
      <c r="J119" s="6">
        <f t="shared" ca="1" si="20"/>
        <v>0</v>
      </c>
      <c r="K119" s="6">
        <f t="shared" ca="1" si="14"/>
        <v>0</v>
      </c>
      <c r="L119" s="6">
        <f t="shared" ca="1" si="15"/>
        <v>0</v>
      </c>
      <c r="M119" s="20">
        <f t="shared" ca="1" si="16"/>
        <v>12.328767123287671</v>
      </c>
    </row>
    <row r="120" spans="2:13" ht="13.4" customHeight="1" x14ac:dyDescent="0.25">
      <c r="B120" s="1"/>
      <c r="E120" s="27">
        <v>116</v>
      </c>
      <c r="F120" s="6">
        <f t="shared" ca="1" si="13"/>
        <v>100</v>
      </c>
      <c r="G120" s="6">
        <f t="shared" ca="1" si="17"/>
        <v>450</v>
      </c>
      <c r="H120" s="6">
        <f t="shared" ca="1" si="18"/>
        <v>350</v>
      </c>
      <c r="I120" s="6">
        <f t="shared" ca="1" si="19"/>
        <v>0</v>
      </c>
      <c r="J120" s="6">
        <f t="shared" ca="1" si="20"/>
        <v>0</v>
      </c>
      <c r="K120" s="6">
        <f t="shared" ca="1" si="14"/>
        <v>0</v>
      </c>
      <c r="L120" s="6">
        <f t="shared" ca="1" si="15"/>
        <v>0</v>
      </c>
      <c r="M120" s="20">
        <f t="shared" ca="1" si="16"/>
        <v>9.5890410958904102</v>
      </c>
    </row>
    <row r="121" spans="2:13" ht="13.4" customHeight="1" x14ac:dyDescent="0.25">
      <c r="B121" s="1"/>
      <c r="E121" s="27">
        <v>117</v>
      </c>
      <c r="F121" s="6">
        <f t="shared" ca="1" si="13"/>
        <v>80</v>
      </c>
      <c r="G121" s="6">
        <f t="shared" ca="1" si="17"/>
        <v>350</v>
      </c>
      <c r="H121" s="6">
        <f t="shared" ca="1" si="18"/>
        <v>270</v>
      </c>
      <c r="I121" s="6">
        <f t="shared" ca="1" si="19"/>
        <v>0</v>
      </c>
      <c r="J121" s="6">
        <f t="shared" ca="1" si="20"/>
        <v>0</v>
      </c>
      <c r="K121" s="6">
        <f t="shared" ca="1" si="14"/>
        <v>0</v>
      </c>
      <c r="L121" s="6">
        <f t="shared" ca="1" si="15"/>
        <v>0</v>
      </c>
      <c r="M121" s="20">
        <f t="shared" ca="1" si="16"/>
        <v>7.3972602739726021</v>
      </c>
    </row>
    <row r="122" spans="2:13" ht="13.4" customHeight="1" x14ac:dyDescent="0.25">
      <c r="B122" s="1"/>
      <c r="E122" s="27">
        <v>118</v>
      </c>
      <c r="F122" s="6">
        <f t="shared" ca="1" si="13"/>
        <v>90</v>
      </c>
      <c r="G122" s="6">
        <f t="shared" ca="1" si="17"/>
        <v>270</v>
      </c>
      <c r="H122" s="6">
        <f t="shared" ca="1" si="18"/>
        <v>180</v>
      </c>
      <c r="I122" s="6">
        <f t="shared" ca="1" si="19"/>
        <v>0</v>
      </c>
      <c r="J122" s="6">
        <f t="shared" ca="1" si="20"/>
        <v>0</v>
      </c>
      <c r="K122" s="6">
        <f t="shared" ca="1" si="14"/>
        <v>0</v>
      </c>
      <c r="L122" s="6">
        <f t="shared" ca="1" si="15"/>
        <v>0</v>
      </c>
      <c r="M122" s="20">
        <f t="shared" ca="1" si="16"/>
        <v>4.9315068493150687</v>
      </c>
    </row>
    <row r="123" spans="2:13" ht="13.4" customHeight="1" x14ac:dyDescent="0.25">
      <c r="B123" s="1"/>
      <c r="E123" s="27">
        <v>119</v>
      </c>
      <c r="F123" s="6">
        <f t="shared" ca="1" si="13"/>
        <v>110</v>
      </c>
      <c r="G123" s="6">
        <f t="shared" ca="1" si="17"/>
        <v>180</v>
      </c>
      <c r="H123" s="6">
        <f t="shared" ca="1" si="18"/>
        <v>70</v>
      </c>
      <c r="I123" s="6">
        <f t="shared" ca="1" si="19"/>
        <v>1</v>
      </c>
      <c r="J123" s="6">
        <f t="shared" ca="1" si="20"/>
        <v>0</v>
      </c>
      <c r="K123" s="6">
        <f t="shared" ca="1" si="14"/>
        <v>0</v>
      </c>
      <c r="L123" s="6">
        <f t="shared" ca="1" si="15"/>
        <v>200</v>
      </c>
      <c r="M123" s="20">
        <f t="shared" ca="1" si="16"/>
        <v>1.9178082191780821</v>
      </c>
    </row>
    <row r="124" spans="2:13" ht="13.4" customHeight="1" x14ac:dyDescent="0.25">
      <c r="B124" s="1"/>
      <c r="E124" s="27">
        <v>120</v>
      </c>
      <c r="F124" s="6">
        <f t="shared" ca="1" si="13"/>
        <v>110</v>
      </c>
      <c r="G124" s="6">
        <f t="shared" ca="1" si="17"/>
        <v>1070</v>
      </c>
      <c r="H124" s="6">
        <f t="shared" ca="1" si="18"/>
        <v>960</v>
      </c>
      <c r="I124" s="6">
        <f t="shared" ca="1" si="19"/>
        <v>0</v>
      </c>
      <c r="J124" s="6">
        <f t="shared" ca="1" si="20"/>
        <v>0</v>
      </c>
      <c r="K124" s="6">
        <f t="shared" ca="1" si="14"/>
        <v>0</v>
      </c>
      <c r="L124" s="6">
        <f t="shared" ca="1" si="15"/>
        <v>0</v>
      </c>
      <c r="M124" s="20">
        <f t="shared" ca="1" si="16"/>
        <v>26.301369863013697</v>
      </c>
    </row>
    <row r="125" spans="2:13" ht="13.4" customHeight="1" x14ac:dyDescent="0.25">
      <c r="B125" s="1"/>
      <c r="E125" s="27">
        <v>121</v>
      </c>
      <c r="F125" s="6">
        <f t="shared" ca="1" si="13"/>
        <v>100</v>
      </c>
      <c r="G125" s="6">
        <f t="shared" ca="1" si="17"/>
        <v>960</v>
      </c>
      <c r="H125" s="6">
        <f t="shared" ca="1" si="18"/>
        <v>860</v>
      </c>
      <c r="I125" s="6">
        <f t="shared" ca="1" si="19"/>
        <v>0</v>
      </c>
      <c r="J125" s="6">
        <f t="shared" ca="1" si="20"/>
        <v>0</v>
      </c>
      <c r="K125" s="6">
        <f t="shared" ca="1" si="14"/>
        <v>0</v>
      </c>
      <c r="L125" s="6">
        <f t="shared" ca="1" si="15"/>
        <v>0</v>
      </c>
      <c r="M125" s="20">
        <f t="shared" ca="1" si="16"/>
        <v>23.561643835616437</v>
      </c>
    </row>
    <row r="126" spans="2:13" ht="13.4" customHeight="1" x14ac:dyDescent="0.25">
      <c r="B126" s="1"/>
      <c r="E126" s="27">
        <v>122</v>
      </c>
      <c r="F126" s="6">
        <f t="shared" ca="1" si="13"/>
        <v>110</v>
      </c>
      <c r="G126" s="6">
        <f t="shared" ca="1" si="17"/>
        <v>860</v>
      </c>
      <c r="H126" s="6">
        <f t="shared" ca="1" si="18"/>
        <v>750</v>
      </c>
      <c r="I126" s="6">
        <f t="shared" ca="1" si="19"/>
        <v>0</v>
      </c>
      <c r="J126" s="6">
        <f t="shared" ca="1" si="20"/>
        <v>0</v>
      </c>
      <c r="K126" s="6">
        <f t="shared" ca="1" si="14"/>
        <v>0</v>
      </c>
      <c r="L126" s="6">
        <f t="shared" ca="1" si="15"/>
        <v>0</v>
      </c>
      <c r="M126" s="20">
        <f t="shared" ca="1" si="16"/>
        <v>20.547945205479451</v>
      </c>
    </row>
    <row r="127" spans="2:13" ht="13.4" customHeight="1" x14ac:dyDescent="0.25">
      <c r="B127" s="1"/>
      <c r="E127" s="27">
        <v>123</v>
      </c>
      <c r="F127" s="6">
        <f t="shared" ca="1" si="13"/>
        <v>120</v>
      </c>
      <c r="G127" s="6">
        <f t="shared" ca="1" si="17"/>
        <v>750</v>
      </c>
      <c r="H127" s="6">
        <f t="shared" ca="1" si="18"/>
        <v>630</v>
      </c>
      <c r="I127" s="6">
        <f t="shared" ca="1" si="19"/>
        <v>0</v>
      </c>
      <c r="J127" s="6">
        <f t="shared" ca="1" si="20"/>
        <v>0</v>
      </c>
      <c r="K127" s="6">
        <f t="shared" ca="1" si="14"/>
        <v>0</v>
      </c>
      <c r="L127" s="6">
        <f t="shared" ca="1" si="15"/>
        <v>0</v>
      </c>
      <c r="M127" s="20">
        <f t="shared" ca="1" si="16"/>
        <v>17.260273972602739</v>
      </c>
    </row>
    <row r="128" spans="2:13" ht="13.4" customHeight="1" x14ac:dyDescent="0.25">
      <c r="B128" s="1"/>
      <c r="E128" s="27">
        <v>124</v>
      </c>
      <c r="F128" s="6">
        <f t="shared" ca="1" si="13"/>
        <v>90</v>
      </c>
      <c r="G128" s="6">
        <f t="shared" ca="1" si="17"/>
        <v>630</v>
      </c>
      <c r="H128" s="6">
        <f t="shared" ca="1" si="18"/>
        <v>540</v>
      </c>
      <c r="I128" s="6">
        <f t="shared" ca="1" si="19"/>
        <v>0</v>
      </c>
      <c r="J128" s="6">
        <f t="shared" ca="1" si="20"/>
        <v>0</v>
      </c>
      <c r="K128" s="6">
        <f t="shared" ca="1" si="14"/>
        <v>0</v>
      </c>
      <c r="L128" s="6">
        <f t="shared" ca="1" si="15"/>
        <v>0</v>
      </c>
      <c r="M128" s="20">
        <f t="shared" ca="1" si="16"/>
        <v>14.794520547945204</v>
      </c>
    </row>
    <row r="129" spans="2:13" ht="13.4" customHeight="1" x14ac:dyDescent="0.25">
      <c r="B129" s="1"/>
      <c r="E129" s="27">
        <v>125</v>
      </c>
      <c r="F129" s="6">
        <f t="shared" ca="1" si="13"/>
        <v>100</v>
      </c>
      <c r="G129" s="6">
        <f t="shared" ca="1" si="17"/>
        <v>540</v>
      </c>
      <c r="H129" s="6">
        <f t="shared" ca="1" si="18"/>
        <v>440</v>
      </c>
      <c r="I129" s="6">
        <f t="shared" ca="1" si="19"/>
        <v>0</v>
      </c>
      <c r="J129" s="6">
        <f t="shared" ca="1" si="20"/>
        <v>0</v>
      </c>
      <c r="K129" s="6">
        <f t="shared" ca="1" si="14"/>
        <v>0</v>
      </c>
      <c r="L129" s="6">
        <f t="shared" ca="1" si="15"/>
        <v>0</v>
      </c>
      <c r="M129" s="20">
        <f t="shared" ca="1" si="16"/>
        <v>12.054794520547944</v>
      </c>
    </row>
    <row r="130" spans="2:13" ht="13.4" customHeight="1" x14ac:dyDescent="0.25">
      <c r="B130" s="1"/>
      <c r="E130" s="27">
        <v>126</v>
      </c>
      <c r="F130" s="6">
        <f t="shared" ca="1" si="13"/>
        <v>100</v>
      </c>
      <c r="G130" s="6">
        <f t="shared" ca="1" si="17"/>
        <v>440</v>
      </c>
      <c r="H130" s="6">
        <f t="shared" ca="1" si="18"/>
        <v>340</v>
      </c>
      <c r="I130" s="6">
        <f t="shared" ca="1" si="19"/>
        <v>0</v>
      </c>
      <c r="J130" s="6">
        <f t="shared" ca="1" si="20"/>
        <v>0</v>
      </c>
      <c r="K130" s="6">
        <f t="shared" ca="1" si="14"/>
        <v>0</v>
      </c>
      <c r="L130" s="6">
        <f t="shared" ca="1" si="15"/>
        <v>0</v>
      </c>
      <c r="M130" s="20">
        <f t="shared" ca="1" si="16"/>
        <v>9.3150684931506849</v>
      </c>
    </row>
    <row r="131" spans="2:13" ht="13.4" customHeight="1" x14ac:dyDescent="0.25">
      <c r="B131" s="1"/>
      <c r="E131" s="27">
        <v>127</v>
      </c>
      <c r="F131" s="6">
        <f t="shared" ca="1" si="13"/>
        <v>80</v>
      </c>
      <c r="G131" s="6">
        <f t="shared" ca="1" si="17"/>
        <v>340</v>
      </c>
      <c r="H131" s="6">
        <f t="shared" ca="1" si="18"/>
        <v>260</v>
      </c>
      <c r="I131" s="6">
        <f t="shared" ca="1" si="19"/>
        <v>0</v>
      </c>
      <c r="J131" s="6">
        <f t="shared" ca="1" si="20"/>
        <v>0</v>
      </c>
      <c r="K131" s="6">
        <f t="shared" ca="1" si="14"/>
        <v>0</v>
      </c>
      <c r="L131" s="6">
        <f t="shared" ca="1" si="15"/>
        <v>0</v>
      </c>
      <c r="M131" s="20">
        <f t="shared" ca="1" si="16"/>
        <v>7.1232876712328768</v>
      </c>
    </row>
    <row r="132" spans="2:13" ht="13.4" customHeight="1" x14ac:dyDescent="0.25">
      <c r="B132" s="1"/>
      <c r="E132" s="27">
        <v>128</v>
      </c>
      <c r="F132" s="6">
        <f t="shared" ca="1" si="13"/>
        <v>100</v>
      </c>
      <c r="G132" s="6">
        <f t="shared" ca="1" si="17"/>
        <v>260</v>
      </c>
      <c r="H132" s="6">
        <f t="shared" ca="1" si="18"/>
        <v>160</v>
      </c>
      <c r="I132" s="6">
        <f t="shared" ca="1" si="19"/>
        <v>0</v>
      </c>
      <c r="J132" s="6">
        <f t="shared" ca="1" si="20"/>
        <v>0</v>
      </c>
      <c r="K132" s="6">
        <f t="shared" ca="1" si="14"/>
        <v>0</v>
      </c>
      <c r="L132" s="6">
        <f t="shared" ca="1" si="15"/>
        <v>0</v>
      </c>
      <c r="M132" s="20">
        <f t="shared" ca="1" si="16"/>
        <v>4.3835616438356162</v>
      </c>
    </row>
    <row r="133" spans="2:13" ht="13.4" customHeight="1" x14ac:dyDescent="0.25">
      <c r="B133" s="1"/>
      <c r="E133" s="27">
        <v>129</v>
      </c>
      <c r="F133" s="6">
        <f t="shared" ref="F133:F196" ca="1" si="21">INDEX($R$17:$R$21,MATCH(RAND(),$T$17:$T$22,1))</f>
        <v>110</v>
      </c>
      <c r="G133" s="6">
        <f t="shared" ca="1" si="17"/>
        <v>160</v>
      </c>
      <c r="H133" s="6">
        <f t="shared" ca="1" si="18"/>
        <v>50</v>
      </c>
      <c r="I133" s="6">
        <f t="shared" ca="1" si="19"/>
        <v>1</v>
      </c>
      <c r="J133" s="6">
        <f t="shared" ca="1" si="20"/>
        <v>0</v>
      </c>
      <c r="K133" s="6">
        <f t="shared" ca="1" si="14"/>
        <v>0</v>
      </c>
      <c r="L133" s="6">
        <f t="shared" ca="1" si="15"/>
        <v>200</v>
      </c>
      <c r="M133" s="20">
        <f t="shared" ca="1" si="16"/>
        <v>1.3698630136986301</v>
      </c>
    </row>
    <row r="134" spans="2:13" ht="13.4" customHeight="1" x14ac:dyDescent="0.25">
      <c r="B134" s="1"/>
      <c r="E134" s="27">
        <v>130</v>
      </c>
      <c r="F134" s="6">
        <f t="shared" ca="1" si="21"/>
        <v>80</v>
      </c>
      <c r="G134" s="6">
        <f t="shared" ca="1" si="17"/>
        <v>1050</v>
      </c>
      <c r="H134" s="6">
        <f t="shared" ca="1" si="18"/>
        <v>970</v>
      </c>
      <c r="I134" s="6">
        <f t="shared" ca="1" si="19"/>
        <v>0</v>
      </c>
      <c r="J134" s="6">
        <f t="shared" ca="1" si="20"/>
        <v>0</v>
      </c>
      <c r="K134" s="6">
        <f t="shared" ref="K134:K197" ca="1" si="22">J134*$C$8</f>
        <v>0</v>
      </c>
      <c r="L134" s="6">
        <f t="shared" ref="L134:L197" ca="1" si="23">I134*$C$4</f>
        <v>0</v>
      </c>
      <c r="M134" s="20">
        <f t="shared" ref="M134:M197" ca="1" si="24">H134*$C$7</f>
        <v>26.575342465753423</v>
      </c>
    </row>
    <row r="135" spans="2:13" ht="13.4" customHeight="1" x14ac:dyDescent="0.25">
      <c r="B135" s="1"/>
      <c r="E135" s="27">
        <v>131</v>
      </c>
      <c r="F135" s="6">
        <f t="shared" ca="1" si="21"/>
        <v>120</v>
      </c>
      <c r="G135" s="6">
        <f t="shared" ref="G135:G198" ca="1" si="25">H134+I134*$C$9</f>
        <v>970</v>
      </c>
      <c r="H135" s="6">
        <f t="shared" ref="H135:H198" ca="1" si="26">MAX(G135-F135,0)</f>
        <v>850</v>
      </c>
      <c r="I135" s="6">
        <f t="shared" ref="I135:I198" ca="1" si="27">IF(H135&lt;$C$3,1,0)</f>
        <v>0</v>
      </c>
      <c r="J135" s="6">
        <f t="shared" ref="J135:J198" ca="1" si="28">-MIN(G135-F135,0)</f>
        <v>0</v>
      </c>
      <c r="K135" s="6">
        <f t="shared" ca="1" si="22"/>
        <v>0</v>
      </c>
      <c r="L135" s="6">
        <f t="shared" ca="1" si="23"/>
        <v>0</v>
      </c>
      <c r="M135" s="20">
        <f t="shared" ca="1" si="24"/>
        <v>23.287671232876711</v>
      </c>
    </row>
    <row r="136" spans="2:13" ht="13.4" customHeight="1" x14ac:dyDescent="0.25">
      <c r="B136" s="1"/>
      <c r="E136" s="27">
        <v>132</v>
      </c>
      <c r="F136" s="6">
        <f t="shared" ca="1" si="21"/>
        <v>120</v>
      </c>
      <c r="G136" s="6">
        <f t="shared" ca="1" si="25"/>
        <v>850</v>
      </c>
      <c r="H136" s="6">
        <f t="shared" ca="1" si="26"/>
        <v>730</v>
      </c>
      <c r="I136" s="6">
        <f t="shared" ca="1" si="27"/>
        <v>0</v>
      </c>
      <c r="J136" s="6">
        <f t="shared" ca="1" si="28"/>
        <v>0</v>
      </c>
      <c r="K136" s="6">
        <f t="shared" ca="1" si="22"/>
        <v>0</v>
      </c>
      <c r="L136" s="6">
        <f t="shared" ca="1" si="23"/>
        <v>0</v>
      </c>
      <c r="M136" s="20">
        <f t="shared" ca="1" si="24"/>
        <v>20</v>
      </c>
    </row>
    <row r="137" spans="2:13" ht="13.4" customHeight="1" x14ac:dyDescent="0.25">
      <c r="B137" s="1"/>
      <c r="E137" s="27">
        <v>133</v>
      </c>
      <c r="F137" s="6">
        <f t="shared" ca="1" si="21"/>
        <v>110</v>
      </c>
      <c r="G137" s="6">
        <f t="shared" ca="1" si="25"/>
        <v>730</v>
      </c>
      <c r="H137" s="6">
        <f t="shared" ca="1" si="26"/>
        <v>620</v>
      </c>
      <c r="I137" s="6">
        <f t="shared" ca="1" si="27"/>
        <v>0</v>
      </c>
      <c r="J137" s="6">
        <f t="shared" ca="1" si="28"/>
        <v>0</v>
      </c>
      <c r="K137" s="6">
        <f t="shared" ca="1" si="22"/>
        <v>0</v>
      </c>
      <c r="L137" s="6">
        <f t="shared" ca="1" si="23"/>
        <v>0</v>
      </c>
      <c r="M137" s="20">
        <f t="shared" ca="1" si="24"/>
        <v>16.986301369863014</v>
      </c>
    </row>
    <row r="138" spans="2:13" ht="13.4" customHeight="1" x14ac:dyDescent="0.25">
      <c r="B138" s="1"/>
      <c r="E138" s="27">
        <v>134</v>
      </c>
      <c r="F138" s="6">
        <f t="shared" ca="1" si="21"/>
        <v>110</v>
      </c>
      <c r="G138" s="6">
        <f t="shared" ca="1" si="25"/>
        <v>620</v>
      </c>
      <c r="H138" s="6">
        <f t="shared" ca="1" si="26"/>
        <v>510</v>
      </c>
      <c r="I138" s="6">
        <f t="shared" ca="1" si="27"/>
        <v>0</v>
      </c>
      <c r="J138" s="6">
        <f t="shared" ca="1" si="28"/>
        <v>0</v>
      </c>
      <c r="K138" s="6">
        <f t="shared" ca="1" si="22"/>
        <v>0</v>
      </c>
      <c r="L138" s="6">
        <f t="shared" ca="1" si="23"/>
        <v>0</v>
      </c>
      <c r="M138" s="20">
        <f t="shared" ca="1" si="24"/>
        <v>13.972602739726026</v>
      </c>
    </row>
    <row r="139" spans="2:13" ht="13.4" customHeight="1" x14ac:dyDescent="0.25">
      <c r="B139" s="1"/>
      <c r="E139" s="27">
        <v>135</v>
      </c>
      <c r="F139" s="6">
        <f t="shared" ca="1" si="21"/>
        <v>90</v>
      </c>
      <c r="G139" s="6">
        <f t="shared" ca="1" si="25"/>
        <v>510</v>
      </c>
      <c r="H139" s="6">
        <f t="shared" ca="1" si="26"/>
        <v>420</v>
      </c>
      <c r="I139" s="6">
        <f t="shared" ca="1" si="27"/>
        <v>0</v>
      </c>
      <c r="J139" s="6">
        <f t="shared" ca="1" si="28"/>
        <v>0</v>
      </c>
      <c r="K139" s="6">
        <f t="shared" ca="1" si="22"/>
        <v>0</v>
      </c>
      <c r="L139" s="6">
        <f t="shared" ca="1" si="23"/>
        <v>0</v>
      </c>
      <c r="M139" s="20">
        <f t="shared" ca="1" si="24"/>
        <v>11.506849315068493</v>
      </c>
    </row>
    <row r="140" spans="2:13" ht="13.4" customHeight="1" x14ac:dyDescent="0.25">
      <c r="B140" s="1"/>
      <c r="E140" s="27">
        <v>136</v>
      </c>
      <c r="F140" s="6">
        <f t="shared" ca="1" si="21"/>
        <v>90</v>
      </c>
      <c r="G140" s="6">
        <f t="shared" ca="1" si="25"/>
        <v>420</v>
      </c>
      <c r="H140" s="6">
        <f t="shared" ca="1" si="26"/>
        <v>330</v>
      </c>
      <c r="I140" s="6">
        <f t="shared" ca="1" si="27"/>
        <v>0</v>
      </c>
      <c r="J140" s="6">
        <f t="shared" ca="1" si="28"/>
        <v>0</v>
      </c>
      <c r="K140" s="6">
        <f t="shared" ca="1" si="22"/>
        <v>0</v>
      </c>
      <c r="L140" s="6">
        <f t="shared" ca="1" si="23"/>
        <v>0</v>
      </c>
      <c r="M140" s="20">
        <f t="shared" ca="1" si="24"/>
        <v>9.0410958904109577</v>
      </c>
    </row>
    <row r="141" spans="2:13" ht="13.4" customHeight="1" x14ac:dyDescent="0.25">
      <c r="B141" s="1"/>
      <c r="E141" s="27">
        <v>137</v>
      </c>
      <c r="F141" s="6">
        <f t="shared" ca="1" si="21"/>
        <v>110</v>
      </c>
      <c r="G141" s="6">
        <f t="shared" ca="1" si="25"/>
        <v>330</v>
      </c>
      <c r="H141" s="6">
        <f t="shared" ca="1" si="26"/>
        <v>220</v>
      </c>
      <c r="I141" s="6">
        <f t="shared" ca="1" si="27"/>
        <v>0</v>
      </c>
      <c r="J141" s="6">
        <f t="shared" ca="1" si="28"/>
        <v>0</v>
      </c>
      <c r="K141" s="6">
        <f t="shared" ca="1" si="22"/>
        <v>0</v>
      </c>
      <c r="L141" s="6">
        <f t="shared" ca="1" si="23"/>
        <v>0</v>
      </c>
      <c r="M141" s="20">
        <f t="shared" ca="1" si="24"/>
        <v>6.0273972602739718</v>
      </c>
    </row>
    <row r="142" spans="2:13" ht="13.4" customHeight="1" x14ac:dyDescent="0.25">
      <c r="B142" s="1"/>
      <c r="E142" s="27">
        <v>138</v>
      </c>
      <c r="F142" s="6">
        <f t="shared" ca="1" si="21"/>
        <v>110</v>
      </c>
      <c r="G142" s="6">
        <f t="shared" ca="1" si="25"/>
        <v>220</v>
      </c>
      <c r="H142" s="6">
        <f t="shared" ca="1" si="26"/>
        <v>110</v>
      </c>
      <c r="I142" s="6">
        <f t="shared" ca="1" si="27"/>
        <v>0</v>
      </c>
      <c r="J142" s="6">
        <f t="shared" ca="1" si="28"/>
        <v>0</v>
      </c>
      <c r="K142" s="6">
        <f t="shared" ca="1" si="22"/>
        <v>0</v>
      </c>
      <c r="L142" s="6">
        <f t="shared" ca="1" si="23"/>
        <v>0</v>
      </c>
      <c r="M142" s="20">
        <f t="shared" ca="1" si="24"/>
        <v>3.0136986301369859</v>
      </c>
    </row>
    <row r="143" spans="2:13" ht="13.4" customHeight="1" x14ac:dyDescent="0.25">
      <c r="B143" s="1"/>
      <c r="E143" s="27">
        <v>139</v>
      </c>
      <c r="F143" s="6">
        <f t="shared" ca="1" si="21"/>
        <v>80</v>
      </c>
      <c r="G143" s="6">
        <f t="shared" ca="1" si="25"/>
        <v>110</v>
      </c>
      <c r="H143" s="6">
        <f t="shared" ca="1" si="26"/>
        <v>30</v>
      </c>
      <c r="I143" s="6">
        <f t="shared" ca="1" si="27"/>
        <v>1</v>
      </c>
      <c r="J143" s="6">
        <f t="shared" ca="1" si="28"/>
        <v>0</v>
      </c>
      <c r="K143" s="6">
        <f t="shared" ca="1" si="22"/>
        <v>0</v>
      </c>
      <c r="L143" s="6">
        <f t="shared" ca="1" si="23"/>
        <v>200</v>
      </c>
      <c r="M143" s="20">
        <f t="shared" ca="1" si="24"/>
        <v>0.82191780821917804</v>
      </c>
    </row>
    <row r="144" spans="2:13" ht="13.4" customHeight="1" x14ac:dyDescent="0.25">
      <c r="B144" s="1"/>
      <c r="E144" s="27">
        <v>140</v>
      </c>
      <c r="F144" s="6">
        <f t="shared" ca="1" si="21"/>
        <v>80</v>
      </c>
      <c r="G144" s="6">
        <f t="shared" ca="1" si="25"/>
        <v>1030</v>
      </c>
      <c r="H144" s="6">
        <f t="shared" ca="1" si="26"/>
        <v>950</v>
      </c>
      <c r="I144" s="6">
        <f t="shared" ca="1" si="27"/>
        <v>0</v>
      </c>
      <c r="J144" s="6">
        <f t="shared" ca="1" si="28"/>
        <v>0</v>
      </c>
      <c r="K144" s="6">
        <f t="shared" ca="1" si="22"/>
        <v>0</v>
      </c>
      <c r="L144" s="6">
        <f t="shared" ca="1" si="23"/>
        <v>0</v>
      </c>
      <c r="M144" s="20">
        <f t="shared" ca="1" si="24"/>
        <v>26.027397260273972</v>
      </c>
    </row>
    <row r="145" spans="2:13" ht="13.4" customHeight="1" x14ac:dyDescent="0.25">
      <c r="B145" s="1"/>
      <c r="E145" s="27">
        <v>141</v>
      </c>
      <c r="F145" s="6">
        <f t="shared" ca="1" si="21"/>
        <v>80</v>
      </c>
      <c r="G145" s="6">
        <f t="shared" ca="1" si="25"/>
        <v>950</v>
      </c>
      <c r="H145" s="6">
        <f t="shared" ca="1" si="26"/>
        <v>870</v>
      </c>
      <c r="I145" s="6">
        <f t="shared" ca="1" si="27"/>
        <v>0</v>
      </c>
      <c r="J145" s="6">
        <f t="shared" ca="1" si="28"/>
        <v>0</v>
      </c>
      <c r="K145" s="6">
        <f t="shared" ca="1" si="22"/>
        <v>0</v>
      </c>
      <c r="L145" s="6">
        <f t="shared" ca="1" si="23"/>
        <v>0</v>
      </c>
      <c r="M145" s="20">
        <f t="shared" ca="1" si="24"/>
        <v>23.835616438356162</v>
      </c>
    </row>
    <row r="146" spans="2:13" ht="13.4" customHeight="1" x14ac:dyDescent="0.25">
      <c r="B146" s="1"/>
      <c r="E146" s="27">
        <v>142</v>
      </c>
      <c r="F146" s="6">
        <f t="shared" ca="1" si="21"/>
        <v>110</v>
      </c>
      <c r="G146" s="6">
        <f t="shared" ca="1" si="25"/>
        <v>870</v>
      </c>
      <c r="H146" s="6">
        <f t="shared" ca="1" si="26"/>
        <v>760</v>
      </c>
      <c r="I146" s="6">
        <f t="shared" ca="1" si="27"/>
        <v>0</v>
      </c>
      <c r="J146" s="6">
        <f t="shared" ca="1" si="28"/>
        <v>0</v>
      </c>
      <c r="K146" s="6">
        <f t="shared" ca="1" si="22"/>
        <v>0</v>
      </c>
      <c r="L146" s="6">
        <f t="shared" ca="1" si="23"/>
        <v>0</v>
      </c>
      <c r="M146" s="20">
        <f t="shared" ca="1" si="24"/>
        <v>20.821917808219176</v>
      </c>
    </row>
    <row r="147" spans="2:13" ht="13.4" customHeight="1" x14ac:dyDescent="0.25">
      <c r="B147" s="1"/>
      <c r="E147" s="27">
        <v>143</v>
      </c>
      <c r="F147" s="6">
        <f t="shared" ca="1" si="21"/>
        <v>110</v>
      </c>
      <c r="G147" s="6">
        <f t="shared" ca="1" si="25"/>
        <v>760</v>
      </c>
      <c r="H147" s="6">
        <f t="shared" ca="1" si="26"/>
        <v>650</v>
      </c>
      <c r="I147" s="6">
        <f t="shared" ca="1" si="27"/>
        <v>0</v>
      </c>
      <c r="J147" s="6">
        <f t="shared" ca="1" si="28"/>
        <v>0</v>
      </c>
      <c r="K147" s="6">
        <f t="shared" ca="1" si="22"/>
        <v>0</v>
      </c>
      <c r="L147" s="6">
        <f t="shared" ca="1" si="23"/>
        <v>0</v>
      </c>
      <c r="M147" s="20">
        <f t="shared" ca="1" si="24"/>
        <v>17.80821917808219</v>
      </c>
    </row>
    <row r="148" spans="2:13" ht="13.4" customHeight="1" x14ac:dyDescent="0.25">
      <c r="B148" s="1"/>
      <c r="E148" s="27">
        <v>144</v>
      </c>
      <c r="F148" s="6">
        <f t="shared" ca="1" si="21"/>
        <v>110</v>
      </c>
      <c r="G148" s="6">
        <f t="shared" ca="1" si="25"/>
        <v>650</v>
      </c>
      <c r="H148" s="6">
        <f t="shared" ca="1" si="26"/>
        <v>540</v>
      </c>
      <c r="I148" s="6">
        <f t="shared" ca="1" si="27"/>
        <v>0</v>
      </c>
      <c r="J148" s="6">
        <f t="shared" ca="1" si="28"/>
        <v>0</v>
      </c>
      <c r="K148" s="6">
        <f t="shared" ca="1" si="22"/>
        <v>0</v>
      </c>
      <c r="L148" s="6">
        <f t="shared" ca="1" si="23"/>
        <v>0</v>
      </c>
      <c r="M148" s="20">
        <f t="shared" ca="1" si="24"/>
        <v>14.794520547945204</v>
      </c>
    </row>
    <row r="149" spans="2:13" ht="13.4" customHeight="1" x14ac:dyDescent="0.25">
      <c r="B149" s="1"/>
      <c r="E149" s="27">
        <v>145</v>
      </c>
      <c r="F149" s="6">
        <f t="shared" ca="1" si="21"/>
        <v>110</v>
      </c>
      <c r="G149" s="6">
        <f t="shared" ca="1" si="25"/>
        <v>540</v>
      </c>
      <c r="H149" s="6">
        <f t="shared" ca="1" si="26"/>
        <v>430</v>
      </c>
      <c r="I149" s="6">
        <f t="shared" ca="1" si="27"/>
        <v>0</v>
      </c>
      <c r="J149" s="6">
        <f t="shared" ca="1" si="28"/>
        <v>0</v>
      </c>
      <c r="K149" s="6">
        <f t="shared" ca="1" si="22"/>
        <v>0</v>
      </c>
      <c r="L149" s="6">
        <f t="shared" ca="1" si="23"/>
        <v>0</v>
      </c>
      <c r="M149" s="20">
        <f t="shared" ca="1" si="24"/>
        <v>11.780821917808218</v>
      </c>
    </row>
    <row r="150" spans="2:13" ht="13.4" customHeight="1" x14ac:dyDescent="0.25">
      <c r="B150" s="1"/>
      <c r="E150" s="27">
        <v>146</v>
      </c>
      <c r="F150" s="6">
        <f t="shared" ca="1" si="21"/>
        <v>100</v>
      </c>
      <c r="G150" s="6">
        <f t="shared" ca="1" si="25"/>
        <v>430</v>
      </c>
      <c r="H150" s="6">
        <f t="shared" ca="1" si="26"/>
        <v>330</v>
      </c>
      <c r="I150" s="6">
        <f t="shared" ca="1" si="27"/>
        <v>0</v>
      </c>
      <c r="J150" s="6">
        <f t="shared" ca="1" si="28"/>
        <v>0</v>
      </c>
      <c r="K150" s="6">
        <f t="shared" ca="1" si="22"/>
        <v>0</v>
      </c>
      <c r="L150" s="6">
        <f t="shared" ca="1" si="23"/>
        <v>0</v>
      </c>
      <c r="M150" s="20">
        <f t="shared" ca="1" si="24"/>
        <v>9.0410958904109577</v>
      </c>
    </row>
    <row r="151" spans="2:13" ht="13.4" customHeight="1" x14ac:dyDescent="0.25">
      <c r="B151" s="1"/>
      <c r="E151" s="27">
        <v>147</v>
      </c>
      <c r="F151" s="6">
        <f t="shared" ca="1" si="21"/>
        <v>120</v>
      </c>
      <c r="G151" s="6">
        <f t="shared" ca="1" si="25"/>
        <v>330</v>
      </c>
      <c r="H151" s="6">
        <f t="shared" ca="1" si="26"/>
        <v>210</v>
      </c>
      <c r="I151" s="6">
        <f t="shared" ca="1" si="27"/>
        <v>0</v>
      </c>
      <c r="J151" s="6">
        <f t="shared" ca="1" si="28"/>
        <v>0</v>
      </c>
      <c r="K151" s="6">
        <f t="shared" ca="1" si="22"/>
        <v>0</v>
      </c>
      <c r="L151" s="6">
        <f t="shared" ca="1" si="23"/>
        <v>0</v>
      </c>
      <c r="M151" s="20">
        <f t="shared" ca="1" si="24"/>
        <v>5.7534246575342465</v>
      </c>
    </row>
    <row r="152" spans="2:13" ht="13.4" customHeight="1" x14ac:dyDescent="0.25">
      <c r="B152" s="1"/>
      <c r="E152" s="27">
        <v>148</v>
      </c>
      <c r="F152" s="6">
        <f t="shared" ca="1" si="21"/>
        <v>110</v>
      </c>
      <c r="G152" s="6">
        <f t="shared" ca="1" si="25"/>
        <v>210</v>
      </c>
      <c r="H152" s="6">
        <f t="shared" ca="1" si="26"/>
        <v>100</v>
      </c>
      <c r="I152" s="6">
        <f t="shared" ca="1" si="27"/>
        <v>0</v>
      </c>
      <c r="J152" s="6">
        <f t="shared" ca="1" si="28"/>
        <v>0</v>
      </c>
      <c r="K152" s="6">
        <f t="shared" ca="1" si="22"/>
        <v>0</v>
      </c>
      <c r="L152" s="6">
        <f t="shared" ca="1" si="23"/>
        <v>0</v>
      </c>
      <c r="M152" s="20">
        <f t="shared" ca="1" si="24"/>
        <v>2.7397260273972601</v>
      </c>
    </row>
    <row r="153" spans="2:13" ht="13.4" customHeight="1" x14ac:dyDescent="0.25">
      <c r="B153" s="1"/>
      <c r="E153" s="27">
        <v>149</v>
      </c>
      <c r="F153" s="6">
        <f t="shared" ca="1" si="21"/>
        <v>100</v>
      </c>
      <c r="G153" s="6">
        <f t="shared" ca="1" si="25"/>
        <v>100</v>
      </c>
      <c r="H153" s="6">
        <f t="shared" ca="1" si="26"/>
        <v>0</v>
      </c>
      <c r="I153" s="6">
        <f t="shared" ca="1" si="27"/>
        <v>1</v>
      </c>
      <c r="J153" s="6">
        <f t="shared" ca="1" si="28"/>
        <v>0</v>
      </c>
      <c r="K153" s="6">
        <f t="shared" ca="1" si="22"/>
        <v>0</v>
      </c>
      <c r="L153" s="6">
        <f t="shared" ca="1" si="23"/>
        <v>200</v>
      </c>
      <c r="M153" s="20">
        <f t="shared" ca="1" si="24"/>
        <v>0</v>
      </c>
    </row>
    <row r="154" spans="2:13" ht="13.4" customHeight="1" x14ac:dyDescent="0.25">
      <c r="B154" s="1"/>
      <c r="E154" s="27">
        <v>150</v>
      </c>
      <c r="F154" s="6">
        <f t="shared" ca="1" si="21"/>
        <v>110</v>
      </c>
      <c r="G154" s="6">
        <f t="shared" ca="1" si="25"/>
        <v>1000</v>
      </c>
      <c r="H154" s="6">
        <f t="shared" ca="1" si="26"/>
        <v>890</v>
      </c>
      <c r="I154" s="6">
        <f t="shared" ca="1" si="27"/>
        <v>0</v>
      </c>
      <c r="J154" s="6">
        <f t="shared" ca="1" si="28"/>
        <v>0</v>
      </c>
      <c r="K154" s="6">
        <f t="shared" ca="1" si="22"/>
        <v>0</v>
      </c>
      <c r="L154" s="6">
        <f t="shared" ca="1" si="23"/>
        <v>0</v>
      </c>
      <c r="M154" s="20">
        <f t="shared" ca="1" si="24"/>
        <v>24.383561643835616</v>
      </c>
    </row>
    <row r="155" spans="2:13" ht="13.4" customHeight="1" x14ac:dyDescent="0.25">
      <c r="B155" s="1"/>
      <c r="E155" s="27">
        <v>151</v>
      </c>
      <c r="F155" s="6">
        <f t="shared" ca="1" si="21"/>
        <v>120</v>
      </c>
      <c r="G155" s="6">
        <f t="shared" ca="1" si="25"/>
        <v>890</v>
      </c>
      <c r="H155" s="6">
        <f t="shared" ca="1" si="26"/>
        <v>770</v>
      </c>
      <c r="I155" s="6">
        <f t="shared" ca="1" si="27"/>
        <v>0</v>
      </c>
      <c r="J155" s="6">
        <f t="shared" ca="1" si="28"/>
        <v>0</v>
      </c>
      <c r="K155" s="6">
        <f t="shared" ca="1" si="22"/>
        <v>0</v>
      </c>
      <c r="L155" s="6">
        <f t="shared" ca="1" si="23"/>
        <v>0</v>
      </c>
      <c r="M155" s="20">
        <f t="shared" ca="1" si="24"/>
        <v>21.095890410958901</v>
      </c>
    </row>
    <row r="156" spans="2:13" ht="13.4" customHeight="1" x14ac:dyDescent="0.25">
      <c r="B156" s="1"/>
      <c r="E156" s="27">
        <v>152</v>
      </c>
      <c r="F156" s="6">
        <f t="shared" ca="1" si="21"/>
        <v>90</v>
      </c>
      <c r="G156" s="6">
        <f t="shared" ca="1" si="25"/>
        <v>770</v>
      </c>
      <c r="H156" s="6">
        <f t="shared" ca="1" si="26"/>
        <v>680</v>
      </c>
      <c r="I156" s="6">
        <f t="shared" ca="1" si="27"/>
        <v>0</v>
      </c>
      <c r="J156" s="6">
        <f t="shared" ca="1" si="28"/>
        <v>0</v>
      </c>
      <c r="K156" s="6">
        <f t="shared" ca="1" si="22"/>
        <v>0</v>
      </c>
      <c r="L156" s="6">
        <f t="shared" ca="1" si="23"/>
        <v>0</v>
      </c>
      <c r="M156" s="20">
        <f t="shared" ca="1" si="24"/>
        <v>18.63013698630137</v>
      </c>
    </row>
    <row r="157" spans="2:13" ht="13.4" customHeight="1" x14ac:dyDescent="0.25">
      <c r="B157" s="1"/>
      <c r="E157" s="27">
        <v>153</v>
      </c>
      <c r="F157" s="6">
        <f t="shared" ca="1" si="21"/>
        <v>80</v>
      </c>
      <c r="G157" s="6">
        <f t="shared" ca="1" si="25"/>
        <v>680</v>
      </c>
      <c r="H157" s="6">
        <f t="shared" ca="1" si="26"/>
        <v>600</v>
      </c>
      <c r="I157" s="6">
        <f t="shared" ca="1" si="27"/>
        <v>0</v>
      </c>
      <c r="J157" s="6">
        <f t="shared" ca="1" si="28"/>
        <v>0</v>
      </c>
      <c r="K157" s="6">
        <f t="shared" ca="1" si="22"/>
        <v>0</v>
      </c>
      <c r="L157" s="6">
        <f t="shared" ca="1" si="23"/>
        <v>0</v>
      </c>
      <c r="M157" s="20">
        <f t="shared" ca="1" si="24"/>
        <v>16.43835616438356</v>
      </c>
    </row>
    <row r="158" spans="2:13" ht="13.4" customHeight="1" x14ac:dyDescent="0.25">
      <c r="B158" s="1"/>
      <c r="E158" s="27">
        <v>154</v>
      </c>
      <c r="F158" s="6">
        <f t="shared" ca="1" si="21"/>
        <v>110</v>
      </c>
      <c r="G158" s="6">
        <f t="shared" ca="1" si="25"/>
        <v>600</v>
      </c>
      <c r="H158" s="6">
        <f t="shared" ca="1" si="26"/>
        <v>490</v>
      </c>
      <c r="I158" s="6">
        <f t="shared" ca="1" si="27"/>
        <v>0</v>
      </c>
      <c r="J158" s="6">
        <f t="shared" ca="1" si="28"/>
        <v>0</v>
      </c>
      <c r="K158" s="6">
        <f t="shared" ca="1" si="22"/>
        <v>0</v>
      </c>
      <c r="L158" s="6">
        <f t="shared" ca="1" si="23"/>
        <v>0</v>
      </c>
      <c r="M158" s="20">
        <f t="shared" ca="1" si="24"/>
        <v>13.424657534246574</v>
      </c>
    </row>
    <row r="159" spans="2:13" ht="13.4" customHeight="1" x14ac:dyDescent="0.25">
      <c r="B159" s="1"/>
      <c r="E159" s="27">
        <v>155</v>
      </c>
      <c r="F159" s="6">
        <f t="shared" ca="1" si="21"/>
        <v>120</v>
      </c>
      <c r="G159" s="6">
        <f t="shared" ca="1" si="25"/>
        <v>490</v>
      </c>
      <c r="H159" s="6">
        <f t="shared" ca="1" si="26"/>
        <v>370</v>
      </c>
      <c r="I159" s="6">
        <f t="shared" ca="1" si="27"/>
        <v>0</v>
      </c>
      <c r="J159" s="6">
        <f t="shared" ca="1" si="28"/>
        <v>0</v>
      </c>
      <c r="K159" s="6">
        <f t="shared" ca="1" si="22"/>
        <v>0</v>
      </c>
      <c r="L159" s="6">
        <f t="shared" ca="1" si="23"/>
        <v>0</v>
      </c>
      <c r="M159" s="20">
        <f t="shared" ca="1" si="24"/>
        <v>10.136986301369863</v>
      </c>
    </row>
    <row r="160" spans="2:13" ht="13.4" customHeight="1" x14ac:dyDescent="0.25">
      <c r="B160" s="1"/>
      <c r="E160" s="27">
        <v>156</v>
      </c>
      <c r="F160" s="6">
        <f t="shared" ca="1" si="21"/>
        <v>100</v>
      </c>
      <c r="G160" s="6">
        <f t="shared" ca="1" si="25"/>
        <v>370</v>
      </c>
      <c r="H160" s="6">
        <f t="shared" ca="1" si="26"/>
        <v>270</v>
      </c>
      <c r="I160" s="6">
        <f t="shared" ca="1" si="27"/>
        <v>0</v>
      </c>
      <c r="J160" s="6">
        <f t="shared" ca="1" si="28"/>
        <v>0</v>
      </c>
      <c r="K160" s="6">
        <f t="shared" ca="1" si="22"/>
        <v>0</v>
      </c>
      <c r="L160" s="6">
        <f t="shared" ca="1" si="23"/>
        <v>0</v>
      </c>
      <c r="M160" s="20">
        <f t="shared" ca="1" si="24"/>
        <v>7.3972602739726021</v>
      </c>
    </row>
    <row r="161" spans="2:13" ht="13.4" customHeight="1" x14ac:dyDescent="0.25">
      <c r="B161" s="1"/>
      <c r="E161" s="27">
        <v>157</v>
      </c>
      <c r="F161" s="6">
        <f t="shared" ca="1" si="21"/>
        <v>90</v>
      </c>
      <c r="G161" s="6">
        <f t="shared" ca="1" si="25"/>
        <v>270</v>
      </c>
      <c r="H161" s="6">
        <f t="shared" ca="1" si="26"/>
        <v>180</v>
      </c>
      <c r="I161" s="6">
        <f t="shared" ca="1" si="27"/>
        <v>0</v>
      </c>
      <c r="J161" s="6">
        <f t="shared" ca="1" si="28"/>
        <v>0</v>
      </c>
      <c r="K161" s="6">
        <f t="shared" ca="1" si="22"/>
        <v>0</v>
      </c>
      <c r="L161" s="6">
        <f t="shared" ca="1" si="23"/>
        <v>0</v>
      </c>
      <c r="M161" s="20">
        <f t="shared" ca="1" si="24"/>
        <v>4.9315068493150687</v>
      </c>
    </row>
    <row r="162" spans="2:13" ht="13.4" customHeight="1" x14ac:dyDescent="0.25">
      <c r="B162" s="1"/>
      <c r="E162" s="27">
        <v>158</v>
      </c>
      <c r="F162" s="6">
        <f t="shared" ca="1" si="21"/>
        <v>110</v>
      </c>
      <c r="G162" s="6">
        <f t="shared" ca="1" si="25"/>
        <v>180</v>
      </c>
      <c r="H162" s="6">
        <f t="shared" ca="1" si="26"/>
        <v>70</v>
      </c>
      <c r="I162" s="6">
        <f t="shared" ca="1" si="27"/>
        <v>1</v>
      </c>
      <c r="J162" s="6">
        <f t="shared" ca="1" si="28"/>
        <v>0</v>
      </c>
      <c r="K162" s="6">
        <f t="shared" ca="1" si="22"/>
        <v>0</v>
      </c>
      <c r="L162" s="6">
        <f t="shared" ca="1" si="23"/>
        <v>200</v>
      </c>
      <c r="M162" s="20">
        <f t="shared" ca="1" si="24"/>
        <v>1.9178082191780821</v>
      </c>
    </row>
    <row r="163" spans="2:13" ht="13.4" customHeight="1" x14ac:dyDescent="0.25">
      <c r="B163" s="1"/>
      <c r="E163" s="27">
        <v>159</v>
      </c>
      <c r="F163" s="6">
        <f t="shared" ca="1" si="21"/>
        <v>110</v>
      </c>
      <c r="G163" s="6">
        <f t="shared" ca="1" si="25"/>
        <v>1070</v>
      </c>
      <c r="H163" s="6">
        <f t="shared" ca="1" si="26"/>
        <v>960</v>
      </c>
      <c r="I163" s="6">
        <f t="shared" ca="1" si="27"/>
        <v>0</v>
      </c>
      <c r="J163" s="6">
        <f t="shared" ca="1" si="28"/>
        <v>0</v>
      </c>
      <c r="K163" s="6">
        <f t="shared" ca="1" si="22"/>
        <v>0</v>
      </c>
      <c r="L163" s="6">
        <f t="shared" ca="1" si="23"/>
        <v>0</v>
      </c>
      <c r="M163" s="20">
        <f t="shared" ca="1" si="24"/>
        <v>26.301369863013697</v>
      </c>
    </row>
    <row r="164" spans="2:13" ht="13.4" customHeight="1" x14ac:dyDescent="0.25">
      <c r="B164" s="1"/>
      <c r="E164" s="27">
        <v>160</v>
      </c>
      <c r="F164" s="6">
        <f t="shared" ca="1" si="21"/>
        <v>110</v>
      </c>
      <c r="G164" s="6">
        <f t="shared" ca="1" si="25"/>
        <v>960</v>
      </c>
      <c r="H164" s="6">
        <f t="shared" ca="1" si="26"/>
        <v>850</v>
      </c>
      <c r="I164" s="6">
        <f t="shared" ca="1" si="27"/>
        <v>0</v>
      </c>
      <c r="J164" s="6">
        <f t="shared" ca="1" si="28"/>
        <v>0</v>
      </c>
      <c r="K164" s="6">
        <f t="shared" ca="1" si="22"/>
        <v>0</v>
      </c>
      <c r="L164" s="6">
        <f t="shared" ca="1" si="23"/>
        <v>0</v>
      </c>
      <c r="M164" s="20">
        <f t="shared" ca="1" si="24"/>
        <v>23.287671232876711</v>
      </c>
    </row>
    <row r="165" spans="2:13" ht="13.4" customHeight="1" x14ac:dyDescent="0.25">
      <c r="B165" s="1"/>
      <c r="E165" s="27">
        <v>161</v>
      </c>
      <c r="F165" s="6">
        <f t="shared" ca="1" si="21"/>
        <v>110</v>
      </c>
      <c r="G165" s="6">
        <f t="shared" ca="1" si="25"/>
        <v>850</v>
      </c>
      <c r="H165" s="6">
        <f t="shared" ca="1" si="26"/>
        <v>740</v>
      </c>
      <c r="I165" s="6">
        <f t="shared" ca="1" si="27"/>
        <v>0</v>
      </c>
      <c r="J165" s="6">
        <f t="shared" ca="1" si="28"/>
        <v>0</v>
      </c>
      <c r="K165" s="6">
        <f t="shared" ca="1" si="22"/>
        <v>0</v>
      </c>
      <c r="L165" s="6">
        <f t="shared" ca="1" si="23"/>
        <v>0</v>
      </c>
      <c r="M165" s="20">
        <f t="shared" ca="1" si="24"/>
        <v>20.273972602739725</v>
      </c>
    </row>
    <row r="166" spans="2:13" ht="13.4" customHeight="1" x14ac:dyDescent="0.25">
      <c r="B166" s="1"/>
      <c r="E166" s="27">
        <v>162</v>
      </c>
      <c r="F166" s="6">
        <f t="shared" ca="1" si="21"/>
        <v>90</v>
      </c>
      <c r="G166" s="6">
        <f t="shared" ca="1" si="25"/>
        <v>740</v>
      </c>
      <c r="H166" s="6">
        <f t="shared" ca="1" si="26"/>
        <v>650</v>
      </c>
      <c r="I166" s="6">
        <f t="shared" ca="1" si="27"/>
        <v>0</v>
      </c>
      <c r="J166" s="6">
        <f t="shared" ca="1" si="28"/>
        <v>0</v>
      </c>
      <c r="K166" s="6">
        <f t="shared" ca="1" si="22"/>
        <v>0</v>
      </c>
      <c r="L166" s="6">
        <f t="shared" ca="1" si="23"/>
        <v>0</v>
      </c>
      <c r="M166" s="20">
        <f t="shared" ca="1" si="24"/>
        <v>17.80821917808219</v>
      </c>
    </row>
    <row r="167" spans="2:13" ht="13.4" customHeight="1" x14ac:dyDescent="0.25">
      <c r="B167" s="1"/>
      <c r="E167" s="27">
        <v>163</v>
      </c>
      <c r="F167" s="6">
        <f t="shared" ca="1" si="21"/>
        <v>80</v>
      </c>
      <c r="G167" s="6">
        <f t="shared" ca="1" si="25"/>
        <v>650</v>
      </c>
      <c r="H167" s="6">
        <f t="shared" ca="1" si="26"/>
        <v>570</v>
      </c>
      <c r="I167" s="6">
        <f t="shared" ca="1" si="27"/>
        <v>0</v>
      </c>
      <c r="J167" s="6">
        <f t="shared" ca="1" si="28"/>
        <v>0</v>
      </c>
      <c r="K167" s="6">
        <f t="shared" ca="1" si="22"/>
        <v>0</v>
      </c>
      <c r="L167" s="6">
        <f t="shared" ca="1" si="23"/>
        <v>0</v>
      </c>
      <c r="M167" s="20">
        <f t="shared" ca="1" si="24"/>
        <v>15.616438356164382</v>
      </c>
    </row>
    <row r="168" spans="2:13" ht="13.4" customHeight="1" x14ac:dyDescent="0.25">
      <c r="B168" s="1"/>
      <c r="E168" s="27">
        <v>164</v>
      </c>
      <c r="F168" s="6">
        <f t="shared" ca="1" si="21"/>
        <v>80</v>
      </c>
      <c r="G168" s="6">
        <f t="shared" ca="1" si="25"/>
        <v>570</v>
      </c>
      <c r="H168" s="6">
        <f t="shared" ca="1" si="26"/>
        <v>490</v>
      </c>
      <c r="I168" s="6">
        <f t="shared" ca="1" si="27"/>
        <v>0</v>
      </c>
      <c r="J168" s="6">
        <f t="shared" ca="1" si="28"/>
        <v>0</v>
      </c>
      <c r="K168" s="6">
        <f t="shared" ca="1" si="22"/>
        <v>0</v>
      </c>
      <c r="L168" s="6">
        <f t="shared" ca="1" si="23"/>
        <v>0</v>
      </c>
      <c r="M168" s="20">
        <f t="shared" ca="1" si="24"/>
        <v>13.424657534246574</v>
      </c>
    </row>
    <row r="169" spans="2:13" ht="13.4" customHeight="1" x14ac:dyDescent="0.25">
      <c r="B169" s="1"/>
      <c r="E169" s="27">
        <v>165</v>
      </c>
      <c r="F169" s="6">
        <f t="shared" ca="1" si="21"/>
        <v>90</v>
      </c>
      <c r="G169" s="6">
        <f t="shared" ca="1" si="25"/>
        <v>490</v>
      </c>
      <c r="H169" s="6">
        <f t="shared" ca="1" si="26"/>
        <v>400</v>
      </c>
      <c r="I169" s="6">
        <f t="shared" ca="1" si="27"/>
        <v>0</v>
      </c>
      <c r="J169" s="6">
        <f t="shared" ca="1" si="28"/>
        <v>0</v>
      </c>
      <c r="K169" s="6">
        <f t="shared" ca="1" si="22"/>
        <v>0</v>
      </c>
      <c r="L169" s="6">
        <f t="shared" ca="1" si="23"/>
        <v>0</v>
      </c>
      <c r="M169" s="20">
        <f t="shared" ca="1" si="24"/>
        <v>10.95890410958904</v>
      </c>
    </row>
    <row r="170" spans="2:13" ht="13.4" customHeight="1" x14ac:dyDescent="0.25">
      <c r="B170" s="1"/>
      <c r="E170" s="27">
        <v>166</v>
      </c>
      <c r="F170" s="6">
        <f t="shared" ca="1" si="21"/>
        <v>80</v>
      </c>
      <c r="G170" s="6">
        <f t="shared" ca="1" si="25"/>
        <v>400</v>
      </c>
      <c r="H170" s="6">
        <f t="shared" ca="1" si="26"/>
        <v>320</v>
      </c>
      <c r="I170" s="6">
        <f t="shared" ca="1" si="27"/>
        <v>0</v>
      </c>
      <c r="J170" s="6">
        <f t="shared" ca="1" si="28"/>
        <v>0</v>
      </c>
      <c r="K170" s="6">
        <f t="shared" ca="1" si="22"/>
        <v>0</v>
      </c>
      <c r="L170" s="6">
        <f t="shared" ca="1" si="23"/>
        <v>0</v>
      </c>
      <c r="M170" s="20">
        <f t="shared" ca="1" si="24"/>
        <v>8.7671232876712324</v>
      </c>
    </row>
    <row r="171" spans="2:13" ht="13.4" customHeight="1" x14ac:dyDescent="0.25">
      <c r="B171" s="1"/>
      <c r="E171" s="27">
        <v>167</v>
      </c>
      <c r="F171" s="6">
        <f t="shared" ca="1" si="21"/>
        <v>90</v>
      </c>
      <c r="G171" s="6">
        <f t="shared" ca="1" si="25"/>
        <v>320</v>
      </c>
      <c r="H171" s="6">
        <f t="shared" ca="1" si="26"/>
        <v>230</v>
      </c>
      <c r="I171" s="6">
        <f t="shared" ca="1" si="27"/>
        <v>0</v>
      </c>
      <c r="J171" s="6">
        <f t="shared" ca="1" si="28"/>
        <v>0</v>
      </c>
      <c r="K171" s="6">
        <f t="shared" ca="1" si="22"/>
        <v>0</v>
      </c>
      <c r="L171" s="6">
        <f t="shared" ca="1" si="23"/>
        <v>0</v>
      </c>
      <c r="M171" s="20">
        <f t="shared" ca="1" si="24"/>
        <v>6.3013698630136981</v>
      </c>
    </row>
    <row r="172" spans="2:13" ht="13.4" customHeight="1" x14ac:dyDescent="0.25">
      <c r="B172" s="1"/>
      <c r="E172" s="27">
        <v>168</v>
      </c>
      <c r="F172" s="6">
        <f t="shared" ca="1" si="21"/>
        <v>80</v>
      </c>
      <c r="G172" s="6">
        <f t="shared" ca="1" si="25"/>
        <v>230</v>
      </c>
      <c r="H172" s="6">
        <f t="shared" ca="1" si="26"/>
        <v>150</v>
      </c>
      <c r="I172" s="6">
        <f t="shared" ca="1" si="27"/>
        <v>0</v>
      </c>
      <c r="J172" s="6">
        <f t="shared" ca="1" si="28"/>
        <v>0</v>
      </c>
      <c r="K172" s="6">
        <f t="shared" ca="1" si="22"/>
        <v>0</v>
      </c>
      <c r="L172" s="6">
        <f t="shared" ca="1" si="23"/>
        <v>0</v>
      </c>
      <c r="M172" s="20">
        <f t="shared" ca="1" si="24"/>
        <v>4.10958904109589</v>
      </c>
    </row>
    <row r="173" spans="2:13" ht="13.4" customHeight="1" x14ac:dyDescent="0.25">
      <c r="B173" s="1"/>
      <c r="E173" s="27">
        <v>169</v>
      </c>
      <c r="F173" s="6">
        <f t="shared" ca="1" si="21"/>
        <v>110</v>
      </c>
      <c r="G173" s="6">
        <f t="shared" ca="1" si="25"/>
        <v>150</v>
      </c>
      <c r="H173" s="6">
        <f t="shared" ca="1" si="26"/>
        <v>40</v>
      </c>
      <c r="I173" s="6">
        <f t="shared" ca="1" si="27"/>
        <v>1</v>
      </c>
      <c r="J173" s="6">
        <f t="shared" ca="1" si="28"/>
        <v>0</v>
      </c>
      <c r="K173" s="6">
        <f t="shared" ca="1" si="22"/>
        <v>0</v>
      </c>
      <c r="L173" s="6">
        <f t="shared" ca="1" si="23"/>
        <v>200</v>
      </c>
      <c r="M173" s="20">
        <f t="shared" ca="1" si="24"/>
        <v>1.095890410958904</v>
      </c>
    </row>
    <row r="174" spans="2:13" ht="13.4" customHeight="1" x14ac:dyDescent="0.25">
      <c r="B174" s="1"/>
      <c r="E174" s="27">
        <v>170</v>
      </c>
      <c r="F174" s="6">
        <f t="shared" ca="1" si="21"/>
        <v>90</v>
      </c>
      <c r="G174" s="6">
        <f t="shared" ca="1" si="25"/>
        <v>1040</v>
      </c>
      <c r="H174" s="6">
        <f t="shared" ca="1" si="26"/>
        <v>950</v>
      </c>
      <c r="I174" s="6">
        <f t="shared" ca="1" si="27"/>
        <v>0</v>
      </c>
      <c r="J174" s="6">
        <f t="shared" ca="1" si="28"/>
        <v>0</v>
      </c>
      <c r="K174" s="6">
        <f t="shared" ca="1" si="22"/>
        <v>0</v>
      </c>
      <c r="L174" s="6">
        <f t="shared" ca="1" si="23"/>
        <v>0</v>
      </c>
      <c r="M174" s="20">
        <f t="shared" ca="1" si="24"/>
        <v>26.027397260273972</v>
      </c>
    </row>
    <row r="175" spans="2:13" ht="13.4" customHeight="1" x14ac:dyDescent="0.25">
      <c r="B175" s="1"/>
      <c r="E175" s="27">
        <v>171</v>
      </c>
      <c r="F175" s="6">
        <f t="shared" ca="1" si="21"/>
        <v>100</v>
      </c>
      <c r="G175" s="6">
        <f t="shared" ca="1" si="25"/>
        <v>950</v>
      </c>
      <c r="H175" s="6">
        <f t="shared" ca="1" si="26"/>
        <v>850</v>
      </c>
      <c r="I175" s="6">
        <f t="shared" ca="1" si="27"/>
        <v>0</v>
      </c>
      <c r="J175" s="6">
        <f t="shared" ca="1" si="28"/>
        <v>0</v>
      </c>
      <c r="K175" s="6">
        <f t="shared" ca="1" si="22"/>
        <v>0</v>
      </c>
      <c r="L175" s="6">
        <f t="shared" ca="1" si="23"/>
        <v>0</v>
      </c>
      <c r="M175" s="20">
        <f t="shared" ca="1" si="24"/>
        <v>23.287671232876711</v>
      </c>
    </row>
    <row r="176" spans="2:13" ht="13.4" customHeight="1" x14ac:dyDescent="0.25">
      <c r="B176" s="1"/>
      <c r="E176" s="27">
        <v>172</v>
      </c>
      <c r="F176" s="6">
        <f t="shared" ca="1" si="21"/>
        <v>110</v>
      </c>
      <c r="G176" s="6">
        <f t="shared" ca="1" si="25"/>
        <v>850</v>
      </c>
      <c r="H176" s="6">
        <f t="shared" ca="1" si="26"/>
        <v>740</v>
      </c>
      <c r="I176" s="6">
        <f t="shared" ca="1" si="27"/>
        <v>0</v>
      </c>
      <c r="J176" s="6">
        <f t="shared" ca="1" si="28"/>
        <v>0</v>
      </c>
      <c r="K176" s="6">
        <f t="shared" ca="1" si="22"/>
        <v>0</v>
      </c>
      <c r="L176" s="6">
        <f t="shared" ca="1" si="23"/>
        <v>0</v>
      </c>
      <c r="M176" s="20">
        <f t="shared" ca="1" si="24"/>
        <v>20.273972602739725</v>
      </c>
    </row>
    <row r="177" spans="2:13" ht="13.4" customHeight="1" x14ac:dyDescent="0.25">
      <c r="B177" s="1"/>
      <c r="E177" s="27">
        <v>173</v>
      </c>
      <c r="F177" s="6">
        <f t="shared" ca="1" si="21"/>
        <v>120</v>
      </c>
      <c r="G177" s="6">
        <f t="shared" ca="1" si="25"/>
        <v>740</v>
      </c>
      <c r="H177" s="6">
        <f t="shared" ca="1" si="26"/>
        <v>620</v>
      </c>
      <c r="I177" s="6">
        <f t="shared" ca="1" si="27"/>
        <v>0</v>
      </c>
      <c r="J177" s="6">
        <f t="shared" ca="1" si="28"/>
        <v>0</v>
      </c>
      <c r="K177" s="6">
        <f t="shared" ca="1" si="22"/>
        <v>0</v>
      </c>
      <c r="L177" s="6">
        <f t="shared" ca="1" si="23"/>
        <v>0</v>
      </c>
      <c r="M177" s="20">
        <f t="shared" ca="1" si="24"/>
        <v>16.986301369863014</v>
      </c>
    </row>
    <row r="178" spans="2:13" ht="13.4" customHeight="1" x14ac:dyDescent="0.25">
      <c r="B178" s="1"/>
      <c r="E178" s="27">
        <v>174</v>
      </c>
      <c r="F178" s="6">
        <f t="shared" ca="1" si="21"/>
        <v>120</v>
      </c>
      <c r="G178" s="6">
        <f t="shared" ca="1" si="25"/>
        <v>620</v>
      </c>
      <c r="H178" s="6">
        <f t="shared" ca="1" si="26"/>
        <v>500</v>
      </c>
      <c r="I178" s="6">
        <f t="shared" ca="1" si="27"/>
        <v>0</v>
      </c>
      <c r="J178" s="6">
        <f t="shared" ca="1" si="28"/>
        <v>0</v>
      </c>
      <c r="K178" s="6">
        <f t="shared" ca="1" si="22"/>
        <v>0</v>
      </c>
      <c r="L178" s="6">
        <f t="shared" ca="1" si="23"/>
        <v>0</v>
      </c>
      <c r="M178" s="20">
        <f t="shared" ca="1" si="24"/>
        <v>13.698630136986301</v>
      </c>
    </row>
    <row r="179" spans="2:13" ht="13.4" customHeight="1" x14ac:dyDescent="0.25">
      <c r="B179" s="1"/>
      <c r="E179" s="27">
        <v>175</v>
      </c>
      <c r="F179" s="6">
        <f t="shared" ca="1" si="21"/>
        <v>80</v>
      </c>
      <c r="G179" s="6">
        <f t="shared" ca="1" si="25"/>
        <v>500</v>
      </c>
      <c r="H179" s="6">
        <f t="shared" ca="1" si="26"/>
        <v>420</v>
      </c>
      <c r="I179" s="6">
        <f t="shared" ca="1" si="27"/>
        <v>0</v>
      </c>
      <c r="J179" s="6">
        <f t="shared" ca="1" si="28"/>
        <v>0</v>
      </c>
      <c r="K179" s="6">
        <f t="shared" ca="1" si="22"/>
        <v>0</v>
      </c>
      <c r="L179" s="6">
        <f t="shared" ca="1" si="23"/>
        <v>0</v>
      </c>
      <c r="M179" s="20">
        <f t="shared" ca="1" si="24"/>
        <v>11.506849315068493</v>
      </c>
    </row>
    <row r="180" spans="2:13" ht="13.4" customHeight="1" x14ac:dyDescent="0.25">
      <c r="B180" s="1"/>
      <c r="E180" s="27">
        <v>176</v>
      </c>
      <c r="F180" s="6">
        <f t="shared" ca="1" si="21"/>
        <v>120</v>
      </c>
      <c r="G180" s="6">
        <f t="shared" ca="1" si="25"/>
        <v>420</v>
      </c>
      <c r="H180" s="6">
        <f t="shared" ca="1" si="26"/>
        <v>300</v>
      </c>
      <c r="I180" s="6">
        <f t="shared" ca="1" si="27"/>
        <v>0</v>
      </c>
      <c r="J180" s="6">
        <f t="shared" ca="1" si="28"/>
        <v>0</v>
      </c>
      <c r="K180" s="6">
        <f t="shared" ca="1" si="22"/>
        <v>0</v>
      </c>
      <c r="L180" s="6">
        <f t="shared" ca="1" si="23"/>
        <v>0</v>
      </c>
      <c r="M180" s="20">
        <f t="shared" ca="1" si="24"/>
        <v>8.2191780821917799</v>
      </c>
    </row>
    <row r="181" spans="2:13" ht="13.4" customHeight="1" x14ac:dyDescent="0.25">
      <c r="B181" s="1"/>
      <c r="E181" s="27">
        <v>177</v>
      </c>
      <c r="F181" s="6">
        <f t="shared" ca="1" si="21"/>
        <v>110</v>
      </c>
      <c r="G181" s="6">
        <f t="shared" ca="1" si="25"/>
        <v>300</v>
      </c>
      <c r="H181" s="6">
        <f t="shared" ca="1" si="26"/>
        <v>190</v>
      </c>
      <c r="I181" s="6">
        <f t="shared" ca="1" si="27"/>
        <v>0</v>
      </c>
      <c r="J181" s="6">
        <f t="shared" ca="1" si="28"/>
        <v>0</v>
      </c>
      <c r="K181" s="6">
        <f t="shared" ca="1" si="22"/>
        <v>0</v>
      </c>
      <c r="L181" s="6">
        <f t="shared" ca="1" si="23"/>
        <v>0</v>
      </c>
      <c r="M181" s="20">
        <f t="shared" ca="1" si="24"/>
        <v>5.205479452054794</v>
      </c>
    </row>
    <row r="182" spans="2:13" ht="13.4" customHeight="1" x14ac:dyDescent="0.25">
      <c r="B182" s="1"/>
      <c r="E182" s="27">
        <v>178</v>
      </c>
      <c r="F182" s="6">
        <f t="shared" ca="1" si="21"/>
        <v>120</v>
      </c>
      <c r="G182" s="6">
        <f t="shared" ca="1" si="25"/>
        <v>190</v>
      </c>
      <c r="H182" s="6">
        <f t="shared" ca="1" si="26"/>
        <v>70</v>
      </c>
      <c r="I182" s="6">
        <f t="shared" ca="1" si="27"/>
        <v>1</v>
      </c>
      <c r="J182" s="6">
        <f t="shared" ca="1" si="28"/>
        <v>0</v>
      </c>
      <c r="K182" s="6">
        <f t="shared" ca="1" si="22"/>
        <v>0</v>
      </c>
      <c r="L182" s="6">
        <f t="shared" ca="1" si="23"/>
        <v>200</v>
      </c>
      <c r="M182" s="20">
        <f t="shared" ca="1" si="24"/>
        <v>1.9178082191780821</v>
      </c>
    </row>
    <row r="183" spans="2:13" ht="13.4" customHeight="1" x14ac:dyDescent="0.25">
      <c r="B183" s="1"/>
      <c r="E183" s="27">
        <v>179</v>
      </c>
      <c r="F183" s="6">
        <f t="shared" ca="1" si="21"/>
        <v>110</v>
      </c>
      <c r="G183" s="6">
        <f t="shared" ca="1" si="25"/>
        <v>1070</v>
      </c>
      <c r="H183" s="6">
        <f t="shared" ca="1" si="26"/>
        <v>960</v>
      </c>
      <c r="I183" s="6">
        <f t="shared" ca="1" si="27"/>
        <v>0</v>
      </c>
      <c r="J183" s="6">
        <f t="shared" ca="1" si="28"/>
        <v>0</v>
      </c>
      <c r="K183" s="6">
        <f t="shared" ca="1" si="22"/>
        <v>0</v>
      </c>
      <c r="L183" s="6">
        <f t="shared" ca="1" si="23"/>
        <v>0</v>
      </c>
      <c r="M183" s="20">
        <f t="shared" ca="1" si="24"/>
        <v>26.301369863013697</v>
      </c>
    </row>
    <row r="184" spans="2:13" ht="13.4" customHeight="1" x14ac:dyDescent="0.25">
      <c r="B184" s="1"/>
      <c r="E184" s="27">
        <v>180</v>
      </c>
      <c r="F184" s="6">
        <f t="shared" ca="1" si="21"/>
        <v>90</v>
      </c>
      <c r="G184" s="6">
        <f t="shared" ca="1" si="25"/>
        <v>960</v>
      </c>
      <c r="H184" s="6">
        <f t="shared" ca="1" si="26"/>
        <v>870</v>
      </c>
      <c r="I184" s="6">
        <f t="shared" ca="1" si="27"/>
        <v>0</v>
      </c>
      <c r="J184" s="6">
        <f t="shared" ca="1" si="28"/>
        <v>0</v>
      </c>
      <c r="K184" s="6">
        <f t="shared" ca="1" si="22"/>
        <v>0</v>
      </c>
      <c r="L184" s="6">
        <f t="shared" ca="1" si="23"/>
        <v>0</v>
      </c>
      <c r="M184" s="20">
        <f t="shared" ca="1" si="24"/>
        <v>23.835616438356162</v>
      </c>
    </row>
    <row r="185" spans="2:13" ht="13.4" customHeight="1" x14ac:dyDescent="0.25">
      <c r="B185" s="1"/>
      <c r="E185" s="27">
        <v>181</v>
      </c>
      <c r="F185" s="6">
        <f t="shared" ca="1" si="21"/>
        <v>100</v>
      </c>
      <c r="G185" s="6">
        <f t="shared" ca="1" si="25"/>
        <v>870</v>
      </c>
      <c r="H185" s="6">
        <f t="shared" ca="1" si="26"/>
        <v>770</v>
      </c>
      <c r="I185" s="6">
        <f t="shared" ca="1" si="27"/>
        <v>0</v>
      </c>
      <c r="J185" s="6">
        <f t="shared" ca="1" si="28"/>
        <v>0</v>
      </c>
      <c r="K185" s="6">
        <f t="shared" ca="1" si="22"/>
        <v>0</v>
      </c>
      <c r="L185" s="6">
        <f t="shared" ca="1" si="23"/>
        <v>0</v>
      </c>
      <c r="M185" s="20">
        <f t="shared" ca="1" si="24"/>
        <v>21.095890410958901</v>
      </c>
    </row>
    <row r="186" spans="2:13" ht="13.4" customHeight="1" x14ac:dyDescent="0.25">
      <c r="B186" s="1"/>
      <c r="E186" s="27">
        <v>182</v>
      </c>
      <c r="F186" s="6">
        <f t="shared" ca="1" si="21"/>
        <v>100</v>
      </c>
      <c r="G186" s="6">
        <f t="shared" ca="1" si="25"/>
        <v>770</v>
      </c>
      <c r="H186" s="6">
        <f t="shared" ca="1" si="26"/>
        <v>670</v>
      </c>
      <c r="I186" s="6">
        <f t="shared" ca="1" si="27"/>
        <v>0</v>
      </c>
      <c r="J186" s="6">
        <f t="shared" ca="1" si="28"/>
        <v>0</v>
      </c>
      <c r="K186" s="6">
        <f t="shared" ca="1" si="22"/>
        <v>0</v>
      </c>
      <c r="L186" s="6">
        <f t="shared" ca="1" si="23"/>
        <v>0</v>
      </c>
      <c r="M186" s="20">
        <f t="shared" ca="1" si="24"/>
        <v>18.356164383561644</v>
      </c>
    </row>
    <row r="187" spans="2:13" ht="13.4" customHeight="1" x14ac:dyDescent="0.25">
      <c r="B187" s="1"/>
      <c r="E187" s="27">
        <v>183</v>
      </c>
      <c r="F187" s="6">
        <f t="shared" ca="1" si="21"/>
        <v>110</v>
      </c>
      <c r="G187" s="6">
        <f t="shared" ca="1" si="25"/>
        <v>670</v>
      </c>
      <c r="H187" s="6">
        <f t="shared" ca="1" si="26"/>
        <v>560</v>
      </c>
      <c r="I187" s="6">
        <f t="shared" ca="1" si="27"/>
        <v>0</v>
      </c>
      <c r="J187" s="6">
        <f t="shared" ca="1" si="28"/>
        <v>0</v>
      </c>
      <c r="K187" s="6">
        <f t="shared" ca="1" si="22"/>
        <v>0</v>
      </c>
      <c r="L187" s="6">
        <f t="shared" ca="1" si="23"/>
        <v>0</v>
      </c>
      <c r="M187" s="20">
        <f t="shared" ca="1" si="24"/>
        <v>15.342465753424657</v>
      </c>
    </row>
    <row r="188" spans="2:13" ht="13.4" customHeight="1" x14ac:dyDescent="0.25">
      <c r="B188" s="1"/>
      <c r="E188" s="27">
        <v>184</v>
      </c>
      <c r="F188" s="6">
        <f t="shared" ca="1" si="21"/>
        <v>120</v>
      </c>
      <c r="G188" s="6">
        <f t="shared" ca="1" si="25"/>
        <v>560</v>
      </c>
      <c r="H188" s="6">
        <f t="shared" ca="1" si="26"/>
        <v>440</v>
      </c>
      <c r="I188" s="6">
        <f t="shared" ca="1" si="27"/>
        <v>0</v>
      </c>
      <c r="J188" s="6">
        <f t="shared" ca="1" si="28"/>
        <v>0</v>
      </c>
      <c r="K188" s="6">
        <f t="shared" ca="1" si="22"/>
        <v>0</v>
      </c>
      <c r="L188" s="6">
        <f t="shared" ca="1" si="23"/>
        <v>0</v>
      </c>
      <c r="M188" s="20">
        <f t="shared" ca="1" si="24"/>
        <v>12.054794520547944</v>
      </c>
    </row>
    <row r="189" spans="2:13" ht="13.4" customHeight="1" x14ac:dyDescent="0.25">
      <c r="B189" s="1"/>
      <c r="E189" s="27">
        <v>185</v>
      </c>
      <c r="F189" s="6">
        <f t="shared" ca="1" si="21"/>
        <v>120</v>
      </c>
      <c r="G189" s="6">
        <f t="shared" ca="1" si="25"/>
        <v>440</v>
      </c>
      <c r="H189" s="6">
        <f t="shared" ca="1" si="26"/>
        <v>320</v>
      </c>
      <c r="I189" s="6">
        <f t="shared" ca="1" si="27"/>
        <v>0</v>
      </c>
      <c r="J189" s="6">
        <f t="shared" ca="1" si="28"/>
        <v>0</v>
      </c>
      <c r="K189" s="6">
        <f t="shared" ca="1" si="22"/>
        <v>0</v>
      </c>
      <c r="L189" s="6">
        <f t="shared" ca="1" si="23"/>
        <v>0</v>
      </c>
      <c r="M189" s="20">
        <f t="shared" ca="1" si="24"/>
        <v>8.7671232876712324</v>
      </c>
    </row>
    <row r="190" spans="2:13" ht="13.4" customHeight="1" x14ac:dyDescent="0.25">
      <c r="B190" s="1"/>
      <c r="E190" s="27">
        <v>186</v>
      </c>
      <c r="F190" s="6">
        <f t="shared" ca="1" si="21"/>
        <v>110</v>
      </c>
      <c r="G190" s="6">
        <f t="shared" ca="1" si="25"/>
        <v>320</v>
      </c>
      <c r="H190" s="6">
        <f t="shared" ca="1" si="26"/>
        <v>210</v>
      </c>
      <c r="I190" s="6">
        <f t="shared" ca="1" si="27"/>
        <v>0</v>
      </c>
      <c r="J190" s="6">
        <f t="shared" ca="1" si="28"/>
        <v>0</v>
      </c>
      <c r="K190" s="6">
        <f t="shared" ca="1" si="22"/>
        <v>0</v>
      </c>
      <c r="L190" s="6">
        <f t="shared" ca="1" si="23"/>
        <v>0</v>
      </c>
      <c r="M190" s="20">
        <f t="shared" ca="1" si="24"/>
        <v>5.7534246575342465</v>
      </c>
    </row>
    <row r="191" spans="2:13" ht="13.4" customHeight="1" x14ac:dyDescent="0.25">
      <c r="B191" s="1"/>
      <c r="E191" s="27">
        <v>187</v>
      </c>
      <c r="F191" s="6">
        <f t="shared" ca="1" si="21"/>
        <v>110</v>
      </c>
      <c r="G191" s="6">
        <f t="shared" ca="1" si="25"/>
        <v>210</v>
      </c>
      <c r="H191" s="6">
        <f t="shared" ca="1" si="26"/>
        <v>100</v>
      </c>
      <c r="I191" s="6">
        <f t="shared" ca="1" si="27"/>
        <v>0</v>
      </c>
      <c r="J191" s="6">
        <f t="shared" ca="1" si="28"/>
        <v>0</v>
      </c>
      <c r="K191" s="6">
        <f t="shared" ca="1" si="22"/>
        <v>0</v>
      </c>
      <c r="L191" s="6">
        <f t="shared" ca="1" si="23"/>
        <v>0</v>
      </c>
      <c r="M191" s="20">
        <f t="shared" ca="1" si="24"/>
        <v>2.7397260273972601</v>
      </c>
    </row>
    <row r="192" spans="2:13" ht="13.4" customHeight="1" x14ac:dyDescent="0.25">
      <c r="B192" s="1"/>
      <c r="E192" s="27">
        <v>188</v>
      </c>
      <c r="F192" s="6">
        <f t="shared" ca="1" si="21"/>
        <v>110</v>
      </c>
      <c r="G192" s="6">
        <f t="shared" ca="1" si="25"/>
        <v>100</v>
      </c>
      <c r="H192" s="6">
        <f t="shared" ca="1" si="26"/>
        <v>0</v>
      </c>
      <c r="I192" s="6">
        <f t="shared" ca="1" si="27"/>
        <v>1</v>
      </c>
      <c r="J192" s="6">
        <f t="shared" ca="1" si="28"/>
        <v>10</v>
      </c>
      <c r="K192" s="6">
        <f t="shared" ca="1" si="22"/>
        <v>500</v>
      </c>
      <c r="L192" s="6">
        <f t="shared" ca="1" si="23"/>
        <v>200</v>
      </c>
      <c r="M192" s="20">
        <f t="shared" ca="1" si="24"/>
        <v>0</v>
      </c>
    </row>
    <row r="193" spans="2:13" ht="13.4" customHeight="1" x14ac:dyDescent="0.25">
      <c r="B193" s="1"/>
      <c r="E193" s="27">
        <v>189</v>
      </c>
      <c r="F193" s="6">
        <f t="shared" ca="1" si="21"/>
        <v>110</v>
      </c>
      <c r="G193" s="6">
        <f t="shared" ca="1" si="25"/>
        <v>1000</v>
      </c>
      <c r="H193" s="6">
        <f t="shared" ca="1" si="26"/>
        <v>890</v>
      </c>
      <c r="I193" s="6">
        <f t="shared" ca="1" si="27"/>
        <v>0</v>
      </c>
      <c r="J193" s="6">
        <f t="shared" ca="1" si="28"/>
        <v>0</v>
      </c>
      <c r="K193" s="6">
        <f t="shared" ca="1" si="22"/>
        <v>0</v>
      </c>
      <c r="L193" s="6">
        <f t="shared" ca="1" si="23"/>
        <v>0</v>
      </c>
      <c r="M193" s="20">
        <f t="shared" ca="1" si="24"/>
        <v>24.383561643835616</v>
      </c>
    </row>
    <row r="194" spans="2:13" ht="13.4" customHeight="1" x14ac:dyDescent="0.25">
      <c r="B194" s="1"/>
      <c r="E194" s="27">
        <v>190</v>
      </c>
      <c r="F194" s="6">
        <f t="shared" ca="1" si="21"/>
        <v>100</v>
      </c>
      <c r="G194" s="6">
        <f t="shared" ca="1" si="25"/>
        <v>890</v>
      </c>
      <c r="H194" s="6">
        <f t="shared" ca="1" si="26"/>
        <v>790</v>
      </c>
      <c r="I194" s="6">
        <f t="shared" ca="1" si="27"/>
        <v>0</v>
      </c>
      <c r="J194" s="6">
        <f t="shared" ca="1" si="28"/>
        <v>0</v>
      </c>
      <c r="K194" s="6">
        <f t="shared" ca="1" si="22"/>
        <v>0</v>
      </c>
      <c r="L194" s="6">
        <f t="shared" ca="1" si="23"/>
        <v>0</v>
      </c>
      <c r="M194" s="20">
        <f t="shared" ca="1" si="24"/>
        <v>21.643835616438356</v>
      </c>
    </row>
    <row r="195" spans="2:13" ht="13.4" customHeight="1" x14ac:dyDescent="0.25">
      <c r="B195" s="1"/>
      <c r="E195" s="27">
        <v>191</v>
      </c>
      <c r="F195" s="6">
        <f t="shared" ca="1" si="21"/>
        <v>80</v>
      </c>
      <c r="G195" s="6">
        <f t="shared" ca="1" si="25"/>
        <v>790</v>
      </c>
      <c r="H195" s="6">
        <f t="shared" ca="1" si="26"/>
        <v>710</v>
      </c>
      <c r="I195" s="6">
        <f t="shared" ca="1" si="27"/>
        <v>0</v>
      </c>
      <c r="J195" s="6">
        <f t="shared" ca="1" si="28"/>
        <v>0</v>
      </c>
      <c r="K195" s="6">
        <f t="shared" ca="1" si="22"/>
        <v>0</v>
      </c>
      <c r="L195" s="6">
        <f t="shared" ca="1" si="23"/>
        <v>0</v>
      </c>
      <c r="M195" s="20">
        <f t="shared" ca="1" si="24"/>
        <v>19.452054794520546</v>
      </c>
    </row>
    <row r="196" spans="2:13" ht="13.4" customHeight="1" x14ac:dyDescent="0.25">
      <c r="B196" s="1"/>
      <c r="E196" s="27">
        <v>192</v>
      </c>
      <c r="F196" s="6">
        <f t="shared" ca="1" si="21"/>
        <v>110</v>
      </c>
      <c r="G196" s="6">
        <f t="shared" ca="1" si="25"/>
        <v>710</v>
      </c>
      <c r="H196" s="6">
        <f t="shared" ca="1" si="26"/>
        <v>600</v>
      </c>
      <c r="I196" s="6">
        <f t="shared" ca="1" si="27"/>
        <v>0</v>
      </c>
      <c r="J196" s="6">
        <f t="shared" ca="1" si="28"/>
        <v>0</v>
      </c>
      <c r="K196" s="6">
        <f t="shared" ca="1" si="22"/>
        <v>0</v>
      </c>
      <c r="L196" s="6">
        <f t="shared" ca="1" si="23"/>
        <v>0</v>
      </c>
      <c r="M196" s="20">
        <f t="shared" ca="1" si="24"/>
        <v>16.43835616438356</v>
      </c>
    </row>
    <row r="197" spans="2:13" ht="13.4" customHeight="1" x14ac:dyDescent="0.25">
      <c r="B197" s="1"/>
      <c r="E197" s="27">
        <v>193</v>
      </c>
      <c r="F197" s="6">
        <f t="shared" ref="F197:F260" ca="1" si="29">INDEX($R$17:$R$21,MATCH(RAND(),$T$17:$T$22,1))</f>
        <v>120</v>
      </c>
      <c r="G197" s="6">
        <f t="shared" ca="1" si="25"/>
        <v>600</v>
      </c>
      <c r="H197" s="6">
        <f t="shared" ca="1" si="26"/>
        <v>480</v>
      </c>
      <c r="I197" s="6">
        <f t="shared" ca="1" si="27"/>
        <v>0</v>
      </c>
      <c r="J197" s="6">
        <f t="shared" ca="1" si="28"/>
        <v>0</v>
      </c>
      <c r="K197" s="6">
        <f t="shared" ca="1" si="22"/>
        <v>0</v>
      </c>
      <c r="L197" s="6">
        <f t="shared" ca="1" si="23"/>
        <v>0</v>
      </c>
      <c r="M197" s="20">
        <f t="shared" ca="1" si="24"/>
        <v>13.150684931506849</v>
      </c>
    </row>
    <row r="198" spans="2:13" ht="13.4" customHeight="1" x14ac:dyDescent="0.25">
      <c r="B198" s="1"/>
      <c r="E198" s="27">
        <v>194</v>
      </c>
      <c r="F198" s="6">
        <f t="shared" ca="1" si="29"/>
        <v>110</v>
      </c>
      <c r="G198" s="6">
        <f t="shared" ca="1" si="25"/>
        <v>480</v>
      </c>
      <c r="H198" s="6">
        <f t="shared" ca="1" si="26"/>
        <v>370</v>
      </c>
      <c r="I198" s="6">
        <f t="shared" ca="1" si="27"/>
        <v>0</v>
      </c>
      <c r="J198" s="6">
        <f t="shared" ca="1" si="28"/>
        <v>0</v>
      </c>
      <c r="K198" s="6">
        <f t="shared" ref="K198:K261" ca="1" si="30">J198*$C$8</f>
        <v>0</v>
      </c>
      <c r="L198" s="6">
        <f t="shared" ref="L198:L261" ca="1" si="31">I198*$C$4</f>
        <v>0</v>
      </c>
      <c r="M198" s="20">
        <f t="shared" ref="M198:M261" ca="1" si="32">H198*$C$7</f>
        <v>10.136986301369863</v>
      </c>
    </row>
    <row r="199" spans="2:13" ht="13.4" customHeight="1" x14ac:dyDescent="0.25">
      <c r="B199" s="1"/>
      <c r="E199" s="27">
        <v>195</v>
      </c>
      <c r="F199" s="6">
        <f t="shared" ca="1" si="29"/>
        <v>90</v>
      </c>
      <c r="G199" s="6">
        <f t="shared" ref="G199:G262" ca="1" si="33">H198+I198*$C$9</f>
        <v>370</v>
      </c>
      <c r="H199" s="6">
        <f t="shared" ref="H199:H262" ca="1" si="34">MAX(G199-F199,0)</f>
        <v>280</v>
      </c>
      <c r="I199" s="6">
        <f t="shared" ref="I199:I262" ca="1" si="35">IF(H199&lt;$C$3,1,0)</f>
        <v>0</v>
      </c>
      <c r="J199" s="6">
        <f t="shared" ref="J199:J262" ca="1" si="36">-MIN(G199-F199,0)</f>
        <v>0</v>
      </c>
      <c r="K199" s="6">
        <f t="shared" ca="1" si="30"/>
        <v>0</v>
      </c>
      <c r="L199" s="6">
        <f t="shared" ca="1" si="31"/>
        <v>0</v>
      </c>
      <c r="M199" s="20">
        <f t="shared" ca="1" si="32"/>
        <v>7.6712328767123283</v>
      </c>
    </row>
    <row r="200" spans="2:13" ht="13.4" customHeight="1" x14ac:dyDescent="0.25">
      <c r="B200" s="1"/>
      <c r="E200" s="27">
        <v>196</v>
      </c>
      <c r="F200" s="6">
        <f t="shared" ca="1" si="29"/>
        <v>120</v>
      </c>
      <c r="G200" s="6">
        <f t="shared" ca="1" si="33"/>
        <v>280</v>
      </c>
      <c r="H200" s="6">
        <f t="shared" ca="1" si="34"/>
        <v>160</v>
      </c>
      <c r="I200" s="6">
        <f t="shared" ca="1" si="35"/>
        <v>0</v>
      </c>
      <c r="J200" s="6">
        <f t="shared" ca="1" si="36"/>
        <v>0</v>
      </c>
      <c r="K200" s="6">
        <f t="shared" ca="1" si="30"/>
        <v>0</v>
      </c>
      <c r="L200" s="6">
        <f t="shared" ca="1" si="31"/>
        <v>0</v>
      </c>
      <c r="M200" s="20">
        <f t="shared" ca="1" si="32"/>
        <v>4.3835616438356162</v>
      </c>
    </row>
    <row r="201" spans="2:13" ht="13.4" customHeight="1" x14ac:dyDescent="0.25">
      <c r="B201" s="1"/>
      <c r="E201" s="27">
        <v>197</v>
      </c>
      <c r="F201" s="6">
        <f t="shared" ca="1" si="29"/>
        <v>120</v>
      </c>
      <c r="G201" s="6">
        <f t="shared" ca="1" si="33"/>
        <v>160</v>
      </c>
      <c r="H201" s="6">
        <f t="shared" ca="1" si="34"/>
        <v>40</v>
      </c>
      <c r="I201" s="6">
        <f t="shared" ca="1" si="35"/>
        <v>1</v>
      </c>
      <c r="J201" s="6">
        <f t="shared" ca="1" si="36"/>
        <v>0</v>
      </c>
      <c r="K201" s="6">
        <f t="shared" ca="1" si="30"/>
        <v>0</v>
      </c>
      <c r="L201" s="6">
        <f t="shared" ca="1" si="31"/>
        <v>200</v>
      </c>
      <c r="M201" s="20">
        <f t="shared" ca="1" si="32"/>
        <v>1.095890410958904</v>
      </c>
    </row>
    <row r="202" spans="2:13" ht="13.4" customHeight="1" x14ac:dyDescent="0.25">
      <c r="B202" s="1"/>
      <c r="E202" s="27">
        <v>198</v>
      </c>
      <c r="F202" s="6">
        <f t="shared" ca="1" si="29"/>
        <v>110</v>
      </c>
      <c r="G202" s="6">
        <f t="shared" ca="1" si="33"/>
        <v>1040</v>
      </c>
      <c r="H202" s="6">
        <f t="shared" ca="1" si="34"/>
        <v>930</v>
      </c>
      <c r="I202" s="6">
        <f t="shared" ca="1" si="35"/>
        <v>0</v>
      </c>
      <c r="J202" s="6">
        <f t="shared" ca="1" si="36"/>
        <v>0</v>
      </c>
      <c r="K202" s="6">
        <f t="shared" ca="1" si="30"/>
        <v>0</v>
      </c>
      <c r="L202" s="6">
        <f t="shared" ca="1" si="31"/>
        <v>0</v>
      </c>
      <c r="M202" s="20">
        <f t="shared" ca="1" si="32"/>
        <v>25.479452054794518</v>
      </c>
    </row>
    <row r="203" spans="2:13" ht="13.4" customHeight="1" x14ac:dyDescent="0.25">
      <c r="B203" s="1"/>
      <c r="E203" s="27">
        <v>199</v>
      </c>
      <c r="F203" s="6">
        <f t="shared" ca="1" si="29"/>
        <v>120</v>
      </c>
      <c r="G203" s="6">
        <f t="shared" ca="1" si="33"/>
        <v>930</v>
      </c>
      <c r="H203" s="6">
        <f t="shared" ca="1" si="34"/>
        <v>810</v>
      </c>
      <c r="I203" s="6">
        <f t="shared" ca="1" si="35"/>
        <v>0</v>
      </c>
      <c r="J203" s="6">
        <f t="shared" ca="1" si="36"/>
        <v>0</v>
      </c>
      <c r="K203" s="6">
        <f t="shared" ca="1" si="30"/>
        <v>0</v>
      </c>
      <c r="L203" s="6">
        <f t="shared" ca="1" si="31"/>
        <v>0</v>
      </c>
      <c r="M203" s="20">
        <f t="shared" ca="1" si="32"/>
        <v>22.191780821917806</v>
      </c>
    </row>
    <row r="204" spans="2:13" ht="13.4" customHeight="1" x14ac:dyDescent="0.25">
      <c r="B204" s="1"/>
      <c r="E204" s="27">
        <v>200</v>
      </c>
      <c r="F204" s="6">
        <f t="shared" ca="1" si="29"/>
        <v>100</v>
      </c>
      <c r="G204" s="6">
        <f t="shared" ca="1" si="33"/>
        <v>810</v>
      </c>
      <c r="H204" s="6">
        <f t="shared" ca="1" si="34"/>
        <v>710</v>
      </c>
      <c r="I204" s="6">
        <f t="shared" ca="1" si="35"/>
        <v>0</v>
      </c>
      <c r="J204" s="6">
        <f t="shared" ca="1" si="36"/>
        <v>0</v>
      </c>
      <c r="K204" s="6">
        <f t="shared" ca="1" si="30"/>
        <v>0</v>
      </c>
      <c r="L204" s="6">
        <f t="shared" ca="1" si="31"/>
        <v>0</v>
      </c>
      <c r="M204" s="20">
        <f t="shared" ca="1" si="32"/>
        <v>19.452054794520546</v>
      </c>
    </row>
    <row r="205" spans="2:13" ht="13.4" customHeight="1" x14ac:dyDescent="0.25">
      <c r="B205" s="1"/>
      <c r="E205" s="27">
        <v>201</v>
      </c>
      <c r="F205" s="6">
        <f t="shared" ca="1" si="29"/>
        <v>90</v>
      </c>
      <c r="G205" s="6">
        <f t="shared" ca="1" si="33"/>
        <v>710</v>
      </c>
      <c r="H205" s="6">
        <f t="shared" ca="1" si="34"/>
        <v>620</v>
      </c>
      <c r="I205" s="6">
        <f t="shared" ca="1" si="35"/>
        <v>0</v>
      </c>
      <c r="J205" s="6">
        <f t="shared" ca="1" si="36"/>
        <v>0</v>
      </c>
      <c r="K205" s="6">
        <f t="shared" ca="1" si="30"/>
        <v>0</v>
      </c>
      <c r="L205" s="6">
        <f t="shared" ca="1" si="31"/>
        <v>0</v>
      </c>
      <c r="M205" s="20">
        <f t="shared" ca="1" si="32"/>
        <v>16.986301369863014</v>
      </c>
    </row>
    <row r="206" spans="2:13" ht="13.4" customHeight="1" x14ac:dyDescent="0.25">
      <c r="B206" s="1"/>
      <c r="E206" s="27">
        <v>202</v>
      </c>
      <c r="F206" s="6">
        <f t="shared" ca="1" si="29"/>
        <v>120</v>
      </c>
      <c r="G206" s="6">
        <f t="shared" ca="1" si="33"/>
        <v>620</v>
      </c>
      <c r="H206" s="6">
        <f t="shared" ca="1" si="34"/>
        <v>500</v>
      </c>
      <c r="I206" s="6">
        <f t="shared" ca="1" si="35"/>
        <v>0</v>
      </c>
      <c r="J206" s="6">
        <f t="shared" ca="1" si="36"/>
        <v>0</v>
      </c>
      <c r="K206" s="6">
        <f t="shared" ca="1" si="30"/>
        <v>0</v>
      </c>
      <c r="L206" s="6">
        <f t="shared" ca="1" si="31"/>
        <v>0</v>
      </c>
      <c r="M206" s="20">
        <f t="shared" ca="1" si="32"/>
        <v>13.698630136986301</v>
      </c>
    </row>
    <row r="207" spans="2:13" ht="13.4" customHeight="1" x14ac:dyDescent="0.25">
      <c r="B207" s="1"/>
      <c r="E207" s="27">
        <v>203</v>
      </c>
      <c r="F207" s="6">
        <f t="shared" ca="1" si="29"/>
        <v>110</v>
      </c>
      <c r="G207" s="6">
        <f t="shared" ca="1" si="33"/>
        <v>500</v>
      </c>
      <c r="H207" s="6">
        <f t="shared" ca="1" si="34"/>
        <v>390</v>
      </c>
      <c r="I207" s="6">
        <f t="shared" ca="1" si="35"/>
        <v>0</v>
      </c>
      <c r="J207" s="6">
        <f t="shared" ca="1" si="36"/>
        <v>0</v>
      </c>
      <c r="K207" s="6">
        <f t="shared" ca="1" si="30"/>
        <v>0</v>
      </c>
      <c r="L207" s="6">
        <f t="shared" ca="1" si="31"/>
        <v>0</v>
      </c>
      <c r="M207" s="20">
        <f t="shared" ca="1" si="32"/>
        <v>10.684931506849315</v>
      </c>
    </row>
    <row r="208" spans="2:13" ht="13.4" customHeight="1" x14ac:dyDescent="0.25">
      <c r="B208" s="1"/>
      <c r="E208" s="27">
        <v>204</v>
      </c>
      <c r="F208" s="6">
        <f t="shared" ca="1" si="29"/>
        <v>80</v>
      </c>
      <c r="G208" s="6">
        <f t="shared" ca="1" si="33"/>
        <v>390</v>
      </c>
      <c r="H208" s="6">
        <f t="shared" ca="1" si="34"/>
        <v>310</v>
      </c>
      <c r="I208" s="6">
        <f t="shared" ca="1" si="35"/>
        <v>0</v>
      </c>
      <c r="J208" s="6">
        <f t="shared" ca="1" si="36"/>
        <v>0</v>
      </c>
      <c r="K208" s="6">
        <f t="shared" ca="1" si="30"/>
        <v>0</v>
      </c>
      <c r="L208" s="6">
        <f t="shared" ca="1" si="31"/>
        <v>0</v>
      </c>
      <c r="M208" s="20">
        <f t="shared" ca="1" si="32"/>
        <v>8.493150684931507</v>
      </c>
    </row>
    <row r="209" spans="2:13" ht="13.4" customHeight="1" x14ac:dyDescent="0.25">
      <c r="B209" s="1"/>
      <c r="E209" s="27">
        <v>205</v>
      </c>
      <c r="F209" s="6">
        <f t="shared" ca="1" si="29"/>
        <v>100</v>
      </c>
      <c r="G209" s="6">
        <f t="shared" ca="1" si="33"/>
        <v>310</v>
      </c>
      <c r="H209" s="6">
        <f t="shared" ca="1" si="34"/>
        <v>210</v>
      </c>
      <c r="I209" s="6">
        <f t="shared" ca="1" si="35"/>
        <v>0</v>
      </c>
      <c r="J209" s="6">
        <f t="shared" ca="1" si="36"/>
        <v>0</v>
      </c>
      <c r="K209" s="6">
        <f t="shared" ca="1" si="30"/>
        <v>0</v>
      </c>
      <c r="L209" s="6">
        <f t="shared" ca="1" si="31"/>
        <v>0</v>
      </c>
      <c r="M209" s="20">
        <f t="shared" ca="1" si="32"/>
        <v>5.7534246575342465</v>
      </c>
    </row>
    <row r="210" spans="2:13" ht="13.4" customHeight="1" x14ac:dyDescent="0.25">
      <c r="B210" s="1"/>
      <c r="E210" s="27">
        <v>206</v>
      </c>
      <c r="F210" s="6">
        <f t="shared" ca="1" si="29"/>
        <v>110</v>
      </c>
      <c r="G210" s="6">
        <f t="shared" ca="1" si="33"/>
        <v>210</v>
      </c>
      <c r="H210" s="6">
        <f t="shared" ca="1" si="34"/>
        <v>100</v>
      </c>
      <c r="I210" s="6">
        <f t="shared" ca="1" si="35"/>
        <v>0</v>
      </c>
      <c r="J210" s="6">
        <f t="shared" ca="1" si="36"/>
        <v>0</v>
      </c>
      <c r="K210" s="6">
        <f t="shared" ca="1" si="30"/>
        <v>0</v>
      </c>
      <c r="L210" s="6">
        <f t="shared" ca="1" si="31"/>
        <v>0</v>
      </c>
      <c r="M210" s="20">
        <f t="shared" ca="1" si="32"/>
        <v>2.7397260273972601</v>
      </c>
    </row>
    <row r="211" spans="2:13" ht="13.4" customHeight="1" x14ac:dyDescent="0.25">
      <c r="B211" s="1"/>
      <c r="E211" s="27">
        <v>207</v>
      </c>
      <c r="F211" s="6">
        <f t="shared" ca="1" si="29"/>
        <v>90</v>
      </c>
      <c r="G211" s="6">
        <f t="shared" ca="1" si="33"/>
        <v>100</v>
      </c>
      <c r="H211" s="6">
        <f t="shared" ca="1" si="34"/>
        <v>10</v>
      </c>
      <c r="I211" s="6">
        <f t="shared" ca="1" si="35"/>
        <v>1</v>
      </c>
      <c r="J211" s="6">
        <f t="shared" ca="1" si="36"/>
        <v>0</v>
      </c>
      <c r="K211" s="6">
        <f t="shared" ca="1" si="30"/>
        <v>0</v>
      </c>
      <c r="L211" s="6">
        <f t="shared" ca="1" si="31"/>
        <v>200</v>
      </c>
      <c r="M211" s="20">
        <f t="shared" ca="1" si="32"/>
        <v>0.27397260273972601</v>
      </c>
    </row>
    <row r="212" spans="2:13" ht="13.4" customHeight="1" x14ac:dyDescent="0.25">
      <c r="B212" s="1"/>
      <c r="E212" s="27">
        <v>208</v>
      </c>
      <c r="F212" s="6">
        <f t="shared" ca="1" si="29"/>
        <v>110</v>
      </c>
      <c r="G212" s="6">
        <f t="shared" ca="1" si="33"/>
        <v>1010</v>
      </c>
      <c r="H212" s="6">
        <f t="shared" ca="1" si="34"/>
        <v>900</v>
      </c>
      <c r="I212" s="6">
        <f t="shared" ca="1" si="35"/>
        <v>0</v>
      </c>
      <c r="J212" s="6">
        <f t="shared" ca="1" si="36"/>
        <v>0</v>
      </c>
      <c r="K212" s="6">
        <f t="shared" ca="1" si="30"/>
        <v>0</v>
      </c>
      <c r="L212" s="6">
        <f t="shared" ca="1" si="31"/>
        <v>0</v>
      </c>
      <c r="M212" s="20">
        <f t="shared" ca="1" si="32"/>
        <v>24.657534246575342</v>
      </c>
    </row>
    <row r="213" spans="2:13" ht="13.4" customHeight="1" x14ac:dyDescent="0.25">
      <c r="B213" s="1"/>
      <c r="E213" s="27">
        <v>209</v>
      </c>
      <c r="F213" s="6">
        <f t="shared" ca="1" si="29"/>
        <v>90</v>
      </c>
      <c r="G213" s="6">
        <f t="shared" ca="1" si="33"/>
        <v>900</v>
      </c>
      <c r="H213" s="6">
        <f t="shared" ca="1" si="34"/>
        <v>810</v>
      </c>
      <c r="I213" s="6">
        <f t="shared" ca="1" si="35"/>
        <v>0</v>
      </c>
      <c r="J213" s="6">
        <f t="shared" ca="1" si="36"/>
        <v>0</v>
      </c>
      <c r="K213" s="6">
        <f t="shared" ca="1" si="30"/>
        <v>0</v>
      </c>
      <c r="L213" s="6">
        <f t="shared" ca="1" si="31"/>
        <v>0</v>
      </c>
      <c r="M213" s="20">
        <f t="shared" ca="1" si="32"/>
        <v>22.191780821917806</v>
      </c>
    </row>
    <row r="214" spans="2:13" ht="13.4" customHeight="1" x14ac:dyDescent="0.25">
      <c r="B214" s="1"/>
      <c r="E214" s="27">
        <v>210</v>
      </c>
      <c r="F214" s="6">
        <f t="shared" ca="1" si="29"/>
        <v>110</v>
      </c>
      <c r="G214" s="6">
        <f t="shared" ca="1" si="33"/>
        <v>810</v>
      </c>
      <c r="H214" s="6">
        <f t="shared" ca="1" si="34"/>
        <v>700</v>
      </c>
      <c r="I214" s="6">
        <f t="shared" ca="1" si="35"/>
        <v>0</v>
      </c>
      <c r="J214" s="6">
        <f t="shared" ca="1" si="36"/>
        <v>0</v>
      </c>
      <c r="K214" s="6">
        <f t="shared" ca="1" si="30"/>
        <v>0</v>
      </c>
      <c r="L214" s="6">
        <f t="shared" ca="1" si="31"/>
        <v>0</v>
      </c>
      <c r="M214" s="20">
        <f t="shared" ca="1" si="32"/>
        <v>19.17808219178082</v>
      </c>
    </row>
    <row r="215" spans="2:13" ht="13.4" customHeight="1" x14ac:dyDescent="0.25">
      <c r="B215" s="1"/>
      <c r="E215" s="27">
        <v>211</v>
      </c>
      <c r="F215" s="6">
        <f t="shared" ca="1" si="29"/>
        <v>110</v>
      </c>
      <c r="G215" s="6">
        <f t="shared" ca="1" si="33"/>
        <v>700</v>
      </c>
      <c r="H215" s="6">
        <f t="shared" ca="1" si="34"/>
        <v>590</v>
      </c>
      <c r="I215" s="6">
        <f t="shared" ca="1" si="35"/>
        <v>0</v>
      </c>
      <c r="J215" s="6">
        <f t="shared" ca="1" si="36"/>
        <v>0</v>
      </c>
      <c r="K215" s="6">
        <f t="shared" ca="1" si="30"/>
        <v>0</v>
      </c>
      <c r="L215" s="6">
        <f t="shared" ca="1" si="31"/>
        <v>0</v>
      </c>
      <c r="M215" s="20">
        <f t="shared" ca="1" si="32"/>
        <v>16.164383561643834</v>
      </c>
    </row>
    <row r="216" spans="2:13" ht="13.4" customHeight="1" x14ac:dyDescent="0.25">
      <c r="B216" s="1"/>
      <c r="E216" s="27">
        <v>212</v>
      </c>
      <c r="F216" s="6">
        <f t="shared" ca="1" si="29"/>
        <v>100</v>
      </c>
      <c r="G216" s="6">
        <f t="shared" ca="1" si="33"/>
        <v>590</v>
      </c>
      <c r="H216" s="6">
        <f t="shared" ca="1" si="34"/>
        <v>490</v>
      </c>
      <c r="I216" s="6">
        <f t="shared" ca="1" si="35"/>
        <v>0</v>
      </c>
      <c r="J216" s="6">
        <f t="shared" ca="1" si="36"/>
        <v>0</v>
      </c>
      <c r="K216" s="6">
        <f t="shared" ca="1" si="30"/>
        <v>0</v>
      </c>
      <c r="L216" s="6">
        <f t="shared" ca="1" si="31"/>
        <v>0</v>
      </c>
      <c r="M216" s="20">
        <f t="shared" ca="1" si="32"/>
        <v>13.424657534246574</v>
      </c>
    </row>
    <row r="217" spans="2:13" ht="13.4" customHeight="1" x14ac:dyDescent="0.25">
      <c r="B217" s="1"/>
      <c r="E217" s="27">
        <v>213</v>
      </c>
      <c r="F217" s="6">
        <f t="shared" ca="1" si="29"/>
        <v>90</v>
      </c>
      <c r="G217" s="6">
        <f t="shared" ca="1" si="33"/>
        <v>490</v>
      </c>
      <c r="H217" s="6">
        <f t="shared" ca="1" si="34"/>
        <v>400</v>
      </c>
      <c r="I217" s="6">
        <f t="shared" ca="1" si="35"/>
        <v>0</v>
      </c>
      <c r="J217" s="6">
        <f t="shared" ca="1" si="36"/>
        <v>0</v>
      </c>
      <c r="K217" s="6">
        <f t="shared" ca="1" si="30"/>
        <v>0</v>
      </c>
      <c r="L217" s="6">
        <f t="shared" ca="1" si="31"/>
        <v>0</v>
      </c>
      <c r="M217" s="20">
        <f t="shared" ca="1" si="32"/>
        <v>10.95890410958904</v>
      </c>
    </row>
    <row r="218" spans="2:13" ht="13.4" customHeight="1" x14ac:dyDescent="0.25">
      <c r="B218" s="1"/>
      <c r="E218" s="27">
        <v>214</v>
      </c>
      <c r="F218" s="6">
        <f t="shared" ca="1" si="29"/>
        <v>110</v>
      </c>
      <c r="G218" s="6">
        <f t="shared" ca="1" si="33"/>
        <v>400</v>
      </c>
      <c r="H218" s="6">
        <f t="shared" ca="1" si="34"/>
        <v>290</v>
      </c>
      <c r="I218" s="6">
        <f t="shared" ca="1" si="35"/>
        <v>0</v>
      </c>
      <c r="J218" s="6">
        <f t="shared" ca="1" si="36"/>
        <v>0</v>
      </c>
      <c r="K218" s="6">
        <f t="shared" ca="1" si="30"/>
        <v>0</v>
      </c>
      <c r="L218" s="6">
        <f t="shared" ca="1" si="31"/>
        <v>0</v>
      </c>
      <c r="M218" s="20">
        <f t="shared" ca="1" si="32"/>
        <v>7.9452054794520546</v>
      </c>
    </row>
    <row r="219" spans="2:13" ht="13.4" customHeight="1" x14ac:dyDescent="0.25">
      <c r="B219" s="1"/>
      <c r="E219" s="27">
        <v>215</v>
      </c>
      <c r="F219" s="6">
        <f t="shared" ca="1" si="29"/>
        <v>100</v>
      </c>
      <c r="G219" s="6">
        <f t="shared" ca="1" si="33"/>
        <v>290</v>
      </c>
      <c r="H219" s="6">
        <f t="shared" ca="1" si="34"/>
        <v>190</v>
      </c>
      <c r="I219" s="6">
        <f t="shared" ca="1" si="35"/>
        <v>0</v>
      </c>
      <c r="J219" s="6">
        <f t="shared" ca="1" si="36"/>
        <v>0</v>
      </c>
      <c r="K219" s="6">
        <f t="shared" ca="1" si="30"/>
        <v>0</v>
      </c>
      <c r="L219" s="6">
        <f t="shared" ca="1" si="31"/>
        <v>0</v>
      </c>
      <c r="M219" s="20">
        <f t="shared" ca="1" si="32"/>
        <v>5.205479452054794</v>
      </c>
    </row>
    <row r="220" spans="2:13" ht="13.4" customHeight="1" x14ac:dyDescent="0.25">
      <c r="B220" s="1"/>
      <c r="E220" s="27">
        <v>216</v>
      </c>
      <c r="F220" s="6">
        <f t="shared" ca="1" si="29"/>
        <v>120</v>
      </c>
      <c r="G220" s="6">
        <f t="shared" ca="1" si="33"/>
        <v>190</v>
      </c>
      <c r="H220" s="6">
        <f t="shared" ca="1" si="34"/>
        <v>70</v>
      </c>
      <c r="I220" s="6">
        <f t="shared" ca="1" si="35"/>
        <v>1</v>
      </c>
      <c r="J220" s="6">
        <f t="shared" ca="1" si="36"/>
        <v>0</v>
      </c>
      <c r="K220" s="6">
        <f t="shared" ca="1" si="30"/>
        <v>0</v>
      </c>
      <c r="L220" s="6">
        <f t="shared" ca="1" si="31"/>
        <v>200</v>
      </c>
      <c r="M220" s="20">
        <f t="shared" ca="1" si="32"/>
        <v>1.9178082191780821</v>
      </c>
    </row>
    <row r="221" spans="2:13" ht="13.4" customHeight="1" x14ac:dyDescent="0.25">
      <c r="B221" s="1"/>
      <c r="E221" s="27">
        <v>217</v>
      </c>
      <c r="F221" s="6">
        <f t="shared" ca="1" si="29"/>
        <v>100</v>
      </c>
      <c r="G221" s="6">
        <f t="shared" ca="1" si="33"/>
        <v>1070</v>
      </c>
      <c r="H221" s="6">
        <f t="shared" ca="1" si="34"/>
        <v>970</v>
      </c>
      <c r="I221" s="6">
        <f t="shared" ca="1" si="35"/>
        <v>0</v>
      </c>
      <c r="J221" s="6">
        <f t="shared" ca="1" si="36"/>
        <v>0</v>
      </c>
      <c r="K221" s="6">
        <f t="shared" ca="1" si="30"/>
        <v>0</v>
      </c>
      <c r="L221" s="6">
        <f t="shared" ca="1" si="31"/>
        <v>0</v>
      </c>
      <c r="M221" s="20">
        <f t="shared" ca="1" si="32"/>
        <v>26.575342465753423</v>
      </c>
    </row>
    <row r="222" spans="2:13" ht="13.4" customHeight="1" x14ac:dyDescent="0.25">
      <c r="B222" s="1"/>
      <c r="E222" s="27">
        <v>218</v>
      </c>
      <c r="F222" s="6">
        <f t="shared" ca="1" si="29"/>
        <v>90</v>
      </c>
      <c r="G222" s="6">
        <f t="shared" ca="1" si="33"/>
        <v>970</v>
      </c>
      <c r="H222" s="6">
        <f t="shared" ca="1" si="34"/>
        <v>880</v>
      </c>
      <c r="I222" s="6">
        <f t="shared" ca="1" si="35"/>
        <v>0</v>
      </c>
      <c r="J222" s="6">
        <f t="shared" ca="1" si="36"/>
        <v>0</v>
      </c>
      <c r="K222" s="6">
        <f t="shared" ca="1" si="30"/>
        <v>0</v>
      </c>
      <c r="L222" s="6">
        <f t="shared" ca="1" si="31"/>
        <v>0</v>
      </c>
      <c r="M222" s="20">
        <f t="shared" ca="1" si="32"/>
        <v>24.109589041095887</v>
      </c>
    </row>
    <row r="223" spans="2:13" ht="13.4" customHeight="1" x14ac:dyDescent="0.25">
      <c r="B223" s="1"/>
      <c r="E223" s="27">
        <v>219</v>
      </c>
      <c r="F223" s="6">
        <f t="shared" ca="1" si="29"/>
        <v>110</v>
      </c>
      <c r="G223" s="6">
        <f t="shared" ca="1" si="33"/>
        <v>880</v>
      </c>
      <c r="H223" s="6">
        <f t="shared" ca="1" si="34"/>
        <v>770</v>
      </c>
      <c r="I223" s="6">
        <f t="shared" ca="1" si="35"/>
        <v>0</v>
      </c>
      <c r="J223" s="6">
        <f t="shared" ca="1" si="36"/>
        <v>0</v>
      </c>
      <c r="K223" s="6">
        <f t="shared" ca="1" si="30"/>
        <v>0</v>
      </c>
      <c r="L223" s="6">
        <f t="shared" ca="1" si="31"/>
        <v>0</v>
      </c>
      <c r="M223" s="20">
        <f t="shared" ca="1" si="32"/>
        <v>21.095890410958901</v>
      </c>
    </row>
    <row r="224" spans="2:13" ht="13.4" customHeight="1" x14ac:dyDescent="0.25">
      <c r="B224" s="1"/>
      <c r="E224" s="27">
        <v>220</v>
      </c>
      <c r="F224" s="6">
        <f t="shared" ca="1" si="29"/>
        <v>100</v>
      </c>
      <c r="G224" s="6">
        <f t="shared" ca="1" si="33"/>
        <v>770</v>
      </c>
      <c r="H224" s="6">
        <f t="shared" ca="1" si="34"/>
        <v>670</v>
      </c>
      <c r="I224" s="6">
        <f t="shared" ca="1" si="35"/>
        <v>0</v>
      </c>
      <c r="J224" s="6">
        <f t="shared" ca="1" si="36"/>
        <v>0</v>
      </c>
      <c r="K224" s="6">
        <f t="shared" ca="1" si="30"/>
        <v>0</v>
      </c>
      <c r="L224" s="6">
        <f t="shared" ca="1" si="31"/>
        <v>0</v>
      </c>
      <c r="M224" s="20">
        <f t="shared" ca="1" si="32"/>
        <v>18.356164383561644</v>
      </c>
    </row>
    <row r="225" spans="2:13" ht="13.4" customHeight="1" x14ac:dyDescent="0.25">
      <c r="B225" s="1"/>
      <c r="E225" s="27">
        <v>221</v>
      </c>
      <c r="F225" s="6">
        <f t="shared" ca="1" si="29"/>
        <v>110</v>
      </c>
      <c r="G225" s="6">
        <f t="shared" ca="1" si="33"/>
        <v>670</v>
      </c>
      <c r="H225" s="6">
        <f t="shared" ca="1" si="34"/>
        <v>560</v>
      </c>
      <c r="I225" s="6">
        <f t="shared" ca="1" si="35"/>
        <v>0</v>
      </c>
      <c r="J225" s="6">
        <f t="shared" ca="1" si="36"/>
        <v>0</v>
      </c>
      <c r="K225" s="6">
        <f t="shared" ca="1" si="30"/>
        <v>0</v>
      </c>
      <c r="L225" s="6">
        <f t="shared" ca="1" si="31"/>
        <v>0</v>
      </c>
      <c r="M225" s="20">
        <f t="shared" ca="1" si="32"/>
        <v>15.342465753424657</v>
      </c>
    </row>
    <row r="226" spans="2:13" ht="13.4" customHeight="1" x14ac:dyDescent="0.25">
      <c r="B226" s="1"/>
      <c r="E226" s="27">
        <v>222</v>
      </c>
      <c r="F226" s="6">
        <f t="shared" ca="1" si="29"/>
        <v>90</v>
      </c>
      <c r="G226" s="6">
        <f t="shared" ca="1" si="33"/>
        <v>560</v>
      </c>
      <c r="H226" s="6">
        <f t="shared" ca="1" si="34"/>
        <v>470</v>
      </c>
      <c r="I226" s="6">
        <f t="shared" ca="1" si="35"/>
        <v>0</v>
      </c>
      <c r="J226" s="6">
        <f t="shared" ca="1" si="36"/>
        <v>0</v>
      </c>
      <c r="K226" s="6">
        <f t="shared" ca="1" si="30"/>
        <v>0</v>
      </c>
      <c r="L226" s="6">
        <f t="shared" ca="1" si="31"/>
        <v>0</v>
      </c>
      <c r="M226" s="20">
        <f t="shared" ca="1" si="32"/>
        <v>12.876712328767123</v>
      </c>
    </row>
    <row r="227" spans="2:13" ht="13.4" customHeight="1" x14ac:dyDescent="0.25">
      <c r="B227" s="1"/>
      <c r="E227" s="27">
        <v>223</v>
      </c>
      <c r="F227" s="6">
        <f t="shared" ca="1" si="29"/>
        <v>100</v>
      </c>
      <c r="G227" s="6">
        <f t="shared" ca="1" si="33"/>
        <v>470</v>
      </c>
      <c r="H227" s="6">
        <f t="shared" ca="1" si="34"/>
        <v>370</v>
      </c>
      <c r="I227" s="6">
        <f t="shared" ca="1" si="35"/>
        <v>0</v>
      </c>
      <c r="J227" s="6">
        <f t="shared" ca="1" si="36"/>
        <v>0</v>
      </c>
      <c r="K227" s="6">
        <f t="shared" ca="1" si="30"/>
        <v>0</v>
      </c>
      <c r="L227" s="6">
        <f t="shared" ca="1" si="31"/>
        <v>0</v>
      </c>
      <c r="M227" s="20">
        <f t="shared" ca="1" si="32"/>
        <v>10.136986301369863</v>
      </c>
    </row>
    <row r="228" spans="2:13" ht="13.4" customHeight="1" x14ac:dyDescent="0.25">
      <c r="B228" s="1"/>
      <c r="E228" s="27">
        <v>224</v>
      </c>
      <c r="F228" s="6">
        <f t="shared" ca="1" si="29"/>
        <v>110</v>
      </c>
      <c r="G228" s="6">
        <f t="shared" ca="1" si="33"/>
        <v>370</v>
      </c>
      <c r="H228" s="6">
        <f t="shared" ca="1" si="34"/>
        <v>260</v>
      </c>
      <c r="I228" s="6">
        <f t="shared" ca="1" si="35"/>
        <v>0</v>
      </c>
      <c r="J228" s="6">
        <f t="shared" ca="1" si="36"/>
        <v>0</v>
      </c>
      <c r="K228" s="6">
        <f t="shared" ca="1" si="30"/>
        <v>0</v>
      </c>
      <c r="L228" s="6">
        <f t="shared" ca="1" si="31"/>
        <v>0</v>
      </c>
      <c r="M228" s="20">
        <f t="shared" ca="1" si="32"/>
        <v>7.1232876712328768</v>
      </c>
    </row>
    <row r="229" spans="2:13" ht="13.4" customHeight="1" x14ac:dyDescent="0.25">
      <c r="B229" s="1"/>
      <c r="E229" s="27">
        <v>225</v>
      </c>
      <c r="F229" s="6">
        <f t="shared" ca="1" si="29"/>
        <v>90</v>
      </c>
      <c r="G229" s="6">
        <f t="shared" ca="1" si="33"/>
        <v>260</v>
      </c>
      <c r="H229" s="6">
        <f t="shared" ca="1" si="34"/>
        <v>170</v>
      </c>
      <c r="I229" s="6">
        <f t="shared" ca="1" si="35"/>
        <v>0</v>
      </c>
      <c r="J229" s="6">
        <f t="shared" ca="1" si="36"/>
        <v>0</v>
      </c>
      <c r="K229" s="6">
        <f t="shared" ca="1" si="30"/>
        <v>0</v>
      </c>
      <c r="L229" s="6">
        <f t="shared" ca="1" si="31"/>
        <v>0</v>
      </c>
      <c r="M229" s="20">
        <f t="shared" ca="1" si="32"/>
        <v>4.6575342465753424</v>
      </c>
    </row>
    <row r="230" spans="2:13" ht="13.4" customHeight="1" x14ac:dyDescent="0.25">
      <c r="B230" s="1"/>
      <c r="E230" s="27">
        <v>226</v>
      </c>
      <c r="F230" s="6">
        <f t="shared" ca="1" si="29"/>
        <v>120</v>
      </c>
      <c r="G230" s="6">
        <f t="shared" ca="1" si="33"/>
        <v>170</v>
      </c>
      <c r="H230" s="6">
        <f t="shared" ca="1" si="34"/>
        <v>50</v>
      </c>
      <c r="I230" s="6">
        <f t="shared" ca="1" si="35"/>
        <v>1</v>
      </c>
      <c r="J230" s="6">
        <f t="shared" ca="1" si="36"/>
        <v>0</v>
      </c>
      <c r="K230" s="6">
        <f t="shared" ca="1" si="30"/>
        <v>0</v>
      </c>
      <c r="L230" s="6">
        <f t="shared" ca="1" si="31"/>
        <v>200</v>
      </c>
      <c r="M230" s="20">
        <f t="shared" ca="1" si="32"/>
        <v>1.3698630136986301</v>
      </c>
    </row>
    <row r="231" spans="2:13" ht="13.4" customHeight="1" x14ac:dyDescent="0.25">
      <c r="B231" s="1"/>
      <c r="E231" s="27">
        <v>227</v>
      </c>
      <c r="F231" s="6">
        <f t="shared" ca="1" si="29"/>
        <v>100</v>
      </c>
      <c r="G231" s="6">
        <f t="shared" ca="1" si="33"/>
        <v>1050</v>
      </c>
      <c r="H231" s="6">
        <f t="shared" ca="1" si="34"/>
        <v>950</v>
      </c>
      <c r="I231" s="6">
        <f t="shared" ca="1" si="35"/>
        <v>0</v>
      </c>
      <c r="J231" s="6">
        <f t="shared" ca="1" si="36"/>
        <v>0</v>
      </c>
      <c r="K231" s="6">
        <f t="shared" ca="1" si="30"/>
        <v>0</v>
      </c>
      <c r="L231" s="6">
        <f t="shared" ca="1" si="31"/>
        <v>0</v>
      </c>
      <c r="M231" s="20">
        <f t="shared" ca="1" si="32"/>
        <v>26.027397260273972</v>
      </c>
    </row>
    <row r="232" spans="2:13" ht="13.4" customHeight="1" x14ac:dyDescent="0.25">
      <c r="B232" s="1"/>
      <c r="E232" s="27">
        <v>228</v>
      </c>
      <c r="F232" s="6">
        <f t="shared" ca="1" si="29"/>
        <v>110</v>
      </c>
      <c r="G232" s="6">
        <f t="shared" ca="1" si="33"/>
        <v>950</v>
      </c>
      <c r="H232" s="6">
        <f t="shared" ca="1" si="34"/>
        <v>840</v>
      </c>
      <c r="I232" s="6">
        <f t="shared" ca="1" si="35"/>
        <v>0</v>
      </c>
      <c r="J232" s="6">
        <f t="shared" ca="1" si="36"/>
        <v>0</v>
      </c>
      <c r="K232" s="6">
        <f t="shared" ca="1" si="30"/>
        <v>0</v>
      </c>
      <c r="L232" s="6">
        <f t="shared" ca="1" si="31"/>
        <v>0</v>
      </c>
      <c r="M232" s="20">
        <f t="shared" ca="1" si="32"/>
        <v>23.013698630136986</v>
      </c>
    </row>
    <row r="233" spans="2:13" ht="13.4" customHeight="1" x14ac:dyDescent="0.25">
      <c r="B233" s="1"/>
      <c r="E233" s="27">
        <v>229</v>
      </c>
      <c r="F233" s="6">
        <f t="shared" ca="1" si="29"/>
        <v>100</v>
      </c>
      <c r="G233" s="6">
        <f t="shared" ca="1" si="33"/>
        <v>840</v>
      </c>
      <c r="H233" s="6">
        <f t="shared" ca="1" si="34"/>
        <v>740</v>
      </c>
      <c r="I233" s="6">
        <f t="shared" ca="1" si="35"/>
        <v>0</v>
      </c>
      <c r="J233" s="6">
        <f t="shared" ca="1" si="36"/>
        <v>0</v>
      </c>
      <c r="K233" s="6">
        <f t="shared" ca="1" si="30"/>
        <v>0</v>
      </c>
      <c r="L233" s="6">
        <f t="shared" ca="1" si="31"/>
        <v>0</v>
      </c>
      <c r="M233" s="20">
        <f t="shared" ca="1" si="32"/>
        <v>20.273972602739725</v>
      </c>
    </row>
    <row r="234" spans="2:13" ht="13.4" customHeight="1" x14ac:dyDescent="0.25">
      <c r="B234" s="1"/>
      <c r="E234" s="27">
        <v>230</v>
      </c>
      <c r="F234" s="6">
        <f t="shared" ca="1" si="29"/>
        <v>100</v>
      </c>
      <c r="G234" s="6">
        <f t="shared" ca="1" si="33"/>
        <v>740</v>
      </c>
      <c r="H234" s="6">
        <f t="shared" ca="1" si="34"/>
        <v>640</v>
      </c>
      <c r="I234" s="6">
        <f t="shared" ca="1" si="35"/>
        <v>0</v>
      </c>
      <c r="J234" s="6">
        <f t="shared" ca="1" si="36"/>
        <v>0</v>
      </c>
      <c r="K234" s="6">
        <f t="shared" ca="1" si="30"/>
        <v>0</v>
      </c>
      <c r="L234" s="6">
        <f t="shared" ca="1" si="31"/>
        <v>0</v>
      </c>
      <c r="M234" s="20">
        <f t="shared" ca="1" si="32"/>
        <v>17.534246575342465</v>
      </c>
    </row>
    <row r="235" spans="2:13" ht="13.4" customHeight="1" x14ac:dyDescent="0.25">
      <c r="B235" s="1"/>
      <c r="E235" s="27">
        <v>231</v>
      </c>
      <c r="F235" s="6">
        <f t="shared" ca="1" si="29"/>
        <v>80</v>
      </c>
      <c r="G235" s="6">
        <f t="shared" ca="1" si="33"/>
        <v>640</v>
      </c>
      <c r="H235" s="6">
        <f t="shared" ca="1" si="34"/>
        <v>560</v>
      </c>
      <c r="I235" s="6">
        <f t="shared" ca="1" si="35"/>
        <v>0</v>
      </c>
      <c r="J235" s="6">
        <f t="shared" ca="1" si="36"/>
        <v>0</v>
      </c>
      <c r="K235" s="6">
        <f t="shared" ca="1" si="30"/>
        <v>0</v>
      </c>
      <c r="L235" s="6">
        <f t="shared" ca="1" si="31"/>
        <v>0</v>
      </c>
      <c r="M235" s="20">
        <f t="shared" ca="1" si="32"/>
        <v>15.342465753424657</v>
      </c>
    </row>
    <row r="236" spans="2:13" ht="13.4" customHeight="1" x14ac:dyDescent="0.25">
      <c r="B236" s="1"/>
      <c r="E236" s="27">
        <v>232</v>
      </c>
      <c r="F236" s="6">
        <f t="shared" ca="1" si="29"/>
        <v>100</v>
      </c>
      <c r="G236" s="6">
        <f t="shared" ca="1" si="33"/>
        <v>560</v>
      </c>
      <c r="H236" s="6">
        <f t="shared" ca="1" si="34"/>
        <v>460</v>
      </c>
      <c r="I236" s="6">
        <f t="shared" ca="1" si="35"/>
        <v>0</v>
      </c>
      <c r="J236" s="6">
        <f t="shared" ca="1" si="36"/>
        <v>0</v>
      </c>
      <c r="K236" s="6">
        <f t="shared" ca="1" si="30"/>
        <v>0</v>
      </c>
      <c r="L236" s="6">
        <f t="shared" ca="1" si="31"/>
        <v>0</v>
      </c>
      <c r="M236" s="20">
        <f t="shared" ca="1" si="32"/>
        <v>12.602739726027396</v>
      </c>
    </row>
    <row r="237" spans="2:13" ht="13.4" customHeight="1" x14ac:dyDescent="0.25">
      <c r="B237" s="1"/>
      <c r="E237" s="27">
        <v>233</v>
      </c>
      <c r="F237" s="6">
        <f t="shared" ca="1" si="29"/>
        <v>90</v>
      </c>
      <c r="G237" s="6">
        <f t="shared" ca="1" si="33"/>
        <v>460</v>
      </c>
      <c r="H237" s="6">
        <f t="shared" ca="1" si="34"/>
        <v>370</v>
      </c>
      <c r="I237" s="6">
        <f t="shared" ca="1" si="35"/>
        <v>0</v>
      </c>
      <c r="J237" s="6">
        <f t="shared" ca="1" si="36"/>
        <v>0</v>
      </c>
      <c r="K237" s="6">
        <f t="shared" ca="1" si="30"/>
        <v>0</v>
      </c>
      <c r="L237" s="6">
        <f t="shared" ca="1" si="31"/>
        <v>0</v>
      </c>
      <c r="M237" s="20">
        <f t="shared" ca="1" si="32"/>
        <v>10.136986301369863</v>
      </c>
    </row>
    <row r="238" spans="2:13" ht="13.4" customHeight="1" x14ac:dyDescent="0.25">
      <c r="B238" s="1"/>
      <c r="E238" s="27">
        <v>234</v>
      </c>
      <c r="F238" s="6">
        <f t="shared" ca="1" si="29"/>
        <v>110</v>
      </c>
      <c r="G238" s="6">
        <f t="shared" ca="1" si="33"/>
        <v>370</v>
      </c>
      <c r="H238" s="6">
        <f t="shared" ca="1" si="34"/>
        <v>260</v>
      </c>
      <c r="I238" s="6">
        <f t="shared" ca="1" si="35"/>
        <v>0</v>
      </c>
      <c r="J238" s="6">
        <f t="shared" ca="1" si="36"/>
        <v>0</v>
      </c>
      <c r="K238" s="6">
        <f t="shared" ca="1" si="30"/>
        <v>0</v>
      </c>
      <c r="L238" s="6">
        <f t="shared" ca="1" si="31"/>
        <v>0</v>
      </c>
      <c r="M238" s="20">
        <f t="shared" ca="1" si="32"/>
        <v>7.1232876712328768</v>
      </c>
    </row>
    <row r="239" spans="2:13" ht="13.4" customHeight="1" x14ac:dyDescent="0.25">
      <c r="B239" s="1"/>
      <c r="E239" s="27">
        <v>235</v>
      </c>
      <c r="F239" s="6">
        <f t="shared" ca="1" si="29"/>
        <v>100</v>
      </c>
      <c r="G239" s="6">
        <f t="shared" ca="1" si="33"/>
        <v>260</v>
      </c>
      <c r="H239" s="6">
        <f t="shared" ca="1" si="34"/>
        <v>160</v>
      </c>
      <c r="I239" s="6">
        <f t="shared" ca="1" si="35"/>
        <v>0</v>
      </c>
      <c r="J239" s="6">
        <f t="shared" ca="1" si="36"/>
        <v>0</v>
      </c>
      <c r="K239" s="6">
        <f t="shared" ca="1" si="30"/>
        <v>0</v>
      </c>
      <c r="L239" s="6">
        <f t="shared" ca="1" si="31"/>
        <v>0</v>
      </c>
      <c r="M239" s="20">
        <f t="shared" ca="1" si="32"/>
        <v>4.3835616438356162</v>
      </c>
    </row>
    <row r="240" spans="2:13" ht="13.4" customHeight="1" x14ac:dyDescent="0.25">
      <c r="B240" s="1"/>
      <c r="E240" s="27">
        <v>236</v>
      </c>
      <c r="F240" s="6">
        <f t="shared" ca="1" si="29"/>
        <v>80</v>
      </c>
      <c r="G240" s="6">
        <f t="shared" ca="1" si="33"/>
        <v>160</v>
      </c>
      <c r="H240" s="6">
        <f t="shared" ca="1" si="34"/>
        <v>80</v>
      </c>
      <c r="I240" s="6">
        <f t="shared" ca="1" si="35"/>
        <v>1</v>
      </c>
      <c r="J240" s="6">
        <f t="shared" ca="1" si="36"/>
        <v>0</v>
      </c>
      <c r="K240" s="6">
        <f t="shared" ca="1" si="30"/>
        <v>0</v>
      </c>
      <c r="L240" s="6">
        <f t="shared" ca="1" si="31"/>
        <v>200</v>
      </c>
      <c r="M240" s="20">
        <f t="shared" ca="1" si="32"/>
        <v>2.1917808219178081</v>
      </c>
    </row>
    <row r="241" spans="2:13" ht="13.4" customHeight="1" x14ac:dyDescent="0.25">
      <c r="B241" s="1"/>
      <c r="E241" s="27">
        <v>237</v>
      </c>
      <c r="F241" s="6">
        <f t="shared" ca="1" si="29"/>
        <v>80</v>
      </c>
      <c r="G241" s="6">
        <f t="shared" ca="1" si="33"/>
        <v>1080</v>
      </c>
      <c r="H241" s="6">
        <f t="shared" ca="1" si="34"/>
        <v>1000</v>
      </c>
      <c r="I241" s="6">
        <f t="shared" ca="1" si="35"/>
        <v>0</v>
      </c>
      <c r="J241" s="6">
        <f t="shared" ca="1" si="36"/>
        <v>0</v>
      </c>
      <c r="K241" s="6">
        <f t="shared" ca="1" si="30"/>
        <v>0</v>
      </c>
      <c r="L241" s="6">
        <f t="shared" ca="1" si="31"/>
        <v>0</v>
      </c>
      <c r="M241" s="20">
        <f t="shared" ca="1" si="32"/>
        <v>27.397260273972602</v>
      </c>
    </row>
    <row r="242" spans="2:13" ht="13.4" customHeight="1" x14ac:dyDescent="0.25">
      <c r="B242" s="1"/>
      <c r="E242" s="27">
        <v>238</v>
      </c>
      <c r="F242" s="6">
        <f t="shared" ca="1" si="29"/>
        <v>120</v>
      </c>
      <c r="G242" s="6">
        <f t="shared" ca="1" si="33"/>
        <v>1000</v>
      </c>
      <c r="H242" s="6">
        <f t="shared" ca="1" si="34"/>
        <v>880</v>
      </c>
      <c r="I242" s="6">
        <f t="shared" ca="1" si="35"/>
        <v>0</v>
      </c>
      <c r="J242" s="6">
        <f t="shared" ca="1" si="36"/>
        <v>0</v>
      </c>
      <c r="K242" s="6">
        <f t="shared" ca="1" si="30"/>
        <v>0</v>
      </c>
      <c r="L242" s="6">
        <f t="shared" ca="1" si="31"/>
        <v>0</v>
      </c>
      <c r="M242" s="20">
        <f t="shared" ca="1" si="32"/>
        <v>24.109589041095887</v>
      </c>
    </row>
    <row r="243" spans="2:13" ht="13.4" customHeight="1" x14ac:dyDescent="0.25">
      <c r="B243" s="1"/>
      <c r="E243" s="27">
        <v>239</v>
      </c>
      <c r="F243" s="6">
        <f t="shared" ca="1" si="29"/>
        <v>100</v>
      </c>
      <c r="G243" s="6">
        <f t="shared" ca="1" si="33"/>
        <v>880</v>
      </c>
      <c r="H243" s="6">
        <f t="shared" ca="1" si="34"/>
        <v>780</v>
      </c>
      <c r="I243" s="6">
        <f t="shared" ca="1" si="35"/>
        <v>0</v>
      </c>
      <c r="J243" s="6">
        <f t="shared" ca="1" si="36"/>
        <v>0</v>
      </c>
      <c r="K243" s="6">
        <f t="shared" ca="1" si="30"/>
        <v>0</v>
      </c>
      <c r="L243" s="6">
        <f t="shared" ca="1" si="31"/>
        <v>0</v>
      </c>
      <c r="M243" s="20">
        <f t="shared" ca="1" si="32"/>
        <v>21.36986301369863</v>
      </c>
    </row>
    <row r="244" spans="2:13" ht="13.4" customHeight="1" x14ac:dyDescent="0.25">
      <c r="B244" s="1"/>
      <c r="E244" s="27">
        <v>240</v>
      </c>
      <c r="F244" s="6">
        <f t="shared" ca="1" si="29"/>
        <v>90</v>
      </c>
      <c r="G244" s="6">
        <f t="shared" ca="1" si="33"/>
        <v>780</v>
      </c>
      <c r="H244" s="6">
        <f t="shared" ca="1" si="34"/>
        <v>690</v>
      </c>
      <c r="I244" s="6">
        <f t="shared" ca="1" si="35"/>
        <v>0</v>
      </c>
      <c r="J244" s="6">
        <f t="shared" ca="1" si="36"/>
        <v>0</v>
      </c>
      <c r="K244" s="6">
        <f t="shared" ca="1" si="30"/>
        <v>0</v>
      </c>
      <c r="L244" s="6">
        <f t="shared" ca="1" si="31"/>
        <v>0</v>
      </c>
      <c r="M244" s="20">
        <f t="shared" ca="1" si="32"/>
        <v>18.904109589041095</v>
      </c>
    </row>
    <row r="245" spans="2:13" ht="13.4" customHeight="1" x14ac:dyDescent="0.25">
      <c r="B245" s="1"/>
      <c r="E245" s="27">
        <v>241</v>
      </c>
      <c r="F245" s="6">
        <f t="shared" ca="1" si="29"/>
        <v>120</v>
      </c>
      <c r="G245" s="6">
        <f t="shared" ca="1" si="33"/>
        <v>690</v>
      </c>
      <c r="H245" s="6">
        <f t="shared" ca="1" si="34"/>
        <v>570</v>
      </c>
      <c r="I245" s="6">
        <f t="shared" ca="1" si="35"/>
        <v>0</v>
      </c>
      <c r="J245" s="6">
        <f t="shared" ca="1" si="36"/>
        <v>0</v>
      </c>
      <c r="K245" s="6">
        <f t="shared" ca="1" si="30"/>
        <v>0</v>
      </c>
      <c r="L245" s="6">
        <f t="shared" ca="1" si="31"/>
        <v>0</v>
      </c>
      <c r="M245" s="20">
        <f t="shared" ca="1" si="32"/>
        <v>15.616438356164382</v>
      </c>
    </row>
    <row r="246" spans="2:13" ht="13.4" customHeight="1" x14ac:dyDescent="0.25">
      <c r="B246" s="1"/>
      <c r="E246" s="27">
        <v>242</v>
      </c>
      <c r="F246" s="6">
        <f t="shared" ca="1" si="29"/>
        <v>110</v>
      </c>
      <c r="G246" s="6">
        <f t="shared" ca="1" si="33"/>
        <v>570</v>
      </c>
      <c r="H246" s="6">
        <f t="shared" ca="1" si="34"/>
        <v>460</v>
      </c>
      <c r="I246" s="6">
        <f t="shared" ca="1" si="35"/>
        <v>0</v>
      </c>
      <c r="J246" s="6">
        <f t="shared" ca="1" si="36"/>
        <v>0</v>
      </c>
      <c r="K246" s="6">
        <f t="shared" ca="1" si="30"/>
        <v>0</v>
      </c>
      <c r="L246" s="6">
        <f t="shared" ca="1" si="31"/>
        <v>0</v>
      </c>
      <c r="M246" s="20">
        <f t="shared" ca="1" si="32"/>
        <v>12.602739726027396</v>
      </c>
    </row>
    <row r="247" spans="2:13" ht="13.4" customHeight="1" x14ac:dyDescent="0.25">
      <c r="B247" s="1"/>
      <c r="E247" s="27">
        <v>243</v>
      </c>
      <c r="F247" s="6">
        <f t="shared" ca="1" si="29"/>
        <v>80</v>
      </c>
      <c r="G247" s="6">
        <f t="shared" ca="1" si="33"/>
        <v>460</v>
      </c>
      <c r="H247" s="6">
        <f t="shared" ca="1" si="34"/>
        <v>380</v>
      </c>
      <c r="I247" s="6">
        <f t="shared" ca="1" si="35"/>
        <v>0</v>
      </c>
      <c r="J247" s="6">
        <f t="shared" ca="1" si="36"/>
        <v>0</v>
      </c>
      <c r="K247" s="6">
        <f t="shared" ca="1" si="30"/>
        <v>0</v>
      </c>
      <c r="L247" s="6">
        <f t="shared" ca="1" si="31"/>
        <v>0</v>
      </c>
      <c r="M247" s="20">
        <f t="shared" ca="1" si="32"/>
        <v>10.410958904109588</v>
      </c>
    </row>
    <row r="248" spans="2:13" ht="13.4" customHeight="1" x14ac:dyDescent="0.25">
      <c r="B248" s="1"/>
      <c r="E248" s="27">
        <v>244</v>
      </c>
      <c r="F248" s="6">
        <f t="shared" ca="1" si="29"/>
        <v>120</v>
      </c>
      <c r="G248" s="6">
        <f t="shared" ca="1" si="33"/>
        <v>380</v>
      </c>
      <c r="H248" s="6">
        <f t="shared" ca="1" si="34"/>
        <v>260</v>
      </c>
      <c r="I248" s="6">
        <f t="shared" ca="1" si="35"/>
        <v>0</v>
      </c>
      <c r="J248" s="6">
        <f t="shared" ca="1" si="36"/>
        <v>0</v>
      </c>
      <c r="K248" s="6">
        <f t="shared" ca="1" si="30"/>
        <v>0</v>
      </c>
      <c r="L248" s="6">
        <f t="shared" ca="1" si="31"/>
        <v>0</v>
      </c>
      <c r="M248" s="20">
        <f t="shared" ca="1" si="32"/>
        <v>7.1232876712328768</v>
      </c>
    </row>
    <row r="249" spans="2:13" ht="13.4" customHeight="1" x14ac:dyDescent="0.25">
      <c r="B249" s="1"/>
      <c r="E249" s="27">
        <v>245</v>
      </c>
      <c r="F249" s="6">
        <f t="shared" ca="1" si="29"/>
        <v>80</v>
      </c>
      <c r="G249" s="6">
        <f t="shared" ca="1" si="33"/>
        <v>260</v>
      </c>
      <c r="H249" s="6">
        <f t="shared" ca="1" si="34"/>
        <v>180</v>
      </c>
      <c r="I249" s="6">
        <f t="shared" ca="1" si="35"/>
        <v>0</v>
      </c>
      <c r="J249" s="6">
        <f t="shared" ca="1" si="36"/>
        <v>0</v>
      </c>
      <c r="K249" s="6">
        <f t="shared" ca="1" si="30"/>
        <v>0</v>
      </c>
      <c r="L249" s="6">
        <f t="shared" ca="1" si="31"/>
        <v>0</v>
      </c>
      <c r="M249" s="20">
        <f t="shared" ca="1" si="32"/>
        <v>4.9315068493150687</v>
      </c>
    </row>
    <row r="250" spans="2:13" ht="13.4" customHeight="1" x14ac:dyDescent="0.25">
      <c r="B250" s="1"/>
      <c r="E250" s="27">
        <v>246</v>
      </c>
      <c r="F250" s="6">
        <f t="shared" ca="1" si="29"/>
        <v>90</v>
      </c>
      <c r="G250" s="6">
        <f t="shared" ca="1" si="33"/>
        <v>180</v>
      </c>
      <c r="H250" s="6">
        <f t="shared" ca="1" si="34"/>
        <v>90</v>
      </c>
      <c r="I250" s="6">
        <f t="shared" ca="1" si="35"/>
        <v>1</v>
      </c>
      <c r="J250" s="6">
        <f t="shared" ca="1" si="36"/>
        <v>0</v>
      </c>
      <c r="K250" s="6">
        <f t="shared" ca="1" si="30"/>
        <v>0</v>
      </c>
      <c r="L250" s="6">
        <f t="shared" ca="1" si="31"/>
        <v>200</v>
      </c>
      <c r="M250" s="20">
        <f t="shared" ca="1" si="32"/>
        <v>2.4657534246575343</v>
      </c>
    </row>
    <row r="251" spans="2:13" ht="13.4" customHeight="1" x14ac:dyDescent="0.25">
      <c r="B251" s="1"/>
      <c r="E251" s="27">
        <v>247</v>
      </c>
      <c r="F251" s="6">
        <f t="shared" ca="1" si="29"/>
        <v>90</v>
      </c>
      <c r="G251" s="6">
        <f t="shared" ca="1" si="33"/>
        <v>1090</v>
      </c>
      <c r="H251" s="6">
        <f t="shared" ca="1" si="34"/>
        <v>1000</v>
      </c>
      <c r="I251" s="6">
        <f t="shared" ca="1" si="35"/>
        <v>0</v>
      </c>
      <c r="J251" s="6">
        <f t="shared" ca="1" si="36"/>
        <v>0</v>
      </c>
      <c r="K251" s="6">
        <f t="shared" ca="1" si="30"/>
        <v>0</v>
      </c>
      <c r="L251" s="6">
        <f t="shared" ca="1" si="31"/>
        <v>0</v>
      </c>
      <c r="M251" s="20">
        <f t="shared" ca="1" si="32"/>
        <v>27.397260273972602</v>
      </c>
    </row>
    <row r="252" spans="2:13" ht="13.4" customHeight="1" x14ac:dyDescent="0.25">
      <c r="B252" s="1"/>
      <c r="E252" s="27">
        <v>248</v>
      </c>
      <c r="F252" s="6">
        <f t="shared" ca="1" si="29"/>
        <v>120</v>
      </c>
      <c r="G252" s="6">
        <f t="shared" ca="1" si="33"/>
        <v>1000</v>
      </c>
      <c r="H252" s="6">
        <f t="shared" ca="1" si="34"/>
        <v>880</v>
      </c>
      <c r="I252" s="6">
        <f t="shared" ca="1" si="35"/>
        <v>0</v>
      </c>
      <c r="J252" s="6">
        <f t="shared" ca="1" si="36"/>
        <v>0</v>
      </c>
      <c r="K252" s="6">
        <f t="shared" ca="1" si="30"/>
        <v>0</v>
      </c>
      <c r="L252" s="6">
        <f t="shared" ca="1" si="31"/>
        <v>0</v>
      </c>
      <c r="M252" s="20">
        <f t="shared" ca="1" si="32"/>
        <v>24.109589041095887</v>
      </c>
    </row>
    <row r="253" spans="2:13" ht="13.4" customHeight="1" x14ac:dyDescent="0.25">
      <c r="B253" s="1"/>
      <c r="E253" s="27">
        <v>249</v>
      </c>
      <c r="F253" s="6">
        <f t="shared" ca="1" si="29"/>
        <v>100</v>
      </c>
      <c r="G253" s="6">
        <f t="shared" ca="1" si="33"/>
        <v>880</v>
      </c>
      <c r="H253" s="6">
        <f t="shared" ca="1" si="34"/>
        <v>780</v>
      </c>
      <c r="I253" s="6">
        <f t="shared" ca="1" si="35"/>
        <v>0</v>
      </c>
      <c r="J253" s="6">
        <f t="shared" ca="1" si="36"/>
        <v>0</v>
      </c>
      <c r="K253" s="6">
        <f t="shared" ca="1" si="30"/>
        <v>0</v>
      </c>
      <c r="L253" s="6">
        <f t="shared" ca="1" si="31"/>
        <v>0</v>
      </c>
      <c r="M253" s="20">
        <f t="shared" ca="1" si="32"/>
        <v>21.36986301369863</v>
      </c>
    </row>
    <row r="254" spans="2:13" ht="13.4" customHeight="1" x14ac:dyDescent="0.25">
      <c r="B254" s="1"/>
      <c r="E254" s="27">
        <v>250</v>
      </c>
      <c r="F254" s="6">
        <f t="shared" ca="1" si="29"/>
        <v>90</v>
      </c>
      <c r="G254" s="6">
        <f t="shared" ca="1" si="33"/>
        <v>780</v>
      </c>
      <c r="H254" s="6">
        <f t="shared" ca="1" si="34"/>
        <v>690</v>
      </c>
      <c r="I254" s="6">
        <f t="shared" ca="1" si="35"/>
        <v>0</v>
      </c>
      <c r="J254" s="6">
        <f t="shared" ca="1" si="36"/>
        <v>0</v>
      </c>
      <c r="K254" s="6">
        <f t="shared" ca="1" si="30"/>
        <v>0</v>
      </c>
      <c r="L254" s="6">
        <f t="shared" ca="1" si="31"/>
        <v>0</v>
      </c>
      <c r="M254" s="20">
        <f t="shared" ca="1" si="32"/>
        <v>18.904109589041095</v>
      </c>
    </row>
    <row r="255" spans="2:13" ht="13.4" customHeight="1" x14ac:dyDescent="0.25">
      <c r="B255" s="1"/>
      <c r="E255" s="27">
        <v>251</v>
      </c>
      <c r="F255" s="6">
        <f t="shared" ca="1" si="29"/>
        <v>90</v>
      </c>
      <c r="G255" s="6">
        <f t="shared" ca="1" si="33"/>
        <v>690</v>
      </c>
      <c r="H255" s="6">
        <f t="shared" ca="1" si="34"/>
        <v>600</v>
      </c>
      <c r="I255" s="6">
        <f t="shared" ca="1" si="35"/>
        <v>0</v>
      </c>
      <c r="J255" s="6">
        <f t="shared" ca="1" si="36"/>
        <v>0</v>
      </c>
      <c r="K255" s="6">
        <f t="shared" ca="1" si="30"/>
        <v>0</v>
      </c>
      <c r="L255" s="6">
        <f t="shared" ca="1" si="31"/>
        <v>0</v>
      </c>
      <c r="M255" s="20">
        <f t="shared" ca="1" si="32"/>
        <v>16.43835616438356</v>
      </c>
    </row>
    <row r="256" spans="2:13" ht="13.4" customHeight="1" x14ac:dyDescent="0.25">
      <c r="B256" s="1"/>
      <c r="E256" s="27">
        <v>252</v>
      </c>
      <c r="F256" s="6">
        <f t="shared" ca="1" si="29"/>
        <v>100</v>
      </c>
      <c r="G256" s="6">
        <f t="shared" ca="1" si="33"/>
        <v>600</v>
      </c>
      <c r="H256" s="6">
        <f t="shared" ca="1" si="34"/>
        <v>500</v>
      </c>
      <c r="I256" s="6">
        <f t="shared" ca="1" si="35"/>
        <v>0</v>
      </c>
      <c r="J256" s="6">
        <f t="shared" ca="1" si="36"/>
        <v>0</v>
      </c>
      <c r="K256" s="6">
        <f t="shared" ca="1" si="30"/>
        <v>0</v>
      </c>
      <c r="L256" s="6">
        <f t="shared" ca="1" si="31"/>
        <v>0</v>
      </c>
      <c r="M256" s="20">
        <f t="shared" ca="1" si="32"/>
        <v>13.698630136986301</v>
      </c>
    </row>
    <row r="257" spans="2:13" ht="13.4" customHeight="1" x14ac:dyDescent="0.25">
      <c r="B257" s="1"/>
      <c r="E257" s="27">
        <v>253</v>
      </c>
      <c r="F257" s="6">
        <f t="shared" ca="1" si="29"/>
        <v>110</v>
      </c>
      <c r="G257" s="6">
        <f t="shared" ca="1" si="33"/>
        <v>500</v>
      </c>
      <c r="H257" s="6">
        <f t="shared" ca="1" si="34"/>
        <v>390</v>
      </c>
      <c r="I257" s="6">
        <f t="shared" ca="1" si="35"/>
        <v>0</v>
      </c>
      <c r="J257" s="6">
        <f t="shared" ca="1" si="36"/>
        <v>0</v>
      </c>
      <c r="K257" s="6">
        <f t="shared" ca="1" si="30"/>
        <v>0</v>
      </c>
      <c r="L257" s="6">
        <f t="shared" ca="1" si="31"/>
        <v>0</v>
      </c>
      <c r="M257" s="20">
        <f t="shared" ca="1" si="32"/>
        <v>10.684931506849315</v>
      </c>
    </row>
    <row r="258" spans="2:13" ht="13.4" customHeight="1" x14ac:dyDescent="0.25">
      <c r="B258" s="1"/>
      <c r="E258" s="27">
        <v>254</v>
      </c>
      <c r="F258" s="6">
        <f t="shared" ca="1" si="29"/>
        <v>110</v>
      </c>
      <c r="G258" s="6">
        <f t="shared" ca="1" si="33"/>
        <v>390</v>
      </c>
      <c r="H258" s="6">
        <f t="shared" ca="1" si="34"/>
        <v>280</v>
      </c>
      <c r="I258" s="6">
        <f t="shared" ca="1" si="35"/>
        <v>0</v>
      </c>
      <c r="J258" s="6">
        <f t="shared" ca="1" si="36"/>
        <v>0</v>
      </c>
      <c r="K258" s="6">
        <f t="shared" ca="1" si="30"/>
        <v>0</v>
      </c>
      <c r="L258" s="6">
        <f t="shared" ca="1" si="31"/>
        <v>0</v>
      </c>
      <c r="M258" s="20">
        <f t="shared" ca="1" si="32"/>
        <v>7.6712328767123283</v>
      </c>
    </row>
    <row r="259" spans="2:13" ht="13.4" customHeight="1" x14ac:dyDescent="0.25">
      <c r="B259" s="1"/>
      <c r="E259" s="27">
        <v>255</v>
      </c>
      <c r="F259" s="6">
        <f t="shared" ca="1" si="29"/>
        <v>110</v>
      </c>
      <c r="G259" s="6">
        <f t="shared" ca="1" si="33"/>
        <v>280</v>
      </c>
      <c r="H259" s="6">
        <f t="shared" ca="1" si="34"/>
        <v>170</v>
      </c>
      <c r="I259" s="6">
        <f t="shared" ca="1" si="35"/>
        <v>0</v>
      </c>
      <c r="J259" s="6">
        <f t="shared" ca="1" si="36"/>
        <v>0</v>
      </c>
      <c r="K259" s="6">
        <f t="shared" ca="1" si="30"/>
        <v>0</v>
      </c>
      <c r="L259" s="6">
        <f t="shared" ca="1" si="31"/>
        <v>0</v>
      </c>
      <c r="M259" s="20">
        <f t="shared" ca="1" si="32"/>
        <v>4.6575342465753424</v>
      </c>
    </row>
    <row r="260" spans="2:13" ht="13.4" customHeight="1" x14ac:dyDescent="0.25">
      <c r="B260" s="1"/>
      <c r="E260" s="27">
        <v>256</v>
      </c>
      <c r="F260" s="6">
        <f t="shared" ca="1" si="29"/>
        <v>90</v>
      </c>
      <c r="G260" s="6">
        <f t="shared" ca="1" si="33"/>
        <v>170</v>
      </c>
      <c r="H260" s="6">
        <f t="shared" ca="1" si="34"/>
        <v>80</v>
      </c>
      <c r="I260" s="6">
        <f t="shared" ca="1" si="35"/>
        <v>1</v>
      </c>
      <c r="J260" s="6">
        <f t="shared" ca="1" si="36"/>
        <v>0</v>
      </c>
      <c r="K260" s="6">
        <f t="shared" ca="1" si="30"/>
        <v>0</v>
      </c>
      <c r="L260" s="6">
        <f t="shared" ca="1" si="31"/>
        <v>200</v>
      </c>
      <c r="M260" s="20">
        <f t="shared" ca="1" si="32"/>
        <v>2.1917808219178081</v>
      </c>
    </row>
    <row r="261" spans="2:13" ht="13.4" customHeight="1" x14ac:dyDescent="0.25">
      <c r="B261" s="1"/>
      <c r="E261" s="27">
        <v>257</v>
      </c>
      <c r="F261" s="6">
        <f t="shared" ref="F261:F324" ca="1" si="37">INDEX($R$17:$R$21,MATCH(RAND(),$T$17:$T$22,1))</f>
        <v>90</v>
      </c>
      <c r="G261" s="6">
        <f t="shared" ca="1" si="33"/>
        <v>1080</v>
      </c>
      <c r="H261" s="6">
        <f t="shared" ca="1" si="34"/>
        <v>990</v>
      </c>
      <c r="I261" s="6">
        <f t="shared" ca="1" si="35"/>
        <v>0</v>
      </c>
      <c r="J261" s="6">
        <f t="shared" ca="1" si="36"/>
        <v>0</v>
      </c>
      <c r="K261" s="6">
        <f t="shared" ca="1" si="30"/>
        <v>0</v>
      </c>
      <c r="L261" s="6">
        <f t="shared" ca="1" si="31"/>
        <v>0</v>
      </c>
      <c r="M261" s="20">
        <f t="shared" ca="1" si="32"/>
        <v>27.123287671232877</v>
      </c>
    </row>
    <row r="262" spans="2:13" ht="13.4" customHeight="1" x14ac:dyDescent="0.25">
      <c r="B262" s="1"/>
      <c r="E262" s="27">
        <v>258</v>
      </c>
      <c r="F262" s="6">
        <f t="shared" ca="1" si="37"/>
        <v>90</v>
      </c>
      <c r="G262" s="6">
        <f t="shared" ca="1" si="33"/>
        <v>990</v>
      </c>
      <c r="H262" s="6">
        <f t="shared" ca="1" si="34"/>
        <v>900</v>
      </c>
      <c r="I262" s="6">
        <f t="shared" ca="1" si="35"/>
        <v>0</v>
      </c>
      <c r="J262" s="6">
        <f t="shared" ca="1" si="36"/>
        <v>0</v>
      </c>
      <c r="K262" s="6">
        <f t="shared" ref="K262:K325" ca="1" si="38">J262*$C$8</f>
        <v>0</v>
      </c>
      <c r="L262" s="6">
        <f t="shared" ref="L262:L325" ca="1" si="39">I262*$C$4</f>
        <v>0</v>
      </c>
      <c r="M262" s="20">
        <f t="shared" ref="M262:M325" ca="1" si="40">H262*$C$7</f>
        <v>24.657534246575342</v>
      </c>
    </row>
    <row r="263" spans="2:13" ht="13.4" customHeight="1" x14ac:dyDescent="0.25">
      <c r="B263" s="1"/>
      <c r="E263" s="27">
        <v>259</v>
      </c>
      <c r="F263" s="6">
        <f t="shared" ca="1" si="37"/>
        <v>100</v>
      </c>
      <c r="G263" s="6">
        <f t="shared" ref="G263:G326" ca="1" si="41">H262+I262*$C$9</f>
        <v>900</v>
      </c>
      <c r="H263" s="6">
        <f t="shared" ref="H263:H326" ca="1" si="42">MAX(G263-F263,0)</f>
        <v>800</v>
      </c>
      <c r="I263" s="6">
        <f t="shared" ref="I263:I326" ca="1" si="43">IF(H263&lt;$C$3,1,0)</f>
        <v>0</v>
      </c>
      <c r="J263" s="6">
        <f t="shared" ref="J263:J326" ca="1" si="44">-MIN(G263-F263,0)</f>
        <v>0</v>
      </c>
      <c r="K263" s="6">
        <f t="shared" ca="1" si="38"/>
        <v>0</v>
      </c>
      <c r="L263" s="6">
        <f t="shared" ca="1" si="39"/>
        <v>0</v>
      </c>
      <c r="M263" s="20">
        <f t="shared" ca="1" si="40"/>
        <v>21.917808219178081</v>
      </c>
    </row>
    <row r="264" spans="2:13" ht="13.4" customHeight="1" x14ac:dyDescent="0.25">
      <c r="B264" s="1"/>
      <c r="E264" s="27">
        <v>260</v>
      </c>
      <c r="F264" s="6">
        <f t="shared" ca="1" si="37"/>
        <v>80</v>
      </c>
      <c r="G264" s="6">
        <f t="shared" ca="1" si="41"/>
        <v>800</v>
      </c>
      <c r="H264" s="6">
        <f t="shared" ca="1" si="42"/>
        <v>720</v>
      </c>
      <c r="I264" s="6">
        <f t="shared" ca="1" si="43"/>
        <v>0</v>
      </c>
      <c r="J264" s="6">
        <f t="shared" ca="1" si="44"/>
        <v>0</v>
      </c>
      <c r="K264" s="6">
        <f t="shared" ca="1" si="38"/>
        <v>0</v>
      </c>
      <c r="L264" s="6">
        <f t="shared" ca="1" si="39"/>
        <v>0</v>
      </c>
      <c r="M264" s="20">
        <f t="shared" ca="1" si="40"/>
        <v>19.726027397260275</v>
      </c>
    </row>
    <row r="265" spans="2:13" ht="13.4" customHeight="1" x14ac:dyDescent="0.25">
      <c r="B265" s="1"/>
      <c r="E265" s="27">
        <v>261</v>
      </c>
      <c r="F265" s="6">
        <f t="shared" ca="1" si="37"/>
        <v>110</v>
      </c>
      <c r="G265" s="6">
        <f t="shared" ca="1" si="41"/>
        <v>720</v>
      </c>
      <c r="H265" s="6">
        <f t="shared" ca="1" si="42"/>
        <v>610</v>
      </c>
      <c r="I265" s="6">
        <f t="shared" ca="1" si="43"/>
        <v>0</v>
      </c>
      <c r="J265" s="6">
        <f t="shared" ca="1" si="44"/>
        <v>0</v>
      </c>
      <c r="K265" s="6">
        <f t="shared" ca="1" si="38"/>
        <v>0</v>
      </c>
      <c r="L265" s="6">
        <f t="shared" ca="1" si="39"/>
        <v>0</v>
      </c>
      <c r="M265" s="20">
        <f t="shared" ca="1" si="40"/>
        <v>16.712328767123285</v>
      </c>
    </row>
    <row r="266" spans="2:13" ht="13.4" customHeight="1" x14ac:dyDescent="0.25">
      <c r="B266" s="1"/>
      <c r="E266" s="27">
        <v>262</v>
      </c>
      <c r="F266" s="6">
        <f t="shared" ca="1" si="37"/>
        <v>110</v>
      </c>
      <c r="G266" s="6">
        <f t="shared" ca="1" si="41"/>
        <v>610</v>
      </c>
      <c r="H266" s="6">
        <f t="shared" ca="1" si="42"/>
        <v>500</v>
      </c>
      <c r="I266" s="6">
        <f t="shared" ca="1" si="43"/>
        <v>0</v>
      </c>
      <c r="J266" s="6">
        <f t="shared" ca="1" si="44"/>
        <v>0</v>
      </c>
      <c r="K266" s="6">
        <f t="shared" ca="1" si="38"/>
        <v>0</v>
      </c>
      <c r="L266" s="6">
        <f t="shared" ca="1" si="39"/>
        <v>0</v>
      </c>
      <c r="M266" s="20">
        <f t="shared" ca="1" si="40"/>
        <v>13.698630136986301</v>
      </c>
    </row>
    <row r="267" spans="2:13" ht="13.4" customHeight="1" x14ac:dyDescent="0.25">
      <c r="B267" s="1"/>
      <c r="E267" s="27">
        <v>263</v>
      </c>
      <c r="F267" s="6">
        <f t="shared" ca="1" si="37"/>
        <v>90</v>
      </c>
      <c r="G267" s="6">
        <f t="shared" ca="1" si="41"/>
        <v>500</v>
      </c>
      <c r="H267" s="6">
        <f t="shared" ca="1" si="42"/>
        <v>410</v>
      </c>
      <c r="I267" s="6">
        <f t="shared" ca="1" si="43"/>
        <v>0</v>
      </c>
      <c r="J267" s="6">
        <f t="shared" ca="1" si="44"/>
        <v>0</v>
      </c>
      <c r="K267" s="6">
        <f t="shared" ca="1" si="38"/>
        <v>0</v>
      </c>
      <c r="L267" s="6">
        <f t="shared" ca="1" si="39"/>
        <v>0</v>
      </c>
      <c r="M267" s="20">
        <f t="shared" ca="1" si="40"/>
        <v>11.232876712328766</v>
      </c>
    </row>
    <row r="268" spans="2:13" ht="13.4" customHeight="1" x14ac:dyDescent="0.25">
      <c r="B268" s="1"/>
      <c r="E268" s="27">
        <v>264</v>
      </c>
      <c r="F268" s="6">
        <f t="shared" ca="1" si="37"/>
        <v>90</v>
      </c>
      <c r="G268" s="6">
        <f t="shared" ca="1" si="41"/>
        <v>410</v>
      </c>
      <c r="H268" s="6">
        <f t="shared" ca="1" si="42"/>
        <v>320</v>
      </c>
      <c r="I268" s="6">
        <f t="shared" ca="1" si="43"/>
        <v>0</v>
      </c>
      <c r="J268" s="6">
        <f t="shared" ca="1" si="44"/>
        <v>0</v>
      </c>
      <c r="K268" s="6">
        <f t="shared" ca="1" si="38"/>
        <v>0</v>
      </c>
      <c r="L268" s="6">
        <f t="shared" ca="1" si="39"/>
        <v>0</v>
      </c>
      <c r="M268" s="20">
        <f t="shared" ca="1" si="40"/>
        <v>8.7671232876712324</v>
      </c>
    </row>
    <row r="269" spans="2:13" ht="13.4" customHeight="1" x14ac:dyDescent="0.25">
      <c r="B269" s="1"/>
      <c r="E269" s="27">
        <v>265</v>
      </c>
      <c r="F269" s="6">
        <f t="shared" ca="1" si="37"/>
        <v>120</v>
      </c>
      <c r="G269" s="6">
        <f t="shared" ca="1" si="41"/>
        <v>320</v>
      </c>
      <c r="H269" s="6">
        <f t="shared" ca="1" si="42"/>
        <v>200</v>
      </c>
      <c r="I269" s="6">
        <f t="shared" ca="1" si="43"/>
        <v>0</v>
      </c>
      <c r="J269" s="6">
        <f t="shared" ca="1" si="44"/>
        <v>0</v>
      </c>
      <c r="K269" s="6">
        <f t="shared" ca="1" si="38"/>
        <v>0</v>
      </c>
      <c r="L269" s="6">
        <f t="shared" ca="1" si="39"/>
        <v>0</v>
      </c>
      <c r="M269" s="20">
        <f t="shared" ca="1" si="40"/>
        <v>5.4794520547945202</v>
      </c>
    </row>
    <row r="270" spans="2:13" ht="13.4" customHeight="1" x14ac:dyDescent="0.25">
      <c r="B270" s="1"/>
      <c r="E270" s="27">
        <v>266</v>
      </c>
      <c r="F270" s="6">
        <f t="shared" ca="1" si="37"/>
        <v>120</v>
      </c>
      <c r="G270" s="6">
        <f t="shared" ca="1" si="41"/>
        <v>200</v>
      </c>
      <c r="H270" s="6">
        <f t="shared" ca="1" si="42"/>
        <v>80</v>
      </c>
      <c r="I270" s="6">
        <f t="shared" ca="1" si="43"/>
        <v>1</v>
      </c>
      <c r="J270" s="6">
        <f t="shared" ca="1" si="44"/>
        <v>0</v>
      </c>
      <c r="K270" s="6">
        <f t="shared" ca="1" si="38"/>
        <v>0</v>
      </c>
      <c r="L270" s="6">
        <f t="shared" ca="1" si="39"/>
        <v>200</v>
      </c>
      <c r="M270" s="20">
        <f t="shared" ca="1" si="40"/>
        <v>2.1917808219178081</v>
      </c>
    </row>
    <row r="271" spans="2:13" ht="13.4" customHeight="1" x14ac:dyDescent="0.25">
      <c r="B271" s="1"/>
      <c r="E271" s="27">
        <v>267</v>
      </c>
      <c r="F271" s="6">
        <f t="shared" ca="1" si="37"/>
        <v>110</v>
      </c>
      <c r="G271" s="6">
        <f t="shared" ca="1" si="41"/>
        <v>1080</v>
      </c>
      <c r="H271" s="6">
        <f t="shared" ca="1" si="42"/>
        <v>970</v>
      </c>
      <c r="I271" s="6">
        <f t="shared" ca="1" si="43"/>
        <v>0</v>
      </c>
      <c r="J271" s="6">
        <f t="shared" ca="1" si="44"/>
        <v>0</v>
      </c>
      <c r="K271" s="6">
        <f t="shared" ca="1" si="38"/>
        <v>0</v>
      </c>
      <c r="L271" s="6">
        <f t="shared" ca="1" si="39"/>
        <v>0</v>
      </c>
      <c r="M271" s="20">
        <f t="shared" ca="1" si="40"/>
        <v>26.575342465753423</v>
      </c>
    </row>
    <row r="272" spans="2:13" ht="13.4" customHeight="1" x14ac:dyDescent="0.25">
      <c r="B272" s="1"/>
      <c r="E272" s="27">
        <v>268</v>
      </c>
      <c r="F272" s="6">
        <f t="shared" ca="1" si="37"/>
        <v>90</v>
      </c>
      <c r="G272" s="6">
        <f t="shared" ca="1" si="41"/>
        <v>970</v>
      </c>
      <c r="H272" s="6">
        <f t="shared" ca="1" si="42"/>
        <v>880</v>
      </c>
      <c r="I272" s="6">
        <f t="shared" ca="1" si="43"/>
        <v>0</v>
      </c>
      <c r="J272" s="6">
        <f t="shared" ca="1" si="44"/>
        <v>0</v>
      </c>
      <c r="K272" s="6">
        <f t="shared" ca="1" si="38"/>
        <v>0</v>
      </c>
      <c r="L272" s="6">
        <f t="shared" ca="1" si="39"/>
        <v>0</v>
      </c>
      <c r="M272" s="20">
        <f t="shared" ca="1" si="40"/>
        <v>24.109589041095887</v>
      </c>
    </row>
    <row r="273" spans="2:13" ht="13.4" customHeight="1" x14ac:dyDescent="0.25">
      <c r="B273" s="1"/>
      <c r="E273" s="27">
        <v>269</v>
      </c>
      <c r="F273" s="6">
        <f t="shared" ca="1" si="37"/>
        <v>120</v>
      </c>
      <c r="G273" s="6">
        <f t="shared" ca="1" si="41"/>
        <v>880</v>
      </c>
      <c r="H273" s="6">
        <f t="shared" ca="1" si="42"/>
        <v>760</v>
      </c>
      <c r="I273" s="6">
        <f t="shared" ca="1" si="43"/>
        <v>0</v>
      </c>
      <c r="J273" s="6">
        <f t="shared" ca="1" si="44"/>
        <v>0</v>
      </c>
      <c r="K273" s="6">
        <f t="shared" ca="1" si="38"/>
        <v>0</v>
      </c>
      <c r="L273" s="6">
        <f t="shared" ca="1" si="39"/>
        <v>0</v>
      </c>
      <c r="M273" s="20">
        <f t="shared" ca="1" si="40"/>
        <v>20.821917808219176</v>
      </c>
    </row>
    <row r="274" spans="2:13" ht="13.4" customHeight="1" x14ac:dyDescent="0.25">
      <c r="B274" s="1"/>
      <c r="E274" s="27">
        <v>270</v>
      </c>
      <c r="F274" s="6">
        <f t="shared" ca="1" si="37"/>
        <v>100</v>
      </c>
      <c r="G274" s="6">
        <f t="shared" ca="1" si="41"/>
        <v>760</v>
      </c>
      <c r="H274" s="6">
        <f t="shared" ca="1" si="42"/>
        <v>660</v>
      </c>
      <c r="I274" s="6">
        <f t="shared" ca="1" si="43"/>
        <v>0</v>
      </c>
      <c r="J274" s="6">
        <f t="shared" ca="1" si="44"/>
        <v>0</v>
      </c>
      <c r="K274" s="6">
        <f t="shared" ca="1" si="38"/>
        <v>0</v>
      </c>
      <c r="L274" s="6">
        <f t="shared" ca="1" si="39"/>
        <v>0</v>
      </c>
      <c r="M274" s="20">
        <f t="shared" ca="1" si="40"/>
        <v>18.082191780821915</v>
      </c>
    </row>
    <row r="275" spans="2:13" ht="13.4" customHeight="1" x14ac:dyDescent="0.25">
      <c r="B275" s="1"/>
      <c r="E275" s="27">
        <v>271</v>
      </c>
      <c r="F275" s="6">
        <f t="shared" ca="1" si="37"/>
        <v>110</v>
      </c>
      <c r="G275" s="6">
        <f t="shared" ca="1" si="41"/>
        <v>660</v>
      </c>
      <c r="H275" s="6">
        <f t="shared" ca="1" si="42"/>
        <v>550</v>
      </c>
      <c r="I275" s="6">
        <f t="shared" ca="1" si="43"/>
        <v>0</v>
      </c>
      <c r="J275" s="6">
        <f t="shared" ca="1" si="44"/>
        <v>0</v>
      </c>
      <c r="K275" s="6">
        <f t="shared" ca="1" si="38"/>
        <v>0</v>
      </c>
      <c r="L275" s="6">
        <f t="shared" ca="1" si="39"/>
        <v>0</v>
      </c>
      <c r="M275" s="20">
        <f t="shared" ca="1" si="40"/>
        <v>15.068493150684931</v>
      </c>
    </row>
    <row r="276" spans="2:13" ht="13.4" customHeight="1" x14ac:dyDescent="0.25">
      <c r="B276" s="1"/>
      <c r="E276" s="27">
        <v>272</v>
      </c>
      <c r="F276" s="6">
        <f t="shared" ca="1" si="37"/>
        <v>80</v>
      </c>
      <c r="G276" s="6">
        <f t="shared" ca="1" si="41"/>
        <v>550</v>
      </c>
      <c r="H276" s="6">
        <f t="shared" ca="1" si="42"/>
        <v>470</v>
      </c>
      <c r="I276" s="6">
        <f t="shared" ca="1" si="43"/>
        <v>0</v>
      </c>
      <c r="J276" s="6">
        <f t="shared" ca="1" si="44"/>
        <v>0</v>
      </c>
      <c r="K276" s="6">
        <f t="shared" ca="1" si="38"/>
        <v>0</v>
      </c>
      <c r="L276" s="6">
        <f t="shared" ca="1" si="39"/>
        <v>0</v>
      </c>
      <c r="M276" s="20">
        <f t="shared" ca="1" si="40"/>
        <v>12.876712328767123</v>
      </c>
    </row>
    <row r="277" spans="2:13" ht="13.4" customHeight="1" x14ac:dyDescent="0.25">
      <c r="B277" s="1"/>
      <c r="E277" s="27">
        <v>273</v>
      </c>
      <c r="F277" s="6">
        <f t="shared" ca="1" si="37"/>
        <v>110</v>
      </c>
      <c r="G277" s="6">
        <f t="shared" ca="1" si="41"/>
        <v>470</v>
      </c>
      <c r="H277" s="6">
        <f t="shared" ca="1" si="42"/>
        <v>360</v>
      </c>
      <c r="I277" s="6">
        <f t="shared" ca="1" si="43"/>
        <v>0</v>
      </c>
      <c r="J277" s="6">
        <f t="shared" ca="1" si="44"/>
        <v>0</v>
      </c>
      <c r="K277" s="6">
        <f t="shared" ca="1" si="38"/>
        <v>0</v>
      </c>
      <c r="L277" s="6">
        <f t="shared" ca="1" si="39"/>
        <v>0</v>
      </c>
      <c r="M277" s="20">
        <f t="shared" ca="1" si="40"/>
        <v>9.8630136986301373</v>
      </c>
    </row>
    <row r="278" spans="2:13" ht="13.4" customHeight="1" x14ac:dyDescent="0.25">
      <c r="B278" s="1"/>
      <c r="E278" s="27">
        <v>274</v>
      </c>
      <c r="F278" s="6">
        <f t="shared" ca="1" si="37"/>
        <v>110</v>
      </c>
      <c r="G278" s="6">
        <f t="shared" ca="1" si="41"/>
        <v>360</v>
      </c>
      <c r="H278" s="6">
        <f t="shared" ca="1" si="42"/>
        <v>250</v>
      </c>
      <c r="I278" s="6">
        <f t="shared" ca="1" si="43"/>
        <v>0</v>
      </c>
      <c r="J278" s="6">
        <f t="shared" ca="1" si="44"/>
        <v>0</v>
      </c>
      <c r="K278" s="6">
        <f t="shared" ca="1" si="38"/>
        <v>0</v>
      </c>
      <c r="L278" s="6">
        <f t="shared" ca="1" si="39"/>
        <v>0</v>
      </c>
      <c r="M278" s="20">
        <f t="shared" ca="1" si="40"/>
        <v>6.8493150684931505</v>
      </c>
    </row>
    <row r="279" spans="2:13" ht="13.4" customHeight="1" x14ac:dyDescent="0.25">
      <c r="B279" s="1"/>
      <c r="E279" s="27">
        <v>275</v>
      </c>
      <c r="F279" s="6">
        <f t="shared" ca="1" si="37"/>
        <v>110</v>
      </c>
      <c r="G279" s="6">
        <f t="shared" ca="1" si="41"/>
        <v>250</v>
      </c>
      <c r="H279" s="6">
        <f t="shared" ca="1" si="42"/>
        <v>140</v>
      </c>
      <c r="I279" s="6">
        <f t="shared" ca="1" si="43"/>
        <v>0</v>
      </c>
      <c r="J279" s="6">
        <f t="shared" ca="1" si="44"/>
        <v>0</v>
      </c>
      <c r="K279" s="6">
        <f t="shared" ca="1" si="38"/>
        <v>0</v>
      </c>
      <c r="L279" s="6">
        <f t="shared" ca="1" si="39"/>
        <v>0</v>
      </c>
      <c r="M279" s="20">
        <f t="shared" ca="1" si="40"/>
        <v>3.8356164383561642</v>
      </c>
    </row>
    <row r="280" spans="2:13" ht="13.4" customHeight="1" x14ac:dyDescent="0.25">
      <c r="B280" s="1"/>
      <c r="E280" s="27">
        <v>276</v>
      </c>
      <c r="F280" s="6">
        <f t="shared" ca="1" si="37"/>
        <v>110</v>
      </c>
      <c r="G280" s="6">
        <f t="shared" ca="1" si="41"/>
        <v>140</v>
      </c>
      <c r="H280" s="6">
        <f t="shared" ca="1" si="42"/>
        <v>30</v>
      </c>
      <c r="I280" s="6">
        <f t="shared" ca="1" si="43"/>
        <v>1</v>
      </c>
      <c r="J280" s="6">
        <f t="shared" ca="1" si="44"/>
        <v>0</v>
      </c>
      <c r="K280" s="6">
        <f t="shared" ca="1" si="38"/>
        <v>0</v>
      </c>
      <c r="L280" s="6">
        <f t="shared" ca="1" si="39"/>
        <v>200</v>
      </c>
      <c r="M280" s="20">
        <f t="shared" ca="1" si="40"/>
        <v>0.82191780821917804</v>
      </c>
    </row>
    <row r="281" spans="2:13" ht="13.4" customHeight="1" x14ac:dyDescent="0.25">
      <c r="B281" s="1"/>
      <c r="E281" s="27">
        <v>277</v>
      </c>
      <c r="F281" s="6">
        <f t="shared" ca="1" si="37"/>
        <v>120</v>
      </c>
      <c r="G281" s="6">
        <f t="shared" ca="1" si="41"/>
        <v>1030</v>
      </c>
      <c r="H281" s="6">
        <f t="shared" ca="1" si="42"/>
        <v>910</v>
      </c>
      <c r="I281" s="6">
        <f t="shared" ca="1" si="43"/>
        <v>0</v>
      </c>
      <c r="J281" s="6">
        <f t="shared" ca="1" si="44"/>
        <v>0</v>
      </c>
      <c r="K281" s="6">
        <f t="shared" ca="1" si="38"/>
        <v>0</v>
      </c>
      <c r="L281" s="6">
        <f t="shared" ca="1" si="39"/>
        <v>0</v>
      </c>
      <c r="M281" s="20">
        <f t="shared" ca="1" si="40"/>
        <v>24.931506849315067</v>
      </c>
    </row>
    <row r="282" spans="2:13" ht="13.4" customHeight="1" x14ac:dyDescent="0.25">
      <c r="B282" s="1"/>
      <c r="E282" s="27">
        <v>278</v>
      </c>
      <c r="F282" s="6">
        <f t="shared" ca="1" si="37"/>
        <v>110</v>
      </c>
      <c r="G282" s="6">
        <f t="shared" ca="1" si="41"/>
        <v>910</v>
      </c>
      <c r="H282" s="6">
        <f t="shared" ca="1" si="42"/>
        <v>800</v>
      </c>
      <c r="I282" s="6">
        <f t="shared" ca="1" si="43"/>
        <v>0</v>
      </c>
      <c r="J282" s="6">
        <f t="shared" ca="1" si="44"/>
        <v>0</v>
      </c>
      <c r="K282" s="6">
        <f t="shared" ca="1" si="38"/>
        <v>0</v>
      </c>
      <c r="L282" s="6">
        <f t="shared" ca="1" si="39"/>
        <v>0</v>
      </c>
      <c r="M282" s="20">
        <f t="shared" ca="1" si="40"/>
        <v>21.917808219178081</v>
      </c>
    </row>
    <row r="283" spans="2:13" ht="13.4" customHeight="1" x14ac:dyDescent="0.25">
      <c r="B283" s="1"/>
      <c r="E283" s="27">
        <v>279</v>
      </c>
      <c r="F283" s="6">
        <f t="shared" ca="1" si="37"/>
        <v>90</v>
      </c>
      <c r="G283" s="6">
        <f t="shared" ca="1" si="41"/>
        <v>800</v>
      </c>
      <c r="H283" s="6">
        <f t="shared" ca="1" si="42"/>
        <v>710</v>
      </c>
      <c r="I283" s="6">
        <f t="shared" ca="1" si="43"/>
        <v>0</v>
      </c>
      <c r="J283" s="6">
        <f t="shared" ca="1" si="44"/>
        <v>0</v>
      </c>
      <c r="K283" s="6">
        <f t="shared" ca="1" si="38"/>
        <v>0</v>
      </c>
      <c r="L283" s="6">
        <f t="shared" ca="1" si="39"/>
        <v>0</v>
      </c>
      <c r="M283" s="20">
        <f t="shared" ca="1" si="40"/>
        <v>19.452054794520546</v>
      </c>
    </row>
    <row r="284" spans="2:13" ht="13.4" customHeight="1" x14ac:dyDescent="0.25">
      <c r="B284" s="1"/>
      <c r="E284" s="27">
        <v>280</v>
      </c>
      <c r="F284" s="6">
        <f t="shared" ca="1" si="37"/>
        <v>100</v>
      </c>
      <c r="G284" s="6">
        <f t="shared" ca="1" si="41"/>
        <v>710</v>
      </c>
      <c r="H284" s="6">
        <f t="shared" ca="1" si="42"/>
        <v>610</v>
      </c>
      <c r="I284" s="6">
        <f t="shared" ca="1" si="43"/>
        <v>0</v>
      </c>
      <c r="J284" s="6">
        <f t="shared" ca="1" si="44"/>
        <v>0</v>
      </c>
      <c r="K284" s="6">
        <f t="shared" ca="1" si="38"/>
        <v>0</v>
      </c>
      <c r="L284" s="6">
        <f t="shared" ca="1" si="39"/>
        <v>0</v>
      </c>
      <c r="M284" s="20">
        <f t="shared" ca="1" si="40"/>
        <v>16.712328767123285</v>
      </c>
    </row>
    <row r="285" spans="2:13" ht="13.4" customHeight="1" x14ac:dyDescent="0.25">
      <c r="B285" s="1"/>
      <c r="E285" s="27">
        <v>281</v>
      </c>
      <c r="F285" s="6">
        <f t="shared" ca="1" si="37"/>
        <v>80</v>
      </c>
      <c r="G285" s="6">
        <f t="shared" ca="1" si="41"/>
        <v>610</v>
      </c>
      <c r="H285" s="6">
        <f t="shared" ca="1" si="42"/>
        <v>530</v>
      </c>
      <c r="I285" s="6">
        <f t="shared" ca="1" si="43"/>
        <v>0</v>
      </c>
      <c r="J285" s="6">
        <f t="shared" ca="1" si="44"/>
        <v>0</v>
      </c>
      <c r="K285" s="6">
        <f t="shared" ca="1" si="38"/>
        <v>0</v>
      </c>
      <c r="L285" s="6">
        <f t="shared" ca="1" si="39"/>
        <v>0</v>
      </c>
      <c r="M285" s="20">
        <f t="shared" ca="1" si="40"/>
        <v>14.520547945205479</v>
      </c>
    </row>
    <row r="286" spans="2:13" ht="13.4" customHeight="1" x14ac:dyDescent="0.25">
      <c r="B286" s="1"/>
      <c r="E286" s="27">
        <v>282</v>
      </c>
      <c r="F286" s="6">
        <f t="shared" ca="1" si="37"/>
        <v>110</v>
      </c>
      <c r="G286" s="6">
        <f t="shared" ca="1" si="41"/>
        <v>530</v>
      </c>
      <c r="H286" s="6">
        <f t="shared" ca="1" si="42"/>
        <v>420</v>
      </c>
      <c r="I286" s="6">
        <f t="shared" ca="1" si="43"/>
        <v>0</v>
      </c>
      <c r="J286" s="6">
        <f t="shared" ca="1" si="44"/>
        <v>0</v>
      </c>
      <c r="K286" s="6">
        <f t="shared" ca="1" si="38"/>
        <v>0</v>
      </c>
      <c r="L286" s="6">
        <f t="shared" ca="1" si="39"/>
        <v>0</v>
      </c>
      <c r="M286" s="20">
        <f t="shared" ca="1" si="40"/>
        <v>11.506849315068493</v>
      </c>
    </row>
    <row r="287" spans="2:13" ht="13.4" customHeight="1" x14ac:dyDescent="0.25">
      <c r="B287" s="1"/>
      <c r="E287" s="27">
        <v>283</v>
      </c>
      <c r="F287" s="6">
        <f t="shared" ca="1" si="37"/>
        <v>80</v>
      </c>
      <c r="G287" s="6">
        <f t="shared" ca="1" si="41"/>
        <v>420</v>
      </c>
      <c r="H287" s="6">
        <f t="shared" ca="1" si="42"/>
        <v>340</v>
      </c>
      <c r="I287" s="6">
        <f t="shared" ca="1" si="43"/>
        <v>0</v>
      </c>
      <c r="J287" s="6">
        <f t="shared" ca="1" si="44"/>
        <v>0</v>
      </c>
      <c r="K287" s="6">
        <f t="shared" ca="1" si="38"/>
        <v>0</v>
      </c>
      <c r="L287" s="6">
        <f t="shared" ca="1" si="39"/>
        <v>0</v>
      </c>
      <c r="M287" s="20">
        <f t="shared" ca="1" si="40"/>
        <v>9.3150684931506849</v>
      </c>
    </row>
    <row r="288" spans="2:13" ht="13.4" customHeight="1" x14ac:dyDescent="0.25">
      <c r="B288" s="1"/>
      <c r="E288" s="27">
        <v>284</v>
      </c>
      <c r="F288" s="6">
        <f t="shared" ca="1" si="37"/>
        <v>90</v>
      </c>
      <c r="G288" s="6">
        <f t="shared" ca="1" si="41"/>
        <v>340</v>
      </c>
      <c r="H288" s="6">
        <f t="shared" ca="1" si="42"/>
        <v>250</v>
      </c>
      <c r="I288" s="6">
        <f t="shared" ca="1" si="43"/>
        <v>0</v>
      </c>
      <c r="J288" s="6">
        <f t="shared" ca="1" si="44"/>
        <v>0</v>
      </c>
      <c r="K288" s="6">
        <f t="shared" ca="1" si="38"/>
        <v>0</v>
      </c>
      <c r="L288" s="6">
        <f t="shared" ca="1" si="39"/>
        <v>0</v>
      </c>
      <c r="M288" s="20">
        <f t="shared" ca="1" si="40"/>
        <v>6.8493150684931505</v>
      </c>
    </row>
    <row r="289" spans="2:13" ht="13.4" customHeight="1" x14ac:dyDescent="0.25">
      <c r="B289" s="1"/>
      <c r="E289" s="27">
        <v>285</v>
      </c>
      <c r="F289" s="6">
        <f t="shared" ca="1" si="37"/>
        <v>110</v>
      </c>
      <c r="G289" s="6">
        <f t="shared" ca="1" si="41"/>
        <v>250</v>
      </c>
      <c r="H289" s="6">
        <f t="shared" ca="1" si="42"/>
        <v>140</v>
      </c>
      <c r="I289" s="6">
        <f t="shared" ca="1" si="43"/>
        <v>0</v>
      </c>
      <c r="J289" s="6">
        <f t="shared" ca="1" si="44"/>
        <v>0</v>
      </c>
      <c r="K289" s="6">
        <f t="shared" ca="1" si="38"/>
        <v>0</v>
      </c>
      <c r="L289" s="6">
        <f t="shared" ca="1" si="39"/>
        <v>0</v>
      </c>
      <c r="M289" s="20">
        <f t="shared" ca="1" si="40"/>
        <v>3.8356164383561642</v>
      </c>
    </row>
    <row r="290" spans="2:13" ht="13.4" customHeight="1" x14ac:dyDescent="0.25">
      <c r="B290" s="1"/>
      <c r="E290" s="27">
        <v>286</v>
      </c>
      <c r="F290" s="6">
        <f t="shared" ca="1" si="37"/>
        <v>90</v>
      </c>
      <c r="G290" s="6">
        <f t="shared" ca="1" si="41"/>
        <v>140</v>
      </c>
      <c r="H290" s="6">
        <f t="shared" ca="1" si="42"/>
        <v>50</v>
      </c>
      <c r="I290" s="6">
        <f t="shared" ca="1" si="43"/>
        <v>1</v>
      </c>
      <c r="J290" s="6">
        <f t="shared" ca="1" si="44"/>
        <v>0</v>
      </c>
      <c r="K290" s="6">
        <f t="shared" ca="1" si="38"/>
        <v>0</v>
      </c>
      <c r="L290" s="6">
        <f t="shared" ca="1" si="39"/>
        <v>200</v>
      </c>
      <c r="M290" s="20">
        <f t="shared" ca="1" si="40"/>
        <v>1.3698630136986301</v>
      </c>
    </row>
    <row r="291" spans="2:13" ht="13.4" customHeight="1" x14ac:dyDescent="0.25">
      <c r="B291" s="1"/>
      <c r="E291" s="27">
        <v>287</v>
      </c>
      <c r="F291" s="6">
        <f t="shared" ca="1" si="37"/>
        <v>110</v>
      </c>
      <c r="G291" s="6">
        <f t="shared" ca="1" si="41"/>
        <v>1050</v>
      </c>
      <c r="H291" s="6">
        <f t="shared" ca="1" si="42"/>
        <v>940</v>
      </c>
      <c r="I291" s="6">
        <f t="shared" ca="1" si="43"/>
        <v>0</v>
      </c>
      <c r="J291" s="6">
        <f t="shared" ca="1" si="44"/>
        <v>0</v>
      </c>
      <c r="K291" s="6">
        <f t="shared" ca="1" si="38"/>
        <v>0</v>
      </c>
      <c r="L291" s="6">
        <f t="shared" ca="1" si="39"/>
        <v>0</v>
      </c>
      <c r="M291" s="20">
        <f t="shared" ca="1" si="40"/>
        <v>25.753424657534246</v>
      </c>
    </row>
    <row r="292" spans="2:13" ht="13.4" customHeight="1" x14ac:dyDescent="0.25">
      <c r="B292" s="1"/>
      <c r="E292" s="27">
        <v>288</v>
      </c>
      <c r="F292" s="6">
        <f t="shared" ca="1" si="37"/>
        <v>100</v>
      </c>
      <c r="G292" s="6">
        <f t="shared" ca="1" si="41"/>
        <v>940</v>
      </c>
      <c r="H292" s="6">
        <f t="shared" ca="1" si="42"/>
        <v>840</v>
      </c>
      <c r="I292" s="6">
        <f t="shared" ca="1" si="43"/>
        <v>0</v>
      </c>
      <c r="J292" s="6">
        <f t="shared" ca="1" si="44"/>
        <v>0</v>
      </c>
      <c r="K292" s="6">
        <f t="shared" ca="1" si="38"/>
        <v>0</v>
      </c>
      <c r="L292" s="6">
        <f t="shared" ca="1" si="39"/>
        <v>0</v>
      </c>
      <c r="M292" s="20">
        <f t="shared" ca="1" si="40"/>
        <v>23.013698630136986</v>
      </c>
    </row>
    <row r="293" spans="2:13" ht="13.4" customHeight="1" x14ac:dyDescent="0.25">
      <c r="B293" s="1"/>
      <c r="E293" s="27">
        <v>289</v>
      </c>
      <c r="F293" s="6">
        <f t="shared" ca="1" si="37"/>
        <v>110</v>
      </c>
      <c r="G293" s="6">
        <f t="shared" ca="1" si="41"/>
        <v>840</v>
      </c>
      <c r="H293" s="6">
        <f t="shared" ca="1" si="42"/>
        <v>730</v>
      </c>
      <c r="I293" s="6">
        <f t="shared" ca="1" si="43"/>
        <v>0</v>
      </c>
      <c r="J293" s="6">
        <f t="shared" ca="1" si="44"/>
        <v>0</v>
      </c>
      <c r="K293" s="6">
        <f t="shared" ca="1" si="38"/>
        <v>0</v>
      </c>
      <c r="L293" s="6">
        <f t="shared" ca="1" si="39"/>
        <v>0</v>
      </c>
      <c r="M293" s="20">
        <f t="shared" ca="1" si="40"/>
        <v>20</v>
      </c>
    </row>
    <row r="294" spans="2:13" ht="13.4" customHeight="1" x14ac:dyDescent="0.25">
      <c r="B294" s="1"/>
      <c r="E294" s="27">
        <v>290</v>
      </c>
      <c r="F294" s="6">
        <f t="shared" ca="1" si="37"/>
        <v>110</v>
      </c>
      <c r="G294" s="6">
        <f t="shared" ca="1" si="41"/>
        <v>730</v>
      </c>
      <c r="H294" s="6">
        <f t="shared" ca="1" si="42"/>
        <v>620</v>
      </c>
      <c r="I294" s="6">
        <f t="shared" ca="1" si="43"/>
        <v>0</v>
      </c>
      <c r="J294" s="6">
        <f t="shared" ca="1" si="44"/>
        <v>0</v>
      </c>
      <c r="K294" s="6">
        <f t="shared" ca="1" si="38"/>
        <v>0</v>
      </c>
      <c r="L294" s="6">
        <f t="shared" ca="1" si="39"/>
        <v>0</v>
      </c>
      <c r="M294" s="20">
        <f t="shared" ca="1" si="40"/>
        <v>16.986301369863014</v>
      </c>
    </row>
    <row r="295" spans="2:13" ht="13.4" customHeight="1" x14ac:dyDescent="0.25">
      <c r="B295" s="1"/>
      <c r="E295" s="27">
        <v>291</v>
      </c>
      <c r="F295" s="6">
        <f t="shared" ca="1" si="37"/>
        <v>100</v>
      </c>
      <c r="G295" s="6">
        <f t="shared" ca="1" si="41"/>
        <v>620</v>
      </c>
      <c r="H295" s="6">
        <f t="shared" ca="1" si="42"/>
        <v>520</v>
      </c>
      <c r="I295" s="6">
        <f t="shared" ca="1" si="43"/>
        <v>0</v>
      </c>
      <c r="J295" s="6">
        <f t="shared" ca="1" si="44"/>
        <v>0</v>
      </c>
      <c r="K295" s="6">
        <f t="shared" ca="1" si="38"/>
        <v>0</v>
      </c>
      <c r="L295" s="6">
        <f t="shared" ca="1" si="39"/>
        <v>0</v>
      </c>
      <c r="M295" s="20">
        <f t="shared" ca="1" si="40"/>
        <v>14.246575342465754</v>
      </c>
    </row>
    <row r="296" spans="2:13" ht="13.4" customHeight="1" x14ac:dyDescent="0.25">
      <c r="B296" s="1"/>
      <c r="E296" s="27">
        <v>292</v>
      </c>
      <c r="F296" s="6">
        <f t="shared" ca="1" si="37"/>
        <v>110</v>
      </c>
      <c r="G296" s="6">
        <f t="shared" ca="1" si="41"/>
        <v>520</v>
      </c>
      <c r="H296" s="6">
        <f t="shared" ca="1" si="42"/>
        <v>410</v>
      </c>
      <c r="I296" s="6">
        <f t="shared" ca="1" si="43"/>
        <v>0</v>
      </c>
      <c r="J296" s="6">
        <f t="shared" ca="1" si="44"/>
        <v>0</v>
      </c>
      <c r="K296" s="6">
        <f t="shared" ca="1" si="38"/>
        <v>0</v>
      </c>
      <c r="L296" s="6">
        <f t="shared" ca="1" si="39"/>
        <v>0</v>
      </c>
      <c r="M296" s="20">
        <f t="shared" ca="1" si="40"/>
        <v>11.232876712328766</v>
      </c>
    </row>
    <row r="297" spans="2:13" ht="13.4" customHeight="1" x14ac:dyDescent="0.25">
      <c r="B297" s="1"/>
      <c r="E297" s="27">
        <v>293</v>
      </c>
      <c r="F297" s="6">
        <f t="shared" ca="1" si="37"/>
        <v>90</v>
      </c>
      <c r="G297" s="6">
        <f t="shared" ca="1" si="41"/>
        <v>410</v>
      </c>
      <c r="H297" s="6">
        <f t="shared" ca="1" si="42"/>
        <v>320</v>
      </c>
      <c r="I297" s="6">
        <f t="shared" ca="1" si="43"/>
        <v>0</v>
      </c>
      <c r="J297" s="6">
        <f t="shared" ca="1" si="44"/>
        <v>0</v>
      </c>
      <c r="K297" s="6">
        <f t="shared" ca="1" si="38"/>
        <v>0</v>
      </c>
      <c r="L297" s="6">
        <f t="shared" ca="1" si="39"/>
        <v>0</v>
      </c>
      <c r="M297" s="20">
        <f t="shared" ca="1" si="40"/>
        <v>8.7671232876712324</v>
      </c>
    </row>
    <row r="298" spans="2:13" ht="13.4" customHeight="1" x14ac:dyDescent="0.25">
      <c r="B298" s="1"/>
      <c r="E298" s="27">
        <v>294</v>
      </c>
      <c r="F298" s="6">
        <f t="shared" ca="1" si="37"/>
        <v>90</v>
      </c>
      <c r="G298" s="6">
        <f t="shared" ca="1" si="41"/>
        <v>320</v>
      </c>
      <c r="H298" s="6">
        <f t="shared" ca="1" si="42"/>
        <v>230</v>
      </c>
      <c r="I298" s="6">
        <f t="shared" ca="1" si="43"/>
        <v>0</v>
      </c>
      <c r="J298" s="6">
        <f t="shared" ca="1" si="44"/>
        <v>0</v>
      </c>
      <c r="K298" s="6">
        <f t="shared" ca="1" si="38"/>
        <v>0</v>
      </c>
      <c r="L298" s="6">
        <f t="shared" ca="1" si="39"/>
        <v>0</v>
      </c>
      <c r="M298" s="20">
        <f t="shared" ca="1" si="40"/>
        <v>6.3013698630136981</v>
      </c>
    </row>
    <row r="299" spans="2:13" ht="13.4" customHeight="1" x14ac:dyDescent="0.25">
      <c r="B299" s="1"/>
      <c r="E299" s="27">
        <v>295</v>
      </c>
      <c r="F299" s="6">
        <f t="shared" ca="1" si="37"/>
        <v>100</v>
      </c>
      <c r="G299" s="6">
        <f t="shared" ca="1" si="41"/>
        <v>230</v>
      </c>
      <c r="H299" s="6">
        <f t="shared" ca="1" si="42"/>
        <v>130</v>
      </c>
      <c r="I299" s="6">
        <f t="shared" ca="1" si="43"/>
        <v>0</v>
      </c>
      <c r="J299" s="6">
        <f t="shared" ca="1" si="44"/>
        <v>0</v>
      </c>
      <c r="K299" s="6">
        <f t="shared" ca="1" si="38"/>
        <v>0</v>
      </c>
      <c r="L299" s="6">
        <f t="shared" ca="1" si="39"/>
        <v>0</v>
      </c>
      <c r="M299" s="20">
        <f t="shared" ca="1" si="40"/>
        <v>3.5616438356164384</v>
      </c>
    </row>
    <row r="300" spans="2:13" ht="13.4" customHeight="1" x14ac:dyDescent="0.25">
      <c r="B300" s="1"/>
      <c r="E300" s="27">
        <v>296</v>
      </c>
      <c r="F300" s="6">
        <f t="shared" ca="1" si="37"/>
        <v>110</v>
      </c>
      <c r="G300" s="6">
        <f t="shared" ca="1" si="41"/>
        <v>130</v>
      </c>
      <c r="H300" s="6">
        <f t="shared" ca="1" si="42"/>
        <v>20</v>
      </c>
      <c r="I300" s="6">
        <f t="shared" ca="1" si="43"/>
        <v>1</v>
      </c>
      <c r="J300" s="6">
        <f t="shared" ca="1" si="44"/>
        <v>0</v>
      </c>
      <c r="K300" s="6">
        <f t="shared" ca="1" si="38"/>
        <v>0</v>
      </c>
      <c r="L300" s="6">
        <f t="shared" ca="1" si="39"/>
        <v>200</v>
      </c>
      <c r="M300" s="20">
        <f t="shared" ca="1" si="40"/>
        <v>0.54794520547945202</v>
      </c>
    </row>
    <row r="301" spans="2:13" ht="13.4" customHeight="1" x14ac:dyDescent="0.25">
      <c r="B301" s="1"/>
      <c r="E301" s="27">
        <v>297</v>
      </c>
      <c r="F301" s="6">
        <f t="shared" ca="1" si="37"/>
        <v>80</v>
      </c>
      <c r="G301" s="6">
        <f t="shared" ca="1" si="41"/>
        <v>1020</v>
      </c>
      <c r="H301" s="6">
        <f t="shared" ca="1" si="42"/>
        <v>940</v>
      </c>
      <c r="I301" s="6">
        <f t="shared" ca="1" si="43"/>
        <v>0</v>
      </c>
      <c r="J301" s="6">
        <f t="shared" ca="1" si="44"/>
        <v>0</v>
      </c>
      <c r="K301" s="6">
        <f t="shared" ca="1" si="38"/>
        <v>0</v>
      </c>
      <c r="L301" s="6">
        <f t="shared" ca="1" si="39"/>
        <v>0</v>
      </c>
      <c r="M301" s="20">
        <f t="shared" ca="1" si="40"/>
        <v>25.753424657534246</v>
      </c>
    </row>
    <row r="302" spans="2:13" ht="13.4" customHeight="1" x14ac:dyDescent="0.25">
      <c r="B302" s="1"/>
      <c r="E302" s="27">
        <v>298</v>
      </c>
      <c r="F302" s="6">
        <f t="shared" ca="1" si="37"/>
        <v>90</v>
      </c>
      <c r="G302" s="6">
        <f t="shared" ca="1" si="41"/>
        <v>940</v>
      </c>
      <c r="H302" s="6">
        <f t="shared" ca="1" si="42"/>
        <v>850</v>
      </c>
      <c r="I302" s="6">
        <f t="shared" ca="1" si="43"/>
        <v>0</v>
      </c>
      <c r="J302" s="6">
        <f t="shared" ca="1" si="44"/>
        <v>0</v>
      </c>
      <c r="K302" s="6">
        <f t="shared" ca="1" si="38"/>
        <v>0</v>
      </c>
      <c r="L302" s="6">
        <f t="shared" ca="1" si="39"/>
        <v>0</v>
      </c>
      <c r="M302" s="20">
        <f t="shared" ca="1" si="40"/>
        <v>23.287671232876711</v>
      </c>
    </row>
    <row r="303" spans="2:13" ht="13.4" customHeight="1" x14ac:dyDescent="0.25">
      <c r="B303" s="1"/>
      <c r="E303" s="27">
        <v>299</v>
      </c>
      <c r="F303" s="6">
        <f t="shared" ca="1" si="37"/>
        <v>110</v>
      </c>
      <c r="G303" s="6">
        <f t="shared" ca="1" si="41"/>
        <v>850</v>
      </c>
      <c r="H303" s="6">
        <f t="shared" ca="1" si="42"/>
        <v>740</v>
      </c>
      <c r="I303" s="6">
        <f t="shared" ca="1" si="43"/>
        <v>0</v>
      </c>
      <c r="J303" s="6">
        <f t="shared" ca="1" si="44"/>
        <v>0</v>
      </c>
      <c r="K303" s="6">
        <f t="shared" ca="1" si="38"/>
        <v>0</v>
      </c>
      <c r="L303" s="6">
        <f t="shared" ca="1" si="39"/>
        <v>0</v>
      </c>
      <c r="M303" s="20">
        <f t="shared" ca="1" si="40"/>
        <v>20.273972602739725</v>
      </c>
    </row>
    <row r="304" spans="2:13" ht="13.4" customHeight="1" x14ac:dyDescent="0.25">
      <c r="B304" s="1"/>
      <c r="E304" s="27">
        <v>300</v>
      </c>
      <c r="F304" s="6">
        <f t="shared" ca="1" si="37"/>
        <v>110</v>
      </c>
      <c r="G304" s="6">
        <f t="shared" ca="1" si="41"/>
        <v>740</v>
      </c>
      <c r="H304" s="6">
        <f t="shared" ca="1" si="42"/>
        <v>630</v>
      </c>
      <c r="I304" s="6">
        <f t="shared" ca="1" si="43"/>
        <v>0</v>
      </c>
      <c r="J304" s="6">
        <f t="shared" ca="1" si="44"/>
        <v>0</v>
      </c>
      <c r="K304" s="6">
        <f t="shared" ca="1" si="38"/>
        <v>0</v>
      </c>
      <c r="L304" s="6">
        <f t="shared" ca="1" si="39"/>
        <v>0</v>
      </c>
      <c r="M304" s="20">
        <f t="shared" ca="1" si="40"/>
        <v>17.260273972602739</v>
      </c>
    </row>
    <row r="305" spans="2:13" ht="13.4" customHeight="1" x14ac:dyDescent="0.25">
      <c r="B305" s="1"/>
      <c r="E305" s="27">
        <v>301</v>
      </c>
      <c r="F305" s="6">
        <f t="shared" ca="1" si="37"/>
        <v>90</v>
      </c>
      <c r="G305" s="6">
        <f t="shared" ca="1" si="41"/>
        <v>630</v>
      </c>
      <c r="H305" s="6">
        <f t="shared" ca="1" si="42"/>
        <v>540</v>
      </c>
      <c r="I305" s="6">
        <f t="shared" ca="1" si="43"/>
        <v>0</v>
      </c>
      <c r="J305" s="6">
        <f t="shared" ca="1" si="44"/>
        <v>0</v>
      </c>
      <c r="K305" s="6">
        <f t="shared" ca="1" si="38"/>
        <v>0</v>
      </c>
      <c r="L305" s="6">
        <f t="shared" ca="1" si="39"/>
        <v>0</v>
      </c>
      <c r="M305" s="20">
        <f t="shared" ca="1" si="40"/>
        <v>14.794520547945204</v>
      </c>
    </row>
    <row r="306" spans="2:13" ht="13.4" customHeight="1" x14ac:dyDescent="0.25">
      <c r="B306" s="1"/>
      <c r="E306" s="27">
        <v>302</v>
      </c>
      <c r="F306" s="6">
        <f t="shared" ca="1" si="37"/>
        <v>100</v>
      </c>
      <c r="G306" s="6">
        <f t="shared" ca="1" si="41"/>
        <v>540</v>
      </c>
      <c r="H306" s="6">
        <f t="shared" ca="1" si="42"/>
        <v>440</v>
      </c>
      <c r="I306" s="6">
        <f t="shared" ca="1" si="43"/>
        <v>0</v>
      </c>
      <c r="J306" s="6">
        <f t="shared" ca="1" si="44"/>
        <v>0</v>
      </c>
      <c r="K306" s="6">
        <f t="shared" ca="1" si="38"/>
        <v>0</v>
      </c>
      <c r="L306" s="6">
        <f t="shared" ca="1" si="39"/>
        <v>0</v>
      </c>
      <c r="M306" s="20">
        <f t="shared" ca="1" si="40"/>
        <v>12.054794520547944</v>
      </c>
    </row>
    <row r="307" spans="2:13" ht="13.4" customHeight="1" x14ac:dyDescent="0.25">
      <c r="B307" s="1"/>
      <c r="E307" s="27">
        <v>303</v>
      </c>
      <c r="F307" s="6">
        <f t="shared" ca="1" si="37"/>
        <v>90</v>
      </c>
      <c r="G307" s="6">
        <f t="shared" ca="1" si="41"/>
        <v>440</v>
      </c>
      <c r="H307" s="6">
        <f t="shared" ca="1" si="42"/>
        <v>350</v>
      </c>
      <c r="I307" s="6">
        <f t="shared" ca="1" si="43"/>
        <v>0</v>
      </c>
      <c r="J307" s="6">
        <f t="shared" ca="1" si="44"/>
        <v>0</v>
      </c>
      <c r="K307" s="6">
        <f t="shared" ca="1" si="38"/>
        <v>0</v>
      </c>
      <c r="L307" s="6">
        <f t="shared" ca="1" si="39"/>
        <v>0</v>
      </c>
      <c r="M307" s="20">
        <f t="shared" ca="1" si="40"/>
        <v>9.5890410958904102</v>
      </c>
    </row>
    <row r="308" spans="2:13" ht="13.4" customHeight="1" x14ac:dyDescent="0.25">
      <c r="B308" s="1"/>
      <c r="E308" s="27">
        <v>304</v>
      </c>
      <c r="F308" s="6">
        <f t="shared" ca="1" si="37"/>
        <v>110</v>
      </c>
      <c r="G308" s="6">
        <f t="shared" ca="1" si="41"/>
        <v>350</v>
      </c>
      <c r="H308" s="6">
        <f t="shared" ca="1" si="42"/>
        <v>240</v>
      </c>
      <c r="I308" s="6">
        <f t="shared" ca="1" si="43"/>
        <v>0</v>
      </c>
      <c r="J308" s="6">
        <f t="shared" ca="1" si="44"/>
        <v>0</v>
      </c>
      <c r="K308" s="6">
        <f t="shared" ca="1" si="38"/>
        <v>0</v>
      </c>
      <c r="L308" s="6">
        <f t="shared" ca="1" si="39"/>
        <v>0</v>
      </c>
      <c r="M308" s="20">
        <f t="shared" ca="1" si="40"/>
        <v>6.5753424657534243</v>
      </c>
    </row>
    <row r="309" spans="2:13" ht="13.4" customHeight="1" x14ac:dyDescent="0.25">
      <c r="B309" s="1"/>
      <c r="E309" s="27">
        <v>305</v>
      </c>
      <c r="F309" s="6">
        <f t="shared" ca="1" si="37"/>
        <v>100</v>
      </c>
      <c r="G309" s="6">
        <f t="shared" ca="1" si="41"/>
        <v>240</v>
      </c>
      <c r="H309" s="6">
        <f t="shared" ca="1" si="42"/>
        <v>140</v>
      </c>
      <c r="I309" s="6">
        <f t="shared" ca="1" si="43"/>
        <v>0</v>
      </c>
      <c r="J309" s="6">
        <f t="shared" ca="1" si="44"/>
        <v>0</v>
      </c>
      <c r="K309" s="6">
        <f t="shared" ca="1" si="38"/>
        <v>0</v>
      </c>
      <c r="L309" s="6">
        <f t="shared" ca="1" si="39"/>
        <v>0</v>
      </c>
      <c r="M309" s="20">
        <f t="shared" ca="1" si="40"/>
        <v>3.8356164383561642</v>
      </c>
    </row>
    <row r="310" spans="2:13" ht="13.4" customHeight="1" x14ac:dyDescent="0.25">
      <c r="B310" s="1"/>
      <c r="E310" s="27">
        <v>306</v>
      </c>
      <c r="F310" s="6">
        <f t="shared" ca="1" si="37"/>
        <v>100</v>
      </c>
      <c r="G310" s="6">
        <f t="shared" ca="1" si="41"/>
        <v>140</v>
      </c>
      <c r="H310" s="6">
        <f t="shared" ca="1" si="42"/>
        <v>40</v>
      </c>
      <c r="I310" s="6">
        <f t="shared" ca="1" si="43"/>
        <v>1</v>
      </c>
      <c r="J310" s="6">
        <f t="shared" ca="1" si="44"/>
        <v>0</v>
      </c>
      <c r="K310" s="6">
        <f t="shared" ca="1" si="38"/>
        <v>0</v>
      </c>
      <c r="L310" s="6">
        <f t="shared" ca="1" si="39"/>
        <v>200</v>
      </c>
      <c r="M310" s="20">
        <f t="shared" ca="1" si="40"/>
        <v>1.095890410958904</v>
      </c>
    </row>
    <row r="311" spans="2:13" ht="13.4" customHeight="1" x14ac:dyDescent="0.25">
      <c r="B311" s="1"/>
      <c r="E311" s="27">
        <v>307</v>
      </c>
      <c r="F311" s="6">
        <f t="shared" ca="1" si="37"/>
        <v>90</v>
      </c>
      <c r="G311" s="6">
        <f t="shared" ca="1" si="41"/>
        <v>1040</v>
      </c>
      <c r="H311" s="6">
        <f t="shared" ca="1" si="42"/>
        <v>950</v>
      </c>
      <c r="I311" s="6">
        <f t="shared" ca="1" si="43"/>
        <v>0</v>
      </c>
      <c r="J311" s="6">
        <f t="shared" ca="1" si="44"/>
        <v>0</v>
      </c>
      <c r="K311" s="6">
        <f t="shared" ca="1" si="38"/>
        <v>0</v>
      </c>
      <c r="L311" s="6">
        <f t="shared" ca="1" si="39"/>
        <v>0</v>
      </c>
      <c r="M311" s="20">
        <f t="shared" ca="1" si="40"/>
        <v>26.027397260273972</v>
      </c>
    </row>
    <row r="312" spans="2:13" ht="13.4" customHeight="1" x14ac:dyDescent="0.25">
      <c r="B312" s="1"/>
      <c r="E312" s="27">
        <v>308</v>
      </c>
      <c r="F312" s="6">
        <f t="shared" ca="1" si="37"/>
        <v>100</v>
      </c>
      <c r="G312" s="6">
        <f t="shared" ca="1" si="41"/>
        <v>950</v>
      </c>
      <c r="H312" s="6">
        <f t="shared" ca="1" si="42"/>
        <v>850</v>
      </c>
      <c r="I312" s="6">
        <f t="shared" ca="1" si="43"/>
        <v>0</v>
      </c>
      <c r="J312" s="6">
        <f t="shared" ca="1" si="44"/>
        <v>0</v>
      </c>
      <c r="K312" s="6">
        <f t="shared" ca="1" si="38"/>
        <v>0</v>
      </c>
      <c r="L312" s="6">
        <f t="shared" ca="1" si="39"/>
        <v>0</v>
      </c>
      <c r="M312" s="20">
        <f t="shared" ca="1" si="40"/>
        <v>23.287671232876711</v>
      </c>
    </row>
    <row r="313" spans="2:13" ht="13.4" customHeight="1" x14ac:dyDescent="0.25">
      <c r="B313" s="1"/>
      <c r="E313" s="27">
        <v>309</v>
      </c>
      <c r="F313" s="6">
        <f t="shared" ca="1" si="37"/>
        <v>100</v>
      </c>
      <c r="G313" s="6">
        <f t="shared" ca="1" si="41"/>
        <v>850</v>
      </c>
      <c r="H313" s="6">
        <f t="shared" ca="1" si="42"/>
        <v>750</v>
      </c>
      <c r="I313" s="6">
        <f t="shared" ca="1" si="43"/>
        <v>0</v>
      </c>
      <c r="J313" s="6">
        <f t="shared" ca="1" si="44"/>
        <v>0</v>
      </c>
      <c r="K313" s="6">
        <f t="shared" ca="1" si="38"/>
        <v>0</v>
      </c>
      <c r="L313" s="6">
        <f t="shared" ca="1" si="39"/>
        <v>0</v>
      </c>
      <c r="M313" s="20">
        <f t="shared" ca="1" si="40"/>
        <v>20.547945205479451</v>
      </c>
    </row>
    <row r="314" spans="2:13" ht="13.4" customHeight="1" x14ac:dyDescent="0.25">
      <c r="B314" s="1"/>
      <c r="E314" s="27">
        <v>310</v>
      </c>
      <c r="F314" s="6">
        <f t="shared" ca="1" si="37"/>
        <v>110</v>
      </c>
      <c r="G314" s="6">
        <f t="shared" ca="1" si="41"/>
        <v>750</v>
      </c>
      <c r="H314" s="6">
        <f t="shared" ca="1" si="42"/>
        <v>640</v>
      </c>
      <c r="I314" s="6">
        <f t="shared" ca="1" si="43"/>
        <v>0</v>
      </c>
      <c r="J314" s="6">
        <f t="shared" ca="1" si="44"/>
        <v>0</v>
      </c>
      <c r="K314" s="6">
        <f t="shared" ca="1" si="38"/>
        <v>0</v>
      </c>
      <c r="L314" s="6">
        <f t="shared" ca="1" si="39"/>
        <v>0</v>
      </c>
      <c r="M314" s="20">
        <f t="shared" ca="1" si="40"/>
        <v>17.534246575342465</v>
      </c>
    </row>
    <row r="315" spans="2:13" ht="13.4" customHeight="1" x14ac:dyDescent="0.25">
      <c r="B315" s="1"/>
      <c r="E315" s="27">
        <v>311</v>
      </c>
      <c r="F315" s="6">
        <f t="shared" ca="1" si="37"/>
        <v>100</v>
      </c>
      <c r="G315" s="6">
        <f t="shared" ca="1" si="41"/>
        <v>640</v>
      </c>
      <c r="H315" s="6">
        <f t="shared" ca="1" si="42"/>
        <v>540</v>
      </c>
      <c r="I315" s="6">
        <f t="shared" ca="1" si="43"/>
        <v>0</v>
      </c>
      <c r="J315" s="6">
        <f t="shared" ca="1" si="44"/>
        <v>0</v>
      </c>
      <c r="K315" s="6">
        <f t="shared" ca="1" si="38"/>
        <v>0</v>
      </c>
      <c r="L315" s="6">
        <f t="shared" ca="1" si="39"/>
        <v>0</v>
      </c>
      <c r="M315" s="20">
        <f t="shared" ca="1" si="40"/>
        <v>14.794520547945204</v>
      </c>
    </row>
    <row r="316" spans="2:13" ht="13.4" customHeight="1" x14ac:dyDescent="0.25">
      <c r="B316" s="1"/>
      <c r="E316" s="27">
        <v>312</v>
      </c>
      <c r="F316" s="6">
        <f t="shared" ca="1" si="37"/>
        <v>80</v>
      </c>
      <c r="G316" s="6">
        <f t="shared" ca="1" si="41"/>
        <v>540</v>
      </c>
      <c r="H316" s="6">
        <f t="shared" ca="1" si="42"/>
        <v>460</v>
      </c>
      <c r="I316" s="6">
        <f t="shared" ca="1" si="43"/>
        <v>0</v>
      </c>
      <c r="J316" s="6">
        <f t="shared" ca="1" si="44"/>
        <v>0</v>
      </c>
      <c r="K316" s="6">
        <f t="shared" ca="1" si="38"/>
        <v>0</v>
      </c>
      <c r="L316" s="6">
        <f t="shared" ca="1" si="39"/>
        <v>0</v>
      </c>
      <c r="M316" s="20">
        <f t="shared" ca="1" si="40"/>
        <v>12.602739726027396</v>
      </c>
    </row>
    <row r="317" spans="2:13" ht="13.4" customHeight="1" x14ac:dyDescent="0.25">
      <c r="B317" s="1"/>
      <c r="E317" s="27">
        <v>313</v>
      </c>
      <c r="F317" s="6">
        <f t="shared" ca="1" si="37"/>
        <v>100</v>
      </c>
      <c r="G317" s="6">
        <f t="shared" ca="1" si="41"/>
        <v>460</v>
      </c>
      <c r="H317" s="6">
        <f t="shared" ca="1" si="42"/>
        <v>360</v>
      </c>
      <c r="I317" s="6">
        <f t="shared" ca="1" si="43"/>
        <v>0</v>
      </c>
      <c r="J317" s="6">
        <f t="shared" ca="1" si="44"/>
        <v>0</v>
      </c>
      <c r="K317" s="6">
        <f t="shared" ca="1" si="38"/>
        <v>0</v>
      </c>
      <c r="L317" s="6">
        <f t="shared" ca="1" si="39"/>
        <v>0</v>
      </c>
      <c r="M317" s="20">
        <f t="shared" ca="1" si="40"/>
        <v>9.8630136986301373</v>
      </c>
    </row>
    <row r="318" spans="2:13" ht="13.4" customHeight="1" x14ac:dyDescent="0.25">
      <c r="B318" s="1"/>
      <c r="E318" s="27">
        <v>314</v>
      </c>
      <c r="F318" s="6">
        <f t="shared" ca="1" si="37"/>
        <v>90</v>
      </c>
      <c r="G318" s="6">
        <f t="shared" ca="1" si="41"/>
        <v>360</v>
      </c>
      <c r="H318" s="6">
        <f t="shared" ca="1" si="42"/>
        <v>270</v>
      </c>
      <c r="I318" s="6">
        <f t="shared" ca="1" si="43"/>
        <v>0</v>
      </c>
      <c r="J318" s="6">
        <f t="shared" ca="1" si="44"/>
        <v>0</v>
      </c>
      <c r="K318" s="6">
        <f t="shared" ca="1" si="38"/>
        <v>0</v>
      </c>
      <c r="L318" s="6">
        <f t="shared" ca="1" si="39"/>
        <v>0</v>
      </c>
      <c r="M318" s="20">
        <f t="shared" ca="1" si="40"/>
        <v>7.3972602739726021</v>
      </c>
    </row>
    <row r="319" spans="2:13" ht="13.4" customHeight="1" x14ac:dyDescent="0.25">
      <c r="B319" s="1"/>
      <c r="E319" s="27">
        <v>315</v>
      </c>
      <c r="F319" s="6">
        <f t="shared" ca="1" si="37"/>
        <v>110</v>
      </c>
      <c r="G319" s="6">
        <f t="shared" ca="1" si="41"/>
        <v>270</v>
      </c>
      <c r="H319" s="6">
        <f t="shared" ca="1" si="42"/>
        <v>160</v>
      </c>
      <c r="I319" s="6">
        <f t="shared" ca="1" si="43"/>
        <v>0</v>
      </c>
      <c r="J319" s="6">
        <f t="shared" ca="1" si="44"/>
        <v>0</v>
      </c>
      <c r="K319" s="6">
        <f t="shared" ca="1" si="38"/>
        <v>0</v>
      </c>
      <c r="L319" s="6">
        <f t="shared" ca="1" si="39"/>
        <v>0</v>
      </c>
      <c r="M319" s="20">
        <f t="shared" ca="1" si="40"/>
        <v>4.3835616438356162</v>
      </c>
    </row>
    <row r="320" spans="2:13" ht="13.4" customHeight="1" x14ac:dyDescent="0.25">
      <c r="B320" s="1"/>
      <c r="E320" s="27">
        <v>316</v>
      </c>
      <c r="F320" s="6">
        <f t="shared" ca="1" si="37"/>
        <v>100</v>
      </c>
      <c r="G320" s="6">
        <f t="shared" ca="1" si="41"/>
        <v>160</v>
      </c>
      <c r="H320" s="6">
        <f t="shared" ca="1" si="42"/>
        <v>60</v>
      </c>
      <c r="I320" s="6">
        <f t="shared" ca="1" si="43"/>
        <v>1</v>
      </c>
      <c r="J320" s="6">
        <f t="shared" ca="1" si="44"/>
        <v>0</v>
      </c>
      <c r="K320" s="6">
        <f t="shared" ca="1" si="38"/>
        <v>0</v>
      </c>
      <c r="L320" s="6">
        <f t="shared" ca="1" si="39"/>
        <v>200</v>
      </c>
      <c r="M320" s="20">
        <f t="shared" ca="1" si="40"/>
        <v>1.6438356164383561</v>
      </c>
    </row>
    <row r="321" spans="2:13" ht="13.4" customHeight="1" x14ac:dyDescent="0.25">
      <c r="B321" s="1"/>
      <c r="E321" s="27">
        <v>317</v>
      </c>
      <c r="F321" s="6">
        <f t="shared" ca="1" si="37"/>
        <v>120</v>
      </c>
      <c r="G321" s="6">
        <f t="shared" ca="1" si="41"/>
        <v>1060</v>
      </c>
      <c r="H321" s="6">
        <f t="shared" ca="1" si="42"/>
        <v>940</v>
      </c>
      <c r="I321" s="6">
        <f t="shared" ca="1" si="43"/>
        <v>0</v>
      </c>
      <c r="J321" s="6">
        <f t="shared" ca="1" si="44"/>
        <v>0</v>
      </c>
      <c r="K321" s="6">
        <f t="shared" ca="1" si="38"/>
        <v>0</v>
      </c>
      <c r="L321" s="6">
        <f t="shared" ca="1" si="39"/>
        <v>0</v>
      </c>
      <c r="M321" s="20">
        <f t="shared" ca="1" si="40"/>
        <v>25.753424657534246</v>
      </c>
    </row>
    <row r="322" spans="2:13" ht="13.4" customHeight="1" x14ac:dyDescent="0.25">
      <c r="B322" s="1"/>
      <c r="E322" s="27">
        <v>318</v>
      </c>
      <c r="F322" s="6">
        <f t="shared" ca="1" si="37"/>
        <v>90</v>
      </c>
      <c r="G322" s="6">
        <f t="shared" ca="1" si="41"/>
        <v>940</v>
      </c>
      <c r="H322" s="6">
        <f t="shared" ca="1" si="42"/>
        <v>850</v>
      </c>
      <c r="I322" s="6">
        <f t="shared" ca="1" si="43"/>
        <v>0</v>
      </c>
      <c r="J322" s="6">
        <f t="shared" ca="1" si="44"/>
        <v>0</v>
      </c>
      <c r="K322" s="6">
        <f t="shared" ca="1" si="38"/>
        <v>0</v>
      </c>
      <c r="L322" s="6">
        <f t="shared" ca="1" si="39"/>
        <v>0</v>
      </c>
      <c r="M322" s="20">
        <f t="shared" ca="1" si="40"/>
        <v>23.287671232876711</v>
      </c>
    </row>
    <row r="323" spans="2:13" ht="13.4" customHeight="1" x14ac:dyDescent="0.25">
      <c r="B323" s="1"/>
      <c r="E323" s="27">
        <v>319</v>
      </c>
      <c r="F323" s="6">
        <f t="shared" ca="1" si="37"/>
        <v>110</v>
      </c>
      <c r="G323" s="6">
        <f t="shared" ca="1" si="41"/>
        <v>850</v>
      </c>
      <c r="H323" s="6">
        <f t="shared" ca="1" si="42"/>
        <v>740</v>
      </c>
      <c r="I323" s="6">
        <f t="shared" ca="1" si="43"/>
        <v>0</v>
      </c>
      <c r="J323" s="6">
        <f t="shared" ca="1" si="44"/>
        <v>0</v>
      </c>
      <c r="K323" s="6">
        <f t="shared" ca="1" si="38"/>
        <v>0</v>
      </c>
      <c r="L323" s="6">
        <f t="shared" ca="1" si="39"/>
        <v>0</v>
      </c>
      <c r="M323" s="20">
        <f t="shared" ca="1" si="40"/>
        <v>20.273972602739725</v>
      </c>
    </row>
    <row r="324" spans="2:13" ht="13.4" customHeight="1" x14ac:dyDescent="0.25">
      <c r="B324" s="1"/>
      <c r="E324" s="27">
        <v>320</v>
      </c>
      <c r="F324" s="6">
        <f t="shared" ca="1" si="37"/>
        <v>120</v>
      </c>
      <c r="G324" s="6">
        <f t="shared" ca="1" si="41"/>
        <v>740</v>
      </c>
      <c r="H324" s="6">
        <f t="shared" ca="1" si="42"/>
        <v>620</v>
      </c>
      <c r="I324" s="6">
        <f t="shared" ca="1" si="43"/>
        <v>0</v>
      </c>
      <c r="J324" s="6">
        <f t="shared" ca="1" si="44"/>
        <v>0</v>
      </c>
      <c r="K324" s="6">
        <f t="shared" ca="1" si="38"/>
        <v>0</v>
      </c>
      <c r="L324" s="6">
        <f t="shared" ca="1" si="39"/>
        <v>0</v>
      </c>
      <c r="M324" s="20">
        <f t="shared" ca="1" si="40"/>
        <v>16.986301369863014</v>
      </c>
    </row>
    <row r="325" spans="2:13" ht="13.4" customHeight="1" x14ac:dyDescent="0.25">
      <c r="B325" s="1"/>
      <c r="E325" s="27">
        <v>321</v>
      </c>
      <c r="F325" s="6">
        <f t="shared" ref="F325:F369" ca="1" si="45">INDEX($R$17:$R$21,MATCH(RAND(),$T$17:$T$22,1))</f>
        <v>110</v>
      </c>
      <c r="G325" s="6">
        <f t="shared" ca="1" si="41"/>
        <v>620</v>
      </c>
      <c r="H325" s="6">
        <f t="shared" ca="1" si="42"/>
        <v>510</v>
      </c>
      <c r="I325" s="6">
        <f t="shared" ca="1" si="43"/>
        <v>0</v>
      </c>
      <c r="J325" s="6">
        <f t="shared" ca="1" si="44"/>
        <v>0</v>
      </c>
      <c r="K325" s="6">
        <f t="shared" ca="1" si="38"/>
        <v>0</v>
      </c>
      <c r="L325" s="6">
        <f t="shared" ca="1" si="39"/>
        <v>0</v>
      </c>
      <c r="M325" s="20">
        <f t="shared" ca="1" si="40"/>
        <v>13.972602739726026</v>
      </c>
    </row>
    <row r="326" spans="2:13" ht="13.4" customHeight="1" x14ac:dyDescent="0.25">
      <c r="B326" s="1"/>
      <c r="E326" s="27">
        <v>322</v>
      </c>
      <c r="F326" s="6">
        <f t="shared" ca="1" si="45"/>
        <v>120</v>
      </c>
      <c r="G326" s="6">
        <f t="shared" ca="1" si="41"/>
        <v>510</v>
      </c>
      <c r="H326" s="6">
        <f t="shared" ca="1" si="42"/>
        <v>390</v>
      </c>
      <c r="I326" s="6">
        <f t="shared" ca="1" si="43"/>
        <v>0</v>
      </c>
      <c r="J326" s="6">
        <f t="shared" ca="1" si="44"/>
        <v>0</v>
      </c>
      <c r="K326" s="6">
        <f t="shared" ref="K326:K369" ca="1" si="46">J326*$C$8</f>
        <v>0</v>
      </c>
      <c r="L326" s="6">
        <f t="shared" ref="L326:L369" ca="1" si="47">I326*$C$4</f>
        <v>0</v>
      </c>
      <c r="M326" s="20">
        <f t="shared" ref="M326:M369" ca="1" si="48">H326*$C$7</f>
        <v>10.684931506849315</v>
      </c>
    </row>
    <row r="327" spans="2:13" ht="13.4" customHeight="1" x14ac:dyDescent="0.25">
      <c r="B327" s="1"/>
      <c r="E327" s="27">
        <v>323</v>
      </c>
      <c r="F327" s="6">
        <f t="shared" ca="1" si="45"/>
        <v>100</v>
      </c>
      <c r="G327" s="6">
        <f t="shared" ref="G327:G369" ca="1" si="49">H326+I326*$C$9</f>
        <v>390</v>
      </c>
      <c r="H327" s="6">
        <f t="shared" ref="H327:H369" ca="1" si="50">MAX(G327-F327,0)</f>
        <v>290</v>
      </c>
      <c r="I327" s="6">
        <f t="shared" ref="I327:I369" ca="1" si="51">IF(H327&lt;$C$3,1,0)</f>
        <v>0</v>
      </c>
      <c r="J327" s="6">
        <f t="shared" ref="J327:J369" ca="1" si="52">-MIN(G327-F327,0)</f>
        <v>0</v>
      </c>
      <c r="K327" s="6">
        <f t="shared" ca="1" si="46"/>
        <v>0</v>
      </c>
      <c r="L327" s="6">
        <f t="shared" ca="1" si="47"/>
        <v>0</v>
      </c>
      <c r="M327" s="20">
        <f t="shared" ca="1" si="48"/>
        <v>7.9452054794520546</v>
      </c>
    </row>
    <row r="328" spans="2:13" ht="13.4" customHeight="1" x14ac:dyDescent="0.25">
      <c r="B328" s="1"/>
      <c r="E328" s="27">
        <v>324</v>
      </c>
      <c r="F328" s="6">
        <f t="shared" ca="1" si="45"/>
        <v>80</v>
      </c>
      <c r="G328" s="6">
        <f t="shared" ca="1" si="49"/>
        <v>290</v>
      </c>
      <c r="H328" s="6">
        <f t="shared" ca="1" si="50"/>
        <v>210</v>
      </c>
      <c r="I328" s="6">
        <f t="shared" ca="1" si="51"/>
        <v>0</v>
      </c>
      <c r="J328" s="6">
        <f t="shared" ca="1" si="52"/>
        <v>0</v>
      </c>
      <c r="K328" s="6">
        <f t="shared" ca="1" si="46"/>
        <v>0</v>
      </c>
      <c r="L328" s="6">
        <f t="shared" ca="1" si="47"/>
        <v>0</v>
      </c>
      <c r="M328" s="20">
        <f t="shared" ca="1" si="48"/>
        <v>5.7534246575342465</v>
      </c>
    </row>
    <row r="329" spans="2:13" ht="13.4" customHeight="1" x14ac:dyDescent="0.25">
      <c r="B329" s="1"/>
      <c r="E329" s="27">
        <v>325</v>
      </c>
      <c r="F329" s="6">
        <f t="shared" ca="1" si="45"/>
        <v>120</v>
      </c>
      <c r="G329" s="6">
        <f t="shared" ca="1" si="49"/>
        <v>210</v>
      </c>
      <c r="H329" s="6">
        <f t="shared" ca="1" si="50"/>
        <v>90</v>
      </c>
      <c r="I329" s="6">
        <f t="shared" ca="1" si="51"/>
        <v>1</v>
      </c>
      <c r="J329" s="6">
        <f t="shared" ca="1" si="52"/>
        <v>0</v>
      </c>
      <c r="K329" s="6">
        <f t="shared" ca="1" si="46"/>
        <v>0</v>
      </c>
      <c r="L329" s="6">
        <f t="shared" ca="1" si="47"/>
        <v>200</v>
      </c>
      <c r="M329" s="20">
        <f t="shared" ca="1" si="48"/>
        <v>2.4657534246575343</v>
      </c>
    </row>
    <row r="330" spans="2:13" ht="13.4" customHeight="1" x14ac:dyDescent="0.25">
      <c r="B330" s="1"/>
      <c r="E330" s="27">
        <v>326</v>
      </c>
      <c r="F330" s="6">
        <f t="shared" ca="1" si="45"/>
        <v>80</v>
      </c>
      <c r="G330" s="6">
        <f t="shared" ca="1" si="49"/>
        <v>1090</v>
      </c>
      <c r="H330" s="6">
        <f t="shared" ca="1" si="50"/>
        <v>1010</v>
      </c>
      <c r="I330" s="6">
        <f t="shared" ca="1" si="51"/>
        <v>0</v>
      </c>
      <c r="J330" s="6">
        <f t="shared" ca="1" si="52"/>
        <v>0</v>
      </c>
      <c r="K330" s="6">
        <f t="shared" ca="1" si="46"/>
        <v>0</v>
      </c>
      <c r="L330" s="6">
        <f t="shared" ca="1" si="47"/>
        <v>0</v>
      </c>
      <c r="M330" s="20">
        <f t="shared" ca="1" si="48"/>
        <v>27.671232876712327</v>
      </c>
    </row>
    <row r="331" spans="2:13" ht="13.4" customHeight="1" x14ac:dyDescent="0.25">
      <c r="B331" s="1"/>
      <c r="E331" s="27">
        <v>327</v>
      </c>
      <c r="F331" s="6">
        <f t="shared" ca="1" si="45"/>
        <v>100</v>
      </c>
      <c r="G331" s="6">
        <f t="shared" ca="1" si="49"/>
        <v>1010</v>
      </c>
      <c r="H331" s="6">
        <f t="shared" ca="1" si="50"/>
        <v>910</v>
      </c>
      <c r="I331" s="6">
        <f t="shared" ca="1" si="51"/>
        <v>0</v>
      </c>
      <c r="J331" s="6">
        <f t="shared" ca="1" si="52"/>
        <v>0</v>
      </c>
      <c r="K331" s="6">
        <f t="shared" ca="1" si="46"/>
        <v>0</v>
      </c>
      <c r="L331" s="6">
        <f t="shared" ca="1" si="47"/>
        <v>0</v>
      </c>
      <c r="M331" s="20">
        <f t="shared" ca="1" si="48"/>
        <v>24.931506849315067</v>
      </c>
    </row>
    <row r="332" spans="2:13" ht="13.4" customHeight="1" x14ac:dyDescent="0.25">
      <c r="B332" s="1"/>
      <c r="E332" s="27">
        <v>328</v>
      </c>
      <c r="F332" s="6">
        <f t="shared" ca="1" si="45"/>
        <v>90</v>
      </c>
      <c r="G332" s="6">
        <f t="shared" ca="1" si="49"/>
        <v>910</v>
      </c>
      <c r="H332" s="6">
        <f t="shared" ca="1" si="50"/>
        <v>820</v>
      </c>
      <c r="I332" s="6">
        <f t="shared" ca="1" si="51"/>
        <v>0</v>
      </c>
      <c r="J332" s="6">
        <f t="shared" ca="1" si="52"/>
        <v>0</v>
      </c>
      <c r="K332" s="6">
        <f t="shared" ca="1" si="46"/>
        <v>0</v>
      </c>
      <c r="L332" s="6">
        <f t="shared" ca="1" si="47"/>
        <v>0</v>
      </c>
      <c r="M332" s="20">
        <f t="shared" ca="1" si="48"/>
        <v>22.465753424657532</v>
      </c>
    </row>
    <row r="333" spans="2:13" ht="13.4" customHeight="1" x14ac:dyDescent="0.25">
      <c r="B333" s="1"/>
      <c r="E333" s="27">
        <v>329</v>
      </c>
      <c r="F333" s="6">
        <f t="shared" ca="1" si="45"/>
        <v>110</v>
      </c>
      <c r="G333" s="6">
        <f t="shared" ca="1" si="49"/>
        <v>820</v>
      </c>
      <c r="H333" s="6">
        <f t="shared" ca="1" si="50"/>
        <v>710</v>
      </c>
      <c r="I333" s="6">
        <f t="shared" ca="1" si="51"/>
        <v>0</v>
      </c>
      <c r="J333" s="6">
        <f t="shared" ca="1" si="52"/>
        <v>0</v>
      </c>
      <c r="K333" s="6">
        <f t="shared" ca="1" si="46"/>
        <v>0</v>
      </c>
      <c r="L333" s="6">
        <f t="shared" ca="1" si="47"/>
        <v>0</v>
      </c>
      <c r="M333" s="20">
        <f t="shared" ca="1" si="48"/>
        <v>19.452054794520546</v>
      </c>
    </row>
    <row r="334" spans="2:13" ht="13.4" customHeight="1" x14ac:dyDescent="0.25">
      <c r="B334" s="1"/>
      <c r="E334" s="27">
        <v>330</v>
      </c>
      <c r="F334" s="6">
        <f t="shared" ca="1" si="45"/>
        <v>90</v>
      </c>
      <c r="G334" s="6">
        <f t="shared" ca="1" si="49"/>
        <v>710</v>
      </c>
      <c r="H334" s="6">
        <f t="shared" ca="1" si="50"/>
        <v>620</v>
      </c>
      <c r="I334" s="6">
        <f t="shared" ca="1" si="51"/>
        <v>0</v>
      </c>
      <c r="J334" s="6">
        <f t="shared" ca="1" si="52"/>
        <v>0</v>
      </c>
      <c r="K334" s="6">
        <f t="shared" ca="1" si="46"/>
        <v>0</v>
      </c>
      <c r="L334" s="6">
        <f t="shared" ca="1" si="47"/>
        <v>0</v>
      </c>
      <c r="M334" s="20">
        <f t="shared" ca="1" si="48"/>
        <v>16.986301369863014</v>
      </c>
    </row>
    <row r="335" spans="2:13" ht="13.4" customHeight="1" x14ac:dyDescent="0.25">
      <c r="B335" s="1"/>
      <c r="E335" s="27">
        <v>331</v>
      </c>
      <c r="F335" s="6">
        <f t="shared" ca="1" si="45"/>
        <v>90</v>
      </c>
      <c r="G335" s="6">
        <f t="shared" ca="1" si="49"/>
        <v>620</v>
      </c>
      <c r="H335" s="6">
        <f t="shared" ca="1" si="50"/>
        <v>530</v>
      </c>
      <c r="I335" s="6">
        <f t="shared" ca="1" si="51"/>
        <v>0</v>
      </c>
      <c r="J335" s="6">
        <f t="shared" ca="1" si="52"/>
        <v>0</v>
      </c>
      <c r="K335" s="6">
        <f t="shared" ca="1" si="46"/>
        <v>0</v>
      </c>
      <c r="L335" s="6">
        <f t="shared" ca="1" si="47"/>
        <v>0</v>
      </c>
      <c r="M335" s="20">
        <f t="shared" ca="1" si="48"/>
        <v>14.520547945205479</v>
      </c>
    </row>
    <row r="336" spans="2:13" ht="13.4" customHeight="1" x14ac:dyDescent="0.25">
      <c r="B336" s="1"/>
      <c r="E336" s="27">
        <v>332</v>
      </c>
      <c r="F336" s="6">
        <f t="shared" ca="1" si="45"/>
        <v>110</v>
      </c>
      <c r="G336" s="6">
        <f t="shared" ca="1" si="49"/>
        <v>530</v>
      </c>
      <c r="H336" s="6">
        <f t="shared" ca="1" si="50"/>
        <v>420</v>
      </c>
      <c r="I336" s="6">
        <f t="shared" ca="1" si="51"/>
        <v>0</v>
      </c>
      <c r="J336" s="6">
        <f t="shared" ca="1" si="52"/>
        <v>0</v>
      </c>
      <c r="K336" s="6">
        <f t="shared" ca="1" si="46"/>
        <v>0</v>
      </c>
      <c r="L336" s="6">
        <f t="shared" ca="1" si="47"/>
        <v>0</v>
      </c>
      <c r="M336" s="20">
        <f t="shared" ca="1" si="48"/>
        <v>11.506849315068493</v>
      </c>
    </row>
    <row r="337" spans="2:13" ht="13.4" customHeight="1" x14ac:dyDescent="0.25">
      <c r="B337" s="1"/>
      <c r="E337" s="27">
        <v>333</v>
      </c>
      <c r="F337" s="6">
        <f t="shared" ca="1" si="45"/>
        <v>100</v>
      </c>
      <c r="G337" s="6">
        <f t="shared" ca="1" si="49"/>
        <v>420</v>
      </c>
      <c r="H337" s="6">
        <f t="shared" ca="1" si="50"/>
        <v>320</v>
      </c>
      <c r="I337" s="6">
        <f t="shared" ca="1" si="51"/>
        <v>0</v>
      </c>
      <c r="J337" s="6">
        <f t="shared" ca="1" si="52"/>
        <v>0</v>
      </c>
      <c r="K337" s="6">
        <f t="shared" ca="1" si="46"/>
        <v>0</v>
      </c>
      <c r="L337" s="6">
        <f t="shared" ca="1" si="47"/>
        <v>0</v>
      </c>
      <c r="M337" s="20">
        <f t="shared" ca="1" si="48"/>
        <v>8.7671232876712324</v>
      </c>
    </row>
    <row r="338" spans="2:13" ht="13.4" customHeight="1" x14ac:dyDescent="0.25">
      <c r="B338" s="1"/>
      <c r="E338" s="27">
        <v>334</v>
      </c>
      <c r="F338" s="6">
        <f t="shared" ca="1" si="45"/>
        <v>100</v>
      </c>
      <c r="G338" s="6">
        <f t="shared" ca="1" si="49"/>
        <v>320</v>
      </c>
      <c r="H338" s="6">
        <f t="shared" ca="1" si="50"/>
        <v>220</v>
      </c>
      <c r="I338" s="6">
        <f t="shared" ca="1" si="51"/>
        <v>0</v>
      </c>
      <c r="J338" s="6">
        <f t="shared" ca="1" si="52"/>
        <v>0</v>
      </c>
      <c r="K338" s="6">
        <f t="shared" ca="1" si="46"/>
        <v>0</v>
      </c>
      <c r="L338" s="6">
        <f t="shared" ca="1" si="47"/>
        <v>0</v>
      </c>
      <c r="M338" s="20">
        <f t="shared" ca="1" si="48"/>
        <v>6.0273972602739718</v>
      </c>
    </row>
    <row r="339" spans="2:13" ht="13.4" customHeight="1" x14ac:dyDescent="0.25">
      <c r="B339" s="1"/>
      <c r="E339" s="27">
        <v>335</v>
      </c>
      <c r="F339" s="6">
        <f t="shared" ca="1" si="45"/>
        <v>90</v>
      </c>
      <c r="G339" s="6">
        <f t="shared" ca="1" si="49"/>
        <v>220</v>
      </c>
      <c r="H339" s="6">
        <f t="shared" ca="1" si="50"/>
        <v>130</v>
      </c>
      <c r="I339" s="6">
        <f t="shared" ca="1" si="51"/>
        <v>0</v>
      </c>
      <c r="J339" s="6">
        <f t="shared" ca="1" si="52"/>
        <v>0</v>
      </c>
      <c r="K339" s="6">
        <f t="shared" ca="1" si="46"/>
        <v>0</v>
      </c>
      <c r="L339" s="6">
        <f t="shared" ca="1" si="47"/>
        <v>0</v>
      </c>
      <c r="M339" s="20">
        <f t="shared" ca="1" si="48"/>
        <v>3.5616438356164384</v>
      </c>
    </row>
    <row r="340" spans="2:13" ht="13.4" customHeight="1" x14ac:dyDescent="0.25">
      <c r="B340" s="1"/>
      <c r="E340" s="27">
        <v>336</v>
      </c>
      <c r="F340" s="6">
        <f t="shared" ca="1" si="45"/>
        <v>80</v>
      </c>
      <c r="G340" s="6">
        <f t="shared" ca="1" si="49"/>
        <v>130</v>
      </c>
      <c r="H340" s="6">
        <f t="shared" ca="1" si="50"/>
        <v>50</v>
      </c>
      <c r="I340" s="6">
        <f t="shared" ca="1" si="51"/>
        <v>1</v>
      </c>
      <c r="J340" s="6">
        <f t="shared" ca="1" si="52"/>
        <v>0</v>
      </c>
      <c r="K340" s="6">
        <f t="shared" ca="1" si="46"/>
        <v>0</v>
      </c>
      <c r="L340" s="6">
        <f t="shared" ca="1" si="47"/>
        <v>200</v>
      </c>
      <c r="M340" s="20">
        <f t="shared" ca="1" si="48"/>
        <v>1.3698630136986301</v>
      </c>
    </row>
    <row r="341" spans="2:13" ht="13.4" customHeight="1" x14ac:dyDescent="0.25">
      <c r="B341" s="1"/>
      <c r="E341" s="27">
        <v>337</v>
      </c>
      <c r="F341" s="6">
        <f t="shared" ca="1" si="45"/>
        <v>110</v>
      </c>
      <c r="G341" s="6">
        <f t="shared" ca="1" si="49"/>
        <v>1050</v>
      </c>
      <c r="H341" s="6">
        <f t="shared" ca="1" si="50"/>
        <v>940</v>
      </c>
      <c r="I341" s="6">
        <f t="shared" ca="1" si="51"/>
        <v>0</v>
      </c>
      <c r="J341" s="6">
        <f t="shared" ca="1" si="52"/>
        <v>0</v>
      </c>
      <c r="K341" s="6">
        <f t="shared" ca="1" si="46"/>
        <v>0</v>
      </c>
      <c r="L341" s="6">
        <f t="shared" ca="1" si="47"/>
        <v>0</v>
      </c>
      <c r="M341" s="20">
        <f t="shared" ca="1" si="48"/>
        <v>25.753424657534246</v>
      </c>
    </row>
    <row r="342" spans="2:13" ht="13.4" customHeight="1" x14ac:dyDescent="0.25">
      <c r="B342" s="1"/>
      <c r="E342" s="27">
        <v>338</v>
      </c>
      <c r="F342" s="6">
        <f t="shared" ca="1" si="45"/>
        <v>120</v>
      </c>
      <c r="G342" s="6">
        <f t="shared" ca="1" si="49"/>
        <v>940</v>
      </c>
      <c r="H342" s="6">
        <f t="shared" ca="1" si="50"/>
        <v>820</v>
      </c>
      <c r="I342" s="6">
        <f t="shared" ca="1" si="51"/>
        <v>0</v>
      </c>
      <c r="J342" s="6">
        <f t="shared" ca="1" si="52"/>
        <v>0</v>
      </c>
      <c r="K342" s="6">
        <f t="shared" ca="1" si="46"/>
        <v>0</v>
      </c>
      <c r="L342" s="6">
        <f t="shared" ca="1" si="47"/>
        <v>0</v>
      </c>
      <c r="M342" s="20">
        <f t="shared" ca="1" si="48"/>
        <v>22.465753424657532</v>
      </c>
    </row>
    <row r="343" spans="2:13" ht="13.4" customHeight="1" x14ac:dyDescent="0.25">
      <c r="B343" s="1"/>
      <c r="E343" s="27">
        <v>339</v>
      </c>
      <c r="F343" s="6">
        <f t="shared" ca="1" si="45"/>
        <v>120</v>
      </c>
      <c r="G343" s="6">
        <f t="shared" ca="1" si="49"/>
        <v>820</v>
      </c>
      <c r="H343" s="6">
        <f t="shared" ca="1" si="50"/>
        <v>700</v>
      </c>
      <c r="I343" s="6">
        <f t="shared" ca="1" si="51"/>
        <v>0</v>
      </c>
      <c r="J343" s="6">
        <f t="shared" ca="1" si="52"/>
        <v>0</v>
      </c>
      <c r="K343" s="6">
        <f t="shared" ca="1" si="46"/>
        <v>0</v>
      </c>
      <c r="L343" s="6">
        <f t="shared" ca="1" si="47"/>
        <v>0</v>
      </c>
      <c r="M343" s="20">
        <f t="shared" ca="1" si="48"/>
        <v>19.17808219178082</v>
      </c>
    </row>
    <row r="344" spans="2:13" ht="13.4" customHeight="1" x14ac:dyDescent="0.25">
      <c r="B344" s="1"/>
      <c r="E344" s="27">
        <v>340</v>
      </c>
      <c r="F344" s="6">
        <f t="shared" ca="1" si="45"/>
        <v>110</v>
      </c>
      <c r="G344" s="6">
        <f t="shared" ca="1" si="49"/>
        <v>700</v>
      </c>
      <c r="H344" s="6">
        <f t="shared" ca="1" si="50"/>
        <v>590</v>
      </c>
      <c r="I344" s="6">
        <f t="shared" ca="1" si="51"/>
        <v>0</v>
      </c>
      <c r="J344" s="6">
        <f t="shared" ca="1" si="52"/>
        <v>0</v>
      </c>
      <c r="K344" s="6">
        <f t="shared" ca="1" si="46"/>
        <v>0</v>
      </c>
      <c r="L344" s="6">
        <f t="shared" ca="1" si="47"/>
        <v>0</v>
      </c>
      <c r="M344" s="20">
        <f t="shared" ca="1" si="48"/>
        <v>16.164383561643834</v>
      </c>
    </row>
    <row r="345" spans="2:13" ht="13.4" customHeight="1" x14ac:dyDescent="0.25">
      <c r="B345" s="1"/>
      <c r="E345" s="27">
        <v>341</v>
      </c>
      <c r="F345" s="6">
        <f t="shared" ca="1" si="45"/>
        <v>110</v>
      </c>
      <c r="G345" s="6">
        <f t="shared" ca="1" si="49"/>
        <v>590</v>
      </c>
      <c r="H345" s="6">
        <f t="shared" ca="1" si="50"/>
        <v>480</v>
      </c>
      <c r="I345" s="6">
        <f t="shared" ca="1" si="51"/>
        <v>0</v>
      </c>
      <c r="J345" s="6">
        <f t="shared" ca="1" si="52"/>
        <v>0</v>
      </c>
      <c r="K345" s="6">
        <f t="shared" ca="1" si="46"/>
        <v>0</v>
      </c>
      <c r="L345" s="6">
        <f t="shared" ca="1" si="47"/>
        <v>0</v>
      </c>
      <c r="M345" s="20">
        <f t="shared" ca="1" si="48"/>
        <v>13.150684931506849</v>
      </c>
    </row>
    <row r="346" spans="2:13" ht="13.4" customHeight="1" x14ac:dyDescent="0.25">
      <c r="B346" s="1"/>
      <c r="E346" s="27">
        <v>342</v>
      </c>
      <c r="F346" s="6">
        <f t="shared" ca="1" si="45"/>
        <v>110</v>
      </c>
      <c r="G346" s="6">
        <f t="shared" ca="1" si="49"/>
        <v>480</v>
      </c>
      <c r="H346" s="6">
        <f t="shared" ca="1" si="50"/>
        <v>370</v>
      </c>
      <c r="I346" s="6">
        <f t="shared" ca="1" si="51"/>
        <v>0</v>
      </c>
      <c r="J346" s="6">
        <f t="shared" ca="1" si="52"/>
        <v>0</v>
      </c>
      <c r="K346" s="6">
        <f t="shared" ca="1" si="46"/>
        <v>0</v>
      </c>
      <c r="L346" s="6">
        <f t="shared" ca="1" si="47"/>
        <v>0</v>
      </c>
      <c r="M346" s="20">
        <f t="shared" ca="1" si="48"/>
        <v>10.136986301369863</v>
      </c>
    </row>
    <row r="347" spans="2:13" ht="13.4" customHeight="1" x14ac:dyDescent="0.25">
      <c r="B347" s="1"/>
      <c r="E347" s="27">
        <v>343</v>
      </c>
      <c r="F347" s="6">
        <f t="shared" ca="1" si="45"/>
        <v>110</v>
      </c>
      <c r="G347" s="6">
        <f t="shared" ca="1" si="49"/>
        <v>370</v>
      </c>
      <c r="H347" s="6">
        <f t="shared" ca="1" si="50"/>
        <v>260</v>
      </c>
      <c r="I347" s="6">
        <f t="shared" ca="1" si="51"/>
        <v>0</v>
      </c>
      <c r="J347" s="6">
        <f t="shared" ca="1" si="52"/>
        <v>0</v>
      </c>
      <c r="K347" s="6">
        <f t="shared" ca="1" si="46"/>
        <v>0</v>
      </c>
      <c r="L347" s="6">
        <f t="shared" ca="1" si="47"/>
        <v>0</v>
      </c>
      <c r="M347" s="20">
        <f t="shared" ca="1" si="48"/>
        <v>7.1232876712328768</v>
      </c>
    </row>
    <row r="348" spans="2:13" ht="13.4" customHeight="1" x14ac:dyDescent="0.25">
      <c r="B348" s="1"/>
      <c r="E348" s="27">
        <v>344</v>
      </c>
      <c r="F348" s="6">
        <f t="shared" ca="1" si="45"/>
        <v>80</v>
      </c>
      <c r="G348" s="6">
        <f t="shared" ca="1" si="49"/>
        <v>260</v>
      </c>
      <c r="H348" s="6">
        <f t="shared" ca="1" si="50"/>
        <v>180</v>
      </c>
      <c r="I348" s="6">
        <f t="shared" ca="1" si="51"/>
        <v>0</v>
      </c>
      <c r="J348" s="6">
        <f t="shared" ca="1" si="52"/>
        <v>0</v>
      </c>
      <c r="K348" s="6">
        <f t="shared" ca="1" si="46"/>
        <v>0</v>
      </c>
      <c r="L348" s="6">
        <f t="shared" ca="1" si="47"/>
        <v>0</v>
      </c>
      <c r="M348" s="20">
        <f t="shared" ca="1" si="48"/>
        <v>4.9315068493150687</v>
      </c>
    </row>
    <row r="349" spans="2:13" ht="13.4" customHeight="1" x14ac:dyDescent="0.25">
      <c r="B349" s="1"/>
      <c r="E349" s="27">
        <v>345</v>
      </c>
      <c r="F349" s="6">
        <f t="shared" ca="1" si="45"/>
        <v>100</v>
      </c>
      <c r="G349" s="6">
        <f t="shared" ca="1" si="49"/>
        <v>180</v>
      </c>
      <c r="H349" s="6">
        <f t="shared" ca="1" si="50"/>
        <v>80</v>
      </c>
      <c r="I349" s="6">
        <f t="shared" ca="1" si="51"/>
        <v>1</v>
      </c>
      <c r="J349" s="6">
        <f t="shared" ca="1" si="52"/>
        <v>0</v>
      </c>
      <c r="K349" s="6">
        <f t="shared" ca="1" si="46"/>
        <v>0</v>
      </c>
      <c r="L349" s="6">
        <f t="shared" ca="1" si="47"/>
        <v>200</v>
      </c>
      <c r="M349" s="20">
        <f t="shared" ca="1" si="48"/>
        <v>2.1917808219178081</v>
      </c>
    </row>
    <row r="350" spans="2:13" ht="13.4" customHeight="1" x14ac:dyDescent="0.25">
      <c r="B350" s="1"/>
      <c r="E350" s="27">
        <v>346</v>
      </c>
      <c r="F350" s="6">
        <f t="shared" ca="1" si="45"/>
        <v>110</v>
      </c>
      <c r="G350" s="6">
        <f t="shared" ca="1" si="49"/>
        <v>1080</v>
      </c>
      <c r="H350" s="6">
        <f t="shared" ca="1" si="50"/>
        <v>970</v>
      </c>
      <c r="I350" s="6">
        <f t="shared" ca="1" si="51"/>
        <v>0</v>
      </c>
      <c r="J350" s="6">
        <f t="shared" ca="1" si="52"/>
        <v>0</v>
      </c>
      <c r="K350" s="6">
        <f t="shared" ca="1" si="46"/>
        <v>0</v>
      </c>
      <c r="L350" s="6">
        <f t="shared" ca="1" si="47"/>
        <v>0</v>
      </c>
      <c r="M350" s="20">
        <f t="shared" ca="1" si="48"/>
        <v>26.575342465753423</v>
      </c>
    </row>
    <row r="351" spans="2:13" ht="13.4" customHeight="1" x14ac:dyDescent="0.25">
      <c r="B351" s="1"/>
      <c r="E351" s="27">
        <v>347</v>
      </c>
      <c r="F351" s="6">
        <f t="shared" ca="1" si="45"/>
        <v>110</v>
      </c>
      <c r="G351" s="6">
        <f t="shared" ca="1" si="49"/>
        <v>970</v>
      </c>
      <c r="H351" s="6">
        <f t="shared" ca="1" si="50"/>
        <v>860</v>
      </c>
      <c r="I351" s="6">
        <f t="shared" ca="1" si="51"/>
        <v>0</v>
      </c>
      <c r="J351" s="6">
        <f t="shared" ca="1" si="52"/>
        <v>0</v>
      </c>
      <c r="K351" s="6">
        <f t="shared" ca="1" si="46"/>
        <v>0</v>
      </c>
      <c r="L351" s="6">
        <f t="shared" ca="1" si="47"/>
        <v>0</v>
      </c>
      <c r="M351" s="20">
        <f t="shared" ca="1" si="48"/>
        <v>23.561643835616437</v>
      </c>
    </row>
    <row r="352" spans="2:13" ht="13.4" customHeight="1" x14ac:dyDescent="0.25">
      <c r="B352" s="1"/>
      <c r="E352" s="27">
        <v>348</v>
      </c>
      <c r="F352" s="6">
        <f t="shared" ca="1" si="45"/>
        <v>110</v>
      </c>
      <c r="G352" s="6">
        <f t="shared" ca="1" si="49"/>
        <v>860</v>
      </c>
      <c r="H352" s="6">
        <f t="shared" ca="1" si="50"/>
        <v>750</v>
      </c>
      <c r="I352" s="6">
        <f t="shared" ca="1" si="51"/>
        <v>0</v>
      </c>
      <c r="J352" s="6">
        <f t="shared" ca="1" si="52"/>
        <v>0</v>
      </c>
      <c r="K352" s="6">
        <f t="shared" ca="1" si="46"/>
        <v>0</v>
      </c>
      <c r="L352" s="6">
        <f t="shared" ca="1" si="47"/>
        <v>0</v>
      </c>
      <c r="M352" s="20">
        <f t="shared" ca="1" si="48"/>
        <v>20.547945205479451</v>
      </c>
    </row>
    <row r="353" spans="2:13" ht="13.4" customHeight="1" x14ac:dyDescent="0.25">
      <c r="B353" s="1"/>
      <c r="E353" s="27">
        <v>349</v>
      </c>
      <c r="F353" s="6">
        <f t="shared" ca="1" si="45"/>
        <v>110</v>
      </c>
      <c r="G353" s="6">
        <f t="shared" ca="1" si="49"/>
        <v>750</v>
      </c>
      <c r="H353" s="6">
        <f t="shared" ca="1" si="50"/>
        <v>640</v>
      </c>
      <c r="I353" s="6">
        <f t="shared" ca="1" si="51"/>
        <v>0</v>
      </c>
      <c r="J353" s="6">
        <f t="shared" ca="1" si="52"/>
        <v>0</v>
      </c>
      <c r="K353" s="6">
        <f t="shared" ca="1" si="46"/>
        <v>0</v>
      </c>
      <c r="L353" s="6">
        <f t="shared" ca="1" si="47"/>
        <v>0</v>
      </c>
      <c r="M353" s="20">
        <f t="shared" ca="1" si="48"/>
        <v>17.534246575342465</v>
      </c>
    </row>
    <row r="354" spans="2:13" ht="13.4" customHeight="1" x14ac:dyDescent="0.25">
      <c r="B354" s="1"/>
      <c r="E354" s="27">
        <v>350</v>
      </c>
      <c r="F354" s="6">
        <f t="shared" ca="1" si="45"/>
        <v>120</v>
      </c>
      <c r="G354" s="6">
        <f t="shared" ca="1" si="49"/>
        <v>640</v>
      </c>
      <c r="H354" s="6">
        <f t="shared" ca="1" si="50"/>
        <v>520</v>
      </c>
      <c r="I354" s="6">
        <f t="shared" ca="1" si="51"/>
        <v>0</v>
      </c>
      <c r="J354" s="6">
        <f t="shared" ca="1" si="52"/>
        <v>0</v>
      </c>
      <c r="K354" s="6">
        <f t="shared" ca="1" si="46"/>
        <v>0</v>
      </c>
      <c r="L354" s="6">
        <f t="shared" ca="1" si="47"/>
        <v>0</v>
      </c>
      <c r="M354" s="20">
        <f t="shared" ca="1" si="48"/>
        <v>14.246575342465754</v>
      </c>
    </row>
    <row r="355" spans="2:13" ht="13.4" customHeight="1" x14ac:dyDescent="0.25">
      <c r="B355" s="1"/>
      <c r="E355" s="27">
        <v>351</v>
      </c>
      <c r="F355" s="6">
        <f t="shared" ca="1" si="45"/>
        <v>90</v>
      </c>
      <c r="G355" s="6">
        <f t="shared" ca="1" si="49"/>
        <v>520</v>
      </c>
      <c r="H355" s="6">
        <f t="shared" ca="1" si="50"/>
        <v>430</v>
      </c>
      <c r="I355" s="6">
        <f t="shared" ca="1" si="51"/>
        <v>0</v>
      </c>
      <c r="J355" s="6">
        <f t="shared" ca="1" si="52"/>
        <v>0</v>
      </c>
      <c r="K355" s="6">
        <f t="shared" ca="1" si="46"/>
        <v>0</v>
      </c>
      <c r="L355" s="6">
        <f t="shared" ca="1" si="47"/>
        <v>0</v>
      </c>
      <c r="M355" s="20">
        <f t="shared" ca="1" si="48"/>
        <v>11.780821917808218</v>
      </c>
    </row>
    <row r="356" spans="2:13" ht="13.4" customHeight="1" x14ac:dyDescent="0.25">
      <c r="B356" s="1"/>
      <c r="E356" s="27">
        <v>352</v>
      </c>
      <c r="F356" s="6">
        <f t="shared" ca="1" si="45"/>
        <v>120</v>
      </c>
      <c r="G356" s="6">
        <f t="shared" ca="1" si="49"/>
        <v>430</v>
      </c>
      <c r="H356" s="6">
        <f t="shared" ca="1" si="50"/>
        <v>310</v>
      </c>
      <c r="I356" s="6">
        <f t="shared" ca="1" si="51"/>
        <v>0</v>
      </c>
      <c r="J356" s="6">
        <f t="shared" ca="1" si="52"/>
        <v>0</v>
      </c>
      <c r="K356" s="6">
        <f t="shared" ca="1" si="46"/>
        <v>0</v>
      </c>
      <c r="L356" s="6">
        <f t="shared" ca="1" si="47"/>
        <v>0</v>
      </c>
      <c r="M356" s="20">
        <f t="shared" ca="1" si="48"/>
        <v>8.493150684931507</v>
      </c>
    </row>
    <row r="357" spans="2:13" ht="13.4" customHeight="1" x14ac:dyDescent="0.25">
      <c r="B357" s="1"/>
      <c r="E357" s="27">
        <v>353</v>
      </c>
      <c r="F357" s="6">
        <f t="shared" ca="1" si="45"/>
        <v>110</v>
      </c>
      <c r="G357" s="6">
        <f t="shared" ca="1" si="49"/>
        <v>310</v>
      </c>
      <c r="H357" s="6">
        <f t="shared" ca="1" si="50"/>
        <v>200</v>
      </c>
      <c r="I357" s="6">
        <f t="shared" ca="1" si="51"/>
        <v>0</v>
      </c>
      <c r="J357" s="6">
        <f t="shared" ca="1" si="52"/>
        <v>0</v>
      </c>
      <c r="K357" s="6">
        <f t="shared" ca="1" si="46"/>
        <v>0</v>
      </c>
      <c r="L357" s="6">
        <f t="shared" ca="1" si="47"/>
        <v>0</v>
      </c>
      <c r="M357" s="20">
        <f t="shared" ca="1" si="48"/>
        <v>5.4794520547945202</v>
      </c>
    </row>
    <row r="358" spans="2:13" ht="13.4" customHeight="1" x14ac:dyDescent="0.25">
      <c r="B358" s="1"/>
      <c r="E358" s="27">
        <v>354</v>
      </c>
      <c r="F358" s="6">
        <f t="shared" ca="1" si="45"/>
        <v>110</v>
      </c>
      <c r="G358" s="6">
        <f t="shared" ca="1" si="49"/>
        <v>200</v>
      </c>
      <c r="H358" s="6">
        <f t="shared" ca="1" si="50"/>
        <v>90</v>
      </c>
      <c r="I358" s="6">
        <f t="shared" ca="1" si="51"/>
        <v>1</v>
      </c>
      <c r="J358" s="6">
        <f t="shared" ca="1" si="52"/>
        <v>0</v>
      </c>
      <c r="K358" s="6">
        <f t="shared" ca="1" si="46"/>
        <v>0</v>
      </c>
      <c r="L358" s="6">
        <f t="shared" ca="1" si="47"/>
        <v>200</v>
      </c>
      <c r="M358" s="20">
        <f t="shared" ca="1" si="48"/>
        <v>2.4657534246575343</v>
      </c>
    </row>
    <row r="359" spans="2:13" ht="13.4" customHeight="1" x14ac:dyDescent="0.25">
      <c r="B359" s="1"/>
      <c r="E359" s="27">
        <v>355</v>
      </c>
      <c r="F359" s="6">
        <f t="shared" ca="1" si="45"/>
        <v>90</v>
      </c>
      <c r="G359" s="6">
        <f t="shared" ca="1" si="49"/>
        <v>1090</v>
      </c>
      <c r="H359" s="6">
        <f t="shared" ca="1" si="50"/>
        <v>1000</v>
      </c>
      <c r="I359" s="6">
        <f t="shared" ca="1" si="51"/>
        <v>0</v>
      </c>
      <c r="J359" s="6">
        <f t="shared" ca="1" si="52"/>
        <v>0</v>
      </c>
      <c r="K359" s="6">
        <f t="shared" ca="1" si="46"/>
        <v>0</v>
      </c>
      <c r="L359" s="6">
        <f t="shared" ca="1" si="47"/>
        <v>0</v>
      </c>
      <c r="M359" s="20">
        <f t="shared" ca="1" si="48"/>
        <v>27.397260273972602</v>
      </c>
    </row>
    <row r="360" spans="2:13" ht="13.4" customHeight="1" x14ac:dyDescent="0.25">
      <c r="B360" s="1"/>
      <c r="E360" s="27">
        <v>356</v>
      </c>
      <c r="F360" s="6">
        <f t="shared" ca="1" si="45"/>
        <v>90</v>
      </c>
      <c r="G360" s="6">
        <f t="shared" ca="1" si="49"/>
        <v>1000</v>
      </c>
      <c r="H360" s="6">
        <f t="shared" ca="1" si="50"/>
        <v>910</v>
      </c>
      <c r="I360" s="6">
        <f t="shared" ca="1" si="51"/>
        <v>0</v>
      </c>
      <c r="J360" s="6">
        <f t="shared" ca="1" si="52"/>
        <v>0</v>
      </c>
      <c r="K360" s="6">
        <f t="shared" ca="1" si="46"/>
        <v>0</v>
      </c>
      <c r="L360" s="6">
        <f t="shared" ca="1" si="47"/>
        <v>0</v>
      </c>
      <c r="M360" s="20">
        <f t="shared" ca="1" si="48"/>
        <v>24.931506849315067</v>
      </c>
    </row>
    <row r="361" spans="2:13" ht="13.4" customHeight="1" x14ac:dyDescent="0.25">
      <c r="B361" s="1"/>
      <c r="E361" s="27">
        <v>357</v>
      </c>
      <c r="F361" s="6">
        <f t="shared" ca="1" si="45"/>
        <v>90</v>
      </c>
      <c r="G361" s="6">
        <f t="shared" ca="1" si="49"/>
        <v>910</v>
      </c>
      <c r="H361" s="6">
        <f t="shared" ca="1" si="50"/>
        <v>820</v>
      </c>
      <c r="I361" s="6">
        <f t="shared" ca="1" si="51"/>
        <v>0</v>
      </c>
      <c r="J361" s="6">
        <f t="shared" ca="1" si="52"/>
        <v>0</v>
      </c>
      <c r="K361" s="6">
        <f t="shared" ca="1" si="46"/>
        <v>0</v>
      </c>
      <c r="L361" s="6">
        <f t="shared" ca="1" si="47"/>
        <v>0</v>
      </c>
      <c r="M361" s="20">
        <f t="shared" ca="1" si="48"/>
        <v>22.465753424657532</v>
      </c>
    </row>
    <row r="362" spans="2:13" ht="13.4" customHeight="1" x14ac:dyDescent="0.25">
      <c r="B362" s="1"/>
      <c r="E362" s="27">
        <v>358</v>
      </c>
      <c r="F362" s="6">
        <f t="shared" ca="1" si="45"/>
        <v>90</v>
      </c>
      <c r="G362" s="6">
        <f t="shared" ca="1" si="49"/>
        <v>820</v>
      </c>
      <c r="H362" s="6">
        <f t="shared" ca="1" si="50"/>
        <v>730</v>
      </c>
      <c r="I362" s="6">
        <f t="shared" ca="1" si="51"/>
        <v>0</v>
      </c>
      <c r="J362" s="6">
        <f t="shared" ca="1" si="52"/>
        <v>0</v>
      </c>
      <c r="K362" s="6">
        <f t="shared" ca="1" si="46"/>
        <v>0</v>
      </c>
      <c r="L362" s="6">
        <f t="shared" ca="1" si="47"/>
        <v>0</v>
      </c>
      <c r="M362" s="20">
        <f t="shared" ca="1" si="48"/>
        <v>20</v>
      </c>
    </row>
    <row r="363" spans="2:13" ht="13.4" customHeight="1" x14ac:dyDescent="0.25">
      <c r="B363" s="1"/>
      <c r="E363" s="27">
        <v>359</v>
      </c>
      <c r="F363" s="6">
        <f t="shared" ca="1" si="45"/>
        <v>100</v>
      </c>
      <c r="G363" s="6">
        <f t="shared" ca="1" si="49"/>
        <v>730</v>
      </c>
      <c r="H363" s="6">
        <f t="shared" ca="1" si="50"/>
        <v>630</v>
      </c>
      <c r="I363" s="6">
        <f t="shared" ca="1" si="51"/>
        <v>0</v>
      </c>
      <c r="J363" s="6">
        <f t="shared" ca="1" si="52"/>
        <v>0</v>
      </c>
      <c r="K363" s="6">
        <f t="shared" ca="1" si="46"/>
        <v>0</v>
      </c>
      <c r="L363" s="6">
        <f t="shared" ca="1" si="47"/>
        <v>0</v>
      </c>
      <c r="M363" s="20">
        <f t="shared" ca="1" si="48"/>
        <v>17.260273972602739</v>
      </c>
    </row>
    <row r="364" spans="2:13" ht="13.4" customHeight="1" x14ac:dyDescent="0.25">
      <c r="B364" s="1"/>
      <c r="E364" s="27">
        <v>360</v>
      </c>
      <c r="F364" s="6">
        <f t="shared" ca="1" si="45"/>
        <v>90</v>
      </c>
      <c r="G364" s="6">
        <f t="shared" ca="1" si="49"/>
        <v>630</v>
      </c>
      <c r="H364" s="6">
        <f t="shared" ca="1" si="50"/>
        <v>540</v>
      </c>
      <c r="I364" s="6">
        <f t="shared" ca="1" si="51"/>
        <v>0</v>
      </c>
      <c r="J364" s="6">
        <f t="shared" ca="1" si="52"/>
        <v>0</v>
      </c>
      <c r="K364" s="6">
        <f t="shared" ca="1" si="46"/>
        <v>0</v>
      </c>
      <c r="L364" s="6">
        <f t="shared" ca="1" si="47"/>
        <v>0</v>
      </c>
      <c r="M364" s="20">
        <f t="shared" ca="1" si="48"/>
        <v>14.794520547945204</v>
      </c>
    </row>
    <row r="365" spans="2:13" ht="13.4" customHeight="1" x14ac:dyDescent="0.25">
      <c r="B365" s="1"/>
      <c r="E365" s="27">
        <v>361</v>
      </c>
      <c r="F365" s="6">
        <f t="shared" ca="1" si="45"/>
        <v>110</v>
      </c>
      <c r="G365" s="6">
        <f t="shared" ca="1" si="49"/>
        <v>540</v>
      </c>
      <c r="H365" s="6">
        <f t="shared" ca="1" si="50"/>
        <v>430</v>
      </c>
      <c r="I365" s="6">
        <f t="shared" ca="1" si="51"/>
        <v>0</v>
      </c>
      <c r="J365" s="6">
        <f t="shared" ca="1" si="52"/>
        <v>0</v>
      </c>
      <c r="K365" s="6">
        <f t="shared" ca="1" si="46"/>
        <v>0</v>
      </c>
      <c r="L365" s="6">
        <f t="shared" ca="1" si="47"/>
        <v>0</v>
      </c>
      <c r="M365" s="20">
        <f t="shared" ca="1" si="48"/>
        <v>11.780821917808218</v>
      </c>
    </row>
    <row r="366" spans="2:13" ht="13.4" customHeight="1" x14ac:dyDescent="0.25">
      <c r="B366" s="1"/>
      <c r="E366" s="27">
        <v>362</v>
      </c>
      <c r="F366" s="6">
        <f t="shared" ca="1" si="45"/>
        <v>90</v>
      </c>
      <c r="G366" s="6">
        <f t="shared" ca="1" si="49"/>
        <v>430</v>
      </c>
      <c r="H366" s="6">
        <f t="shared" ca="1" si="50"/>
        <v>340</v>
      </c>
      <c r="I366" s="6">
        <f t="shared" ca="1" si="51"/>
        <v>0</v>
      </c>
      <c r="J366" s="6">
        <f t="shared" ca="1" si="52"/>
        <v>0</v>
      </c>
      <c r="K366" s="6">
        <f t="shared" ca="1" si="46"/>
        <v>0</v>
      </c>
      <c r="L366" s="6">
        <f t="shared" ca="1" si="47"/>
        <v>0</v>
      </c>
      <c r="M366" s="20">
        <f t="shared" ca="1" si="48"/>
        <v>9.3150684931506849</v>
      </c>
    </row>
    <row r="367" spans="2:13" ht="13.4" customHeight="1" x14ac:dyDescent="0.25">
      <c r="B367" s="1"/>
      <c r="E367" s="27">
        <v>363</v>
      </c>
      <c r="F367" s="6">
        <f t="shared" ca="1" si="45"/>
        <v>100</v>
      </c>
      <c r="G367" s="6">
        <f t="shared" ca="1" si="49"/>
        <v>340</v>
      </c>
      <c r="H367" s="6">
        <f t="shared" ca="1" si="50"/>
        <v>240</v>
      </c>
      <c r="I367" s="6">
        <f t="shared" ca="1" si="51"/>
        <v>0</v>
      </c>
      <c r="J367" s="6">
        <f t="shared" ca="1" si="52"/>
        <v>0</v>
      </c>
      <c r="K367" s="6">
        <f t="shared" ca="1" si="46"/>
        <v>0</v>
      </c>
      <c r="L367" s="6">
        <f t="shared" ca="1" si="47"/>
        <v>0</v>
      </c>
      <c r="M367" s="20">
        <f t="shared" ca="1" si="48"/>
        <v>6.5753424657534243</v>
      </c>
    </row>
    <row r="368" spans="2:13" ht="13.4" customHeight="1" x14ac:dyDescent="0.25">
      <c r="B368" s="1"/>
      <c r="E368" s="27">
        <v>364</v>
      </c>
      <c r="F368" s="6">
        <f t="shared" ca="1" si="45"/>
        <v>120</v>
      </c>
      <c r="G368" s="6">
        <f t="shared" ca="1" si="49"/>
        <v>240</v>
      </c>
      <c r="H368" s="6">
        <f t="shared" ca="1" si="50"/>
        <v>120</v>
      </c>
      <c r="I368" s="6">
        <f t="shared" ca="1" si="51"/>
        <v>0</v>
      </c>
      <c r="J368" s="6">
        <f t="shared" ca="1" si="52"/>
        <v>0</v>
      </c>
      <c r="K368" s="6">
        <f t="shared" ca="1" si="46"/>
        <v>0</v>
      </c>
      <c r="L368" s="6">
        <f t="shared" ca="1" si="47"/>
        <v>0</v>
      </c>
      <c r="M368" s="20">
        <f t="shared" ca="1" si="48"/>
        <v>3.2876712328767121</v>
      </c>
    </row>
    <row r="369" spans="2:13" ht="13.4" customHeight="1" x14ac:dyDescent="0.25">
      <c r="B369" s="1"/>
      <c r="E369" s="27">
        <v>365</v>
      </c>
      <c r="F369" s="6">
        <f t="shared" ca="1" si="45"/>
        <v>120</v>
      </c>
      <c r="G369" s="6">
        <f t="shared" ca="1" si="49"/>
        <v>120</v>
      </c>
      <c r="H369" s="6">
        <f t="shared" ca="1" si="50"/>
        <v>0</v>
      </c>
      <c r="I369" s="6">
        <f t="shared" ca="1" si="51"/>
        <v>1</v>
      </c>
      <c r="J369" s="6">
        <f t="shared" ca="1" si="52"/>
        <v>0</v>
      </c>
      <c r="K369" s="6">
        <f t="shared" ca="1" si="46"/>
        <v>0</v>
      </c>
      <c r="L369" s="6">
        <f t="shared" ca="1" si="47"/>
        <v>200</v>
      </c>
      <c r="M369" s="20">
        <f t="shared" ca="1" si="48"/>
        <v>0</v>
      </c>
    </row>
    <row r="370" spans="2:13" x14ac:dyDescent="0.25">
      <c r="E370" s="30"/>
      <c r="F370" s="30"/>
      <c r="G370" s="30"/>
      <c r="H370" s="30"/>
      <c r="I370" s="30"/>
      <c r="J370" s="30"/>
      <c r="K370" s="30"/>
      <c r="L370" s="30"/>
      <c r="M370" s="30"/>
    </row>
    <row r="371" spans="2:13" ht="13.4" customHeight="1" x14ac:dyDescent="0.25">
      <c r="F371" s="39"/>
      <c r="G371" s="40"/>
      <c r="K371" s="16"/>
      <c r="L371" s="16"/>
      <c r="M371" s="2"/>
    </row>
    <row r="372" spans="2:13" ht="13.4" customHeight="1" x14ac:dyDescent="0.25">
      <c r="F372" s="39"/>
      <c r="G372" s="40"/>
      <c r="K372" s="16"/>
      <c r="L372" s="16"/>
      <c r="M372" s="2"/>
    </row>
    <row r="373" spans="2:13" ht="13.4" customHeight="1" x14ac:dyDescent="0.25">
      <c r="F373" s="39"/>
      <c r="G373" s="40"/>
      <c r="K373" s="16"/>
      <c r="L373" s="16"/>
      <c r="M373" s="2"/>
    </row>
    <row r="374" spans="2:13" ht="13.4" customHeight="1" x14ac:dyDescent="0.25">
      <c r="F374" s="39"/>
      <c r="G374" s="40"/>
      <c r="K374" s="16"/>
      <c r="L374" s="16"/>
      <c r="M374" s="2"/>
    </row>
    <row r="375" spans="2:13" ht="13.4" customHeight="1" x14ac:dyDescent="0.25">
      <c r="F375" s="39"/>
      <c r="G375" s="40"/>
      <c r="K375" s="16"/>
      <c r="L375" s="16"/>
      <c r="M375" s="2"/>
    </row>
    <row r="376" spans="2:13" ht="13.4" customHeight="1" x14ac:dyDescent="0.25">
      <c r="F376" s="39"/>
      <c r="G376" s="40"/>
      <c r="K376" s="16"/>
      <c r="L376" s="16"/>
      <c r="M376" s="2"/>
    </row>
    <row r="377" spans="2:13" ht="13.4" customHeight="1" x14ac:dyDescent="0.25">
      <c r="F377" s="39"/>
      <c r="G377" s="40"/>
      <c r="K377" s="16"/>
      <c r="L377" s="16"/>
      <c r="M377" s="2"/>
    </row>
    <row r="378" spans="2:13" ht="13.4" customHeight="1" x14ac:dyDescent="0.25">
      <c r="F378" s="39"/>
      <c r="G378" s="40"/>
      <c r="K378" s="16"/>
      <c r="L378" s="16"/>
      <c r="M378" s="2"/>
    </row>
    <row r="379" spans="2:13" ht="13.4" customHeight="1" x14ac:dyDescent="0.25">
      <c r="F379" s="39"/>
      <c r="G379" s="40"/>
      <c r="K379" s="16"/>
      <c r="L379" s="16"/>
      <c r="M379" s="2"/>
    </row>
    <row r="380" spans="2:13" ht="13.4" customHeight="1" x14ac:dyDescent="0.25">
      <c r="F380" s="39"/>
      <c r="G380" s="40"/>
      <c r="K380" s="16"/>
      <c r="L380" s="16"/>
      <c r="M380" s="2"/>
    </row>
    <row r="381" spans="2:13" ht="13.4" customHeight="1" x14ac:dyDescent="0.25">
      <c r="F381" s="39"/>
      <c r="G381" s="40"/>
      <c r="K381" s="16"/>
      <c r="L381" s="16"/>
      <c r="M381" s="2"/>
    </row>
    <row r="382" spans="2:13" ht="13.4" customHeight="1" x14ac:dyDescent="0.25">
      <c r="F382" s="39"/>
      <c r="G382" s="40"/>
      <c r="K382" s="16"/>
      <c r="L382" s="16"/>
      <c r="M382" s="2"/>
    </row>
    <row r="383" spans="2:13" ht="13.4" customHeight="1" x14ac:dyDescent="0.25">
      <c r="F383" s="39"/>
      <c r="G383" s="40"/>
      <c r="K383" s="16"/>
      <c r="L383" s="16"/>
      <c r="M383" s="2"/>
    </row>
    <row r="384" spans="2:13" ht="13.4" customHeight="1" x14ac:dyDescent="0.25">
      <c r="F384" s="39"/>
      <c r="G384" s="40"/>
      <c r="K384" s="16"/>
      <c r="L384" s="16"/>
      <c r="M384" s="2"/>
    </row>
    <row r="385" spans="6:13" ht="13.4" customHeight="1" x14ac:dyDescent="0.25">
      <c r="F385" s="39"/>
      <c r="G385" s="40"/>
      <c r="K385" s="16"/>
      <c r="L385" s="16"/>
      <c r="M385" s="2"/>
    </row>
    <row r="386" spans="6:13" ht="13.4" customHeight="1" x14ac:dyDescent="0.25">
      <c r="F386" s="39"/>
      <c r="G386" s="40"/>
      <c r="K386" s="16"/>
      <c r="L386" s="16"/>
      <c r="M386" s="2"/>
    </row>
    <row r="387" spans="6:13" ht="13.4" customHeight="1" x14ac:dyDescent="0.25">
      <c r="F387" s="39"/>
      <c r="G387" s="40"/>
      <c r="K387" s="16"/>
      <c r="L387" s="16"/>
      <c r="M387" s="2"/>
    </row>
    <row r="388" spans="6:13" ht="13.4" customHeight="1" x14ac:dyDescent="0.25">
      <c r="F388" s="39"/>
      <c r="G388" s="40"/>
      <c r="K388" s="16"/>
      <c r="L388" s="16"/>
      <c r="M388" s="2"/>
    </row>
    <row r="389" spans="6:13" ht="13.4" customHeight="1" x14ac:dyDescent="0.25">
      <c r="F389" s="39"/>
      <c r="G389" s="40"/>
      <c r="K389" s="16"/>
      <c r="L389" s="16"/>
      <c r="M389" s="2"/>
    </row>
    <row r="390" spans="6:13" ht="13.4" customHeight="1" x14ac:dyDescent="0.25">
      <c r="F390" s="39"/>
      <c r="G390" s="40"/>
      <c r="K390" s="16"/>
      <c r="L390" s="16"/>
      <c r="M390" s="2"/>
    </row>
    <row r="391" spans="6:13" ht="13.4" customHeight="1" x14ac:dyDescent="0.25">
      <c r="F391" s="39"/>
      <c r="G391" s="40"/>
      <c r="K391" s="16"/>
      <c r="L391" s="16"/>
      <c r="M391" s="2"/>
    </row>
    <row r="392" spans="6:13" ht="13.4" customHeight="1" x14ac:dyDescent="0.25">
      <c r="F392" s="39"/>
      <c r="G392" s="40"/>
      <c r="K392" s="16"/>
      <c r="L392" s="16"/>
      <c r="M392" s="2"/>
    </row>
    <row r="393" spans="6:13" ht="13.4" customHeight="1" x14ac:dyDescent="0.25">
      <c r="F393" s="39"/>
      <c r="G393" s="40"/>
      <c r="K393" s="16"/>
      <c r="L393" s="16"/>
      <c r="M393" s="2"/>
    </row>
    <row r="394" spans="6:13" ht="13.4" customHeight="1" x14ac:dyDescent="0.25">
      <c r="F394" s="39"/>
      <c r="G394" s="40"/>
      <c r="K394" s="16"/>
      <c r="L394" s="16"/>
      <c r="M394" s="2"/>
    </row>
    <row r="395" spans="6:13" ht="13.4" customHeight="1" x14ac:dyDescent="0.25">
      <c r="F395" s="39"/>
      <c r="G395" s="40"/>
      <c r="K395" s="16"/>
      <c r="L395" s="16"/>
      <c r="M395" s="2"/>
    </row>
    <row r="396" spans="6:13" ht="13.4" customHeight="1" x14ac:dyDescent="0.25">
      <c r="F396" s="39"/>
      <c r="G396" s="40"/>
      <c r="K396" s="16"/>
      <c r="L396" s="16"/>
      <c r="M396" s="2"/>
    </row>
    <row r="397" spans="6:13" ht="13.4" customHeight="1" x14ac:dyDescent="0.25">
      <c r="F397" s="39"/>
      <c r="G397" s="40"/>
      <c r="K397" s="16"/>
      <c r="L397" s="16"/>
      <c r="M397" s="2"/>
    </row>
    <row r="398" spans="6:13" ht="13.4" customHeight="1" x14ac:dyDescent="0.25">
      <c r="F398" s="39"/>
      <c r="G398" s="40"/>
      <c r="K398" s="16"/>
      <c r="L398" s="16"/>
      <c r="M398" s="2"/>
    </row>
    <row r="399" spans="6:13" ht="13.4" customHeight="1" x14ac:dyDescent="0.25">
      <c r="F399" s="39"/>
      <c r="G399" s="40"/>
      <c r="K399" s="16"/>
      <c r="L399" s="16"/>
      <c r="M399" s="2"/>
    </row>
    <row r="400" spans="6:13" ht="13.4" customHeight="1" x14ac:dyDescent="0.25">
      <c r="F400" s="39"/>
      <c r="G400" s="40"/>
      <c r="K400" s="16"/>
      <c r="L400" s="16"/>
      <c r="M400" s="2"/>
    </row>
    <row r="401" spans="6:13" ht="13.4" customHeight="1" x14ac:dyDescent="0.25">
      <c r="F401" s="39"/>
      <c r="G401" s="40"/>
      <c r="K401" s="16"/>
      <c r="L401" s="16"/>
      <c r="M401" s="2"/>
    </row>
    <row r="402" spans="6:13" ht="13.4" customHeight="1" x14ac:dyDescent="0.25">
      <c r="F402" s="39"/>
      <c r="G402" s="40"/>
      <c r="K402" s="16"/>
      <c r="L402" s="16"/>
      <c r="M402" s="2"/>
    </row>
    <row r="403" spans="6:13" ht="13.4" customHeight="1" x14ac:dyDescent="0.25">
      <c r="F403" s="39"/>
      <c r="G403" s="40"/>
      <c r="K403" s="16"/>
      <c r="L403" s="16"/>
      <c r="M403" s="2"/>
    </row>
    <row r="404" spans="6:13" ht="13.4" customHeight="1" x14ac:dyDescent="0.25">
      <c r="F404" s="39"/>
      <c r="G404" s="40"/>
      <c r="K404" s="16"/>
      <c r="L404" s="16"/>
      <c r="M404" s="2"/>
    </row>
    <row r="405" spans="6:13" ht="13.4" customHeight="1" x14ac:dyDescent="0.25">
      <c r="F405" s="39"/>
      <c r="G405" s="40"/>
      <c r="K405" s="16"/>
      <c r="L405" s="16"/>
      <c r="M405" s="2"/>
    </row>
    <row r="406" spans="6:13" ht="13.4" customHeight="1" x14ac:dyDescent="0.25">
      <c r="F406" s="39"/>
      <c r="G406" s="40"/>
      <c r="K406" s="16"/>
      <c r="L406" s="16"/>
      <c r="M406" s="2"/>
    </row>
    <row r="407" spans="6:13" ht="13.4" customHeight="1" x14ac:dyDescent="0.25">
      <c r="F407" s="39"/>
      <c r="G407" s="40"/>
      <c r="K407" s="16"/>
      <c r="L407" s="16"/>
      <c r="M407" s="2"/>
    </row>
    <row r="408" spans="6:13" ht="13.4" customHeight="1" x14ac:dyDescent="0.25">
      <c r="F408" s="39"/>
      <c r="G408" s="40"/>
      <c r="K408" s="16"/>
      <c r="L408" s="16"/>
      <c r="M408" s="2"/>
    </row>
    <row r="409" spans="6:13" ht="13.4" customHeight="1" x14ac:dyDescent="0.25">
      <c r="F409" s="39"/>
      <c r="G409" s="40"/>
      <c r="K409" s="16"/>
      <c r="L409" s="16"/>
      <c r="M409" s="2"/>
    </row>
    <row r="410" spans="6:13" ht="13.4" customHeight="1" x14ac:dyDescent="0.25">
      <c r="F410" s="39"/>
      <c r="G410" s="40"/>
      <c r="K410" s="16"/>
      <c r="L410" s="16"/>
      <c r="M410" s="2"/>
    </row>
    <row r="411" spans="6:13" ht="13.4" customHeight="1" x14ac:dyDescent="0.25">
      <c r="F411" s="39"/>
      <c r="G411" s="40"/>
      <c r="K411" s="16"/>
      <c r="L411" s="16"/>
      <c r="M411" s="2"/>
    </row>
    <row r="412" spans="6:13" ht="13.4" customHeight="1" x14ac:dyDescent="0.25">
      <c r="F412" s="39"/>
      <c r="G412" s="40"/>
      <c r="K412" s="16"/>
      <c r="L412" s="16"/>
      <c r="M412" s="2"/>
    </row>
    <row r="413" spans="6:13" ht="13.4" customHeight="1" x14ac:dyDescent="0.25">
      <c r="F413" s="39"/>
      <c r="G413" s="40"/>
      <c r="K413" s="16"/>
      <c r="L413" s="16"/>
      <c r="M413" s="2"/>
    </row>
    <row r="414" spans="6:13" ht="13.4" customHeight="1" x14ac:dyDescent="0.25">
      <c r="F414" s="39"/>
      <c r="G414" s="40"/>
      <c r="K414" s="16"/>
      <c r="L414" s="16"/>
      <c r="M414" s="2"/>
    </row>
    <row r="415" spans="6:13" ht="13.4" customHeight="1" x14ac:dyDescent="0.25">
      <c r="F415" s="39"/>
      <c r="G415" s="40"/>
      <c r="K415" s="16"/>
      <c r="L415" s="16"/>
      <c r="M415" s="2"/>
    </row>
    <row r="416" spans="6:13" ht="13.4" customHeight="1" x14ac:dyDescent="0.25">
      <c r="F416" s="39"/>
      <c r="G416" s="40"/>
      <c r="K416" s="16"/>
      <c r="L416" s="16"/>
      <c r="M416" s="2"/>
    </row>
    <row r="417" spans="6:13" ht="13.4" customHeight="1" x14ac:dyDescent="0.25">
      <c r="F417" s="39"/>
      <c r="G417" s="40"/>
      <c r="K417" s="16"/>
      <c r="L417" s="16"/>
      <c r="M417" s="2"/>
    </row>
    <row r="418" spans="6:13" ht="13.4" customHeight="1" x14ac:dyDescent="0.25">
      <c r="F418" s="39"/>
      <c r="G418" s="40"/>
      <c r="K418" s="16"/>
      <c r="L418" s="16"/>
      <c r="M418" s="2"/>
    </row>
    <row r="419" spans="6:13" ht="13.4" customHeight="1" x14ac:dyDescent="0.25">
      <c r="F419" s="39"/>
      <c r="G419" s="40"/>
      <c r="K419" s="16"/>
      <c r="L419" s="16"/>
      <c r="M419" s="2"/>
    </row>
    <row r="420" spans="6:13" ht="13.4" customHeight="1" x14ac:dyDescent="0.25">
      <c r="F420" s="39"/>
      <c r="G420" s="40"/>
      <c r="K420" s="16"/>
      <c r="L420" s="16"/>
      <c r="M420" s="2"/>
    </row>
    <row r="421" spans="6:13" ht="13.4" customHeight="1" x14ac:dyDescent="0.25">
      <c r="F421" s="39"/>
      <c r="G421" s="40"/>
      <c r="K421" s="16"/>
      <c r="L421" s="16"/>
      <c r="M421" s="2"/>
    </row>
    <row r="422" spans="6:13" ht="13.4" customHeight="1" x14ac:dyDescent="0.25">
      <c r="F422" s="39"/>
      <c r="G422" s="40"/>
      <c r="K422" s="16"/>
      <c r="L422" s="16"/>
      <c r="M422" s="2"/>
    </row>
    <row r="423" spans="6:13" ht="13.4" customHeight="1" x14ac:dyDescent="0.25">
      <c r="F423" s="39"/>
      <c r="G423" s="40"/>
      <c r="K423" s="16"/>
      <c r="L423" s="16"/>
      <c r="M423" s="2"/>
    </row>
    <row r="424" spans="6:13" ht="13.4" customHeight="1" x14ac:dyDescent="0.25">
      <c r="F424" s="39"/>
      <c r="G424" s="40"/>
      <c r="K424" s="16"/>
      <c r="L424" s="16"/>
      <c r="M424" s="2"/>
    </row>
    <row r="425" spans="6:13" ht="13.4" customHeight="1" x14ac:dyDescent="0.25"/>
    <row r="426" spans="6:13" ht="13.4" customHeight="1" x14ac:dyDescent="0.25"/>
    <row r="427" spans="6:13" ht="13.4" customHeight="1" x14ac:dyDescent="0.25"/>
    <row r="428" spans="6:13" ht="13.4" customHeight="1" x14ac:dyDescent="0.25"/>
    <row r="429" spans="6:13" ht="13.4" customHeight="1" x14ac:dyDescent="0.25"/>
  </sheetData>
  <mergeCells count="1">
    <mergeCell ref="E2:E3"/>
  </mergeCells>
  <phoneticPr fontId="3"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6BB16-81AB-4903-B4C6-C6C1F38C60C1}">
  <dimension ref="B1:DR429"/>
  <sheetViews>
    <sheetView topLeftCell="A19" zoomScale="69" zoomScaleNormal="87" workbookViewId="0">
      <selection activeCell="CC17" sqref="CC17"/>
    </sheetView>
  </sheetViews>
  <sheetFormatPr defaultColWidth="7.75" defaultRowHeight="14" x14ac:dyDescent="0.25"/>
  <cols>
    <col min="1" max="1" width="1.25" style="10" customWidth="1"/>
    <col min="2" max="2" width="19.5" style="10" customWidth="1"/>
    <col min="3" max="3" width="8.33203125" style="2" customWidth="1"/>
    <col min="4" max="4" width="4.83203125" style="2" customWidth="1"/>
    <col min="5" max="5" width="3.25" style="2" customWidth="1"/>
    <col min="6" max="6" width="5" style="2" customWidth="1"/>
    <col min="7" max="7" width="6.5" style="39" customWidth="1"/>
    <col min="8" max="8" width="4.25" style="40" customWidth="1"/>
    <col min="9" max="10" width="4.08203125" style="40" customWidth="1"/>
    <col min="11" max="11" width="4.5" style="40" customWidth="1"/>
    <col min="12" max="12" width="8.75" style="2" customWidth="1"/>
    <col min="13" max="13" width="7.33203125" style="2" customWidth="1"/>
    <col min="14" max="14" width="5.25" style="41" customWidth="1"/>
    <col min="15" max="15" width="4.25" style="40" customWidth="1"/>
    <col min="16" max="16" width="1" style="2" customWidth="1"/>
    <col min="17" max="17" width="5.5" style="2" customWidth="1"/>
    <col min="18" max="18" width="7.25" style="2" customWidth="1"/>
    <col min="19" max="19" width="1.33203125" style="2" customWidth="1"/>
    <col min="20" max="20" width="6.33203125" style="2" customWidth="1"/>
    <col min="21" max="21" width="6.08203125" style="9" customWidth="1"/>
    <col min="22" max="22" width="8.33203125" style="9" customWidth="1"/>
    <col min="23" max="23" width="6.83203125" style="9" customWidth="1"/>
    <col min="24" max="118" width="7.75" style="9" customWidth="1"/>
    <col min="119" max="119" width="0.58203125" style="9" customWidth="1"/>
    <col min="120" max="120" width="7" style="9" customWidth="1"/>
    <col min="121" max="121" width="5.83203125" style="2" customWidth="1"/>
    <col min="122" max="122" width="1.33203125" style="10" customWidth="1"/>
    <col min="123" max="168" width="17.08203125" style="10" customWidth="1"/>
    <col min="169" max="169" width="9.25" style="10" customWidth="1"/>
    <col min="170" max="177" width="16.25" style="10" customWidth="1"/>
    <col min="178" max="178" width="9.25" style="10" customWidth="1"/>
    <col min="179" max="16384" width="7.75" style="10"/>
  </cols>
  <sheetData>
    <row r="1" spans="2:121" x14ac:dyDescent="0.25">
      <c r="B1" s="1"/>
      <c r="E1" s="3" t="s">
        <v>0</v>
      </c>
      <c r="F1" s="4"/>
      <c r="G1" s="2"/>
      <c r="H1" s="2"/>
      <c r="I1" s="2"/>
      <c r="J1" s="6"/>
      <c r="K1" s="5" t="s">
        <v>1</v>
      </c>
      <c r="L1" s="6">
        <f ca="1">SUM(L4:L369)</f>
        <v>34500</v>
      </c>
      <c r="M1" s="6">
        <f t="shared" ref="M1:N1" ca="1" si="0">SUM(M4:M369)</f>
        <v>7400</v>
      </c>
      <c r="N1" s="6">
        <f t="shared" ca="1" si="0"/>
        <v>7203.2876712328725</v>
      </c>
      <c r="O1" s="42" t="s">
        <v>41</v>
      </c>
      <c r="Q1" s="7" t="s">
        <v>2</v>
      </c>
      <c r="R1" s="2" t="s">
        <v>3</v>
      </c>
      <c r="T1" s="8" t="s">
        <v>4</v>
      </c>
      <c r="DQ1" s="5" t="s">
        <v>5</v>
      </c>
    </row>
    <row r="2" spans="2:121" ht="13.9" customHeight="1" x14ac:dyDescent="0.25">
      <c r="B2" s="11" t="s">
        <v>6</v>
      </c>
      <c r="E2" s="95" t="s">
        <v>7</v>
      </c>
      <c r="F2" s="12" t="s">
        <v>8</v>
      </c>
      <c r="G2" s="13" t="s">
        <v>9</v>
      </c>
      <c r="H2" s="13" t="s">
        <v>10</v>
      </c>
      <c r="I2" s="14" t="s">
        <v>11</v>
      </c>
      <c r="J2" s="14" t="s">
        <v>42</v>
      </c>
      <c r="K2" s="13" t="s">
        <v>12</v>
      </c>
      <c r="L2" s="15" t="s">
        <v>12</v>
      </c>
      <c r="M2" s="15" t="s">
        <v>11</v>
      </c>
      <c r="N2" s="15" t="s">
        <v>13</v>
      </c>
      <c r="O2" s="43" t="s">
        <v>43</v>
      </c>
      <c r="R2" s="6"/>
      <c r="T2" s="16"/>
      <c r="U2" s="17">
        <v>1</v>
      </c>
      <c r="V2" s="17">
        <v>2</v>
      </c>
      <c r="W2" s="17">
        <v>3</v>
      </c>
      <c r="X2" s="17">
        <v>4</v>
      </c>
      <c r="Y2" s="17">
        <v>5</v>
      </c>
      <c r="Z2" s="17">
        <v>6</v>
      </c>
      <c r="AA2" s="17">
        <v>7</v>
      </c>
      <c r="AB2" s="17">
        <v>8</v>
      </c>
      <c r="AC2" s="17">
        <v>9</v>
      </c>
      <c r="AD2" s="17">
        <v>10</v>
      </c>
      <c r="AE2" s="17">
        <v>11</v>
      </c>
      <c r="AF2" s="17">
        <v>12</v>
      </c>
      <c r="AG2" s="17">
        <v>13</v>
      </c>
      <c r="AH2" s="17">
        <v>14</v>
      </c>
      <c r="AI2" s="17">
        <v>15</v>
      </c>
      <c r="AJ2" s="17">
        <v>16</v>
      </c>
      <c r="AK2" s="17">
        <v>17</v>
      </c>
      <c r="AL2" s="17">
        <v>18</v>
      </c>
      <c r="AM2" s="17">
        <v>19</v>
      </c>
      <c r="AN2" s="17">
        <v>20</v>
      </c>
      <c r="AO2" s="17">
        <v>21</v>
      </c>
      <c r="AP2" s="17">
        <v>22</v>
      </c>
      <c r="AQ2" s="17">
        <v>23</v>
      </c>
      <c r="AR2" s="17">
        <v>24</v>
      </c>
      <c r="AS2" s="17">
        <v>25</v>
      </c>
      <c r="AT2" s="17">
        <v>26</v>
      </c>
      <c r="AU2" s="17">
        <v>27</v>
      </c>
      <c r="AV2" s="17">
        <v>28</v>
      </c>
      <c r="AW2" s="17">
        <v>29</v>
      </c>
      <c r="AX2" s="17">
        <v>30</v>
      </c>
      <c r="AY2" s="17">
        <v>31</v>
      </c>
      <c r="AZ2" s="17">
        <v>32</v>
      </c>
      <c r="BA2" s="17">
        <v>33</v>
      </c>
      <c r="BB2" s="17">
        <v>34</v>
      </c>
      <c r="BC2" s="17">
        <v>35</v>
      </c>
      <c r="BD2" s="17">
        <v>36</v>
      </c>
      <c r="BE2" s="17">
        <v>37</v>
      </c>
      <c r="BF2" s="17">
        <v>38</v>
      </c>
      <c r="BG2" s="17">
        <v>39</v>
      </c>
      <c r="BH2" s="17">
        <v>40</v>
      </c>
      <c r="BI2" s="17">
        <v>41</v>
      </c>
      <c r="BJ2" s="17">
        <v>42</v>
      </c>
      <c r="BK2" s="17">
        <v>43</v>
      </c>
      <c r="BL2" s="17">
        <v>44</v>
      </c>
      <c r="BM2" s="17">
        <v>45</v>
      </c>
      <c r="BN2" s="17">
        <v>46</v>
      </c>
      <c r="BO2" s="17">
        <v>47</v>
      </c>
      <c r="BP2" s="17">
        <v>48</v>
      </c>
      <c r="BQ2" s="17">
        <v>49</v>
      </c>
      <c r="BR2" s="17">
        <v>50</v>
      </c>
      <c r="BS2" s="17">
        <v>51</v>
      </c>
      <c r="BT2" s="17">
        <v>52</v>
      </c>
      <c r="BU2" s="17">
        <v>53</v>
      </c>
      <c r="BV2" s="17">
        <v>54</v>
      </c>
      <c r="BW2" s="17">
        <v>55</v>
      </c>
      <c r="BX2" s="17">
        <v>56</v>
      </c>
      <c r="BY2" s="17">
        <v>57</v>
      </c>
      <c r="BZ2" s="17">
        <v>58</v>
      </c>
      <c r="CA2" s="17">
        <v>59</v>
      </c>
      <c r="CB2" s="17">
        <v>60</v>
      </c>
      <c r="CC2" s="17">
        <v>61</v>
      </c>
      <c r="CD2" s="17">
        <v>62</v>
      </c>
      <c r="CE2" s="17">
        <v>63</v>
      </c>
      <c r="CF2" s="17">
        <v>64</v>
      </c>
      <c r="CG2" s="17">
        <v>65</v>
      </c>
      <c r="CH2" s="17">
        <v>66</v>
      </c>
      <c r="CI2" s="17">
        <v>67</v>
      </c>
      <c r="CJ2" s="17">
        <v>68</v>
      </c>
      <c r="CK2" s="17">
        <v>69</v>
      </c>
      <c r="CL2" s="17">
        <v>70</v>
      </c>
      <c r="CM2" s="17">
        <v>71</v>
      </c>
      <c r="CN2" s="17">
        <v>72</v>
      </c>
      <c r="CO2" s="17">
        <v>73</v>
      </c>
      <c r="CP2" s="17">
        <v>74</v>
      </c>
      <c r="CQ2" s="17">
        <v>75</v>
      </c>
      <c r="CR2" s="17">
        <v>76</v>
      </c>
      <c r="CS2" s="17">
        <v>77</v>
      </c>
      <c r="CT2" s="17">
        <v>78</v>
      </c>
      <c r="CU2" s="17">
        <v>79</v>
      </c>
      <c r="CV2" s="17">
        <v>80</v>
      </c>
      <c r="CW2" s="17">
        <v>81</v>
      </c>
      <c r="CX2" s="17">
        <v>82</v>
      </c>
      <c r="CY2" s="17">
        <v>83</v>
      </c>
      <c r="CZ2" s="17">
        <v>84</v>
      </c>
      <c r="DA2" s="17">
        <v>85</v>
      </c>
      <c r="DB2" s="17">
        <v>86</v>
      </c>
      <c r="DC2" s="17">
        <v>87</v>
      </c>
      <c r="DD2" s="17">
        <v>88</v>
      </c>
      <c r="DE2" s="17">
        <v>89</v>
      </c>
      <c r="DF2" s="17">
        <v>90</v>
      </c>
      <c r="DG2" s="17">
        <v>91</v>
      </c>
      <c r="DH2" s="17">
        <v>92</v>
      </c>
      <c r="DI2" s="17">
        <v>93</v>
      </c>
      <c r="DJ2" s="17">
        <v>94</v>
      </c>
      <c r="DK2" s="17">
        <v>95</v>
      </c>
      <c r="DL2" s="17">
        <v>96</v>
      </c>
      <c r="DM2" s="17">
        <v>97</v>
      </c>
      <c r="DN2" s="17">
        <v>98</v>
      </c>
      <c r="DO2" s="17">
        <v>99</v>
      </c>
      <c r="DP2" s="17">
        <v>100</v>
      </c>
      <c r="DQ2" s="18" t="s">
        <v>14</v>
      </c>
    </row>
    <row r="3" spans="2:121" ht="13.9" customHeight="1" x14ac:dyDescent="0.25">
      <c r="B3" s="19" t="s">
        <v>15</v>
      </c>
      <c r="C3" s="20">
        <v>100</v>
      </c>
      <c r="E3" s="96"/>
      <c r="F3" s="21" t="s">
        <v>16</v>
      </c>
      <c r="G3" s="22" t="s">
        <v>17</v>
      </c>
      <c r="H3" s="22" t="s">
        <v>17</v>
      </c>
      <c r="I3" s="23" t="s">
        <v>18</v>
      </c>
      <c r="J3" s="23" t="s">
        <v>44</v>
      </c>
      <c r="K3" s="22" t="s">
        <v>19</v>
      </c>
      <c r="L3" s="24" t="s">
        <v>20</v>
      </c>
      <c r="M3" s="24" t="s">
        <v>21</v>
      </c>
      <c r="N3" s="24" t="s">
        <v>21</v>
      </c>
      <c r="O3" s="44" t="s">
        <v>17</v>
      </c>
      <c r="Q3" s="20">
        <v>1000</v>
      </c>
      <c r="R3" s="6"/>
      <c r="T3" s="20">
        <v>1000</v>
      </c>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c r="DL3" s="25"/>
      <c r="DM3" s="25"/>
      <c r="DN3" s="25"/>
      <c r="DO3" s="25"/>
      <c r="DP3" s="25"/>
      <c r="DQ3" s="6"/>
    </row>
    <row r="4" spans="2:121" ht="13.15" customHeight="1" x14ac:dyDescent="0.25">
      <c r="B4" s="26" t="s">
        <v>22</v>
      </c>
      <c r="C4" s="20">
        <v>200</v>
      </c>
      <c r="E4" s="6">
        <v>0</v>
      </c>
      <c r="F4" s="6"/>
      <c r="G4" s="6"/>
      <c r="H4" s="6">
        <f>C6</f>
        <v>100</v>
      </c>
      <c r="I4" s="6">
        <f>IF(H4&lt;$C$3,1,0)</f>
        <v>0</v>
      </c>
      <c r="J4" s="6">
        <f ca="1">IF(RAND()&lt;0.5,0,1)</f>
        <v>0</v>
      </c>
      <c r="K4" s="6"/>
      <c r="L4" s="6"/>
      <c r="M4" s="6">
        <f>I4*$C$4</f>
        <v>0</v>
      </c>
      <c r="N4" s="20">
        <f>H4*$C$7</f>
        <v>2.7397260273972601</v>
      </c>
      <c r="O4" s="45">
        <v>15</v>
      </c>
      <c r="Q4" s="20">
        <v>1200</v>
      </c>
      <c r="R4" s="6"/>
      <c r="T4" s="20">
        <v>1200</v>
      </c>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5"/>
      <c r="BS4" s="25"/>
      <c r="BT4" s="25"/>
      <c r="BU4" s="25"/>
      <c r="BV4" s="25"/>
      <c r="BW4" s="25"/>
      <c r="BX4" s="25"/>
      <c r="BY4" s="25"/>
      <c r="BZ4" s="25"/>
      <c r="CA4" s="25"/>
      <c r="CB4" s="25"/>
      <c r="CC4" s="25"/>
      <c r="CD4" s="25"/>
      <c r="CE4" s="25"/>
      <c r="CF4" s="25"/>
      <c r="CG4" s="25"/>
      <c r="CH4" s="25"/>
      <c r="CI4" s="25"/>
      <c r="CJ4" s="25"/>
      <c r="CK4" s="25"/>
      <c r="CL4" s="25"/>
      <c r="CM4" s="25"/>
      <c r="CN4" s="25"/>
      <c r="CO4" s="25"/>
      <c r="CP4" s="25"/>
      <c r="CQ4" s="25"/>
      <c r="CR4" s="25"/>
      <c r="CS4" s="25"/>
      <c r="CT4" s="25"/>
      <c r="CU4" s="25"/>
      <c r="CV4" s="25"/>
      <c r="CW4" s="25"/>
      <c r="CX4" s="25"/>
      <c r="CY4" s="25"/>
      <c r="CZ4" s="25"/>
      <c r="DA4" s="25"/>
      <c r="DB4" s="25"/>
      <c r="DC4" s="25"/>
      <c r="DD4" s="25"/>
      <c r="DE4" s="25"/>
      <c r="DF4" s="25"/>
      <c r="DG4" s="25"/>
      <c r="DH4" s="25"/>
      <c r="DI4" s="25"/>
      <c r="DJ4" s="25"/>
      <c r="DK4" s="25"/>
      <c r="DL4" s="25"/>
      <c r="DM4" s="25"/>
      <c r="DN4" s="25"/>
      <c r="DO4" s="25"/>
      <c r="DP4" s="25"/>
      <c r="DQ4" s="6"/>
    </row>
    <row r="5" spans="2:121" ht="13.15" customHeight="1" x14ac:dyDescent="0.25">
      <c r="B5" s="19" t="s">
        <v>23</v>
      </c>
      <c r="C5" s="20">
        <v>10</v>
      </c>
      <c r="E5" s="6">
        <v>1</v>
      </c>
      <c r="F5" s="6">
        <f ca="1">INDEX($T$17:$T$21,MATCH(RAND(),$V$17:$V$22,1))</f>
        <v>120</v>
      </c>
      <c r="G5" s="6">
        <f>H4</f>
        <v>100</v>
      </c>
      <c r="H5" s="6">
        <f ca="1">MAX(G5-F5,0)</f>
        <v>0</v>
      </c>
      <c r="I5" s="6">
        <f ca="1">IF(H5&lt;$C$3,1,0)</f>
        <v>1</v>
      </c>
      <c r="J5" s="6">
        <f ca="1">IF(RAND()&lt;0.5,0,1)</f>
        <v>0</v>
      </c>
      <c r="K5" s="6">
        <f ca="1">-MIN(G5-F5,0)</f>
        <v>20</v>
      </c>
      <c r="L5" s="6">
        <f ca="1">K5*$C$8</f>
        <v>1000</v>
      </c>
      <c r="M5" s="6">
        <f ca="1">I5*$C$4</f>
        <v>200</v>
      </c>
      <c r="N5" s="20">
        <f ca="1">H5*$C$7</f>
        <v>0</v>
      </c>
      <c r="O5" s="6"/>
      <c r="Q5" s="20">
        <v>1400</v>
      </c>
      <c r="R5" s="6"/>
      <c r="T5" s="20">
        <v>1400</v>
      </c>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c r="DB5" s="25"/>
      <c r="DC5" s="25"/>
      <c r="DD5" s="25"/>
      <c r="DE5" s="25"/>
      <c r="DF5" s="25"/>
      <c r="DG5" s="25"/>
      <c r="DH5" s="25"/>
      <c r="DI5" s="25"/>
      <c r="DJ5" s="25"/>
      <c r="DK5" s="25"/>
      <c r="DL5" s="25"/>
      <c r="DM5" s="25"/>
      <c r="DN5" s="25"/>
      <c r="DO5" s="25"/>
      <c r="DP5" s="25"/>
      <c r="DQ5" s="6"/>
    </row>
    <row r="6" spans="2:121" ht="13.15" customHeight="1" x14ac:dyDescent="0.25">
      <c r="B6" s="26" t="s">
        <v>24</v>
      </c>
      <c r="C6" s="20">
        <f>C3</f>
        <v>100</v>
      </c>
      <c r="E6" s="6">
        <v>2</v>
      </c>
      <c r="F6" s="6">
        <f t="shared" ref="F6:F69" ca="1" si="1">INDEX($T$17:$T$21,MATCH(RAND(),$V$17:$V$22,1))</f>
        <v>80</v>
      </c>
      <c r="G6" s="6">
        <f ca="1">H5+IF(AND(I5=1,J5=0),$C$9,0)+IF(AND(I4=1,J4=1),$C$9,0)</f>
        <v>1000</v>
      </c>
      <c r="H6" s="6">
        <f ca="1">MAX(G6-F6,0)</f>
        <v>920</v>
      </c>
      <c r="I6" s="6">
        <f ca="1">IF(H6&lt;$C$3,1,0)</f>
        <v>0</v>
      </c>
      <c r="J6" s="6">
        <f ca="1">IF(RAND()&lt;0.5,0,1)</f>
        <v>0</v>
      </c>
      <c r="K6" s="6">
        <f ca="1">-MIN(G6-F6,0)</f>
        <v>0</v>
      </c>
      <c r="L6" s="6">
        <f ca="1">K6*$C$8</f>
        <v>0</v>
      </c>
      <c r="M6" s="6">
        <f ca="1">I6*$C$4</f>
        <v>0</v>
      </c>
      <c r="N6" s="20">
        <f ca="1">H6*$C$7</f>
        <v>25.205479452054792</v>
      </c>
      <c r="O6" s="6"/>
      <c r="Q6" s="20">
        <v>1600</v>
      </c>
      <c r="R6" s="6"/>
      <c r="T6" s="20">
        <v>1600</v>
      </c>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c r="CT6" s="25"/>
      <c r="CU6" s="25"/>
      <c r="CV6" s="25"/>
      <c r="CW6" s="25"/>
      <c r="CX6" s="25"/>
      <c r="CY6" s="25"/>
      <c r="CZ6" s="25"/>
      <c r="DA6" s="25"/>
      <c r="DB6" s="25"/>
      <c r="DC6" s="25"/>
      <c r="DD6" s="25"/>
      <c r="DE6" s="25"/>
      <c r="DF6" s="25"/>
      <c r="DG6" s="25"/>
      <c r="DH6" s="25"/>
      <c r="DI6" s="25"/>
      <c r="DJ6" s="25"/>
      <c r="DK6" s="25"/>
      <c r="DL6" s="25"/>
      <c r="DM6" s="25"/>
      <c r="DN6" s="25"/>
      <c r="DO6" s="25"/>
      <c r="DP6" s="25"/>
      <c r="DQ6" s="6"/>
    </row>
    <row r="7" spans="2:121" ht="13.15" customHeight="1" x14ac:dyDescent="0.25">
      <c r="B7" s="28" t="s">
        <v>25</v>
      </c>
      <c r="C7" s="29">
        <f>C5/365</f>
        <v>2.7397260273972601E-2</v>
      </c>
      <c r="E7" s="6">
        <v>3</v>
      </c>
      <c r="F7" s="6">
        <f t="shared" ca="1" si="1"/>
        <v>110</v>
      </c>
      <c r="G7" s="6">
        <f t="shared" ref="G7:G70" ca="1" si="2">H6+IF(AND(I6=1,J6=0),$C$9,0)+IF(AND(I5=1,J5=1),$C$9,0)</f>
        <v>920</v>
      </c>
      <c r="H7" s="6">
        <f t="shared" ref="H7:H70" ca="1" si="3">MAX(G7-F7,0)</f>
        <v>810</v>
      </c>
      <c r="I7" s="6">
        <f t="shared" ref="I7:I70" ca="1" si="4">IF(H7&lt;$C$3,1,0)</f>
        <v>0</v>
      </c>
      <c r="J7" s="6">
        <f t="shared" ref="J7:J70" ca="1" si="5">IF(RAND()&lt;0.5,0,1)</f>
        <v>0</v>
      </c>
      <c r="K7" s="6">
        <f t="shared" ref="K7:K70" ca="1" si="6">-MIN(G7-F7,0)</f>
        <v>0</v>
      </c>
      <c r="L7" s="6">
        <f t="shared" ref="L7:L70" ca="1" si="7">K7*$C$8</f>
        <v>0</v>
      </c>
      <c r="M7" s="6">
        <f t="shared" ref="M7:M70" ca="1" si="8">I7*$C$4</f>
        <v>0</v>
      </c>
      <c r="N7" s="20">
        <f t="shared" ref="N7:N70" ca="1" si="9">H7*$C$7</f>
        <v>22.191780821917806</v>
      </c>
      <c r="O7" s="6"/>
      <c r="Q7" s="20">
        <v>1800</v>
      </c>
      <c r="R7" s="6"/>
      <c r="T7" s="20">
        <v>1800</v>
      </c>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c r="CT7" s="25"/>
      <c r="CU7" s="25"/>
      <c r="CV7" s="25"/>
      <c r="CW7" s="25"/>
      <c r="CX7" s="25"/>
      <c r="CY7" s="25"/>
      <c r="CZ7" s="25"/>
      <c r="DA7" s="25"/>
      <c r="DB7" s="25"/>
      <c r="DC7" s="25"/>
      <c r="DD7" s="25"/>
      <c r="DE7" s="25"/>
      <c r="DF7" s="25"/>
      <c r="DG7" s="25"/>
      <c r="DH7" s="25"/>
      <c r="DI7" s="25"/>
      <c r="DJ7" s="25"/>
      <c r="DK7" s="25"/>
      <c r="DL7" s="25"/>
      <c r="DM7" s="25"/>
      <c r="DN7" s="25"/>
      <c r="DO7" s="25"/>
      <c r="DP7" s="25"/>
      <c r="DQ7" s="6"/>
    </row>
    <row r="8" spans="2:121" ht="13.15" customHeight="1" x14ac:dyDescent="0.25">
      <c r="B8" s="19" t="s">
        <v>26</v>
      </c>
      <c r="C8" s="20">
        <v>50</v>
      </c>
      <c r="E8" s="6">
        <v>4</v>
      </c>
      <c r="F8" s="6">
        <f t="shared" ca="1" si="1"/>
        <v>110</v>
      </c>
      <c r="G8" s="6">
        <f t="shared" ca="1" si="2"/>
        <v>810</v>
      </c>
      <c r="H8" s="6">
        <f t="shared" ca="1" si="3"/>
        <v>700</v>
      </c>
      <c r="I8" s="6">
        <f t="shared" ca="1" si="4"/>
        <v>0</v>
      </c>
      <c r="J8" s="6">
        <f t="shared" ca="1" si="5"/>
        <v>1</v>
      </c>
      <c r="K8" s="6">
        <f t="shared" ca="1" si="6"/>
        <v>0</v>
      </c>
      <c r="L8" s="6">
        <f t="shared" ca="1" si="7"/>
        <v>0</v>
      </c>
      <c r="M8" s="6">
        <f t="shared" ca="1" si="8"/>
        <v>0</v>
      </c>
      <c r="N8" s="20">
        <f t="shared" ca="1" si="9"/>
        <v>19.17808219178082</v>
      </c>
      <c r="O8" s="6"/>
      <c r="Q8" s="20">
        <v>2000</v>
      </c>
      <c r="R8" s="6"/>
      <c r="T8" s="20">
        <v>2000</v>
      </c>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6"/>
    </row>
    <row r="9" spans="2:121" ht="13.15" customHeight="1" x14ac:dyDescent="0.25">
      <c r="B9" s="19" t="s">
        <v>27</v>
      </c>
      <c r="C9" s="20">
        <v>1000</v>
      </c>
      <c r="E9" s="6">
        <v>5</v>
      </c>
      <c r="F9" s="6">
        <f t="shared" ca="1" si="1"/>
        <v>80</v>
      </c>
      <c r="G9" s="6">
        <f t="shared" ca="1" si="2"/>
        <v>700</v>
      </c>
      <c r="H9" s="6">
        <f t="shared" ca="1" si="3"/>
        <v>620</v>
      </c>
      <c r="I9" s="6">
        <f t="shared" ca="1" si="4"/>
        <v>0</v>
      </c>
      <c r="J9" s="6">
        <f t="shared" ca="1" si="5"/>
        <v>0</v>
      </c>
      <c r="K9" s="6">
        <f t="shared" ca="1" si="6"/>
        <v>0</v>
      </c>
      <c r="L9" s="6">
        <f t="shared" ca="1" si="7"/>
        <v>0</v>
      </c>
      <c r="M9" s="6">
        <f t="shared" ca="1" si="8"/>
        <v>0</v>
      </c>
      <c r="N9" s="20">
        <f t="shared" ca="1" si="9"/>
        <v>16.986301369863014</v>
      </c>
      <c r="O9" s="6"/>
      <c r="Q9" s="20">
        <v>2200</v>
      </c>
      <c r="R9" s="6"/>
      <c r="T9" s="20">
        <v>2200</v>
      </c>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6"/>
    </row>
    <row r="10" spans="2:121" ht="13.15" customHeight="1" x14ac:dyDescent="0.25">
      <c r="B10" s="8" t="s">
        <v>1</v>
      </c>
      <c r="E10" s="6">
        <v>6</v>
      </c>
      <c r="F10" s="6">
        <f t="shared" ca="1" si="1"/>
        <v>100</v>
      </c>
      <c r="G10" s="6">
        <f t="shared" ca="1" si="2"/>
        <v>620</v>
      </c>
      <c r="H10" s="6">
        <f t="shared" ca="1" si="3"/>
        <v>520</v>
      </c>
      <c r="I10" s="6">
        <f t="shared" ca="1" si="4"/>
        <v>0</v>
      </c>
      <c r="J10" s="6">
        <f t="shared" ca="1" si="5"/>
        <v>1</v>
      </c>
      <c r="K10" s="6">
        <f t="shared" ca="1" si="6"/>
        <v>0</v>
      </c>
      <c r="L10" s="6">
        <f t="shared" ca="1" si="7"/>
        <v>0</v>
      </c>
      <c r="M10" s="6">
        <f t="shared" ca="1" si="8"/>
        <v>0</v>
      </c>
      <c r="N10" s="20">
        <f t="shared" ca="1" si="9"/>
        <v>14.246575342465754</v>
      </c>
      <c r="O10" s="6"/>
      <c r="Q10" s="20">
        <v>2400</v>
      </c>
      <c r="R10" s="6"/>
      <c r="T10" s="20">
        <v>2400</v>
      </c>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c r="CJ10" s="25"/>
      <c r="CK10" s="25"/>
      <c r="CL10" s="25"/>
      <c r="CM10" s="25"/>
      <c r="CN10" s="25"/>
      <c r="CO10" s="25"/>
      <c r="CP10" s="25"/>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6"/>
    </row>
    <row r="11" spans="2:121" ht="13.15" customHeight="1" x14ac:dyDescent="0.25">
      <c r="B11" s="19" t="s">
        <v>28</v>
      </c>
      <c r="C11" s="6"/>
      <c r="E11" s="6">
        <v>7</v>
      </c>
      <c r="F11" s="6">
        <f t="shared" ca="1" si="1"/>
        <v>90</v>
      </c>
      <c r="G11" s="6">
        <f t="shared" ca="1" si="2"/>
        <v>520</v>
      </c>
      <c r="H11" s="6">
        <f t="shared" ca="1" si="3"/>
        <v>430</v>
      </c>
      <c r="I11" s="6">
        <f t="shared" ca="1" si="4"/>
        <v>0</v>
      </c>
      <c r="J11" s="6">
        <f t="shared" ca="1" si="5"/>
        <v>0</v>
      </c>
      <c r="K11" s="6">
        <f t="shared" ca="1" si="6"/>
        <v>0</v>
      </c>
      <c r="L11" s="6">
        <f t="shared" ca="1" si="7"/>
        <v>0</v>
      </c>
      <c r="M11" s="6">
        <f t="shared" ca="1" si="8"/>
        <v>0</v>
      </c>
      <c r="N11" s="20">
        <f t="shared" ca="1" si="9"/>
        <v>11.780821917808218</v>
      </c>
      <c r="O11" s="6"/>
      <c r="Q11" s="20">
        <v>2600</v>
      </c>
      <c r="R11" s="6"/>
      <c r="T11" s="20">
        <v>2600</v>
      </c>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6"/>
    </row>
    <row r="12" spans="2:121" ht="12.75" customHeight="1" x14ac:dyDescent="0.25">
      <c r="B12" s="19" t="s">
        <v>29</v>
      </c>
      <c r="C12" s="6"/>
      <c r="E12" s="6">
        <v>8</v>
      </c>
      <c r="F12" s="6">
        <f t="shared" ca="1" si="1"/>
        <v>80</v>
      </c>
      <c r="G12" s="6">
        <f t="shared" ca="1" si="2"/>
        <v>430</v>
      </c>
      <c r="H12" s="6">
        <f t="shared" ca="1" si="3"/>
        <v>350</v>
      </c>
      <c r="I12" s="6">
        <f t="shared" ca="1" si="4"/>
        <v>0</v>
      </c>
      <c r="J12" s="6">
        <f t="shared" ca="1" si="5"/>
        <v>0</v>
      </c>
      <c r="K12" s="6">
        <f t="shared" ca="1" si="6"/>
        <v>0</v>
      </c>
      <c r="L12" s="6">
        <f t="shared" ca="1" si="7"/>
        <v>0</v>
      </c>
      <c r="M12" s="6">
        <f t="shared" ca="1" si="8"/>
        <v>0</v>
      </c>
      <c r="N12" s="20">
        <f t="shared" ca="1" si="9"/>
        <v>9.5890410958904102</v>
      </c>
      <c r="O12" s="6"/>
      <c r="Q12" s="20">
        <v>2800</v>
      </c>
      <c r="R12" s="6"/>
      <c r="T12" s="20">
        <v>2800</v>
      </c>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5"/>
      <c r="CK12" s="25"/>
      <c r="CL12" s="25"/>
      <c r="CM12" s="25"/>
      <c r="CN12" s="25"/>
      <c r="CO12" s="25"/>
      <c r="CP12" s="25"/>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6"/>
    </row>
    <row r="13" spans="2:121" ht="13.15" customHeight="1" x14ac:dyDescent="0.25">
      <c r="B13" s="19" t="s">
        <v>30</v>
      </c>
      <c r="C13" s="6"/>
      <c r="E13" s="6">
        <v>9</v>
      </c>
      <c r="F13" s="6">
        <f t="shared" ca="1" si="1"/>
        <v>120</v>
      </c>
      <c r="G13" s="6">
        <f t="shared" ca="1" si="2"/>
        <v>350</v>
      </c>
      <c r="H13" s="6">
        <f t="shared" ca="1" si="3"/>
        <v>230</v>
      </c>
      <c r="I13" s="6">
        <f t="shared" ca="1" si="4"/>
        <v>0</v>
      </c>
      <c r="J13" s="6">
        <f t="shared" ca="1" si="5"/>
        <v>0</v>
      </c>
      <c r="K13" s="6">
        <f t="shared" ca="1" si="6"/>
        <v>0</v>
      </c>
      <c r="L13" s="6">
        <f t="shared" ca="1" si="7"/>
        <v>0</v>
      </c>
      <c r="M13" s="6">
        <f t="shared" ca="1" si="8"/>
        <v>0</v>
      </c>
      <c r="N13" s="20">
        <f t="shared" ca="1" si="9"/>
        <v>6.3013698630136981</v>
      </c>
      <c r="O13" s="6"/>
      <c r="Q13" s="20">
        <v>3000</v>
      </c>
      <c r="R13" s="6"/>
      <c r="T13" s="20">
        <v>3000</v>
      </c>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c r="CL13" s="25"/>
      <c r="CM13" s="25"/>
      <c r="CN13" s="25"/>
      <c r="CO13" s="25"/>
      <c r="CP13" s="25"/>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6"/>
    </row>
    <row r="14" spans="2:121" ht="12.75" customHeight="1" x14ac:dyDescent="0.25">
      <c r="B14" s="26" t="s">
        <v>31</v>
      </c>
      <c r="C14" s="6"/>
      <c r="E14" s="6">
        <v>10</v>
      </c>
      <c r="F14" s="6">
        <f t="shared" ca="1" si="1"/>
        <v>110</v>
      </c>
      <c r="G14" s="6">
        <f t="shared" ca="1" si="2"/>
        <v>230</v>
      </c>
      <c r="H14" s="6">
        <f t="shared" ca="1" si="3"/>
        <v>120</v>
      </c>
      <c r="I14" s="6">
        <f t="shared" ca="1" si="4"/>
        <v>0</v>
      </c>
      <c r="J14" s="6">
        <f t="shared" ca="1" si="5"/>
        <v>0</v>
      </c>
      <c r="K14" s="6">
        <f t="shared" ca="1" si="6"/>
        <v>0</v>
      </c>
      <c r="L14" s="6">
        <f t="shared" ca="1" si="7"/>
        <v>0</v>
      </c>
      <c r="M14" s="6">
        <f t="shared" ca="1" si="8"/>
        <v>0</v>
      </c>
      <c r="N14" s="20">
        <f t="shared" ca="1" si="9"/>
        <v>3.2876712328767121</v>
      </c>
      <c r="O14" s="6"/>
      <c r="R14" s="30"/>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row>
    <row r="15" spans="2:121" ht="12.75" customHeight="1" x14ac:dyDescent="0.25">
      <c r="B15" s="1"/>
      <c r="E15" s="6">
        <v>11</v>
      </c>
      <c r="F15" s="6">
        <f t="shared" ca="1" si="1"/>
        <v>100</v>
      </c>
      <c r="G15" s="6">
        <f t="shared" ca="1" si="2"/>
        <v>120</v>
      </c>
      <c r="H15" s="6">
        <f t="shared" ca="1" si="3"/>
        <v>20</v>
      </c>
      <c r="I15" s="6">
        <f t="shared" ca="1" si="4"/>
        <v>1</v>
      </c>
      <c r="J15" s="6">
        <f t="shared" ca="1" si="5"/>
        <v>0</v>
      </c>
      <c r="K15" s="6">
        <f t="shared" ca="1" si="6"/>
        <v>0</v>
      </c>
      <c r="L15" s="6">
        <f t="shared" ca="1" si="7"/>
        <v>0</v>
      </c>
      <c r="M15" s="6">
        <f t="shared" ca="1" si="8"/>
        <v>200</v>
      </c>
      <c r="N15" s="20">
        <f t="shared" ca="1" si="9"/>
        <v>0.54794520547945202</v>
      </c>
      <c r="O15" s="6"/>
      <c r="Q15" s="31" t="s">
        <v>32</v>
      </c>
      <c r="R15" s="32"/>
      <c r="S15" s="1"/>
      <c r="T15" s="1" t="s">
        <v>33</v>
      </c>
      <c r="U15" s="1"/>
      <c r="V15" s="2"/>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row>
    <row r="16" spans="2:121" ht="12.75" customHeight="1" x14ac:dyDescent="0.25">
      <c r="B16" s="1" t="s">
        <v>34</v>
      </c>
      <c r="E16" s="6">
        <v>12</v>
      </c>
      <c r="F16" s="6">
        <f t="shared" ca="1" si="1"/>
        <v>120</v>
      </c>
      <c r="G16" s="6">
        <f t="shared" ca="1" si="2"/>
        <v>1020</v>
      </c>
      <c r="H16" s="6">
        <f t="shared" ca="1" si="3"/>
        <v>900</v>
      </c>
      <c r="I16" s="6">
        <f t="shared" ca="1" si="4"/>
        <v>0</v>
      </c>
      <c r="J16" s="6">
        <f t="shared" ca="1" si="5"/>
        <v>1</v>
      </c>
      <c r="K16" s="6">
        <f t="shared" ca="1" si="6"/>
        <v>0</v>
      </c>
      <c r="L16" s="6">
        <f t="shared" ca="1" si="7"/>
        <v>0</v>
      </c>
      <c r="M16" s="6">
        <f t="shared" ca="1" si="8"/>
        <v>0</v>
      </c>
      <c r="N16" s="20">
        <f t="shared" ca="1" si="9"/>
        <v>24.657534246575342</v>
      </c>
      <c r="O16" s="6"/>
      <c r="Q16" s="25"/>
      <c r="R16" s="25"/>
      <c r="S16" s="1"/>
      <c r="T16" s="20" t="s">
        <v>35</v>
      </c>
      <c r="U16" s="20" t="s">
        <v>36</v>
      </c>
      <c r="V16" s="20" t="s">
        <v>37</v>
      </c>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row>
    <row r="17" spans="2:122" x14ac:dyDescent="0.25">
      <c r="B17" s="19" t="s">
        <v>38</v>
      </c>
      <c r="C17" s="6"/>
      <c r="E17" s="6">
        <v>13</v>
      </c>
      <c r="F17" s="6">
        <f t="shared" ca="1" si="1"/>
        <v>120</v>
      </c>
      <c r="G17" s="6">
        <f t="shared" ca="1" si="2"/>
        <v>900</v>
      </c>
      <c r="H17" s="6">
        <f t="shared" ca="1" si="3"/>
        <v>780</v>
      </c>
      <c r="I17" s="6">
        <f t="shared" ca="1" si="4"/>
        <v>0</v>
      </c>
      <c r="J17" s="6">
        <f t="shared" ca="1" si="5"/>
        <v>0</v>
      </c>
      <c r="K17" s="6">
        <f t="shared" ca="1" si="6"/>
        <v>0</v>
      </c>
      <c r="L17" s="6">
        <f t="shared" ca="1" si="7"/>
        <v>0</v>
      </c>
      <c r="M17" s="6">
        <f t="shared" ca="1" si="8"/>
        <v>0</v>
      </c>
      <c r="N17" s="20">
        <f t="shared" ca="1" si="9"/>
        <v>21.36986301369863</v>
      </c>
      <c r="O17" s="6"/>
      <c r="Q17" s="25"/>
      <c r="R17" s="25"/>
      <c r="S17" s="1"/>
      <c r="T17" s="20">
        <v>80</v>
      </c>
      <c r="U17" s="33">
        <v>0.1</v>
      </c>
      <c r="V17" s="20">
        <v>0</v>
      </c>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row>
    <row r="18" spans="2:122" ht="12.75" customHeight="1" x14ac:dyDescent="0.25">
      <c r="B18" s="19" t="s">
        <v>39</v>
      </c>
      <c r="C18" s="20"/>
      <c r="E18" s="6">
        <v>14</v>
      </c>
      <c r="F18" s="6">
        <f t="shared" ca="1" si="1"/>
        <v>90</v>
      </c>
      <c r="G18" s="6">
        <f t="shared" ca="1" si="2"/>
        <v>780</v>
      </c>
      <c r="H18" s="6">
        <f t="shared" ca="1" si="3"/>
        <v>690</v>
      </c>
      <c r="I18" s="6">
        <f t="shared" ca="1" si="4"/>
        <v>0</v>
      </c>
      <c r="J18" s="6">
        <f t="shared" ca="1" si="5"/>
        <v>1</v>
      </c>
      <c r="K18" s="6">
        <f t="shared" ca="1" si="6"/>
        <v>0</v>
      </c>
      <c r="L18" s="6">
        <f t="shared" ca="1" si="7"/>
        <v>0</v>
      </c>
      <c r="M18" s="6">
        <f t="shared" ca="1" si="8"/>
        <v>0</v>
      </c>
      <c r="N18" s="20">
        <f t="shared" ca="1" si="9"/>
        <v>18.904109589041095</v>
      </c>
      <c r="O18" s="6"/>
      <c r="Q18" s="25"/>
      <c r="R18" s="25"/>
      <c r="S18" s="1"/>
      <c r="T18" s="20">
        <v>90</v>
      </c>
      <c r="U18" s="33">
        <v>0.2</v>
      </c>
      <c r="V18" s="33">
        <f>U17+V17</f>
        <v>0.1</v>
      </c>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row>
    <row r="19" spans="2:122" ht="12.75" customHeight="1" x14ac:dyDescent="0.25">
      <c r="B19" s="1"/>
      <c r="E19" s="6">
        <v>15</v>
      </c>
      <c r="F19" s="6">
        <f t="shared" ca="1" si="1"/>
        <v>110</v>
      </c>
      <c r="G19" s="6">
        <f t="shared" ca="1" si="2"/>
        <v>690</v>
      </c>
      <c r="H19" s="6">
        <f t="shared" ca="1" si="3"/>
        <v>580</v>
      </c>
      <c r="I19" s="6">
        <f t="shared" ca="1" si="4"/>
        <v>0</v>
      </c>
      <c r="J19" s="6">
        <f t="shared" ca="1" si="5"/>
        <v>0</v>
      </c>
      <c r="K19" s="6">
        <f t="shared" ca="1" si="6"/>
        <v>0</v>
      </c>
      <c r="L19" s="6">
        <f t="shared" ca="1" si="7"/>
        <v>0</v>
      </c>
      <c r="M19" s="6">
        <f t="shared" ca="1" si="8"/>
        <v>0</v>
      </c>
      <c r="N19" s="20">
        <f t="shared" ca="1" si="9"/>
        <v>15.890410958904109</v>
      </c>
      <c r="O19" s="6"/>
      <c r="R19" s="32"/>
      <c r="S19" s="1"/>
      <c r="T19" s="20">
        <v>100</v>
      </c>
      <c r="U19" s="33">
        <v>0.25</v>
      </c>
      <c r="V19" s="33">
        <f t="shared" ref="V19:V22" si="10">U18+V18</f>
        <v>0.30000000000000004</v>
      </c>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row>
    <row r="20" spans="2:122" ht="12.65" customHeight="1" x14ac:dyDescent="0.25">
      <c r="B20" s="34" t="s">
        <v>40</v>
      </c>
      <c r="E20" s="6">
        <v>16</v>
      </c>
      <c r="F20" s="6">
        <f t="shared" ca="1" si="1"/>
        <v>80</v>
      </c>
      <c r="G20" s="6">
        <f t="shared" ca="1" si="2"/>
        <v>580</v>
      </c>
      <c r="H20" s="6">
        <f t="shared" ca="1" si="3"/>
        <v>500</v>
      </c>
      <c r="I20" s="6">
        <f t="shared" ca="1" si="4"/>
        <v>0</v>
      </c>
      <c r="J20" s="6">
        <f t="shared" ca="1" si="5"/>
        <v>1</v>
      </c>
      <c r="K20" s="6">
        <f t="shared" ca="1" si="6"/>
        <v>0</v>
      </c>
      <c r="L20" s="6">
        <f t="shared" ca="1" si="7"/>
        <v>0</v>
      </c>
      <c r="M20" s="6">
        <f t="shared" ca="1" si="8"/>
        <v>0</v>
      </c>
      <c r="N20" s="20">
        <f t="shared" ca="1" si="9"/>
        <v>13.698630136986301</v>
      </c>
      <c r="O20" s="6"/>
      <c r="Q20" s="34" t="s">
        <v>40</v>
      </c>
      <c r="R20" s="32"/>
      <c r="S20" s="35"/>
      <c r="T20" s="20">
        <v>110</v>
      </c>
      <c r="U20" s="33">
        <v>0.3</v>
      </c>
      <c r="V20" s="33">
        <f t="shared" si="10"/>
        <v>0.55000000000000004</v>
      </c>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row>
    <row r="21" spans="2:122" ht="13.15" customHeight="1" x14ac:dyDescent="0.25">
      <c r="B21" s="36" t="s">
        <v>38</v>
      </c>
      <c r="C21" s="6"/>
      <c r="E21" s="6">
        <v>17</v>
      </c>
      <c r="F21" s="6">
        <f t="shared" ca="1" si="1"/>
        <v>120</v>
      </c>
      <c r="G21" s="6">
        <f t="shared" ca="1" si="2"/>
        <v>500</v>
      </c>
      <c r="H21" s="6">
        <f t="shared" ca="1" si="3"/>
        <v>380</v>
      </c>
      <c r="I21" s="6">
        <f t="shared" ca="1" si="4"/>
        <v>0</v>
      </c>
      <c r="J21" s="6">
        <f t="shared" ca="1" si="5"/>
        <v>1</v>
      </c>
      <c r="K21" s="6">
        <f t="shared" ca="1" si="6"/>
        <v>0</v>
      </c>
      <c r="L21" s="6">
        <f t="shared" ca="1" si="7"/>
        <v>0</v>
      </c>
      <c r="M21" s="6">
        <f t="shared" ca="1" si="8"/>
        <v>0</v>
      </c>
      <c r="N21" s="20">
        <f t="shared" ca="1" si="9"/>
        <v>10.410958904109588</v>
      </c>
      <c r="O21" s="6"/>
      <c r="Q21" s="25"/>
      <c r="R21" s="25"/>
      <c r="S21" s="35"/>
      <c r="T21" s="20">
        <v>120</v>
      </c>
      <c r="U21" s="33">
        <v>0.15</v>
      </c>
      <c r="V21" s="33">
        <f t="shared" si="10"/>
        <v>0.85000000000000009</v>
      </c>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row>
    <row r="22" spans="2:122" ht="13.15" customHeight="1" x14ac:dyDescent="0.25">
      <c r="B22" s="36" t="s">
        <v>39</v>
      </c>
      <c r="C22" s="20"/>
      <c r="E22" s="6">
        <v>18</v>
      </c>
      <c r="F22" s="6">
        <f t="shared" ca="1" si="1"/>
        <v>90</v>
      </c>
      <c r="G22" s="6">
        <f t="shared" ca="1" si="2"/>
        <v>380</v>
      </c>
      <c r="H22" s="6">
        <f t="shared" ca="1" si="3"/>
        <v>290</v>
      </c>
      <c r="I22" s="6">
        <f t="shared" ca="1" si="4"/>
        <v>0</v>
      </c>
      <c r="J22" s="6">
        <f t="shared" ca="1" si="5"/>
        <v>1</v>
      </c>
      <c r="K22" s="6">
        <f t="shared" ca="1" si="6"/>
        <v>0</v>
      </c>
      <c r="L22" s="6">
        <f t="shared" ca="1" si="7"/>
        <v>0</v>
      </c>
      <c r="M22" s="6">
        <f t="shared" ca="1" si="8"/>
        <v>0</v>
      </c>
      <c r="N22" s="20">
        <f t="shared" ca="1" si="9"/>
        <v>7.9452054794520546</v>
      </c>
      <c r="O22" s="6"/>
      <c r="Q22" s="25"/>
      <c r="R22" s="25"/>
      <c r="S22" s="35"/>
      <c r="T22" s="10"/>
      <c r="U22" s="10"/>
      <c r="V22" s="33">
        <f t="shared" si="10"/>
        <v>1</v>
      </c>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row>
    <row r="23" spans="2:122" ht="13.15" customHeight="1" x14ac:dyDescent="0.25">
      <c r="B23" s="1"/>
      <c r="E23" s="6">
        <v>19</v>
      </c>
      <c r="F23" s="6">
        <f t="shared" ca="1" si="1"/>
        <v>90</v>
      </c>
      <c r="G23" s="6">
        <f t="shared" ca="1" si="2"/>
        <v>290</v>
      </c>
      <c r="H23" s="6">
        <f t="shared" ca="1" si="3"/>
        <v>200</v>
      </c>
      <c r="I23" s="6">
        <f t="shared" ca="1" si="4"/>
        <v>0</v>
      </c>
      <c r="J23" s="6">
        <f t="shared" ca="1" si="5"/>
        <v>1</v>
      </c>
      <c r="K23" s="6">
        <f t="shared" ca="1" si="6"/>
        <v>0</v>
      </c>
      <c r="L23" s="6">
        <f t="shared" ca="1" si="7"/>
        <v>0</v>
      </c>
      <c r="M23" s="6">
        <f t="shared" ca="1" si="8"/>
        <v>0</v>
      </c>
      <c r="N23" s="20">
        <f t="shared" ca="1" si="9"/>
        <v>5.4794520547945202</v>
      </c>
      <c r="O23" s="6"/>
      <c r="Q23" s="25"/>
      <c r="R23" s="25"/>
      <c r="S23" s="35"/>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row>
    <row r="24" spans="2:122" ht="13.15" customHeight="1" x14ac:dyDescent="0.25">
      <c r="B24" s="1"/>
      <c r="E24" s="6">
        <v>20</v>
      </c>
      <c r="F24" s="6">
        <f t="shared" ca="1" si="1"/>
        <v>110</v>
      </c>
      <c r="G24" s="6">
        <f t="shared" ca="1" si="2"/>
        <v>200</v>
      </c>
      <c r="H24" s="6">
        <f t="shared" ca="1" si="3"/>
        <v>90</v>
      </c>
      <c r="I24" s="6">
        <f t="shared" ca="1" si="4"/>
        <v>1</v>
      </c>
      <c r="J24" s="6">
        <f t="shared" ca="1" si="5"/>
        <v>0</v>
      </c>
      <c r="K24" s="6">
        <f t="shared" ca="1" si="6"/>
        <v>0</v>
      </c>
      <c r="L24" s="6">
        <f t="shared" ca="1" si="7"/>
        <v>0</v>
      </c>
      <c r="M24" s="6">
        <f t="shared" ca="1" si="8"/>
        <v>200</v>
      </c>
      <c r="N24" s="20">
        <f t="shared" ca="1" si="9"/>
        <v>2.4657534246575343</v>
      </c>
      <c r="O24" s="6"/>
      <c r="Q24" s="30"/>
      <c r="R24" s="30"/>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row>
    <row r="25" spans="2:122" ht="13.15" customHeight="1" x14ac:dyDescent="0.25">
      <c r="B25" s="1"/>
      <c r="E25" s="6">
        <v>21</v>
      </c>
      <c r="F25" s="6">
        <f t="shared" ca="1" si="1"/>
        <v>100</v>
      </c>
      <c r="G25" s="6">
        <f t="shared" ca="1" si="2"/>
        <v>1090</v>
      </c>
      <c r="H25" s="6">
        <f t="shared" ca="1" si="3"/>
        <v>990</v>
      </c>
      <c r="I25" s="6">
        <f t="shared" ca="1" si="4"/>
        <v>0</v>
      </c>
      <c r="J25" s="6">
        <f t="shared" ca="1" si="5"/>
        <v>1</v>
      </c>
      <c r="K25" s="6">
        <f t="shared" ca="1" si="6"/>
        <v>0</v>
      </c>
      <c r="L25" s="6">
        <f t="shared" ca="1" si="7"/>
        <v>0</v>
      </c>
      <c r="M25" s="6">
        <f t="shared" ca="1" si="8"/>
        <v>0</v>
      </c>
      <c r="N25" s="20">
        <f t="shared" ca="1" si="9"/>
        <v>27.123287671232877</v>
      </c>
      <c r="O25" s="6"/>
      <c r="Q25" s="30"/>
      <c r="R25" s="30"/>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row>
    <row r="26" spans="2:122" ht="13.15" customHeight="1" x14ac:dyDescent="0.25">
      <c r="B26" s="1"/>
      <c r="E26" s="6">
        <v>22</v>
      </c>
      <c r="F26" s="6">
        <f t="shared" ca="1" si="1"/>
        <v>110</v>
      </c>
      <c r="G26" s="6">
        <f t="shared" ca="1" si="2"/>
        <v>990</v>
      </c>
      <c r="H26" s="6">
        <f t="shared" ca="1" si="3"/>
        <v>880</v>
      </c>
      <c r="I26" s="6">
        <f t="shared" ca="1" si="4"/>
        <v>0</v>
      </c>
      <c r="J26" s="6">
        <f t="shared" ca="1" si="5"/>
        <v>0</v>
      </c>
      <c r="K26" s="6">
        <f t="shared" ca="1" si="6"/>
        <v>0</v>
      </c>
      <c r="L26" s="6">
        <f t="shared" ca="1" si="7"/>
        <v>0</v>
      </c>
      <c r="M26" s="6">
        <f t="shared" ca="1" si="8"/>
        <v>0</v>
      </c>
      <c r="N26" s="20">
        <f t="shared" ca="1" si="9"/>
        <v>24.109589041095887</v>
      </c>
      <c r="O26" s="6"/>
      <c r="Q26" s="30"/>
      <c r="R26" s="30"/>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row>
    <row r="27" spans="2:122" ht="13.15" customHeight="1" x14ac:dyDescent="0.3">
      <c r="B27" s="1"/>
      <c r="E27" s="6">
        <v>23</v>
      </c>
      <c r="F27" s="6">
        <f t="shared" ca="1" si="1"/>
        <v>120</v>
      </c>
      <c r="G27" s="6">
        <f t="shared" ca="1" si="2"/>
        <v>880</v>
      </c>
      <c r="H27" s="6">
        <f t="shared" ca="1" si="3"/>
        <v>760</v>
      </c>
      <c r="I27" s="6">
        <f t="shared" ca="1" si="4"/>
        <v>0</v>
      </c>
      <c r="J27" s="6">
        <f t="shared" ca="1" si="5"/>
        <v>1</v>
      </c>
      <c r="K27" s="6">
        <f t="shared" ca="1" si="6"/>
        <v>0</v>
      </c>
      <c r="L27" s="6">
        <f t="shared" ca="1" si="7"/>
        <v>0</v>
      </c>
      <c r="M27" s="6">
        <f t="shared" ca="1" si="8"/>
        <v>0</v>
      </c>
      <c r="N27" s="20">
        <f t="shared" ca="1" si="9"/>
        <v>20.821917808219176</v>
      </c>
      <c r="O27" s="6"/>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s="37"/>
    </row>
    <row r="28" spans="2:122" ht="13.15" customHeight="1" x14ac:dyDescent="0.3">
      <c r="B28" s="1"/>
      <c r="E28" s="6">
        <v>24</v>
      </c>
      <c r="F28" s="6">
        <f t="shared" ca="1" si="1"/>
        <v>110</v>
      </c>
      <c r="G28" s="6">
        <f t="shared" ca="1" si="2"/>
        <v>760</v>
      </c>
      <c r="H28" s="6">
        <f t="shared" ca="1" si="3"/>
        <v>650</v>
      </c>
      <c r="I28" s="6">
        <f t="shared" ca="1" si="4"/>
        <v>0</v>
      </c>
      <c r="J28" s="6">
        <f t="shared" ca="1" si="5"/>
        <v>0</v>
      </c>
      <c r="K28" s="6">
        <f t="shared" ca="1" si="6"/>
        <v>0</v>
      </c>
      <c r="L28" s="6">
        <f t="shared" ca="1" si="7"/>
        <v>0</v>
      </c>
      <c r="M28" s="6">
        <f t="shared" ca="1" si="8"/>
        <v>0</v>
      </c>
      <c r="N28" s="20">
        <f t="shared" ca="1" si="9"/>
        <v>17.80821917808219</v>
      </c>
      <c r="O28" s="6"/>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s="37"/>
    </row>
    <row r="29" spans="2:122" ht="13.15" customHeight="1" x14ac:dyDescent="0.25">
      <c r="B29" s="1"/>
      <c r="E29" s="6">
        <v>25</v>
      </c>
      <c r="F29" s="6">
        <f t="shared" ca="1" si="1"/>
        <v>120</v>
      </c>
      <c r="G29" s="6">
        <f t="shared" ca="1" si="2"/>
        <v>650</v>
      </c>
      <c r="H29" s="6">
        <f t="shared" ca="1" si="3"/>
        <v>530</v>
      </c>
      <c r="I29" s="6">
        <f t="shared" ca="1" si="4"/>
        <v>0</v>
      </c>
      <c r="J29" s="6">
        <f t="shared" ca="1" si="5"/>
        <v>1</v>
      </c>
      <c r="K29" s="6">
        <f t="shared" ca="1" si="6"/>
        <v>0</v>
      </c>
      <c r="L29" s="6">
        <f t="shared" ca="1" si="7"/>
        <v>0</v>
      </c>
      <c r="M29" s="6">
        <f t="shared" ca="1" si="8"/>
        <v>0</v>
      </c>
      <c r="N29" s="20">
        <f t="shared" ca="1" si="9"/>
        <v>14.520547945205479</v>
      </c>
      <c r="O29" s="6"/>
      <c r="R29" s="38"/>
      <c r="DQ29" s="38"/>
    </row>
    <row r="30" spans="2:122" ht="13.15" customHeight="1" x14ac:dyDescent="0.25">
      <c r="B30" s="1"/>
      <c r="E30" s="6">
        <v>26</v>
      </c>
      <c r="F30" s="6">
        <f t="shared" ca="1" si="1"/>
        <v>90</v>
      </c>
      <c r="G30" s="6">
        <f t="shared" ca="1" si="2"/>
        <v>530</v>
      </c>
      <c r="H30" s="6">
        <f t="shared" ca="1" si="3"/>
        <v>440</v>
      </c>
      <c r="I30" s="6">
        <f t="shared" ca="1" si="4"/>
        <v>0</v>
      </c>
      <c r="J30" s="6">
        <f t="shared" ca="1" si="5"/>
        <v>1</v>
      </c>
      <c r="K30" s="6">
        <f t="shared" ca="1" si="6"/>
        <v>0</v>
      </c>
      <c r="L30" s="6">
        <f t="shared" ca="1" si="7"/>
        <v>0</v>
      </c>
      <c r="M30" s="6">
        <f t="shared" ca="1" si="8"/>
        <v>0</v>
      </c>
      <c r="N30" s="20">
        <f t="shared" ca="1" si="9"/>
        <v>12.054794520547944</v>
      </c>
      <c r="O30" s="6"/>
      <c r="R30" s="38"/>
      <c r="DQ30" s="38"/>
    </row>
    <row r="31" spans="2:122" ht="13.15" customHeight="1" x14ac:dyDescent="0.25">
      <c r="B31" s="1"/>
      <c r="E31" s="6">
        <v>27</v>
      </c>
      <c r="F31" s="6">
        <f t="shared" ca="1" si="1"/>
        <v>110</v>
      </c>
      <c r="G31" s="6">
        <f t="shared" ca="1" si="2"/>
        <v>440</v>
      </c>
      <c r="H31" s="6">
        <f t="shared" ca="1" si="3"/>
        <v>330</v>
      </c>
      <c r="I31" s="6">
        <f t="shared" ca="1" si="4"/>
        <v>0</v>
      </c>
      <c r="J31" s="6">
        <f t="shared" ca="1" si="5"/>
        <v>0</v>
      </c>
      <c r="K31" s="6">
        <f t="shared" ca="1" si="6"/>
        <v>0</v>
      </c>
      <c r="L31" s="6">
        <f t="shared" ca="1" si="7"/>
        <v>0</v>
      </c>
      <c r="M31" s="6">
        <f t="shared" ca="1" si="8"/>
        <v>0</v>
      </c>
      <c r="N31" s="20">
        <f t="shared" ca="1" si="9"/>
        <v>9.0410958904109577</v>
      </c>
      <c r="O31" s="6"/>
      <c r="R31" s="38"/>
      <c r="DQ31" s="38"/>
    </row>
    <row r="32" spans="2:122" ht="13.15" customHeight="1" x14ac:dyDescent="0.25">
      <c r="B32" s="1"/>
      <c r="E32" s="6">
        <v>28</v>
      </c>
      <c r="F32" s="6">
        <f t="shared" ca="1" si="1"/>
        <v>120</v>
      </c>
      <c r="G32" s="6">
        <f t="shared" ca="1" si="2"/>
        <v>330</v>
      </c>
      <c r="H32" s="6">
        <f t="shared" ca="1" si="3"/>
        <v>210</v>
      </c>
      <c r="I32" s="6">
        <f t="shared" ca="1" si="4"/>
        <v>0</v>
      </c>
      <c r="J32" s="6">
        <f t="shared" ca="1" si="5"/>
        <v>0</v>
      </c>
      <c r="K32" s="6">
        <f t="shared" ca="1" si="6"/>
        <v>0</v>
      </c>
      <c r="L32" s="6">
        <f t="shared" ca="1" si="7"/>
        <v>0</v>
      </c>
      <c r="M32" s="6">
        <f t="shared" ca="1" si="8"/>
        <v>0</v>
      </c>
      <c r="N32" s="20">
        <f t="shared" ca="1" si="9"/>
        <v>5.7534246575342465</v>
      </c>
      <c r="O32" s="6"/>
      <c r="R32" s="38"/>
      <c r="DQ32" s="38"/>
    </row>
    <row r="33" spans="2:121" ht="13.15" customHeight="1" x14ac:dyDescent="0.25">
      <c r="B33" s="1"/>
      <c r="E33" s="6">
        <v>29</v>
      </c>
      <c r="F33" s="6">
        <f t="shared" ca="1" si="1"/>
        <v>90</v>
      </c>
      <c r="G33" s="6">
        <f t="shared" ca="1" si="2"/>
        <v>210</v>
      </c>
      <c r="H33" s="6">
        <f t="shared" ca="1" si="3"/>
        <v>120</v>
      </c>
      <c r="I33" s="6">
        <f t="shared" ca="1" si="4"/>
        <v>0</v>
      </c>
      <c r="J33" s="6">
        <f t="shared" ca="1" si="5"/>
        <v>0</v>
      </c>
      <c r="K33" s="6">
        <f t="shared" ca="1" si="6"/>
        <v>0</v>
      </c>
      <c r="L33" s="6">
        <f t="shared" ca="1" si="7"/>
        <v>0</v>
      </c>
      <c r="M33" s="6">
        <f t="shared" ca="1" si="8"/>
        <v>0</v>
      </c>
      <c r="N33" s="20">
        <f t="shared" ca="1" si="9"/>
        <v>3.2876712328767121</v>
      </c>
      <c r="O33" s="6"/>
      <c r="R33" s="38"/>
      <c r="DQ33" s="38"/>
    </row>
    <row r="34" spans="2:121" ht="13.15" customHeight="1" x14ac:dyDescent="0.25">
      <c r="B34" s="1"/>
      <c r="E34" s="6">
        <v>30</v>
      </c>
      <c r="F34" s="6">
        <f t="shared" ca="1" si="1"/>
        <v>110</v>
      </c>
      <c r="G34" s="6">
        <f t="shared" ca="1" si="2"/>
        <v>120</v>
      </c>
      <c r="H34" s="6">
        <f t="shared" ca="1" si="3"/>
        <v>10</v>
      </c>
      <c r="I34" s="6">
        <f t="shared" ca="1" si="4"/>
        <v>1</v>
      </c>
      <c r="J34" s="6">
        <f t="shared" ca="1" si="5"/>
        <v>0</v>
      </c>
      <c r="K34" s="6">
        <f t="shared" ca="1" si="6"/>
        <v>0</v>
      </c>
      <c r="L34" s="6">
        <f t="shared" ca="1" si="7"/>
        <v>0</v>
      </c>
      <c r="M34" s="6">
        <f t="shared" ca="1" si="8"/>
        <v>200</v>
      </c>
      <c r="N34" s="20">
        <f t="shared" ca="1" si="9"/>
        <v>0.27397260273972601</v>
      </c>
      <c r="O34" s="6"/>
      <c r="R34" s="38"/>
      <c r="DQ34" s="38"/>
    </row>
    <row r="35" spans="2:121" ht="13.15" customHeight="1" x14ac:dyDescent="0.25">
      <c r="B35" s="1"/>
      <c r="E35" s="6">
        <v>31</v>
      </c>
      <c r="F35" s="6">
        <f t="shared" ca="1" si="1"/>
        <v>90</v>
      </c>
      <c r="G35" s="6">
        <f t="shared" ca="1" si="2"/>
        <v>1010</v>
      </c>
      <c r="H35" s="6">
        <f t="shared" ca="1" si="3"/>
        <v>920</v>
      </c>
      <c r="I35" s="6">
        <f t="shared" ca="1" si="4"/>
        <v>0</v>
      </c>
      <c r="J35" s="6">
        <f t="shared" ca="1" si="5"/>
        <v>1</v>
      </c>
      <c r="K35" s="6">
        <f t="shared" ca="1" si="6"/>
        <v>0</v>
      </c>
      <c r="L35" s="6">
        <f t="shared" ca="1" si="7"/>
        <v>0</v>
      </c>
      <c r="M35" s="6">
        <f t="shared" ca="1" si="8"/>
        <v>0</v>
      </c>
      <c r="N35" s="20">
        <f t="shared" ca="1" si="9"/>
        <v>25.205479452054792</v>
      </c>
      <c r="O35" s="6"/>
      <c r="R35" s="38"/>
      <c r="DQ35" s="38"/>
    </row>
    <row r="36" spans="2:121" ht="13.15" customHeight="1" x14ac:dyDescent="0.25">
      <c r="B36" s="1"/>
      <c r="E36" s="6">
        <v>32</v>
      </c>
      <c r="F36" s="6">
        <f t="shared" ca="1" si="1"/>
        <v>110</v>
      </c>
      <c r="G36" s="6">
        <f t="shared" ca="1" si="2"/>
        <v>920</v>
      </c>
      <c r="H36" s="6">
        <f t="shared" ca="1" si="3"/>
        <v>810</v>
      </c>
      <c r="I36" s="6">
        <f t="shared" ca="1" si="4"/>
        <v>0</v>
      </c>
      <c r="J36" s="6">
        <f t="shared" ca="1" si="5"/>
        <v>0</v>
      </c>
      <c r="K36" s="6">
        <f t="shared" ca="1" si="6"/>
        <v>0</v>
      </c>
      <c r="L36" s="6">
        <f t="shared" ca="1" si="7"/>
        <v>0</v>
      </c>
      <c r="M36" s="6">
        <f t="shared" ca="1" si="8"/>
        <v>0</v>
      </c>
      <c r="N36" s="20">
        <f t="shared" ca="1" si="9"/>
        <v>22.191780821917806</v>
      </c>
      <c r="O36" s="6"/>
      <c r="R36" s="38"/>
      <c r="DQ36" s="38"/>
    </row>
    <row r="37" spans="2:121" ht="13.15" customHeight="1" x14ac:dyDescent="0.25">
      <c r="B37" s="1"/>
      <c r="E37" s="6">
        <v>33</v>
      </c>
      <c r="F37" s="6">
        <f t="shared" ca="1" si="1"/>
        <v>90</v>
      </c>
      <c r="G37" s="6">
        <f t="shared" ca="1" si="2"/>
        <v>810</v>
      </c>
      <c r="H37" s="6">
        <f t="shared" ca="1" si="3"/>
        <v>720</v>
      </c>
      <c r="I37" s="6">
        <f t="shared" ca="1" si="4"/>
        <v>0</v>
      </c>
      <c r="J37" s="6">
        <f t="shared" ca="1" si="5"/>
        <v>0</v>
      </c>
      <c r="K37" s="6">
        <f t="shared" ca="1" si="6"/>
        <v>0</v>
      </c>
      <c r="L37" s="6">
        <f t="shared" ca="1" si="7"/>
        <v>0</v>
      </c>
      <c r="M37" s="6">
        <f t="shared" ca="1" si="8"/>
        <v>0</v>
      </c>
      <c r="N37" s="20">
        <f t="shared" ca="1" si="9"/>
        <v>19.726027397260275</v>
      </c>
      <c r="O37" s="6"/>
      <c r="R37" s="38"/>
      <c r="DQ37" s="38"/>
    </row>
    <row r="38" spans="2:121" ht="13.15" customHeight="1" x14ac:dyDescent="0.25">
      <c r="B38" s="1"/>
      <c r="E38" s="6">
        <v>34</v>
      </c>
      <c r="F38" s="6">
        <f t="shared" ca="1" si="1"/>
        <v>90</v>
      </c>
      <c r="G38" s="6">
        <f t="shared" ca="1" si="2"/>
        <v>720</v>
      </c>
      <c r="H38" s="6">
        <f t="shared" ca="1" si="3"/>
        <v>630</v>
      </c>
      <c r="I38" s="6">
        <f t="shared" ca="1" si="4"/>
        <v>0</v>
      </c>
      <c r="J38" s="6">
        <f t="shared" ca="1" si="5"/>
        <v>0</v>
      </c>
      <c r="K38" s="6">
        <f t="shared" ca="1" si="6"/>
        <v>0</v>
      </c>
      <c r="L38" s="6">
        <f t="shared" ca="1" si="7"/>
        <v>0</v>
      </c>
      <c r="M38" s="6">
        <f t="shared" ca="1" si="8"/>
        <v>0</v>
      </c>
      <c r="N38" s="20">
        <f t="shared" ca="1" si="9"/>
        <v>17.260273972602739</v>
      </c>
      <c r="O38" s="6"/>
      <c r="R38" s="38"/>
      <c r="DQ38" s="38"/>
    </row>
    <row r="39" spans="2:121" ht="13.15" customHeight="1" x14ac:dyDescent="0.25">
      <c r="B39" s="1"/>
      <c r="E39" s="6">
        <v>35</v>
      </c>
      <c r="F39" s="6">
        <f t="shared" ca="1" si="1"/>
        <v>100</v>
      </c>
      <c r="G39" s="6">
        <f t="shared" ca="1" si="2"/>
        <v>630</v>
      </c>
      <c r="H39" s="6">
        <f t="shared" ca="1" si="3"/>
        <v>530</v>
      </c>
      <c r="I39" s="6">
        <f t="shared" ca="1" si="4"/>
        <v>0</v>
      </c>
      <c r="J39" s="6">
        <f t="shared" ca="1" si="5"/>
        <v>0</v>
      </c>
      <c r="K39" s="6">
        <f t="shared" ca="1" si="6"/>
        <v>0</v>
      </c>
      <c r="L39" s="6">
        <f t="shared" ca="1" si="7"/>
        <v>0</v>
      </c>
      <c r="M39" s="6">
        <f t="shared" ca="1" si="8"/>
        <v>0</v>
      </c>
      <c r="N39" s="20">
        <f t="shared" ca="1" si="9"/>
        <v>14.520547945205479</v>
      </c>
      <c r="O39" s="6"/>
      <c r="R39" s="38"/>
      <c r="DQ39" s="38"/>
    </row>
    <row r="40" spans="2:121" ht="13.15" customHeight="1" x14ac:dyDescent="0.25">
      <c r="B40" s="1"/>
      <c r="E40" s="6">
        <v>36</v>
      </c>
      <c r="F40" s="6">
        <f t="shared" ca="1" si="1"/>
        <v>90</v>
      </c>
      <c r="G40" s="6">
        <f t="shared" ca="1" si="2"/>
        <v>530</v>
      </c>
      <c r="H40" s="6">
        <f t="shared" ca="1" si="3"/>
        <v>440</v>
      </c>
      <c r="I40" s="6">
        <f t="shared" ca="1" si="4"/>
        <v>0</v>
      </c>
      <c r="J40" s="6">
        <f t="shared" ca="1" si="5"/>
        <v>0</v>
      </c>
      <c r="K40" s="6">
        <f t="shared" ca="1" si="6"/>
        <v>0</v>
      </c>
      <c r="L40" s="6">
        <f t="shared" ca="1" si="7"/>
        <v>0</v>
      </c>
      <c r="M40" s="6">
        <f t="shared" ca="1" si="8"/>
        <v>0</v>
      </c>
      <c r="N40" s="20">
        <f t="shared" ca="1" si="9"/>
        <v>12.054794520547944</v>
      </c>
      <c r="O40" s="6"/>
      <c r="R40" s="38"/>
      <c r="DQ40" s="38"/>
    </row>
    <row r="41" spans="2:121" ht="13.15" customHeight="1" x14ac:dyDescent="0.25">
      <c r="B41" s="1"/>
      <c r="E41" s="6">
        <v>37</v>
      </c>
      <c r="F41" s="6">
        <f t="shared" ca="1" si="1"/>
        <v>100</v>
      </c>
      <c r="G41" s="6">
        <f t="shared" ca="1" si="2"/>
        <v>440</v>
      </c>
      <c r="H41" s="6">
        <f t="shared" ca="1" si="3"/>
        <v>340</v>
      </c>
      <c r="I41" s="6">
        <f t="shared" ca="1" si="4"/>
        <v>0</v>
      </c>
      <c r="J41" s="6">
        <f t="shared" ca="1" si="5"/>
        <v>1</v>
      </c>
      <c r="K41" s="6">
        <f t="shared" ca="1" si="6"/>
        <v>0</v>
      </c>
      <c r="L41" s="6">
        <f t="shared" ca="1" si="7"/>
        <v>0</v>
      </c>
      <c r="M41" s="6">
        <f t="shared" ca="1" si="8"/>
        <v>0</v>
      </c>
      <c r="N41" s="20">
        <f t="shared" ca="1" si="9"/>
        <v>9.3150684931506849</v>
      </c>
      <c r="O41" s="6"/>
      <c r="R41" s="38"/>
      <c r="DQ41" s="38"/>
    </row>
    <row r="42" spans="2:121" ht="13.15" customHeight="1" x14ac:dyDescent="0.25">
      <c r="B42" s="1"/>
      <c r="E42" s="6">
        <v>38</v>
      </c>
      <c r="F42" s="6">
        <f t="shared" ca="1" si="1"/>
        <v>120</v>
      </c>
      <c r="G42" s="6">
        <f t="shared" ca="1" si="2"/>
        <v>340</v>
      </c>
      <c r="H42" s="6">
        <f t="shared" ca="1" si="3"/>
        <v>220</v>
      </c>
      <c r="I42" s="6">
        <f t="shared" ca="1" si="4"/>
        <v>0</v>
      </c>
      <c r="J42" s="6">
        <f t="shared" ca="1" si="5"/>
        <v>1</v>
      </c>
      <c r="K42" s="6">
        <f t="shared" ca="1" si="6"/>
        <v>0</v>
      </c>
      <c r="L42" s="6">
        <f t="shared" ca="1" si="7"/>
        <v>0</v>
      </c>
      <c r="M42" s="6">
        <f t="shared" ca="1" si="8"/>
        <v>0</v>
      </c>
      <c r="N42" s="20">
        <f t="shared" ca="1" si="9"/>
        <v>6.0273972602739718</v>
      </c>
      <c r="O42" s="6"/>
      <c r="R42" s="38"/>
      <c r="DQ42" s="38"/>
    </row>
    <row r="43" spans="2:121" ht="13.15" customHeight="1" x14ac:dyDescent="0.25">
      <c r="B43" s="1"/>
      <c r="E43" s="6">
        <v>39</v>
      </c>
      <c r="F43" s="6">
        <f t="shared" ca="1" si="1"/>
        <v>120</v>
      </c>
      <c r="G43" s="6">
        <f t="shared" ca="1" si="2"/>
        <v>220</v>
      </c>
      <c r="H43" s="6">
        <f t="shared" ca="1" si="3"/>
        <v>100</v>
      </c>
      <c r="I43" s="6">
        <f t="shared" ca="1" si="4"/>
        <v>0</v>
      </c>
      <c r="J43" s="6">
        <f t="shared" ca="1" si="5"/>
        <v>0</v>
      </c>
      <c r="K43" s="6">
        <f t="shared" ca="1" si="6"/>
        <v>0</v>
      </c>
      <c r="L43" s="6">
        <f t="shared" ca="1" si="7"/>
        <v>0</v>
      </c>
      <c r="M43" s="6">
        <f t="shared" ca="1" si="8"/>
        <v>0</v>
      </c>
      <c r="N43" s="20">
        <f t="shared" ca="1" si="9"/>
        <v>2.7397260273972601</v>
      </c>
      <c r="O43" s="6"/>
      <c r="R43" s="38"/>
      <c r="DQ43" s="38"/>
    </row>
    <row r="44" spans="2:121" ht="13.15" customHeight="1" x14ac:dyDescent="0.25">
      <c r="B44" s="1"/>
      <c r="E44" s="6">
        <v>40</v>
      </c>
      <c r="F44" s="6">
        <f t="shared" ca="1" si="1"/>
        <v>90</v>
      </c>
      <c r="G44" s="6">
        <f t="shared" ca="1" si="2"/>
        <v>100</v>
      </c>
      <c r="H44" s="6">
        <f t="shared" ca="1" si="3"/>
        <v>10</v>
      </c>
      <c r="I44" s="6">
        <f t="shared" ca="1" si="4"/>
        <v>1</v>
      </c>
      <c r="J44" s="6">
        <f t="shared" ca="1" si="5"/>
        <v>1</v>
      </c>
      <c r="K44" s="6">
        <f t="shared" ca="1" si="6"/>
        <v>0</v>
      </c>
      <c r="L44" s="6">
        <f t="shared" ca="1" si="7"/>
        <v>0</v>
      </c>
      <c r="M44" s="6">
        <f t="shared" ca="1" si="8"/>
        <v>200</v>
      </c>
      <c r="N44" s="20">
        <f t="shared" ca="1" si="9"/>
        <v>0.27397260273972601</v>
      </c>
      <c r="O44" s="6"/>
      <c r="R44" s="38"/>
      <c r="DQ44" s="38"/>
    </row>
    <row r="45" spans="2:121" ht="13.15" customHeight="1" x14ac:dyDescent="0.25">
      <c r="B45" s="1"/>
      <c r="E45" s="6">
        <v>41</v>
      </c>
      <c r="F45" s="6">
        <f t="shared" ca="1" si="1"/>
        <v>110</v>
      </c>
      <c r="G45" s="6">
        <f t="shared" ca="1" si="2"/>
        <v>10</v>
      </c>
      <c r="H45" s="6">
        <f t="shared" ca="1" si="3"/>
        <v>0</v>
      </c>
      <c r="I45" s="6">
        <f t="shared" ca="1" si="4"/>
        <v>1</v>
      </c>
      <c r="J45" s="6">
        <f t="shared" ca="1" si="5"/>
        <v>1</v>
      </c>
      <c r="K45" s="6">
        <f t="shared" ca="1" si="6"/>
        <v>100</v>
      </c>
      <c r="L45" s="6">
        <f t="shared" ca="1" si="7"/>
        <v>5000</v>
      </c>
      <c r="M45" s="6">
        <f t="shared" ca="1" si="8"/>
        <v>200</v>
      </c>
      <c r="N45" s="20">
        <f t="shared" ca="1" si="9"/>
        <v>0</v>
      </c>
      <c r="O45" s="6"/>
      <c r="R45" s="38"/>
      <c r="DQ45" s="38"/>
    </row>
    <row r="46" spans="2:121" ht="13.15" customHeight="1" x14ac:dyDescent="0.25">
      <c r="B46" s="1"/>
      <c r="E46" s="6">
        <v>42</v>
      </c>
      <c r="F46" s="6">
        <f t="shared" ca="1" si="1"/>
        <v>110</v>
      </c>
      <c r="G46" s="6">
        <f t="shared" ca="1" si="2"/>
        <v>1000</v>
      </c>
      <c r="H46" s="6">
        <f t="shared" ca="1" si="3"/>
        <v>890</v>
      </c>
      <c r="I46" s="6">
        <f t="shared" ca="1" si="4"/>
        <v>0</v>
      </c>
      <c r="J46" s="6">
        <f t="shared" ca="1" si="5"/>
        <v>1</v>
      </c>
      <c r="K46" s="6">
        <f t="shared" ca="1" si="6"/>
        <v>0</v>
      </c>
      <c r="L46" s="6">
        <f t="shared" ca="1" si="7"/>
        <v>0</v>
      </c>
      <c r="M46" s="6">
        <f t="shared" ca="1" si="8"/>
        <v>0</v>
      </c>
      <c r="N46" s="20">
        <f t="shared" ca="1" si="9"/>
        <v>24.383561643835616</v>
      </c>
      <c r="O46" s="6"/>
      <c r="R46" s="38"/>
      <c r="DQ46" s="38"/>
    </row>
    <row r="47" spans="2:121" ht="13.15" customHeight="1" x14ac:dyDescent="0.25">
      <c r="B47" s="1"/>
      <c r="E47" s="6">
        <v>43</v>
      </c>
      <c r="F47" s="6">
        <f t="shared" ca="1" si="1"/>
        <v>100</v>
      </c>
      <c r="G47" s="6">
        <f t="shared" ca="1" si="2"/>
        <v>1890</v>
      </c>
      <c r="H47" s="6">
        <f t="shared" ca="1" si="3"/>
        <v>1790</v>
      </c>
      <c r="I47" s="6">
        <f t="shared" ca="1" si="4"/>
        <v>0</v>
      </c>
      <c r="J47" s="6">
        <f t="shared" ca="1" si="5"/>
        <v>0</v>
      </c>
      <c r="K47" s="6">
        <f t="shared" ca="1" si="6"/>
        <v>0</v>
      </c>
      <c r="L47" s="6">
        <f t="shared" ca="1" si="7"/>
        <v>0</v>
      </c>
      <c r="M47" s="6">
        <f t="shared" ca="1" si="8"/>
        <v>0</v>
      </c>
      <c r="N47" s="20">
        <f t="shared" ca="1" si="9"/>
        <v>49.041095890410958</v>
      </c>
      <c r="O47" s="6"/>
      <c r="R47" s="38"/>
      <c r="DQ47" s="38"/>
    </row>
    <row r="48" spans="2:121" ht="13.15" customHeight="1" x14ac:dyDescent="0.25">
      <c r="B48" s="1"/>
      <c r="E48" s="6">
        <v>44</v>
      </c>
      <c r="F48" s="6">
        <f t="shared" ca="1" si="1"/>
        <v>90</v>
      </c>
      <c r="G48" s="6">
        <f t="shared" ca="1" si="2"/>
        <v>1790</v>
      </c>
      <c r="H48" s="6">
        <f t="shared" ca="1" si="3"/>
        <v>1700</v>
      </c>
      <c r="I48" s="6">
        <f t="shared" ca="1" si="4"/>
        <v>0</v>
      </c>
      <c r="J48" s="6">
        <f t="shared" ca="1" si="5"/>
        <v>0</v>
      </c>
      <c r="K48" s="6">
        <f t="shared" ca="1" si="6"/>
        <v>0</v>
      </c>
      <c r="L48" s="6">
        <f t="shared" ca="1" si="7"/>
        <v>0</v>
      </c>
      <c r="M48" s="6">
        <f t="shared" ca="1" si="8"/>
        <v>0</v>
      </c>
      <c r="N48" s="20">
        <f t="shared" ca="1" si="9"/>
        <v>46.575342465753423</v>
      </c>
      <c r="O48" s="6"/>
      <c r="R48" s="38"/>
      <c r="DQ48" s="38"/>
    </row>
    <row r="49" spans="2:121" ht="13.15" customHeight="1" x14ac:dyDescent="0.25">
      <c r="B49" s="1"/>
      <c r="E49" s="6">
        <v>45</v>
      </c>
      <c r="F49" s="6">
        <f t="shared" ca="1" si="1"/>
        <v>80</v>
      </c>
      <c r="G49" s="6">
        <f t="shared" ca="1" si="2"/>
        <v>1700</v>
      </c>
      <c r="H49" s="6">
        <f t="shared" ca="1" si="3"/>
        <v>1620</v>
      </c>
      <c r="I49" s="6">
        <f t="shared" ca="1" si="4"/>
        <v>0</v>
      </c>
      <c r="J49" s="6">
        <f t="shared" ca="1" si="5"/>
        <v>0</v>
      </c>
      <c r="K49" s="6">
        <f t="shared" ca="1" si="6"/>
        <v>0</v>
      </c>
      <c r="L49" s="6">
        <f t="shared" ca="1" si="7"/>
        <v>0</v>
      </c>
      <c r="M49" s="6">
        <f t="shared" ca="1" si="8"/>
        <v>0</v>
      </c>
      <c r="N49" s="20">
        <f t="shared" ca="1" si="9"/>
        <v>44.383561643835613</v>
      </c>
      <c r="O49" s="6"/>
      <c r="R49" s="38"/>
      <c r="DQ49" s="38"/>
    </row>
    <row r="50" spans="2:121" ht="13.15" customHeight="1" x14ac:dyDescent="0.25">
      <c r="B50" s="1"/>
      <c r="E50" s="6">
        <v>46</v>
      </c>
      <c r="F50" s="6">
        <f t="shared" ca="1" si="1"/>
        <v>120</v>
      </c>
      <c r="G50" s="6">
        <f t="shared" ca="1" si="2"/>
        <v>1620</v>
      </c>
      <c r="H50" s="6">
        <f t="shared" ca="1" si="3"/>
        <v>1500</v>
      </c>
      <c r="I50" s="6">
        <f t="shared" ca="1" si="4"/>
        <v>0</v>
      </c>
      <c r="J50" s="6">
        <f t="shared" ca="1" si="5"/>
        <v>1</v>
      </c>
      <c r="K50" s="6">
        <f t="shared" ca="1" si="6"/>
        <v>0</v>
      </c>
      <c r="L50" s="6">
        <f t="shared" ca="1" si="7"/>
        <v>0</v>
      </c>
      <c r="M50" s="6">
        <f t="shared" ca="1" si="8"/>
        <v>0</v>
      </c>
      <c r="N50" s="20">
        <f t="shared" ca="1" si="9"/>
        <v>41.095890410958901</v>
      </c>
      <c r="O50" s="6"/>
      <c r="R50" s="38"/>
      <c r="DQ50" s="38"/>
    </row>
    <row r="51" spans="2:121" ht="13.15" customHeight="1" x14ac:dyDescent="0.25">
      <c r="B51" s="1"/>
      <c r="E51" s="6">
        <v>47</v>
      </c>
      <c r="F51" s="6">
        <f t="shared" ca="1" si="1"/>
        <v>100</v>
      </c>
      <c r="G51" s="6">
        <f t="shared" ca="1" si="2"/>
        <v>1500</v>
      </c>
      <c r="H51" s="6">
        <f t="shared" ca="1" si="3"/>
        <v>1400</v>
      </c>
      <c r="I51" s="6">
        <f t="shared" ca="1" si="4"/>
        <v>0</v>
      </c>
      <c r="J51" s="6">
        <f t="shared" ca="1" si="5"/>
        <v>1</v>
      </c>
      <c r="K51" s="6">
        <f t="shared" ca="1" si="6"/>
        <v>0</v>
      </c>
      <c r="L51" s="6">
        <f t="shared" ca="1" si="7"/>
        <v>0</v>
      </c>
      <c r="M51" s="6">
        <f t="shared" ca="1" si="8"/>
        <v>0</v>
      </c>
      <c r="N51" s="20">
        <f t="shared" ca="1" si="9"/>
        <v>38.356164383561641</v>
      </c>
      <c r="O51" s="6"/>
      <c r="R51" s="38"/>
      <c r="DQ51" s="38"/>
    </row>
    <row r="52" spans="2:121" ht="13.15" customHeight="1" x14ac:dyDescent="0.25">
      <c r="B52" s="1"/>
      <c r="E52" s="6">
        <v>48</v>
      </c>
      <c r="F52" s="6">
        <f t="shared" ca="1" si="1"/>
        <v>120</v>
      </c>
      <c r="G52" s="6">
        <f t="shared" ca="1" si="2"/>
        <v>1400</v>
      </c>
      <c r="H52" s="6">
        <f t="shared" ca="1" si="3"/>
        <v>1280</v>
      </c>
      <c r="I52" s="6">
        <f t="shared" ca="1" si="4"/>
        <v>0</v>
      </c>
      <c r="J52" s="6">
        <f t="shared" ca="1" si="5"/>
        <v>0</v>
      </c>
      <c r="K52" s="6">
        <f t="shared" ca="1" si="6"/>
        <v>0</v>
      </c>
      <c r="L52" s="6">
        <f t="shared" ca="1" si="7"/>
        <v>0</v>
      </c>
      <c r="M52" s="6">
        <f t="shared" ca="1" si="8"/>
        <v>0</v>
      </c>
      <c r="N52" s="20">
        <f t="shared" ca="1" si="9"/>
        <v>35.06849315068493</v>
      </c>
      <c r="O52" s="6"/>
      <c r="R52" s="38"/>
      <c r="DQ52" s="38"/>
    </row>
    <row r="53" spans="2:121" ht="13.15" customHeight="1" x14ac:dyDescent="0.25">
      <c r="B53" s="1"/>
      <c r="E53" s="6">
        <v>49</v>
      </c>
      <c r="F53" s="6">
        <f t="shared" ca="1" si="1"/>
        <v>120</v>
      </c>
      <c r="G53" s="6">
        <f t="shared" ca="1" si="2"/>
        <v>1280</v>
      </c>
      <c r="H53" s="6">
        <f t="shared" ca="1" si="3"/>
        <v>1160</v>
      </c>
      <c r="I53" s="6">
        <f t="shared" ca="1" si="4"/>
        <v>0</v>
      </c>
      <c r="J53" s="6">
        <f t="shared" ca="1" si="5"/>
        <v>1</v>
      </c>
      <c r="K53" s="6">
        <f t="shared" ca="1" si="6"/>
        <v>0</v>
      </c>
      <c r="L53" s="6">
        <f t="shared" ca="1" si="7"/>
        <v>0</v>
      </c>
      <c r="M53" s="6">
        <f t="shared" ca="1" si="8"/>
        <v>0</v>
      </c>
      <c r="N53" s="20">
        <f t="shared" ca="1" si="9"/>
        <v>31.780821917808218</v>
      </c>
      <c r="O53" s="6"/>
      <c r="R53" s="38"/>
      <c r="DQ53" s="38"/>
    </row>
    <row r="54" spans="2:121" ht="13.15" customHeight="1" x14ac:dyDescent="0.25">
      <c r="B54" s="1"/>
      <c r="E54" s="6">
        <v>50</v>
      </c>
      <c r="F54" s="6">
        <f t="shared" ca="1" si="1"/>
        <v>80</v>
      </c>
      <c r="G54" s="6">
        <f t="shared" ca="1" si="2"/>
        <v>1160</v>
      </c>
      <c r="H54" s="6">
        <f t="shared" ca="1" si="3"/>
        <v>1080</v>
      </c>
      <c r="I54" s="6">
        <f t="shared" ca="1" si="4"/>
        <v>0</v>
      </c>
      <c r="J54" s="6">
        <f t="shared" ca="1" si="5"/>
        <v>1</v>
      </c>
      <c r="K54" s="6">
        <f t="shared" ca="1" si="6"/>
        <v>0</v>
      </c>
      <c r="L54" s="6">
        <f t="shared" ca="1" si="7"/>
        <v>0</v>
      </c>
      <c r="M54" s="6">
        <f t="shared" ca="1" si="8"/>
        <v>0</v>
      </c>
      <c r="N54" s="20">
        <f t="shared" ca="1" si="9"/>
        <v>29.589041095890408</v>
      </c>
      <c r="O54" s="6"/>
    </row>
    <row r="55" spans="2:121" ht="13.15" customHeight="1" x14ac:dyDescent="0.25">
      <c r="B55" s="1"/>
      <c r="E55" s="6">
        <v>51</v>
      </c>
      <c r="F55" s="6">
        <f t="shared" ca="1" si="1"/>
        <v>110</v>
      </c>
      <c r="G55" s="6">
        <f t="shared" ca="1" si="2"/>
        <v>1080</v>
      </c>
      <c r="H55" s="6">
        <f t="shared" ca="1" si="3"/>
        <v>970</v>
      </c>
      <c r="I55" s="6">
        <f t="shared" ca="1" si="4"/>
        <v>0</v>
      </c>
      <c r="J55" s="6">
        <f t="shared" ca="1" si="5"/>
        <v>0</v>
      </c>
      <c r="K55" s="6">
        <f t="shared" ca="1" si="6"/>
        <v>0</v>
      </c>
      <c r="L55" s="6">
        <f t="shared" ca="1" si="7"/>
        <v>0</v>
      </c>
      <c r="M55" s="6">
        <f t="shared" ca="1" si="8"/>
        <v>0</v>
      </c>
      <c r="N55" s="20">
        <f t="shared" ca="1" si="9"/>
        <v>26.575342465753423</v>
      </c>
      <c r="O55" s="6"/>
    </row>
    <row r="56" spans="2:121" ht="13.15" customHeight="1" x14ac:dyDescent="0.25">
      <c r="B56" s="1"/>
      <c r="E56" s="6">
        <v>52</v>
      </c>
      <c r="F56" s="6">
        <f t="shared" ca="1" si="1"/>
        <v>90</v>
      </c>
      <c r="G56" s="6">
        <f t="shared" ca="1" si="2"/>
        <v>970</v>
      </c>
      <c r="H56" s="6">
        <f t="shared" ca="1" si="3"/>
        <v>880</v>
      </c>
      <c r="I56" s="6">
        <f t="shared" ca="1" si="4"/>
        <v>0</v>
      </c>
      <c r="J56" s="6">
        <f t="shared" ca="1" si="5"/>
        <v>0</v>
      </c>
      <c r="K56" s="6">
        <f t="shared" ca="1" si="6"/>
        <v>0</v>
      </c>
      <c r="L56" s="6">
        <f t="shared" ca="1" si="7"/>
        <v>0</v>
      </c>
      <c r="M56" s="6">
        <f t="shared" ca="1" si="8"/>
        <v>0</v>
      </c>
      <c r="N56" s="20">
        <f t="shared" ca="1" si="9"/>
        <v>24.109589041095887</v>
      </c>
      <c r="O56" s="6"/>
    </row>
    <row r="57" spans="2:121" ht="13.15" customHeight="1" x14ac:dyDescent="0.25">
      <c r="B57" s="1"/>
      <c r="E57" s="6">
        <v>53</v>
      </c>
      <c r="F57" s="6">
        <f t="shared" ca="1" si="1"/>
        <v>100</v>
      </c>
      <c r="G57" s="6">
        <f t="shared" ca="1" si="2"/>
        <v>880</v>
      </c>
      <c r="H57" s="6">
        <f t="shared" ca="1" si="3"/>
        <v>780</v>
      </c>
      <c r="I57" s="6">
        <f t="shared" ca="1" si="4"/>
        <v>0</v>
      </c>
      <c r="J57" s="6">
        <f t="shared" ca="1" si="5"/>
        <v>0</v>
      </c>
      <c r="K57" s="6">
        <f t="shared" ca="1" si="6"/>
        <v>0</v>
      </c>
      <c r="L57" s="6">
        <f t="shared" ca="1" si="7"/>
        <v>0</v>
      </c>
      <c r="M57" s="6">
        <f t="shared" ca="1" si="8"/>
        <v>0</v>
      </c>
      <c r="N57" s="20">
        <f t="shared" ca="1" si="9"/>
        <v>21.36986301369863</v>
      </c>
      <c r="O57" s="6"/>
    </row>
    <row r="58" spans="2:121" ht="13.15" customHeight="1" x14ac:dyDescent="0.25">
      <c r="B58" s="1"/>
      <c r="E58" s="6">
        <v>54</v>
      </c>
      <c r="F58" s="6">
        <f t="shared" ca="1" si="1"/>
        <v>110</v>
      </c>
      <c r="G58" s="6">
        <f t="shared" ca="1" si="2"/>
        <v>780</v>
      </c>
      <c r="H58" s="6">
        <f t="shared" ca="1" si="3"/>
        <v>670</v>
      </c>
      <c r="I58" s="6">
        <f t="shared" ca="1" si="4"/>
        <v>0</v>
      </c>
      <c r="J58" s="6">
        <f t="shared" ca="1" si="5"/>
        <v>0</v>
      </c>
      <c r="K58" s="6">
        <f t="shared" ca="1" si="6"/>
        <v>0</v>
      </c>
      <c r="L58" s="6">
        <f t="shared" ca="1" si="7"/>
        <v>0</v>
      </c>
      <c r="M58" s="6">
        <f t="shared" ca="1" si="8"/>
        <v>0</v>
      </c>
      <c r="N58" s="20">
        <f t="shared" ca="1" si="9"/>
        <v>18.356164383561644</v>
      </c>
      <c r="O58" s="6"/>
    </row>
    <row r="59" spans="2:121" ht="13.15" customHeight="1" x14ac:dyDescent="0.25">
      <c r="B59" s="1"/>
      <c r="E59" s="6">
        <v>55</v>
      </c>
      <c r="F59" s="6">
        <f t="shared" ca="1" si="1"/>
        <v>110</v>
      </c>
      <c r="G59" s="6">
        <f t="shared" ca="1" si="2"/>
        <v>670</v>
      </c>
      <c r="H59" s="6">
        <f t="shared" ca="1" si="3"/>
        <v>560</v>
      </c>
      <c r="I59" s="6">
        <f t="shared" ca="1" si="4"/>
        <v>0</v>
      </c>
      <c r="J59" s="6">
        <f t="shared" ca="1" si="5"/>
        <v>1</v>
      </c>
      <c r="K59" s="6">
        <f t="shared" ca="1" si="6"/>
        <v>0</v>
      </c>
      <c r="L59" s="6">
        <f t="shared" ca="1" si="7"/>
        <v>0</v>
      </c>
      <c r="M59" s="6">
        <f t="shared" ca="1" si="8"/>
        <v>0</v>
      </c>
      <c r="N59" s="20">
        <f t="shared" ca="1" si="9"/>
        <v>15.342465753424657</v>
      </c>
      <c r="O59" s="6"/>
    </row>
    <row r="60" spans="2:121" ht="13.15" customHeight="1" x14ac:dyDescent="0.25">
      <c r="B60" s="1"/>
      <c r="E60" s="6">
        <v>56</v>
      </c>
      <c r="F60" s="6">
        <f t="shared" ca="1" si="1"/>
        <v>90</v>
      </c>
      <c r="G60" s="6">
        <f t="shared" ca="1" si="2"/>
        <v>560</v>
      </c>
      <c r="H60" s="6">
        <f t="shared" ca="1" si="3"/>
        <v>470</v>
      </c>
      <c r="I60" s="6">
        <f t="shared" ca="1" si="4"/>
        <v>0</v>
      </c>
      <c r="J60" s="6">
        <f t="shared" ca="1" si="5"/>
        <v>0</v>
      </c>
      <c r="K60" s="6">
        <f t="shared" ca="1" si="6"/>
        <v>0</v>
      </c>
      <c r="L60" s="6">
        <f t="shared" ca="1" si="7"/>
        <v>0</v>
      </c>
      <c r="M60" s="6">
        <f t="shared" ca="1" si="8"/>
        <v>0</v>
      </c>
      <c r="N60" s="20">
        <f t="shared" ca="1" si="9"/>
        <v>12.876712328767123</v>
      </c>
      <c r="O60" s="6"/>
    </row>
    <row r="61" spans="2:121" ht="13.15" customHeight="1" x14ac:dyDescent="0.25">
      <c r="B61" s="1"/>
      <c r="E61" s="6">
        <v>57</v>
      </c>
      <c r="F61" s="6">
        <f t="shared" ca="1" si="1"/>
        <v>110</v>
      </c>
      <c r="G61" s="6">
        <f t="shared" ca="1" si="2"/>
        <v>470</v>
      </c>
      <c r="H61" s="6">
        <f t="shared" ca="1" si="3"/>
        <v>360</v>
      </c>
      <c r="I61" s="6">
        <f t="shared" ca="1" si="4"/>
        <v>0</v>
      </c>
      <c r="J61" s="6">
        <f t="shared" ca="1" si="5"/>
        <v>0</v>
      </c>
      <c r="K61" s="6">
        <f t="shared" ca="1" si="6"/>
        <v>0</v>
      </c>
      <c r="L61" s="6">
        <f t="shared" ca="1" si="7"/>
        <v>0</v>
      </c>
      <c r="M61" s="6">
        <f t="shared" ca="1" si="8"/>
        <v>0</v>
      </c>
      <c r="N61" s="20">
        <f t="shared" ca="1" si="9"/>
        <v>9.8630136986301373</v>
      </c>
      <c r="O61" s="6"/>
    </row>
    <row r="62" spans="2:121" ht="13.15" customHeight="1" x14ac:dyDescent="0.25">
      <c r="B62" s="1"/>
      <c r="E62" s="6">
        <v>58</v>
      </c>
      <c r="F62" s="6">
        <f t="shared" ca="1" si="1"/>
        <v>100</v>
      </c>
      <c r="G62" s="6">
        <f t="shared" ca="1" si="2"/>
        <v>360</v>
      </c>
      <c r="H62" s="6">
        <f t="shared" ca="1" si="3"/>
        <v>260</v>
      </c>
      <c r="I62" s="6">
        <f t="shared" ca="1" si="4"/>
        <v>0</v>
      </c>
      <c r="J62" s="6">
        <f t="shared" ca="1" si="5"/>
        <v>1</v>
      </c>
      <c r="K62" s="6">
        <f t="shared" ca="1" si="6"/>
        <v>0</v>
      </c>
      <c r="L62" s="6">
        <f t="shared" ca="1" si="7"/>
        <v>0</v>
      </c>
      <c r="M62" s="6">
        <f t="shared" ca="1" si="8"/>
        <v>0</v>
      </c>
      <c r="N62" s="20">
        <f t="shared" ca="1" si="9"/>
        <v>7.1232876712328768</v>
      </c>
      <c r="O62" s="6"/>
    </row>
    <row r="63" spans="2:121" ht="13.15" customHeight="1" x14ac:dyDescent="0.25">
      <c r="B63" s="1"/>
      <c r="E63" s="6">
        <v>59</v>
      </c>
      <c r="F63" s="6">
        <f t="shared" ca="1" si="1"/>
        <v>120</v>
      </c>
      <c r="G63" s="6">
        <f t="shared" ca="1" si="2"/>
        <v>260</v>
      </c>
      <c r="H63" s="6">
        <f t="shared" ca="1" si="3"/>
        <v>140</v>
      </c>
      <c r="I63" s="6">
        <f t="shared" ca="1" si="4"/>
        <v>0</v>
      </c>
      <c r="J63" s="6">
        <f t="shared" ca="1" si="5"/>
        <v>1</v>
      </c>
      <c r="K63" s="6">
        <f t="shared" ca="1" si="6"/>
        <v>0</v>
      </c>
      <c r="L63" s="6">
        <f t="shared" ca="1" si="7"/>
        <v>0</v>
      </c>
      <c r="M63" s="6">
        <f t="shared" ca="1" si="8"/>
        <v>0</v>
      </c>
      <c r="N63" s="20">
        <f t="shared" ca="1" si="9"/>
        <v>3.8356164383561642</v>
      </c>
      <c r="O63" s="6"/>
    </row>
    <row r="64" spans="2:121" ht="13.15" customHeight="1" x14ac:dyDescent="0.25">
      <c r="B64" s="1"/>
      <c r="E64" s="6">
        <v>60</v>
      </c>
      <c r="F64" s="6">
        <f t="shared" ca="1" si="1"/>
        <v>80</v>
      </c>
      <c r="G64" s="6">
        <f t="shared" ca="1" si="2"/>
        <v>140</v>
      </c>
      <c r="H64" s="6">
        <f t="shared" ca="1" si="3"/>
        <v>60</v>
      </c>
      <c r="I64" s="6">
        <f t="shared" ca="1" si="4"/>
        <v>1</v>
      </c>
      <c r="J64" s="6">
        <f t="shared" ca="1" si="5"/>
        <v>0</v>
      </c>
      <c r="K64" s="6">
        <f t="shared" ca="1" si="6"/>
        <v>0</v>
      </c>
      <c r="L64" s="6">
        <f t="shared" ca="1" si="7"/>
        <v>0</v>
      </c>
      <c r="M64" s="6">
        <f t="shared" ca="1" si="8"/>
        <v>200</v>
      </c>
      <c r="N64" s="20">
        <f t="shared" ca="1" si="9"/>
        <v>1.6438356164383561</v>
      </c>
      <c r="O64" s="6"/>
    </row>
    <row r="65" spans="2:15" ht="13.15" customHeight="1" x14ac:dyDescent="0.25">
      <c r="B65" s="1"/>
      <c r="E65" s="6">
        <v>61</v>
      </c>
      <c r="F65" s="6">
        <f t="shared" ca="1" si="1"/>
        <v>100</v>
      </c>
      <c r="G65" s="6">
        <f t="shared" ca="1" si="2"/>
        <v>1060</v>
      </c>
      <c r="H65" s="6">
        <f t="shared" ca="1" si="3"/>
        <v>960</v>
      </c>
      <c r="I65" s="6">
        <f t="shared" ca="1" si="4"/>
        <v>0</v>
      </c>
      <c r="J65" s="6">
        <f t="shared" ca="1" si="5"/>
        <v>1</v>
      </c>
      <c r="K65" s="6">
        <f t="shared" ca="1" si="6"/>
        <v>0</v>
      </c>
      <c r="L65" s="6">
        <f t="shared" ca="1" si="7"/>
        <v>0</v>
      </c>
      <c r="M65" s="6">
        <f t="shared" ca="1" si="8"/>
        <v>0</v>
      </c>
      <c r="N65" s="20">
        <f t="shared" ca="1" si="9"/>
        <v>26.301369863013697</v>
      </c>
      <c r="O65" s="6"/>
    </row>
    <row r="66" spans="2:15" ht="13.15" customHeight="1" x14ac:dyDescent="0.25">
      <c r="B66" s="1"/>
      <c r="E66" s="6">
        <v>62</v>
      </c>
      <c r="F66" s="6">
        <f t="shared" ca="1" si="1"/>
        <v>90</v>
      </c>
      <c r="G66" s="6">
        <f t="shared" ca="1" si="2"/>
        <v>960</v>
      </c>
      <c r="H66" s="6">
        <f t="shared" ca="1" si="3"/>
        <v>870</v>
      </c>
      <c r="I66" s="6">
        <f t="shared" ca="1" si="4"/>
        <v>0</v>
      </c>
      <c r="J66" s="6">
        <f t="shared" ca="1" si="5"/>
        <v>0</v>
      </c>
      <c r="K66" s="6">
        <f t="shared" ca="1" si="6"/>
        <v>0</v>
      </c>
      <c r="L66" s="6">
        <f t="shared" ca="1" si="7"/>
        <v>0</v>
      </c>
      <c r="M66" s="6">
        <f t="shared" ca="1" si="8"/>
        <v>0</v>
      </c>
      <c r="N66" s="20">
        <f t="shared" ca="1" si="9"/>
        <v>23.835616438356162</v>
      </c>
      <c r="O66" s="6"/>
    </row>
    <row r="67" spans="2:15" ht="13.15" customHeight="1" x14ac:dyDescent="0.25">
      <c r="B67" s="1"/>
      <c r="E67" s="6">
        <v>63</v>
      </c>
      <c r="F67" s="6">
        <f t="shared" ca="1" si="1"/>
        <v>100</v>
      </c>
      <c r="G67" s="6">
        <f t="shared" ca="1" si="2"/>
        <v>870</v>
      </c>
      <c r="H67" s="6">
        <f t="shared" ca="1" si="3"/>
        <v>770</v>
      </c>
      <c r="I67" s="6">
        <f t="shared" ca="1" si="4"/>
        <v>0</v>
      </c>
      <c r="J67" s="6">
        <f t="shared" ca="1" si="5"/>
        <v>0</v>
      </c>
      <c r="K67" s="6">
        <f t="shared" ca="1" si="6"/>
        <v>0</v>
      </c>
      <c r="L67" s="6">
        <f t="shared" ca="1" si="7"/>
        <v>0</v>
      </c>
      <c r="M67" s="6">
        <f t="shared" ca="1" si="8"/>
        <v>0</v>
      </c>
      <c r="N67" s="20">
        <f t="shared" ca="1" si="9"/>
        <v>21.095890410958901</v>
      </c>
      <c r="O67" s="6"/>
    </row>
    <row r="68" spans="2:15" ht="13.15" customHeight="1" x14ac:dyDescent="0.25">
      <c r="B68" s="1"/>
      <c r="E68" s="6">
        <v>64</v>
      </c>
      <c r="F68" s="6">
        <f t="shared" ca="1" si="1"/>
        <v>100</v>
      </c>
      <c r="G68" s="6">
        <f t="shared" ca="1" si="2"/>
        <v>770</v>
      </c>
      <c r="H68" s="6">
        <f t="shared" ca="1" si="3"/>
        <v>670</v>
      </c>
      <c r="I68" s="6">
        <f t="shared" ca="1" si="4"/>
        <v>0</v>
      </c>
      <c r="J68" s="6">
        <f t="shared" ca="1" si="5"/>
        <v>0</v>
      </c>
      <c r="K68" s="6">
        <f t="shared" ca="1" si="6"/>
        <v>0</v>
      </c>
      <c r="L68" s="6">
        <f t="shared" ca="1" si="7"/>
        <v>0</v>
      </c>
      <c r="M68" s="6">
        <f t="shared" ca="1" si="8"/>
        <v>0</v>
      </c>
      <c r="N68" s="20">
        <f t="shared" ca="1" si="9"/>
        <v>18.356164383561644</v>
      </c>
      <c r="O68" s="6"/>
    </row>
    <row r="69" spans="2:15" ht="13.15" customHeight="1" x14ac:dyDescent="0.25">
      <c r="B69" s="1"/>
      <c r="E69" s="6">
        <v>65</v>
      </c>
      <c r="F69" s="6">
        <f t="shared" ca="1" si="1"/>
        <v>100</v>
      </c>
      <c r="G69" s="6">
        <f t="shared" ca="1" si="2"/>
        <v>670</v>
      </c>
      <c r="H69" s="6">
        <f t="shared" ca="1" si="3"/>
        <v>570</v>
      </c>
      <c r="I69" s="6">
        <f t="shared" ca="1" si="4"/>
        <v>0</v>
      </c>
      <c r="J69" s="6">
        <f t="shared" ca="1" si="5"/>
        <v>0</v>
      </c>
      <c r="K69" s="6">
        <f t="shared" ca="1" si="6"/>
        <v>0</v>
      </c>
      <c r="L69" s="6">
        <f t="shared" ca="1" si="7"/>
        <v>0</v>
      </c>
      <c r="M69" s="6">
        <f t="shared" ca="1" si="8"/>
        <v>0</v>
      </c>
      <c r="N69" s="20">
        <f t="shared" ca="1" si="9"/>
        <v>15.616438356164382</v>
      </c>
      <c r="O69" s="6"/>
    </row>
    <row r="70" spans="2:15" ht="13.15" customHeight="1" x14ac:dyDescent="0.25">
      <c r="B70" s="1"/>
      <c r="E70" s="6">
        <v>66</v>
      </c>
      <c r="F70" s="6">
        <f t="shared" ref="F70:F133" ca="1" si="11">INDEX($T$17:$T$21,MATCH(RAND(),$V$17:$V$22,1))</f>
        <v>110</v>
      </c>
      <c r="G70" s="6">
        <f t="shared" ca="1" si="2"/>
        <v>570</v>
      </c>
      <c r="H70" s="6">
        <f t="shared" ca="1" si="3"/>
        <v>460</v>
      </c>
      <c r="I70" s="6">
        <f t="shared" ca="1" si="4"/>
        <v>0</v>
      </c>
      <c r="J70" s="6">
        <f t="shared" ca="1" si="5"/>
        <v>0</v>
      </c>
      <c r="K70" s="6">
        <f t="shared" ca="1" si="6"/>
        <v>0</v>
      </c>
      <c r="L70" s="6">
        <f t="shared" ca="1" si="7"/>
        <v>0</v>
      </c>
      <c r="M70" s="6">
        <f t="shared" ca="1" si="8"/>
        <v>0</v>
      </c>
      <c r="N70" s="20">
        <f t="shared" ca="1" si="9"/>
        <v>12.602739726027396</v>
      </c>
      <c r="O70" s="6"/>
    </row>
    <row r="71" spans="2:15" ht="13.15" customHeight="1" x14ac:dyDescent="0.25">
      <c r="B71" s="1"/>
      <c r="E71" s="6">
        <v>67</v>
      </c>
      <c r="F71" s="6">
        <f t="shared" ca="1" si="11"/>
        <v>90</v>
      </c>
      <c r="G71" s="6">
        <f t="shared" ref="G71:G134" ca="1" si="12">H70+IF(AND(I70=1,J70=0),$C$9,0)+IF(AND(I69=1,J69=1),$C$9,0)</f>
        <v>460</v>
      </c>
      <c r="H71" s="6">
        <f t="shared" ref="H71:H134" ca="1" si="13">MAX(G71-F71,0)</f>
        <v>370</v>
      </c>
      <c r="I71" s="6">
        <f t="shared" ref="I71:I134" ca="1" si="14">IF(H71&lt;$C$3,1,0)</f>
        <v>0</v>
      </c>
      <c r="J71" s="6">
        <f t="shared" ref="J71:J134" ca="1" si="15">IF(RAND()&lt;0.5,0,1)</f>
        <v>0</v>
      </c>
      <c r="K71" s="6">
        <f t="shared" ref="K71:K134" ca="1" si="16">-MIN(G71-F71,0)</f>
        <v>0</v>
      </c>
      <c r="L71" s="6">
        <f t="shared" ref="L71:L134" ca="1" si="17">K71*$C$8</f>
        <v>0</v>
      </c>
      <c r="M71" s="6">
        <f t="shared" ref="M71:M134" ca="1" si="18">I71*$C$4</f>
        <v>0</v>
      </c>
      <c r="N71" s="20">
        <f t="shared" ref="N71:N134" ca="1" si="19">H71*$C$7</f>
        <v>10.136986301369863</v>
      </c>
      <c r="O71" s="6"/>
    </row>
    <row r="72" spans="2:15" ht="13.15" customHeight="1" x14ac:dyDescent="0.25">
      <c r="B72" s="1"/>
      <c r="E72" s="6">
        <v>68</v>
      </c>
      <c r="F72" s="6">
        <f t="shared" ca="1" si="11"/>
        <v>100</v>
      </c>
      <c r="G72" s="6">
        <f t="shared" ca="1" si="12"/>
        <v>370</v>
      </c>
      <c r="H72" s="6">
        <f t="shared" ca="1" si="13"/>
        <v>270</v>
      </c>
      <c r="I72" s="6">
        <f t="shared" ca="1" si="14"/>
        <v>0</v>
      </c>
      <c r="J72" s="6">
        <f t="shared" ca="1" si="15"/>
        <v>1</v>
      </c>
      <c r="K72" s="6">
        <f t="shared" ca="1" si="16"/>
        <v>0</v>
      </c>
      <c r="L72" s="6">
        <f t="shared" ca="1" si="17"/>
        <v>0</v>
      </c>
      <c r="M72" s="6">
        <f t="shared" ca="1" si="18"/>
        <v>0</v>
      </c>
      <c r="N72" s="20">
        <f t="shared" ca="1" si="19"/>
        <v>7.3972602739726021</v>
      </c>
      <c r="O72" s="6"/>
    </row>
    <row r="73" spans="2:15" ht="13.15" customHeight="1" x14ac:dyDescent="0.25">
      <c r="B73" s="1"/>
      <c r="E73" s="6">
        <v>69</v>
      </c>
      <c r="F73" s="6">
        <f t="shared" ca="1" si="11"/>
        <v>90</v>
      </c>
      <c r="G73" s="6">
        <f t="shared" ca="1" si="12"/>
        <v>270</v>
      </c>
      <c r="H73" s="6">
        <f t="shared" ca="1" si="13"/>
        <v>180</v>
      </c>
      <c r="I73" s="6">
        <f t="shared" ca="1" si="14"/>
        <v>0</v>
      </c>
      <c r="J73" s="6">
        <f t="shared" ca="1" si="15"/>
        <v>0</v>
      </c>
      <c r="K73" s="6">
        <f t="shared" ca="1" si="16"/>
        <v>0</v>
      </c>
      <c r="L73" s="6">
        <f t="shared" ca="1" si="17"/>
        <v>0</v>
      </c>
      <c r="M73" s="6">
        <f t="shared" ca="1" si="18"/>
        <v>0</v>
      </c>
      <c r="N73" s="20">
        <f t="shared" ca="1" si="19"/>
        <v>4.9315068493150687</v>
      </c>
      <c r="O73" s="6"/>
    </row>
    <row r="74" spans="2:15" ht="13.15" customHeight="1" x14ac:dyDescent="0.25">
      <c r="B74" s="1"/>
      <c r="E74" s="6">
        <v>70</v>
      </c>
      <c r="F74" s="6">
        <f t="shared" ca="1" si="11"/>
        <v>80</v>
      </c>
      <c r="G74" s="6">
        <f t="shared" ca="1" si="12"/>
        <v>180</v>
      </c>
      <c r="H74" s="6">
        <f t="shared" ca="1" si="13"/>
        <v>100</v>
      </c>
      <c r="I74" s="6">
        <f t="shared" ca="1" si="14"/>
        <v>0</v>
      </c>
      <c r="J74" s="6">
        <f t="shared" ca="1" si="15"/>
        <v>0</v>
      </c>
      <c r="K74" s="6">
        <f t="shared" ca="1" si="16"/>
        <v>0</v>
      </c>
      <c r="L74" s="6">
        <f t="shared" ca="1" si="17"/>
        <v>0</v>
      </c>
      <c r="M74" s="6">
        <f t="shared" ca="1" si="18"/>
        <v>0</v>
      </c>
      <c r="N74" s="20">
        <f t="shared" ca="1" si="19"/>
        <v>2.7397260273972601</v>
      </c>
      <c r="O74" s="6"/>
    </row>
    <row r="75" spans="2:15" ht="13.15" customHeight="1" x14ac:dyDescent="0.25">
      <c r="B75" s="1"/>
      <c r="E75" s="6">
        <v>71</v>
      </c>
      <c r="F75" s="6">
        <f t="shared" ca="1" si="11"/>
        <v>110</v>
      </c>
      <c r="G75" s="6">
        <f t="shared" ca="1" si="12"/>
        <v>100</v>
      </c>
      <c r="H75" s="6">
        <f t="shared" ca="1" si="13"/>
        <v>0</v>
      </c>
      <c r="I75" s="6">
        <f t="shared" ca="1" si="14"/>
        <v>1</v>
      </c>
      <c r="J75" s="6">
        <f t="shared" ca="1" si="15"/>
        <v>0</v>
      </c>
      <c r="K75" s="6">
        <f t="shared" ca="1" si="16"/>
        <v>10</v>
      </c>
      <c r="L75" s="6">
        <f t="shared" ca="1" si="17"/>
        <v>500</v>
      </c>
      <c r="M75" s="6">
        <f t="shared" ca="1" si="18"/>
        <v>200</v>
      </c>
      <c r="N75" s="20">
        <f t="shared" ca="1" si="19"/>
        <v>0</v>
      </c>
      <c r="O75" s="6"/>
    </row>
    <row r="76" spans="2:15" ht="13.15" customHeight="1" x14ac:dyDescent="0.25">
      <c r="B76" s="1"/>
      <c r="E76" s="6">
        <v>72</v>
      </c>
      <c r="F76" s="6">
        <f t="shared" ca="1" si="11"/>
        <v>110</v>
      </c>
      <c r="G76" s="6">
        <f t="shared" ca="1" si="12"/>
        <v>1000</v>
      </c>
      <c r="H76" s="6">
        <f t="shared" ca="1" si="13"/>
        <v>890</v>
      </c>
      <c r="I76" s="6">
        <f t="shared" ca="1" si="14"/>
        <v>0</v>
      </c>
      <c r="J76" s="6">
        <f t="shared" ca="1" si="15"/>
        <v>0</v>
      </c>
      <c r="K76" s="6">
        <f t="shared" ca="1" si="16"/>
        <v>0</v>
      </c>
      <c r="L76" s="6">
        <f t="shared" ca="1" si="17"/>
        <v>0</v>
      </c>
      <c r="M76" s="6">
        <f t="shared" ca="1" si="18"/>
        <v>0</v>
      </c>
      <c r="N76" s="20">
        <f t="shared" ca="1" si="19"/>
        <v>24.383561643835616</v>
      </c>
      <c r="O76" s="6"/>
    </row>
    <row r="77" spans="2:15" ht="13.15" customHeight="1" x14ac:dyDescent="0.25">
      <c r="B77" s="1"/>
      <c r="E77" s="6">
        <v>73</v>
      </c>
      <c r="F77" s="6">
        <f t="shared" ca="1" si="11"/>
        <v>120</v>
      </c>
      <c r="G77" s="6">
        <f t="shared" ca="1" si="12"/>
        <v>890</v>
      </c>
      <c r="H77" s="6">
        <f t="shared" ca="1" si="13"/>
        <v>770</v>
      </c>
      <c r="I77" s="6">
        <f t="shared" ca="1" si="14"/>
        <v>0</v>
      </c>
      <c r="J77" s="6">
        <f t="shared" ca="1" si="15"/>
        <v>0</v>
      </c>
      <c r="K77" s="6">
        <f t="shared" ca="1" si="16"/>
        <v>0</v>
      </c>
      <c r="L77" s="6">
        <f t="shared" ca="1" si="17"/>
        <v>0</v>
      </c>
      <c r="M77" s="6">
        <f t="shared" ca="1" si="18"/>
        <v>0</v>
      </c>
      <c r="N77" s="20">
        <f t="shared" ca="1" si="19"/>
        <v>21.095890410958901</v>
      </c>
      <c r="O77" s="6"/>
    </row>
    <row r="78" spans="2:15" ht="13.15" customHeight="1" x14ac:dyDescent="0.25">
      <c r="B78" s="1"/>
      <c r="E78" s="6">
        <v>74</v>
      </c>
      <c r="F78" s="6">
        <f t="shared" ca="1" si="11"/>
        <v>110</v>
      </c>
      <c r="G78" s="6">
        <f t="shared" ca="1" si="12"/>
        <v>770</v>
      </c>
      <c r="H78" s="6">
        <f t="shared" ca="1" si="13"/>
        <v>660</v>
      </c>
      <c r="I78" s="6">
        <f t="shared" ca="1" si="14"/>
        <v>0</v>
      </c>
      <c r="J78" s="6">
        <f t="shared" ca="1" si="15"/>
        <v>0</v>
      </c>
      <c r="K78" s="6">
        <f t="shared" ca="1" si="16"/>
        <v>0</v>
      </c>
      <c r="L78" s="6">
        <f t="shared" ca="1" si="17"/>
        <v>0</v>
      </c>
      <c r="M78" s="6">
        <f t="shared" ca="1" si="18"/>
        <v>0</v>
      </c>
      <c r="N78" s="20">
        <f t="shared" ca="1" si="19"/>
        <v>18.082191780821915</v>
      </c>
      <c r="O78" s="6"/>
    </row>
    <row r="79" spans="2:15" ht="13.15" customHeight="1" x14ac:dyDescent="0.25">
      <c r="B79" s="1"/>
      <c r="E79" s="6">
        <v>75</v>
      </c>
      <c r="F79" s="6">
        <f t="shared" ca="1" si="11"/>
        <v>100</v>
      </c>
      <c r="G79" s="6">
        <f t="shared" ca="1" si="12"/>
        <v>660</v>
      </c>
      <c r="H79" s="6">
        <f t="shared" ca="1" si="13"/>
        <v>560</v>
      </c>
      <c r="I79" s="6">
        <f t="shared" ca="1" si="14"/>
        <v>0</v>
      </c>
      <c r="J79" s="6">
        <f t="shared" ca="1" si="15"/>
        <v>1</v>
      </c>
      <c r="K79" s="6">
        <f t="shared" ca="1" si="16"/>
        <v>0</v>
      </c>
      <c r="L79" s="6">
        <f t="shared" ca="1" si="17"/>
        <v>0</v>
      </c>
      <c r="M79" s="6">
        <f t="shared" ca="1" si="18"/>
        <v>0</v>
      </c>
      <c r="N79" s="20">
        <f t="shared" ca="1" si="19"/>
        <v>15.342465753424657</v>
      </c>
      <c r="O79" s="6"/>
    </row>
    <row r="80" spans="2:15" ht="13.15" customHeight="1" x14ac:dyDescent="0.25">
      <c r="B80" s="1"/>
      <c r="E80" s="6">
        <v>76</v>
      </c>
      <c r="F80" s="6">
        <f t="shared" ca="1" si="11"/>
        <v>100</v>
      </c>
      <c r="G80" s="6">
        <f t="shared" ca="1" si="12"/>
        <v>560</v>
      </c>
      <c r="H80" s="6">
        <f t="shared" ca="1" si="13"/>
        <v>460</v>
      </c>
      <c r="I80" s="6">
        <f t="shared" ca="1" si="14"/>
        <v>0</v>
      </c>
      <c r="J80" s="6">
        <f t="shared" ca="1" si="15"/>
        <v>1</v>
      </c>
      <c r="K80" s="6">
        <f t="shared" ca="1" si="16"/>
        <v>0</v>
      </c>
      <c r="L80" s="6">
        <f t="shared" ca="1" si="17"/>
        <v>0</v>
      </c>
      <c r="M80" s="6">
        <f t="shared" ca="1" si="18"/>
        <v>0</v>
      </c>
      <c r="N80" s="20">
        <f t="shared" ca="1" si="19"/>
        <v>12.602739726027396</v>
      </c>
      <c r="O80" s="6"/>
    </row>
    <row r="81" spans="2:15" ht="13.15" customHeight="1" x14ac:dyDescent="0.25">
      <c r="B81" s="1"/>
      <c r="E81" s="6">
        <v>77</v>
      </c>
      <c r="F81" s="6">
        <f t="shared" ca="1" si="11"/>
        <v>100</v>
      </c>
      <c r="G81" s="6">
        <f t="shared" ca="1" si="12"/>
        <v>460</v>
      </c>
      <c r="H81" s="6">
        <f t="shared" ca="1" si="13"/>
        <v>360</v>
      </c>
      <c r="I81" s="6">
        <f t="shared" ca="1" si="14"/>
        <v>0</v>
      </c>
      <c r="J81" s="6">
        <f t="shared" ca="1" si="15"/>
        <v>0</v>
      </c>
      <c r="K81" s="6">
        <f t="shared" ca="1" si="16"/>
        <v>0</v>
      </c>
      <c r="L81" s="6">
        <f t="shared" ca="1" si="17"/>
        <v>0</v>
      </c>
      <c r="M81" s="6">
        <f t="shared" ca="1" si="18"/>
        <v>0</v>
      </c>
      <c r="N81" s="20">
        <f t="shared" ca="1" si="19"/>
        <v>9.8630136986301373</v>
      </c>
      <c r="O81" s="6"/>
    </row>
    <row r="82" spans="2:15" ht="13.15" customHeight="1" x14ac:dyDescent="0.25">
      <c r="B82" s="1"/>
      <c r="E82" s="6">
        <v>78</v>
      </c>
      <c r="F82" s="6">
        <f t="shared" ca="1" si="11"/>
        <v>110</v>
      </c>
      <c r="G82" s="6">
        <f t="shared" ca="1" si="12"/>
        <v>360</v>
      </c>
      <c r="H82" s="6">
        <f t="shared" ca="1" si="13"/>
        <v>250</v>
      </c>
      <c r="I82" s="6">
        <f t="shared" ca="1" si="14"/>
        <v>0</v>
      </c>
      <c r="J82" s="6">
        <f t="shared" ca="1" si="15"/>
        <v>1</v>
      </c>
      <c r="K82" s="6">
        <f t="shared" ca="1" si="16"/>
        <v>0</v>
      </c>
      <c r="L82" s="6">
        <f t="shared" ca="1" si="17"/>
        <v>0</v>
      </c>
      <c r="M82" s="6">
        <f t="shared" ca="1" si="18"/>
        <v>0</v>
      </c>
      <c r="N82" s="20">
        <f t="shared" ca="1" si="19"/>
        <v>6.8493150684931505</v>
      </c>
      <c r="O82" s="6"/>
    </row>
    <row r="83" spans="2:15" ht="13.15" customHeight="1" x14ac:dyDescent="0.25">
      <c r="B83" s="1"/>
      <c r="E83" s="6">
        <v>79</v>
      </c>
      <c r="F83" s="6">
        <f t="shared" ca="1" si="11"/>
        <v>100</v>
      </c>
      <c r="G83" s="6">
        <f t="shared" ca="1" si="12"/>
        <v>250</v>
      </c>
      <c r="H83" s="6">
        <f t="shared" ca="1" si="13"/>
        <v>150</v>
      </c>
      <c r="I83" s="6">
        <f t="shared" ca="1" si="14"/>
        <v>0</v>
      </c>
      <c r="J83" s="6">
        <f t="shared" ca="1" si="15"/>
        <v>1</v>
      </c>
      <c r="K83" s="6">
        <f t="shared" ca="1" si="16"/>
        <v>0</v>
      </c>
      <c r="L83" s="6">
        <f t="shared" ca="1" si="17"/>
        <v>0</v>
      </c>
      <c r="M83" s="6">
        <f t="shared" ca="1" si="18"/>
        <v>0</v>
      </c>
      <c r="N83" s="20">
        <f t="shared" ca="1" si="19"/>
        <v>4.10958904109589</v>
      </c>
      <c r="O83" s="6"/>
    </row>
    <row r="84" spans="2:15" ht="13.15" customHeight="1" x14ac:dyDescent="0.25">
      <c r="B84" s="1"/>
      <c r="E84" s="6">
        <v>80</v>
      </c>
      <c r="F84" s="6">
        <f t="shared" ca="1" si="11"/>
        <v>90</v>
      </c>
      <c r="G84" s="6">
        <f t="shared" ca="1" si="12"/>
        <v>150</v>
      </c>
      <c r="H84" s="6">
        <f t="shared" ca="1" si="13"/>
        <v>60</v>
      </c>
      <c r="I84" s="6">
        <f t="shared" ca="1" si="14"/>
        <v>1</v>
      </c>
      <c r="J84" s="6">
        <f t="shared" ca="1" si="15"/>
        <v>0</v>
      </c>
      <c r="K84" s="6">
        <f t="shared" ca="1" si="16"/>
        <v>0</v>
      </c>
      <c r="L84" s="6">
        <f t="shared" ca="1" si="17"/>
        <v>0</v>
      </c>
      <c r="M84" s="6">
        <f t="shared" ca="1" si="18"/>
        <v>200</v>
      </c>
      <c r="N84" s="20">
        <f t="shared" ca="1" si="19"/>
        <v>1.6438356164383561</v>
      </c>
      <c r="O84" s="6"/>
    </row>
    <row r="85" spans="2:15" ht="13.15" customHeight="1" x14ac:dyDescent="0.25">
      <c r="B85" s="1"/>
      <c r="E85" s="6">
        <v>81</v>
      </c>
      <c r="F85" s="6">
        <f t="shared" ca="1" si="11"/>
        <v>100</v>
      </c>
      <c r="G85" s="6">
        <f t="shared" ca="1" si="12"/>
        <v>1060</v>
      </c>
      <c r="H85" s="6">
        <f t="shared" ca="1" si="13"/>
        <v>960</v>
      </c>
      <c r="I85" s="6">
        <f t="shared" ca="1" si="14"/>
        <v>0</v>
      </c>
      <c r="J85" s="6">
        <f t="shared" ca="1" si="15"/>
        <v>0</v>
      </c>
      <c r="K85" s="6">
        <f t="shared" ca="1" si="16"/>
        <v>0</v>
      </c>
      <c r="L85" s="6">
        <f t="shared" ca="1" si="17"/>
        <v>0</v>
      </c>
      <c r="M85" s="6">
        <f t="shared" ca="1" si="18"/>
        <v>0</v>
      </c>
      <c r="N85" s="20">
        <f t="shared" ca="1" si="19"/>
        <v>26.301369863013697</v>
      </c>
      <c r="O85" s="6"/>
    </row>
    <row r="86" spans="2:15" ht="13.15" customHeight="1" x14ac:dyDescent="0.25">
      <c r="B86" s="1"/>
      <c r="E86" s="6">
        <v>82</v>
      </c>
      <c r="F86" s="6">
        <f t="shared" ca="1" si="11"/>
        <v>80</v>
      </c>
      <c r="G86" s="6">
        <f t="shared" ca="1" si="12"/>
        <v>960</v>
      </c>
      <c r="H86" s="6">
        <f t="shared" ca="1" si="13"/>
        <v>880</v>
      </c>
      <c r="I86" s="6">
        <f t="shared" ca="1" si="14"/>
        <v>0</v>
      </c>
      <c r="J86" s="6">
        <f t="shared" ca="1" si="15"/>
        <v>1</v>
      </c>
      <c r="K86" s="6">
        <f t="shared" ca="1" si="16"/>
        <v>0</v>
      </c>
      <c r="L86" s="6">
        <f t="shared" ca="1" si="17"/>
        <v>0</v>
      </c>
      <c r="M86" s="6">
        <f t="shared" ca="1" si="18"/>
        <v>0</v>
      </c>
      <c r="N86" s="20">
        <f t="shared" ca="1" si="19"/>
        <v>24.109589041095887</v>
      </c>
      <c r="O86" s="6"/>
    </row>
    <row r="87" spans="2:15" ht="13.15" customHeight="1" x14ac:dyDescent="0.25">
      <c r="B87" s="1"/>
      <c r="E87" s="6">
        <v>83</v>
      </c>
      <c r="F87" s="6">
        <f t="shared" ca="1" si="11"/>
        <v>110</v>
      </c>
      <c r="G87" s="6">
        <f t="shared" ca="1" si="12"/>
        <v>880</v>
      </c>
      <c r="H87" s="6">
        <f t="shared" ca="1" si="13"/>
        <v>770</v>
      </c>
      <c r="I87" s="6">
        <f t="shared" ca="1" si="14"/>
        <v>0</v>
      </c>
      <c r="J87" s="6">
        <f t="shared" ca="1" si="15"/>
        <v>0</v>
      </c>
      <c r="K87" s="6">
        <f t="shared" ca="1" si="16"/>
        <v>0</v>
      </c>
      <c r="L87" s="6">
        <f t="shared" ca="1" si="17"/>
        <v>0</v>
      </c>
      <c r="M87" s="6">
        <f t="shared" ca="1" si="18"/>
        <v>0</v>
      </c>
      <c r="N87" s="20">
        <f t="shared" ca="1" si="19"/>
        <v>21.095890410958901</v>
      </c>
      <c r="O87" s="6"/>
    </row>
    <row r="88" spans="2:15" ht="13.15" customHeight="1" x14ac:dyDescent="0.25">
      <c r="B88" s="1"/>
      <c r="E88" s="6">
        <v>84</v>
      </c>
      <c r="F88" s="6">
        <f t="shared" ca="1" si="11"/>
        <v>120</v>
      </c>
      <c r="G88" s="6">
        <f t="shared" ca="1" si="12"/>
        <v>770</v>
      </c>
      <c r="H88" s="6">
        <f t="shared" ca="1" si="13"/>
        <v>650</v>
      </c>
      <c r="I88" s="6">
        <f t="shared" ca="1" si="14"/>
        <v>0</v>
      </c>
      <c r="J88" s="6">
        <f t="shared" ca="1" si="15"/>
        <v>0</v>
      </c>
      <c r="K88" s="6">
        <f t="shared" ca="1" si="16"/>
        <v>0</v>
      </c>
      <c r="L88" s="6">
        <f t="shared" ca="1" si="17"/>
        <v>0</v>
      </c>
      <c r="M88" s="6">
        <f t="shared" ca="1" si="18"/>
        <v>0</v>
      </c>
      <c r="N88" s="20">
        <f t="shared" ca="1" si="19"/>
        <v>17.80821917808219</v>
      </c>
      <c r="O88" s="6"/>
    </row>
    <row r="89" spans="2:15" ht="13.15" customHeight="1" x14ac:dyDescent="0.25">
      <c r="B89" s="1"/>
      <c r="E89" s="6">
        <v>85</v>
      </c>
      <c r="F89" s="6">
        <f t="shared" ca="1" si="11"/>
        <v>100</v>
      </c>
      <c r="G89" s="6">
        <f t="shared" ca="1" si="12"/>
        <v>650</v>
      </c>
      <c r="H89" s="6">
        <f t="shared" ca="1" si="13"/>
        <v>550</v>
      </c>
      <c r="I89" s="6">
        <f t="shared" ca="1" si="14"/>
        <v>0</v>
      </c>
      <c r="J89" s="6">
        <f t="shared" ca="1" si="15"/>
        <v>1</v>
      </c>
      <c r="K89" s="6">
        <f t="shared" ca="1" si="16"/>
        <v>0</v>
      </c>
      <c r="L89" s="6">
        <f t="shared" ca="1" si="17"/>
        <v>0</v>
      </c>
      <c r="M89" s="6">
        <f t="shared" ca="1" si="18"/>
        <v>0</v>
      </c>
      <c r="N89" s="20">
        <f t="shared" ca="1" si="19"/>
        <v>15.068493150684931</v>
      </c>
      <c r="O89" s="6"/>
    </row>
    <row r="90" spans="2:15" ht="13.15" customHeight="1" x14ac:dyDescent="0.25">
      <c r="B90" s="1"/>
      <c r="E90" s="6">
        <v>86</v>
      </c>
      <c r="F90" s="6">
        <f t="shared" ca="1" si="11"/>
        <v>100</v>
      </c>
      <c r="G90" s="6">
        <f t="shared" ca="1" si="12"/>
        <v>550</v>
      </c>
      <c r="H90" s="6">
        <f t="shared" ca="1" si="13"/>
        <v>450</v>
      </c>
      <c r="I90" s="6">
        <f t="shared" ca="1" si="14"/>
        <v>0</v>
      </c>
      <c r="J90" s="6">
        <f t="shared" ca="1" si="15"/>
        <v>1</v>
      </c>
      <c r="K90" s="6">
        <f t="shared" ca="1" si="16"/>
        <v>0</v>
      </c>
      <c r="L90" s="6">
        <f t="shared" ca="1" si="17"/>
        <v>0</v>
      </c>
      <c r="M90" s="6">
        <f t="shared" ca="1" si="18"/>
        <v>0</v>
      </c>
      <c r="N90" s="20">
        <f t="shared" ca="1" si="19"/>
        <v>12.328767123287671</v>
      </c>
      <c r="O90" s="6"/>
    </row>
    <row r="91" spans="2:15" ht="13.15" customHeight="1" x14ac:dyDescent="0.25">
      <c r="B91" s="1"/>
      <c r="E91" s="6">
        <v>87</v>
      </c>
      <c r="F91" s="6">
        <f t="shared" ca="1" si="11"/>
        <v>80</v>
      </c>
      <c r="G91" s="6">
        <f t="shared" ca="1" si="12"/>
        <v>450</v>
      </c>
      <c r="H91" s="6">
        <f t="shared" ca="1" si="13"/>
        <v>370</v>
      </c>
      <c r="I91" s="6">
        <f t="shared" ca="1" si="14"/>
        <v>0</v>
      </c>
      <c r="J91" s="6">
        <f t="shared" ca="1" si="15"/>
        <v>0</v>
      </c>
      <c r="K91" s="6">
        <f t="shared" ca="1" si="16"/>
        <v>0</v>
      </c>
      <c r="L91" s="6">
        <f t="shared" ca="1" si="17"/>
        <v>0</v>
      </c>
      <c r="M91" s="6">
        <f t="shared" ca="1" si="18"/>
        <v>0</v>
      </c>
      <c r="N91" s="20">
        <f t="shared" ca="1" si="19"/>
        <v>10.136986301369863</v>
      </c>
      <c r="O91" s="6"/>
    </row>
    <row r="92" spans="2:15" ht="13.15" customHeight="1" x14ac:dyDescent="0.25">
      <c r="B92" s="1"/>
      <c r="E92" s="6">
        <v>88</v>
      </c>
      <c r="F92" s="6">
        <f t="shared" ca="1" si="11"/>
        <v>90</v>
      </c>
      <c r="G92" s="6">
        <f t="shared" ca="1" si="12"/>
        <v>370</v>
      </c>
      <c r="H92" s="6">
        <f t="shared" ca="1" si="13"/>
        <v>280</v>
      </c>
      <c r="I92" s="6">
        <f t="shared" ca="1" si="14"/>
        <v>0</v>
      </c>
      <c r="J92" s="6">
        <f t="shared" ca="1" si="15"/>
        <v>0</v>
      </c>
      <c r="K92" s="6">
        <f t="shared" ca="1" si="16"/>
        <v>0</v>
      </c>
      <c r="L92" s="6">
        <f t="shared" ca="1" si="17"/>
        <v>0</v>
      </c>
      <c r="M92" s="6">
        <f t="shared" ca="1" si="18"/>
        <v>0</v>
      </c>
      <c r="N92" s="20">
        <f t="shared" ca="1" si="19"/>
        <v>7.6712328767123283</v>
      </c>
      <c r="O92" s="6"/>
    </row>
    <row r="93" spans="2:15" ht="13.15" customHeight="1" x14ac:dyDescent="0.25">
      <c r="B93" s="1"/>
      <c r="E93" s="6">
        <v>89</v>
      </c>
      <c r="F93" s="6">
        <f t="shared" ca="1" si="11"/>
        <v>80</v>
      </c>
      <c r="G93" s="6">
        <f t="shared" ca="1" si="12"/>
        <v>280</v>
      </c>
      <c r="H93" s="6">
        <f t="shared" ca="1" si="13"/>
        <v>200</v>
      </c>
      <c r="I93" s="6">
        <f t="shared" ca="1" si="14"/>
        <v>0</v>
      </c>
      <c r="J93" s="6">
        <f t="shared" ca="1" si="15"/>
        <v>0</v>
      </c>
      <c r="K93" s="6">
        <f t="shared" ca="1" si="16"/>
        <v>0</v>
      </c>
      <c r="L93" s="6">
        <f t="shared" ca="1" si="17"/>
        <v>0</v>
      </c>
      <c r="M93" s="6">
        <f t="shared" ca="1" si="18"/>
        <v>0</v>
      </c>
      <c r="N93" s="20">
        <f t="shared" ca="1" si="19"/>
        <v>5.4794520547945202</v>
      </c>
      <c r="O93" s="6"/>
    </row>
    <row r="94" spans="2:15" ht="13.15" customHeight="1" x14ac:dyDescent="0.25">
      <c r="B94" s="1"/>
      <c r="E94" s="6">
        <v>90</v>
      </c>
      <c r="F94" s="6">
        <f t="shared" ca="1" si="11"/>
        <v>110</v>
      </c>
      <c r="G94" s="6">
        <f t="shared" ca="1" si="12"/>
        <v>200</v>
      </c>
      <c r="H94" s="6">
        <f t="shared" ca="1" si="13"/>
        <v>90</v>
      </c>
      <c r="I94" s="6">
        <f t="shared" ca="1" si="14"/>
        <v>1</v>
      </c>
      <c r="J94" s="6">
        <f t="shared" ca="1" si="15"/>
        <v>1</v>
      </c>
      <c r="K94" s="6">
        <f t="shared" ca="1" si="16"/>
        <v>0</v>
      </c>
      <c r="L94" s="6">
        <f t="shared" ca="1" si="17"/>
        <v>0</v>
      </c>
      <c r="M94" s="6">
        <f t="shared" ca="1" si="18"/>
        <v>200</v>
      </c>
      <c r="N94" s="20">
        <f t="shared" ca="1" si="19"/>
        <v>2.4657534246575343</v>
      </c>
      <c r="O94" s="6"/>
    </row>
    <row r="95" spans="2:15" ht="13.15" customHeight="1" x14ac:dyDescent="0.25">
      <c r="B95" s="1"/>
      <c r="E95" s="6">
        <v>91</v>
      </c>
      <c r="F95" s="6">
        <f t="shared" ca="1" si="11"/>
        <v>90</v>
      </c>
      <c r="G95" s="6">
        <f t="shared" ca="1" si="12"/>
        <v>90</v>
      </c>
      <c r="H95" s="6">
        <f t="shared" ca="1" si="13"/>
        <v>0</v>
      </c>
      <c r="I95" s="6">
        <f t="shared" ca="1" si="14"/>
        <v>1</v>
      </c>
      <c r="J95" s="6">
        <f t="shared" ca="1" si="15"/>
        <v>0</v>
      </c>
      <c r="K95" s="6">
        <f t="shared" ca="1" si="16"/>
        <v>0</v>
      </c>
      <c r="L95" s="6">
        <f t="shared" ca="1" si="17"/>
        <v>0</v>
      </c>
      <c r="M95" s="6">
        <f t="shared" ca="1" si="18"/>
        <v>200</v>
      </c>
      <c r="N95" s="20">
        <f t="shared" ca="1" si="19"/>
        <v>0</v>
      </c>
      <c r="O95" s="6"/>
    </row>
    <row r="96" spans="2:15" ht="13.15" customHeight="1" x14ac:dyDescent="0.25">
      <c r="B96" s="1"/>
      <c r="E96" s="6">
        <v>92</v>
      </c>
      <c r="F96" s="6">
        <f t="shared" ca="1" si="11"/>
        <v>110</v>
      </c>
      <c r="G96" s="6">
        <f t="shared" ca="1" si="12"/>
        <v>2000</v>
      </c>
      <c r="H96" s="6">
        <f t="shared" ca="1" si="13"/>
        <v>1890</v>
      </c>
      <c r="I96" s="6">
        <f t="shared" ca="1" si="14"/>
        <v>0</v>
      </c>
      <c r="J96" s="6">
        <f t="shared" ca="1" si="15"/>
        <v>1</v>
      </c>
      <c r="K96" s="6">
        <f t="shared" ca="1" si="16"/>
        <v>0</v>
      </c>
      <c r="L96" s="6">
        <f t="shared" ca="1" si="17"/>
        <v>0</v>
      </c>
      <c r="M96" s="6">
        <f t="shared" ca="1" si="18"/>
        <v>0</v>
      </c>
      <c r="N96" s="20">
        <f t="shared" ca="1" si="19"/>
        <v>51.780821917808218</v>
      </c>
      <c r="O96" s="6"/>
    </row>
    <row r="97" spans="2:15" ht="13.15" customHeight="1" x14ac:dyDescent="0.25">
      <c r="B97" s="1"/>
      <c r="E97" s="6">
        <v>93</v>
      </c>
      <c r="F97" s="6">
        <f t="shared" ca="1" si="11"/>
        <v>100</v>
      </c>
      <c r="G97" s="6">
        <f t="shared" ca="1" si="12"/>
        <v>1890</v>
      </c>
      <c r="H97" s="6">
        <f t="shared" ca="1" si="13"/>
        <v>1790</v>
      </c>
      <c r="I97" s="6">
        <f t="shared" ca="1" si="14"/>
        <v>0</v>
      </c>
      <c r="J97" s="6">
        <f t="shared" ca="1" si="15"/>
        <v>1</v>
      </c>
      <c r="K97" s="6">
        <f t="shared" ca="1" si="16"/>
        <v>0</v>
      </c>
      <c r="L97" s="6">
        <f t="shared" ca="1" si="17"/>
        <v>0</v>
      </c>
      <c r="M97" s="6">
        <f t="shared" ca="1" si="18"/>
        <v>0</v>
      </c>
      <c r="N97" s="20">
        <f t="shared" ca="1" si="19"/>
        <v>49.041095890410958</v>
      </c>
      <c r="O97" s="6"/>
    </row>
    <row r="98" spans="2:15" ht="13.15" customHeight="1" x14ac:dyDescent="0.25">
      <c r="B98" s="1"/>
      <c r="E98" s="6">
        <v>94</v>
      </c>
      <c r="F98" s="6">
        <f t="shared" ca="1" si="11"/>
        <v>80</v>
      </c>
      <c r="G98" s="6">
        <f t="shared" ca="1" si="12"/>
        <v>1790</v>
      </c>
      <c r="H98" s="6">
        <f t="shared" ca="1" si="13"/>
        <v>1710</v>
      </c>
      <c r="I98" s="6">
        <f t="shared" ca="1" si="14"/>
        <v>0</v>
      </c>
      <c r="J98" s="6">
        <f t="shared" ca="1" si="15"/>
        <v>0</v>
      </c>
      <c r="K98" s="6">
        <f t="shared" ca="1" si="16"/>
        <v>0</v>
      </c>
      <c r="L98" s="6">
        <f t="shared" ca="1" si="17"/>
        <v>0</v>
      </c>
      <c r="M98" s="6">
        <f t="shared" ca="1" si="18"/>
        <v>0</v>
      </c>
      <c r="N98" s="20">
        <f t="shared" ca="1" si="19"/>
        <v>46.849315068493148</v>
      </c>
      <c r="O98" s="6"/>
    </row>
    <row r="99" spans="2:15" ht="13.15" customHeight="1" x14ac:dyDescent="0.25">
      <c r="B99" s="1"/>
      <c r="E99" s="6">
        <v>95</v>
      </c>
      <c r="F99" s="6">
        <f t="shared" ca="1" si="11"/>
        <v>120</v>
      </c>
      <c r="G99" s="6">
        <f t="shared" ca="1" si="12"/>
        <v>1710</v>
      </c>
      <c r="H99" s="6">
        <f t="shared" ca="1" si="13"/>
        <v>1590</v>
      </c>
      <c r="I99" s="6">
        <f t="shared" ca="1" si="14"/>
        <v>0</v>
      </c>
      <c r="J99" s="6">
        <f t="shared" ca="1" si="15"/>
        <v>1</v>
      </c>
      <c r="K99" s="6">
        <f t="shared" ca="1" si="16"/>
        <v>0</v>
      </c>
      <c r="L99" s="6">
        <f t="shared" ca="1" si="17"/>
        <v>0</v>
      </c>
      <c r="M99" s="6">
        <f t="shared" ca="1" si="18"/>
        <v>0</v>
      </c>
      <c r="N99" s="20">
        <f t="shared" ca="1" si="19"/>
        <v>43.561643835616437</v>
      </c>
      <c r="O99" s="6"/>
    </row>
    <row r="100" spans="2:15" ht="13.15" customHeight="1" x14ac:dyDescent="0.25">
      <c r="B100" s="1"/>
      <c r="E100" s="6">
        <v>96</v>
      </c>
      <c r="F100" s="6">
        <f t="shared" ca="1" si="11"/>
        <v>90</v>
      </c>
      <c r="G100" s="6">
        <f t="shared" ca="1" si="12"/>
        <v>1590</v>
      </c>
      <c r="H100" s="6">
        <f t="shared" ca="1" si="13"/>
        <v>1500</v>
      </c>
      <c r="I100" s="6">
        <f t="shared" ca="1" si="14"/>
        <v>0</v>
      </c>
      <c r="J100" s="6">
        <f t="shared" ca="1" si="15"/>
        <v>0</v>
      </c>
      <c r="K100" s="6">
        <f t="shared" ca="1" si="16"/>
        <v>0</v>
      </c>
      <c r="L100" s="6">
        <f t="shared" ca="1" si="17"/>
        <v>0</v>
      </c>
      <c r="M100" s="6">
        <f t="shared" ca="1" si="18"/>
        <v>0</v>
      </c>
      <c r="N100" s="20">
        <f t="shared" ca="1" si="19"/>
        <v>41.095890410958901</v>
      </c>
      <c r="O100" s="6"/>
    </row>
    <row r="101" spans="2:15" ht="13.15" customHeight="1" x14ac:dyDescent="0.25">
      <c r="B101" s="1"/>
      <c r="E101" s="6">
        <v>97</v>
      </c>
      <c r="F101" s="6">
        <f t="shared" ca="1" si="11"/>
        <v>120</v>
      </c>
      <c r="G101" s="6">
        <f t="shared" ca="1" si="12"/>
        <v>1500</v>
      </c>
      <c r="H101" s="6">
        <f t="shared" ca="1" si="13"/>
        <v>1380</v>
      </c>
      <c r="I101" s="6">
        <f t="shared" ca="1" si="14"/>
        <v>0</v>
      </c>
      <c r="J101" s="6">
        <f t="shared" ca="1" si="15"/>
        <v>1</v>
      </c>
      <c r="K101" s="6">
        <f t="shared" ca="1" si="16"/>
        <v>0</v>
      </c>
      <c r="L101" s="6">
        <f t="shared" ca="1" si="17"/>
        <v>0</v>
      </c>
      <c r="M101" s="6">
        <f t="shared" ca="1" si="18"/>
        <v>0</v>
      </c>
      <c r="N101" s="20">
        <f t="shared" ca="1" si="19"/>
        <v>37.80821917808219</v>
      </c>
      <c r="O101" s="6"/>
    </row>
    <row r="102" spans="2:15" ht="13.15" customHeight="1" x14ac:dyDescent="0.25">
      <c r="B102" s="1"/>
      <c r="E102" s="6">
        <v>98</v>
      </c>
      <c r="F102" s="6">
        <f t="shared" ca="1" si="11"/>
        <v>120</v>
      </c>
      <c r="G102" s="6">
        <f t="shared" ca="1" si="12"/>
        <v>1380</v>
      </c>
      <c r="H102" s="6">
        <f t="shared" ca="1" si="13"/>
        <v>1260</v>
      </c>
      <c r="I102" s="6">
        <f t="shared" ca="1" si="14"/>
        <v>0</v>
      </c>
      <c r="J102" s="6">
        <f t="shared" ca="1" si="15"/>
        <v>0</v>
      </c>
      <c r="K102" s="6">
        <f t="shared" ca="1" si="16"/>
        <v>0</v>
      </c>
      <c r="L102" s="6">
        <f t="shared" ca="1" si="17"/>
        <v>0</v>
      </c>
      <c r="M102" s="6">
        <f t="shared" ca="1" si="18"/>
        <v>0</v>
      </c>
      <c r="N102" s="20">
        <f t="shared" ca="1" si="19"/>
        <v>34.520547945205479</v>
      </c>
      <c r="O102" s="6"/>
    </row>
    <row r="103" spans="2:15" ht="13.15" customHeight="1" x14ac:dyDescent="0.25">
      <c r="B103" s="1"/>
      <c r="E103" s="6">
        <v>99</v>
      </c>
      <c r="F103" s="6">
        <f t="shared" ca="1" si="11"/>
        <v>90</v>
      </c>
      <c r="G103" s="6">
        <f t="shared" ca="1" si="12"/>
        <v>1260</v>
      </c>
      <c r="H103" s="6">
        <f t="shared" ca="1" si="13"/>
        <v>1170</v>
      </c>
      <c r="I103" s="6">
        <f t="shared" ca="1" si="14"/>
        <v>0</v>
      </c>
      <c r="J103" s="6">
        <f t="shared" ca="1" si="15"/>
        <v>0</v>
      </c>
      <c r="K103" s="6">
        <f t="shared" ca="1" si="16"/>
        <v>0</v>
      </c>
      <c r="L103" s="6">
        <f t="shared" ca="1" si="17"/>
        <v>0</v>
      </c>
      <c r="M103" s="6">
        <f t="shared" ca="1" si="18"/>
        <v>0</v>
      </c>
      <c r="N103" s="20">
        <f t="shared" ca="1" si="19"/>
        <v>32.054794520547944</v>
      </c>
      <c r="O103" s="6"/>
    </row>
    <row r="104" spans="2:15" ht="13.15" customHeight="1" x14ac:dyDescent="0.25">
      <c r="B104" s="1"/>
      <c r="E104" s="6">
        <v>100</v>
      </c>
      <c r="F104" s="6">
        <f t="shared" ca="1" si="11"/>
        <v>110</v>
      </c>
      <c r="G104" s="6">
        <f t="shared" ca="1" si="12"/>
        <v>1170</v>
      </c>
      <c r="H104" s="6">
        <f t="shared" ca="1" si="13"/>
        <v>1060</v>
      </c>
      <c r="I104" s="6">
        <f t="shared" ca="1" si="14"/>
        <v>0</v>
      </c>
      <c r="J104" s="6">
        <f t="shared" ca="1" si="15"/>
        <v>0</v>
      </c>
      <c r="K104" s="6">
        <f t="shared" ca="1" si="16"/>
        <v>0</v>
      </c>
      <c r="L104" s="6">
        <f t="shared" ca="1" si="17"/>
        <v>0</v>
      </c>
      <c r="M104" s="6">
        <f t="shared" ca="1" si="18"/>
        <v>0</v>
      </c>
      <c r="N104" s="20">
        <f t="shared" ca="1" si="19"/>
        <v>29.041095890410958</v>
      </c>
      <c r="O104" s="6"/>
    </row>
    <row r="105" spans="2:15" ht="13.15" customHeight="1" x14ac:dyDescent="0.25">
      <c r="B105" s="1"/>
      <c r="E105" s="6">
        <v>101</v>
      </c>
      <c r="F105" s="6">
        <f t="shared" ca="1" si="11"/>
        <v>90</v>
      </c>
      <c r="G105" s="6">
        <f t="shared" ca="1" si="12"/>
        <v>1060</v>
      </c>
      <c r="H105" s="6">
        <f t="shared" ca="1" si="13"/>
        <v>970</v>
      </c>
      <c r="I105" s="6">
        <f t="shared" ca="1" si="14"/>
        <v>0</v>
      </c>
      <c r="J105" s="6">
        <f t="shared" ca="1" si="15"/>
        <v>0</v>
      </c>
      <c r="K105" s="6">
        <f t="shared" ca="1" si="16"/>
        <v>0</v>
      </c>
      <c r="L105" s="6">
        <f t="shared" ca="1" si="17"/>
        <v>0</v>
      </c>
      <c r="M105" s="6">
        <f t="shared" ca="1" si="18"/>
        <v>0</v>
      </c>
      <c r="N105" s="20">
        <f t="shared" ca="1" si="19"/>
        <v>26.575342465753423</v>
      </c>
      <c r="O105" s="6"/>
    </row>
    <row r="106" spans="2:15" ht="13.15" customHeight="1" x14ac:dyDescent="0.25">
      <c r="B106" s="1"/>
      <c r="E106" s="6">
        <v>102</v>
      </c>
      <c r="F106" s="6">
        <f t="shared" ca="1" si="11"/>
        <v>120</v>
      </c>
      <c r="G106" s="6">
        <f t="shared" ca="1" si="12"/>
        <v>970</v>
      </c>
      <c r="H106" s="6">
        <f t="shared" ca="1" si="13"/>
        <v>850</v>
      </c>
      <c r="I106" s="6">
        <f t="shared" ca="1" si="14"/>
        <v>0</v>
      </c>
      <c r="J106" s="6">
        <f t="shared" ca="1" si="15"/>
        <v>1</v>
      </c>
      <c r="K106" s="6">
        <f t="shared" ca="1" si="16"/>
        <v>0</v>
      </c>
      <c r="L106" s="6">
        <f t="shared" ca="1" si="17"/>
        <v>0</v>
      </c>
      <c r="M106" s="6">
        <f t="shared" ca="1" si="18"/>
        <v>0</v>
      </c>
      <c r="N106" s="20">
        <f t="shared" ca="1" si="19"/>
        <v>23.287671232876711</v>
      </c>
      <c r="O106" s="6"/>
    </row>
    <row r="107" spans="2:15" ht="13.15" customHeight="1" x14ac:dyDescent="0.25">
      <c r="B107" s="1"/>
      <c r="E107" s="6">
        <v>103</v>
      </c>
      <c r="F107" s="6">
        <f t="shared" ca="1" si="11"/>
        <v>100</v>
      </c>
      <c r="G107" s="6">
        <f t="shared" ca="1" si="12"/>
        <v>850</v>
      </c>
      <c r="H107" s="6">
        <f t="shared" ca="1" si="13"/>
        <v>750</v>
      </c>
      <c r="I107" s="6">
        <f t="shared" ca="1" si="14"/>
        <v>0</v>
      </c>
      <c r="J107" s="6">
        <f t="shared" ca="1" si="15"/>
        <v>1</v>
      </c>
      <c r="K107" s="6">
        <f t="shared" ca="1" si="16"/>
        <v>0</v>
      </c>
      <c r="L107" s="6">
        <f t="shared" ca="1" si="17"/>
        <v>0</v>
      </c>
      <c r="M107" s="6">
        <f t="shared" ca="1" si="18"/>
        <v>0</v>
      </c>
      <c r="N107" s="20">
        <f t="shared" ca="1" si="19"/>
        <v>20.547945205479451</v>
      </c>
      <c r="O107" s="6"/>
    </row>
    <row r="108" spans="2:15" ht="13.15" customHeight="1" x14ac:dyDescent="0.25">
      <c r="B108" s="1"/>
      <c r="E108" s="6">
        <v>104</v>
      </c>
      <c r="F108" s="6">
        <f t="shared" ca="1" si="11"/>
        <v>90</v>
      </c>
      <c r="G108" s="6">
        <f t="shared" ca="1" si="12"/>
        <v>750</v>
      </c>
      <c r="H108" s="6">
        <f t="shared" ca="1" si="13"/>
        <v>660</v>
      </c>
      <c r="I108" s="6">
        <f t="shared" ca="1" si="14"/>
        <v>0</v>
      </c>
      <c r="J108" s="6">
        <f t="shared" ca="1" si="15"/>
        <v>0</v>
      </c>
      <c r="K108" s="6">
        <f t="shared" ca="1" si="16"/>
        <v>0</v>
      </c>
      <c r="L108" s="6">
        <f t="shared" ca="1" si="17"/>
        <v>0</v>
      </c>
      <c r="M108" s="6">
        <f t="shared" ca="1" si="18"/>
        <v>0</v>
      </c>
      <c r="N108" s="20">
        <f t="shared" ca="1" si="19"/>
        <v>18.082191780821915</v>
      </c>
      <c r="O108" s="6"/>
    </row>
    <row r="109" spans="2:15" ht="13.15" customHeight="1" x14ac:dyDescent="0.25">
      <c r="B109" s="1"/>
      <c r="E109" s="6">
        <v>105</v>
      </c>
      <c r="F109" s="6">
        <f t="shared" ca="1" si="11"/>
        <v>100</v>
      </c>
      <c r="G109" s="6">
        <f t="shared" ca="1" si="12"/>
        <v>660</v>
      </c>
      <c r="H109" s="6">
        <f t="shared" ca="1" si="13"/>
        <v>560</v>
      </c>
      <c r="I109" s="6">
        <f t="shared" ca="1" si="14"/>
        <v>0</v>
      </c>
      <c r="J109" s="6">
        <f t="shared" ca="1" si="15"/>
        <v>0</v>
      </c>
      <c r="K109" s="6">
        <f t="shared" ca="1" si="16"/>
        <v>0</v>
      </c>
      <c r="L109" s="6">
        <f t="shared" ca="1" si="17"/>
        <v>0</v>
      </c>
      <c r="M109" s="6">
        <f t="shared" ca="1" si="18"/>
        <v>0</v>
      </c>
      <c r="N109" s="20">
        <f t="shared" ca="1" si="19"/>
        <v>15.342465753424657</v>
      </c>
      <c r="O109" s="6"/>
    </row>
    <row r="110" spans="2:15" ht="13.15" customHeight="1" x14ac:dyDescent="0.25">
      <c r="B110" s="1"/>
      <c r="E110" s="6">
        <v>106</v>
      </c>
      <c r="F110" s="6">
        <f t="shared" ca="1" si="11"/>
        <v>110</v>
      </c>
      <c r="G110" s="6">
        <f t="shared" ca="1" si="12"/>
        <v>560</v>
      </c>
      <c r="H110" s="6">
        <f t="shared" ca="1" si="13"/>
        <v>450</v>
      </c>
      <c r="I110" s="6">
        <f t="shared" ca="1" si="14"/>
        <v>0</v>
      </c>
      <c r="J110" s="6">
        <f t="shared" ca="1" si="15"/>
        <v>1</v>
      </c>
      <c r="K110" s="6">
        <f t="shared" ca="1" si="16"/>
        <v>0</v>
      </c>
      <c r="L110" s="6">
        <f t="shared" ca="1" si="17"/>
        <v>0</v>
      </c>
      <c r="M110" s="6">
        <f t="shared" ca="1" si="18"/>
        <v>0</v>
      </c>
      <c r="N110" s="20">
        <f t="shared" ca="1" si="19"/>
        <v>12.328767123287671</v>
      </c>
      <c r="O110" s="6"/>
    </row>
    <row r="111" spans="2:15" ht="13.15" customHeight="1" x14ac:dyDescent="0.25">
      <c r="B111" s="1"/>
      <c r="E111" s="6">
        <v>107</v>
      </c>
      <c r="F111" s="6">
        <f t="shared" ca="1" si="11"/>
        <v>120</v>
      </c>
      <c r="G111" s="6">
        <f t="shared" ca="1" si="12"/>
        <v>450</v>
      </c>
      <c r="H111" s="6">
        <f t="shared" ca="1" si="13"/>
        <v>330</v>
      </c>
      <c r="I111" s="6">
        <f t="shared" ca="1" si="14"/>
        <v>0</v>
      </c>
      <c r="J111" s="6">
        <f t="shared" ca="1" si="15"/>
        <v>0</v>
      </c>
      <c r="K111" s="6">
        <f t="shared" ca="1" si="16"/>
        <v>0</v>
      </c>
      <c r="L111" s="6">
        <f t="shared" ca="1" si="17"/>
        <v>0</v>
      </c>
      <c r="M111" s="6">
        <f t="shared" ca="1" si="18"/>
        <v>0</v>
      </c>
      <c r="N111" s="20">
        <f t="shared" ca="1" si="19"/>
        <v>9.0410958904109577</v>
      </c>
      <c r="O111" s="6"/>
    </row>
    <row r="112" spans="2:15" ht="13.15" customHeight="1" x14ac:dyDescent="0.25">
      <c r="B112" s="1"/>
      <c r="E112" s="6">
        <v>108</v>
      </c>
      <c r="F112" s="6">
        <f t="shared" ca="1" si="11"/>
        <v>120</v>
      </c>
      <c r="G112" s="6">
        <f t="shared" ca="1" si="12"/>
        <v>330</v>
      </c>
      <c r="H112" s="6">
        <f t="shared" ca="1" si="13"/>
        <v>210</v>
      </c>
      <c r="I112" s="6">
        <f t="shared" ca="1" si="14"/>
        <v>0</v>
      </c>
      <c r="J112" s="6">
        <f t="shared" ca="1" si="15"/>
        <v>1</v>
      </c>
      <c r="K112" s="6">
        <f t="shared" ca="1" si="16"/>
        <v>0</v>
      </c>
      <c r="L112" s="6">
        <f t="shared" ca="1" si="17"/>
        <v>0</v>
      </c>
      <c r="M112" s="6">
        <f t="shared" ca="1" si="18"/>
        <v>0</v>
      </c>
      <c r="N112" s="20">
        <f t="shared" ca="1" si="19"/>
        <v>5.7534246575342465</v>
      </c>
      <c r="O112" s="6"/>
    </row>
    <row r="113" spans="2:15" ht="13.15" customHeight="1" x14ac:dyDescent="0.25">
      <c r="B113" s="1"/>
      <c r="E113" s="6">
        <v>109</v>
      </c>
      <c r="F113" s="6">
        <f t="shared" ca="1" si="11"/>
        <v>90</v>
      </c>
      <c r="G113" s="6">
        <f t="shared" ca="1" si="12"/>
        <v>210</v>
      </c>
      <c r="H113" s="6">
        <f t="shared" ca="1" si="13"/>
        <v>120</v>
      </c>
      <c r="I113" s="6">
        <f t="shared" ca="1" si="14"/>
        <v>0</v>
      </c>
      <c r="J113" s="6">
        <f t="shared" ca="1" si="15"/>
        <v>1</v>
      </c>
      <c r="K113" s="6">
        <f t="shared" ca="1" si="16"/>
        <v>0</v>
      </c>
      <c r="L113" s="6">
        <f t="shared" ca="1" si="17"/>
        <v>0</v>
      </c>
      <c r="M113" s="6">
        <f t="shared" ca="1" si="18"/>
        <v>0</v>
      </c>
      <c r="N113" s="20">
        <f t="shared" ca="1" si="19"/>
        <v>3.2876712328767121</v>
      </c>
      <c r="O113" s="6"/>
    </row>
    <row r="114" spans="2:15" ht="13.15" customHeight="1" x14ac:dyDescent="0.25">
      <c r="B114" s="1"/>
      <c r="E114" s="6">
        <v>110</v>
      </c>
      <c r="F114" s="6">
        <f t="shared" ca="1" si="11"/>
        <v>80</v>
      </c>
      <c r="G114" s="6">
        <f t="shared" ca="1" si="12"/>
        <v>120</v>
      </c>
      <c r="H114" s="6">
        <f t="shared" ca="1" si="13"/>
        <v>40</v>
      </c>
      <c r="I114" s="6">
        <f t="shared" ca="1" si="14"/>
        <v>1</v>
      </c>
      <c r="J114" s="6">
        <f t="shared" ca="1" si="15"/>
        <v>1</v>
      </c>
      <c r="K114" s="6">
        <f t="shared" ca="1" si="16"/>
        <v>0</v>
      </c>
      <c r="L114" s="6">
        <f t="shared" ca="1" si="17"/>
        <v>0</v>
      </c>
      <c r="M114" s="6">
        <f t="shared" ca="1" si="18"/>
        <v>200</v>
      </c>
      <c r="N114" s="20">
        <f t="shared" ca="1" si="19"/>
        <v>1.095890410958904</v>
      </c>
      <c r="O114" s="6"/>
    </row>
    <row r="115" spans="2:15" ht="13.15" customHeight="1" x14ac:dyDescent="0.25">
      <c r="B115" s="1"/>
      <c r="E115" s="6">
        <v>111</v>
      </c>
      <c r="F115" s="6">
        <f t="shared" ca="1" si="11"/>
        <v>100</v>
      </c>
      <c r="G115" s="6">
        <f t="shared" ca="1" si="12"/>
        <v>40</v>
      </c>
      <c r="H115" s="6">
        <f t="shared" ca="1" si="13"/>
        <v>0</v>
      </c>
      <c r="I115" s="6">
        <f t="shared" ca="1" si="14"/>
        <v>1</v>
      </c>
      <c r="J115" s="6">
        <f t="shared" ca="1" si="15"/>
        <v>1</v>
      </c>
      <c r="K115" s="6">
        <f t="shared" ca="1" si="16"/>
        <v>60</v>
      </c>
      <c r="L115" s="6">
        <f t="shared" ca="1" si="17"/>
        <v>3000</v>
      </c>
      <c r="M115" s="6">
        <f t="shared" ca="1" si="18"/>
        <v>200</v>
      </c>
      <c r="N115" s="20">
        <f t="shared" ca="1" si="19"/>
        <v>0</v>
      </c>
      <c r="O115" s="6"/>
    </row>
    <row r="116" spans="2:15" ht="13.15" customHeight="1" x14ac:dyDescent="0.25">
      <c r="B116" s="1"/>
      <c r="E116" s="6">
        <v>112</v>
      </c>
      <c r="F116" s="6">
        <f t="shared" ca="1" si="11"/>
        <v>100</v>
      </c>
      <c r="G116" s="6">
        <f t="shared" ca="1" si="12"/>
        <v>1000</v>
      </c>
      <c r="H116" s="6">
        <f t="shared" ca="1" si="13"/>
        <v>900</v>
      </c>
      <c r="I116" s="6">
        <f t="shared" ca="1" si="14"/>
        <v>0</v>
      </c>
      <c r="J116" s="6">
        <f t="shared" ca="1" si="15"/>
        <v>0</v>
      </c>
      <c r="K116" s="6">
        <f t="shared" ca="1" si="16"/>
        <v>0</v>
      </c>
      <c r="L116" s="6">
        <f t="shared" ca="1" si="17"/>
        <v>0</v>
      </c>
      <c r="M116" s="6">
        <f t="shared" ca="1" si="18"/>
        <v>0</v>
      </c>
      <c r="N116" s="20">
        <f t="shared" ca="1" si="19"/>
        <v>24.657534246575342</v>
      </c>
      <c r="O116" s="6"/>
    </row>
    <row r="117" spans="2:15" ht="13.15" customHeight="1" x14ac:dyDescent="0.25">
      <c r="B117" s="1"/>
      <c r="E117" s="6">
        <v>113</v>
      </c>
      <c r="F117" s="6">
        <f t="shared" ca="1" si="11"/>
        <v>120</v>
      </c>
      <c r="G117" s="6">
        <f t="shared" ca="1" si="12"/>
        <v>1900</v>
      </c>
      <c r="H117" s="6">
        <f t="shared" ca="1" si="13"/>
        <v>1780</v>
      </c>
      <c r="I117" s="6">
        <f t="shared" ca="1" si="14"/>
        <v>0</v>
      </c>
      <c r="J117" s="6">
        <f t="shared" ca="1" si="15"/>
        <v>0</v>
      </c>
      <c r="K117" s="6">
        <f t="shared" ca="1" si="16"/>
        <v>0</v>
      </c>
      <c r="L117" s="6">
        <f t="shared" ca="1" si="17"/>
        <v>0</v>
      </c>
      <c r="M117" s="6">
        <f t="shared" ca="1" si="18"/>
        <v>0</v>
      </c>
      <c r="N117" s="20">
        <f t="shared" ca="1" si="19"/>
        <v>48.767123287671232</v>
      </c>
      <c r="O117" s="6"/>
    </row>
    <row r="118" spans="2:15" ht="13.15" customHeight="1" x14ac:dyDescent="0.25">
      <c r="B118" s="1"/>
      <c r="E118" s="6">
        <v>114</v>
      </c>
      <c r="F118" s="6">
        <f t="shared" ca="1" si="11"/>
        <v>100</v>
      </c>
      <c r="G118" s="6">
        <f t="shared" ca="1" si="12"/>
        <v>1780</v>
      </c>
      <c r="H118" s="6">
        <f t="shared" ca="1" si="13"/>
        <v>1680</v>
      </c>
      <c r="I118" s="6">
        <f t="shared" ca="1" si="14"/>
        <v>0</v>
      </c>
      <c r="J118" s="6">
        <f t="shared" ca="1" si="15"/>
        <v>0</v>
      </c>
      <c r="K118" s="6">
        <f t="shared" ca="1" si="16"/>
        <v>0</v>
      </c>
      <c r="L118" s="6">
        <f t="shared" ca="1" si="17"/>
        <v>0</v>
      </c>
      <c r="M118" s="6">
        <f t="shared" ca="1" si="18"/>
        <v>0</v>
      </c>
      <c r="N118" s="20">
        <f t="shared" ca="1" si="19"/>
        <v>46.027397260273972</v>
      </c>
      <c r="O118" s="6"/>
    </row>
    <row r="119" spans="2:15" ht="13.15" customHeight="1" x14ac:dyDescent="0.25">
      <c r="B119" s="1"/>
      <c r="E119" s="6">
        <v>115</v>
      </c>
      <c r="F119" s="6">
        <f t="shared" ca="1" si="11"/>
        <v>90</v>
      </c>
      <c r="G119" s="6">
        <f t="shared" ca="1" si="12"/>
        <v>1680</v>
      </c>
      <c r="H119" s="6">
        <f t="shared" ca="1" si="13"/>
        <v>1590</v>
      </c>
      <c r="I119" s="6">
        <f t="shared" ca="1" si="14"/>
        <v>0</v>
      </c>
      <c r="J119" s="6">
        <f t="shared" ca="1" si="15"/>
        <v>0</v>
      </c>
      <c r="K119" s="6">
        <f t="shared" ca="1" si="16"/>
        <v>0</v>
      </c>
      <c r="L119" s="6">
        <f t="shared" ca="1" si="17"/>
        <v>0</v>
      </c>
      <c r="M119" s="6">
        <f t="shared" ca="1" si="18"/>
        <v>0</v>
      </c>
      <c r="N119" s="20">
        <f t="shared" ca="1" si="19"/>
        <v>43.561643835616437</v>
      </c>
      <c r="O119" s="6"/>
    </row>
    <row r="120" spans="2:15" ht="13.15" customHeight="1" x14ac:dyDescent="0.25">
      <c r="B120" s="1"/>
      <c r="E120" s="6">
        <v>116</v>
      </c>
      <c r="F120" s="6">
        <f t="shared" ca="1" si="11"/>
        <v>100</v>
      </c>
      <c r="G120" s="6">
        <f t="shared" ca="1" si="12"/>
        <v>1590</v>
      </c>
      <c r="H120" s="6">
        <f t="shared" ca="1" si="13"/>
        <v>1490</v>
      </c>
      <c r="I120" s="6">
        <f t="shared" ca="1" si="14"/>
        <v>0</v>
      </c>
      <c r="J120" s="6">
        <f t="shared" ca="1" si="15"/>
        <v>0</v>
      </c>
      <c r="K120" s="6">
        <f t="shared" ca="1" si="16"/>
        <v>0</v>
      </c>
      <c r="L120" s="6">
        <f t="shared" ca="1" si="17"/>
        <v>0</v>
      </c>
      <c r="M120" s="6">
        <f t="shared" ca="1" si="18"/>
        <v>0</v>
      </c>
      <c r="N120" s="20">
        <f t="shared" ca="1" si="19"/>
        <v>40.821917808219176</v>
      </c>
      <c r="O120" s="6"/>
    </row>
    <row r="121" spans="2:15" ht="13.15" customHeight="1" x14ac:dyDescent="0.25">
      <c r="B121" s="1"/>
      <c r="E121" s="6">
        <v>117</v>
      </c>
      <c r="F121" s="6">
        <f t="shared" ca="1" si="11"/>
        <v>80</v>
      </c>
      <c r="G121" s="6">
        <f t="shared" ca="1" si="12"/>
        <v>1490</v>
      </c>
      <c r="H121" s="6">
        <f t="shared" ca="1" si="13"/>
        <v>1410</v>
      </c>
      <c r="I121" s="6">
        <f t="shared" ca="1" si="14"/>
        <v>0</v>
      </c>
      <c r="J121" s="6">
        <f t="shared" ca="1" si="15"/>
        <v>1</v>
      </c>
      <c r="K121" s="6">
        <f t="shared" ca="1" si="16"/>
        <v>0</v>
      </c>
      <c r="L121" s="6">
        <f t="shared" ca="1" si="17"/>
        <v>0</v>
      </c>
      <c r="M121" s="6">
        <f t="shared" ca="1" si="18"/>
        <v>0</v>
      </c>
      <c r="N121" s="20">
        <f t="shared" ca="1" si="19"/>
        <v>38.630136986301366</v>
      </c>
      <c r="O121" s="6"/>
    </row>
    <row r="122" spans="2:15" ht="13.15" customHeight="1" x14ac:dyDescent="0.25">
      <c r="B122" s="1"/>
      <c r="E122" s="6">
        <v>118</v>
      </c>
      <c r="F122" s="6">
        <f t="shared" ca="1" si="11"/>
        <v>100</v>
      </c>
      <c r="G122" s="6">
        <f t="shared" ca="1" si="12"/>
        <v>1410</v>
      </c>
      <c r="H122" s="6">
        <f t="shared" ca="1" si="13"/>
        <v>1310</v>
      </c>
      <c r="I122" s="6">
        <f t="shared" ca="1" si="14"/>
        <v>0</v>
      </c>
      <c r="J122" s="6">
        <f t="shared" ca="1" si="15"/>
        <v>0</v>
      </c>
      <c r="K122" s="6">
        <f t="shared" ca="1" si="16"/>
        <v>0</v>
      </c>
      <c r="L122" s="6">
        <f t="shared" ca="1" si="17"/>
        <v>0</v>
      </c>
      <c r="M122" s="6">
        <f t="shared" ca="1" si="18"/>
        <v>0</v>
      </c>
      <c r="N122" s="20">
        <f t="shared" ca="1" si="19"/>
        <v>35.890410958904106</v>
      </c>
      <c r="O122" s="6"/>
    </row>
    <row r="123" spans="2:15" ht="13.15" customHeight="1" x14ac:dyDescent="0.25">
      <c r="B123" s="1"/>
      <c r="E123" s="6">
        <v>119</v>
      </c>
      <c r="F123" s="6">
        <f t="shared" ca="1" si="11"/>
        <v>110</v>
      </c>
      <c r="G123" s="6">
        <f t="shared" ca="1" si="12"/>
        <v>1310</v>
      </c>
      <c r="H123" s="6">
        <f t="shared" ca="1" si="13"/>
        <v>1200</v>
      </c>
      <c r="I123" s="6">
        <f t="shared" ca="1" si="14"/>
        <v>0</v>
      </c>
      <c r="J123" s="6">
        <f t="shared" ca="1" si="15"/>
        <v>0</v>
      </c>
      <c r="K123" s="6">
        <f t="shared" ca="1" si="16"/>
        <v>0</v>
      </c>
      <c r="L123" s="6">
        <f t="shared" ca="1" si="17"/>
        <v>0</v>
      </c>
      <c r="M123" s="6">
        <f t="shared" ca="1" si="18"/>
        <v>0</v>
      </c>
      <c r="N123" s="20">
        <f t="shared" ca="1" si="19"/>
        <v>32.87671232876712</v>
      </c>
      <c r="O123" s="6"/>
    </row>
    <row r="124" spans="2:15" ht="13.15" customHeight="1" x14ac:dyDescent="0.25">
      <c r="B124" s="1"/>
      <c r="E124" s="6">
        <v>120</v>
      </c>
      <c r="F124" s="6">
        <f t="shared" ca="1" si="11"/>
        <v>110</v>
      </c>
      <c r="G124" s="6">
        <f t="shared" ca="1" si="12"/>
        <v>1200</v>
      </c>
      <c r="H124" s="6">
        <f t="shared" ca="1" si="13"/>
        <v>1090</v>
      </c>
      <c r="I124" s="6">
        <f t="shared" ca="1" si="14"/>
        <v>0</v>
      </c>
      <c r="J124" s="6">
        <f t="shared" ca="1" si="15"/>
        <v>0</v>
      </c>
      <c r="K124" s="6">
        <f t="shared" ca="1" si="16"/>
        <v>0</v>
      </c>
      <c r="L124" s="6">
        <f t="shared" ca="1" si="17"/>
        <v>0</v>
      </c>
      <c r="M124" s="6">
        <f t="shared" ca="1" si="18"/>
        <v>0</v>
      </c>
      <c r="N124" s="20">
        <f t="shared" ca="1" si="19"/>
        <v>29.863013698630134</v>
      </c>
      <c r="O124" s="6"/>
    </row>
    <row r="125" spans="2:15" ht="13.15" customHeight="1" x14ac:dyDescent="0.25">
      <c r="B125" s="1"/>
      <c r="E125" s="6">
        <v>121</v>
      </c>
      <c r="F125" s="6">
        <f t="shared" ca="1" si="11"/>
        <v>120</v>
      </c>
      <c r="G125" s="6">
        <f t="shared" ca="1" si="12"/>
        <v>1090</v>
      </c>
      <c r="H125" s="6">
        <f t="shared" ca="1" si="13"/>
        <v>970</v>
      </c>
      <c r="I125" s="6">
        <f t="shared" ca="1" si="14"/>
        <v>0</v>
      </c>
      <c r="J125" s="6">
        <f t="shared" ca="1" si="15"/>
        <v>1</v>
      </c>
      <c r="K125" s="6">
        <f t="shared" ca="1" si="16"/>
        <v>0</v>
      </c>
      <c r="L125" s="6">
        <f t="shared" ca="1" si="17"/>
        <v>0</v>
      </c>
      <c r="M125" s="6">
        <f t="shared" ca="1" si="18"/>
        <v>0</v>
      </c>
      <c r="N125" s="20">
        <f t="shared" ca="1" si="19"/>
        <v>26.575342465753423</v>
      </c>
      <c r="O125" s="6"/>
    </row>
    <row r="126" spans="2:15" ht="13.15" customHeight="1" x14ac:dyDescent="0.25">
      <c r="B126" s="1"/>
      <c r="E126" s="6">
        <v>122</v>
      </c>
      <c r="F126" s="6">
        <f t="shared" ca="1" si="11"/>
        <v>110</v>
      </c>
      <c r="G126" s="6">
        <f t="shared" ca="1" si="12"/>
        <v>970</v>
      </c>
      <c r="H126" s="6">
        <f t="shared" ca="1" si="13"/>
        <v>860</v>
      </c>
      <c r="I126" s="6">
        <f t="shared" ca="1" si="14"/>
        <v>0</v>
      </c>
      <c r="J126" s="6">
        <f t="shared" ca="1" si="15"/>
        <v>0</v>
      </c>
      <c r="K126" s="6">
        <f t="shared" ca="1" si="16"/>
        <v>0</v>
      </c>
      <c r="L126" s="6">
        <f t="shared" ca="1" si="17"/>
        <v>0</v>
      </c>
      <c r="M126" s="6">
        <f t="shared" ca="1" si="18"/>
        <v>0</v>
      </c>
      <c r="N126" s="20">
        <f t="shared" ca="1" si="19"/>
        <v>23.561643835616437</v>
      </c>
      <c r="O126" s="6"/>
    </row>
    <row r="127" spans="2:15" ht="13.15" customHeight="1" x14ac:dyDescent="0.25">
      <c r="B127" s="1"/>
      <c r="E127" s="6">
        <v>123</v>
      </c>
      <c r="F127" s="6">
        <f t="shared" ca="1" si="11"/>
        <v>100</v>
      </c>
      <c r="G127" s="6">
        <f t="shared" ca="1" si="12"/>
        <v>860</v>
      </c>
      <c r="H127" s="6">
        <f t="shared" ca="1" si="13"/>
        <v>760</v>
      </c>
      <c r="I127" s="6">
        <f t="shared" ca="1" si="14"/>
        <v>0</v>
      </c>
      <c r="J127" s="6">
        <f t="shared" ca="1" si="15"/>
        <v>0</v>
      </c>
      <c r="K127" s="6">
        <f t="shared" ca="1" si="16"/>
        <v>0</v>
      </c>
      <c r="L127" s="6">
        <f t="shared" ca="1" si="17"/>
        <v>0</v>
      </c>
      <c r="M127" s="6">
        <f t="shared" ca="1" si="18"/>
        <v>0</v>
      </c>
      <c r="N127" s="20">
        <f t="shared" ca="1" si="19"/>
        <v>20.821917808219176</v>
      </c>
      <c r="O127" s="6"/>
    </row>
    <row r="128" spans="2:15" ht="13.15" customHeight="1" x14ac:dyDescent="0.25">
      <c r="B128" s="1"/>
      <c r="E128" s="6">
        <v>124</v>
      </c>
      <c r="F128" s="6">
        <f t="shared" ca="1" si="11"/>
        <v>100</v>
      </c>
      <c r="G128" s="6">
        <f t="shared" ca="1" si="12"/>
        <v>760</v>
      </c>
      <c r="H128" s="6">
        <f t="shared" ca="1" si="13"/>
        <v>660</v>
      </c>
      <c r="I128" s="6">
        <f t="shared" ca="1" si="14"/>
        <v>0</v>
      </c>
      <c r="J128" s="6">
        <f t="shared" ca="1" si="15"/>
        <v>0</v>
      </c>
      <c r="K128" s="6">
        <f t="shared" ca="1" si="16"/>
        <v>0</v>
      </c>
      <c r="L128" s="6">
        <f t="shared" ca="1" si="17"/>
        <v>0</v>
      </c>
      <c r="M128" s="6">
        <f t="shared" ca="1" si="18"/>
        <v>0</v>
      </c>
      <c r="N128" s="20">
        <f t="shared" ca="1" si="19"/>
        <v>18.082191780821915</v>
      </c>
      <c r="O128" s="6"/>
    </row>
    <row r="129" spans="2:15" ht="13.15" customHeight="1" x14ac:dyDescent="0.25">
      <c r="B129" s="1"/>
      <c r="E129" s="6">
        <v>125</v>
      </c>
      <c r="F129" s="6">
        <f t="shared" ca="1" si="11"/>
        <v>120</v>
      </c>
      <c r="G129" s="6">
        <f t="shared" ca="1" si="12"/>
        <v>660</v>
      </c>
      <c r="H129" s="6">
        <f t="shared" ca="1" si="13"/>
        <v>540</v>
      </c>
      <c r="I129" s="6">
        <f t="shared" ca="1" si="14"/>
        <v>0</v>
      </c>
      <c r="J129" s="6">
        <f t="shared" ca="1" si="15"/>
        <v>1</v>
      </c>
      <c r="K129" s="6">
        <f t="shared" ca="1" si="16"/>
        <v>0</v>
      </c>
      <c r="L129" s="6">
        <f t="shared" ca="1" si="17"/>
        <v>0</v>
      </c>
      <c r="M129" s="6">
        <f t="shared" ca="1" si="18"/>
        <v>0</v>
      </c>
      <c r="N129" s="20">
        <f t="shared" ca="1" si="19"/>
        <v>14.794520547945204</v>
      </c>
      <c r="O129" s="6"/>
    </row>
    <row r="130" spans="2:15" ht="13.15" customHeight="1" x14ac:dyDescent="0.25">
      <c r="B130" s="1"/>
      <c r="E130" s="6">
        <v>126</v>
      </c>
      <c r="F130" s="6">
        <f t="shared" ca="1" si="11"/>
        <v>90</v>
      </c>
      <c r="G130" s="6">
        <f t="shared" ca="1" si="12"/>
        <v>540</v>
      </c>
      <c r="H130" s="6">
        <f t="shared" ca="1" si="13"/>
        <v>450</v>
      </c>
      <c r="I130" s="6">
        <f t="shared" ca="1" si="14"/>
        <v>0</v>
      </c>
      <c r="J130" s="6">
        <f t="shared" ca="1" si="15"/>
        <v>0</v>
      </c>
      <c r="K130" s="6">
        <f t="shared" ca="1" si="16"/>
        <v>0</v>
      </c>
      <c r="L130" s="6">
        <f t="shared" ca="1" si="17"/>
        <v>0</v>
      </c>
      <c r="M130" s="6">
        <f t="shared" ca="1" si="18"/>
        <v>0</v>
      </c>
      <c r="N130" s="20">
        <f t="shared" ca="1" si="19"/>
        <v>12.328767123287671</v>
      </c>
      <c r="O130" s="6"/>
    </row>
    <row r="131" spans="2:15" ht="13.15" customHeight="1" x14ac:dyDescent="0.25">
      <c r="B131" s="1"/>
      <c r="E131" s="6">
        <v>127</v>
      </c>
      <c r="F131" s="6">
        <f t="shared" ca="1" si="11"/>
        <v>110</v>
      </c>
      <c r="G131" s="6">
        <f t="shared" ca="1" si="12"/>
        <v>450</v>
      </c>
      <c r="H131" s="6">
        <f t="shared" ca="1" si="13"/>
        <v>340</v>
      </c>
      <c r="I131" s="6">
        <f t="shared" ca="1" si="14"/>
        <v>0</v>
      </c>
      <c r="J131" s="6">
        <f t="shared" ca="1" si="15"/>
        <v>1</v>
      </c>
      <c r="K131" s="6">
        <f t="shared" ca="1" si="16"/>
        <v>0</v>
      </c>
      <c r="L131" s="6">
        <f t="shared" ca="1" si="17"/>
        <v>0</v>
      </c>
      <c r="M131" s="6">
        <f t="shared" ca="1" si="18"/>
        <v>0</v>
      </c>
      <c r="N131" s="20">
        <f t="shared" ca="1" si="19"/>
        <v>9.3150684931506849</v>
      </c>
      <c r="O131" s="6"/>
    </row>
    <row r="132" spans="2:15" ht="13.15" customHeight="1" x14ac:dyDescent="0.25">
      <c r="B132" s="1"/>
      <c r="E132" s="6">
        <v>128</v>
      </c>
      <c r="F132" s="6">
        <f t="shared" ca="1" si="11"/>
        <v>90</v>
      </c>
      <c r="G132" s="6">
        <f t="shared" ca="1" si="12"/>
        <v>340</v>
      </c>
      <c r="H132" s="6">
        <f t="shared" ca="1" si="13"/>
        <v>250</v>
      </c>
      <c r="I132" s="6">
        <f t="shared" ca="1" si="14"/>
        <v>0</v>
      </c>
      <c r="J132" s="6">
        <f t="shared" ca="1" si="15"/>
        <v>0</v>
      </c>
      <c r="K132" s="6">
        <f t="shared" ca="1" si="16"/>
        <v>0</v>
      </c>
      <c r="L132" s="6">
        <f t="shared" ca="1" si="17"/>
        <v>0</v>
      </c>
      <c r="M132" s="6">
        <f t="shared" ca="1" si="18"/>
        <v>0</v>
      </c>
      <c r="N132" s="20">
        <f t="shared" ca="1" si="19"/>
        <v>6.8493150684931505</v>
      </c>
      <c r="O132" s="6"/>
    </row>
    <row r="133" spans="2:15" ht="13.15" customHeight="1" x14ac:dyDescent="0.25">
      <c r="B133" s="1"/>
      <c r="E133" s="6">
        <v>129</v>
      </c>
      <c r="F133" s="6">
        <f t="shared" ca="1" si="11"/>
        <v>100</v>
      </c>
      <c r="G133" s="6">
        <f t="shared" ca="1" si="12"/>
        <v>250</v>
      </c>
      <c r="H133" s="6">
        <f t="shared" ca="1" si="13"/>
        <v>150</v>
      </c>
      <c r="I133" s="6">
        <f t="shared" ca="1" si="14"/>
        <v>0</v>
      </c>
      <c r="J133" s="6">
        <f t="shared" ca="1" si="15"/>
        <v>1</v>
      </c>
      <c r="K133" s="6">
        <f t="shared" ca="1" si="16"/>
        <v>0</v>
      </c>
      <c r="L133" s="6">
        <f t="shared" ca="1" si="17"/>
        <v>0</v>
      </c>
      <c r="M133" s="6">
        <f t="shared" ca="1" si="18"/>
        <v>0</v>
      </c>
      <c r="N133" s="20">
        <f t="shared" ca="1" si="19"/>
        <v>4.10958904109589</v>
      </c>
      <c r="O133" s="6"/>
    </row>
    <row r="134" spans="2:15" ht="13.15" customHeight="1" x14ac:dyDescent="0.25">
      <c r="B134" s="1"/>
      <c r="E134" s="6">
        <v>130</v>
      </c>
      <c r="F134" s="6">
        <f t="shared" ref="F134:F197" ca="1" si="20">INDEX($T$17:$T$21,MATCH(RAND(),$V$17:$V$22,1))</f>
        <v>110</v>
      </c>
      <c r="G134" s="6">
        <f t="shared" ca="1" si="12"/>
        <v>150</v>
      </c>
      <c r="H134" s="6">
        <f t="shared" ca="1" si="13"/>
        <v>40</v>
      </c>
      <c r="I134" s="6">
        <f t="shared" ca="1" si="14"/>
        <v>1</v>
      </c>
      <c r="J134" s="6">
        <f t="shared" ca="1" si="15"/>
        <v>0</v>
      </c>
      <c r="K134" s="6">
        <f t="shared" ca="1" si="16"/>
        <v>0</v>
      </c>
      <c r="L134" s="6">
        <f t="shared" ca="1" si="17"/>
        <v>0</v>
      </c>
      <c r="M134" s="6">
        <f t="shared" ca="1" si="18"/>
        <v>200</v>
      </c>
      <c r="N134" s="20">
        <f t="shared" ca="1" si="19"/>
        <v>1.095890410958904</v>
      </c>
      <c r="O134" s="6"/>
    </row>
    <row r="135" spans="2:15" ht="13.15" customHeight="1" x14ac:dyDescent="0.25">
      <c r="B135" s="1"/>
      <c r="E135" s="6">
        <v>131</v>
      </c>
      <c r="F135" s="6">
        <f t="shared" ca="1" si="20"/>
        <v>120</v>
      </c>
      <c r="G135" s="6">
        <f t="shared" ref="G135:G198" ca="1" si="21">H134+IF(AND(I134=1,J134=0),$C$9,0)+IF(AND(I133=1,J133=1),$C$9,0)</f>
        <v>1040</v>
      </c>
      <c r="H135" s="6">
        <f t="shared" ref="H135:H198" ca="1" si="22">MAX(G135-F135,0)</f>
        <v>920</v>
      </c>
      <c r="I135" s="6">
        <f t="shared" ref="I135:I198" ca="1" si="23">IF(H135&lt;$C$3,1,0)</f>
        <v>0</v>
      </c>
      <c r="J135" s="6">
        <f t="shared" ref="J135:J198" ca="1" si="24">IF(RAND()&lt;0.5,0,1)</f>
        <v>1</v>
      </c>
      <c r="K135" s="6">
        <f t="shared" ref="K135:K198" ca="1" si="25">-MIN(G135-F135,0)</f>
        <v>0</v>
      </c>
      <c r="L135" s="6">
        <f t="shared" ref="L135:L198" ca="1" si="26">K135*$C$8</f>
        <v>0</v>
      </c>
      <c r="M135" s="6">
        <f t="shared" ref="M135:M198" ca="1" si="27">I135*$C$4</f>
        <v>0</v>
      </c>
      <c r="N135" s="20">
        <f t="shared" ref="N135:N198" ca="1" si="28">H135*$C$7</f>
        <v>25.205479452054792</v>
      </c>
      <c r="O135" s="6"/>
    </row>
    <row r="136" spans="2:15" ht="13.15" customHeight="1" x14ac:dyDescent="0.25">
      <c r="B136" s="1"/>
      <c r="E136" s="6">
        <v>132</v>
      </c>
      <c r="F136" s="6">
        <f t="shared" ca="1" si="20"/>
        <v>110</v>
      </c>
      <c r="G136" s="6">
        <f t="shared" ca="1" si="21"/>
        <v>920</v>
      </c>
      <c r="H136" s="6">
        <f t="shared" ca="1" si="22"/>
        <v>810</v>
      </c>
      <c r="I136" s="6">
        <f t="shared" ca="1" si="23"/>
        <v>0</v>
      </c>
      <c r="J136" s="6">
        <f t="shared" ca="1" si="24"/>
        <v>0</v>
      </c>
      <c r="K136" s="6">
        <f t="shared" ca="1" si="25"/>
        <v>0</v>
      </c>
      <c r="L136" s="6">
        <f t="shared" ca="1" si="26"/>
        <v>0</v>
      </c>
      <c r="M136" s="6">
        <f t="shared" ca="1" si="27"/>
        <v>0</v>
      </c>
      <c r="N136" s="20">
        <f t="shared" ca="1" si="28"/>
        <v>22.191780821917806</v>
      </c>
      <c r="O136" s="6"/>
    </row>
    <row r="137" spans="2:15" ht="13.15" customHeight="1" x14ac:dyDescent="0.25">
      <c r="B137" s="1"/>
      <c r="E137" s="6">
        <v>133</v>
      </c>
      <c r="F137" s="6">
        <f t="shared" ca="1" si="20"/>
        <v>100</v>
      </c>
      <c r="G137" s="6">
        <f t="shared" ca="1" si="21"/>
        <v>810</v>
      </c>
      <c r="H137" s="6">
        <f t="shared" ca="1" si="22"/>
        <v>710</v>
      </c>
      <c r="I137" s="6">
        <f t="shared" ca="1" si="23"/>
        <v>0</v>
      </c>
      <c r="J137" s="6">
        <f t="shared" ca="1" si="24"/>
        <v>1</v>
      </c>
      <c r="K137" s="6">
        <f t="shared" ca="1" si="25"/>
        <v>0</v>
      </c>
      <c r="L137" s="6">
        <f t="shared" ca="1" si="26"/>
        <v>0</v>
      </c>
      <c r="M137" s="6">
        <f t="shared" ca="1" si="27"/>
        <v>0</v>
      </c>
      <c r="N137" s="20">
        <f t="shared" ca="1" si="28"/>
        <v>19.452054794520546</v>
      </c>
      <c r="O137" s="6"/>
    </row>
    <row r="138" spans="2:15" ht="13.15" customHeight="1" x14ac:dyDescent="0.25">
      <c r="B138" s="1"/>
      <c r="E138" s="6">
        <v>134</v>
      </c>
      <c r="F138" s="6">
        <f t="shared" ca="1" si="20"/>
        <v>110</v>
      </c>
      <c r="G138" s="6">
        <f t="shared" ca="1" si="21"/>
        <v>710</v>
      </c>
      <c r="H138" s="6">
        <f t="shared" ca="1" si="22"/>
        <v>600</v>
      </c>
      <c r="I138" s="6">
        <f t="shared" ca="1" si="23"/>
        <v>0</v>
      </c>
      <c r="J138" s="6">
        <f t="shared" ca="1" si="24"/>
        <v>0</v>
      </c>
      <c r="K138" s="6">
        <f t="shared" ca="1" si="25"/>
        <v>0</v>
      </c>
      <c r="L138" s="6">
        <f t="shared" ca="1" si="26"/>
        <v>0</v>
      </c>
      <c r="M138" s="6">
        <f t="shared" ca="1" si="27"/>
        <v>0</v>
      </c>
      <c r="N138" s="20">
        <f t="shared" ca="1" si="28"/>
        <v>16.43835616438356</v>
      </c>
      <c r="O138" s="6"/>
    </row>
    <row r="139" spans="2:15" ht="13.15" customHeight="1" x14ac:dyDescent="0.25">
      <c r="B139" s="1"/>
      <c r="E139" s="6">
        <v>135</v>
      </c>
      <c r="F139" s="6">
        <f t="shared" ca="1" si="20"/>
        <v>90</v>
      </c>
      <c r="G139" s="6">
        <f t="shared" ca="1" si="21"/>
        <v>600</v>
      </c>
      <c r="H139" s="6">
        <f t="shared" ca="1" si="22"/>
        <v>510</v>
      </c>
      <c r="I139" s="6">
        <f t="shared" ca="1" si="23"/>
        <v>0</v>
      </c>
      <c r="J139" s="6">
        <f t="shared" ca="1" si="24"/>
        <v>1</v>
      </c>
      <c r="K139" s="6">
        <f t="shared" ca="1" si="25"/>
        <v>0</v>
      </c>
      <c r="L139" s="6">
        <f t="shared" ca="1" si="26"/>
        <v>0</v>
      </c>
      <c r="M139" s="6">
        <f t="shared" ca="1" si="27"/>
        <v>0</v>
      </c>
      <c r="N139" s="20">
        <f t="shared" ca="1" si="28"/>
        <v>13.972602739726026</v>
      </c>
      <c r="O139" s="6"/>
    </row>
    <row r="140" spans="2:15" ht="13.15" customHeight="1" x14ac:dyDescent="0.25">
      <c r="B140" s="1"/>
      <c r="E140" s="6">
        <v>136</v>
      </c>
      <c r="F140" s="6">
        <f t="shared" ca="1" si="20"/>
        <v>110</v>
      </c>
      <c r="G140" s="6">
        <f t="shared" ca="1" si="21"/>
        <v>510</v>
      </c>
      <c r="H140" s="6">
        <f t="shared" ca="1" si="22"/>
        <v>400</v>
      </c>
      <c r="I140" s="6">
        <f t="shared" ca="1" si="23"/>
        <v>0</v>
      </c>
      <c r="J140" s="6">
        <f t="shared" ca="1" si="24"/>
        <v>0</v>
      </c>
      <c r="K140" s="6">
        <f t="shared" ca="1" si="25"/>
        <v>0</v>
      </c>
      <c r="L140" s="6">
        <f t="shared" ca="1" si="26"/>
        <v>0</v>
      </c>
      <c r="M140" s="6">
        <f t="shared" ca="1" si="27"/>
        <v>0</v>
      </c>
      <c r="N140" s="20">
        <f t="shared" ca="1" si="28"/>
        <v>10.95890410958904</v>
      </c>
      <c r="O140" s="6"/>
    </row>
    <row r="141" spans="2:15" ht="13.15" customHeight="1" x14ac:dyDescent="0.25">
      <c r="B141" s="1"/>
      <c r="E141" s="6">
        <v>137</v>
      </c>
      <c r="F141" s="6">
        <f t="shared" ca="1" si="20"/>
        <v>110</v>
      </c>
      <c r="G141" s="6">
        <f t="shared" ca="1" si="21"/>
        <v>400</v>
      </c>
      <c r="H141" s="6">
        <f t="shared" ca="1" si="22"/>
        <v>290</v>
      </c>
      <c r="I141" s="6">
        <f t="shared" ca="1" si="23"/>
        <v>0</v>
      </c>
      <c r="J141" s="6">
        <f t="shared" ca="1" si="24"/>
        <v>1</v>
      </c>
      <c r="K141" s="6">
        <f t="shared" ca="1" si="25"/>
        <v>0</v>
      </c>
      <c r="L141" s="6">
        <f t="shared" ca="1" si="26"/>
        <v>0</v>
      </c>
      <c r="M141" s="6">
        <f t="shared" ca="1" si="27"/>
        <v>0</v>
      </c>
      <c r="N141" s="20">
        <f t="shared" ca="1" si="28"/>
        <v>7.9452054794520546</v>
      </c>
      <c r="O141" s="6"/>
    </row>
    <row r="142" spans="2:15" ht="13.15" customHeight="1" x14ac:dyDescent="0.25">
      <c r="B142" s="1"/>
      <c r="E142" s="6">
        <v>138</v>
      </c>
      <c r="F142" s="6">
        <f t="shared" ca="1" si="20"/>
        <v>100</v>
      </c>
      <c r="G142" s="6">
        <f t="shared" ca="1" si="21"/>
        <v>290</v>
      </c>
      <c r="H142" s="6">
        <f t="shared" ca="1" si="22"/>
        <v>190</v>
      </c>
      <c r="I142" s="6">
        <f t="shared" ca="1" si="23"/>
        <v>0</v>
      </c>
      <c r="J142" s="6">
        <f t="shared" ca="1" si="24"/>
        <v>1</v>
      </c>
      <c r="K142" s="6">
        <f t="shared" ca="1" si="25"/>
        <v>0</v>
      </c>
      <c r="L142" s="6">
        <f t="shared" ca="1" si="26"/>
        <v>0</v>
      </c>
      <c r="M142" s="6">
        <f t="shared" ca="1" si="27"/>
        <v>0</v>
      </c>
      <c r="N142" s="20">
        <f t="shared" ca="1" si="28"/>
        <v>5.205479452054794</v>
      </c>
      <c r="O142" s="6"/>
    </row>
    <row r="143" spans="2:15" ht="13.15" customHeight="1" x14ac:dyDescent="0.25">
      <c r="B143" s="1"/>
      <c r="E143" s="6">
        <v>139</v>
      </c>
      <c r="F143" s="6">
        <f t="shared" ca="1" si="20"/>
        <v>120</v>
      </c>
      <c r="G143" s="6">
        <f t="shared" ca="1" si="21"/>
        <v>190</v>
      </c>
      <c r="H143" s="6">
        <f t="shared" ca="1" si="22"/>
        <v>70</v>
      </c>
      <c r="I143" s="6">
        <f t="shared" ca="1" si="23"/>
        <v>1</v>
      </c>
      <c r="J143" s="6">
        <f t="shared" ca="1" si="24"/>
        <v>0</v>
      </c>
      <c r="K143" s="6">
        <f t="shared" ca="1" si="25"/>
        <v>0</v>
      </c>
      <c r="L143" s="6">
        <f t="shared" ca="1" si="26"/>
        <v>0</v>
      </c>
      <c r="M143" s="6">
        <f t="shared" ca="1" si="27"/>
        <v>200</v>
      </c>
      <c r="N143" s="20">
        <f t="shared" ca="1" si="28"/>
        <v>1.9178082191780821</v>
      </c>
      <c r="O143" s="6"/>
    </row>
    <row r="144" spans="2:15" ht="13.15" customHeight="1" x14ac:dyDescent="0.25">
      <c r="B144" s="1"/>
      <c r="E144" s="6">
        <v>140</v>
      </c>
      <c r="F144" s="6">
        <f t="shared" ca="1" si="20"/>
        <v>100</v>
      </c>
      <c r="G144" s="6">
        <f t="shared" ca="1" si="21"/>
        <v>1070</v>
      </c>
      <c r="H144" s="6">
        <f t="shared" ca="1" si="22"/>
        <v>970</v>
      </c>
      <c r="I144" s="6">
        <f t="shared" ca="1" si="23"/>
        <v>0</v>
      </c>
      <c r="J144" s="6">
        <f t="shared" ca="1" si="24"/>
        <v>0</v>
      </c>
      <c r="K144" s="6">
        <f t="shared" ca="1" si="25"/>
        <v>0</v>
      </c>
      <c r="L144" s="6">
        <f t="shared" ca="1" si="26"/>
        <v>0</v>
      </c>
      <c r="M144" s="6">
        <f t="shared" ca="1" si="27"/>
        <v>0</v>
      </c>
      <c r="N144" s="20">
        <f t="shared" ca="1" si="28"/>
        <v>26.575342465753423</v>
      </c>
      <c r="O144" s="6"/>
    </row>
    <row r="145" spans="2:15" ht="13.15" customHeight="1" x14ac:dyDescent="0.25">
      <c r="B145" s="1"/>
      <c r="E145" s="6">
        <v>141</v>
      </c>
      <c r="F145" s="6">
        <f t="shared" ca="1" si="20"/>
        <v>90</v>
      </c>
      <c r="G145" s="6">
        <f t="shared" ca="1" si="21"/>
        <v>970</v>
      </c>
      <c r="H145" s="6">
        <f t="shared" ca="1" si="22"/>
        <v>880</v>
      </c>
      <c r="I145" s="6">
        <f t="shared" ca="1" si="23"/>
        <v>0</v>
      </c>
      <c r="J145" s="6">
        <f t="shared" ca="1" si="24"/>
        <v>0</v>
      </c>
      <c r="K145" s="6">
        <f t="shared" ca="1" si="25"/>
        <v>0</v>
      </c>
      <c r="L145" s="6">
        <f t="shared" ca="1" si="26"/>
        <v>0</v>
      </c>
      <c r="M145" s="6">
        <f t="shared" ca="1" si="27"/>
        <v>0</v>
      </c>
      <c r="N145" s="20">
        <f t="shared" ca="1" si="28"/>
        <v>24.109589041095887</v>
      </c>
      <c r="O145" s="6"/>
    </row>
    <row r="146" spans="2:15" ht="13.15" customHeight="1" x14ac:dyDescent="0.25">
      <c r="B146" s="1"/>
      <c r="E146" s="6">
        <v>142</v>
      </c>
      <c r="F146" s="6">
        <f t="shared" ca="1" si="20"/>
        <v>80</v>
      </c>
      <c r="G146" s="6">
        <f t="shared" ca="1" si="21"/>
        <v>880</v>
      </c>
      <c r="H146" s="6">
        <f t="shared" ca="1" si="22"/>
        <v>800</v>
      </c>
      <c r="I146" s="6">
        <f t="shared" ca="1" si="23"/>
        <v>0</v>
      </c>
      <c r="J146" s="6">
        <f t="shared" ca="1" si="24"/>
        <v>1</v>
      </c>
      <c r="K146" s="6">
        <f t="shared" ca="1" si="25"/>
        <v>0</v>
      </c>
      <c r="L146" s="6">
        <f t="shared" ca="1" si="26"/>
        <v>0</v>
      </c>
      <c r="M146" s="6">
        <f t="shared" ca="1" si="27"/>
        <v>0</v>
      </c>
      <c r="N146" s="20">
        <f t="shared" ca="1" si="28"/>
        <v>21.917808219178081</v>
      </c>
      <c r="O146" s="6"/>
    </row>
    <row r="147" spans="2:15" ht="13.15" customHeight="1" x14ac:dyDescent="0.25">
      <c r="B147" s="1"/>
      <c r="E147" s="6">
        <v>143</v>
      </c>
      <c r="F147" s="6">
        <f t="shared" ca="1" si="20"/>
        <v>100</v>
      </c>
      <c r="G147" s="6">
        <f t="shared" ca="1" si="21"/>
        <v>800</v>
      </c>
      <c r="H147" s="6">
        <f t="shared" ca="1" si="22"/>
        <v>700</v>
      </c>
      <c r="I147" s="6">
        <f t="shared" ca="1" si="23"/>
        <v>0</v>
      </c>
      <c r="J147" s="6">
        <f t="shared" ca="1" si="24"/>
        <v>0</v>
      </c>
      <c r="K147" s="6">
        <f t="shared" ca="1" si="25"/>
        <v>0</v>
      </c>
      <c r="L147" s="6">
        <f t="shared" ca="1" si="26"/>
        <v>0</v>
      </c>
      <c r="M147" s="6">
        <f t="shared" ca="1" si="27"/>
        <v>0</v>
      </c>
      <c r="N147" s="20">
        <f t="shared" ca="1" si="28"/>
        <v>19.17808219178082</v>
      </c>
      <c r="O147" s="6"/>
    </row>
    <row r="148" spans="2:15" ht="13.15" customHeight="1" x14ac:dyDescent="0.25">
      <c r="B148" s="1"/>
      <c r="E148" s="6">
        <v>144</v>
      </c>
      <c r="F148" s="6">
        <f t="shared" ca="1" si="20"/>
        <v>120</v>
      </c>
      <c r="G148" s="6">
        <f t="shared" ca="1" si="21"/>
        <v>700</v>
      </c>
      <c r="H148" s="6">
        <f t="shared" ca="1" si="22"/>
        <v>580</v>
      </c>
      <c r="I148" s="6">
        <f t="shared" ca="1" si="23"/>
        <v>0</v>
      </c>
      <c r="J148" s="6">
        <f t="shared" ca="1" si="24"/>
        <v>0</v>
      </c>
      <c r="K148" s="6">
        <f t="shared" ca="1" si="25"/>
        <v>0</v>
      </c>
      <c r="L148" s="6">
        <f t="shared" ca="1" si="26"/>
        <v>0</v>
      </c>
      <c r="M148" s="6">
        <f t="shared" ca="1" si="27"/>
        <v>0</v>
      </c>
      <c r="N148" s="20">
        <f t="shared" ca="1" si="28"/>
        <v>15.890410958904109</v>
      </c>
      <c r="O148" s="6"/>
    </row>
    <row r="149" spans="2:15" ht="13.15" customHeight="1" x14ac:dyDescent="0.25">
      <c r="B149" s="1"/>
      <c r="E149" s="6">
        <v>145</v>
      </c>
      <c r="F149" s="6">
        <f t="shared" ca="1" si="20"/>
        <v>110</v>
      </c>
      <c r="G149" s="6">
        <f t="shared" ca="1" si="21"/>
        <v>580</v>
      </c>
      <c r="H149" s="6">
        <f t="shared" ca="1" si="22"/>
        <v>470</v>
      </c>
      <c r="I149" s="6">
        <f t="shared" ca="1" si="23"/>
        <v>0</v>
      </c>
      <c r="J149" s="6">
        <f t="shared" ca="1" si="24"/>
        <v>1</v>
      </c>
      <c r="K149" s="6">
        <f t="shared" ca="1" si="25"/>
        <v>0</v>
      </c>
      <c r="L149" s="6">
        <f t="shared" ca="1" si="26"/>
        <v>0</v>
      </c>
      <c r="M149" s="6">
        <f t="shared" ca="1" si="27"/>
        <v>0</v>
      </c>
      <c r="N149" s="20">
        <f t="shared" ca="1" si="28"/>
        <v>12.876712328767123</v>
      </c>
      <c r="O149" s="6"/>
    </row>
    <row r="150" spans="2:15" ht="13.15" customHeight="1" x14ac:dyDescent="0.25">
      <c r="B150" s="1"/>
      <c r="E150" s="6">
        <v>146</v>
      </c>
      <c r="F150" s="6">
        <f t="shared" ca="1" si="20"/>
        <v>100</v>
      </c>
      <c r="G150" s="6">
        <f t="shared" ca="1" si="21"/>
        <v>470</v>
      </c>
      <c r="H150" s="6">
        <f t="shared" ca="1" si="22"/>
        <v>370</v>
      </c>
      <c r="I150" s="6">
        <f t="shared" ca="1" si="23"/>
        <v>0</v>
      </c>
      <c r="J150" s="6">
        <f t="shared" ca="1" si="24"/>
        <v>1</v>
      </c>
      <c r="K150" s="6">
        <f t="shared" ca="1" si="25"/>
        <v>0</v>
      </c>
      <c r="L150" s="6">
        <f t="shared" ca="1" si="26"/>
        <v>0</v>
      </c>
      <c r="M150" s="6">
        <f t="shared" ca="1" si="27"/>
        <v>0</v>
      </c>
      <c r="N150" s="20">
        <f t="shared" ca="1" si="28"/>
        <v>10.136986301369863</v>
      </c>
      <c r="O150" s="6"/>
    </row>
    <row r="151" spans="2:15" ht="13.15" customHeight="1" x14ac:dyDescent="0.25">
      <c r="B151" s="1"/>
      <c r="E151" s="6">
        <v>147</v>
      </c>
      <c r="F151" s="6">
        <f t="shared" ca="1" si="20"/>
        <v>80</v>
      </c>
      <c r="G151" s="6">
        <f t="shared" ca="1" si="21"/>
        <v>370</v>
      </c>
      <c r="H151" s="6">
        <f t="shared" ca="1" si="22"/>
        <v>290</v>
      </c>
      <c r="I151" s="6">
        <f t="shared" ca="1" si="23"/>
        <v>0</v>
      </c>
      <c r="J151" s="6">
        <f t="shared" ca="1" si="24"/>
        <v>0</v>
      </c>
      <c r="K151" s="6">
        <f t="shared" ca="1" si="25"/>
        <v>0</v>
      </c>
      <c r="L151" s="6">
        <f t="shared" ca="1" si="26"/>
        <v>0</v>
      </c>
      <c r="M151" s="6">
        <f t="shared" ca="1" si="27"/>
        <v>0</v>
      </c>
      <c r="N151" s="20">
        <f t="shared" ca="1" si="28"/>
        <v>7.9452054794520546</v>
      </c>
      <c r="O151" s="6"/>
    </row>
    <row r="152" spans="2:15" ht="13.15" customHeight="1" x14ac:dyDescent="0.25">
      <c r="B152" s="1"/>
      <c r="E152" s="6">
        <v>148</v>
      </c>
      <c r="F152" s="6">
        <f t="shared" ca="1" si="20"/>
        <v>110</v>
      </c>
      <c r="G152" s="6">
        <f t="shared" ca="1" si="21"/>
        <v>290</v>
      </c>
      <c r="H152" s="6">
        <f t="shared" ca="1" si="22"/>
        <v>180</v>
      </c>
      <c r="I152" s="6">
        <f t="shared" ca="1" si="23"/>
        <v>0</v>
      </c>
      <c r="J152" s="6">
        <f t="shared" ca="1" si="24"/>
        <v>0</v>
      </c>
      <c r="K152" s="6">
        <f t="shared" ca="1" si="25"/>
        <v>0</v>
      </c>
      <c r="L152" s="6">
        <f t="shared" ca="1" si="26"/>
        <v>0</v>
      </c>
      <c r="M152" s="6">
        <f t="shared" ca="1" si="27"/>
        <v>0</v>
      </c>
      <c r="N152" s="20">
        <f t="shared" ca="1" si="28"/>
        <v>4.9315068493150687</v>
      </c>
      <c r="O152" s="6"/>
    </row>
    <row r="153" spans="2:15" ht="13.15" customHeight="1" x14ac:dyDescent="0.25">
      <c r="B153" s="1"/>
      <c r="E153" s="6">
        <v>149</v>
      </c>
      <c r="F153" s="6">
        <f t="shared" ca="1" si="20"/>
        <v>100</v>
      </c>
      <c r="G153" s="6">
        <f t="shared" ca="1" si="21"/>
        <v>180</v>
      </c>
      <c r="H153" s="6">
        <f t="shared" ca="1" si="22"/>
        <v>80</v>
      </c>
      <c r="I153" s="6">
        <f t="shared" ca="1" si="23"/>
        <v>1</v>
      </c>
      <c r="J153" s="6">
        <f t="shared" ca="1" si="24"/>
        <v>1</v>
      </c>
      <c r="K153" s="6">
        <f t="shared" ca="1" si="25"/>
        <v>0</v>
      </c>
      <c r="L153" s="6">
        <f t="shared" ca="1" si="26"/>
        <v>0</v>
      </c>
      <c r="M153" s="6">
        <f t="shared" ca="1" si="27"/>
        <v>200</v>
      </c>
      <c r="N153" s="20">
        <f t="shared" ca="1" si="28"/>
        <v>2.1917808219178081</v>
      </c>
      <c r="O153" s="6"/>
    </row>
    <row r="154" spans="2:15" ht="13.15" customHeight="1" x14ac:dyDescent="0.25">
      <c r="B154" s="1"/>
      <c r="E154" s="6">
        <v>150</v>
      </c>
      <c r="F154" s="6">
        <f t="shared" ca="1" si="20"/>
        <v>120</v>
      </c>
      <c r="G154" s="6">
        <f t="shared" ca="1" si="21"/>
        <v>80</v>
      </c>
      <c r="H154" s="6">
        <f t="shared" ca="1" si="22"/>
        <v>0</v>
      </c>
      <c r="I154" s="6">
        <f t="shared" ca="1" si="23"/>
        <v>1</v>
      </c>
      <c r="J154" s="6">
        <f t="shared" ca="1" si="24"/>
        <v>1</v>
      </c>
      <c r="K154" s="6">
        <f t="shared" ca="1" si="25"/>
        <v>40</v>
      </c>
      <c r="L154" s="6">
        <f t="shared" ca="1" si="26"/>
        <v>2000</v>
      </c>
      <c r="M154" s="6">
        <f t="shared" ca="1" si="27"/>
        <v>200</v>
      </c>
      <c r="N154" s="20">
        <f t="shared" ca="1" si="28"/>
        <v>0</v>
      </c>
      <c r="O154" s="6"/>
    </row>
    <row r="155" spans="2:15" ht="13.15" customHeight="1" x14ac:dyDescent="0.25">
      <c r="B155" s="1"/>
      <c r="E155" s="6">
        <v>151</v>
      </c>
      <c r="F155" s="6">
        <f t="shared" ca="1" si="20"/>
        <v>80</v>
      </c>
      <c r="G155" s="6">
        <f t="shared" ca="1" si="21"/>
        <v>1000</v>
      </c>
      <c r="H155" s="6">
        <f t="shared" ca="1" si="22"/>
        <v>920</v>
      </c>
      <c r="I155" s="6">
        <f t="shared" ca="1" si="23"/>
        <v>0</v>
      </c>
      <c r="J155" s="6">
        <f t="shared" ca="1" si="24"/>
        <v>1</v>
      </c>
      <c r="K155" s="6">
        <f t="shared" ca="1" si="25"/>
        <v>0</v>
      </c>
      <c r="L155" s="6">
        <f t="shared" ca="1" si="26"/>
        <v>0</v>
      </c>
      <c r="M155" s="6">
        <f t="shared" ca="1" si="27"/>
        <v>0</v>
      </c>
      <c r="N155" s="20">
        <f t="shared" ca="1" si="28"/>
        <v>25.205479452054792</v>
      </c>
      <c r="O155" s="6"/>
    </row>
    <row r="156" spans="2:15" ht="13.15" customHeight="1" x14ac:dyDescent="0.25">
      <c r="B156" s="1"/>
      <c r="E156" s="6">
        <v>152</v>
      </c>
      <c r="F156" s="6">
        <f t="shared" ca="1" si="20"/>
        <v>100</v>
      </c>
      <c r="G156" s="6">
        <f t="shared" ca="1" si="21"/>
        <v>1920</v>
      </c>
      <c r="H156" s="6">
        <f t="shared" ca="1" si="22"/>
        <v>1820</v>
      </c>
      <c r="I156" s="6">
        <f t="shared" ca="1" si="23"/>
        <v>0</v>
      </c>
      <c r="J156" s="6">
        <f t="shared" ca="1" si="24"/>
        <v>0</v>
      </c>
      <c r="K156" s="6">
        <f t="shared" ca="1" si="25"/>
        <v>0</v>
      </c>
      <c r="L156" s="6">
        <f t="shared" ca="1" si="26"/>
        <v>0</v>
      </c>
      <c r="M156" s="6">
        <f t="shared" ca="1" si="27"/>
        <v>0</v>
      </c>
      <c r="N156" s="20">
        <f t="shared" ca="1" si="28"/>
        <v>49.863013698630134</v>
      </c>
      <c r="O156" s="6"/>
    </row>
    <row r="157" spans="2:15" ht="13.15" customHeight="1" x14ac:dyDescent="0.25">
      <c r="B157" s="1"/>
      <c r="E157" s="6">
        <v>153</v>
      </c>
      <c r="F157" s="6">
        <f t="shared" ca="1" si="20"/>
        <v>100</v>
      </c>
      <c r="G157" s="6">
        <f t="shared" ca="1" si="21"/>
        <v>1820</v>
      </c>
      <c r="H157" s="6">
        <f t="shared" ca="1" si="22"/>
        <v>1720</v>
      </c>
      <c r="I157" s="6">
        <f t="shared" ca="1" si="23"/>
        <v>0</v>
      </c>
      <c r="J157" s="6">
        <f t="shared" ca="1" si="24"/>
        <v>1</v>
      </c>
      <c r="K157" s="6">
        <f t="shared" ca="1" si="25"/>
        <v>0</v>
      </c>
      <c r="L157" s="6">
        <f t="shared" ca="1" si="26"/>
        <v>0</v>
      </c>
      <c r="M157" s="6">
        <f t="shared" ca="1" si="27"/>
        <v>0</v>
      </c>
      <c r="N157" s="20">
        <f t="shared" ca="1" si="28"/>
        <v>47.123287671232873</v>
      </c>
      <c r="O157" s="6"/>
    </row>
    <row r="158" spans="2:15" ht="13.15" customHeight="1" x14ac:dyDescent="0.25">
      <c r="B158" s="1"/>
      <c r="E158" s="6">
        <v>154</v>
      </c>
      <c r="F158" s="6">
        <f t="shared" ca="1" si="20"/>
        <v>100</v>
      </c>
      <c r="G158" s="6">
        <f t="shared" ca="1" si="21"/>
        <v>1720</v>
      </c>
      <c r="H158" s="6">
        <f t="shared" ca="1" si="22"/>
        <v>1620</v>
      </c>
      <c r="I158" s="6">
        <f t="shared" ca="1" si="23"/>
        <v>0</v>
      </c>
      <c r="J158" s="6">
        <f t="shared" ca="1" si="24"/>
        <v>1</v>
      </c>
      <c r="K158" s="6">
        <f t="shared" ca="1" si="25"/>
        <v>0</v>
      </c>
      <c r="L158" s="6">
        <f t="shared" ca="1" si="26"/>
        <v>0</v>
      </c>
      <c r="M158" s="6">
        <f t="shared" ca="1" si="27"/>
        <v>0</v>
      </c>
      <c r="N158" s="20">
        <f t="shared" ca="1" si="28"/>
        <v>44.383561643835613</v>
      </c>
      <c r="O158" s="6"/>
    </row>
    <row r="159" spans="2:15" ht="13.15" customHeight="1" x14ac:dyDescent="0.25">
      <c r="B159" s="1"/>
      <c r="E159" s="6">
        <v>155</v>
      </c>
      <c r="F159" s="6">
        <f t="shared" ca="1" si="20"/>
        <v>110</v>
      </c>
      <c r="G159" s="6">
        <f t="shared" ca="1" si="21"/>
        <v>1620</v>
      </c>
      <c r="H159" s="6">
        <f t="shared" ca="1" si="22"/>
        <v>1510</v>
      </c>
      <c r="I159" s="6">
        <f t="shared" ca="1" si="23"/>
        <v>0</v>
      </c>
      <c r="J159" s="6">
        <f t="shared" ca="1" si="24"/>
        <v>0</v>
      </c>
      <c r="K159" s="6">
        <f t="shared" ca="1" si="25"/>
        <v>0</v>
      </c>
      <c r="L159" s="6">
        <f t="shared" ca="1" si="26"/>
        <v>0</v>
      </c>
      <c r="M159" s="6">
        <f t="shared" ca="1" si="27"/>
        <v>0</v>
      </c>
      <c r="N159" s="20">
        <f t="shared" ca="1" si="28"/>
        <v>41.369863013698627</v>
      </c>
      <c r="O159" s="6"/>
    </row>
    <row r="160" spans="2:15" ht="13.15" customHeight="1" x14ac:dyDescent="0.25">
      <c r="B160" s="1"/>
      <c r="E160" s="6">
        <v>156</v>
      </c>
      <c r="F160" s="6">
        <f t="shared" ca="1" si="20"/>
        <v>120</v>
      </c>
      <c r="G160" s="6">
        <f t="shared" ca="1" si="21"/>
        <v>1510</v>
      </c>
      <c r="H160" s="6">
        <f t="shared" ca="1" si="22"/>
        <v>1390</v>
      </c>
      <c r="I160" s="6">
        <f t="shared" ca="1" si="23"/>
        <v>0</v>
      </c>
      <c r="J160" s="6">
        <f t="shared" ca="1" si="24"/>
        <v>0</v>
      </c>
      <c r="K160" s="6">
        <f t="shared" ca="1" si="25"/>
        <v>0</v>
      </c>
      <c r="L160" s="6">
        <f t="shared" ca="1" si="26"/>
        <v>0</v>
      </c>
      <c r="M160" s="6">
        <f t="shared" ca="1" si="27"/>
        <v>0</v>
      </c>
      <c r="N160" s="20">
        <f t="shared" ca="1" si="28"/>
        <v>38.082191780821915</v>
      </c>
      <c r="O160" s="6"/>
    </row>
    <row r="161" spans="2:15" ht="13.15" customHeight="1" x14ac:dyDescent="0.25">
      <c r="B161" s="1"/>
      <c r="E161" s="6">
        <v>157</v>
      </c>
      <c r="F161" s="6">
        <f t="shared" ca="1" si="20"/>
        <v>100</v>
      </c>
      <c r="G161" s="6">
        <f t="shared" ca="1" si="21"/>
        <v>1390</v>
      </c>
      <c r="H161" s="6">
        <f t="shared" ca="1" si="22"/>
        <v>1290</v>
      </c>
      <c r="I161" s="6">
        <f t="shared" ca="1" si="23"/>
        <v>0</v>
      </c>
      <c r="J161" s="6">
        <f t="shared" ca="1" si="24"/>
        <v>1</v>
      </c>
      <c r="K161" s="6">
        <f t="shared" ca="1" si="25"/>
        <v>0</v>
      </c>
      <c r="L161" s="6">
        <f t="shared" ca="1" si="26"/>
        <v>0</v>
      </c>
      <c r="M161" s="6">
        <f t="shared" ca="1" si="27"/>
        <v>0</v>
      </c>
      <c r="N161" s="20">
        <f t="shared" ca="1" si="28"/>
        <v>35.342465753424655</v>
      </c>
      <c r="O161" s="6"/>
    </row>
    <row r="162" spans="2:15" ht="13.15" customHeight="1" x14ac:dyDescent="0.25">
      <c r="B162" s="1"/>
      <c r="E162" s="6">
        <v>158</v>
      </c>
      <c r="F162" s="6">
        <f t="shared" ca="1" si="20"/>
        <v>110</v>
      </c>
      <c r="G162" s="6">
        <f t="shared" ca="1" si="21"/>
        <v>1290</v>
      </c>
      <c r="H162" s="6">
        <f t="shared" ca="1" si="22"/>
        <v>1180</v>
      </c>
      <c r="I162" s="6">
        <f t="shared" ca="1" si="23"/>
        <v>0</v>
      </c>
      <c r="J162" s="6">
        <f t="shared" ca="1" si="24"/>
        <v>1</v>
      </c>
      <c r="K162" s="6">
        <f t="shared" ca="1" si="25"/>
        <v>0</v>
      </c>
      <c r="L162" s="6">
        <f t="shared" ca="1" si="26"/>
        <v>0</v>
      </c>
      <c r="M162" s="6">
        <f t="shared" ca="1" si="27"/>
        <v>0</v>
      </c>
      <c r="N162" s="20">
        <f t="shared" ca="1" si="28"/>
        <v>32.328767123287669</v>
      </c>
      <c r="O162" s="6"/>
    </row>
    <row r="163" spans="2:15" ht="13.15" customHeight="1" x14ac:dyDescent="0.25">
      <c r="B163" s="1"/>
      <c r="E163" s="6">
        <v>159</v>
      </c>
      <c r="F163" s="6">
        <f t="shared" ca="1" si="20"/>
        <v>120</v>
      </c>
      <c r="G163" s="6">
        <f t="shared" ca="1" si="21"/>
        <v>1180</v>
      </c>
      <c r="H163" s="6">
        <f t="shared" ca="1" si="22"/>
        <v>1060</v>
      </c>
      <c r="I163" s="6">
        <f t="shared" ca="1" si="23"/>
        <v>0</v>
      </c>
      <c r="J163" s="6">
        <f t="shared" ca="1" si="24"/>
        <v>0</v>
      </c>
      <c r="K163" s="6">
        <f t="shared" ca="1" si="25"/>
        <v>0</v>
      </c>
      <c r="L163" s="6">
        <f t="shared" ca="1" si="26"/>
        <v>0</v>
      </c>
      <c r="M163" s="6">
        <f t="shared" ca="1" si="27"/>
        <v>0</v>
      </c>
      <c r="N163" s="20">
        <f t="shared" ca="1" si="28"/>
        <v>29.041095890410958</v>
      </c>
      <c r="O163" s="6"/>
    </row>
    <row r="164" spans="2:15" ht="13.15" customHeight="1" x14ac:dyDescent="0.25">
      <c r="B164" s="1"/>
      <c r="E164" s="6">
        <v>160</v>
      </c>
      <c r="F164" s="6">
        <f t="shared" ca="1" si="20"/>
        <v>110</v>
      </c>
      <c r="G164" s="6">
        <f t="shared" ca="1" si="21"/>
        <v>1060</v>
      </c>
      <c r="H164" s="6">
        <f t="shared" ca="1" si="22"/>
        <v>950</v>
      </c>
      <c r="I164" s="6">
        <f t="shared" ca="1" si="23"/>
        <v>0</v>
      </c>
      <c r="J164" s="6">
        <f t="shared" ca="1" si="24"/>
        <v>1</v>
      </c>
      <c r="K164" s="6">
        <f t="shared" ca="1" si="25"/>
        <v>0</v>
      </c>
      <c r="L164" s="6">
        <f t="shared" ca="1" si="26"/>
        <v>0</v>
      </c>
      <c r="M164" s="6">
        <f t="shared" ca="1" si="27"/>
        <v>0</v>
      </c>
      <c r="N164" s="20">
        <f t="shared" ca="1" si="28"/>
        <v>26.027397260273972</v>
      </c>
      <c r="O164" s="6"/>
    </row>
    <row r="165" spans="2:15" ht="13.15" customHeight="1" x14ac:dyDescent="0.25">
      <c r="B165" s="1"/>
      <c r="E165" s="6">
        <v>161</v>
      </c>
      <c r="F165" s="6">
        <f t="shared" ca="1" si="20"/>
        <v>110</v>
      </c>
      <c r="G165" s="6">
        <f t="shared" ca="1" si="21"/>
        <v>950</v>
      </c>
      <c r="H165" s="6">
        <f t="shared" ca="1" si="22"/>
        <v>840</v>
      </c>
      <c r="I165" s="6">
        <f t="shared" ca="1" si="23"/>
        <v>0</v>
      </c>
      <c r="J165" s="6">
        <f t="shared" ca="1" si="24"/>
        <v>1</v>
      </c>
      <c r="K165" s="6">
        <f t="shared" ca="1" si="25"/>
        <v>0</v>
      </c>
      <c r="L165" s="6">
        <f t="shared" ca="1" si="26"/>
        <v>0</v>
      </c>
      <c r="M165" s="6">
        <f t="shared" ca="1" si="27"/>
        <v>0</v>
      </c>
      <c r="N165" s="20">
        <f t="shared" ca="1" si="28"/>
        <v>23.013698630136986</v>
      </c>
      <c r="O165" s="6"/>
    </row>
    <row r="166" spans="2:15" ht="13.15" customHeight="1" x14ac:dyDescent="0.25">
      <c r="B166" s="1"/>
      <c r="E166" s="6">
        <v>162</v>
      </c>
      <c r="F166" s="6">
        <f t="shared" ca="1" si="20"/>
        <v>90</v>
      </c>
      <c r="G166" s="6">
        <f t="shared" ca="1" si="21"/>
        <v>840</v>
      </c>
      <c r="H166" s="6">
        <f t="shared" ca="1" si="22"/>
        <v>750</v>
      </c>
      <c r="I166" s="6">
        <f t="shared" ca="1" si="23"/>
        <v>0</v>
      </c>
      <c r="J166" s="6">
        <f t="shared" ca="1" si="24"/>
        <v>0</v>
      </c>
      <c r="K166" s="6">
        <f t="shared" ca="1" si="25"/>
        <v>0</v>
      </c>
      <c r="L166" s="6">
        <f t="shared" ca="1" si="26"/>
        <v>0</v>
      </c>
      <c r="M166" s="6">
        <f t="shared" ca="1" si="27"/>
        <v>0</v>
      </c>
      <c r="N166" s="20">
        <f t="shared" ca="1" si="28"/>
        <v>20.547945205479451</v>
      </c>
      <c r="O166" s="6"/>
    </row>
    <row r="167" spans="2:15" ht="13.15" customHeight="1" x14ac:dyDescent="0.25">
      <c r="B167" s="1"/>
      <c r="E167" s="6">
        <v>163</v>
      </c>
      <c r="F167" s="6">
        <f t="shared" ca="1" si="20"/>
        <v>90</v>
      </c>
      <c r="G167" s="6">
        <f t="shared" ca="1" si="21"/>
        <v>750</v>
      </c>
      <c r="H167" s="6">
        <f t="shared" ca="1" si="22"/>
        <v>660</v>
      </c>
      <c r="I167" s="6">
        <f t="shared" ca="1" si="23"/>
        <v>0</v>
      </c>
      <c r="J167" s="6">
        <f t="shared" ca="1" si="24"/>
        <v>1</v>
      </c>
      <c r="K167" s="6">
        <f t="shared" ca="1" si="25"/>
        <v>0</v>
      </c>
      <c r="L167" s="6">
        <f t="shared" ca="1" si="26"/>
        <v>0</v>
      </c>
      <c r="M167" s="6">
        <f t="shared" ca="1" si="27"/>
        <v>0</v>
      </c>
      <c r="N167" s="20">
        <f t="shared" ca="1" si="28"/>
        <v>18.082191780821915</v>
      </c>
      <c r="O167" s="6"/>
    </row>
    <row r="168" spans="2:15" ht="13.15" customHeight="1" x14ac:dyDescent="0.25">
      <c r="B168" s="1"/>
      <c r="E168" s="6">
        <v>164</v>
      </c>
      <c r="F168" s="6">
        <f t="shared" ca="1" si="20"/>
        <v>100</v>
      </c>
      <c r="G168" s="6">
        <f t="shared" ca="1" si="21"/>
        <v>660</v>
      </c>
      <c r="H168" s="6">
        <f t="shared" ca="1" si="22"/>
        <v>560</v>
      </c>
      <c r="I168" s="6">
        <f t="shared" ca="1" si="23"/>
        <v>0</v>
      </c>
      <c r="J168" s="6">
        <f t="shared" ca="1" si="24"/>
        <v>1</v>
      </c>
      <c r="K168" s="6">
        <f t="shared" ca="1" si="25"/>
        <v>0</v>
      </c>
      <c r="L168" s="6">
        <f t="shared" ca="1" si="26"/>
        <v>0</v>
      </c>
      <c r="M168" s="6">
        <f t="shared" ca="1" si="27"/>
        <v>0</v>
      </c>
      <c r="N168" s="20">
        <f t="shared" ca="1" si="28"/>
        <v>15.342465753424657</v>
      </c>
      <c r="O168" s="6"/>
    </row>
    <row r="169" spans="2:15" ht="13.15" customHeight="1" x14ac:dyDescent="0.25">
      <c r="B169" s="1"/>
      <c r="E169" s="6">
        <v>165</v>
      </c>
      <c r="F169" s="6">
        <f t="shared" ca="1" si="20"/>
        <v>100</v>
      </c>
      <c r="G169" s="6">
        <f t="shared" ca="1" si="21"/>
        <v>560</v>
      </c>
      <c r="H169" s="6">
        <f t="shared" ca="1" si="22"/>
        <v>460</v>
      </c>
      <c r="I169" s="6">
        <f t="shared" ca="1" si="23"/>
        <v>0</v>
      </c>
      <c r="J169" s="6">
        <f t="shared" ca="1" si="24"/>
        <v>1</v>
      </c>
      <c r="K169" s="6">
        <f t="shared" ca="1" si="25"/>
        <v>0</v>
      </c>
      <c r="L169" s="6">
        <f t="shared" ca="1" si="26"/>
        <v>0</v>
      </c>
      <c r="M169" s="6">
        <f t="shared" ca="1" si="27"/>
        <v>0</v>
      </c>
      <c r="N169" s="20">
        <f t="shared" ca="1" si="28"/>
        <v>12.602739726027396</v>
      </c>
      <c r="O169" s="6"/>
    </row>
    <row r="170" spans="2:15" ht="13.15" customHeight="1" x14ac:dyDescent="0.25">
      <c r="B170" s="1"/>
      <c r="E170" s="6">
        <v>166</v>
      </c>
      <c r="F170" s="6">
        <f t="shared" ca="1" si="20"/>
        <v>110</v>
      </c>
      <c r="G170" s="6">
        <f t="shared" ca="1" si="21"/>
        <v>460</v>
      </c>
      <c r="H170" s="6">
        <f t="shared" ca="1" si="22"/>
        <v>350</v>
      </c>
      <c r="I170" s="6">
        <f t="shared" ca="1" si="23"/>
        <v>0</v>
      </c>
      <c r="J170" s="6">
        <f t="shared" ca="1" si="24"/>
        <v>0</v>
      </c>
      <c r="K170" s="6">
        <f t="shared" ca="1" si="25"/>
        <v>0</v>
      </c>
      <c r="L170" s="6">
        <f t="shared" ca="1" si="26"/>
        <v>0</v>
      </c>
      <c r="M170" s="6">
        <f t="shared" ca="1" si="27"/>
        <v>0</v>
      </c>
      <c r="N170" s="20">
        <f t="shared" ca="1" si="28"/>
        <v>9.5890410958904102</v>
      </c>
      <c r="O170" s="6"/>
    </row>
    <row r="171" spans="2:15" ht="13.15" customHeight="1" x14ac:dyDescent="0.25">
      <c r="B171" s="1"/>
      <c r="E171" s="6">
        <v>167</v>
      </c>
      <c r="F171" s="6">
        <f t="shared" ca="1" si="20"/>
        <v>110</v>
      </c>
      <c r="G171" s="6">
        <f t="shared" ca="1" si="21"/>
        <v>350</v>
      </c>
      <c r="H171" s="6">
        <f t="shared" ca="1" si="22"/>
        <v>240</v>
      </c>
      <c r="I171" s="6">
        <f t="shared" ca="1" si="23"/>
        <v>0</v>
      </c>
      <c r="J171" s="6">
        <f t="shared" ca="1" si="24"/>
        <v>0</v>
      </c>
      <c r="K171" s="6">
        <f t="shared" ca="1" si="25"/>
        <v>0</v>
      </c>
      <c r="L171" s="6">
        <f t="shared" ca="1" si="26"/>
        <v>0</v>
      </c>
      <c r="M171" s="6">
        <f t="shared" ca="1" si="27"/>
        <v>0</v>
      </c>
      <c r="N171" s="20">
        <f t="shared" ca="1" si="28"/>
        <v>6.5753424657534243</v>
      </c>
      <c r="O171" s="6"/>
    </row>
    <row r="172" spans="2:15" ht="13.15" customHeight="1" x14ac:dyDescent="0.25">
      <c r="B172" s="1"/>
      <c r="E172" s="6">
        <v>168</v>
      </c>
      <c r="F172" s="6">
        <f t="shared" ca="1" si="20"/>
        <v>120</v>
      </c>
      <c r="G172" s="6">
        <f t="shared" ca="1" si="21"/>
        <v>240</v>
      </c>
      <c r="H172" s="6">
        <f t="shared" ca="1" si="22"/>
        <v>120</v>
      </c>
      <c r="I172" s="6">
        <f t="shared" ca="1" si="23"/>
        <v>0</v>
      </c>
      <c r="J172" s="6">
        <f t="shared" ca="1" si="24"/>
        <v>0</v>
      </c>
      <c r="K172" s="6">
        <f t="shared" ca="1" si="25"/>
        <v>0</v>
      </c>
      <c r="L172" s="6">
        <f t="shared" ca="1" si="26"/>
        <v>0</v>
      </c>
      <c r="M172" s="6">
        <f t="shared" ca="1" si="27"/>
        <v>0</v>
      </c>
      <c r="N172" s="20">
        <f t="shared" ca="1" si="28"/>
        <v>3.2876712328767121</v>
      </c>
      <c r="O172" s="6"/>
    </row>
    <row r="173" spans="2:15" ht="13.15" customHeight="1" x14ac:dyDescent="0.25">
      <c r="B173" s="1"/>
      <c r="E173" s="6">
        <v>169</v>
      </c>
      <c r="F173" s="6">
        <f t="shared" ca="1" si="20"/>
        <v>100</v>
      </c>
      <c r="G173" s="6">
        <f t="shared" ca="1" si="21"/>
        <v>120</v>
      </c>
      <c r="H173" s="6">
        <f t="shared" ca="1" si="22"/>
        <v>20</v>
      </c>
      <c r="I173" s="6">
        <f t="shared" ca="1" si="23"/>
        <v>1</v>
      </c>
      <c r="J173" s="6">
        <f t="shared" ca="1" si="24"/>
        <v>0</v>
      </c>
      <c r="K173" s="6">
        <f t="shared" ca="1" si="25"/>
        <v>0</v>
      </c>
      <c r="L173" s="6">
        <f t="shared" ca="1" si="26"/>
        <v>0</v>
      </c>
      <c r="M173" s="6">
        <f t="shared" ca="1" si="27"/>
        <v>200</v>
      </c>
      <c r="N173" s="20">
        <f t="shared" ca="1" si="28"/>
        <v>0.54794520547945202</v>
      </c>
      <c r="O173" s="6"/>
    </row>
    <row r="174" spans="2:15" ht="13.15" customHeight="1" x14ac:dyDescent="0.25">
      <c r="B174" s="1"/>
      <c r="E174" s="6">
        <v>170</v>
      </c>
      <c r="F174" s="6">
        <f t="shared" ca="1" si="20"/>
        <v>110</v>
      </c>
      <c r="G174" s="6">
        <f t="shared" ca="1" si="21"/>
        <v>1020</v>
      </c>
      <c r="H174" s="6">
        <f t="shared" ca="1" si="22"/>
        <v>910</v>
      </c>
      <c r="I174" s="6">
        <f t="shared" ca="1" si="23"/>
        <v>0</v>
      </c>
      <c r="J174" s="6">
        <f t="shared" ca="1" si="24"/>
        <v>0</v>
      </c>
      <c r="K174" s="6">
        <f t="shared" ca="1" si="25"/>
        <v>0</v>
      </c>
      <c r="L174" s="6">
        <f t="shared" ca="1" si="26"/>
        <v>0</v>
      </c>
      <c r="M174" s="6">
        <f t="shared" ca="1" si="27"/>
        <v>0</v>
      </c>
      <c r="N174" s="20">
        <f t="shared" ca="1" si="28"/>
        <v>24.931506849315067</v>
      </c>
      <c r="O174" s="6"/>
    </row>
    <row r="175" spans="2:15" ht="13.15" customHeight="1" x14ac:dyDescent="0.25">
      <c r="B175" s="1"/>
      <c r="E175" s="6">
        <v>171</v>
      </c>
      <c r="F175" s="6">
        <f t="shared" ca="1" si="20"/>
        <v>90</v>
      </c>
      <c r="G175" s="6">
        <f t="shared" ca="1" si="21"/>
        <v>910</v>
      </c>
      <c r="H175" s="6">
        <f t="shared" ca="1" si="22"/>
        <v>820</v>
      </c>
      <c r="I175" s="6">
        <f t="shared" ca="1" si="23"/>
        <v>0</v>
      </c>
      <c r="J175" s="6">
        <f t="shared" ca="1" si="24"/>
        <v>0</v>
      </c>
      <c r="K175" s="6">
        <f t="shared" ca="1" si="25"/>
        <v>0</v>
      </c>
      <c r="L175" s="6">
        <f t="shared" ca="1" si="26"/>
        <v>0</v>
      </c>
      <c r="M175" s="6">
        <f t="shared" ca="1" si="27"/>
        <v>0</v>
      </c>
      <c r="N175" s="20">
        <f t="shared" ca="1" si="28"/>
        <v>22.465753424657532</v>
      </c>
      <c r="O175" s="6"/>
    </row>
    <row r="176" spans="2:15" ht="13.15" customHeight="1" x14ac:dyDescent="0.25">
      <c r="B176" s="1"/>
      <c r="E176" s="6">
        <v>172</v>
      </c>
      <c r="F176" s="6">
        <f t="shared" ca="1" si="20"/>
        <v>110</v>
      </c>
      <c r="G176" s="6">
        <f t="shared" ca="1" si="21"/>
        <v>820</v>
      </c>
      <c r="H176" s="6">
        <f t="shared" ca="1" si="22"/>
        <v>710</v>
      </c>
      <c r="I176" s="6">
        <f t="shared" ca="1" si="23"/>
        <v>0</v>
      </c>
      <c r="J176" s="6">
        <f t="shared" ca="1" si="24"/>
        <v>1</v>
      </c>
      <c r="K176" s="6">
        <f t="shared" ca="1" si="25"/>
        <v>0</v>
      </c>
      <c r="L176" s="6">
        <f t="shared" ca="1" si="26"/>
        <v>0</v>
      </c>
      <c r="M176" s="6">
        <f t="shared" ca="1" si="27"/>
        <v>0</v>
      </c>
      <c r="N176" s="20">
        <f t="shared" ca="1" si="28"/>
        <v>19.452054794520546</v>
      </c>
      <c r="O176" s="6"/>
    </row>
    <row r="177" spans="2:15" ht="13.15" customHeight="1" x14ac:dyDescent="0.25">
      <c r="B177" s="1"/>
      <c r="E177" s="6">
        <v>173</v>
      </c>
      <c r="F177" s="6">
        <f t="shared" ca="1" si="20"/>
        <v>120</v>
      </c>
      <c r="G177" s="6">
        <f t="shared" ca="1" si="21"/>
        <v>710</v>
      </c>
      <c r="H177" s="6">
        <f t="shared" ca="1" si="22"/>
        <v>590</v>
      </c>
      <c r="I177" s="6">
        <f t="shared" ca="1" si="23"/>
        <v>0</v>
      </c>
      <c r="J177" s="6">
        <f t="shared" ca="1" si="24"/>
        <v>1</v>
      </c>
      <c r="K177" s="6">
        <f t="shared" ca="1" si="25"/>
        <v>0</v>
      </c>
      <c r="L177" s="6">
        <f t="shared" ca="1" si="26"/>
        <v>0</v>
      </c>
      <c r="M177" s="6">
        <f t="shared" ca="1" si="27"/>
        <v>0</v>
      </c>
      <c r="N177" s="20">
        <f t="shared" ca="1" si="28"/>
        <v>16.164383561643834</v>
      </c>
      <c r="O177" s="6"/>
    </row>
    <row r="178" spans="2:15" ht="13.15" customHeight="1" x14ac:dyDescent="0.25">
      <c r="B178" s="1"/>
      <c r="E178" s="6">
        <v>174</v>
      </c>
      <c r="F178" s="6">
        <f t="shared" ca="1" si="20"/>
        <v>100</v>
      </c>
      <c r="G178" s="6">
        <f t="shared" ca="1" si="21"/>
        <v>590</v>
      </c>
      <c r="H178" s="6">
        <f t="shared" ca="1" si="22"/>
        <v>490</v>
      </c>
      <c r="I178" s="6">
        <f t="shared" ca="1" si="23"/>
        <v>0</v>
      </c>
      <c r="J178" s="6">
        <f t="shared" ca="1" si="24"/>
        <v>1</v>
      </c>
      <c r="K178" s="6">
        <f t="shared" ca="1" si="25"/>
        <v>0</v>
      </c>
      <c r="L178" s="6">
        <f t="shared" ca="1" si="26"/>
        <v>0</v>
      </c>
      <c r="M178" s="6">
        <f t="shared" ca="1" si="27"/>
        <v>0</v>
      </c>
      <c r="N178" s="20">
        <f t="shared" ca="1" si="28"/>
        <v>13.424657534246574</v>
      </c>
      <c r="O178" s="6"/>
    </row>
    <row r="179" spans="2:15" ht="13.15" customHeight="1" x14ac:dyDescent="0.25">
      <c r="B179" s="1"/>
      <c r="E179" s="6">
        <v>175</v>
      </c>
      <c r="F179" s="6">
        <f t="shared" ca="1" si="20"/>
        <v>80</v>
      </c>
      <c r="G179" s="6">
        <f t="shared" ca="1" si="21"/>
        <v>490</v>
      </c>
      <c r="H179" s="6">
        <f t="shared" ca="1" si="22"/>
        <v>410</v>
      </c>
      <c r="I179" s="6">
        <f t="shared" ca="1" si="23"/>
        <v>0</v>
      </c>
      <c r="J179" s="6">
        <f t="shared" ca="1" si="24"/>
        <v>0</v>
      </c>
      <c r="K179" s="6">
        <f t="shared" ca="1" si="25"/>
        <v>0</v>
      </c>
      <c r="L179" s="6">
        <f t="shared" ca="1" si="26"/>
        <v>0</v>
      </c>
      <c r="M179" s="6">
        <f t="shared" ca="1" si="27"/>
        <v>0</v>
      </c>
      <c r="N179" s="20">
        <f t="shared" ca="1" si="28"/>
        <v>11.232876712328766</v>
      </c>
      <c r="O179" s="6"/>
    </row>
    <row r="180" spans="2:15" ht="13.15" customHeight="1" x14ac:dyDescent="0.25">
      <c r="B180" s="1"/>
      <c r="E180" s="6">
        <v>176</v>
      </c>
      <c r="F180" s="6">
        <f t="shared" ca="1" si="20"/>
        <v>120</v>
      </c>
      <c r="G180" s="6">
        <f t="shared" ca="1" si="21"/>
        <v>410</v>
      </c>
      <c r="H180" s="6">
        <f t="shared" ca="1" si="22"/>
        <v>290</v>
      </c>
      <c r="I180" s="6">
        <f t="shared" ca="1" si="23"/>
        <v>0</v>
      </c>
      <c r="J180" s="6">
        <f t="shared" ca="1" si="24"/>
        <v>1</v>
      </c>
      <c r="K180" s="6">
        <f t="shared" ca="1" si="25"/>
        <v>0</v>
      </c>
      <c r="L180" s="6">
        <f t="shared" ca="1" si="26"/>
        <v>0</v>
      </c>
      <c r="M180" s="6">
        <f t="shared" ca="1" si="27"/>
        <v>0</v>
      </c>
      <c r="N180" s="20">
        <f t="shared" ca="1" si="28"/>
        <v>7.9452054794520546</v>
      </c>
      <c r="O180" s="6"/>
    </row>
    <row r="181" spans="2:15" ht="13.15" customHeight="1" x14ac:dyDescent="0.25">
      <c r="B181" s="1"/>
      <c r="E181" s="6">
        <v>177</v>
      </c>
      <c r="F181" s="6">
        <f t="shared" ca="1" si="20"/>
        <v>100</v>
      </c>
      <c r="G181" s="6">
        <f t="shared" ca="1" si="21"/>
        <v>290</v>
      </c>
      <c r="H181" s="6">
        <f t="shared" ca="1" si="22"/>
        <v>190</v>
      </c>
      <c r="I181" s="6">
        <f t="shared" ca="1" si="23"/>
        <v>0</v>
      </c>
      <c r="J181" s="6">
        <f t="shared" ca="1" si="24"/>
        <v>0</v>
      </c>
      <c r="K181" s="6">
        <f t="shared" ca="1" si="25"/>
        <v>0</v>
      </c>
      <c r="L181" s="6">
        <f t="shared" ca="1" si="26"/>
        <v>0</v>
      </c>
      <c r="M181" s="6">
        <f t="shared" ca="1" si="27"/>
        <v>0</v>
      </c>
      <c r="N181" s="20">
        <f t="shared" ca="1" si="28"/>
        <v>5.205479452054794</v>
      </c>
      <c r="O181" s="6"/>
    </row>
    <row r="182" spans="2:15" ht="13.15" customHeight="1" x14ac:dyDescent="0.25">
      <c r="B182" s="1"/>
      <c r="E182" s="6">
        <v>178</v>
      </c>
      <c r="F182" s="6">
        <f t="shared" ca="1" si="20"/>
        <v>80</v>
      </c>
      <c r="G182" s="6">
        <f t="shared" ca="1" si="21"/>
        <v>190</v>
      </c>
      <c r="H182" s="6">
        <f t="shared" ca="1" si="22"/>
        <v>110</v>
      </c>
      <c r="I182" s="6">
        <f t="shared" ca="1" si="23"/>
        <v>0</v>
      </c>
      <c r="J182" s="6">
        <f t="shared" ca="1" si="24"/>
        <v>1</v>
      </c>
      <c r="K182" s="6">
        <f t="shared" ca="1" si="25"/>
        <v>0</v>
      </c>
      <c r="L182" s="6">
        <f t="shared" ca="1" si="26"/>
        <v>0</v>
      </c>
      <c r="M182" s="6">
        <f t="shared" ca="1" si="27"/>
        <v>0</v>
      </c>
      <c r="N182" s="20">
        <f t="shared" ca="1" si="28"/>
        <v>3.0136986301369859</v>
      </c>
      <c r="O182" s="6"/>
    </row>
    <row r="183" spans="2:15" ht="13.15" customHeight="1" x14ac:dyDescent="0.25">
      <c r="B183" s="1"/>
      <c r="E183" s="6">
        <v>179</v>
      </c>
      <c r="F183" s="6">
        <f t="shared" ca="1" si="20"/>
        <v>110</v>
      </c>
      <c r="G183" s="6">
        <f t="shared" ca="1" si="21"/>
        <v>110</v>
      </c>
      <c r="H183" s="6">
        <f t="shared" ca="1" si="22"/>
        <v>0</v>
      </c>
      <c r="I183" s="6">
        <f t="shared" ca="1" si="23"/>
        <v>1</v>
      </c>
      <c r="J183" s="6">
        <f t="shared" ca="1" si="24"/>
        <v>1</v>
      </c>
      <c r="K183" s="6">
        <f t="shared" ca="1" si="25"/>
        <v>0</v>
      </c>
      <c r="L183" s="6">
        <f t="shared" ca="1" si="26"/>
        <v>0</v>
      </c>
      <c r="M183" s="6">
        <f t="shared" ca="1" si="27"/>
        <v>200</v>
      </c>
      <c r="N183" s="20">
        <f t="shared" ca="1" si="28"/>
        <v>0</v>
      </c>
      <c r="O183" s="6"/>
    </row>
    <row r="184" spans="2:15" ht="13.15" customHeight="1" x14ac:dyDescent="0.25">
      <c r="B184" s="1"/>
      <c r="E184" s="6">
        <v>180</v>
      </c>
      <c r="F184" s="6">
        <f t="shared" ca="1" si="20"/>
        <v>100</v>
      </c>
      <c r="G184" s="6">
        <f t="shared" ca="1" si="21"/>
        <v>0</v>
      </c>
      <c r="H184" s="6">
        <f t="shared" ca="1" si="22"/>
        <v>0</v>
      </c>
      <c r="I184" s="6">
        <f t="shared" ca="1" si="23"/>
        <v>1</v>
      </c>
      <c r="J184" s="6">
        <f t="shared" ca="1" si="24"/>
        <v>1</v>
      </c>
      <c r="K184" s="6">
        <f t="shared" ca="1" si="25"/>
        <v>100</v>
      </c>
      <c r="L184" s="6">
        <f t="shared" ca="1" si="26"/>
        <v>5000</v>
      </c>
      <c r="M184" s="6">
        <f t="shared" ca="1" si="27"/>
        <v>200</v>
      </c>
      <c r="N184" s="20">
        <f t="shared" ca="1" si="28"/>
        <v>0</v>
      </c>
      <c r="O184" s="6"/>
    </row>
    <row r="185" spans="2:15" ht="13.15" customHeight="1" x14ac:dyDescent="0.25">
      <c r="B185" s="1"/>
      <c r="E185" s="6">
        <v>181</v>
      </c>
      <c r="F185" s="6">
        <f t="shared" ca="1" si="20"/>
        <v>100</v>
      </c>
      <c r="G185" s="6">
        <f t="shared" ca="1" si="21"/>
        <v>1000</v>
      </c>
      <c r="H185" s="6">
        <f t="shared" ca="1" si="22"/>
        <v>900</v>
      </c>
      <c r="I185" s="6">
        <f t="shared" ca="1" si="23"/>
        <v>0</v>
      </c>
      <c r="J185" s="6">
        <f t="shared" ca="1" si="24"/>
        <v>0</v>
      </c>
      <c r="K185" s="6">
        <f t="shared" ca="1" si="25"/>
        <v>0</v>
      </c>
      <c r="L185" s="6">
        <f t="shared" ca="1" si="26"/>
        <v>0</v>
      </c>
      <c r="M185" s="6">
        <f t="shared" ca="1" si="27"/>
        <v>0</v>
      </c>
      <c r="N185" s="20">
        <f t="shared" ca="1" si="28"/>
        <v>24.657534246575342</v>
      </c>
      <c r="O185" s="6"/>
    </row>
    <row r="186" spans="2:15" ht="13.15" customHeight="1" x14ac:dyDescent="0.25">
      <c r="B186" s="1"/>
      <c r="E186" s="6">
        <v>182</v>
      </c>
      <c r="F186" s="6">
        <f t="shared" ca="1" si="20"/>
        <v>110</v>
      </c>
      <c r="G186" s="6">
        <f t="shared" ca="1" si="21"/>
        <v>1900</v>
      </c>
      <c r="H186" s="6">
        <f t="shared" ca="1" si="22"/>
        <v>1790</v>
      </c>
      <c r="I186" s="6">
        <f t="shared" ca="1" si="23"/>
        <v>0</v>
      </c>
      <c r="J186" s="6">
        <f t="shared" ca="1" si="24"/>
        <v>0</v>
      </c>
      <c r="K186" s="6">
        <f t="shared" ca="1" si="25"/>
        <v>0</v>
      </c>
      <c r="L186" s="6">
        <f t="shared" ca="1" si="26"/>
        <v>0</v>
      </c>
      <c r="M186" s="6">
        <f t="shared" ca="1" si="27"/>
        <v>0</v>
      </c>
      <c r="N186" s="20">
        <f t="shared" ca="1" si="28"/>
        <v>49.041095890410958</v>
      </c>
      <c r="O186" s="6"/>
    </row>
    <row r="187" spans="2:15" ht="13.15" customHeight="1" x14ac:dyDescent="0.25">
      <c r="B187" s="1"/>
      <c r="E187" s="6">
        <v>183</v>
      </c>
      <c r="F187" s="6">
        <f t="shared" ca="1" si="20"/>
        <v>80</v>
      </c>
      <c r="G187" s="6">
        <f t="shared" ca="1" si="21"/>
        <v>1790</v>
      </c>
      <c r="H187" s="6">
        <f t="shared" ca="1" si="22"/>
        <v>1710</v>
      </c>
      <c r="I187" s="6">
        <f t="shared" ca="1" si="23"/>
        <v>0</v>
      </c>
      <c r="J187" s="6">
        <f t="shared" ca="1" si="24"/>
        <v>0</v>
      </c>
      <c r="K187" s="6">
        <f t="shared" ca="1" si="25"/>
        <v>0</v>
      </c>
      <c r="L187" s="6">
        <f t="shared" ca="1" si="26"/>
        <v>0</v>
      </c>
      <c r="M187" s="6">
        <f t="shared" ca="1" si="27"/>
        <v>0</v>
      </c>
      <c r="N187" s="20">
        <f t="shared" ca="1" si="28"/>
        <v>46.849315068493148</v>
      </c>
      <c r="O187" s="6"/>
    </row>
    <row r="188" spans="2:15" ht="13.15" customHeight="1" x14ac:dyDescent="0.25">
      <c r="B188" s="1"/>
      <c r="E188" s="6">
        <v>184</v>
      </c>
      <c r="F188" s="6">
        <f t="shared" ca="1" si="20"/>
        <v>90</v>
      </c>
      <c r="G188" s="6">
        <f t="shared" ca="1" si="21"/>
        <v>1710</v>
      </c>
      <c r="H188" s="6">
        <f t="shared" ca="1" si="22"/>
        <v>1620</v>
      </c>
      <c r="I188" s="6">
        <f t="shared" ca="1" si="23"/>
        <v>0</v>
      </c>
      <c r="J188" s="6">
        <f t="shared" ca="1" si="24"/>
        <v>0</v>
      </c>
      <c r="K188" s="6">
        <f t="shared" ca="1" si="25"/>
        <v>0</v>
      </c>
      <c r="L188" s="6">
        <f t="shared" ca="1" si="26"/>
        <v>0</v>
      </c>
      <c r="M188" s="6">
        <f t="shared" ca="1" si="27"/>
        <v>0</v>
      </c>
      <c r="N188" s="20">
        <f t="shared" ca="1" si="28"/>
        <v>44.383561643835613</v>
      </c>
      <c r="O188" s="6"/>
    </row>
    <row r="189" spans="2:15" ht="13.15" customHeight="1" x14ac:dyDescent="0.25">
      <c r="B189" s="1"/>
      <c r="E189" s="6">
        <v>185</v>
      </c>
      <c r="F189" s="6">
        <f t="shared" ca="1" si="20"/>
        <v>100</v>
      </c>
      <c r="G189" s="6">
        <f t="shared" ca="1" si="21"/>
        <v>1620</v>
      </c>
      <c r="H189" s="6">
        <f t="shared" ca="1" si="22"/>
        <v>1520</v>
      </c>
      <c r="I189" s="6">
        <f t="shared" ca="1" si="23"/>
        <v>0</v>
      </c>
      <c r="J189" s="6">
        <f t="shared" ca="1" si="24"/>
        <v>0</v>
      </c>
      <c r="K189" s="6">
        <f t="shared" ca="1" si="25"/>
        <v>0</v>
      </c>
      <c r="L189" s="6">
        <f t="shared" ca="1" si="26"/>
        <v>0</v>
      </c>
      <c r="M189" s="6">
        <f t="shared" ca="1" si="27"/>
        <v>0</v>
      </c>
      <c r="N189" s="20">
        <f t="shared" ca="1" si="28"/>
        <v>41.643835616438352</v>
      </c>
      <c r="O189" s="6"/>
    </row>
    <row r="190" spans="2:15" ht="13.15" customHeight="1" x14ac:dyDescent="0.25">
      <c r="B190" s="1"/>
      <c r="E190" s="6">
        <v>186</v>
      </c>
      <c r="F190" s="6">
        <f t="shared" ca="1" si="20"/>
        <v>100</v>
      </c>
      <c r="G190" s="6">
        <f t="shared" ca="1" si="21"/>
        <v>1520</v>
      </c>
      <c r="H190" s="6">
        <f t="shared" ca="1" si="22"/>
        <v>1420</v>
      </c>
      <c r="I190" s="6">
        <f t="shared" ca="1" si="23"/>
        <v>0</v>
      </c>
      <c r="J190" s="6">
        <f t="shared" ca="1" si="24"/>
        <v>1</v>
      </c>
      <c r="K190" s="6">
        <f t="shared" ca="1" si="25"/>
        <v>0</v>
      </c>
      <c r="L190" s="6">
        <f t="shared" ca="1" si="26"/>
        <v>0</v>
      </c>
      <c r="M190" s="6">
        <f t="shared" ca="1" si="27"/>
        <v>0</v>
      </c>
      <c r="N190" s="20">
        <f t="shared" ca="1" si="28"/>
        <v>38.904109589041092</v>
      </c>
      <c r="O190" s="6"/>
    </row>
    <row r="191" spans="2:15" ht="13.15" customHeight="1" x14ac:dyDescent="0.25">
      <c r="B191" s="1"/>
      <c r="E191" s="6">
        <v>187</v>
      </c>
      <c r="F191" s="6">
        <f t="shared" ca="1" si="20"/>
        <v>100</v>
      </c>
      <c r="G191" s="6">
        <f t="shared" ca="1" si="21"/>
        <v>1420</v>
      </c>
      <c r="H191" s="6">
        <f t="shared" ca="1" si="22"/>
        <v>1320</v>
      </c>
      <c r="I191" s="6">
        <f t="shared" ca="1" si="23"/>
        <v>0</v>
      </c>
      <c r="J191" s="6">
        <f t="shared" ca="1" si="24"/>
        <v>0</v>
      </c>
      <c r="K191" s="6">
        <f t="shared" ca="1" si="25"/>
        <v>0</v>
      </c>
      <c r="L191" s="6">
        <f t="shared" ca="1" si="26"/>
        <v>0</v>
      </c>
      <c r="M191" s="6">
        <f t="shared" ca="1" si="27"/>
        <v>0</v>
      </c>
      <c r="N191" s="20">
        <f t="shared" ca="1" si="28"/>
        <v>36.164383561643831</v>
      </c>
      <c r="O191" s="6"/>
    </row>
    <row r="192" spans="2:15" ht="13.15" customHeight="1" x14ac:dyDescent="0.25">
      <c r="B192" s="1"/>
      <c r="E192" s="6">
        <v>188</v>
      </c>
      <c r="F192" s="6">
        <f t="shared" ca="1" si="20"/>
        <v>100</v>
      </c>
      <c r="G192" s="6">
        <f t="shared" ca="1" si="21"/>
        <v>1320</v>
      </c>
      <c r="H192" s="6">
        <f t="shared" ca="1" si="22"/>
        <v>1220</v>
      </c>
      <c r="I192" s="6">
        <f t="shared" ca="1" si="23"/>
        <v>0</v>
      </c>
      <c r="J192" s="6">
        <f t="shared" ca="1" si="24"/>
        <v>1</v>
      </c>
      <c r="K192" s="6">
        <f t="shared" ca="1" si="25"/>
        <v>0</v>
      </c>
      <c r="L192" s="6">
        <f t="shared" ca="1" si="26"/>
        <v>0</v>
      </c>
      <c r="M192" s="6">
        <f t="shared" ca="1" si="27"/>
        <v>0</v>
      </c>
      <c r="N192" s="20">
        <f t="shared" ca="1" si="28"/>
        <v>33.42465753424657</v>
      </c>
      <c r="O192" s="6"/>
    </row>
    <row r="193" spans="2:15" ht="13.15" customHeight="1" x14ac:dyDescent="0.25">
      <c r="B193" s="1"/>
      <c r="E193" s="6">
        <v>189</v>
      </c>
      <c r="F193" s="6">
        <f t="shared" ca="1" si="20"/>
        <v>110</v>
      </c>
      <c r="G193" s="6">
        <f t="shared" ca="1" si="21"/>
        <v>1220</v>
      </c>
      <c r="H193" s="6">
        <f t="shared" ca="1" si="22"/>
        <v>1110</v>
      </c>
      <c r="I193" s="6">
        <f t="shared" ca="1" si="23"/>
        <v>0</v>
      </c>
      <c r="J193" s="6">
        <f t="shared" ca="1" si="24"/>
        <v>1</v>
      </c>
      <c r="K193" s="6">
        <f t="shared" ca="1" si="25"/>
        <v>0</v>
      </c>
      <c r="L193" s="6">
        <f t="shared" ca="1" si="26"/>
        <v>0</v>
      </c>
      <c r="M193" s="6">
        <f t="shared" ca="1" si="27"/>
        <v>0</v>
      </c>
      <c r="N193" s="20">
        <f t="shared" ca="1" si="28"/>
        <v>30.410958904109588</v>
      </c>
      <c r="O193" s="6"/>
    </row>
    <row r="194" spans="2:15" ht="13.15" customHeight="1" x14ac:dyDescent="0.25">
      <c r="B194" s="1"/>
      <c r="E194" s="6">
        <v>190</v>
      </c>
      <c r="F194" s="6">
        <f t="shared" ca="1" si="20"/>
        <v>80</v>
      </c>
      <c r="G194" s="6">
        <f t="shared" ca="1" si="21"/>
        <v>1110</v>
      </c>
      <c r="H194" s="6">
        <f t="shared" ca="1" si="22"/>
        <v>1030</v>
      </c>
      <c r="I194" s="6">
        <f t="shared" ca="1" si="23"/>
        <v>0</v>
      </c>
      <c r="J194" s="6">
        <f t="shared" ca="1" si="24"/>
        <v>1</v>
      </c>
      <c r="K194" s="6">
        <f t="shared" ca="1" si="25"/>
        <v>0</v>
      </c>
      <c r="L194" s="6">
        <f t="shared" ca="1" si="26"/>
        <v>0</v>
      </c>
      <c r="M194" s="6">
        <f t="shared" ca="1" si="27"/>
        <v>0</v>
      </c>
      <c r="N194" s="20">
        <f t="shared" ca="1" si="28"/>
        <v>28.219178082191778</v>
      </c>
      <c r="O194" s="6"/>
    </row>
    <row r="195" spans="2:15" ht="13.15" customHeight="1" x14ac:dyDescent="0.25">
      <c r="B195" s="1"/>
      <c r="E195" s="6">
        <v>191</v>
      </c>
      <c r="F195" s="6">
        <f t="shared" ca="1" si="20"/>
        <v>120</v>
      </c>
      <c r="G195" s="6">
        <f t="shared" ca="1" si="21"/>
        <v>1030</v>
      </c>
      <c r="H195" s="6">
        <f t="shared" ca="1" si="22"/>
        <v>910</v>
      </c>
      <c r="I195" s="6">
        <f t="shared" ca="1" si="23"/>
        <v>0</v>
      </c>
      <c r="J195" s="6">
        <f t="shared" ca="1" si="24"/>
        <v>1</v>
      </c>
      <c r="K195" s="6">
        <f t="shared" ca="1" si="25"/>
        <v>0</v>
      </c>
      <c r="L195" s="6">
        <f t="shared" ca="1" si="26"/>
        <v>0</v>
      </c>
      <c r="M195" s="6">
        <f t="shared" ca="1" si="27"/>
        <v>0</v>
      </c>
      <c r="N195" s="20">
        <f t="shared" ca="1" si="28"/>
        <v>24.931506849315067</v>
      </c>
      <c r="O195" s="6"/>
    </row>
    <row r="196" spans="2:15" ht="13.15" customHeight="1" x14ac:dyDescent="0.25">
      <c r="B196" s="1"/>
      <c r="E196" s="6">
        <v>192</v>
      </c>
      <c r="F196" s="6">
        <f t="shared" ca="1" si="20"/>
        <v>100</v>
      </c>
      <c r="G196" s="6">
        <f t="shared" ca="1" si="21"/>
        <v>910</v>
      </c>
      <c r="H196" s="6">
        <f t="shared" ca="1" si="22"/>
        <v>810</v>
      </c>
      <c r="I196" s="6">
        <f t="shared" ca="1" si="23"/>
        <v>0</v>
      </c>
      <c r="J196" s="6">
        <f t="shared" ca="1" si="24"/>
        <v>0</v>
      </c>
      <c r="K196" s="6">
        <f t="shared" ca="1" si="25"/>
        <v>0</v>
      </c>
      <c r="L196" s="6">
        <f t="shared" ca="1" si="26"/>
        <v>0</v>
      </c>
      <c r="M196" s="6">
        <f t="shared" ca="1" si="27"/>
        <v>0</v>
      </c>
      <c r="N196" s="20">
        <f t="shared" ca="1" si="28"/>
        <v>22.191780821917806</v>
      </c>
      <c r="O196" s="6"/>
    </row>
    <row r="197" spans="2:15" ht="13.15" customHeight="1" x14ac:dyDescent="0.25">
      <c r="B197" s="1"/>
      <c r="E197" s="6">
        <v>193</v>
      </c>
      <c r="F197" s="6">
        <f t="shared" ca="1" si="20"/>
        <v>90</v>
      </c>
      <c r="G197" s="6">
        <f t="shared" ca="1" si="21"/>
        <v>810</v>
      </c>
      <c r="H197" s="6">
        <f t="shared" ca="1" si="22"/>
        <v>720</v>
      </c>
      <c r="I197" s="6">
        <f t="shared" ca="1" si="23"/>
        <v>0</v>
      </c>
      <c r="J197" s="6">
        <f t="shared" ca="1" si="24"/>
        <v>0</v>
      </c>
      <c r="K197" s="6">
        <f t="shared" ca="1" si="25"/>
        <v>0</v>
      </c>
      <c r="L197" s="6">
        <f t="shared" ca="1" si="26"/>
        <v>0</v>
      </c>
      <c r="M197" s="6">
        <f t="shared" ca="1" si="27"/>
        <v>0</v>
      </c>
      <c r="N197" s="20">
        <f t="shared" ca="1" si="28"/>
        <v>19.726027397260275</v>
      </c>
      <c r="O197" s="6"/>
    </row>
    <row r="198" spans="2:15" ht="13.15" customHeight="1" x14ac:dyDescent="0.25">
      <c r="B198" s="1"/>
      <c r="E198" s="6">
        <v>194</v>
      </c>
      <c r="F198" s="6">
        <f t="shared" ref="F198:F261" ca="1" si="29">INDEX($T$17:$T$21,MATCH(RAND(),$V$17:$V$22,1))</f>
        <v>80</v>
      </c>
      <c r="G198" s="6">
        <f t="shared" ca="1" si="21"/>
        <v>720</v>
      </c>
      <c r="H198" s="6">
        <f t="shared" ca="1" si="22"/>
        <v>640</v>
      </c>
      <c r="I198" s="6">
        <f t="shared" ca="1" si="23"/>
        <v>0</v>
      </c>
      <c r="J198" s="6">
        <f t="shared" ca="1" si="24"/>
        <v>1</v>
      </c>
      <c r="K198" s="6">
        <f t="shared" ca="1" si="25"/>
        <v>0</v>
      </c>
      <c r="L198" s="6">
        <f t="shared" ca="1" si="26"/>
        <v>0</v>
      </c>
      <c r="M198" s="6">
        <f t="shared" ca="1" si="27"/>
        <v>0</v>
      </c>
      <c r="N198" s="20">
        <f t="shared" ca="1" si="28"/>
        <v>17.534246575342465</v>
      </c>
      <c r="O198" s="6"/>
    </row>
    <row r="199" spans="2:15" ht="13.15" customHeight="1" x14ac:dyDescent="0.25">
      <c r="B199" s="1"/>
      <c r="E199" s="6">
        <v>195</v>
      </c>
      <c r="F199" s="6">
        <f t="shared" ca="1" si="29"/>
        <v>90</v>
      </c>
      <c r="G199" s="6">
        <f t="shared" ref="G199:G262" ca="1" si="30">H198+IF(AND(I198=1,J198=0),$C$9,0)+IF(AND(I197=1,J197=1),$C$9,0)</f>
        <v>640</v>
      </c>
      <c r="H199" s="6">
        <f t="shared" ref="H199:H262" ca="1" si="31">MAX(G199-F199,0)</f>
        <v>550</v>
      </c>
      <c r="I199" s="6">
        <f t="shared" ref="I199:I262" ca="1" si="32">IF(H199&lt;$C$3,1,0)</f>
        <v>0</v>
      </c>
      <c r="J199" s="6">
        <f t="shared" ref="J199:J262" ca="1" si="33">IF(RAND()&lt;0.5,0,1)</f>
        <v>1</v>
      </c>
      <c r="K199" s="6">
        <f t="shared" ref="K199:K262" ca="1" si="34">-MIN(G199-F199,0)</f>
        <v>0</v>
      </c>
      <c r="L199" s="6">
        <f t="shared" ref="L199:L262" ca="1" si="35">K199*$C$8</f>
        <v>0</v>
      </c>
      <c r="M199" s="6">
        <f t="shared" ref="M199:M262" ca="1" si="36">I199*$C$4</f>
        <v>0</v>
      </c>
      <c r="N199" s="20">
        <f t="shared" ref="N199:N262" ca="1" si="37">H199*$C$7</f>
        <v>15.068493150684931</v>
      </c>
      <c r="O199" s="6"/>
    </row>
    <row r="200" spans="2:15" ht="13.15" customHeight="1" x14ac:dyDescent="0.25">
      <c r="B200" s="1"/>
      <c r="E200" s="6">
        <v>196</v>
      </c>
      <c r="F200" s="6">
        <f t="shared" ca="1" si="29"/>
        <v>100</v>
      </c>
      <c r="G200" s="6">
        <f t="shared" ca="1" si="30"/>
        <v>550</v>
      </c>
      <c r="H200" s="6">
        <f t="shared" ca="1" si="31"/>
        <v>450</v>
      </c>
      <c r="I200" s="6">
        <f t="shared" ca="1" si="32"/>
        <v>0</v>
      </c>
      <c r="J200" s="6">
        <f t="shared" ca="1" si="33"/>
        <v>0</v>
      </c>
      <c r="K200" s="6">
        <f t="shared" ca="1" si="34"/>
        <v>0</v>
      </c>
      <c r="L200" s="6">
        <f t="shared" ca="1" si="35"/>
        <v>0</v>
      </c>
      <c r="M200" s="6">
        <f t="shared" ca="1" si="36"/>
        <v>0</v>
      </c>
      <c r="N200" s="20">
        <f t="shared" ca="1" si="37"/>
        <v>12.328767123287671</v>
      </c>
      <c r="O200" s="6"/>
    </row>
    <row r="201" spans="2:15" ht="13.15" customHeight="1" x14ac:dyDescent="0.25">
      <c r="B201" s="1"/>
      <c r="E201" s="6">
        <v>197</v>
      </c>
      <c r="F201" s="6">
        <f t="shared" ca="1" si="29"/>
        <v>100</v>
      </c>
      <c r="G201" s="6">
        <f t="shared" ca="1" si="30"/>
        <v>450</v>
      </c>
      <c r="H201" s="6">
        <f t="shared" ca="1" si="31"/>
        <v>350</v>
      </c>
      <c r="I201" s="6">
        <f t="shared" ca="1" si="32"/>
        <v>0</v>
      </c>
      <c r="J201" s="6">
        <f t="shared" ca="1" si="33"/>
        <v>0</v>
      </c>
      <c r="K201" s="6">
        <f t="shared" ca="1" si="34"/>
        <v>0</v>
      </c>
      <c r="L201" s="6">
        <f t="shared" ca="1" si="35"/>
        <v>0</v>
      </c>
      <c r="M201" s="6">
        <f t="shared" ca="1" si="36"/>
        <v>0</v>
      </c>
      <c r="N201" s="20">
        <f t="shared" ca="1" si="37"/>
        <v>9.5890410958904102</v>
      </c>
      <c r="O201" s="6"/>
    </row>
    <row r="202" spans="2:15" ht="13.15" customHeight="1" x14ac:dyDescent="0.25">
      <c r="B202" s="1"/>
      <c r="E202" s="6">
        <v>198</v>
      </c>
      <c r="F202" s="6">
        <f t="shared" ca="1" si="29"/>
        <v>110</v>
      </c>
      <c r="G202" s="6">
        <f t="shared" ca="1" si="30"/>
        <v>350</v>
      </c>
      <c r="H202" s="6">
        <f t="shared" ca="1" si="31"/>
        <v>240</v>
      </c>
      <c r="I202" s="6">
        <f t="shared" ca="1" si="32"/>
        <v>0</v>
      </c>
      <c r="J202" s="6">
        <f t="shared" ca="1" si="33"/>
        <v>0</v>
      </c>
      <c r="K202" s="6">
        <f t="shared" ca="1" si="34"/>
        <v>0</v>
      </c>
      <c r="L202" s="6">
        <f t="shared" ca="1" si="35"/>
        <v>0</v>
      </c>
      <c r="M202" s="6">
        <f t="shared" ca="1" si="36"/>
        <v>0</v>
      </c>
      <c r="N202" s="20">
        <f t="shared" ca="1" si="37"/>
        <v>6.5753424657534243</v>
      </c>
      <c r="O202" s="6"/>
    </row>
    <row r="203" spans="2:15" ht="13.15" customHeight="1" x14ac:dyDescent="0.25">
      <c r="B203" s="1"/>
      <c r="E203" s="6">
        <v>199</v>
      </c>
      <c r="F203" s="6">
        <f t="shared" ca="1" si="29"/>
        <v>90</v>
      </c>
      <c r="G203" s="6">
        <f t="shared" ca="1" si="30"/>
        <v>240</v>
      </c>
      <c r="H203" s="6">
        <f t="shared" ca="1" si="31"/>
        <v>150</v>
      </c>
      <c r="I203" s="6">
        <f t="shared" ca="1" si="32"/>
        <v>0</v>
      </c>
      <c r="J203" s="6">
        <f t="shared" ca="1" si="33"/>
        <v>0</v>
      </c>
      <c r="K203" s="6">
        <f t="shared" ca="1" si="34"/>
        <v>0</v>
      </c>
      <c r="L203" s="6">
        <f t="shared" ca="1" si="35"/>
        <v>0</v>
      </c>
      <c r="M203" s="6">
        <f t="shared" ca="1" si="36"/>
        <v>0</v>
      </c>
      <c r="N203" s="20">
        <f t="shared" ca="1" si="37"/>
        <v>4.10958904109589</v>
      </c>
      <c r="O203" s="6"/>
    </row>
    <row r="204" spans="2:15" ht="13.15" customHeight="1" x14ac:dyDescent="0.25">
      <c r="B204" s="1"/>
      <c r="E204" s="6">
        <v>200</v>
      </c>
      <c r="F204" s="6">
        <f t="shared" ca="1" si="29"/>
        <v>100</v>
      </c>
      <c r="G204" s="6">
        <f t="shared" ca="1" si="30"/>
        <v>150</v>
      </c>
      <c r="H204" s="6">
        <f t="shared" ca="1" si="31"/>
        <v>50</v>
      </c>
      <c r="I204" s="6">
        <f t="shared" ca="1" si="32"/>
        <v>1</v>
      </c>
      <c r="J204" s="6">
        <f t="shared" ca="1" si="33"/>
        <v>1</v>
      </c>
      <c r="K204" s="6">
        <f t="shared" ca="1" si="34"/>
        <v>0</v>
      </c>
      <c r="L204" s="6">
        <f t="shared" ca="1" si="35"/>
        <v>0</v>
      </c>
      <c r="M204" s="6">
        <f t="shared" ca="1" si="36"/>
        <v>200</v>
      </c>
      <c r="N204" s="20">
        <f t="shared" ca="1" si="37"/>
        <v>1.3698630136986301</v>
      </c>
      <c r="O204" s="6"/>
    </row>
    <row r="205" spans="2:15" ht="13.15" customHeight="1" x14ac:dyDescent="0.25">
      <c r="B205" s="1"/>
      <c r="E205" s="6">
        <v>201</v>
      </c>
      <c r="F205" s="6">
        <f t="shared" ca="1" si="29"/>
        <v>100</v>
      </c>
      <c r="G205" s="6">
        <f t="shared" ca="1" si="30"/>
        <v>50</v>
      </c>
      <c r="H205" s="6">
        <f t="shared" ca="1" si="31"/>
        <v>0</v>
      </c>
      <c r="I205" s="6">
        <f t="shared" ca="1" si="32"/>
        <v>1</v>
      </c>
      <c r="J205" s="6">
        <f t="shared" ca="1" si="33"/>
        <v>0</v>
      </c>
      <c r="K205" s="6">
        <f t="shared" ca="1" si="34"/>
        <v>50</v>
      </c>
      <c r="L205" s="6">
        <f t="shared" ca="1" si="35"/>
        <v>2500</v>
      </c>
      <c r="M205" s="6">
        <f t="shared" ca="1" si="36"/>
        <v>200</v>
      </c>
      <c r="N205" s="20">
        <f t="shared" ca="1" si="37"/>
        <v>0</v>
      </c>
      <c r="O205" s="6"/>
    </row>
    <row r="206" spans="2:15" ht="13.15" customHeight="1" x14ac:dyDescent="0.25">
      <c r="B206" s="1"/>
      <c r="E206" s="6">
        <v>202</v>
      </c>
      <c r="F206" s="6">
        <f t="shared" ca="1" si="29"/>
        <v>110</v>
      </c>
      <c r="G206" s="6">
        <f t="shared" ca="1" si="30"/>
        <v>2000</v>
      </c>
      <c r="H206" s="6">
        <f t="shared" ca="1" si="31"/>
        <v>1890</v>
      </c>
      <c r="I206" s="6">
        <f t="shared" ca="1" si="32"/>
        <v>0</v>
      </c>
      <c r="J206" s="6">
        <f t="shared" ca="1" si="33"/>
        <v>0</v>
      </c>
      <c r="K206" s="6">
        <f t="shared" ca="1" si="34"/>
        <v>0</v>
      </c>
      <c r="L206" s="6">
        <f t="shared" ca="1" si="35"/>
        <v>0</v>
      </c>
      <c r="M206" s="6">
        <f t="shared" ca="1" si="36"/>
        <v>0</v>
      </c>
      <c r="N206" s="20">
        <f t="shared" ca="1" si="37"/>
        <v>51.780821917808218</v>
      </c>
      <c r="O206" s="6"/>
    </row>
    <row r="207" spans="2:15" ht="13.15" customHeight="1" x14ac:dyDescent="0.25">
      <c r="B207" s="1"/>
      <c r="E207" s="6">
        <v>203</v>
      </c>
      <c r="F207" s="6">
        <f t="shared" ca="1" si="29"/>
        <v>100</v>
      </c>
      <c r="G207" s="6">
        <f t="shared" ca="1" si="30"/>
        <v>1890</v>
      </c>
      <c r="H207" s="6">
        <f t="shared" ca="1" si="31"/>
        <v>1790</v>
      </c>
      <c r="I207" s="6">
        <f t="shared" ca="1" si="32"/>
        <v>0</v>
      </c>
      <c r="J207" s="6">
        <f t="shared" ca="1" si="33"/>
        <v>0</v>
      </c>
      <c r="K207" s="6">
        <f t="shared" ca="1" si="34"/>
        <v>0</v>
      </c>
      <c r="L207" s="6">
        <f t="shared" ca="1" si="35"/>
        <v>0</v>
      </c>
      <c r="M207" s="6">
        <f t="shared" ca="1" si="36"/>
        <v>0</v>
      </c>
      <c r="N207" s="20">
        <f t="shared" ca="1" si="37"/>
        <v>49.041095890410958</v>
      </c>
      <c r="O207" s="6"/>
    </row>
    <row r="208" spans="2:15" ht="13.15" customHeight="1" x14ac:dyDescent="0.25">
      <c r="B208" s="1"/>
      <c r="E208" s="6">
        <v>204</v>
      </c>
      <c r="F208" s="6">
        <f t="shared" ca="1" si="29"/>
        <v>110</v>
      </c>
      <c r="G208" s="6">
        <f t="shared" ca="1" si="30"/>
        <v>1790</v>
      </c>
      <c r="H208" s="6">
        <f t="shared" ca="1" si="31"/>
        <v>1680</v>
      </c>
      <c r="I208" s="6">
        <f t="shared" ca="1" si="32"/>
        <v>0</v>
      </c>
      <c r="J208" s="6">
        <f t="shared" ca="1" si="33"/>
        <v>0</v>
      </c>
      <c r="K208" s="6">
        <f t="shared" ca="1" si="34"/>
        <v>0</v>
      </c>
      <c r="L208" s="6">
        <f t="shared" ca="1" si="35"/>
        <v>0</v>
      </c>
      <c r="M208" s="6">
        <f t="shared" ca="1" si="36"/>
        <v>0</v>
      </c>
      <c r="N208" s="20">
        <f t="shared" ca="1" si="37"/>
        <v>46.027397260273972</v>
      </c>
      <c r="O208" s="6"/>
    </row>
    <row r="209" spans="2:15" ht="13.15" customHeight="1" x14ac:dyDescent="0.25">
      <c r="B209" s="1"/>
      <c r="E209" s="6">
        <v>205</v>
      </c>
      <c r="F209" s="6">
        <f t="shared" ca="1" si="29"/>
        <v>110</v>
      </c>
      <c r="G209" s="6">
        <f t="shared" ca="1" si="30"/>
        <v>1680</v>
      </c>
      <c r="H209" s="6">
        <f t="shared" ca="1" si="31"/>
        <v>1570</v>
      </c>
      <c r="I209" s="6">
        <f t="shared" ca="1" si="32"/>
        <v>0</v>
      </c>
      <c r="J209" s="6">
        <f t="shared" ca="1" si="33"/>
        <v>0</v>
      </c>
      <c r="K209" s="6">
        <f t="shared" ca="1" si="34"/>
        <v>0</v>
      </c>
      <c r="L209" s="6">
        <f t="shared" ca="1" si="35"/>
        <v>0</v>
      </c>
      <c r="M209" s="6">
        <f t="shared" ca="1" si="36"/>
        <v>0</v>
      </c>
      <c r="N209" s="20">
        <f t="shared" ca="1" si="37"/>
        <v>43.013698630136986</v>
      </c>
      <c r="O209" s="6"/>
    </row>
    <row r="210" spans="2:15" ht="13.15" customHeight="1" x14ac:dyDescent="0.25">
      <c r="B210" s="1"/>
      <c r="E210" s="6">
        <v>206</v>
      </c>
      <c r="F210" s="6">
        <f t="shared" ca="1" si="29"/>
        <v>110</v>
      </c>
      <c r="G210" s="6">
        <f t="shared" ca="1" si="30"/>
        <v>1570</v>
      </c>
      <c r="H210" s="6">
        <f t="shared" ca="1" si="31"/>
        <v>1460</v>
      </c>
      <c r="I210" s="6">
        <f t="shared" ca="1" si="32"/>
        <v>0</v>
      </c>
      <c r="J210" s="6">
        <f t="shared" ca="1" si="33"/>
        <v>0</v>
      </c>
      <c r="K210" s="6">
        <f t="shared" ca="1" si="34"/>
        <v>0</v>
      </c>
      <c r="L210" s="6">
        <f t="shared" ca="1" si="35"/>
        <v>0</v>
      </c>
      <c r="M210" s="6">
        <f t="shared" ca="1" si="36"/>
        <v>0</v>
      </c>
      <c r="N210" s="20">
        <f t="shared" ca="1" si="37"/>
        <v>40</v>
      </c>
      <c r="O210" s="6"/>
    </row>
    <row r="211" spans="2:15" ht="13.15" customHeight="1" x14ac:dyDescent="0.25">
      <c r="B211" s="1"/>
      <c r="E211" s="6">
        <v>207</v>
      </c>
      <c r="F211" s="6">
        <f t="shared" ca="1" si="29"/>
        <v>90</v>
      </c>
      <c r="G211" s="6">
        <f t="shared" ca="1" si="30"/>
        <v>1460</v>
      </c>
      <c r="H211" s="6">
        <f t="shared" ca="1" si="31"/>
        <v>1370</v>
      </c>
      <c r="I211" s="6">
        <f t="shared" ca="1" si="32"/>
        <v>0</v>
      </c>
      <c r="J211" s="6">
        <f t="shared" ca="1" si="33"/>
        <v>1</v>
      </c>
      <c r="K211" s="6">
        <f t="shared" ca="1" si="34"/>
        <v>0</v>
      </c>
      <c r="L211" s="6">
        <f t="shared" ca="1" si="35"/>
        <v>0</v>
      </c>
      <c r="M211" s="6">
        <f t="shared" ca="1" si="36"/>
        <v>0</v>
      </c>
      <c r="N211" s="20">
        <f t="shared" ca="1" si="37"/>
        <v>37.534246575342465</v>
      </c>
      <c r="O211" s="6"/>
    </row>
    <row r="212" spans="2:15" ht="13.15" customHeight="1" x14ac:dyDescent="0.25">
      <c r="B212" s="1"/>
      <c r="E212" s="6">
        <v>208</v>
      </c>
      <c r="F212" s="6">
        <f t="shared" ca="1" si="29"/>
        <v>110</v>
      </c>
      <c r="G212" s="6">
        <f t="shared" ca="1" si="30"/>
        <v>1370</v>
      </c>
      <c r="H212" s="6">
        <f t="shared" ca="1" si="31"/>
        <v>1260</v>
      </c>
      <c r="I212" s="6">
        <f t="shared" ca="1" si="32"/>
        <v>0</v>
      </c>
      <c r="J212" s="6">
        <f t="shared" ca="1" si="33"/>
        <v>1</v>
      </c>
      <c r="K212" s="6">
        <f t="shared" ca="1" si="34"/>
        <v>0</v>
      </c>
      <c r="L212" s="6">
        <f t="shared" ca="1" si="35"/>
        <v>0</v>
      </c>
      <c r="M212" s="6">
        <f t="shared" ca="1" si="36"/>
        <v>0</v>
      </c>
      <c r="N212" s="20">
        <f t="shared" ca="1" si="37"/>
        <v>34.520547945205479</v>
      </c>
      <c r="O212" s="6"/>
    </row>
    <row r="213" spans="2:15" ht="13.15" customHeight="1" x14ac:dyDescent="0.25">
      <c r="B213" s="1"/>
      <c r="E213" s="6">
        <v>209</v>
      </c>
      <c r="F213" s="6">
        <f t="shared" ca="1" si="29"/>
        <v>100</v>
      </c>
      <c r="G213" s="6">
        <f t="shared" ca="1" si="30"/>
        <v>1260</v>
      </c>
      <c r="H213" s="6">
        <f t="shared" ca="1" si="31"/>
        <v>1160</v>
      </c>
      <c r="I213" s="6">
        <f t="shared" ca="1" si="32"/>
        <v>0</v>
      </c>
      <c r="J213" s="6">
        <f t="shared" ca="1" si="33"/>
        <v>1</v>
      </c>
      <c r="K213" s="6">
        <f t="shared" ca="1" si="34"/>
        <v>0</v>
      </c>
      <c r="L213" s="6">
        <f t="shared" ca="1" si="35"/>
        <v>0</v>
      </c>
      <c r="M213" s="6">
        <f t="shared" ca="1" si="36"/>
        <v>0</v>
      </c>
      <c r="N213" s="20">
        <f t="shared" ca="1" si="37"/>
        <v>31.780821917808218</v>
      </c>
      <c r="O213" s="6"/>
    </row>
    <row r="214" spans="2:15" ht="13.15" customHeight="1" x14ac:dyDescent="0.25">
      <c r="B214" s="1"/>
      <c r="E214" s="6">
        <v>210</v>
      </c>
      <c r="F214" s="6">
        <f t="shared" ca="1" si="29"/>
        <v>100</v>
      </c>
      <c r="G214" s="6">
        <f t="shared" ca="1" si="30"/>
        <v>1160</v>
      </c>
      <c r="H214" s="6">
        <f t="shared" ca="1" si="31"/>
        <v>1060</v>
      </c>
      <c r="I214" s="6">
        <f t="shared" ca="1" si="32"/>
        <v>0</v>
      </c>
      <c r="J214" s="6">
        <f t="shared" ca="1" si="33"/>
        <v>1</v>
      </c>
      <c r="K214" s="6">
        <f t="shared" ca="1" si="34"/>
        <v>0</v>
      </c>
      <c r="L214" s="6">
        <f t="shared" ca="1" si="35"/>
        <v>0</v>
      </c>
      <c r="M214" s="6">
        <f t="shared" ca="1" si="36"/>
        <v>0</v>
      </c>
      <c r="N214" s="20">
        <f t="shared" ca="1" si="37"/>
        <v>29.041095890410958</v>
      </c>
      <c r="O214" s="6"/>
    </row>
    <row r="215" spans="2:15" ht="13.15" customHeight="1" x14ac:dyDescent="0.25">
      <c r="B215" s="1"/>
      <c r="E215" s="6">
        <v>211</v>
      </c>
      <c r="F215" s="6">
        <f t="shared" ca="1" si="29"/>
        <v>80</v>
      </c>
      <c r="G215" s="6">
        <f t="shared" ca="1" si="30"/>
        <v>1060</v>
      </c>
      <c r="H215" s="6">
        <f t="shared" ca="1" si="31"/>
        <v>980</v>
      </c>
      <c r="I215" s="6">
        <f t="shared" ca="1" si="32"/>
        <v>0</v>
      </c>
      <c r="J215" s="6">
        <f t="shared" ca="1" si="33"/>
        <v>1</v>
      </c>
      <c r="K215" s="6">
        <f t="shared" ca="1" si="34"/>
        <v>0</v>
      </c>
      <c r="L215" s="6">
        <f t="shared" ca="1" si="35"/>
        <v>0</v>
      </c>
      <c r="M215" s="6">
        <f t="shared" ca="1" si="36"/>
        <v>0</v>
      </c>
      <c r="N215" s="20">
        <f t="shared" ca="1" si="37"/>
        <v>26.849315068493148</v>
      </c>
      <c r="O215" s="6"/>
    </row>
    <row r="216" spans="2:15" ht="13.15" customHeight="1" x14ac:dyDescent="0.25">
      <c r="B216" s="1"/>
      <c r="E216" s="6">
        <v>212</v>
      </c>
      <c r="F216" s="6">
        <f t="shared" ca="1" si="29"/>
        <v>90</v>
      </c>
      <c r="G216" s="6">
        <f t="shared" ca="1" si="30"/>
        <v>980</v>
      </c>
      <c r="H216" s="6">
        <f t="shared" ca="1" si="31"/>
        <v>890</v>
      </c>
      <c r="I216" s="6">
        <f t="shared" ca="1" si="32"/>
        <v>0</v>
      </c>
      <c r="J216" s="6">
        <f t="shared" ca="1" si="33"/>
        <v>0</v>
      </c>
      <c r="K216" s="6">
        <f t="shared" ca="1" si="34"/>
        <v>0</v>
      </c>
      <c r="L216" s="6">
        <f t="shared" ca="1" si="35"/>
        <v>0</v>
      </c>
      <c r="M216" s="6">
        <f t="shared" ca="1" si="36"/>
        <v>0</v>
      </c>
      <c r="N216" s="20">
        <f t="shared" ca="1" si="37"/>
        <v>24.383561643835616</v>
      </c>
      <c r="O216" s="6"/>
    </row>
    <row r="217" spans="2:15" ht="13.15" customHeight="1" x14ac:dyDescent="0.25">
      <c r="B217" s="1"/>
      <c r="E217" s="6">
        <v>213</v>
      </c>
      <c r="F217" s="6">
        <f t="shared" ca="1" si="29"/>
        <v>90</v>
      </c>
      <c r="G217" s="6">
        <f t="shared" ca="1" si="30"/>
        <v>890</v>
      </c>
      <c r="H217" s="6">
        <f t="shared" ca="1" si="31"/>
        <v>800</v>
      </c>
      <c r="I217" s="6">
        <f t="shared" ca="1" si="32"/>
        <v>0</v>
      </c>
      <c r="J217" s="6">
        <f t="shared" ca="1" si="33"/>
        <v>0</v>
      </c>
      <c r="K217" s="6">
        <f t="shared" ca="1" si="34"/>
        <v>0</v>
      </c>
      <c r="L217" s="6">
        <f t="shared" ca="1" si="35"/>
        <v>0</v>
      </c>
      <c r="M217" s="6">
        <f t="shared" ca="1" si="36"/>
        <v>0</v>
      </c>
      <c r="N217" s="20">
        <f t="shared" ca="1" si="37"/>
        <v>21.917808219178081</v>
      </c>
      <c r="O217" s="6"/>
    </row>
    <row r="218" spans="2:15" ht="13.15" customHeight="1" x14ac:dyDescent="0.25">
      <c r="B218" s="1"/>
      <c r="E218" s="6">
        <v>214</v>
      </c>
      <c r="F218" s="6">
        <f t="shared" ca="1" si="29"/>
        <v>100</v>
      </c>
      <c r="G218" s="6">
        <f t="shared" ca="1" si="30"/>
        <v>800</v>
      </c>
      <c r="H218" s="6">
        <f t="shared" ca="1" si="31"/>
        <v>700</v>
      </c>
      <c r="I218" s="6">
        <f t="shared" ca="1" si="32"/>
        <v>0</v>
      </c>
      <c r="J218" s="6">
        <f t="shared" ca="1" si="33"/>
        <v>0</v>
      </c>
      <c r="K218" s="6">
        <f t="shared" ca="1" si="34"/>
        <v>0</v>
      </c>
      <c r="L218" s="6">
        <f t="shared" ca="1" si="35"/>
        <v>0</v>
      </c>
      <c r="M218" s="6">
        <f t="shared" ca="1" si="36"/>
        <v>0</v>
      </c>
      <c r="N218" s="20">
        <f t="shared" ca="1" si="37"/>
        <v>19.17808219178082</v>
      </c>
      <c r="O218" s="6"/>
    </row>
    <row r="219" spans="2:15" ht="13.15" customHeight="1" x14ac:dyDescent="0.25">
      <c r="B219" s="1"/>
      <c r="E219" s="6">
        <v>215</v>
      </c>
      <c r="F219" s="6">
        <f t="shared" ca="1" si="29"/>
        <v>90</v>
      </c>
      <c r="G219" s="6">
        <f t="shared" ca="1" si="30"/>
        <v>700</v>
      </c>
      <c r="H219" s="6">
        <f t="shared" ca="1" si="31"/>
        <v>610</v>
      </c>
      <c r="I219" s="6">
        <f t="shared" ca="1" si="32"/>
        <v>0</v>
      </c>
      <c r="J219" s="6">
        <f t="shared" ca="1" si="33"/>
        <v>1</v>
      </c>
      <c r="K219" s="6">
        <f t="shared" ca="1" si="34"/>
        <v>0</v>
      </c>
      <c r="L219" s="6">
        <f t="shared" ca="1" si="35"/>
        <v>0</v>
      </c>
      <c r="M219" s="6">
        <f t="shared" ca="1" si="36"/>
        <v>0</v>
      </c>
      <c r="N219" s="20">
        <f t="shared" ca="1" si="37"/>
        <v>16.712328767123285</v>
      </c>
      <c r="O219" s="6"/>
    </row>
    <row r="220" spans="2:15" ht="13.15" customHeight="1" x14ac:dyDescent="0.25">
      <c r="B220" s="1"/>
      <c r="E220" s="6">
        <v>216</v>
      </c>
      <c r="F220" s="6">
        <f t="shared" ca="1" si="29"/>
        <v>90</v>
      </c>
      <c r="G220" s="6">
        <f t="shared" ca="1" si="30"/>
        <v>610</v>
      </c>
      <c r="H220" s="6">
        <f t="shared" ca="1" si="31"/>
        <v>520</v>
      </c>
      <c r="I220" s="6">
        <f t="shared" ca="1" si="32"/>
        <v>0</v>
      </c>
      <c r="J220" s="6">
        <f t="shared" ca="1" si="33"/>
        <v>1</v>
      </c>
      <c r="K220" s="6">
        <f t="shared" ca="1" si="34"/>
        <v>0</v>
      </c>
      <c r="L220" s="6">
        <f t="shared" ca="1" si="35"/>
        <v>0</v>
      </c>
      <c r="M220" s="6">
        <f t="shared" ca="1" si="36"/>
        <v>0</v>
      </c>
      <c r="N220" s="20">
        <f t="shared" ca="1" si="37"/>
        <v>14.246575342465754</v>
      </c>
      <c r="O220" s="6"/>
    </row>
    <row r="221" spans="2:15" ht="13.15" customHeight="1" x14ac:dyDescent="0.25">
      <c r="B221" s="1"/>
      <c r="E221" s="6">
        <v>217</v>
      </c>
      <c r="F221" s="6">
        <f t="shared" ca="1" si="29"/>
        <v>100</v>
      </c>
      <c r="G221" s="6">
        <f t="shared" ca="1" si="30"/>
        <v>520</v>
      </c>
      <c r="H221" s="6">
        <f t="shared" ca="1" si="31"/>
        <v>420</v>
      </c>
      <c r="I221" s="6">
        <f t="shared" ca="1" si="32"/>
        <v>0</v>
      </c>
      <c r="J221" s="6">
        <f t="shared" ca="1" si="33"/>
        <v>1</v>
      </c>
      <c r="K221" s="6">
        <f t="shared" ca="1" si="34"/>
        <v>0</v>
      </c>
      <c r="L221" s="6">
        <f t="shared" ca="1" si="35"/>
        <v>0</v>
      </c>
      <c r="M221" s="6">
        <f t="shared" ca="1" si="36"/>
        <v>0</v>
      </c>
      <c r="N221" s="20">
        <f t="shared" ca="1" si="37"/>
        <v>11.506849315068493</v>
      </c>
      <c r="O221" s="6"/>
    </row>
    <row r="222" spans="2:15" ht="13.15" customHeight="1" x14ac:dyDescent="0.25">
      <c r="B222" s="1"/>
      <c r="E222" s="6">
        <v>218</v>
      </c>
      <c r="F222" s="6">
        <f t="shared" ca="1" si="29"/>
        <v>120</v>
      </c>
      <c r="G222" s="6">
        <f t="shared" ca="1" si="30"/>
        <v>420</v>
      </c>
      <c r="H222" s="6">
        <f t="shared" ca="1" si="31"/>
        <v>300</v>
      </c>
      <c r="I222" s="6">
        <f t="shared" ca="1" si="32"/>
        <v>0</v>
      </c>
      <c r="J222" s="6">
        <f t="shared" ca="1" si="33"/>
        <v>1</v>
      </c>
      <c r="K222" s="6">
        <f t="shared" ca="1" si="34"/>
        <v>0</v>
      </c>
      <c r="L222" s="6">
        <f t="shared" ca="1" si="35"/>
        <v>0</v>
      </c>
      <c r="M222" s="6">
        <f t="shared" ca="1" si="36"/>
        <v>0</v>
      </c>
      <c r="N222" s="20">
        <f t="shared" ca="1" si="37"/>
        <v>8.2191780821917799</v>
      </c>
      <c r="O222" s="6"/>
    </row>
    <row r="223" spans="2:15" ht="13.15" customHeight="1" x14ac:dyDescent="0.25">
      <c r="B223" s="1"/>
      <c r="E223" s="6">
        <v>219</v>
      </c>
      <c r="F223" s="6">
        <f t="shared" ca="1" si="29"/>
        <v>100</v>
      </c>
      <c r="G223" s="6">
        <f t="shared" ca="1" si="30"/>
        <v>300</v>
      </c>
      <c r="H223" s="6">
        <f t="shared" ca="1" si="31"/>
        <v>200</v>
      </c>
      <c r="I223" s="6">
        <f t="shared" ca="1" si="32"/>
        <v>0</v>
      </c>
      <c r="J223" s="6">
        <f t="shared" ca="1" si="33"/>
        <v>1</v>
      </c>
      <c r="K223" s="6">
        <f t="shared" ca="1" si="34"/>
        <v>0</v>
      </c>
      <c r="L223" s="6">
        <f t="shared" ca="1" si="35"/>
        <v>0</v>
      </c>
      <c r="M223" s="6">
        <f t="shared" ca="1" si="36"/>
        <v>0</v>
      </c>
      <c r="N223" s="20">
        <f t="shared" ca="1" si="37"/>
        <v>5.4794520547945202</v>
      </c>
      <c r="O223" s="6"/>
    </row>
    <row r="224" spans="2:15" ht="13.15" customHeight="1" x14ac:dyDescent="0.25">
      <c r="B224" s="1"/>
      <c r="E224" s="6">
        <v>220</v>
      </c>
      <c r="F224" s="6">
        <f t="shared" ca="1" si="29"/>
        <v>120</v>
      </c>
      <c r="G224" s="6">
        <f t="shared" ca="1" si="30"/>
        <v>200</v>
      </c>
      <c r="H224" s="6">
        <f t="shared" ca="1" si="31"/>
        <v>80</v>
      </c>
      <c r="I224" s="6">
        <f t="shared" ca="1" si="32"/>
        <v>1</v>
      </c>
      <c r="J224" s="6">
        <f t="shared" ca="1" si="33"/>
        <v>0</v>
      </c>
      <c r="K224" s="6">
        <f t="shared" ca="1" si="34"/>
        <v>0</v>
      </c>
      <c r="L224" s="6">
        <f t="shared" ca="1" si="35"/>
        <v>0</v>
      </c>
      <c r="M224" s="6">
        <f t="shared" ca="1" si="36"/>
        <v>200</v>
      </c>
      <c r="N224" s="20">
        <f t="shared" ca="1" si="37"/>
        <v>2.1917808219178081</v>
      </c>
      <c r="O224" s="6"/>
    </row>
    <row r="225" spans="2:15" ht="13.15" customHeight="1" x14ac:dyDescent="0.25">
      <c r="B225" s="1"/>
      <c r="E225" s="6">
        <v>221</v>
      </c>
      <c r="F225" s="6">
        <f t="shared" ca="1" si="29"/>
        <v>110</v>
      </c>
      <c r="G225" s="6">
        <f t="shared" ca="1" si="30"/>
        <v>1080</v>
      </c>
      <c r="H225" s="6">
        <f t="shared" ca="1" si="31"/>
        <v>970</v>
      </c>
      <c r="I225" s="6">
        <f t="shared" ca="1" si="32"/>
        <v>0</v>
      </c>
      <c r="J225" s="6">
        <f t="shared" ca="1" si="33"/>
        <v>1</v>
      </c>
      <c r="K225" s="6">
        <f t="shared" ca="1" si="34"/>
        <v>0</v>
      </c>
      <c r="L225" s="6">
        <f t="shared" ca="1" si="35"/>
        <v>0</v>
      </c>
      <c r="M225" s="6">
        <f t="shared" ca="1" si="36"/>
        <v>0</v>
      </c>
      <c r="N225" s="20">
        <f t="shared" ca="1" si="37"/>
        <v>26.575342465753423</v>
      </c>
      <c r="O225" s="6"/>
    </row>
    <row r="226" spans="2:15" ht="13.15" customHeight="1" x14ac:dyDescent="0.25">
      <c r="B226" s="1"/>
      <c r="E226" s="6">
        <v>222</v>
      </c>
      <c r="F226" s="6">
        <f t="shared" ca="1" si="29"/>
        <v>90</v>
      </c>
      <c r="G226" s="6">
        <f t="shared" ca="1" si="30"/>
        <v>970</v>
      </c>
      <c r="H226" s="6">
        <f t="shared" ca="1" si="31"/>
        <v>880</v>
      </c>
      <c r="I226" s="6">
        <f t="shared" ca="1" si="32"/>
        <v>0</v>
      </c>
      <c r="J226" s="6">
        <f t="shared" ca="1" si="33"/>
        <v>0</v>
      </c>
      <c r="K226" s="6">
        <f t="shared" ca="1" si="34"/>
        <v>0</v>
      </c>
      <c r="L226" s="6">
        <f t="shared" ca="1" si="35"/>
        <v>0</v>
      </c>
      <c r="M226" s="6">
        <f t="shared" ca="1" si="36"/>
        <v>0</v>
      </c>
      <c r="N226" s="20">
        <f t="shared" ca="1" si="37"/>
        <v>24.109589041095887</v>
      </c>
      <c r="O226" s="6"/>
    </row>
    <row r="227" spans="2:15" ht="13.15" customHeight="1" x14ac:dyDescent="0.25">
      <c r="B227" s="1"/>
      <c r="E227" s="6">
        <v>223</v>
      </c>
      <c r="F227" s="6">
        <f t="shared" ca="1" si="29"/>
        <v>110</v>
      </c>
      <c r="G227" s="6">
        <f t="shared" ca="1" si="30"/>
        <v>880</v>
      </c>
      <c r="H227" s="6">
        <f t="shared" ca="1" si="31"/>
        <v>770</v>
      </c>
      <c r="I227" s="6">
        <f t="shared" ca="1" si="32"/>
        <v>0</v>
      </c>
      <c r="J227" s="6">
        <f t="shared" ca="1" si="33"/>
        <v>0</v>
      </c>
      <c r="K227" s="6">
        <f t="shared" ca="1" si="34"/>
        <v>0</v>
      </c>
      <c r="L227" s="6">
        <f t="shared" ca="1" si="35"/>
        <v>0</v>
      </c>
      <c r="M227" s="6">
        <f t="shared" ca="1" si="36"/>
        <v>0</v>
      </c>
      <c r="N227" s="20">
        <f t="shared" ca="1" si="37"/>
        <v>21.095890410958901</v>
      </c>
      <c r="O227" s="6"/>
    </row>
    <row r="228" spans="2:15" ht="13.15" customHeight="1" x14ac:dyDescent="0.25">
      <c r="B228" s="1"/>
      <c r="E228" s="6">
        <v>224</v>
      </c>
      <c r="F228" s="6">
        <f t="shared" ca="1" si="29"/>
        <v>120</v>
      </c>
      <c r="G228" s="6">
        <f t="shared" ca="1" si="30"/>
        <v>770</v>
      </c>
      <c r="H228" s="6">
        <f t="shared" ca="1" si="31"/>
        <v>650</v>
      </c>
      <c r="I228" s="6">
        <f t="shared" ca="1" si="32"/>
        <v>0</v>
      </c>
      <c r="J228" s="6">
        <f t="shared" ca="1" si="33"/>
        <v>0</v>
      </c>
      <c r="K228" s="6">
        <f t="shared" ca="1" si="34"/>
        <v>0</v>
      </c>
      <c r="L228" s="6">
        <f t="shared" ca="1" si="35"/>
        <v>0</v>
      </c>
      <c r="M228" s="6">
        <f t="shared" ca="1" si="36"/>
        <v>0</v>
      </c>
      <c r="N228" s="20">
        <f t="shared" ca="1" si="37"/>
        <v>17.80821917808219</v>
      </c>
      <c r="O228" s="6"/>
    </row>
    <row r="229" spans="2:15" ht="13.15" customHeight="1" x14ac:dyDescent="0.25">
      <c r="B229" s="1"/>
      <c r="E229" s="6">
        <v>225</v>
      </c>
      <c r="F229" s="6">
        <f t="shared" ca="1" si="29"/>
        <v>110</v>
      </c>
      <c r="G229" s="6">
        <f t="shared" ca="1" si="30"/>
        <v>650</v>
      </c>
      <c r="H229" s="6">
        <f t="shared" ca="1" si="31"/>
        <v>540</v>
      </c>
      <c r="I229" s="6">
        <f t="shared" ca="1" si="32"/>
        <v>0</v>
      </c>
      <c r="J229" s="6">
        <f t="shared" ca="1" si="33"/>
        <v>0</v>
      </c>
      <c r="K229" s="6">
        <f t="shared" ca="1" si="34"/>
        <v>0</v>
      </c>
      <c r="L229" s="6">
        <f t="shared" ca="1" si="35"/>
        <v>0</v>
      </c>
      <c r="M229" s="6">
        <f t="shared" ca="1" si="36"/>
        <v>0</v>
      </c>
      <c r="N229" s="20">
        <f t="shared" ca="1" si="37"/>
        <v>14.794520547945204</v>
      </c>
      <c r="O229" s="6"/>
    </row>
    <row r="230" spans="2:15" ht="13.15" customHeight="1" x14ac:dyDescent="0.25">
      <c r="B230" s="1"/>
      <c r="E230" s="6">
        <v>226</v>
      </c>
      <c r="F230" s="6">
        <f t="shared" ca="1" si="29"/>
        <v>110</v>
      </c>
      <c r="G230" s="6">
        <f t="shared" ca="1" si="30"/>
        <v>540</v>
      </c>
      <c r="H230" s="6">
        <f t="shared" ca="1" si="31"/>
        <v>430</v>
      </c>
      <c r="I230" s="6">
        <f t="shared" ca="1" si="32"/>
        <v>0</v>
      </c>
      <c r="J230" s="6">
        <f t="shared" ca="1" si="33"/>
        <v>0</v>
      </c>
      <c r="K230" s="6">
        <f t="shared" ca="1" si="34"/>
        <v>0</v>
      </c>
      <c r="L230" s="6">
        <f t="shared" ca="1" si="35"/>
        <v>0</v>
      </c>
      <c r="M230" s="6">
        <f t="shared" ca="1" si="36"/>
        <v>0</v>
      </c>
      <c r="N230" s="20">
        <f t="shared" ca="1" si="37"/>
        <v>11.780821917808218</v>
      </c>
      <c r="O230" s="6"/>
    </row>
    <row r="231" spans="2:15" ht="13.15" customHeight="1" x14ac:dyDescent="0.25">
      <c r="B231" s="1"/>
      <c r="E231" s="6">
        <v>227</v>
      </c>
      <c r="F231" s="6">
        <f t="shared" ca="1" si="29"/>
        <v>110</v>
      </c>
      <c r="G231" s="6">
        <f t="shared" ca="1" si="30"/>
        <v>430</v>
      </c>
      <c r="H231" s="6">
        <f t="shared" ca="1" si="31"/>
        <v>320</v>
      </c>
      <c r="I231" s="6">
        <f t="shared" ca="1" si="32"/>
        <v>0</v>
      </c>
      <c r="J231" s="6">
        <f t="shared" ca="1" si="33"/>
        <v>1</v>
      </c>
      <c r="K231" s="6">
        <f t="shared" ca="1" si="34"/>
        <v>0</v>
      </c>
      <c r="L231" s="6">
        <f t="shared" ca="1" si="35"/>
        <v>0</v>
      </c>
      <c r="M231" s="6">
        <f t="shared" ca="1" si="36"/>
        <v>0</v>
      </c>
      <c r="N231" s="20">
        <f t="shared" ca="1" si="37"/>
        <v>8.7671232876712324</v>
      </c>
      <c r="O231" s="6"/>
    </row>
    <row r="232" spans="2:15" ht="13.15" customHeight="1" x14ac:dyDescent="0.25">
      <c r="B232" s="1"/>
      <c r="E232" s="6">
        <v>228</v>
      </c>
      <c r="F232" s="6">
        <f t="shared" ca="1" si="29"/>
        <v>90</v>
      </c>
      <c r="G232" s="6">
        <f t="shared" ca="1" si="30"/>
        <v>320</v>
      </c>
      <c r="H232" s="6">
        <f t="shared" ca="1" si="31"/>
        <v>230</v>
      </c>
      <c r="I232" s="6">
        <f t="shared" ca="1" si="32"/>
        <v>0</v>
      </c>
      <c r="J232" s="6">
        <f t="shared" ca="1" si="33"/>
        <v>1</v>
      </c>
      <c r="K232" s="6">
        <f t="shared" ca="1" si="34"/>
        <v>0</v>
      </c>
      <c r="L232" s="6">
        <f t="shared" ca="1" si="35"/>
        <v>0</v>
      </c>
      <c r="M232" s="6">
        <f t="shared" ca="1" si="36"/>
        <v>0</v>
      </c>
      <c r="N232" s="20">
        <f t="shared" ca="1" si="37"/>
        <v>6.3013698630136981</v>
      </c>
      <c r="O232" s="6"/>
    </row>
    <row r="233" spans="2:15" ht="13.15" customHeight="1" x14ac:dyDescent="0.25">
      <c r="B233" s="1"/>
      <c r="E233" s="6">
        <v>229</v>
      </c>
      <c r="F233" s="6">
        <f t="shared" ca="1" si="29"/>
        <v>90</v>
      </c>
      <c r="G233" s="6">
        <f t="shared" ca="1" si="30"/>
        <v>230</v>
      </c>
      <c r="H233" s="6">
        <f t="shared" ca="1" si="31"/>
        <v>140</v>
      </c>
      <c r="I233" s="6">
        <f t="shared" ca="1" si="32"/>
        <v>0</v>
      </c>
      <c r="J233" s="6">
        <f t="shared" ca="1" si="33"/>
        <v>0</v>
      </c>
      <c r="K233" s="6">
        <f t="shared" ca="1" si="34"/>
        <v>0</v>
      </c>
      <c r="L233" s="6">
        <f t="shared" ca="1" si="35"/>
        <v>0</v>
      </c>
      <c r="M233" s="6">
        <f t="shared" ca="1" si="36"/>
        <v>0</v>
      </c>
      <c r="N233" s="20">
        <f t="shared" ca="1" si="37"/>
        <v>3.8356164383561642</v>
      </c>
      <c r="O233" s="6"/>
    </row>
    <row r="234" spans="2:15" ht="13.15" customHeight="1" x14ac:dyDescent="0.25">
      <c r="B234" s="1"/>
      <c r="E234" s="6">
        <v>230</v>
      </c>
      <c r="F234" s="6">
        <f t="shared" ca="1" si="29"/>
        <v>100</v>
      </c>
      <c r="G234" s="6">
        <f t="shared" ca="1" si="30"/>
        <v>140</v>
      </c>
      <c r="H234" s="6">
        <f t="shared" ca="1" si="31"/>
        <v>40</v>
      </c>
      <c r="I234" s="6">
        <f t="shared" ca="1" si="32"/>
        <v>1</v>
      </c>
      <c r="J234" s="6">
        <f t="shared" ca="1" si="33"/>
        <v>0</v>
      </c>
      <c r="K234" s="6">
        <f t="shared" ca="1" si="34"/>
        <v>0</v>
      </c>
      <c r="L234" s="6">
        <f t="shared" ca="1" si="35"/>
        <v>0</v>
      </c>
      <c r="M234" s="6">
        <f t="shared" ca="1" si="36"/>
        <v>200</v>
      </c>
      <c r="N234" s="20">
        <f t="shared" ca="1" si="37"/>
        <v>1.095890410958904</v>
      </c>
      <c r="O234" s="6"/>
    </row>
    <row r="235" spans="2:15" ht="13.15" customHeight="1" x14ac:dyDescent="0.25">
      <c r="B235" s="1"/>
      <c r="E235" s="6">
        <v>231</v>
      </c>
      <c r="F235" s="6">
        <f t="shared" ca="1" si="29"/>
        <v>120</v>
      </c>
      <c r="G235" s="6">
        <f t="shared" ca="1" si="30"/>
        <v>1040</v>
      </c>
      <c r="H235" s="6">
        <f t="shared" ca="1" si="31"/>
        <v>920</v>
      </c>
      <c r="I235" s="6">
        <f t="shared" ca="1" si="32"/>
        <v>0</v>
      </c>
      <c r="J235" s="6">
        <f t="shared" ca="1" si="33"/>
        <v>0</v>
      </c>
      <c r="K235" s="6">
        <f t="shared" ca="1" si="34"/>
        <v>0</v>
      </c>
      <c r="L235" s="6">
        <f t="shared" ca="1" si="35"/>
        <v>0</v>
      </c>
      <c r="M235" s="6">
        <f t="shared" ca="1" si="36"/>
        <v>0</v>
      </c>
      <c r="N235" s="20">
        <f t="shared" ca="1" si="37"/>
        <v>25.205479452054792</v>
      </c>
      <c r="O235" s="6"/>
    </row>
    <row r="236" spans="2:15" ht="13.15" customHeight="1" x14ac:dyDescent="0.25">
      <c r="B236" s="1"/>
      <c r="E236" s="6">
        <v>232</v>
      </c>
      <c r="F236" s="6">
        <f t="shared" ca="1" si="29"/>
        <v>90</v>
      </c>
      <c r="G236" s="6">
        <f t="shared" ca="1" si="30"/>
        <v>920</v>
      </c>
      <c r="H236" s="6">
        <f t="shared" ca="1" si="31"/>
        <v>830</v>
      </c>
      <c r="I236" s="6">
        <f t="shared" ca="1" si="32"/>
        <v>0</v>
      </c>
      <c r="J236" s="6">
        <f t="shared" ca="1" si="33"/>
        <v>1</v>
      </c>
      <c r="K236" s="6">
        <f t="shared" ca="1" si="34"/>
        <v>0</v>
      </c>
      <c r="L236" s="6">
        <f t="shared" ca="1" si="35"/>
        <v>0</v>
      </c>
      <c r="M236" s="6">
        <f t="shared" ca="1" si="36"/>
        <v>0</v>
      </c>
      <c r="N236" s="20">
        <f t="shared" ca="1" si="37"/>
        <v>22.739726027397261</v>
      </c>
      <c r="O236" s="6"/>
    </row>
    <row r="237" spans="2:15" ht="13.15" customHeight="1" x14ac:dyDescent="0.25">
      <c r="B237" s="1"/>
      <c r="E237" s="6">
        <v>233</v>
      </c>
      <c r="F237" s="6">
        <f t="shared" ca="1" si="29"/>
        <v>80</v>
      </c>
      <c r="G237" s="6">
        <f t="shared" ca="1" si="30"/>
        <v>830</v>
      </c>
      <c r="H237" s="6">
        <f t="shared" ca="1" si="31"/>
        <v>750</v>
      </c>
      <c r="I237" s="6">
        <f t="shared" ca="1" si="32"/>
        <v>0</v>
      </c>
      <c r="J237" s="6">
        <f t="shared" ca="1" si="33"/>
        <v>0</v>
      </c>
      <c r="K237" s="6">
        <f t="shared" ca="1" si="34"/>
        <v>0</v>
      </c>
      <c r="L237" s="6">
        <f t="shared" ca="1" si="35"/>
        <v>0</v>
      </c>
      <c r="M237" s="6">
        <f t="shared" ca="1" si="36"/>
        <v>0</v>
      </c>
      <c r="N237" s="20">
        <f t="shared" ca="1" si="37"/>
        <v>20.547945205479451</v>
      </c>
      <c r="O237" s="6"/>
    </row>
    <row r="238" spans="2:15" ht="13.15" customHeight="1" x14ac:dyDescent="0.25">
      <c r="B238" s="1"/>
      <c r="E238" s="6">
        <v>234</v>
      </c>
      <c r="F238" s="6">
        <f t="shared" ca="1" si="29"/>
        <v>110</v>
      </c>
      <c r="G238" s="6">
        <f t="shared" ca="1" si="30"/>
        <v>750</v>
      </c>
      <c r="H238" s="6">
        <f t="shared" ca="1" si="31"/>
        <v>640</v>
      </c>
      <c r="I238" s="6">
        <f t="shared" ca="1" si="32"/>
        <v>0</v>
      </c>
      <c r="J238" s="6">
        <f t="shared" ca="1" si="33"/>
        <v>0</v>
      </c>
      <c r="K238" s="6">
        <f t="shared" ca="1" si="34"/>
        <v>0</v>
      </c>
      <c r="L238" s="6">
        <f t="shared" ca="1" si="35"/>
        <v>0</v>
      </c>
      <c r="M238" s="6">
        <f t="shared" ca="1" si="36"/>
        <v>0</v>
      </c>
      <c r="N238" s="20">
        <f t="shared" ca="1" si="37"/>
        <v>17.534246575342465</v>
      </c>
      <c r="O238" s="6"/>
    </row>
    <row r="239" spans="2:15" ht="13.15" customHeight="1" x14ac:dyDescent="0.25">
      <c r="B239" s="1"/>
      <c r="E239" s="6">
        <v>235</v>
      </c>
      <c r="F239" s="6">
        <f t="shared" ca="1" si="29"/>
        <v>110</v>
      </c>
      <c r="G239" s="6">
        <f t="shared" ca="1" si="30"/>
        <v>640</v>
      </c>
      <c r="H239" s="6">
        <f t="shared" ca="1" si="31"/>
        <v>530</v>
      </c>
      <c r="I239" s="6">
        <f t="shared" ca="1" si="32"/>
        <v>0</v>
      </c>
      <c r="J239" s="6">
        <f t="shared" ca="1" si="33"/>
        <v>0</v>
      </c>
      <c r="K239" s="6">
        <f t="shared" ca="1" si="34"/>
        <v>0</v>
      </c>
      <c r="L239" s="6">
        <f t="shared" ca="1" si="35"/>
        <v>0</v>
      </c>
      <c r="M239" s="6">
        <f t="shared" ca="1" si="36"/>
        <v>0</v>
      </c>
      <c r="N239" s="20">
        <f t="shared" ca="1" si="37"/>
        <v>14.520547945205479</v>
      </c>
      <c r="O239" s="6"/>
    </row>
    <row r="240" spans="2:15" ht="13.15" customHeight="1" x14ac:dyDescent="0.25">
      <c r="B240" s="1"/>
      <c r="E240" s="6">
        <v>236</v>
      </c>
      <c r="F240" s="6">
        <f t="shared" ca="1" si="29"/>
        <v>80</v>
      </c>
      <c r="G240" s="6">
        <f t="shared" ca="1" si="30"/>
        <v>530</v>
      </c>
      <c r="H240" s="6">
        <f t="shared" ca="1" si="31"/>
        <v>450</v>
      </c>
      <c r="I240" s="6">
        <f t="shared" ca="1" si="32"/>
        <v>0</v>
      </c>
      <c r="J240" s="6">
        <f t="shared" ca="1" si="33"/>
        <v>1</v>
      </c>
      <c r="K240" s="6">
        <f t="shared" ca="1" si="34"/>
        <v>0</v>
      </c>
      <c r="L240" s="6">
        <f t="shared" ca="1" si="35"/>
        <v>0</v>
      </c>
      <c r="M240" s="6">
        <f t="shared" ca="1" si="36"/>
        <v>0</v>
      </c>
      <c r="N240" s="20">
        <f t="shared" ca="1" si="37"/>
        <v>12.328767123287671</v>
      </c>
      <c r="O240" s="6"/>
    </row>
    <row r="241" spans="2:15" ht="13.15" customHeight="1" x14ac:dyDescent="0.25">
      <c r="B241" s="1"/>
      <c r="E241" s="6">
        <v>237</v>
      </c>
      <c r="F241" s="6">
        <f t="shared" ca="1" si="29"/>
        <v>80</v>
      </c>
      <c r="G241" s="6">
        <f t="shared" ca="1" si="30"/>
        <v>450</v>
      </c>
      <c r="H241" s="6">
        <f t="shared" ca="1" si="31"/>
        <v>370</v>
      </c>
      <c r="I241" s="6">
        <f t="shared" ca="1" si="32"/>
        <v>0</v>
      </c>
      <c r="J241" s="6">
        <f t="shared" ca="1" si="33"/>
        <v>1</v>
      </c>
      <c r="K241" s="6">
        <f t="shared" ca="1" si="34"/>
        <v>0</v>
      </c>
      <c r="L241" s="6">
        <f t="shared" ca="1" si="35"/>
        <v>0</v>
      </c>
      <c r="M241" s="6">
        <f t="shared" ca="1" si="36"/>
        <v>0</v>
      </c>
      <c r="N241" s="20">
        <f t="shared" ca="1" si="37"/>
        <v>10.136986301369863</v>
      </c>
      <c r="O241" s="6"/>
    </row>
    <row r="242" spans="2:15" ht="13.15" customHeight="1" x14ac:dyDescent="0.25">
      <c r="B242" s="1"/>
      <c r="E242" s="6">
        <v>238</v>
      </c>
      <c r="F242" s="6">
        <f t="shared" ca="1" si="29"/>
        <v>100</v>
      </c>
      <c r="G242" s="6">
        <f t="shared" ca="1" si="30"/>
        <v>370</v>
      </c>
      <c r="H242" s="6">
        <f t="shared" ca="1" si="31"/>
        <v>270</v>
      </c>
      <c r="I242" s="6">
        <f t="shared" ca="1" si="32"/>
        <v>0</v>
      </c>
      <c r="J242" s="6">
        <f t="shared" ca="1" si="33"/>
        <v>0</v>
      </c>
      <c r="K242" s="6">
        <f t="shared" ca="1" si="34"/>
        <v>0</v>
      </c>
      <c r="L242" s="6">
        <f t="shared" ca="1" si="35"/>
        <v>0</v>
      </c>
      <c r="M242" s="6">
        <f t="shared" ca="1" si="36"/>
        <v>0</v>
      </c>
      <c r="N242" s="20">
        <f t="shared" ca="1" si="37"/>
        <v>7.3972602739726021</v>
      </c>
      <c r="O242" s="6"/>
    </row>
    <row r="243" spans="2:15" ht="13.15" customHeight="1" x14ac:dyDescent="0.25">
      <c r="B243" s="1"/>
      <c r="E243" s="6">
        <v>239</v>
      </c>
      <c r="F243" s="6">
        <f t="shared" ca="1" si="29"/>
        <v>90</v>
      </c>
      <c r="G243" s="6">
        <f t="shared" ca="1" si="30"/>
        <v>270</v>
      </c>
      <c r="H243" s="6">
        <f t="shared" ca="1" si="31"/>
        <v>180</v>
      </c>
      <c r="I243" s="6">
        <f t="shared" ca="1" si="32"/>
        <v>0</v>
      </c>
      <c r="J243" s="6">
        <f t="shared" ca="1" si="33"/>
        <v>0</v>
      </c>
      <c r="K243" s="6">
        <f t="shared" ca="1" si="34"/>
        <v>0</v>
      </c>
      <c r="L243" s="6">
        <f t="shared" ca="1" si="35"/>
        <v>0</v>
      </c>
      <c r="M243" s="6">
        <f t="shared" ca="1" si="36"/>
        <v>0</v>
      </c>
      <c r="N243" s="20">
        <f t="shared" ca="1" si="37"/>
        <v>4.9315068493150687</v>
      </c>
      <c r="O243" s="6"/>
    </row>
    <row r="244" spans="2:15" ht="13.15" customHeight="1" x14ac:dyDescent="0.25">
      <c r="B244" s="1"/>
      <c r="E244" s="6">
        <v>240</v>
      </c>
      <c r="F244" s="6">
        <f t="shared" ca="1" si="29"/>
        <v>90</v>
      </c>
      <c r="G244" s="6">
        <f t="shared" ca="1" si="30"/>
        <v>180</v>
      </c>
      <c r="H244" s="6">
        <f t="shared" ca="1" si="31"/>
        <v>90</v>
      </c>
      <c r="I244" s="6">
        <f t="shared" ca="1" si="32"/>
        <v>1</v>
      </c>
      <c r="J244" s="6">
        <f t="shared" ca="1" si="33"/>
        <v>0</v>
      </c>
      <c r="K244" s="6">
        <f t="shared" ca="1" si="34"/>
        <v>0</v>
      </c>
      <c r="L244" s="6">
        <f t="shared" ca="1" si="35"/>
        <v>0</v>
      </c>
      <c r="M244" s="6">
        <f t="shared" ca="1" si="36"/>
        <v>200</v>
      </c>
      <c r="N244" s="20">
        <f t="shared" ca="1" si="37"/>
        <v>2.4657534246575343</v>
      </c>
      <c r="O244" s="6"/>
    </row>
    <row r="245" spans="2:15" ht="13.15" customHeight="1" x14ac:dyDescent="0.25">
      <c r="B245" s="1"/>
      <c r="E245" s="6">
        <v>241</v>
      </c>
      <c r="F245" s="6">
        <f t="shared" ca="1" si="29"/>
        <v>110</v>
      </c>
      <c r="G245" s="6">
        <f t="shared" ca="1" si="30"/>
        <v>1090</v>
      </c>
      <c r="H245" s="6">
        <f t="shared" ca="1" si="31"/>
        <v>980</v>
      </c>
      <c r="I245" s="6">
        <f t="shared" ca="1" si="32"/>
        <v>0</v>
      </c>
      <c r="J245" s="6">
        <f t="shared" ca="1" si="33"/>
        <v>0</v>
      </c>
      <c r="K245" s="6">
        <f t="shared" ca="1" si="34"/>
        <v>0</v>
      </c>
      <c r="L245" s="6">
        <f t="shared" ca="1" si="35"/>
        <v>0</v>
      </c>
      <c r="M245" s="6">
        <f t="shared" ca="1" si="36"/>
        <v>0</v>
      </c>
      <c r="N245" s="20">
        <f t="shared" ca="1" si="37"/>
        <v>26.849315068493148</v>
      </c>
      <c r="O245" s="6"/>
    </row>
    <row r="246" spans="2:15" ht="13.15" customHeight="1" x14ac:dyDescent="0.25">
      <c r="B246" s="1"/>
      <c r="E246" s="6">
        <v>242</v>
      </c>
      <c r="F246" s="6">
        <f t="shared" ca="1" si="29"/>
        <v>100</v>
      </c>
      <c r="G246" s="6">
        <f t="shared" ca="1" si="30"/>
        <v>980</v>
      </c>
      <c r="H246" s="6">
        <f t="shared" ca="1" si="31"/>
        <v>880</v>
      </c>
      <c r="I246" s="6">
        <f t="shared" ca="1" si="32"/>
        <v>0</v>
      </c>
      <c r="J246" s="6">
        <f t="shared" ca="1" si="33"/>
        <v>0</v>
      </c>
      <c r="K246" s="6">
        <f t="shared" ca="1" si="34"/>
        <v>0</v>
      </c>
      <c r="L246" s="6">
        <f t="shared" ca="1" si="35"/>
        <v>0</v>
      </c>
      <c r="M246" s="6">
        <f t="shared" ca="1" si="36"/>
        <v>0</v>
      </c>
      <c r="N246" s="20">
        <f t="shared" ca="1" si="37"/>
        <v>24.109589041095887</v>
      </c>
      <c r="O246" s="6"/>
    </row>
    <row r="247" spans="2:15" ht="13.15" customHeight="1" x14ac:dyDescent="0.25">
      <c r="B247" s="1"/>
      <c r="E247" s="6">
        <v>243</v>
      </c>
      <c r="F247" s="6">
        <f t="shared" ca="1" si="29"/>
        <v>90</v>
      </c>
      <c r="G247" s="6">
        <f t="shared" ca="1" si="30"/>
        <v>880</v>
      </c>
      <c r="H247" s="6">
        <f t="shared" ca="1" si="31"/>
        <v>790</v>
      </c>
      <c r="I247" s="6">
        <f t="shared" ca="1" si="32"/>
        <v>0</v>
      </c>
      <c r="J247" s="6">
        <f t="shared" ca="1" si="33"/>
        <v>0</v>
      </c>
      <c r="K247" s="6">
        <f t="shared" ca="1" si="34"/>
        <v>0</v>
      </c>
      <c r="L247" s="6">
        <f t="shared" ca="1" si="35"/>
        <v>0</v>
      </c>
      <c r="M247" s="6">
        <f t="shared" ca="1" si="36"/>
        <v>0</v>
      </c>
      <c r="N247" s="20">
        <f t="shared" ca="1" si="37"/>
        <v>21.643835616438356</v>
      </c>
      <c r="O247" s="6"/>
    </row>
    <row r="248" spans="2:15" ht="13.15" customHeight="1" x14ac:dyDescent="0.25">
      <c r="B248" s="1"/>
      <c r="E248" s="6">
        <v>244</v>
      </c>
      <c r="F248" s="6">
        <f t="shared" ca="1" si="29"/>
        <v>100</v>
      </c>
      <c r="G248" s="6">
        <f t="shared" ca="1" si="30"/>
        <v>790</v>
      </c>
      <c r="H248" s="6">
        <f t="shared" ca="1" si="31"/>
        <v>690</v>
      </c>
      <c r="I248" s="6">
        <f t="shared" ca="1" si="32"/>
        <v>0</v>
      </c>
      <c r="J248" s="6">
        <f t="shared" ca="1" si="33"/>
        <v>0</v>
      </c>
      <c r="K248" s="6">
        <f t="shared" ca="1" si="34"/>
        <v>0</v>
      </c>
      <c r="L248" s="6">
        <f t="shared" ca="1" si="35"/>
        <v>0</v>
      </c>
      <c r="M248" s="6">
        <f t="shared" ca="1" si="36"/>
        <v>0</v>
      </c>
      <c r="N248" s="20">
        <f t="shared" ca="1" si="37"/>
        <v>18.904109589041095</v>
      </c>
      <c r="O248" s="6"/>
    </row>
    <row r="249" spans="2:15" ht="13.15" customHeight="1" x14ac:dyDescent="0.25">
      <c r="B249" s="1"/>
      <c r="E249" s="6">
        <v>245</v>
      </c>
      <c r="F249" s="6">
        <f t="shared" ca="1" si="29"/>
        <v>90</v>
      </c>
      <c r="G249" s="6">
        <f t="shared" ca="1" si="30"/>
        <v>690</v>
      </c>
      <c r="H249" s="6">
        <f t="shared" ca="1" si="31"/>
        <v>600</v>
      </c>
      <c r="I249" s="6">
        <f t="shared" ca="1" si="32"/>
        <v>0</v>
      </c>
      <c r="J249" s="6">
        <f t="shared" ca="1" si="33"/>
        <v>1</v>
      </c>
      <c r="K249" s="6">
        <f t="shared" ca="1" si="34"/>
        <v>0</v>
      </c>
      <c r="L249" s="6">
        <f t="shared" ca="1" si="35"/>
        <v>0</v>
      </c>
      <c r="M249" s="6">
        <f t="shared" ca="1" si="36"/>
        <v>0</v>
      </c>
      <c r="N249" s="20">
        <f t="shared" ca="1" si="37"/>
        <v>16.43835616438356</v>
      </c>
      <c r="O249" s="6"/>
    </row>
    <row r="250" spans="2:15" ht="13.15" customHeight="1" x14ac:dyDescent="0.25">
      <c r="B250" s="1"/>
      <c r="E250" s="6">
        <v>246</v>
      </c>
      <c r="F250" s="6">
        <f t="shared" ca="1" si="29"/>
        <v>90</v>
      </c>
      <c r="G250" s="6">
        <f t="shared" ca="1" si="30"/>
        <v>600</v>
      </c>
      <c r="H250" s="6">
        <f t="shared" ca="1" si="31"/>
        <v>510</v>
      </c>
      <c r="I250" s="6">
        <f t="shared" ca="1" si="32"/>
        <v>0</v>
      </c>
      <c r="J250" s="6">
        <f t="shared" ca="1" si="33"/>
        <v>0</v>
      </c>
      <c r="K250" s="6">
        <f t="shared" ca="1" si="34"/>
        <v>0</v>
      </c>
      <c r="L250" s="6">
        <f t="shared" ca="1" si="35"/>
        <v>0</v>
      </c>
      <c r="M250" s="6">
        <f t="shared" ca="1" si="36"/>
        <v>0</v>
      </c>
      <c r="N250" s="20">
        <f t="shared" ca="1" si="37"/>
        <v>13.972602739726026</v>
      </c>
      <c r="O250" s="6"/>
    </row>
    <row r="251" spans="2:15" ht="13.15" customHeight="1" x14ac:dyDescent="0.25">
      <c r="B251" s="1"/>
      <c r="E251" s="6">
        <v>247</v>
      </c>
      <c r="F251" s="6">
        <f t="shared" ca="1" si="29"/>
        <v>100</v>
      </c>
      <c r="G251" s="6">
        <f t="shared" ca="1" si="30"/>
        <v>510</v>
      </c>
      <c r="H251" s="6">
        <f t="shared" ca="1" si="31"/>
        <v>410</v>
      </c>
      <c r="I251" s="6">
        <f t="shared" ca="1" si="32"/>
        <v>0</v>
      </c>
      <c r="J251" s="6">
        <f t="shared" ca="1" si="33"/>
        <v>1</v>
      </c>
      <c r="K251" s="6">
        <f t="shared" ca="1" si="34"/>
        <v>0</v>
      </c>
      <c r="L251" s="6">
        <f t="shared" ca="1" si="35"/>
        <v>0</v>
      </c>
      <c r="M251" s="6">
        <f t="shared" ca="1" si="36"/>
        <v>0</v>
      </c>
      <c r="N251" s="20">
        <f t="shared" ca="1" si="37"/>
        <v>11.232876712328766</v>
      </c>
      <c r="O251" s="6"/>
    </row>
    <row r="252" spans="2:15" ht="13.15" customHeight="1" x14ac:dyDescent="0.25">
      <c r="B252" s="1"/>
      <c r="E252" s="6">
        <v>248</v>
      </c>
      <c r="F252" s="6">
        <f t="shared" ca="1" si="29"/>
        <v>100</v>
      </c>
      <c r="G252" s="6">
        <f t="shared" ca="1" si="30"/>
        <v>410</v>
      </c>
      <c r="H252" s="6">
        <f t="shared" ca="1" si="31"/>
        <v>310</v>
      </c>
      <c r="I252" s="6">
        <f t="shared" ca="1" si="32"/>
        <v>0</v>
      </c>
      <c r="J252" s="6">
        <f t="shared" ca="1" si="33"/>
        <v>0</v>
      </c>
      <c r="K252" s="6">
        <f t="shared" ca="1" si="34"/>
        <v>0</v>
      </c>
      <c r="L252" s="6">
        <f t="shared" ca="1" si="35"/>
        <v>0</v>
      </c>
      <c r="M252" s="6">
        <f t="shared" ca="1" si="36"/>
        <v>0</v>
      </c>
      <c r="N252" s="20">
        <f t="shared" ca="1" si="37"/>
        <v>8.493150684931507</v>
      </c>
      <c r="O252" s="6"/>
    </row>
    <row r="253" spans="2:15" ht="13.15" customHeight="1" x14ac:dyDescent="0.25">
      <c r="B253" s="1"/>
      <c r="E253" s="6">
        <v>249</v>
      </c>
      <c r="F253" s="6">
        <f t="shared" ca="1" si="29"/>
        <v>90</v>
      </c>
      <c r="G253" s="6">
        <f t="shared" ca="1" si="30"/>
        <v>310</v>
      </c>
      <c r="H253" s="6">
        <f t="shared" ca="1" si="31"/>
        <v>220</v>
      </c>
      <c r="I253" s="6">
        <f t="shared" ca="1" si="32"/>
        <v>0</v>
      </c>
      <c r="J253" s="6">
        <f t="shared" ca="1" si="33"/>
        <v>0</v>
      </c>
      <c r="K253" s="6">
        <f t="shared" ca="1" si="34"/>
        <v>0</v>
      </c>
      <c r="L253" s="6">
        <f t="shared" ca="1" si="35"/>
        <v>0</v>
      </c>
      <c r="M253" s="6">
        <f t="shared" ca="1" si="36"/>
        <v>0</v>
      </c>
      <c r="N253" s="20">
        <f t="shared" ca="1" si="37"/>
        <v>6.0273972602739718</v>
      </c>
      <c r="O253" s="6"/>
    </row>
    <row r="254" spans="2:15" ht="13.15" customHeight="1" x14ac:dyDescent="0.25">
      <c r="B254" s="1"/>
      <c r="E254" s="6">
        <v>250</v>
      </c>
      <c r="F254" s="6">
        <f t="shared" ca="1" si="29"/>
        <v>90</v>
      </c>
      <c r="G254" s="6">
        <f t="shared" ca="1" si="30"/>
        <v>220</v>
      </c>
      <c r="H254" s="6">
        <f t="shared" ca="1" si="31"/>
        <v>130</v>
      </c>
      <c r="I254" s="6">
        <f t="shared" ca="1" si="32"/>
        <v>0</v>
      </c>
      <c r="J254" s="6">
        <f t="shared" ca="1" si="33"/>
        <v>0</v>
      </c>
      <c r="K254" s="6">
        <f t="shared" ca="1" si="34"/>
        <v>0</v>
      </c>
      <c r="L254" s="6">
        <f t="shared" ca="1" si="35"/>
        <v>0</v>
      </c>
      <c r="M254" s="6">
        <f t="shared" ca="1" si="36"/>
        <v>0</v>
      </c>
      <c r="N254" s="20">
        <f t="shared" ca="1" si="37"/>
        <v>3.5616438356164384</v>
      </c>
      <c r="O254" s="6"/>
    </row>
    <row r="255" spans="2:15" ht="13.15" customHeight="1" x14ac:dyDescent="0.25">
      <c r="B255" s="1"/>
      <c r="E255" s="6">
        <v>251</v>
      </c>
      <c r="F255" s="6">
        <f t="shared" ca="1" si="29"/>
        <v>100</v>
      </c>
      <c r="G255" s="6">
        <f t="shared" ca="1" si="30"/>
        <v>130</v>
      </c>
      <c r="H255" s="6">
        <f t="shared" ca="1" si="31"/>
        <v>30</v>
      </c>
      <c r="I255" s="6">
        <f t="shared" ca="1" si="32"/>
        <v>1</v>
      </c>
      <c r="J255" s="6">
        <f t="shared" ca="1" si="33"/>
        <v>1</v>
      </c>
      <c r="K255" s="6">
        <f t="shared" ca="1" si="34"/>
        <v>0</v>
      </c>
      <c r="L255" s="6">
        <f t="shared" ca="1" si="35"/>
        <v>0</v>
      </c>
      <c r="M255" s="6">
        <f t="shared" ca="1" si="36"/>
        <v>200</v>
      </c>
      <c r="N255" s="20">
        <f t="shared" ca="1" si="37"/>
        <v>0.82191780821917804</v>
      </c>
      <c r="O255" s="6"/>
    </row>
    <row r="256" spans="2:15" ht="13.15" customHeight="1" x14ac:dyDescent="0.25">
      <c r="B256" s="1"/>
      <c r="E256" s="6">
        <v>252</v>
      </c>
      <c r="F256" s="6">
        <f t="shared" ca="1" si="29"/>
        <v>110</v>
      </c>
      <c r="G256" s="6">
        <f t="shared" ca="1" si="30"/>
        <v>30</v>
      </c>
      <c r="H256" s="6">
        <f t="shared" ca="1" si="31"/>
        <v>0</v>
      </c>
      <c r="I256" s="6">
        <f t="shared" ca="1" si="32"/>
        <v>1</v>
      </c>
      <c r="J256" s="6">
        <f t="shared" ca="1" si="33"/>
        <v>0</v>
      </c>
      <c r="K256" s="6">
        <f t="shared" ca="1" si="34"/>
        <v>80</v>
      </c>
      <c r="L256" s="6">
        <f t="shared" ca="1" si="35"/>
        <v>4000</v>
      </c>
      <c r="M256" s="6">
        <f t="shared" ca="1" si="36"/>
        <v>200</v>
      </c>
      <c r="N256" s="20">
        <f t="shared" ca="1" si="37"/>
        <v>0</v>
      </c>
      <c r="O256" s="6"/>
    </row>
    <row r="257" spans="2:15" ht="13.15" customHeight="1" x14ac:dyDescent="0.25">
      <c r="B257" s="1"/>
      <c r="E257" s="6">
        <v>253</v>
      </c>
      <c r="F257" s="6">
        <f t="shared" ca="1" si="29"/>
        <v>90</v>
      </c>
      <c r="G257" s="6">
        <f t="shared" ca="1" si="30"/>
        <v>2000</v>
      </c>
      <c r="H257" s="6">
        <f t="shared" ca="1" si="31"/>
        <v>1910</v>
      </c>
      <c r="I257" s="6">
        <f t="shared" ca="1" si="32"/>
        <v>0</v>
      </c>
      <c r="J257" s="6">
        <f t="shared" ca="1" si="33"/>
        <v>0</v>
      </c>
      <c r="K257" s="6">
        <f t="shared" ca="1" si="34"/>
        <v>0</v>
      </c>
      <c r="L257" s="6">
        <f t="shared" ca="1" si="35"/>
        <v>0</v>
      </c>
      <c r="M257" s="6">
        <f t="shared" ca="1" si="36"/>
        <v>0</v>
      </c>
      <c r="N257" s="20">
        <f t="shared" ca="1" si="37"/>
        <v>52.328767123287669</v>
      </c>
      <c r="O257" s="6"/>
    </row>
    <row r="258" spans="2:15" ht="13.15" customHeight="1" x14ac:dyDescent="0.25">
      <c r="B258" s="1"/>
      <c r="E258" s="6">
        <v>254</v>
      </c>
      <c r="F258" s="6">
        <f t="shared" ca="1" si="29"/>
        <v>90</v>
      </c>
      <c r="G258" s="6">
        <f t="shared" ca="1" si="30"/>
        <v>1910</v>
      </c>
      <c r="H258" s="6">
        <f t="shared" ca="1" si="31"/>
        <v>1820</v>
      </c>
      <c r="I258" s="6">
        <f t="shared" ca="1" si="32"/>
        <v>0</v>
      </c>
      <c r="J258" s="6">
        <f t="shared" ca="1" si="33"/>
        <v>1</v>
      </c>
      <c r="K258" s="6">
        <f t="shared" ca="1" si="34"/>
        <v>0</v>
      </c>
      <c r="L258" s="6">
        <f t="shared" ca="1" si="35"/>
        <v>0</v>
      </c>
      <c r="M258" s="6">
        <f t="shared" ca="1" si="36"/>
        <v>0</v>
      </c>
      <c r="N258" s="20">
        <f t="shared" ca="1" si="37"/>
        <v>49.863013698630134</v>
      </c>
      <c r="O258" s="6"/>
    </row>
    <row r="259" spans="2:15" ht="13.15" customHeight="1" x14ac:dyDescent="0.25">
      <c r="B259" s="1"/>
      <c r="E259" s="6">
        <v>255</v>
      </c>
      <c r="F259" s="6">
        <f t="shared" ca="1" si="29"/>
        <v>100</v>
      </c>
      <c r="G259" s="6">
        <f t="shared" ca="1" si="30"/>
        <v>1820</v>
      </c>
      <c r="H259" s="6">
        <f t="shared" ca="1" si="31"/>
        <v>1720</v>
      </c>
      <c r="I259" s="6">
        <f t="shared" ca="1" si="32"/>
        <v>0</v>
      </c>
      <c r="J259" s="6">
        <f t="shared" ca="1" si="33"/>
        <v>1</v>
      </c>
      <c r="K259" s="6">
        <f t="shared" ca="1" si="34"/>
        <v>0</v>
      </c>
      <c r="L259" s="6">
        <f t="shared" ca="1" si="35"/>
        <v>0</v>
      </c>
      <c r="M259" s="6">
        <f t="shared" ca="1" si="36"/>
        <v>0</v>
      </c>
      <c r="N259" s="20">
        <f t="shared" ca="1" si="37"/>
        <v>47.123287671232873</v>
      </c>
      <c r="O259" s="6"/>
    </row>
    <row r="260" spans="2:15" ht="13.15" customHeight="1" x14ac:dyDescent="0.25">
      <c r="B260" s="1"/>
      <c r="E260" s="6">
        <v>256</v>
      </c>
      <c r="F260" s="6">
        <f t="shared" ca="1" si="29"/>
        <v>120</v>
      </c>
      <c r="G260" s="6">
        <f t="shared" ca="1" si="30"/>
        <v>1720</v>
      </c>
      <c r="H260" s="6">
        <f t="shared" ca="1" si="31"/>
        <v>1600</v>
      </c>
      <c r="I260" s="6">
        <f t="shared" ca="1" si="32"/>
        <v>0</v>
      </c>
      <c r="J260" s="6">
        <f t="shared" ca="1" si="33"/>
        <v>0</v>
      </c>
      <c r="K260" s="6">
        <f t="shared" ca="1" si="34"/>
        <v>0</v>
      </c>
      <c r="L260" s="6">
        <f t="shared" ca="1" si="35"/>
        <v>0</v>
      </c>
      <c r="M260" s="6">
        <f t="shared" ca="1" si="36"/>
        <v>0</v>
      </c>
      <c r="N260" s="20">
        <f t="shared" ca="1" si="37"/>
        <v>43.835616438356162</v>
      </c>
      <c r="O260" s="6"/>
    </row>
    <row r="261" spans="2:15" ht="13.15" customHeight="1" x14ac:dyDescent="0.25">
      <c r="B261" s="1"/>
      <c r="E261" s="6">
        <v>257</v>
      </c>
      <c r="F261" s="6">
        <f t="shared" ca="1" si="29"/>
        <v>80</v>
      </c>
      <c r="G261" s="6">
        <f t="shared" ca="1" si="30"/>
        <v>1600</v>
      </c>
      <c r="H261" s="6">
        <f t="shared" ca="1" si="31"/>
        <v>1520</v>
      </c>
      <c r="I261" s="6">
        <f t="shared" ca="1" si="32"/>
        <v>0</v>
      </c>
      <c r="J261" s="6">
        <f t="shared" ca="1" si="33"/>
        <v>0</v>
      </c>
      <c r="K261" s="6">
        <f t="shared" ca="1" si="34"/>
        <v>0</v>
      </c>
      <c r="L261" s="6">
        <f t="shared" ca="1" si="35"/>
        <v>0</v>
      </c>
      <c r="M261" s="6">
        <f t="shared" ca="1" si="36"/>
        <v>0</v>
      </c>
      <c r="N261" s="20">
        <f t="shared" ca="1" si="37"/>
        <v>41.643835616438352</v>
      </c>
      <c r="O261" s="6"/>
    </row>
    <row r="262" spans="2:15" ht="13.15" customHeight="1" x14ac:dyDescent="0.25">
      <c r="B262" s="1"/>
      <c r="E262" s="6">
        <v>258</v>
      </c>
      <c r="F262" s="6">
        <f t="shared" ref="F262:F325" ca="1" si="38">INDEX($T$17:$T$21,MATCH(RAND(),$V$17:$V$22,1))</f>
        <v>110</v>
      </c>
      <c r="G262" s="6">
        <f t="shared" ca="1" si="30"/>
        <v>1520</v>
      </c>
      <c r="H262" s="6">
        <f t="shared" ca="1" si="31"/>
        <v>1410</v>
      </c>
      <c r="I262" s="6">
        <f t="shared" ca="1" si="32"/>
        <v>0</v>
      </c>
      <c r="J262" s="6">
        <f t="shared" ca="1" si="33"/>
        <v>0</v>
      </c>
      <c r="K262" s="6">
        <f t="shared" ca="1" si="34"/>
        <v>0</v>
      </c>
      <c r="L262" s="6">
        <f t="shared" ca="1" si="35"/>
        <v>0</v>
      </c>
      <c r="M262" s="6">
        <f t="shared" ca="1" si="36"/>
        <v>0</v>
      </c>
      <c r="N262" s="20">
        <f t="shared" ca="1" si="37"/>
        <v>38.630136986301366</v>
      </c>
      <c r="O262" s="6"/>
    </row>
    <row r="263" spans="2:15" ht="13.15" customHeight="1" x14ac:dyDescent="0.25">
      <c r="B263" s="1"/>
      <c r="E263" s="6">
        <v>259</v>
      </c>
      <c r="F263" s="6">
        <f t="shared" ca="1" si="38"/>
        <v>110</v>
      </c>
      <c r="G263" s="6">
        <f t="shared" ref="G263:G326" ca="1" si="39">H262+IF(AND(I262=1,J262=0),$C$9,0)+IF(AND(I261=1,J261=1),$C$9,0)</f>
        <v>1410</v>
      </c>
      <c r="H263" s="6">
        <f t="shared" ref="H263:H326" ca="1" si="40">MAX(G263-F263,0)</f>
        <v>1300</v>
      </c>
      <c r="I263" s="6">
        <f t="shared" ref="I263:I326" ca="1" si="41">IF(H263&lt;$C$3,1,0)</f>
        <v>0</v>
      </c>
      <c r="J263" s="6">
        <f t="shared" ref="J263:J326" ca="1" si="42">IF(RAND()&lt;0.5,0,1)</f>
        <v>1</v>
      </c>
      <c r="K263" s="6">
        <f t="shared" ref="K263:K326" ca="1" si="43">-MIN(G263-F263,0)</f>
        <v>0</v>
      </c>
      <c r="L263" s="6">
        <f t="shared" ref="L263:L326" ca="1" si="44">K263*$C$8</f>
        <v>0</v>
      </c>
      <c r="M263" s="6">
        <f t="shared" ref="M263:M326" ca="1" si="45">I263*$C$4</f>
        <v>0</v>
      </c>
      <c r="N263" s="20">
        <f t="shared" ref="N263:N326" ca="1" si="46">H263*$C$7</f>
        <v>35.61643835616438</v>
      </c>
      <c r="O263" s="6"/>
    </row>
    <row r="264" spans="2:15" ht="13.15" customHeight="1" x14ac:dyDescent="0.25">
      <c r="B264" s="1"/>
      <c r="E264" s="6">
        <v>260</v>
      </c>
      <c r="F264" s="6">
        <f t="shared" ca="1" si="38"/>
        <v>90</v>
      </c>
      <c r="G264" s="6">
        <f t="shared" ca="1" si="39"/>
        <v>1300</v>
      </c>
      <c r="H264" s="6">
        <f t="shared" ca="1" si="40"/>
        <v>1210</v>
      </c>
      <c r="I264" s="6">
        <f t="shared" ca="1" si="41"/>
        <v>0</v>
      </c>
      <c r="J264" s="6">
        <f t="shared" ca="1" si="42"/>
        <v>1</v>
      </c>
      <c r="K264" s="6">
        <f t="shared" ca="1" si="43"/>
        <v>0</v>
      </c>
      <c r="L264" s="6">
        <f t="shared" ca="1" si="44"/>
        <v>0</v>
      </c>
      <c r="M264" s="6">
        <f t="shared" ca="1" si="45"/>
        <v>0</v>
      </c>
      <c r="N264" s="20">
        <f t="shared" ca="1" si="46"/>
        <v>33.150684931506845</v>
      </c>
      <c r="O264" s="6"/>
    </row>
    <row r="265" spans="2:15" ht="13.15" customHeight="1" x14ac:dyDescent="0.25">
      <c r="B265" s="1"/>
      <c r="E265" s="6">
        <v>261</v>
      </c>
      <c r="F265" s="6">
        <f t="shared" ca="1" si="38"/>
        <v>90</v>
      </c>
      <c r="G265" s="6">
        <f t="shared" ca="1" si="39"/>
        <v>1210</v>
      </c>
      <c r="H265" s="6">
        <f t="shared" ca="1" si="40"/>
        <v>1120</v>
      </c>
      <c r="I265" s="6">
        <f t="shared" ca="1" si="41"/>
        <v>0</v>
      </c>
      <c r="J265" s="6">
        <f t="shared" ca="1" si="42"/>
        <v>0</v>
      </c>
      <c r="K265" s="6">
        <f t="shared" ca="1" si="43"/>
        <v>0</v>
      </c>
      <c r="L265" s="6">
        <f t="shared" ca="1" si="44"/>
        <v>0</v>
      </c>
      <c r="M265" s="6">
        <f t="shared" ca="1" si="45"/>
        <v>0</v>
      </c>
      <c r="N265" s="20">
        <f t="shared" ca="1" si="46"/>
        <v>30.684931506849313</v>
      </c>
      <c r="O265" s="6"/>
    </row>
    <row r="266" spans="2:15" ht="13.15" customHeight="1" x14ac:dyDescent="0.25">
      <c r="B266" s="1"/>
      <c r="E266" s="6">
        <v>262</v>
      </c>
      <c r="F266" s="6">
        <f t="shared" ca="1" si="38"/>
        <v>100</v>
      </c>
      <c r="G266" s="6">
        <f t="shared" ca="1" si="39"/>
        <v>1120</v>
      </c>
      <c r="H266" s="6">
        <f t="shared" ca="1" si="40"/>
        <v>1020</v>
      </c>
      <c r="I266" s="6">
        <f t="shared" ca="1" si="41"/>
        <v>0</v>
      </c>
      <c r="J266" s="6">
        <f t="shared" ca="1" si="42"/>
        <v>0</v>
      </c>
      <c r="K266" s="6">
        <f t="shared" ca="1" si="43"/>
        <v>0</v>
      </c>
      <c r="L266" s="6">
        <f t="shared" ca="1" si="44"/>
        <v>0</v>
      </c>
      <c r="M266" s="6">
        <f t="shared" ca="1" si="45"/>
        <v>0</v>
      </c>
      <c r="N266" s="20">
        <f t="shared" ca="1" si="46"/>
        <v>27.945205479452053</v>
      </c>
      <c r="O266" s="6"/>
    </row>
    <row r="267" spans="2:15" ht="13.15" customHeight="1" x14ac:dyDescent="0.25">
      <c r="B267" s="1"/>
      <c r="E267" s="6">
        <v>263</v>
      </c>
      <c r="F267" s="6">
        <f t="shared" ca="1" si="38"/>
        <v>110</v>
      </c>
      <c r="G267" s="6">
        <f t="shared" ca="1" si="39"/>
        <v>1020</v>
      </c>
      <c r="H267" s="6">
        <f t="shared" ca="1" si="40"/>
        <v>910</v>
      </c>
      <c r="I267" s="6">
        <f t="shared" ca="1" si="41"/>
        <v>0</v>
      </c>
      <c r="J267" s="6">
        <f t="shared" ca="1" si="42"/>
        <v>1</v>
      </c>
      <c r="K267" s="6">
        <f t="shared" ca="1" si="43"/>
        <v>0</v>
      </c>
      <c r="L267" s="6">
        <f t="shared" ca="1" si="44"/>
        <v>0</v>
      </c>
      <c r="M267" s="6">
        <f t="shared" ca="1" si="45"/>
        <v>0</v>
      </c>
      <c r="N267" s="20">
        <f t="shared" ca="1" si="46"/>
        <v>24.931506849315067</v>
      </c>
      <c r="O267" s="6"/>
    </row>
    <row r="268" spans="2:15" ht="13.15" customHeight="1" x14ac:dyDescent="0.25">
      <c r="B268" s="1"/>
      <c r="E268" s="6">
        <v>264</v>
      </c>
      <c r="F268" s="6">
        <f t="shared" ca="1" si="38"/>
        <v>120</v>
      </c>
      <c r="G268" s="6">
        <f t="shared" ca="1" si="39"/>
        <v>910</v>
      </c>
      <c r="H268" s="6">
        <f t="shared" ca="1" si="40"/>
        <v>790</v>
      </c>
      <c r="I268" s="6">
        <f t="shared" ca="1" si="41"/>
        <v>0</v>
      </c>
      <c r="J268" s="6">
        <f t="shared" ca="1" si="42"/>
        <v>0</v>
      </c>
      <c r="K268" s="6">
        <f t="shared" ca="1" si="43"/>
        <v>0</v>
      </c>
      <c r="L268" s="6">
        <f t="shared" ca="1" si="44"/>
        <v>0</v>
      </c>
      <c r="M268" s="6">
        <f t="shared" ca="1" si="45"/>
        <v>0</v>
      </c>
      <c r="N268" s="20">
        <f t="shared" ca="1" si="46"/>
        <v>21.643835616438356</v>
      </c>
      <c r="O268" s="6"/>
    </row>
    <row r="269" spans="2:15" ht="13.15" customHeight="1" x14ac:dyDescent="0.25">
      <c r="B269" s="1"/>
      <c r="E269" s="6">
        <v>265</v>
      </c>
      <c r="F269" s="6">
        <f t="shared" ca="1" si="38"/>
        <v>110</v>
      </c>
      <c r="G269" s="6">
        <f t="shared" ca="1" si="39"/>
        <v>790</v>
      </c>
      <c r="H269" s="6">
        <f t="shared" ca="1" si="40"/>
        <v>680</v>
      </c>
      <c r="I269" s="6">
        <f t="shared" ca="1" si="41"/>
        <v>0</v>
      </c>
      <c r="J269" s="6">
        <f t="shared" ca="1" si="42"/>
        <v>0</v>
      </c>
      <c r="K269" s="6">
        <f t="shared" ca="1" si="43"/>
        <v>0</v>
      </c>
      <c r="L269" s="6">
        <f t="shared" ca="1" si="44"/>
        <v>0</v>
      </c>
      <c r="M269" s="6">
        <f t="shared" ca="1" si="45"/>
        <v>0</v>
      </c>
      <c r="N269" s="20">
        <f t="shared" ca="1" si="46"/>
        <v>18.63013698630137</v>
      </c>
      <c r="O269" s="6"/>
    </row>
    <row r="270" spans="2:15" ht="13.15" customHeight="1" x14ac:dyDescent="0.25">
      <c r="B270" s="1"/>
      <c r="E270" s="6">
        <v>266</v>
      </c>
      <c r="F270" s="6">
        <f t="shared" ca="1" si="38"/>
        <v>90</v>
      </c>
      <c r="G270" s="6">
        <f t="shared" ca="1" si="39"/>
        <v>680</v>
      </c>
      <c r="H270" s="6">
        <f t="shared" ca="1" si="40"/>
        <v>590</v>
      </c>
      <c r="I270" s="6">
        <f t="shared" ca="1" si="41"/>
        <v>0</v>
      </c>
      <c r="J270" s="6">
        <f t="shared" ca="1" si="42"/>
        <v>1</v>
      </c>
      <c r="K270" s="6">
        <f t="shared" ca="1" si="43"/>
        <v>0</v>
      </c>
      <c r="L270" s="6">
        <f t="shared" ca="1" si="44"/>
        <v>0</v>
      </c>
      <c r="M270" s="6">
        <f t="shared" ca="1" si="45"/>
        <v>0</v>
      </c>
      <c r="N270" s="20">
        <f t="shared" ca="1" si="46"/>
        <v>16.164383561643834</v>
      </c>
      <c r="O270" s="6"/>
    </row>
    <row r="271" spans="2:15" ht="13.15" customHeight="1" x14ac:dyDescent="0.25">
      <c r="B271" s="1"/>
      <c r="E271" s="6">
        <v>267</v>
      </c>
      <c r="F271" s="6">
        <f t="shared" ca="1" si="38"/>
        <v>90</v>
      </c>
      <c r="G271" s="6">
        <f t="shared" ca="1" si="39"/>
        <v>590</v>
      </c>
      <c r="H271" s="6">
        <f t="shared" ca="1" si="40"/>
        <v>500</v>
      </c>
      <c r="I271" s="6">
        <f t="shared" ca="1" si="41"/>
        <v>0</v>
      </c>
      <c r="J271" s="6">
        <f t="shared" ca="1" si="42"/>
        <v>1</v>
      </c>
      <c r="K271" s="6">
        <f t="shared" ca="1" si="43"/>
        <v>0</v>
      </c>
      <c r="L271" s="6">
        <f t="shared" ca="1" si="44"/>
        <v>0</v>
      </c>
      <c r="M271" s="6">
        <f t="shared" ca="1" si="45"/>
        <v>0</v>
      </c>
      <c r="N271" s="20">
        <f t="shared" ca="1" si="46"/>
        <v>13.698630136986301</v>
      </c>
      <c r="O271" s="6"/>
    </row>
    <row r="272" spans="2:15" ht="13.15" customHeight="1" x14ac:dyDescent="0.25">
      <c r="B272" s="1"/>
      <c r="E272" s="6">
        <v>268</v>
      </c>
      <c r="F272" s="6">
        <f t="shared" ca="1" si="38"/>
        <v>110</v>
      </c>
      <c r="G272" s="6">
        <f t="shared" ca="1" si="39"/>
        <v>500</v>
      </c>
      <c r="H272" s="6">
        <f t="shared" ca="1" si="40"/>
        <v>390</v>
      </c>
      <c r="I272" s="6">
        <f t="shared" ca="1" si="41"/>
        <v>0</v>
      </c>
      <c r="J272" s="6">
        <f t="shared" ca="1" si="42"/>
        <v>0</v>
      </c>
      <c r="K272" s="6">
        <f t="shared" ca="1" si="43"/>
        <v>0</v>
      </c>
      <c r="L272" s="6">
        <f t="shared" ca="1" si="44"/>
        <v>0</v>
      </c>
      <c r="M272" s="6">
        <f t="shared" ca="1" si="45"/>
        <v>0</v>
      </c>
      <c r="N272" s="20">
        <f t="shared" ca="1" si="46"/>
        <v>10.684931506849315</v>
      </c>
      <c r="O272" s="6"/>
    </row>
    <row r="273" spans="2:15" ht="13.15" customHeight="1" x14ac:dyDescent="0.25">
      <c r="B273" s="1"/>
      <c r="E273" s="6">
        <v>269</v>
      </c>
      <c r="F273" s="6">
        <f t="shared" ca="1" si="38"/>
        <v>100</v>
      </c>
      <c r="G273" s="6">
        <f t="shared" ca="1" si="39"/>
        <v>390</v>
      </c>
      <c r="H273" s="6">
        <f t="shared" ca="1" si="40"/>
        <v>290</v>
      </c>
      <c r="I273" s="6">
        <f t="shared" ca="1" si="41"/>
        <v>0</v>
      </c>
      <c r="J273" s="6">
        <f t="shared" ca="1" si="42"/>
        <v>0</v>
      </c>
      <c r="K273" s="6">
        <f t="shared" ca="1" si="43"/>
        <v>0</v>
      </c>
      <c r="L273" s="6">
        <f t="shared" ca="1" si="44"/>
        <v>0</v>
      </c>
      <c r="M273" s="6">
        <f t="shared" ca="1" si="45"/>
        <v>0</v>
      </c>
      <c r="N273" s="20">
        <f t="shared" ca="1" si="46"/>
        <v>7.9452054794520546</v>
      </c>
      <c r="O273" s="6"/>
    </row>
    <row r="274" spans="2:15" ht="13.15" customHeight="1" x14ac:dyDescent="0.25">
      <c r="B274" s="1"/>
      <c r="E274" s="6">
        <v>270</v>
      </c>
      <c r="F274" s="6">
        <f t="shared" ca="1" si="38"/>
        <v>100</v>
      </c>
      <c r="G274" s="6">
        <f t="shared" ca="1" si="39"/>
        <v>290</v>
      </c>
      <c r="H274" s="6">
        <f t="shared" ca="1" si="40"/>
        <v>190</v>
      </c>
      <c r="I274" s="6">
        <f t="shared" ca="1" si="41"/>
        <v>0</v>
      </c>
      <c r="J274" s="6">
        <f t="shared" ca="1" si="42"/>
        <v>0</v>
      </c>
      <c r="K274" s="6">
        <f t="shared" ca="1" si="43"/>
        <v>0</v>
      </c>
      <c r="L274" s="6">
        <f t="shared" ca="1" si="44"/>
        <v>0</v>
      </c>
      <c r="M274" s="6">
        <f t="shared" ca="1" si="45"/>
        <v>0</v>
      </c>
      <c r="N274" s="20">
        <f t="shared" ca="1" si="46"/>
        <v>5.205479452054794</v>
      </c>
      <c r="O274" s="6"/>
    </row>
    <row r="275" spans="2:15" ht="13.15" customHeight="1" x14ac:dyDescent="0.25">
      <c r="B275" s="1"/>
      <c r="E275" s="6">
        <v>271</v>
      </c>
      <c r="F275" s="6">
        <f t="shared" ca="1" si="38"/>
        <v>90</v>
      </c>
      <c r="G275" s="6">
        <f t="shared" ca="1" si="39"/>
        <v>190</v>
      </c>
      <c r="H275" s="6">
        <f t="shared" ca="1" si="40"/>
        <v>100</v>
      </c>
      <c r="I275" s="6">
        <f t="shared" ca="1" si="41"/>
        <v>0</v>
      </c>
      <c r="J275" s="6">
        <f t="shared" ca="1" si="42"/>
        <v>0</v>
      </c>
      <c r="K275" s="6">
        <f t="shared" ca="1" si="43"/>
        <v>0</v>
      </c>
      <c r="L275" s="6">
        <f t="shared" ca="1" si="44"/>
        <v>0</v>
      </c>
      <c r="M275" s="6">
        <f t="shared" ca="1" si="45"/>
        <v>0</v>
      </c>
      <c r="N275" s="20">
        <f t="shared" ca="1" si="46"/>
        <v>2.7397260273972601</v>
      </c>
      <c r="O275" s="6"/>
    </row>
    <row r="276" spans="2:15" ht="13.15" customHeight="1" x14ac:dyDescent="0.25">
      <c r="B276" s="1"/>
      <c r="E276" s="6">
        <v>272</v>
      </c>
      <c r="F276" s="6">
        <f t="shared" ca="1" si="38"/>
        <v>90</v>
      </c>
      <c r="G276" s="6">
        <f t="shared" ca="1" si="39"/>
        <v>100</v>
      </c>
      <c r="H276" s="6">
        <f t="shared" ca="1" si="40"/>
        <v>10</v>
      </c>
      <c r="I276" s="6">
        <f t="shared" ca="1" si="41"/>
        <v>1</v>
      </c>
      <c r="J276" s="6">
        <f t="shared" ca="1" si="42"/>
        <v>1</v>
      </c>
      <c r="K276" s="6">
        <f t="shared" ca="1" si="43"/>
        <v>0</v>
      </c>
      <c r="L276" s="6">
        <f t="shared" ca="1" si="44"/>
        <v>0</v>
      </c>
      <c r="M276" s="6">
        <f t="shared" ca="1" si="45"/>
        <v>200</v>
      </c>
      <c r="N276" s="20">
        <f t="shared" ca="1" si="46"/>
        <v>0.27397260273972601</v>
      </c>
      <c r="O276" s="6"/>
    </row>
    <row r="277" spans="2:15" ht="13.15" customHeight="1" x14ac:dyDescent="0.25">
      <c r="B277" s="1"/>
      <c r="E277" s="6">
        <v>273</v>
      </c>
      <c r="F277" s="6">
        <f t="shared" ca="1" si="38"/>
        <v>90</v>
      </c>
      <c r="G277" s="6">
        <f t="shared" ca="1" si="39"/>
        <v>10</v>
      </c>
      <c r="H277" s="6">
        <f t="shared" ca="1" si="40"/>
        <v>0</v>
      </c>
      <c r="I277" s="6">
        <f t="shared" ca="1" si="41"/>
        <v>1</v>
      </c>
      <c r="J277" s="6">
        <f t="shared" ca="1" si="42"/>
        <v>0</v>
      </c>
      <c r="K277" s="6">
        <f t="shared" ca="1" si="43"/>
        <v>80</v>
      </c>
      <c r="L277" s="6">
        <f t="shared" ca="1" si="44"/>
        <v>4000</v>
      </c>
      <c r="M277" s="6">
        <f t="shared" ca="1" si="45"/>
        <v>200</v>
      </c>
      <c r="N277" s="20">
        <f t="shared" ca="1" si="46"/>
        <v>0</v>
      </c>
      <c r="O277" s="6"/>
    </row>
    <row r="278" spans="2:15" ht="13.15" customHeight="1" x14ac:dyDescent="0.25">
      <c r="B278" s="1"/>
      <c r="E278" s="6">
        <v>274</v>
      </c>
      <c r="F278" s="6">
        <f t="shared" ca="1" si="38"/>
        <v>120</v>
      </c>
      <c r="G278" s="6">
        <f t="shared" ca="1" si="39"/>
        <v>2000</v>
      </c>
      <c r="H278" s="6">
        <f t="shared" ca="1" si="40"/>
        <v>1880</v>
      </c>
      <c r="I278" s="6">
        <f t="shared" ca="1" si="41"/>
        <v>0</v>
      </c>
      <c r="J278" s="6">
        <f t="shared" ca="1" si="42"/>
        <v>0</v>
      </c>
      <c r="K278" s="6">
        <f t="shared" ca="1" si="43"/>
        <v>0</v>
      </c>
      <c r="L278" s="6">
        <f t="shared" ca="1" si="44"/>
        <v>0</v>
      </c>
      <c r="M278" s="6">
        <f t="shared" ca="1" si="45"/>
        <v>0</v>
      </c>
      <c r="N278" s="20">
        <f t="shared" ca="1" si="46"/>
        <v>51.506849315068493</v>
      </c>
      <c r="O278" s="6"/>
    </row>
    <row r="279" spans="2:15" ht="13.15" customHeight="1" x14ac:dyDescent="0.25">
      <c r="B279" s="1"/>
      <c r="E279" s="6">
        <v>275</v>
      </c>
      <c r="F279" s="6">
        <f t="shared" ca="1" si="38"/>
        <v>90</v>
      </c>
      <c r="G279" s="6">
        <f t="shared" ca="1" si="39"/>
        <v>1880</v>
      </c>
      <c r="H279" s="6">
        <f t="shared" ca="1" si="40"/>
        <v>1790</v>
      </c>
      <c r="I279" s="6">
        <f t="shared" ca="1" si="41"/>
        <v>0</v>
      </c>
      <c r="J279" s="6">
        <f t="shared" ca="1" si="42"/>
        <v>0</v>
      </c>
      <c r="K279" s="6">
        <f t="shared" ca="1" si="43"/>
        <v>0</v>
      </c>
      <c r="L279" s="6">
        <f t="shared" ca="1" si="44"/>
        <v>0</v>
      </c>
      <c r="M279" s="6">
        <f t="shared" ca="1" si="45"/>
        <v>0</v>
      </c>
      <c r="N279" s="20">
        <f t="shared" ca="1" si="46"/>
        <v>49.041095890410958</v>
      </c>
      <c r="O279" s="6"/>
    </row>
    <row r="280" spans="2:15" ht="13.15" customHeight="1" x14ac:dyDescent="0.25">
      <c r="B280" s="1"/>
      <c r="E280" s="6">
        <v>276</v>
      </c>
      <c r="F280" s="6">
        <f t="shared" ca="1" si="38"/>
        <v>120</v>
      </c>
      <c r="G280" s="6">
        <f t="shared" ca="1" si="39"/>
        <v>1790</v>
      </c>
      <c r="H280" s="6">
        <f t="shared" ca="1" si="40"/>
        <v>1670</v>
      </c>
      <c r="I280" s="6">
        <f t="shared" ca="1" si="41"/>
        <v>0</v>
      </c>
      <c r="J280" s="6">
        <f t="shared" ca="1" si="42"/>
        <v>0</v>
      </c>
      <c r="K280" s="6">
        <f t="shared" ca="1" si="43"/>
        <v>0</v>
      </c>
      <c r="L280" s="6">
        <f t="shared" ca="1" si="44"/>
        <v>0</v>
      </c>
      <c r="M280" s="6">
        <f t="shared" ca="1" si="45"/>
        <v>0</v>
      </c>
      <c r="N280" s="20">
        <f t="shared" ca="1" si="46"/>
        <v>45.753424657534246</v>
      </c>
      <c r="O280" s="6"/>
    </row>
    <row r="281" spans="2:15" ht="13.15" customHeight="1" x14ac:dyDescent="0.25">
      <c r="B281" s="1"/>
      <c r="E281" s="6">
        <v>277</v>
      </c>
      <c r="F281" s="6">
        <f t="shared" ca="1" si="38"/>
        <v>120</v>
      </c>
      <c r="G281" s="6">
        <f t="shared" ca="1" si="39"/>
        <v>1670</v>
      </c>
      <c r="H281" s="6">
        <f t="shared" ca="1" si="40"/>
        <v>1550</v>
      </c>
      <c r="I281" s="6">
        <f t="shared" ca="1" si="41"/>
        <v>0</v>
      </c>
      <c r="J281" s="6">
        <f t="shared" ca="1" si="42"/>
        <v>0</v>
      </c>
      <c r="K281" s="6">
        <f t="shared" ca="1" si="43"/>
        <v>0</v>
      </c>
      <c r="L281" s="6">
        <f t="shared" ca="1" si="44"/>
        <v>0</v>
      </c>
      <c r="M281" s="6">
        <f t="shared" ca="1" si="45"/>
        <v>0</v>
      </c>
      <c r="N281" s="20">
        <f t="shared" ca="1" si="46"/>
        <v>42.465753424657535</v>
      </c>
      <c r="O281" s="6"/>
    </row>
    <row r="282" spans="2:15" ht="13.15" customHeight="1" x14ac:dyDescent="0.25">
      <c r="B282" s="1"/>
      <c r="E282" s="6">
        <v>278</v>
      </c>
      <c r="F282" s="6">
        <f t="shared" ca="1" si="38"/>
        <v>100</v>
      </c>
      <c r="G282" s="6">
        <f t="shared" ca="1" si="39"/>
        <v>1550</v>
      </c>
      <c r="H282" s="6">
        <f t="shared" ca="1" si="40"/>
        <v>1450</v>
      </c>
      <c r="I282" s="6">
        <f t="shared" ca="1" si="41"/>
        <v>0</v>
      </c>
      <c r="J282" s="6">
        <f t="shared" ca="1" si="42"/>
        <v>0</v>
      </c>
      <c r="K282" s="6">
        <f t="shared" ca="1" si="43"/>
        <v>0</v>
      </c>
      <c r="L282" s="6">
        <f t="shared" ca="1" si="44"/>
        <v>0</v>
      </c>
      <c r="M282" s="6">
        <f t="shared" ca="1" si="45"/>
        <v>0</v>
      </c>
      <c r="N282" s="20">
        <f t="shared" ca="1" si="46"/>
        <v>39.726027397260275</v>
      </c>
      <c r="O282" s="6"/>
    </row>
    <row r="283" spans="2:15" ht="13.15" customHeight="1" x14ac:dyDescent="0.25">
      <c r="B283" s="1"/>
      <c r="E283" s="6">
        <v>279</v>
      </c>
      <c r="F283" s="6">
        <f t="shared" ca="1" si="38"/>
        <v>100</v>
      </c>
      <c r="G283" s="6">
        <f t="shared" ca="1" si="39"/>
        <v>1450</v>
      </c>
      <c r="H283" s="6">
        <f t="shared" ca="1" si="40"/>
        <v>1350</v>
      </c>
      <c r="I283" s="6">
        <f t="shared" ca="1" si="41"/>
        <v>0</v>
      </c>
      <c r="J283" s="6">
        <f t="shared" ca="1" si="42"/>
        <v>0</v>
      </c>
      <c r="K283" s="6">
        <f t="shared" ca="1" si="43"/>
        <v>0</v>
      </c>
      <c r="L283" s="6">
        <f t="shared" ca="1" si="44"/>
        <v>0</v>
      </c>
      <c r="M283" s="6">
        <f t="shared" ca="1" si="45"/>
        <v>0</v>
      </c>
      <c r="N283" s="20">
        <f t="shared" ca="1" si="46"/>
        <v>36.986301369863014</v>
      </c>
      <c r="O283" s="6"/>
    </row>
    <row r="284" spans="2:15" ht="13.15" customHeight="1" x14ac:dyDescent="0.25">
      <c r="B284" s="1"/>
      <c r="E284" s="6">
        <v>280</v>
      </c>
      <c r="F284" s="6">
        <f t="shared" ca="1" si="38"/>
        <v>100</v>
      </c>
      <c r="G284" s="6">
        <f t="shared" ca="1" si="39"/>
        <v>1350</v>
      </c>
      <c r="H284" s="6">
        <f t="shared" ca="1" si="40"/>
        <v>1250</v>
      </c>
      <c r="I284" s="6">
        <f t="shared" ca="1" si="41"/>
        <v>0</v>
      </c>
      <c r="J284" s="6">
        <f t="shared" ca="1" si="42"/>
        <v>0</v>
      </c>
      <c r="K284" s="6">
        <f t="shared" ca="1" si="43"/>
        <v>0</v>
      </c>
      <c r="L284" s="6">
        <f t="shared" ca="1" si="44"/>
        <v>0</v>
      </c>
      <c r="M284" s="6">
        <f t="shared" ca="1" si="45"/>
        <v>0</v>
      </c>
      <c r="N284" s="20">
        <f t="shared" ca="1" si="46"/>
        <v>34.246575342465754</v>
      </c>
      <c r="O284" s="6"/>
    </row>
    <row r="285" spans="2:15" ht="13.15" customHeight="1" x14ac:dyDescent="0.25">
      <c r="B285" s="1"/>
      <c r="E285" s="6">
        <v>281</v>
      </c>
      <c r="F285" s="6">
        <f t="shared" ca="1" si="38"/>
        <v>110</v>
      </c>
      <c r="G285" s="6">
        <f t="shared" ca="1" si="39"/>
        <v>1250</v>
      </c>
      <c r="H285" s="6">
        <f t="shared" ca="1" si="40"/>
        <v>1140</v>
      </c>
      <c r="I285" s="6">
        <f t="shared" ca="1" si="41"/>
        <v>0</v>
      </c>
      <c r="J285" s="6">
        <f t="shared" ca="1" si="42"/>
        <v>0</v>
      </c>
      <c r="K285" s="6">
        <f t="shared" ca="1" si="43"/>
        <v>0</v>
      </c>
      <c r="L285" s="6">
        <f t="shared" ca="1" si="44"/>
        <v>0</v>
      </c>
      <c r="M285" s="6">
        <f t="shared" ca="1" si="45"/>
        <v>0</v>
      </c>
      <c r="N285" s="20">
        <f t="shared" ca="1" si="46"/>
        <v>31.232876712328764</v>
      </c>
      <c r="O285" s="6"/>
    </row>
    <row r="286" spans="2:15" ht="13.15" customHeight="1" x14ac:dyDescent="0.25">
      <c r="B286" s="1"/>
      <c r="E286" s="6">
        <v>282</v>
      </c>
      <c r="F286" s="6">
        <f t="shared" ca="1" si="38"/>
        <v>100</v>
      </c>
      <c r="G286" s="6">
        <f t="shared" ca="1" si="39"/>
        <v>1140</v>
      </c>
      <c r="H286" s="6">
        <f t="shared" ca="1" si="40"/>
        <v>1040</v>
      </c>
      <c r="I286" s="6">
        <f t="shared" ca="1" si="41"/>
        <v>0</v>
      </c>
      <c r="J286" s="6">
        <f t="shared" ca="1" si="42"/>
        <v>0</v>
      </c>
      <c r="K286" s="6">
        <f t="shared" ca="1" si="43"/>
        <v>0</v>
      </c>
      <c r="L286" s="6">
        <f t="shared" ca="1" si="44"/>
        <v>0</v>
      </c>
      <c r="M286" s="6">
        <f t="shared" ca="1" si="45"/>
        <v>0</v>
      </c>
      <c r="N286" s="20">
        <f t="shared" ca="1" si="46"/>
        <v>28.493150684931507</v>
      </c>
      <c r="O286" s="6"/>
    </row>
    <row r="287" spans="2:15" ht="13.15" customHeight="1" x14ac:dyDescent="0.25">
      <c r="B287" s="1"/>
      <c r="E287" s="6">
        <v>283</v>
      </c>
      <c r="F287" s="6">
        <f t="shared" ca="1" si="38"/>
        <v>90</v>
      </c>
      <c r="G287" s="6">
        <f t="shared" ca="1" si="39"/>
        <v>1040</v>
      </c>
      <c r="H287" s="6">
        <f t="shared" ca="1" si="40"/>
        <v>950</v>
      </c>
      <c r="I287" s="6">
        <f t="shared" ca="1" si="41"/>
        <v>0</v>
      </c>
      <c r="J287" s="6">
        <f t="shared" ca="1" si="42"/>
        <v>1</v>
      </c>
      <c r="K287" s="6">
        <f t="shared" ca="1" si="43"/>
        <v>0</v>
      </c>
      <c r="L287" s="6">
        <f t="shared" ca="1" si="44"/>
        <v>0</v>
      </c>
      <c r="M287" s="6">
        <f t="shared" ca="1" si="45"/>
        <v>0</v>
      </c>
      <c r="N287" s="20">
        <f t="shared" ca="1" si="46"/>
        <v>26.027397260273972</v>
      </c>
      <c r="O287" s="6"/>
    </row>
    <row r="288" spans="2:15" ht="13.15" customHeight="1" x14ac:dyDescent="0.25">
      <c r="B288" s="1"/>
      <c r="E288" s="6">
        <v>284</v>
      </c>
      <c r="F288" s="6">
        <f t="shared" ca="1" si="38"/>
        <v>90</v>
      </c>
      <c r="G288" s="6">
        <f t="shared" ca="1" si="39"/>
        <v>950</v>
      </c>
      <c r="H288" s="6">
        <f t="shared" ca="1" si="40"/>
        <v>860</v>
      </c>
      <c r="I288" s="6">
        <f t="shared" ca="1" si="41"/>
        <v>0</v>
      </c>
      <c r="J288" s="6">
        <f t="shared" ca="1" si="42"/>
        <v>0</v>
      </c>
      <c r="K288" s="6">
        <f t="shared" ca="1" si="43"/>
        <v>0</v>
      </c>
      <c r="L288" s="6">
        <f t="shared" ca="1" si="44"/>
        <v>0</v>
      </c>
      <c r="M288" s="6">
        <f t="shared" ca="1" si="45"/>
        <v>0</v>
      </c>
      <c r="N288" s="20">
        <f t="shared" ca="1" si="46"/>
        <v>23.561643835616437</v>
      </c>
      <c r="O288" s="6"/>
    </row>
    <row r="289" spans="2:15" ht="13.15" customHeight="1" x14ac:dyDescent="0.25">
      <c r="B289" s="1"/>
      <c r="E289" s="6">
        <v>285</v>
      </c>
      <c r="F289" s="6">
        <f t="shared" ca="1" si="38"/>
        <v>120</v>
      </c>
      <c r="G289" s="6">
        <f t="shared" ca="1" si="39"/>
        <v>860</v>
      </c>
      <c r="H289" s="6">
        <f t="shared" ca="1" si="40"/>
        <v>740</v>
      </c>
      <c r="I289" s="6">
        <f t="shared" ca="1" si="41"/>
        <v>0</v>
      </c>
      <c r="J289" s="6">
        <f t="shared" ca="1" si="42"/>
        <v>0</v>
      </c>
      <c r="K289" s="6">
        <f t="shared" ca="1" si="43"/>
        <v>0</v>
      </c>
      <c r="L289" s="6">
        <f t="shared" ca="1" si="44"/>
        <v>0</v>
      </c>
      <c r="M289" s="6">
        <f t="shared" ca="1" si="45"/>
        <v>0</v>
      </c>
      <c r="N289" s="20">
        <f t="shared" ca="1" si="46"/>
        <v>20.273972602739725</v>
      </c>
      <c r="O289" s="6"/>
    </row>
    <row r="290" spans="2:15" ht="13.15" customHeight="1" x14ac:dyDescent="0.25">
      <c r="B290" s="1"/>
      <c r="E290" s="6">
        <v>286</v>
      </c>
      <c r="F290" s="6">
        <f t="shared" ca="1" si="38"/>
        <v>100</v>
      </c>
      <c r="G290" s="6">
        <f t="shared" ca="1" si="39"/>
        <v>740</v>
      </c>
      <c r="H290" s="6">
        <f t="shared" ca="1" si="40"/>
        <v>640</v>
      </c>
      <c r="I290" s="6">
        <f t="shared" ca="1" si="41"/>
        <v>0</v>
      </c>
      <c r="J290" s="6">
        <f t="shared" ca="1" si="42"/>
        <v>1</v>
      </c>
      <c r="K290" s="6">
        <f t="shared" ca="1" si="43"/>
        <v>0</v>
      </c>
      <c r="L290" s="6">
        <f t="shared" ca="1" si="44"/>
        <v>0</v>
      </c>
      <c r="M290" s="6">
        <f t="shared" ca="1" si="45"/>
        <v>0</v>
      </c>
      <c r="N290" s="20">
        <f t="shared" ca="1" si="46"/>
        <v>17.534246575342465</v>
      </c>
      <c r="O290" s="6"/>
    </row>
    <row r="291" spans="2:15" ht="13.15" customHeight="1" x14ac:dyDescent="0.25">
      <c r="B291" s="1"/>
      <c r="E291" s="6">
        <v>287</v>
      </c>
      <c r="F291" s="6">
        <f t="shared" ca="1" si="38"/>
        <v>110</v>
      </c>
      <c r="G291" s="6">
        <f t="shared" ca="1" si="39"/>
        <v>640</v>
      </c>
      <c r="H291" s="6">
        <f t="shared" ca="1" si="40"/>
        <v>530</v>
      </c>
      <c r="I291" s="6">
        <f t="shared" ca="1" si="41"/>
        <v>0</v>
      </c>
      <c r="J291" s="6">
        <f t="shared" ca="1" si="42"/>
        <v>0</v>
      </c>
      <c r="K291" s="6">
        <f t="shared" ca="1" si="43"/>
        <v>0</v>
      </c>
      <c r="L291" s="6">
        <f t="shared" ca="1" si="44"/>
        <v>0</v>
      </c>
      <c r="M291" s="6">
        <f t="shared" ca="1" si="45"/>
        <v>0</v>
      </c>
      <c r="N291" s="20">
        <f t="shared" ca="1" si="46"/>
        <v>14.520547945205479</v>
      </c>
      <c r="O291" s="6"/>
    </row>
    <row r="292" spans="2:15" ht="13.15" customHeight="1" x14ac:dyDescent="0.25">
      <c r="B292" s="1"/>
      <c r="E292" s="6">
        <v>288</v>
      </c>
      <c r="F292" s="6">
        <f t="shared" ca="1" si="38"/>
        <v>110</v>
      </c>
      <c r="G292" s="6">
        <f t="shared" ca="1" si="39"/>
        <v>530</v>
      </c>
      <c r="H292" s="6">
        <f t="shared" ca="1" si="40"/>
        <v>420</v>
      </c>
      <c r="I292" s="6">
        <f t="shared" ca="1" si="41"/>
        <v>0</v>
      </c>
      <c r="J292" s="6">
        <f t="shared" ca="1" si="42"/>
        <v>0</v>
      </c>
      <c r="K292" s="6">
        <f t="shared" ca="1" si="43"/>
        <v>0</v>
      </c>
      <c r="L292" s="6">
        <f t="shared" ca="1" si="44"/>
        <v>0</v>
      </c>
      <c r="M292" s="6">
        <f t="shared" ca="1" si="45"/>
        <v>0</v>
      </c>
      <c r="N292" s="20">
        <f t="shared" ca="1" si="46"/>
        <v>11.506849315068493</v>
      </c>
      <c r="O292" s="6"/>
    </row>
    <row r="293" spans="2:15" ht="13.15" customHeight="1" x14ac:dyDescent="0.25">
      <c r="B293" s="1"/>
      <c r="E293" s="6">
        <v>289</v>
      </c>
      <c r="F293" s="6">
        <f t="shared" ca="1" si="38"/>
        <v>100</v>
      </c>
      <c r="G293" s="6">
        <f t="shared" ca="1" si="39"/>
        <v>420</v>
      </c>
      <c r="H293" s="6">
        <f t="shared" ca="1" si="40"/>
        <v>320</v>
      </c>
      <c r="I293" s="6">
        <f t="shared" ca="1" si="41"/>
        <v>0</v>
      </c>
      <c r="J293" s="6">
        <f t="shared" ca="1" si="42"/>
        <v>1</v>
      </c>
      <c r="K293" s="6">
        <f t="shared" ca="1" si="43"/>
        <v>0</v>
      </c>
      <c r="L293" s="6">
        <f t="shared" ca="1" si="44"/>
        <v>0</v>
      </c>
      <c r="M293" s="6">
        <f t="shared" ca="1" si="45"/>
        <v>0</v>
      </c>
      <c r="N293" s="20">
        <f t="shared" ca="1" si="46"/>
        <v>8.7671232876712324</v>
      </c>
      <c r="O293" s="6"/>
    </row>
    <row r="294" spans="2:15" ht="13.15" customHeight="1" x14ac:dyDescent="0.25">
      <c r="B294" s="1"/>
      <c r="E294" s="6">
        <v>290</v>
      </c>
      <c r="F294" s="6">
        <f t="shared" ca="1" si="38"/>
        <v>80</v>
      </c>
      <c r="G294" s="6">
        <f t="shared" ca="1" si="39"/>
        <v>320</v>
      </c>
      <c r="H294" s="6">
        <f t="shared" ca="1" si="40"/>
        <v>240</v>
      </c>
      <c r="I294" s="6">
        <f t="shared" ca="1" si="41"/>
        <v>0</v>
      </c>
      <c r="J294" s="6">
        <f t="shared" ca="1" si="42"/>
        <v>1</v>
      </c>
      <c r="K294" s="6">
        <f t="shared" ca="1" si="43"/>
        <v>0</v>
      </c>
      <c r="L294" s="6">
        <f t="shared" ca="1" si="44"/>
        <v>0</v>
      </c>
      <c r="M294" s="6">
        <f t="shared" ca="1" si="45"/>
        <v>0</v>
      </c>
      <c r="N294" s="20">
        <f t="shared" ca="1" si="46"/>
        <v>6.5753424657534243</v>
      </c>
      <c r="O294" s="6"/>
    </row>
    <row r="295" spans="2:15" ht="13.15" customHeight="1" x14ac:dyDescent="0.25">
      <c r="B295" s="1"/>
      <c r="E295" s="6">
        <v>291</v>
      </c>
      <c r="F295" s="6">
        <f t="shared" ca="1" si="38"/>
        <v>110</v>
      </c>
      <c r="G295" s="6">
        <f t="shared" ca="1" si="39"/>
        <v>240</v>
      </c>
      <c r="H295" s="6">
        <f t="shared" ca="1" si="40"/>
        <v>130</v>
      </c>
      <c r="I295" s="6">
        <f t="shared" ca="1" si="41"/>
        <v>0</v>
      </c>
      <c r="J295" s="6">
        <f t="shared" ca="1" si="42"/>
        <v>1</v>
      </c>
      <c r="K295" s="6">
        <f t="shared" ca="1" si="43"/>
        <v>0</v>
      </c>
      <c r="L295" s="6">
        <f t="shared" ca="1" si="44"/>
        <v>0</v>
      </c>
      <c r="M295" s="6">
        <f t="shared" ca="1" si="45"/>
        <v>0</v>
      </c>
      <c r="N295" s="20">
        <f t="shared" ca="1" si="46"/>
        <v>3.5616438356164384</v>
      </c>
      <c r="O295" s="6"/>
    </row>
    <row r="296" spans="2:15" ht="13.15" customHeight="1" x14ac:dyDescent="0.25">
      <c r="B296" s="1"/>
      <c r="E296" s="6">
        <v>292</v>
      </c>
      <c r="F296" s="6">
        <f t="shared" ca="1" si="38"/>
        <v>100</v>
      </c>
      <c r="G296" s="6">
        <f t="shared" ca="1" si="39"/>
        <v>130</v>
      </c>
      <c r="H296" s="6">
        <f t="shared" ca="1" si="40"/>
        <v>30</v>
      </c>
      <c r="I296" s="6">
        <f t="shared" ca="1" si="41"/>
        <v>1</v>
      </c>
      <c r="J296" s="6">
        <f t="shared" ca="1" si="42"/>
        <v>1</v>
      </c>
      <c r="K296" s="6">
        <f t="shared" ca="1" si="43"/>
        <v>0</v>
      </c>
      <c r="L296" s="6">
        <f t="shared" ca="1" si="44"/>
        <v>0</v>
      </c>
      <c r="M296" s="6">
        <f t="shared" ca="1" si="45"/>
        <v>200</v>
      </c>
      <c r="N296" s="20">
        <f t="shared" ca="1" si="46"/>
        <v>0.82191780821917804</v>
      </c>
      <c r="O296" s="6"/>
    </row>
    <row r="297" spans="2:15" ht="13.15" customHeight="1" x14ac:dyDescent="0.25">
      <c r="B297" s="1"/>
      <c r="E297" s="6">
        <v>293</v>
      </c>
      <c r="F297" s="6">
        <f t="shared" ca="1" si="38"/>
        <v>100</v>
      </c>
      <c r="G297" s="6">
        <f t="shared" ca="1" si="39"/>
        <v>30</v>
      </c>
      <c r="H297" s="6">
        <f t="shared" ca="1" si="40"/>
        <v>0</v>
      </c>
      <c r="I297" s="6">
        <f t="shared" ca="1" si="41"/>
        <v>1</v>
      </c>
      <c r="J297" s="6">
        <f t="shared" ca="1" si="42"/>
        <v>1</v>
      </c>
      <c r="K297" s="6">
        <f t="shared" ca="1" si="43"/>
        <v>70</v>
      </c>
      <c r="L297" s="6">
        <f t="shared" ca="1" si="44"/>
        <v>3500</v>
      </c>
      <c r="M297" s="6">
        <f t="shared" ca="1" si="45"/>
        <v>200</v>
      </c>
      <c r="N297" s="20">
        <f t="shared" ca="1" si="46"/>
        <v>0</v>
      </c>
      <c r="O297" s="6"/>
    </row>
    <row r="298" spans="2:15" ht="13.15" customHeight="1" x14ac:dyDescent="0.25">
      <c r="B298" s="1"/>
      <c r="E298" s="6">
        <v>294</v>
      </c>
      <c r="F298" s="6">
        <f t="shared" ca="1" si="38"/>
        <v>110</v>
      </c>
      <c r="G298" s="6">
        <f t="shared" ca="1" si="39"/>
        <v>1000</v>
      </c>
      <c r="H298" s="6">
        <f t="shared" ca="1" si="40"/>
        <v>890</v>
      </c>
      <c r="I298" s="6">
        <f t="shared" ca="1" si="41"/>
        <v>0</v>
      </c>
      <c r="J298" s="6">
        <f t="shared" ca="1" si="42"/>
        <v>0</v>
      </c>
      <c r="K298" s="6">
        <f t="shared" ca="1" si="43"/>
        <v>0</v>
      </c>
      <c r="L298" s="6">
        <f t="shared" ca="1" si="44"/>
        <v>0</v>
      </c>
      <c r="M298" s="6">
        <f t="shared" ca="1" si="45"/>
        <v>0</v>
      </c>
      <c r="N298" s="20">
        <f t="shared" ca="1" si="46"/>
        <v>24.383561643835616</v>
      </c>
      <c r="O298" s="6"/>
    </row>
    <row r="299" spans="2:15" ht="13.15" customHeight="1" x14ac:dyDescent="0.25">
      <c r="B299" s="1"/>
      <c r="E299" s="6">
        <v>295</v>
      </c>
      <c r="F299" s="6">
        <f t="shared" ca="1" si="38"/>
        <v>110</v>
      </c>
      <c r="G299" s="6">
        <f t="shared" ca="1" si="39"/>
        <v>1890</v>
      </c>
      <c r="H299" s="6">
        <f t="shared" ca="1" si="40"/>
        <v>1780</v>
      </c>
      <c r="I299" s="6">
        <f t="shared" ca="1" si="41"/>
        <v>0</v>
      </c>
      <c r="J299" s="6">
        <f t="shared" ca="1" si="42"/>
        <v>1</v>
      </c>
      <c r="K299" s="6">
        <f t="shared" ca="1" si="43"/>
        <v>0</v>
      </c>
      <c r="L299" s="6">
        <f t="shared" ca="1" si="44"/>
        <v>0</v>
      </c>
      <c r="M299" s="6">
        <f t="shared" ca="1" si="45"/>
        <v>0</v>
      </c>
      <c r="N299" s="20">
        <f t="shared" ca="1" si="46"/>
        <v>48.767123287671232</v>
      </c>
      <c r="O299" s="6"/>
    </row>
    <row r="300" spans="2:15" ht="13.15" customHeight="1" x14ac:dyDescent="0.25">
      <c r="B300" s="1"/>
      <c r="E300" s="6">
        <v>296</v>
      </c>
      <c r="F300" s="6">
        <f t="shared" ca="1" si="38"/>
        <v>110</v>
      </c>
      <c r="G300" s="6">
        <f t="shared" ca="1" si="39"/>
        <v>1780</v>
      </c>
      <c r="H300" s="6">
        <f t="shared" ca="1" si="40"/>
        <v>1670</v>
      </c>
      <c r="I300" s="6">
        <f t="shared" ca="1" si="41"/>
        <v>0</v>
      </c>
      <c r="J300" s="6">
        <f t="shared" ca="1" si="42"/>
        <v>1</v>
      </c>
      <c r="K300" s="6">
        <f t="shared" ca="1" si="43"/>
        <v>0</v>
      </c>
      <c r="L300" s="6">
        <f t="shared" ca="1" si="44"/>
        <v>0</v>
      </c>
      <c r="M300" s="6">
        <f t="shared" ca="1" si="45"/>
        <v>0</v>
      </c>
      <c r="N300" s="20">
        <f t="shared" ca="1" si="46"/>
        <v>45.753424657534246</v>
      </c>
      <c r="O300" s="6"/>
    </row>
    <row r="301" spans="2:15" ht="13.15" customHeight="1" x14ac:dyDescent="0.25">
      <c r="B301" s="1"/>
      <c r="E301" s="6">
        <v>297</v>
      </c>
      <c r="F301" s="6">
        <f t="shared" ca="1" si="38"/>
        <v>100</v>
      </c>
      <c r="G301" s="6">
        <f t="shared" ca="1" si="39"/>
        <v>1670</v>
      </c>
      <c r="H301" s="6">
        <f t="shared" ca="1" si="40"/>
        <v>1570</v>
      </c>
      <c r="I301" s="6">
        <f t="shared" ca="1" si="41"/>
        <v>0</v>
      </c>
      <c r="J301" s="6">
        <f t="shared" ca="1" si="42"/>
        <v>0</v>
      </c>
      <c r="K301" s="6">
        <f t="shared" ca="1" si="43"/>
        <v>0</v>
      </c>
      <c r="L301" s="6">
        <f t="shared" ca="1" si="44"/>
        <v>0</v>
      </c>
      <c r="M301" s="6">
        <f t="shared" ca="1" si="45"/>
        <v>0</v>
      </c>
      <c r="N301" s="20">
        <f t="shared" ca="1" si="46"/>
        <v>43.013698630136986</v>
      </c>
      <c r="O301" s="6"/>
    </row>
    <row r="302" spans="2:15" ht="13.15" customHeight="1" x14ac:dyDescent="0.25">
      <c r="B302" s="1"/>
      <c r="E302" s="6">
        <v>298</v>
      </c>
      <c r="F302" s="6">
        <f t="shared" ca="1" si="38"/>
        <v>80</v>
      </c>
      <c r="G302" s="6">
        <f t="shared" ca="1" si="39"/>
        <v>1570</v>
      </c>
      <c r="H302" s="6">
        <f t="shared" ca="1" si="40"/>
        <v>1490</v>
      </c>
      <c r="I302" s="6">
        <f t="shared" ca="1" si="41"/>
        <v>0</v>
      </c>
      <c r="J302" s="6">
        <f t="shared" ca="1" si="42"/>
        <v>0</v>
      </c>
      <c r="K302" s="6">
        <f t="shared" ca="1" si="43"/>
        <v>0</v>
      </c>
      <c r="L302" s="6">
        <f t="shared" ca="1" si="44"/>
        <v>0</v>
      </c>
      <c r="M302" s="6">
        <f t="shared" ca="1" si="45"/>
        <v>0</v>
      </c>
      <c r="N302" s="20">
        <f t="shared" ca="1" si="46"/>
        <v>40.821917808219176</v>
      </c>
      <c r="O302" s="6"/>
    </row>
    <row r="303" spans="2:15" ht="13.15" customHeight="1" x14ac:dyDescent="0.25">
      <c r="B303" s="1"/>
      <c r="E303" s="6">
        <v>299</v>
      </c>
      <c r="F303" s="6">
        <f t="shared" ca="1" si="38"/>
        <v>90</v>
      </c>
      <c r="G303" s="6">
        <f t="shared" ca="1" si="39"/>
        <v>1490</v>
      </c>
      <c r="H303" s="6">
        <f t="shared" ca="1" si="40"/>
        <v>1400</v>
      </c>
      <c r="I303" s="6">
        <f t="shared" ca="1" si="41"/>
        <v>0</v>
      </c>
      <c r="J303" s="6">
        <f t="shared" ca="1" si="42"/>
        <v>0</v>
      </c>
      <c r="K303" s="6">
        <f t="shared" ca="1" si="43"/>
        <v>0</v>
      </c>
      <c r="L303" s="6">
        <f t="shared" ca="1" si="44"/>
        <v>0</v>
      </c>
      <c r="M303" s="6">
        <f t="shared" ca="1" si="45"/>
        <v>0</v>
      </c>
      <c r="N303" s="20">
        <f t="shared" ca="1" si="46"/>
        <v>38.356164383561641</v>
      </c>
      <c r="O303" s="6"/>
    </row>
    <row r="304" spans="2:15" ht="13.15" customHeight="1" x14ac:dyDescent="0.25">
      <c r="B304" s="1"/>
      <c r="E304" s="6">
        <v>300</v>
      </c>
      <c r="F304" s="6">
        <f t="shared" ca="1" si="38"/>
        <v>110</v>
      </c>
      <c r="G304" s="6">
        <f t="shared" ca="1" si="39"/>
        <v>1400</v>
      </c>
      <c r="H304" s="6">
        <f t="shared" ca="1" si="40"/>
        <v>1290</v>
      </c>
      <c r="I304" s="6">
        <f t="shared" ca="1" si="41"/>
        <v>0</v>
      </c>
      <c r="J304" s="6">
        <f t="shared" ca="1" si="42"/>
        <v>1</v>
      </c>
      <c r="K304" s="6">
        <f t="shared" ca="1" si="43"/>
        <v>0</v>
      </c>
      <c r="L304" s="6">
        <f t="shared" ca="1" si="44"/>
        <v>0</v>
      </c>
      <c r="M304" s="6">
        <f t="shared" ca="1" si="45"/>
        <v>0</v>
      </c>
      <c r="N304" s="20">
        <f t="shared" ca="1" si="46"/>
        <v>35.342465753424655</v>
      </c>
      <c r="O304" s="6"/>
    </row>
    <row r="305" spans="2:15" ht="13.15" customHeight="1" x14ac:dyDescent="0.25">
      <c r="B305" s="1"/>
      <c r="E305" s="6">
        <v>301</v>
      </c>
      <c r="F305" s="6">
        <f t="shared" ca="1" si="38"/>
        <v>90</v>
      </c>
      <c r="G305" s="6">
        <f t="shared" ca="1" si="39"/>
        <v>1290</v>
      </c>
      <c r="H305" s="6">
        <f t="shared" ca="1" si="40"/>
        <v>1200</v>
      </c>
      <c r="I305" s="6">
        <f t="shared" ca="1" si="41"/>
        <v>0</v>
      </c>
      <c r="J305" s="6">
        <f t="shared" ca="1" si="42"/>
        <v>1</v>
      </c>
      <c r="K305" s="6">
        <f t="shared" ca="1" si="43"/>
        <v>0</v>
      </c>
      <c r="L305" s="6">
        <f t="shared" ca="1" si="44"/>
        <v>0</v>
      </c>
      <c r="M305" s="6">
        <f t="shared" ca="1" si="45"/>
        <v>0</v>
      </c>
      <c r="N305" s="20">
        <f t="shared" ca="1" si="46"/>
        <v>32.87671232876712</v>
      </c>
      <c r="O305" s="6"/>
    </row>
    <row r="306" spans="2:15" ht="13.15" customHeight="1" x14ac:dyDescent="0.25">
      <c r="B306" s="1"/>
      <c r="E306" s="6">
        <v>302</v>
      </c>
      <c r="F306" s="6">
        <f t="shared" ca="1" si="38"/>
        <v>100</v>
      </c>
      <c r="G306" s="6">
        <f t="shared" ca="1" si="39"/>
        <v>1200</v>
      </c>
      <c r="H306" s="6">
        <f t="shared" ca="1" si="40"/>
        <v>1100</v>
      </c>
      <c r="I306" s="6">
        <f t="shared" ca="1" si="41"/>
        <v>0</v>
      </c>
      <c r="J306" s="6">
        <f t="shared" ca="1" si="42"/>
        <v>0</v>
      </c>
      <c r="K306" s="6">
        <f t="shared" ca="1" si="43"/>
        <v>0</v>
      </c>
      <c r="L306" s="6">
        <f t="shared" ca="1" si="44"/>
        <v>0</v>
      </c>
      <c r="M306" s="6">
        <f t="shared" ca="1" si="45"/>
        <v>0</v>
      </c>
      <c r="N306" s="20">
        <f t="shared" ca="1" si="46"/>
        <v>30.136986301369863</v>
      </c>
      <c r="O306" s="6"/>
    </row>
    <row r="307" spans="2:15" ht="13.15" customHeight="1" x14ac:dyDescent="0.25">
      <c r="B307" s="1"/>
      <c r="E307" s="6">
        <v>303</v>
      </c>
      <c r="F307" s="6">
        <f t="shared" ca="1" si="38"/>
        <v>90</v>
      </c>
      <c r="G307" s="6">
        <f t="shared" ca="1" si="39"/>
        <v>1100</v>
      </c>
      <c r="H307" s="6">
        <f t="shared" ca="1" si="40"/>
        <v>1010</v>
      </c>
      <c r="I307" s="6">
        <f t="shared" ca="1" si="41"/>
        <v>0</v>
      </c>
      <c r="J307" s="6">
        <f t="shared" ca="1" si="42"/>
        <v>0</v>
      </c>
      <c r="K307" s="6">
        <f t="shared" ca="1" si="43"/>
        <v>0</v>
      </c>
      <c r="L307" s="6">
        <f t="shared" ca="1" si="44"/>
        <v>0</v>
      </c>
      <c r="M307" s="6">
        <f t="shared" ca="1" si="45"/>
        <v>0</v>
      </c>
      <c r="N307" s="20">
        <f t="shared" ca="1" si="46"/>
        <v>27.671232876712327</v>
      </c>
      <c r="O307" s="6"/>
    </row>
    <row r="308" spans="2:15" ht="13.15" customHeight="1" x14ac:dyDescent="0.25">
      <c r="B308" s="1"/>
      <c r="E308" s="6">
        <v>304</v>
      </c>
      <c r="F308" s="6">
        <f t="shared" ca="1" si="38"/>
        <v>100</v>
      </c>
      <c r="G308" s="6">
        <f t="shared" ca="1" si="39"/>
        <v>1010</v>
      </c>
      <c r="H308" s="6">
        <f t="shared" ca="1" si="40"/>
        <v>910</v>
      </c>
      <c r="I308" s="6">
        <f t="shared" ca="1" si="41"/>
        <v>0</v>
      </c>
      <c r="J308" s="6">
        <f t="shared" ca="1" si="42"/>
        <v>0</v>
      </c>
      <c r="K308" s="6">
        <f t="shared" ca="1" si="43"/>
        <v>0</v>
      </c>
      <c r="L308" s="6">
        <f t="shared" ca="1" si="44"/>
        <v>0</v>
      </c>
      <c r="M308" s="6">
        <f t="shared" ca="1" si="45"/>
        <v>0</v>
      </c>
      <c r="N308" s="20">
        <f t="shared" ca="1" si="46"/>
        <v>24.931506849315067</v>
      </c>
      <c r="O308" s="6"/>
    </row>
    <row r="309" spans="2:15" ht="13.15" customHeight="1" x14ac:dyDescent="0.25">
      <c r="B309" s="1"/>
      <c r="E309" s="6">
        <v>305</v>
      </c>
      <c r="F309" s="6">
        <f t="shared" ca="1" si="38"/>
        <v>80</v>
      </c>
      <c r="G309" s="6">
        <f t="shared" ca="1" si="39"/>
        <v>910</v>
      </c>
      <c r="H309" s="6">
        <f t="shared" ca="1" si="40"/>
        <v>830</v>
      </c>
      <c r="I309" s="6">
        <f t="shared" ca="1" si="41"/>
        <v>0</v>
      </c>
      <c r="J309" s="6">
        <f t="shared" ca="1" si="42"/>
        <v>1</v>
      </c>
      <c r="K309" s="6">
        <f t="shared" ca="1" si="43"/>
        <v>0</v>
      </c>
      <c r="L309" s="6">
        <f t="shared" ca="1" si="44"/>
        <v>0</v>
      </c>
      <c r="M309" s="6">
        <f t="shared" ca="1" si="45"/>
        <v>0</v>
      </c>
      <c r="N309" s="20">
        <f t="shared" ca="1" si="46"/>
        <v>22.739726027397261</v>
      </c>
      <c r="O309" s="6"/>
    </row>
    <row r="310" spans="2:15" ht="13.15" customHeight="1" x14ac:dyDescent="0.25">
      <c r="B310" s="1"/>
      <c r="E310" s="6">
        <v>306</v>
      </c>
      <c r="F310" s="6">
        <f t="shared" ca="1" si="38"/>
        <v>120</v>
      </c>
      <c r="G310" s="6">
        <f t="shared" ca="1" si="39"/>
        <v>830</v>
      </c>
      <c r="H310" s="6">
        <f t="shared" ca="1" si="40"/>
        <v>710</v>
      </c>
      <c r="I310" s="6">
        <f t="shared" ca="1" si="41"/>
        <v>0</v>
      </c>
      <c r="J310" s="6">
        <f t="shared" ca="1" si="42"/>
        <v>0</v>
      </c>
      <c r="K310" s="6">
        <f t="shared" ca="1" si="43"/>
        <v>0</v>
      </c>
      <c r="L310" s="6">
        <f t="shared" ca="1" si="44"/>
        <v>0</v>
      </c>
      <c r="M310" s="6">
        <f t="shared" ca="1" si="45"/>
        <v>0</v>
      </c>
      <c r="N310" s="20">
        <f t="shared" ca="1" si="46"/>
        <v>19.452054794520546</v>
      </c>
      <c r="O310" s="6"/>
    </row>
    <row r="311" spans="2:15" ht="13.15" customHeight="1" x14ac:dyDescent="0.25">
      <c r="B311" s="1"/>
      <c r="E311" s="6">
        <v>307</v>
      </c>
      <c r="F311" s="6">
        <f t="shared" ca="1" si="38"/>
        <v>100</v>
      </c>
      <c r="G311" s="6">
        <f t="shared" ca="1" si="39"/>
        <v>710</v>
      </c>
      <c r="H311" s="6">
        <f t="shared" ca="1" si="40"/>
        <v>610</v>
      </c>
      <c r="I311" s="6">
        <f t="shared" ca="1" si="41"/>
        <v>0</v>
      </c>
      <c r="J311" s="6">
        <f t="shared" ca="1" si="42"/>
        <v>1</v>
      </c>
      <c r="K311" s="6">
        <f t="shared" ca="1" si="43"/>
        <v>0</v>
      </c>
      <c r="L311" s="6">
        <f t="shared" ca="1" si="44"/>
        <v>0</v>
      </c>
      <c r="M311" s="6">
        <f t="shared" ca="1" si="45"/>
        <v>0</v>
      </c>
      <c r="N311" s="20">
        <f t="shared" ca="1" si="46"/>
        <v>16.712328767123285</v>
      </c>
      <c r="O311" s="6"/>
    </row>
    <row r="312" spans="2:15" ht="13.15" customHeight="1" x14ac:dyDescent="0.25">
      <c r="B312" s="1"/>
      <c r="E312" s="6">
        <v>308</v>
      </c>
      <c r="F312" s="6">
        <f t="shared" ca="1" si="38"/>
        <v>80</v>
      </c>
      <c r="G312" s="6">
        <f t="shared" ca="1" si="39"/>
        <v>610</v>
      </c>
      <c r="H312" s="6">
        <f t="shared" ca="1" si="40"/>
        <v>530</v>
      </c>
      <c r="I312" s="6">
        <f t="shared" ca="1" si="41"/>
        <v>0</v>
      </c>
      <c r="J312" s="6">
        <f t="shared" ca="1" si="42"/>
        <v>0</v>
      </c>
      <c r="K312" s="6">
        <f t="shared" ca="1" si="43"/>
        <v>0</v>
      </c>
      <c r="L312" s="6">
        <f t="shared" ca="1" si="44"/>
        <v>0</v>
      </c>
      <c r="M312" s="6">
        <f t="shared" ca="1" si="45"/>
        <v>0</v>
      </c>
      <c r="N312" s="20">
        <f t="shared" ca="1" si="46"/>
        <v>14.520547945205479</v>
      </c>
      <c r="O312" s="6"/>
    </row>
    <row r="313" spans="2:15" ht="13.15" customHeight="1" x14ac:dyDescent="0.25">
      <c r="B313" s="1"/>
      <c r="E313" s="6">
        <v>309</v>
      </c>
      <c r="F313" s="6">
        <f t="shared" ca="1" si="38"/>
        <v>120</v>
      </c>
      <c r="G313" s="6">
        <f t="shared" ca="1" si="39"/>
        <v>530</v>
      </c>
      <c r="H313" s="6">
        <f t="shared" ca="1" si="40"/>
        <v>410</v>
      </c>
      <c r="I313" s="6">
        <f t="shared" ca="1" si="41"/>
        <v>0</v>
      </c>
      <c r="J313" s="6">
        <f t="shared" ca="1" si="42"/>
        <v>0</v>
      </c>
      <c r="K313" s="6">
        <f t="shared" ca="1" si="43"/>
        <v>0</v>
      </c>
      <c r="L313" s="6">
        <f t="shared" ca="1" si="44"/>
        <v>0</v>
      </c>
      <c r="M313" s="6">
        <f t="shared" ca="1" si="45"/>
        <v>0</v>
      </c>
      <c r="N313" s="20">
        <f t="shared" ca="1" si="46"/>
        <v>11.232876712328766</v>
      </c>
      <c r="O313" s="6"/>
    </row>
    <row r="314" spans="2:15" ht="13.15" customHeight="1" x14ac:dyDescent="0.25">
      <c r="B314" s="1"/>
      <c r="E314" s="6">
        <v>310</v>
      </c>
      <c r="F314" s="6">
        <f t="shared" ca="1" si="38"/>
        <v>120</v>
      </c>
      <c r="G314" s="6">
        <f t="shared" ca="1" si="39"/>
        <v>410</v>
      </c>
      <c r="H314" s="6">
        <f t="shared" ca="1" si="40"/>
        <v>290</v>
      </c>
      <c r="I314" s="6">
        <f t="shared" ca="1" si="41"/>
        <v>0</v>
      </c>
      <c r="J314" s="6">
        <f t="shared" ca="1" si="42"/>
        <v>0</v>
      </c>
      <c r="K314" s="6">
        <f t="shared" ca="1" si="43"/>
        <v>0</v>
      </c>
      <c r="L314" s="6">
        <f t="shared" ca="1" si="44"/>
        <v>0</v>
      </c>
      <c r="M314" s="6">
        <f t="shared" ca="1" si="45"/>
        <v>0</v>
      </c>
      <c r="N314" s="20">
        <f t="shared" ca="1" si="46"/>
        <v>7.9452054794520546</v>
      </c>
      <c r="O314" s="6"/>
    </row>
    <row r="315" spans="2:15" ht="13.15" customHeight="1" x14ac:dyDescent="0.25">
      <c r="B315" s="1"/>
      <c r="E315" s="6">
        <v>311</v>
      </c>
      <c r="F315" s="6">
        <f t="shared" ca="1" si="38"/>
        <v>110</v>
      </c>
      <c r="G315" s="6">
        <f t="shared" ca="1" si="39"/>
        <v>290</v>
      </c>
      <c r="H315" s="6">
        <f t="shared" ca="1" si="40"/>
        <v>180</v>
      </c>
      <c r="I315" s="6">
        <f t="shared" ca="1" si="41"/>
        <v>0</v>
      </c>
      <c r="J315" s="6">
        <f t="shared" ca="1" si="42"/>
        <v>0</v>
      </c>
      <c r="K315" s="6">
        <f t="shared" ca="1" si="43"/>
        <v>0</v>
      </c>
      <c r="L315" s="6">
        <f t="shared" ca="1" si="44"/>
        <v>0</v>
      </c>
      <c r="M315" s="6">
        <f t="shared" ca="1" si="45"/>
        <v>0</v>
      </c>
      <c r="N315" s="20">
        <f t="shared" ca="1" si="46"/>
        <v>4.9315068493150687</v>
      </c>
      <c r="O315" s="6"/>
    </row>
    <row r="316" spans="2:15" ht="13.15" customHeight="1" x14ac:dyDescent="0.25">
      <c r="B316" s="1"/>
      <c r="E316" s="6">
        <v>312</v>
      </c>
      <c r="F316" s="6">
        <f t="shared" ca="1" si="38"/>
        <v>90</v>
      </c>
      <c r="G316" s="6">
        <f t="shared" ca="1" si="39"/>
        <v>180</v>
      </c>
      <c r="H316" s="6">
        <f t="shared" ca="1" si="40"/>
        <v>90</v>
      </c>
      <c r="I316" s="6">
        <f t="shared" ca="1" si="41"/>
        <v>1</v>
      </c>
      <c r="J316" s="6">
        <f t="shared" ca="1" si="42"/>
        <v>0</v>
      </c>
      <c r="K316" s="6">
        <f t="shared" ca="1" si="43"/>
        <v>0</v>
      </c>
      <c r="L316" s="6">
        <f t="shared" ca="1" si="44"/>
        <v>0</v>
      </c>
      <c r="M316" s="6">
        <f t="shared" ca="1" si="45"/>
        <v>200</v>
      </c>
      <c r="N316" s="20">
        <f t="shared" ca="1" si="46"/>
        <v>2.4657534246575343</v>
      </c>
      <c r="O316" s="6"/>
    </row>
    <row r="317" spans="2:15" ht="13.15" customHeight="1" x14ac:dyDescent="0.25">
      <c r="B317" s="1"/>
      <c r="E317" s="6">
        <v>313</v>
      </c>
      <c r="F317" s="6">
        <f t="shared" ca="1" si="38"/>
        <v>90</v>
      </c>
      <c r="G317" s="6">
        <f t="shared" ca="1" si="39"/>
        <v>1090</v>
      </c>
      <c r="H317" s="6">
        <f t="shared" ca="1" si="40"/>
        <v>1000</v>
      </c>
      <c r="I317" s="6">
        <f t="shared" ca="1" si="41"/>
        <v>0</v>
      </c>
      <c r="J317" s="6">
        <f t="shared" ca="1" si="42"/>
        <v>0</v>
      </c>
      <c r="K317" s="6">
        <f t="shared" ca="1" si="43"/>
        <v>0</v>
      </c>
      <c r="L317" s="6">
        <f t="shared" ca="1" si="44"/>
        <v>0</v>
      </c>
      <c r="M317" s="6">
        <f t="shared" ca="1" si="45"/>
        <v>0</v>
      </c>
      <c r="N317" s="20">
        <f t="shared" ca="1" si="46"/>
        <v>27.397260273972602</v>
      </c>
      <c r="O317" s="6"/>
    </row>
    <row r="318" spans="2:15" ht="13.15" customHeight="1" x14ac:dyDescent="0.25">
      <c r="B318" s="1"/>
      <c r="E318" s="6">
        <v>314</v>
      </c>
      <c r="F318" s="6">
        <f t="shared" ca="1" si="38"/>
        <v>90</v>
      </c>
      <c r="G318" s="6">
        <f t="shared" ca="1" si="39"/>
        <v>1000</v>
      </c>
      <c r="H318" s="6">
        <f t="shared" ca="1" si="40"/>
        <v>910</v>
      </c>
      <c r="I318" s="6">
        <f t="shared" ca="1" si="41"/>
        <v>0</v>
      </c>
      <c r="J318" s="6">
        <f t="shared" ca="1" si="42"/>
        <v>1</v>
      </c>
      <c r="K318" s="6">
        <f t="shared" ca="1" si="43"/>
        <v>0</v>
      </c>
      <c r="L318" s="6">
        <f t="shared" ca="1" si="44"/>
        <v>0</v>
      </c>
      <c r="M318" s="6">
        <f t="shared" ca="1" si="45"/>
        <v>0</v>
      </c>
      <c r="N318" s="20">
        <f t="shared" ca="1" si="46"/>
        <v>24.931506849315067</v>
      </c>
      <c r="O318" s="6"/>
    </row>
    <row r="319" spans="2:15" ht="13.15" customHeight="1" x14ac:dyDescent="0.25">
      <c r="B319" s="1"/>
      <c r="E319" s="6">
        <v>315</v>
      </c>
      <c r="F319" s="6">
        <f t="shared" ca="1" si="38"/>
        <v>110</v>
      </c>
      <c r="G319" s="6">
        <f t="shared" ca="1" si="39"/>
        <v>910</v>
      </c>
      <c r="H319" s="6">
        <f t="shared" ca="1" si="40"/>
        <v>800</v>
      </c>
      <c r="I319" s="6">
        <f t="shared" ca="1" si="41"/>
        <v>0</v>
      </c>
      <c r="J319" s="6">
        <f t="shared" ca="1" si="42"/>
        <v>0</v>
      </c>
      <c r="K319" s="6">
        <f t="shared" ca="1" si="43"/>
        <v>0</v>
      </c>
      <c r="L319" s="6">
        <f t="shared" ca="1" si="44"/>
        <v>0</v>
      </c>
      <c r="M319" s="6">
        <f t="shared" ca="1" si="45"/>
        <v>0</v>
      </c>
      <c r="N319" s="20">
        <f t="shared" ca="1" si="46"/>
        <v>21.917808219178081</v>
      </c>
      <c r="O319" s="6"/>
    </row>
    <row r="320" spans="2:15" ht="13.15" customHeight="1" x14ac:dyDescent="0.25">
      <c r="B320" s="1"/>
      <c r="E320" s="6">
        <v>316</v>
      </c>
      <c r="F320" s="6">
        <f t="shared" ca="1" si="38"/>
        <v>120</v>
      </c>
      <c r="G320" s="6">
        <f t="shared" ca="1" si="39"/>
        <v>800</v>
      </c>
      <c r="H320" s="6">
        <f t="shared" ca="1" si="40"/>
        <v>680</v>
      </c>
      <c r="I320" s="6">
        <f t="shared" ca="1" si="41"/>
        <v>0</v>
      </c>
      <c r="J320" s="6">
        <f t="shared" ca="1" si="42"/>
        <v>0</v>
      </c>
      <c r="K320" s="6">
        <f t="shared" ca="1" si="43"/>
        <v>0</v>
      </c>
      <c r="L320" s="6">
        <f t="shared" ca="1" si="44"/>
        <v>0</v>
      </c>
      <c r="M320" s="6">
        <f t="shared" ca="1" si="45"/>
        <v>0</v>
      </c>
      <c r="N320" s="20">
        <f t="shared" ca="1" si="46"/>
        <v>18.63013698630137</v>
      </c>
      <c r="O320" s="6"/>
    </row>
    <row r="321" spans="2:15" ht="13.15" customHeight="1" x14ac:dyDescent="0.25">
      <c r="B321" s="1"/>
      <c r="E321" s="6">
        <v>317</v>
      </c>
      <c r="F321" s="6">
        <f t="shared" ca="1" si="38"/>
        <v>90</v>
      </c>
      <c r="G321" s="6">
        <f t="shared" ca="1" si="39"/>
        <v>680</v>
      </c>
      <c r="H321" s="6">
        <f t="shared" ca="1" si="40"/>
        <v>590</v>
      </c>
      <c r="I321" s="6">
        <f t="shared" ca="1" si="41"/>
        <v>0</v>
      </c>
      <c r="J321" s="6">
        <f t="shared" ca="1" si="42"/>
        <v>1</v>
      </c>
      <c r="K321" s="6">
        <f t="shared" ca="1" si="43"/>
        <v>0</v>
      </c>
      <c r="L321" s="6">
        <f t="shared" ca="1" si="44"/>
        <v>0</v>
      </c>
      <c r="M321" s="6">
        <f t="shared" ca="1" si="45"/>
        <v>0</v>
      </c>
      <c r="N321" s="20">
        <f t="shared" ca="1" si="46"/>
        <v>16.164383561643834</v>
      </c>
      <c r="O321" s="6"/>
    </row>
    <row r="322" spans="2:15" ht="13.15" customHeight="1" x14ac:dyDescent="0.25">
      <c r="B322" s="1"/>
      <c r="E322" s="6">
        <v>318</v>
      </c>
      <c r="F322" s="6">
        <f t="shared" ca="1" si="38"/>
        <v>120</v>
      </c>
      <c r="G322" s="6">
        <f t="shared" ca="1" si="39"/>
        <v>590</v>
      </c>
      <c r="H322" s="6">
        <f t="shared" ca="1" si="40"/>
        <v>470</v>
      </c>
      <c r="I322" s="6">
        <f t="shared" ca="1" si="41"/>
        <v>0</v>
      </c>
      <c r="J322" s="6">
        <f t="shared" ca="1" si="42"/>
        <v>0</v>
      </c>
      <c r="K322" s="6">
        <f t="shared" ca="1" si="43"/>
        <v>0</v>
      </c>
      <c r="L322" s="6">
        <f t="shared" ca="1" si="44"/>
        <v>0</v>
      </c>
      <c r="M322" s="6">
        <f t="shared" ca="1" si="45"/>
        <v>0</v>
      </c>
      <c r="N322" s="20">
        <f t="shared" ca="1" si="46"/>
        <v>12.876712328767123</v>
      </c>
      <c r="O322" s="6"/>
    </row>
    <row r="323" spans="2:15" ht="13.15" customHeight="1" x14ac:dyDescent="0.25">
      <c r="B323" s="1"/>
      <c r="E323" s="6">
        <v>319</v>
      </c>
      <c r="F323" s="6">
        <f t="shared" ca="1" si="38"/>
        <v>120</v>
      </c>
      <c r="G323" s="6">
        <f t="shared" ca="1" si="39"/>
        <v>470</v>
      </c>
      <c r="H323" s="6">
        <f t="shared" ca="1" si="40"/>
        <v>350</v>
      </c>
      <c r="I323" s="6">
        <f t="shared" ca="1" si="41"/>
        <v>0</v>
      </c>
      <c r="J323" s="6">
        <f t="shared" ca="1" si="42"/>
        <v>1</v>
      </c>
      <c r="K323" s="6">
        <f t="shared" ca="1" si="43"/>
        <v>0</v>
      </c>
      <c r="L323" s="6">
        <f t="shared" ca="1" si="44"/>
        <v>0</v>
      </c>
      <c r="M323" s="6">
        <f t="shared" ca="1" si="45"/>
        <v>0</v>
      </c>
      <c r="N323" s="20">
        <f t="shared" ca="1" si="46"/>
        <v>9.5890410958904102</v>
      </c>
      <c r="O323" s="6"/>
    </row>
    <row r="324" spans="2:15" ht="13.15" customHeight="1" x14ac:dyDescent="0.25">
      <c r="B324" s="1"/>
      <c r="E324" s="6">
        <v>320</v>
      </c>
      <c r="F324" s="6">
        <f t="shared" ca="1" si="38"/>
        <v>100</v>
      </c>
      <c r="G324" s="6">
        <f t="shared" ca="1" si="39"/>
        <v>350</v>
      </c>
      <c r="H324" s="6">
        <f t="shared" ca="1" si="40"/>
        <v>250</v>
      </c>
      <c r="I324" s="6">
        <f t="shared" ca="1" si="41"/>
        <v>0</v>
      </c>
      <c r="J324" s="6">
        <f t="shared" ca="1" si="42"/>
        <v>1</v>
      </c>
      <c r="K324" s="6">
        <f t="shared" ca="1" si="43"/>
        <v>0</v>
      </c>
      <c r="L324" s="6">
        <f t="shared" ca="1" si="44"/>
        <v>0</v>
      </c>
      <c r="M324" s="6">
        <f t="shared" ca="1" si="45"/>
        <v>0</v>
      </c>
      <c r="N324" s="20">
        <f t="shared" ca="1" si="46"/>
        <v>6.8493150684931505</v>
      </c>
      <c r="O324" s="6"/>
    </row>
    <row r="325" spans="2:15" ht="13.15" customHeight="1" x14ac:dyDescent="0.25">
      <c r="B325" s="1"/>
      <c r="E325" s="6">
        <v>321</v>
      </c>
      <c r="F325" s="6">
        <f t="shared" ca="1" si="38"/>
        <v>80</v>
      </c>
      <c r="G325" s="6">
        <f t="shared" ca="1" si="39"/>
        <v>250</v>
      </c>
      <c r="H325" s="6">
        <f t="shared" ca="1" si="40"/>
        <v>170</v>
      </c>
      <c r="I325" s="6">
        <f t="shared" ca="1" si="41"/>
        <v>0</v>
      </c>
      <c r="J325" s="6">
        <f t="shared" ca="1" si="42"/>
        <v>1</v>
      </c>
      <c r="K325" s="6">
        <f t="shared" ca="1" si="43"/>
        <v>0</v>
      </c>
      <c r="L325" s="6">
        <f t="shared" ca="1" si="44"/>
        <v>0</v>
      </c>
      <c r="M325" s="6">
        <f t="shared" ca="1" si="45"/>
        <v>0</v>
      </c>
      <c r="N325" s="20">
        <f t="shared" ca="1" si="46"/>
        <v>4.6575342465753424</v>
      </c>
      <c r="O325" s="6"/>
    </row>
    <row r="326" spans="2:15" ht="13.15" customHeight="1" x14ac:dyDescent="0.25">
      <c r="B326" s="1"/>
      <c r="E326" s="6">
        <v>322</v>
      </c>
      <c r="F326" s="6">
        <f t="shared" ref="F326:F369" ca="1" si="47">INDEX($T$17:$T$21,MATCH(RAND(),$V$17:$V$22,1))</f>
        <v>100</v>
      </c>
      <c r="G326" s="6">
        <f t="shared" ca="1" si="39"/>
        <v>170</v>
      </c>
      <c r="H326" s="6">
        <f t="shared" ca="1" si="40"/>
        <v>70</v>
      </c>
      <c r="I326" s="6">
        <f t="shared" ca="1" si="41"/>
        <v>1</v>
      </c>
      <c r="J326" s="6">
        <f t="shared" ca="1" si="42"/>
        <v>0</v>
      </c>
      <c r="K326" s="6">
        <f t="shared" ca="1" si="43"/>
        <v>0</v>
      </c>
      <c r="L326" s="6">
        <f t="shared" ca="1" si="44"/>
        <v>0</v>
      </c>
      <c r="M326" s="6">
        <f t="shared" ca="1" si="45"/>
        <v>200</v>
      </c>
      <c r="N326" s="20">
        <f t="shared" ca="1" si="46"/>
        <v>1.9178082191780821</v>
      </c>
      <c r="O326" s="6"/>
    </row>
    <row r="327" spans="2:15" ht="13.15" customHeight="1" x14ac:dyDescent="0.25">
      <c r="B327" s="1"/>
      <c r="E327" s="6">
        <v>323</v>
      </c>
      <c r="F327" s="6">
        <f t="shared" ca="1" si="47"/>
        <v>110</v>
      </c>
      <c r="G327" s="6">
        <f t="shared" ref="G327:G369" ca="1" si="48">H326+IF(AND(I326=1,J326=0),$C$9,0)+IF(AND(I325=1,J325=1),$C$9,0)</f>
        <v>1070</v>
      </c>
      <c r="H327" s="6">
        <f t="shared" ref="H327:H369" ca="1" si="49">MAX(G327-F327,0)</f>
        <v>960</v>
      </c>
      <c r="I327" s="6">
        <f t="shared" ref="I327:I369" ca="1" si="50">IF(H327&lt;$C$3,1,0)</f>
        <v>0</v>
      </c>
      <c r="J327" s="6">
        <f t="shared" ref="J327:J369" ca="1" si="51">IF(RAND()&lt;0.5,0,1)</f>
        <v>0</v>
      </c>
      <c r="K327" s="6">
        <f t="shared" ref="K327:K369" ca="1" si="52">-MIN(G327-F327,0)</f>
        <v>0</v>
      </c>
      <c r="L327" s="6">
        <f t="shared" ref="L327:L369" ca="1" si="53">K327*$C$8</f>
        <v>0</v>
      </c>
      <c r="M327" s="6">
        <f t="shared" ref="M327:M369" ca="1" si="54">I327*$C$4</f>
        <v>0</v>
      </c>
      <c r="N327" s="20">
        <f t="shared" ref="N327:N369" ca="1" si="55">H327*$C$7</f>
        <v>26.301369863013697</v>
      </c>
      <c r="O327" s="6"/>
    </row>
    <row r="328" spans="2:15" ht="13.15" customHeight="1" x14ac:dyDescent="0.25">
      <c r="B328" s="1"/>
      <c r="E328" s="6">
        <v>324</v>
      </c>
      <c r="F328" s="6">
        <f t="shared" ca="1" si="47"/>
        <v>100</v>
      </c>
      <c r="G328" s="6">
        <f t="shared" ca="1" si="48"/>
        <v>960</v>
      </c>
      <c r="H328" s="6">
        <f t="shared" ca="1" si="49"/>
        <v>860</v>
      </c>
      <c r="I328" s="6">
        <f t="shared" ca="1" si="50"/>
        <v>0</v>
      </c>
      <c r="J328" s="6">
        <f t="shared" ca="1" si="51"/>
        <v>0</v>
      </c>
      <c r="K328" s="6">
        <f t="shared" ca="1" si="52"/>
        <v>0</v>
      </c>
      <c r="L328" s="6">
        <f t="shared" ca="1" si="53"/>
        <v>0</v>
      </c>
      <c r="M328" s="6">
        <f t="shared" ca="1" si="54"/>
        <v>0</v>
      </c>
      <c r="N328" s="20">
        <f t="shared" ca="1" si="55"/>
        <v>23.561643835616437</v>
      </c>
      <c r="O328" s="6"/>
    </row>
    <row r="329" spans="2:15" ht="13.15" customHeight="1" x14ac:dyDescent="0.25">
      <c r="B329" s="1"/>
      <c r="E329" s="6">
        <v>325</v>
      </c>
      <c r="F329" s="6">
        <f t="shared" ca="1" si="47"/>
        <v>110</v>
      </c>
      <c r="G329" s="6">
        <f t="shared" ca="1" si="48"/>
        <v>860</v>
      </c>
      <c r="H329" s="6">
        <f t="shared" ca="1" si="49"/>
        <v>750</v>
      </c>
      <c r="I329" s="6">
        <f t="shared" ca="1" si="50"/>
        <v>0</v>
      </c>
      <c r="J329" s="6">
        <f t="shared" ca="1" si="51"/>
        <v>1</v>
      </c>
      <c r="K329" s="6">
        <f t="shared" ca="1" si="52"/>
        <v>0</v>
      </c>
      <c r="L329" s="6">
        <f t="shared" ca="1" si="53"/>
        <v>0</v>
      </c>
      <c r="M329" s="6">
        <f t="shared" ca="1" si="54"/>
        <v>0</v>
      </c>
      <c r="N329" s="20">
        <f t="shared" ca="1" si="55"/>
        <v>20.547945205479451</v>
      </c>
      <c r="O329" s="6"/>
    </row>
    <row r="330" spans="2:15" ht="13.15" customHeight="1" x14ac:dyDescent="0.25">
      <c r="B330" s="1"/>
      <c r="E330" s="6">
        <v>326</v>
      </c>
      <c r="F330" s="6">
        <f t="shared" ca="1" si="47"/>
        <v>110</v>
      </c>
      <c r="G330" s="6">
        <f t="shared" ca="1" si="48"/>
        <v>750</v>
      </c>
      <c r="H330" s="6">
        <f t="shared" ca="1" si="49"/>
        <v>640</v>
      </c>
      <c r="I330" s="6">
        <f t="shared" ca="1" si="50"/>
        <v>0</v>
      </c>
      <c r="J330" s="6">
        <f t="shared" ca="1" si="51"/>
        <v>0</v>
      </c>
      <c r="K330" s="6">
        <f t="shared" ca="1" si="52"/>
        <v>0</v>
      </c>
      <c r="L330" s="6">
        <f t="shared" ca="1" si="53"/>
        <v>0</v>
      </c>
      <c r="M330" s="6">
        <f t="shared" ca="1" si="54"/>
        <v>0</v>
      </c>
      <c r="N330" s="20">
        <f t="shared" ca="1" si="55"/>
        <v>17.534246575342465</v>
      </c>
      <c r="O330" s="6"/>
    </row>
    <row r="331" spans="2:15" ht="13.15" customHeight="1" x14ac:dyDescent="0.25">
      <c r="B331" s="1"/>
      <c r="E331" s="6">
        <v>327</v>
      </c>
      <c r="F331" s="6">
        <f t="shared" ca="1" si="47"/>
        <v>90</v>
      </c>
      <c r="G331" s="6">
        <f t="shared" ca="1" si="48"/>
        <v>640</v>
      </c>
      <c r="H331" s="6">
        <f t="shared" ca="1" si="49"/>
        <v>550</v>
      </c>
      <c r="I331" s="6">
        <f t="shared" ca="1" si="50"/>
        <v>0</v>
      </c>
      <c r="J331" s="6">
        <f t="shared" ca="1" si="51"/>
        <v>1</v>
      </c>
      <c r="K331" s="6">
        <f t="shared" ca="1" si="52"/>
        <v>0</v>
      </c>
      <c r="L331" s="6">
        <f t="shared" ca="1" si="53"/>
        <v>0</v>
      </c>
      <c r="M331" s="6">
        <f t="shared" ca="1" si="54"/>
        <v>0</v>
      </c>
      <c r="N331" s="20">
        <f t="shared" ca="1" si="55"/>
        <v>15.068493150684931</v>
      </c>
      <c r="O331" s="6"/>
    </row>
    <row r="332" spans="2:15" ht="13.15" customHeight="1" x14ac:dyDescent="0.25">
      <c r="B332" s="1"/>
      <c r="E332" s="6">
        <v>328</v>
      </c>
      <c r="F332" s="6">
        <f t="shared" ca="1" si="47"/>
        <v>110</v>
      </c>
      <c r="G332" s="6">
        <f t="shared" ca="1" si="48"/>
        <v>550</v>
      </c>
      <c r="H332" s="6">
        <f t="shared" ca="1" si="49"/>
        <v>440</v>
      </c>
      <c r="I332" s="6">
        <f t="shared" ca="1" si="50"/>
        <v>0</v>
      </c>
      <c r="J332" s="6">
        <f t="shared" ca="1" si="51"/>
        <v>0</v>
      </c>
      <c r="K332" s="6">
        <f t="shared" ca="1" si="52"/>
        <v>0</v>
      </c>
      <c r="L332" s="6">
        <f t="shared" ca="1" si="53"/>
        <v>0</v>
      </c>
      <c r="M332" s="6">
        <f t="shared" ca="1" si="54"/>
        <v>0</v>
      </c>
      <c r="N332" s="20">
        <f t="shared" ca="1" si="55"/>
        <v>12.054794520547944</v>
      </c>
      <c r="O332" s="6"/>
    </row>
    <row r="333" spans="2:15" ht="13.15" customHeight="1" x14ac:dyDescent="0.25">
      <c r="B333" s="1"/>
      <c r="E333" s="6">
        <v>329</v>
      </c>
      <c r="F333" s="6">
        <f t="shared" ca="1" si="47"/>
        <v>110</v>
      </c>
      <c r="G333" s="6">
        <f t="shared" ca="1" si="48"/>
        <v>440</v>
      </c>
      <c r="H333" s="6">
        <f t="shared" ca="1" si="49"/>
        <v>330</v>
      </c>
      <c r="I333" s="6">
        <f t="shared" ca="1" si="50"/>
        <v>0</v>
      </c>
      <c r="J333" s="6">
        <f t="shared" ca="1" si="51"/>
        <v>0</v>
      </c>
      <c r="K333" s="6">
        <f t="shared" ca="1" si="52"/>
        <v>0</v>
      </c>
      <c r="L333" s="6">
        <f t="shared" ca="1" si="53"/>
        <v>0</v>
      </c>
      <c r="M333" s="6">
        <f t="shared" ca="1" si="54"/>
        <v>0</v>
      </c>
      <c r="N333" s="20">
        <f t="shared" ca="1" si="55"/>
        <v>9.0410958904109577</v>
      </c>
      <c r="O333" s="6"/>
    </row>
    <row r="334" spans="2:15" ht="13.15" customHeight="1" x14ac:dyDescent="0.25">
      <c r="B334" s="1"/>
      <c r="E334" s="6">
        <v>330</v>
      </c>
      <c r="F334" s="6">
        <f t="shared" ca="1" si="47"/>
        <v>110</v>
      </c>
      <c r="G334" s="6">
        <f t="shared" ca="1" si="48"/>
        <v>330</v>
      </c>
      <c r="H334" s="6">
        <f t="shared" ca="1" si="49"/>
        <v>220</v>
      </c>
      <c r="I334" s="6">
        <f t="shared" ca="1" si="50"/>
        <v>0</v>
      </c>
      <c r="J334" s="6">
        <f t="shared" ca="1" si="51"/>
        <v>1</v>
      </c>
      <c r="K334" s="6">
        <f t="shared" ca="1" si="52"/>
        <v>0</v>
      </c>
      <c r="L334" s="6">
        <f t="shared" ca="1" si="53"/>
        <v>0</v>
      </c>
      <c r="M334" s="6">
        <f t="shared" ca="1" si="54"/>
        <v>0</v>
      </c>
      <c r="N334" s="20">
        <f t="shared" ca="1" si="55"/>
        <v>6.0273972602739718</v>
      </c>
      <c r="O334" s="6"/>
    </row>
    <row r="335" spans="2:15" ht="13.15" customHeight="1" x14ac:dyDescent="0.25">
      <c r="B335" s="1"/>
      <c r="E335" s="6">
        <v>331</v>
      </c>
      <c r="F335" s="6">
        <f t="shared" ca="1" si="47"/>
        <v>90</v>
      </c>
      <c r="G335" s="6">
        <f t="shared" ca="1" si="48"/>
        <v>220</v>
      </c>
      <c r="H335" s="6">
        <f t="shared" ca="1" si="49"/>
        <v>130</v>
      </c>
      <c r="I335" s="6">
        <f t="shared" ca="1" si="50"/>
        <v>0</v>
      </c>
      <c r="J335" s="6">
        <f t="shared" ca="1" si="51"/>
        <v>0</v>
      </c>
      <c r="K335" s="6">
        <f t="shared" ca="1" si="52"/>
        <v>0</v>
      </c>
      <c r="L335" s="6">
        <f t="shared" ca="1" si="53"/>
        <v>0</v>
      </c>
      <c r="M335" s="6">
        <f t="shared" ca="1" si="54"/>
        <v>0</v>
      </c>
      <c r="N335" s="20">
        <f t="shared" ca="1" si="55"/>
        <v>3.5616438356164384</v>
      </c>
      <c r="O335" s="6"/>
    </row>
    <row r="336" spans="2:15" ht="13.15" customHeight="1" x14ac:dyDescent="0.25">
      <c r="B336" s="1"/>
      <c r="E336" s="6">
        <v>332</v>
      </c>
      <c r="F336" s="6">
        <f t="shared" ca="1" si="47"/>
        <v>100</v>
      </c>
      <c r="G336" s="6">
        <f t="shared" ca="1" si="48"/>
        <v>130</v>
      </c>
      <c r="H336" s="6">
        <f t="shared" ca="1" si="49"/>
        <v>30</v>
      </c>
      <c r="I336" s="6">
        <f t="shared" ca="1" si="50"/>
        <v>1</v>
      </c>
      <c r="J336" s="6">
        <f t="shared" ca="1" si="51"/>
        <v>1</v>
      </c>
      <c r="K336" s="6">
        <f t="shared" ca="1" si="52"/>
        <v>0</v>
      </c>
      <c r="L336" s="6">
        <f t="shared" ca="1" si="53"/>
        <v>0</v>
      </c>
      <c r="M336" s="6">
        <f t="shared" ca="1" si="54"/>
        <v>200</v>
      </c>
      <c r="N336" s="20">
        <f t="shared" ca="1" si="55"/>
        <v>0.82191780821917804</v>
      </c>
      <c r="O336" s="6"/>
    </row>
    <row r="337" spans="2:15" ht="13.15" customHeight="1" x14ac:dyDescent="0.25">
      <c r="B337" s="1"/>
      <c r="E337" s="6">
        <v>333</v>
      </c>
      <c r="F337" s="6">
        <f t="shared" ca="1" si="47"/>
        <v>110</v>
      </c>
      <c r="G337" s="6">
        <f t="shared" ca="1" si="48"/>
        <v>30</v>
      </c>
      <c r="H337" s="6">
        <f t="shared" ca="1" si="49"/>
        <v>0</v>
      </c>
      <c r="I337" s="6">
        <f t="shared" ca="1" si="50"/>
        <v>1</v>
      </c>
      <c r="J337" s="6">
        <f t="shared" ca="1" si="51"/>
        <v>0</v>
      </c>
      <c r="K337" s="6">
        <f t="shared" ca="1" si="52"/>
        <v>80</v>
      </c>
      <c r="L337" s="6">
        <f t="shared" ca="1" si="53"/>
        <v>4000</v>
      </c>
      <c r="M337" s="6">
        <f t="shared" ca="1" si="54"/>
        <v>200</v>
      </c>
      <c r="N337" s="20">
        <f t="shared" ca="1" si="55"/>
        <v>0</v>
      </c>
      <c r="O337" s="6"/>
    </row>
    <row r="338" spans="2:15" ht="13.15" customHeight="1" x14ac:dyDescent="0.25">
      <c r="B338" s="1"/>
      <c r="E338" s="6">
        <v>334</v>
      </c>
      <c r="F338" s="6">
        <f t="shared" ca="1" si="47"/>
        <v>80</v>
      </c>
      <c r="G338" s="6">
        <f t="shared" ca="1" si="48"/>
        <v>2000</v>
      </c>
      <c r="H338" s="6">
        <f t="shared" ca="1" si="49"/>
        <v>1920</v>
      </c>
      <c r="I338" s="6">
        <f t="shared" ca="1" si="50"/>
        <v>0</v>
      </c>
      <c r="J338" s="6">
        <f t="shared" ca="1" si="51"/>
        <v>0</v>
      </c>
      <c r="K338" s="6">
        <f t="shared" ca="1" si="52"/>
        <v>0</v>
      </c>
      <c r="L338" s="6">
        <f t="shared" ca="1" si="53"/>
        <v>0</v>
      </c>
      <c r="M338" s="6">
        <f t="shared" ca="1" si="54"/>
        <v>0</v>
      </c>
      <c r="N338" s="20">
        <f t="shared" ca="1" si="55"/>
        <v>52.602739726027394</v>
      </c>
      <c r="O338" s="6"/>
    </row>
    <row r="339" spans="2:15" ht="13.15" customHeight="1" x14ac:dyDescent="0.25">
      <c r="B339" s="1"/>
      <c r="E339" s="6">
        <v>335</v>
      </c>
      <c r="F339" s="6">
        <f t="shared" ca="1" si="47"/>
        <v>90</v>
      </c>
      <c r="G339" s="6">
        <f t="shared" ca="1" si="48"/>
        <v>1920</v>
      </c>
      <c r="H339" s="6">
        <f t="shared" ca="1" si="49"/>
        <v>1830</v>
      </c>
      <c r="I339" s="6">
        <f t="shared" ca="1" si="50"/>
        <v>0</v>
      </c>
      <c r="J339" s="6">
        <f t="shared" ca="1" si="51"/>
        <v>1</v>
      </c>
      <c r="K339" s="6">
        <f t="shared" ca="1" si="52"/>
        <v>0</v>
      </c>
      <c r="L339" s="6">
        <f t="shared" ca="1" si="53"/>
        <v>0</v>
      </c>
      <c r="M339" s="6">
        <f t="shared" ca="1" si="54"/>
        <v>0</v>
      </c>
      <c r="N339" s="20">
        <f t="shared" ca="1" si="55"/>
        <v>50.136986301369859</v>
      </c>
      <c r="O339" s="6"/>
    </row>
    <row r="340" spans="2:15" ht="13.15" customHeight="1" x14ac:dyDescent="0.25">
      <c r="B340" s="1"/>
      <c r="E340" s="6">
        <v>336</v>
      </c>
      <c r="F340" s="6">
        <f t="shared" ca="1" si="47"/>
        <v>80</v>
      </c>
      <c r="G340" s="6">
        <f t="shared" ca="1" si="48"/>
        <v>1830</v>
      </c>
      <c r="H340" s="6">
        <f t="shared" ca="1" si="49"/>
        <v>1750</v>
      </c>
      <c r="I340" s="6">
        <f t="shared" ca="1" si="50"/>
        <v>0</v>
      </c>
      <c r="J340" s="6">
        <f t="shared" ca="1" si="51"/>
        <v>1</v>
      </c>
      <c r="K340" s="6">
        <f t="shared" ca="1" si="52"/>
        <v>0</v>
      </c>
      <c r="L340" s="6">
        <f t="shared" ca="1" si="53"/>
        <v>0</v>
      </c>
      <c r="M340" s="6">
        <f t="shared" ca="1" si="54"/>
        <v>0</v>
      </c>
      <c r="N340" s="20">
        <f t="shared" ca="1" si="55"/>
        <v>47.945205479452049</v>
      </c>
      <c r="O340" s="6"/>
    </row>
    <row r="341" spans="2:15" ht="13.15" customHeight="1" x14ac:dyDescent="0.25">
      <c r="B341" s="1"/>
      <c r="E341" s="6">
        <v>337</v>
      </c>
      <c r="F341" s="6">
        <f t="shared" ca="1" si="47"/>
        <v>110</v>
      </c>
      <c r="G341" s="6">
        <f t="shared" ca="1" si="48"/>
        <v>1750</v>
      </c>
      <c r="H341" s="6">
        <f t="shared" ca="1" si="49"/>
        <v>1640</v>
      </c>
      <c r="I341" s="6">
        <f t="shared" ca="1" si="50"/>
        <v>0</v>
      </c>
      <c r="J341" s="6">
        <f t="shared" ca="1" si="51"/>
        <v>1</v>
      </c>
      <c r="K341" s="6">
        <f t="shared" ca="1" si="52"/>
        <v>0</v>
      </c>
      <c r="L341" s="6">
        <f t="shared" ca="1" si="53"/>
        <v>0</v>
      </c>
      <c r="M341" s="6">
        <f t="shared" ca="1" si="54"/>
        <v>0</v>
      </c>
      <c r="N341" s="20">
        <f t="shared" ca="1" si="55"/>
        <v>44.931506849315063</v>
      </c>
      <c r="O341" s="6"/>
    </row>
    <row r="342" spans="2:15" ht="13.15" customHeight="1" x14ac:dyDescent="0.25">
      <c r="B342" s="1"/>
      <c r="E342" s="6">
        <v>338</v>
      </c>
      <c r="F342" s="6">
        <f t="shared" ca="1" si="47"/>
        <v>120</v>
      </c>
      <c r="G342" s="6">
        <f t="shared" ca="1" si="48"/>
        <v>1640</v>
      </c>
      <c r="H342" s="6">
        <f t="shared" ca="1" si="49"/>
        <v>1520</v>
      </c>
      <c r="I342" s="6">
        <f t="shared" ca="1" si="50"/>
        <v>0</v>
      </c>
      <c r="J342" s="6">
        <f t="shared" ca="1" si="51"/>
        <v>0</v>
      </c>
      <c r="K342" s="6">
        <f t="shared" ca="1" si="52"/>
        <v>0</v>
      </c>
      <c r="L342" s="6">
        <f t="shared" ca="1" si="53"/>
        <v>0</v>
      </c>
      <c r="M342" s="6">
        <f t="shared" ca="1" si="54"/>
        <v>0</v>
      </c>
      <c r="N342" s="20">
        <f t="shared" ca="1" si="55"/>
        <v>41.643835616438352</v>
      </c>
      <c r="O342" s="6"/>
    </row>
    <row r="343" spans="2:15" ht="13.15" customHeight="1" x14ac:dyDescent="0.25">
      <c r="B343" s="1"/>
      <c r="E343" s="6">
        <v>339</v>
      </c>
      <c r="F343" s="6">
        <f t="shared" ca="1" si="47"/>
        <v>110</v>
      </c>
      <c r="G343" s="6">
        <f t="shared" ca="1" si="48"/>
        <v>1520</v>
      </c>
      <c r="H343" s="6">
        <f t="shared" ca="1" si="49"/>
        <v>1410</v>
      </c>
      <c r="I343" s="6">
        <f t="shared" ca="1" si="50"/>
        <v>0</v>
      </c>
      <c r="J343" s="6">
        <f t="shared" ca="1" si="51"/>
        <v>1</v>
      </c>
      <c r="K343" s="6">
        <f t="shared" ca="1" si="52"/>
        <v>0</v>
      </c>
      <c r="L343" s="6">
        <f t="shared" ca="1" si="53"/>
        <v>0</v>
      </c>
      <c r="M343" s="6">
        <f t="shared" ca="1" si="54"/>
        <v>0</v>
      </c>
      <c r="N343" s="20">
        <f t="shared" ca="1" si="55"/>
        <v>38.630136986301366</v>
      </c>
      <c r="O343" s="6"/>
    </row>
    <row r="344" spans="2:15" ht="13.15" customHeight="1" x14ac:dyDescent="0.25">
      <c r="B344" s="1"/>
      <c r="E344" s="6">
        <v>340</v>
      </c>
      <c r="F344" s="6">
        <f t="shared" ca="1" si="47"/>
        <v>100</v>
      </c>
      <c r="G344" s="6">
        <f t="shared" ca="1" si="48"/>
        <v>1410</v>
      </c>
      <c r="H344" s="6">
        <f t="shared" ca="1" si="49"/>
        <v>1310</v>
      </c>
      <c r="I344" s="6">
        <f t="shared" ca="1" si="50"/>
        <v>0</v>
      </c>
      <c r="J344" s="6">
        <f t="shared" ca="1" si="51"/>
        <v>1</v>
      </c>
      <c r="K344" s="6">
        <f t="shared" ca="1" si="52"/>
        <v>0</v>
      </c>
      <c r="L344" s="6">
        <f t="shared" ca="1" si="53"/>
        <v>0</v>
      </c>
      <c r="M344" s="6">
        <f t="shared" ca="1" si="54"/>
        <v>0</v>
      </c>
      <c r="N344" s="20">
        <f t="shared" ca="1" si="55"/>
        <v>35.890410958904106</v>
      </c>
      <c r="O344" s="6"/>
    </row>
    <row r="345" spans="2:15" ht="13.15" customHeight="1" x14ac:dyDescent="0.25">
      <c r="B345" s="1"/>
      <c r="E345" s="6">
        <v>341</v>
      </c>
      <c r="F345" s="6">
        <f t="shared" ca="1" si="47"/>
        <v>120</v>
      </c>
      <c r="G345" s="6">
        <f t="shared" ca="1" si="48"/>
        <v>1310</v>
      </c>
      <c r="H345" s="6">
        <f t="shared" ca="1" si="49"/>
        <v>1190</v>
      </c>
      <c r="I345" s="6">
        <f t="shared" ca="1" si="50"/>
        <v>0</v>
      </c>
      <c r="J345" s="6">
        <f t="shared" ca="1" si="51"/>
        <v>0</v>
      </c>
      <c r="K345" s="6">
        <f t="shared" ca="1" si="52"/>
        <v>0</v>
      </c>
      <c r="L345" s="6">
        <f t="shared" ca="1" si="53"/>
        <v>0</v>
      </c>
      <c r="M345" s="6">
        <f t="shared" ca="1" si="54"/>
        <v>0</v>
      </c>
      <c r="N345" s="20">
        <f t="shared" ca="1" si="55"/>
        <v>32.602739726027394</v>
      </c>
      <c r="O345" s="6"/>
    </row>
    <row r="346" spans="2:15" ht="13.15" customHeight="1" x14ac:dyDescent="0.25">
      <c r="B346" s="1"/>
      <c r="E346" s="6">
        <v>342</v>
      </c>
      <c r="F346" s="6">
        <f t="shared" ca="1" si="47"/>
        <v>120</v>
      </c>
      <c r="G346" s="6">
        <f t="shared" ca="1" si="48"/>
        <v>1190</v>
      </c>
      <c r="H346" s="6">
        <f t="shared" ca="1" si="49"/>
        <v>1070</v>
      </c>
      <c r="I346" s="6">
        <f t="shared" ca="1" si="50"/>
        <v>0</v>
      </c>
      <c r="J346" s="6">
        <f t="shared" ca="1" si="51"/>
        <v>1</v>
      </c>
      <c r="K346" s="6">
        <f t="shared" ca="1" si="52"/>
        <v>0</v>
      </c>
      <c r="L346" s="6">
        <f t="shared" ca="1" si="53"/>
        <v>0</v>
      </c>
      <c r="M346" s="6">
        <f t="shared" ca="1" si="54"/>
        <v>0</v>
      </c>
      <c r="N346" s="20">
        <f t="shared" ca="1" si="55"/>
        <v>29.315068493150683</v>
      </c>
      <c r="O346" s="6"/>
    </row>
    <row r="347" spans="2:15" ht="13.15" customHeight="1" x14ac:dyDescent="0.25">
      <c r="B347" s="1"/>
      <c r="E347" s="6">
        <v>343</v>
      </c>
      <c r="F347" s="6">
        <f t="shared" ca="1" si="47"/>
        <v>110</v>
      </c>
      <c r="G347" s="6">
        <f t="shared" ca="1" si="48"/>
        <v>1070</v>
      </c>
      <c r="H347" s="6">
        <f t="shared" ca="1" si="49"/>
        <v>960</v>
      </c>
      <c r="I347" s="6">
        <f t="shared" ca="1" si="50"/>
        <v>0</v>
      </c>
      <c r="J347" s="6">
        <f t="shared" ca="1" si="51"/>
        <v>1</v>
      </c>
      <c r="K347" s="6">
        <f t="shared" ca="1" si="52"/>
        <v>0</v>
      </c>
      <c r="L347" s="6">
        <f t="shared" ca="1" si="53"/>
        <v>0</v>
      </c>
      <c r="M347" s="6">
        <f t="shared" ca="1" si="54"/>
        <v>0</v>
      </c>
      <c r="N347" s="20">
        <f t="shared" ca="1" si="55"/>
        <v>26.301369863013697</v>
      </c>
      <c r="O347" s="6"/>
    </row>
    <row r="348" spans="2:15" ht="13.15" customHeight="1" x14ac:dyDescent="0.25">
      <c r="B348" s="1"/>
      <c r="E348" s="6">
        <v>344</v>
      </c>
      <c r="F348" s="6">
        <f t="shared" ca="1" si="47"/>
        <v>110</v>
      </c>
      <c r="G348" s="6">
        <f t="shared" ca="1" si="48"/>
        <v>960</v>
      </c>
      <c r="H348" s="6">
        <f t="shared" ca="1" si="49"/>
        <v>850</v>
      </c>
      <c r="I348" s="6">
        <f t="shared" ca="1" si="50"/>
        <v>0</v>
      </c>
      <c r="J348" s="6">
        <f t="shared" ca="1" si="51"/>
        <v>0</v>
      </c>
      <c r="K348" s="6">
        <f t="shared" ca="1" si="52"/>
        <v>0</v>
      </c>
      <c r="L348" s="6">
        <f t="shared" ca="1" si="53"/>
        <v>0</v>
      </c>
      <c r="M348" s="6">
        <f t="shared" ca="1" si="54"/>
        <v>0</v>
      </c>
      <c r="N348" s="20">
        <f t="shared" ca="1" si="55"/>
        <v>23.287671232876711</v>
      </c>
      <c r="O348" s="6"/>
    </row>
    <row r="349" spans="2:15" ht="13.15" customHeight="1" x14ac:dyDescent="0.25">
      <c r="B349" s="1"/>
      <c r="E349" s="6">
        <v>345</v>
      </c>
      <c r="F349" s="6">
        <f t="shared" ca="1" si="47"/>
        <v>110</v>
      </c>
      <c r="G349" s="6">
        <f t="shared" ca="1" si="48"/>
        <v>850</v>
      </c>
      <c r="H349" s="6">
        <f t="shared" ca="1" si="49"/>
        <v>740</v>
      </c>
      <c r="I349" s="6">
        <f t="shared" ca="1" si="50"/>
        <v>0</v>
      </c>
      <c r="J349" s="6">
        <f t="shared" ca="1" si="51"/>
        <v>0</v>
      </c>
      <c r="K349" s="6">
        <f t="shared" ca="1" si="52"/>
        <v>0</v>
      </c>
      <c r="L349" s="6">
        <f t="shared" ca="1" si="53"/>
        <v>0</v>
      </c>
      <c r="M349" s="6">
        <f t="shared" ca="1" si="54"/>
        <v>0</v>
      </c>
      <c r="N349" s="20">
        <f t="shared" ca="1" si="55"/>
        <v>20.273972602739725</v>
      </c>
      <c r="O349" s="6"/>
    </row>
    <row r="350" spans="2:15" ht="13.15" customHeight="1" x14ac:dyDescent="0.25">
      <c r="B350" s="1"/>
      <c r="E350" s="6">
        <v>346</v>
      </c>
      <c r="F350" s="6">
        <f t="shared" ca="1" si="47"/>
        <v>90</v>
      </c>
      <c r="G350" s="6">
        <f t="shared" ca="1" si="48"/>
        <v>740</v>
      </c>
      <c r="H350" s="6">
        <f t="shared" ca="1" si="49"/>
        <v>650</v>
      </c>
      <c r="I350" s="6">
        <f t="shared" ca="1" si="50"/>
        <v>0</v>
      </c>
      <c r="J350" s="6">
        <f t="shared" ca="1" si="51"/>
        <v>1</v>
      </c>
      <c r="K350" s="6">
        <f t="shared" ca="1" si="52"/>
        <v>0</v>
      </c>
      <c r="L350" s="6">
        <f t="shared" ca="1" si="53"/>
        <v>0</v>
      </c>
      <c r="M350" s="6">
        <f t="shared" ca="1" si="54"/>
        <v>0</v>
      </c>
      <c r="N350" s="20">
        <f t="shared" ca="1" si="55"/>
        <v>17.80821917808219</v>
      </c>
      <c r="O350" s="6"/>
    </row>
    <row r="351" spans="2:15" ht="13.15" customHeight="1" x14ac:dyDescent="0.25">
      <c r="B351" s="1"/>
      <c r="E351" s="6">
        <v>347</v>
      </c>
      <c r="F351" s="6">
        <f t="shared" ca="1" si="47"/>
        <v>120</v>
      </c>
      <c r="G351" s="6">
        <f t="shared" ca="1" si="48"/>
        <v>650</v>
      </c>
      <c r="H351" s="6">
        <f t="shared" ca="1" si="49"/>
        <v>530</v>
      </c>
      <c r="I351" s="6">
        <f t="shared" ca="1" si="50"/>
        <v>0</v>
      </c>
      <c r="J351" s="6">
        <f t="shared" ca="1" si="51"/>
        <v>1</v>
      </c>
      <c r="K351" s="6">
        <f t="shared" ca="1" si="52"/>
        <v>0</v>
      </c>
      <c r="L351" s="6">
        <f t="shared" ca="1" si="53"/>
        <v>0</v>
      </c>
      <c r="M351" s="6">
        <f t="shared" ca="1" si="54"/>
        <v>0</v>
      </c>
      <c r="N351" s="20">
        <f t="shared" ca="1" si="55"/>
        <v>14.520547945205479</v>
      </c>
      <c r="O351" s="6"/>
    </row>
    <row r="352" spans="2:15" ht="13.15" customHeight="1" x14ac:dyDescent="0.25">
      <c r="B352" s="1"/>
      <c r="E352" s="6">
        <v>348</v>
      </c>
      <c r="F352" s="6">
        <f t="shared" ca="1" si="47"/>
        <v>90</v>
      </c>
      <c r="G352" s="6">
        <f t="shared" ca="1" si="48"/>
        <v>530</v>
      </c>
      <c r="H352" s="6">
        <f t="shared" ca="1" si="49"/>
        <v>440</v>
      </c>
      <c r="I352" s="6">
        <f t="shared" ca="1" si="50"/>
        <v>0</v>
      </c>
      <c r="J352" s="6">
        <f t="shared" ca="1" si="51"/>
        <v>0</v>
      </c>
      <c r="K352" s="6">
        <f t="shared" ca="1" si="52"/>
        <v>0</v>
      </c>
      <c r="L352" s="6">
        <f t="shared" ca="1" si="53"/>
        <v>0</v>
      </c>
      <c r="M352" s="6">
        <f t="shared" ca="1" si="54"/>
        <v>0</v>
      </c>
      <c r="N352" s="20">
        <f t="shared" ca="1" si="55"/>
        <v>12.054794520547944</v>
      </c>
      <c r="O352" s="6"/>
    </row>
    <row r="353" spans="2:15" ht="13.15" customHeight="1" x14ac:dyDescent="0.25">
      <c r="B353" s="1"/>
      <c r="E353" s="6">
        <v>349</v>
      </c>
      <c r="F353" s="6">
        <f t="shared" ca="1" si="47"/>
        <v>120</v>
      </c>
      <c r="G353" s="6">
        <f t="shared" ca="1" si="48"/>
        <v>440</v>
      </c>
      <c r="H353" s="6">
        <f t="shared" ca="1" si="49"/>
        <v>320</v>
      </c>
      <c r="I353" s="6">
        <f t="shared" ca="1" si="50"/>
        <v>0</v>
      </c>
      <c r="J353" s="6">
        <f t="shared" ca="1" si="51"/>
        <v>0</v>
      </c>
      <c r="K353" s="6">
        <f t="shared" ca="1" si="52"/>
        <v>0</v>
      </c>
      <c r="L353" s="6">
        <f t="shared" ca="1" si="53"/>
        <v>0</v>
      </c>
      <c r="M353" s="6">
        <f t="shared" ca="1" si="54"/>
        <v>0</v>
      </c>
      <c r="N353" s="20">
        <f t="shared" ca="1" si="55"/>
        <v>8.7671232876712324</v>
      </c>
      <c r="O353" s="6"/>
    </row>
    <row r="354" spans="2:15" ht="13.15" customHeight="1" x14ac:dyDescent="0.25">
      <c r="B354" s="1"/>
      <c r="E354" s="6">
        <v>350</v>
      </c>
      <c r="F354" s="6">
        <f t="shared" ca="1" si="47"/>
        <v>110</v>
      </c>
      <c r="G354" s="6">
        <f t="shared" ca="1" si="48"/>
        <v>320</v>
      </c>
      <c r="H354" s="6">
        <f t="shared" ca="1" si="49"/>
        <v>210</v>
      </c>
      <c r="I354" s="6">
        <f t="shared" ca="1" si="50"/>
        <v>0</v>
      </c>
      <c r="J354" s="6">
        <f t="shared" ca="1" si="51"/>
        <v>1</v>
      </c>
      <c r="K354" s="6">
        <f t="shared" ca="1" si="52"/>
        <v>0</v>
      </c>
      <c r="L354" s="6">
        <f t="shared" ca="1" si="53"/>
        <v>0</v>
      </c>
      <c r="M354" s="6">
        <f t="shared" ca="1" si="54"/>
        <v>0</v>
      </c>
      <c r="N354" s="20">
        <f t="shared" ca="1" si="55"/>
        <v>5.7534246575342465</v>
      </c>
      <c r="O354" s="6"/>
    </row>
    <row r="355" spans="2:15" ht="13.15" customHeight="1" x14ac:dyDescent="0.25">
      <c r="B355" s="1"/>
      <c r="E355" s="6">
        <v>351</v>
      </c>
      <c r="F355" s="6">
        <f t="shared" ca="1" si="47"/>
        <v>100</v>
      </c>
      <c r="G355" s="6">
        <f t="shared" ca="1" si="48"/>
        <v>210</v>
      </c>
      <c r="H355" s="6">
        <f t="shared" ca="1" si="49"/>
        <v>110</v>
      </c>
      <c r="I355" s="6">
        <f t="shared" ca="1" si="50"/>
        <v>0</v>
      </c>
      <c r="J355" s="6">
        <f t="shared" ca="1" si="51"/>
        <v>0</v>
      </c>
      <c r="K355" s="6">
        <f t="shared" ca="1" si="52"/>
        <v>0</v>
      </c>
      <c r="L355" s="6">
        <f t="shared" ca="1" si="53"/>
        <v>0</v>
      </c>
      <c r="M355" s="6">
        <f t="shared" ca="1" si="54"/>
        <v>0</v>
      </c>
      <c r="N355" s="20">
        <f t="shared" ca="1" si="55"/>
        <v>3.0136986301369859</v>
      </c>
      <c r="O355" s="6"/>
    </row>
    <row r="356" spans="2:15" ht="13.15" customHeight="1" x14ac:dyDescent="0.25">
      <c r="B356" s="1"/>
      <c r="E356" s="6">
        <v>352</v>
      </c>
      <c r="F356" s="6">
        <f t="shared" ca="1" si="47"/>
        <v>100</v>
      </c>
      <c r="G356" s="6">
        <f t="shared" ca="1" si="48"/>
        <v>110</v>
      </c>
      <c r="H356" s="6">
        <f t="shared" ca="1" si="49"/>
        <v>10</v>
      </c>
      <c r="I356" s="6">
        <f t="shared" ca="1" si="50"/>
        <v>1</v>
      </c>
      <c r="J356" s="6">
        <f t="shared" ca="1" si="51"/>
        <v>0</v>
      </c>
      <c r="K356" s="6">
        <f t="shared" ca="1" si="52"/>
        <v>0</v>
      </c>
      <c r="L356" s="6">
        <f t="shared" ca="1" si="53"/>
        <v>0</v>
      </c>
      <c r="M356" s="6">
        <f t="shared" ca="1" si="54"/>
        <v>200</v>
      </c>
      <c r="N356" s="20">
        <f t="shared" ca="1" si="55"/>
        <v>0.27397260273972601</v>
      </c>
      <c r="O356" s="6"/>
    </row>
    <row r="357" spans="2:15" ht="13.15" customHeight="1" x14ac:dyDescent="0.25">
      <c r="B357" s="1"/>
      <c r="E357" s="6">
        <v>353</v>
      </c>
      <c r="F357" s="6">
        <f t="shared" ca="1" si="47"/>
        <v>100</v>
      </c>
      <c r="G357" s="6">
        <f t="shared" ca="1" si="48"/>
        <v>1010</v>
      </c>
      <c r="H357" s="6">
        <f t="shared" ca="1" si="49"/>
        <v>910</v>
      </c>
      <c r="I357" s="6">
        <f t="shared" ca="1" si="50"/>
        <v>0</v>
      </c>
      <c r="J357" s="6">
        <f t="shared" ca="1" si="51"/>
        <v>0</v>
      </c>
      <c r="K357" s="6">
        <f t="shared" ca="1" si="52"/>
        <v>0</v>
      </c>
      <c r="L357" s="6">
        <f t="shared" ca="1" si="53"/>
        <v>0</v>
      </c>
      <c r="M357" s="6">
        <f t="shared" ca="1" si="54"/>
        <v>0</v>
      </c>
      <c r="N357" s="20">
        <f t="shared" ca="1" si="55"/>
        <v>24.931506849315067</v>
      </c>
      <c r="O357" s="6"/>
    </row>
    <row r="358" spans="2:15" ht="13.15" customHeight="1" x14ac:dyDescent="0.25">
      <c r="B358" s="1"/>
      <c r="E358" s="6">
        <v>354</v>
      </c>
      <c r="F358" s="6">
        <f t="shared" ca="1" si="47"/>
        <v>110</v>
      </c>
      <c r="G358" s="6">
        <f t="shared" ca="1" si="48"/>
        <v>910</v>
      </c>
      <c r="H358" s="6">
        <f t="shared" ca="1" si="49"/>
        <v>800</v>
      </c>
      <c r="I358" s="6">
        <f t="shared" ca="1" si="50"/>
        <v>0</v>
      </c>
      <c r="J358" s="6">
        <f t="shared" ca="1" si="51"/>
        <v>0</v>
      </c>
      <c r="K358" s="6">
        <f t="shared" ca="1" si="52"/>
        <v>0</v>
      </c>
      <c r="L358" s="6">
        <f t="shared" ca="1" si="53"/>
        <v>0</v>
      </c>
      <c r="M358" s="6">
        <f t="shared" ca="1" si="54"/>
        <v>0</v>
      </c>
      <c r="N358" s="20">
        <f t="shared" ca="1" si="55"/>
        <v>21.917808219178081</v>
      </c>
      <c r="O358" s="6"/>
    </row>
    <row r="359" spans="2:15" ht="13.15" customHeight="1" x14ac:dyDescent="0.25">
      <c r="B359" s="1"/>
      <c r="E359" s="6">
        <v>355</v>
      </c>
      <c r="F359" s="6">
        <f t="shared" ca="1" si="47"/>
        <v>110</v>
      </c>
      <c r="G359" s="6">
        <f t="shared" ca="1" si="48"/>
        <v>800</v>
      </c>
      <c r="H359" s="6">
        <f t="shared" ca="1" si="49"/>
        <v>690</v>
      </c>
      <c r="I359" s="6">
        <f t="shared" ca="1" si="50"/>
        <v>0</v>
      </c>
      <c r="J359" s="6">
        <f t="shared" ca="1" si="51"/>
        <v>1</v>
      </c>
      <c r="K359" s="6">
        <f t="shared" ca="1" si="52"/>
        <v>0</v>
      </c>
      <c r="L359" s="6">
        <f t="shared" ca="1" si="53"/>
        <v>0</v>
      </c>
      <c r="M359" s="6">
        <f t="shared" ca="1" si="54"/>
        <v>0</v>
      </c>
      <c r="N359" s="20">
        <f t="shared" ca="1" si="55"/>
        <v>18.904109589041095</v>
      </c>
      <c r="O359" s="6"/>
    </row>
    <row r="360" spans="2:15" ht="13.15" customHeight="1" x14ac:dyDescent="0.25">
      <c r="B360" s="1"/>
      <c r="E360" s="6">
        <v>356</v>
      </c>
      <c r="F360" s="6">
        <f t="shared" ca="1" si="47"/>
        <v>120</v>
      </c>
      <c r="G360" s="6">
        <f t="shared" ca="1" si="48"/>
        <v>690</v>
      </c>
      <c r="H360" s="6">
        <f t="shared" ca="1" si="49"/>
        <v>570</v>
      </c>
      <c r="I360" s="6">
        <f t="shared" ca="1" si="50"/>
        <v>0</v>
      </c>
      <c r="J360" s="6">
        <f t="shared" ca="1" si="51"/>
        <v>1</v>
      </c>
      <c r="K360" s="6">
        <f t="shared" ca="1" si="52"/>
        <v>0</v>
      </c>
      <c r="L360" s="6">
        <f t="shared" ca="1" si="53"/>
        <v>0</v>
      </c>
      <c r="M360" s="6">
        <f t="shared" ca="1" si="54"/>
        <v>0</v>
      </c>
      <c r="N360" s="20">
        <f t="shared" ca="1" si="55"/>
        <v>15.616438356164382</v>
      </c>
      <c r="O360" s="6"/>
    </row>
    <row r="361" spans="2:15" ht="13.15" customHeight="1" x14ac:dyDescent="0.25">
      <c r="B361" s="1"/>
      <c r="E361" s="6">
        <v>357</v>
      </c>
      <c r="F361" s="6">
        <f t="shared" ca="1" si="47"/>
        <v>80</v>
      </c>
      <c r="G361" s="6">
        <f t="shared" ca="1" si="48"/>
        <v>570</v>
      </c>
      <c r="H361" s="6">
        <f t="shared" ca="1" si="49"/>
        <v>490</v>
      </c>
      <c r="I361" s="6">
        <f t="shared" ca="1" si="50"/>
        <v>0</v>
      </c>
      <c r="J361" s="6">
        <f t="shared" ca="1" si="51"/>
        <v>0</v>
      </c>
      <c r="K361" s="6">
        <f t="shared" ca="1" si="52"/>
        <v>0</v>
      </c>
      <c r="L361" s="6">
        <f t="shared" ca="1" si="53"/>
        <v>0</v>
      </c>
      <c r="M361" s="6">
        <f t="shared" ca="1" si="54"/>
        <v>0</v>
      </c>
      <c r="N361" s="20">
        <f t="shared" ca="1" si="55"/>
        <v>13.424657534246574</v>
      </c>
      <c r="O361" s="6"/>
    </row>
    <row r="362" spans="2:15" ht="13.15" customHeight="1" x14ac:dyDescent="0.25">
      <c r="B362" s="1"/>
      <c r="E362" s="6">
        <v>358</v>
      </c>
      <c r="F362" s="6">
        <f t="shared" ca="1" si="47"/>
        <v>110</v>
      </c>
      <c r="G362" s="6">
        <f t="shared" ca="1" si="48"/>
        <v>490</v>
      </c>
      <c r="H362" s="6">
        <f t="shared" ca="1" si="49"/>
        <v>380</v>
      </c>
      <c r="I362" s="6">
        <f t="shared" ca="1" si="50"/>
        <v>0</v>
      </c>
      <c r="J362" s="6">
        <f t="shared" ca="1" si="51"/>
        <v>0</v>
      </c>
      <c r="K362" s="6">
        <f t="shared" ca="1" si="52"/>
        <v>0</v>
      </c>
      <c r="L362" s="6">
        <f t="shared" ca="1" si="53"/>
        <v>0</v>
      </c>
      <c r="M362" s="6">
        <f t="shared" ca="1" si="54"/>
        <v>0</v>
      </c>
      <c r="N362" s="20">
        <f t="shared" ca="1" si="55"/>
        <v>10.410958904109588</v>
      </c>
      <c r="O362" s="6"/>
    </row>
    <row r="363" spans="2:15" ht="13.15" customHeight="1" x14ac:dyDescent="0.25">
      <c r="B363" s="1"/>
      <c r="E363" s="6">
        <v>359</v>
      </c>
      <c r="F363" s="6">
        <f t="shared" ca="1" si="47"/>
        <v>110</v>
      </c>
      <c r="G363" s="6">
        <f t="shared" ca="1" si="48"/>
        <v>380</v>
      </c>
      <c r="H363" s="6">
        <f t="shared" ca="1" si="49"/>
        <v>270</v>
      </c>
      <c r="I363" s="6">
        <f t="shared" ca="1" si="50"/>
        <v>0</v>
      </c>
      <c r="J363" s="6">
        <f t="shared" ca="1" si="51"/>
        <v>1</v>
      </c>
      <c r="K363" s="6">
        <f t="shared" ca="1" si="52"/>
        <v>0</v>
      </c>
      <c r="L363" s="6">
        <f t="shared" ca="1" si="53"/>
        <v>0</v>
      </c>
      <c r="M363" s="6">
        <f t="shared" ca="1" si="54"/>
        <v>0</v>
      </c>
      <c r="N363" s="20">
        <f t="shared" ca="1" si="55"/>
        <v>7.3972602739726021</v>
      </c>
      <c r="O363" s="6"/>
    </row>
    <row r="364" spans="2:15" ht="13.15" customHeight="1" x14ac:dyDescent="0.25">
      <c r="B364" s="1"/>
      <c r="E364" s="6">
        <v>360</v>
      </c>
      <c r="F364" s="6">
        <f t="shared" ca="1" si="47"/>
        <v>80</v>
      </c>
      <c r="G364" s="6">
        <f t="shared" ca="1" si="48"/>
        <v>270</v>
      </c>
      <c r="H364" s="6">
        <f t="shared" ca="1" si="49"/>
        <v>190</v>
      </c>
      <c r="I364" s="6">
        <f t="shared" ca="1" si="50"/>
        <v>0</v>
      </c>
      <c r="J364" s="6">
        <f t="shared" ca="1" si="51"/>
        <v>1</v>
      </c>
      <c r="K364" s="6">
        <f t="shared" ca="1" si="52"/>
        <v>0</v>
      </c>
      <c r="L364" s="6">
        <f t="shared" ca="1" si="53"/>
        <v>0</v>
      </c>
      <c r="M364" s="6">
        <f t="shared" ca="1" si="54"/>
        <v>0</v>
      </c>
      <c r="N364" s="20">
        <f t="shared" ca="1" si="55"/>
        <v>5.205479452054794</v>
      </c>
      <c r="O364" s="6"/>
    </row>
    <row r="365" spans="2:15" ht="13.15" customHeight="1" x14ac:dyDescent="0.25">
      <c r="B365" s="1"/>
      <c r="E365" s="6">
        <v>361</v>
      </c>
      <c r="F365" s="6">
        <f t="shared" ca="1" si="47"/>
        <v>100</v>
      </c>
      <c r="G365" s="6">
        <f t="shared" ca="1" si="48"/>
        <v>190</v>
      </c>
      <c r="H365" s="6">
        <f t="shared" ca="1" si="49"/>
        <v>90</v>
      </c>
      <c r="I365" s="6">
        <f t="shared" ca="1" si="50"/>
        <v>1</v>
      </c>
      <c r="J365" s="6">
        <f t="shared" ca="1" si="51"/>
        <v>0</v>
      </c>
      <c r="K365" s="6">
        <f t="shared" ca="1" si="52"/>
        <v>0</v>
      </c>
      <c r="L365" s="6">
        <f t="shared" ca="1" si="53"/>
        <v>0</v>
      </c>
      <c r="M365" s="6">
        <f t="shared" ca="1" si="54"/>
        <v>200</v>
      </c>
      <c r="N365" s="20">
        <f t="shared" ca="1" si="55"/>
        <v>2.4657534246575343</v>
      </c>
      <c r="O365" s="6"/>
    </row>
    <row r="366" spans="2:15" ht="13.15" customHeight="1" x14ac:dyDescent="0.25">
      <c r="B366" s="1"/>
      <c r="E366" s="6">
        <v>362</v>
      </c>
      <c r="F366" s="6">
        <f t="shared" ca="1" si="47"/>
        <v>90</v>
      </c>
      <c r="G366" s="6">
        <f t="shared" ca="1" si="48"/>
        <v>1090</v>
      </c>
      <c r="H366" s="6">
        <f t="shared" ca="1" si="49"/>
        <v>1000</v>
      </c>
      <c r="I366" s="6">
        <f t="shared" ca="1" si="50"/>
        <v>0</v>
      </c>
      <c r="J366" s="6">
        <f t="shared" ca="1" si="51"/>
        <v>0</v>
      </c>
      <c r="K366" s="6">
        <f t="shared" ca="1" si="52"/>
        <v>0</v>
      </c>
      <c r="L366" s="6">
        <f t="shared" ca="1" si="53"/>
        <v>0</v>
      </c>
      <c r="M366" s="6">
        <f t="shared" ca="1" si="54"/>
        <v>0</v>
      </c>
      <c r="N366" s="20">
        <f t="shared" ca="1" si="55"/>
        <v>27.397260273972602</v>
      </c>
      <c r="O366" s="6"/>
    </row>
    <row r="367" spans="2:15" ht="13.15" customHeight="1" x14ac:dyDescent="0.25">
      <c r="B367" s="1"/>
      <c r="E367" s="6">
        <v>363</v>
      </c>
      <c r="F367" s="6">
        <f t="shared" ca="1" si="47"/>
        <v>90</v>
      </c>
      <c r="G367" s="6">
        <f t="shared" ca="1" si="48"/>
        <v>1000</v>
      </c>
      <c r="H367" s="6">
        <f t="shared" ca="1" si="49"/>
        <v>910</v>
      </c>
      <c r="I367" s="6">
        <f t="shared" ca="1" si="50"/>
        <v>0</v>
      </c>
      <c r="J367" s="6">
        <f t="shared" ca="1" si="51"/>
        <v>0</v>
      </c>
      <c r="K367" s="6">
        <f t="shared" ca="1" si="52"/>
        <v>0</v>
      </c>
      <c r="L367" s="6">
        <f t="shared" ca="1" si="53"/>
        <v>0</v>
      </c>
      <c r="M367" s="6">
        <f t="shared" ca="1" si="54"/>
        <v>0</v>
      </c>
      <c r="N367" s="20">
        <f t="shared" ca="1" si="55"/>
        <v>24.931506849315067</v>
      </c>
      <c r="O367" s="6"/>
    </row>
    <row r="368" spans="2:15" ht="13.15" customHeight="1" x14ac:dyDescent="0.25">
      <c r="B368" s="19" t="str">
        <f>"查看第"&amp;O4&amp;"天库存"</f>
        <v>查看第15天库存</v>
      </c>
      <c r="C368" s="46"/>
      <c r="E368" s="6">
        <v>364</v>
      </c>
      <c r="F368" s="6">
        <f t="shared" ca="1" si="47"/>
        <v>80</v>
      </c>
      <c r="G368" s="6">
        <f t="shared" ca="1" si="48"/>
        <v>910</v>
      </c>
      <c r="H368" s="6">
        <f t="shared" ca="1" si="49"/>
        <v>830</v>
      </c>
      <c r="I368" s="6">
        <f t="shared" ca="1" si="50"/>
        <v>0</v>
      </c>
      <c r="J368" s="6">
        <f t="shared" ca="1" si="51"/>
        <v>0</v>
      </c>
      <c r="K368" s="6">
        <f t="shared" ca="1" si="52"/>
        <v>0</v>
      </c>
      <c r="L368" s="6">
        <f t="shared" ca="1" si="53"/>
        <v>0</v>
      </c>
      <c r="M368" s="6">
        <f t="shared" ca="1" si="54"/>
        <v>0</v>
      </c>
      <c r="N368" s="20">
        <f t="shared" ca="1" si="55"/>
        <v>22.739726027397261</v>
      </c>
      <c r="O368" s="6"/>
    </row>
    <row r="369" spans="2:15" ht="13.15" customHeight="1" x14ac:dyDescent="0.25">
      <c r="B369" s="19" t="str">
        <f>B3&amp;"="&amp;C3</f>
        <v>安全库存=100</v>
      </c>
      <c r="C369" s="46"/>
      <c r="E369" s="6">
        <v>365</v>
      </c>
      <c r="F369" s="6">
        <f t="shared" ca="1" si="47"/>
        <v>100</v>
      </c>
      <c r="G369" s="6">
        <f t="shared" ca="1" si="48"/>
        <v>830</v>
      </c>
      <c r="H369" s="6">
        <f t="shared" ca="1" si="49"/>
        <v>730</v>
      </c>
      <c r="I369" s="6">
        <f t="shared" ca="1" si="50"/>
        <v>0</v>
      </c>
      <c r="J369" s="6">
        <f t="shared" ca="1" si="51"/>
        <v>0</v>
      </c>
      <c r="K369" s="6">
        <f t="shared" ca="1" si="52"/>
        <v>0</v>
      </c>
      <c r="L369" s="6">
        <f t="shared" ca="1" si="53"/>
        <v>0</v>
      </c>
      <c r="M369" s="6">
        <f t="shared" ca="1" si="54"/>
        <v>0</v>
      </c>
      <c r="N369" s="20">
        <f t="shared" ca="1" si="55"/>
        <v>20</v>
      </c>
      <c r="O369" s="6"/>
    </row>
    <row r="370" spans="2:15" x14ac:dyDescent="0.25">
      <c r="B370" s="97" t="str">
        <f>B9&amp;"="&amp;C9</f>
        <v>订货量=1000</v>
      </c>
      <c r="C370" s="98"/>
      <c r="E370" s="30"/>
      <c r="F370" s="30"/>
      <c r="G370" s="30"/>
      <c r="H370" s="30"/>
      <c r="I370" s="30"/>
      <c r="J370" s="30"/>
      <c r="K370" s="30"/>
      <c r="L370" s="30"/>
      <c r="M370" s="30"/>
      <c r="N370" s="30"/>
      <c r="O370" s="30"/>
    </row>
    <row r="371" spans="2:15" ht="13.15" customHeight="1" x14ac:dyDescent="0.25">
      <c r="F371" s="39"/>
      <c r="G371" s="40"/>
      <c r="L371" s="16"/>
      <c r="M371" s="16"/>
      <c r="N371" s="2"/>
    </row>
    <row r="372" spans="2:15" ht="13.15" customHeight="1" x14ac:dyDescent="0.25">
      <c r="F372" s="39"/>
      <c r="G372" s="40"/>
      <c r="L372" s="16"/>
      <c r="M372" s="16"/>
      <c r="N372" s="2"/>
    </row>
    <row r="373" spans="2:15" ht="13.15" customHeight="1" x14ac:dyDescent="0.25">
      <c r="F373" s="39"/>
      <c r="G373" s="40"/>
      <c r="L373" s="16"/>
      <c r="M373" s="16"/>
      <c r="N373" s="2"/>
    </row>
    <row r="374" spans="2:15" ht="13.15" customHeight="1" x14ac:dyDescent="0.25">
      <c r="F374" s="39"/>
      <c r="G374" s="40"/>
      <c r="L374" s="16"/>
      <c r="M374" s="16"/>
      <c r="N374" s="2"/>
    </row>
    <row r="375" spans="2:15" ht="13.15" customHeight="1" x14ac:dyDescent="0.25">
      <c r="F375" s="39"/>
      <c r="G375" s="40"/>
      <c r="L375" s="16"/>
      <c r="M375" s="16"/>
      <c r="N375" s="2"/>
    </row>
    <row r="376" spans="2:15" ht="13.15" customHeight="1" x14ac:dyDescent="0.25">
      <c r="F376" s="39"/>
      <c r="G376" s="40"/>
      <c r="L376" s="16"/>
      <c r="M376" s="16"/>
      <c r="N376" s="2"/>
    </row>
    <row r="377" spans="2:15" ht="13.15" customHeight="1" x14ac:dyDescent="0.25">
      <c r="F377" s="39"/>
      <c r="G377" s="40"/>
      <c r="L377" s="16"/>
      <c r="M377" s="16"/>
      <c r="N377" s="2"/>
    </row>
    <row r="378" spans="2:15" ht="13.15" customHeight="1" x14ac:dyDescent="0.25">
      <c r="F378" s="39"/>
      <c r="G378" s="40"/>
      <c r="L378" s="16"/>
      <c r="M378" s="16"/>
      <c r="N378" s="2"/>
    </row>
    <row r="379" spans="2:15" ht="13.15" customHeight="1" x14ac:dyDescent="0.25">
      <c r="F379" s="39"/>
      <c r="G379" s="40"/>
      <c r="L379" s="16"/>
      <c r="M379" s="16"/>
      <c r="N379" s="2"/>
    </row>
    <row r="380" spans="2:15" ht="13.15" customHeight="1" x14ac:dyDescent="0.25">
      <c r="F380" s="39"/>
      <c r="G380" s="40"/>
      <c r="L380" s="16"/>
      <c r="M380" s="16"/>
      <c r="N380" s="2"/>
    </row>
    <row r="381" spans="2:15" ht="13.15" customHeight="1" x14ac:dyDescent="0.25">
      <c r="F381" s="39"/>
      <c r="G381" s="40"/>
      <c r="L381" s="16"/>
      <c r="M381" s="16"/>
      <c r="N381" s="2"/>
    </row>
    <row r="382" spans="2:15" ht="13.15" customHeight="1" x14ac:dyDescent="0.25">
      <c r="F382" s="39"/>
      <c r="G382" s="40"/>
      <c r="L382" s="16"/>
      <c r="M382" s="16"/>
      <c r="N382" s="2"/>
    </row>
    <row r="383" spans="2:15" ht="13.15" customHeight="1" x14ac:dyDescent="0.25">
      <c r="F383" s="39"/>
      <c r="G383" s="40"/>
      <c r="L383" s="16"/>
      <c r="M383" s="16"/>
      <c r="N383" s="2"/>
    </row>
    <row r="384" spans="2:15" ht="13.15" customHeight="1" x14ac:dyDescent="0.25">
      <c r="F384" s="39"/>
      <c r="G384" s="40"/>
      <c r="L384" s="16"/>
      <c r="M384" s="16"/>
      <c r="N384" s="2"/>
    </row>
    <row r="385" spans="6:14" ht="13.15" customHeight="1" x14ac:dyDescent="0.25">
      <c r="F385" s="39"/>
      <c r="G385" s="40"/>
      <c r="L385" s="16"/>
      <c r="M385" s="16"/>
      <c r="N385" s="2"/>
    </row>
    <row r="386" spans="6:14" ht="13.15" customHeight="1" x14ac:dyDescent="0.25">
      <c r="F386" s="39"/>
      <c r="G386" s="40"/>
      <c r="L386" s="16"/>
      <c r="M386" s="16"/>
      <c r="N386" s="2"/>
    </row>
    <row r="387" spans="6:14" ht="13.15" customHeight="1" x14ac:dyDescent="0.25">
      <c r="F387" s="39"/>
      <c r="G387" s="40"/>
      <c r="L387" s="16"/>
      <c r="M387" s="16"/>
      <c r="N387" s="2"/>
    </row>
    <row r="388" spans="6:14" ht="13.15" customHeight="1" x14ac:dyDescent="0.25">
      <c r="F388" s="39"/>
      <c r="G388" s="40"/>
      <c r="L388" s="16"/>
      <c r="M388" s="16"/>
      <c r="N388" s="2"/>
    </row>
    <row r="389" spans="6:14" ht="13.15" customHeight="1" x14ac:dyDescent="0.25">
      <c r="F389" s="39"/>
      <c r="G389" s="40"/>
      <c r="L389" s="16"/>
      <c r="M389" s="16"/>
      <c r="N389" s="2"/>
    </row>
    <row r="390" spans="6:14" ht="13.15" customHeight="1" x14ac:dyDescent="0.25">
      <c r="F390" s="39"/>
      <c r="G390" s="40"/>
      <c r="L390" s="16"/>
      <c r="M390" s="16"/>
      <c r="N390" s="2"/>
    </row>
    <row r="391" spans="6:14" ht="13.15" customHeight="1" x14ac:dyDescent="0.25">
      <c r="F391" s="39"/>
      <c r="G391" s="40"/>
      <c r="L391" s="16"/>
      <c r="M391" s="16"/>
      <c r="N391" s="2"/>
    </row>
    <row r="392" spans="6:14" ht="13.15" customHeight="1" x14ac:dyDescent="0.25">
      <c r="F392" s="39"/>
      <c r="G392" s="40"/>
      <c r="L392" s="16"/>
      <c r="M392" s="16"/>
      <c r="N392" s="2"/>
    </row>
    <row r="393" spans="6:14" ht="13.15" customHeight="1" x14ac:dyDescent="0.25">
      <c r="F393" s="39"/>
      <c r="G393" s="40"/>
      <c r="L393" s="16"/>
      <c r="M393" s="16"/>
      <c r="N393" s="2"/>
    </row>
    <row r="394" spans="6:14" ht="13.15" customHeight="1" x14ac:dyDescent="0.25">
      <c r="F394" s="39"/>
      <c r="G394" s="40"/>
      <c r="L394" s="16"/>
      <c r="M394" s="16"/>
      <c r="N394" s="2"/>
    </row>
    <row r="395" spans="6:14" ht="13.15" customHeight="1" x14ac:dyDescent="0.25">
      <c r="F395" s="39"/>
      <c r="G395" s="40"/>
      <c r="L395" s="16"/>
      <c r="M395" s="16"/>
      <c r="N395" s="2"/>
    </row>
    <row r="396" spans="6:14" ht="13.15" customHeight="1" x14ac:dyDescent="0.25">
      <c r="F396" s="39"/>
      <c r="G396" s="40"/>
      <c r="L396" s="16"/>
      <c r="M396" s="16"/>
      <c r="N396" s="2"/>
    </row>
    <row r="397" spans="6:14" ht="13.15" customHeight="1" x14ac:dyDescent="0.25">
      <c r="F397" s="39"/>
      <c r="G397" s="40"/>
      <c r="L397" s="16"/>
      <c r="M397" s="16"/>
      <c r="N397" s="2"/>
    </row>
    <row r="398" spans="6:14" ht="13.15" customHeight="1" x14ac:dyDescent="0.25">
      <c r="F398" s="39"/>
      <c r="G398" s="40"/>
      <c r="L398" s="16"/>
      <c r="M398" s="16"/>
      <c r="N398" s="2"/>
    </row>
    <row r="399" spans="6:14" ht="13.15" customHeight="1" x14ac:dyDescent="0.25">
      <c r="F399" s="39"/>
      <c r="G399" s="40"/>
      <c r="L399" s="16"/>
      <c r="M399" s="16"/>
      <c r="N399" s="2"/>
    </row>
    <row r="400" spans="6:14" ht="13.15" customHeight="1" x14ac:dyDescent="0.25">
      <c r="F400" s="39"/>
      <c r="G400" s="40"/>
      <c r="L400" s="16"/>
      <c r="M400" s="16"/>
      <c r="N400" s="2"/>
    </row>
    <row r="401" spans="6:14" ht="13.15" customHeight="1" x14ac:dyDescent="0.25">
      <c r="F401" s="39"/>
      <c r="G401" s="40"/>
      <c r="L401" s="16"/>
      <c r="M401" s="16"/>
      <c r="N401" s="2"/>
    </row>
    <row r="402" spans="6:14" ht="13.15" customHeight="1" x14ac:dyDescent="0.25">
      <c r="F402" s="39"/>
      <c r="G402" s="40"/>
      <c r="L402" s="16"/>
      <c r="M402" s="16"/>
      <c r="N402" s="2"/>
    </row>
    <row r="403" spans="6:14" ht="13.15" customHeight="1" x14ac:dyDescent="0.25">
      <c r="F403" s="39"/>
      <c r="G403" s="40"/>
      <c r="L403" s="16"/>
      <c r="M403" s="16"/>
      <c r="N403" s="2"/>
    </row>
    <row r="404" spans="6:14" ht="13.15" customHeight="1" x14ac:dyDescent="0.25">
      <c r="F404" s="39"/>
      <c r="G404" s="40"/>
      <c r="L404" s="16"/>
      <c r="M404" s="16"/>
      <c r="N404" s="2"/>
    </row>
    <row r="405" spans="6:14" ht="13.15" customHeight="1" x14ac:dyDescent="0.25">
      <c r="F405" s="39"/>
      <c r="G405" s="40"/>
      <c r="L405" s="16"/>
      <c r="M405" s="16"/>
      <c r="N405" s="2"/>
    </row>
    <row r="406" spans="6:14" ht="13.15" customHeight="1" x14ac:dyDescent="0.25">
      <c r="F406" s="39"/>
      <c r="G406" s="40"/>
      <c r="L406" s="16"/>
      <c r="M406" s="16"/>
      <c r="N406" s="2"/>
    </row>
    <row r="407" spans="6:14" ht="13.15" customHeight="1" x14ac:dyDescent="0.25">
      <c r="F407" s="39"/>
      <c r="G407" s="40"/>
      <c r="L407" s="16"/>
      <c r="M407" s="16"/>
      <c r="N407" s="2"/>
    </row>
    <row r="408" spans="6:14" ht="13.15" customHeight="1" x14ac:dyDescent="0.25">
      <c r="F408" s="39"/>
      <c r="G408" s="40"/>
      <c r="L408" s="16"/>
      <c r="M408" s="16"/>
      <c r="N408" s="2"/>
    </row>
    <row r="409" spans="6:14" ht="13.15" customHeight="1" x14ac:dyDescent="0.25">
      <c r="F409" s="39"/>
      <c r="G409" s="40"/>
      <c r="L409" s="16"/>
      <c r="M409" s="16"/>
      <c r="N409" s="2"/>
    </row>
    <row r="410" spans="6:14" ht="13.15" customHeight="1" x14ac:dyDescent="0.25">
      <c r="F410" s="39"/>
      <c r="G410" s="40"/>
      <c r="L410" s="16"/>
      <c r="M410" s="16"/>
      <c r="N410" s="2"/>
    </row>
    <row r="411" spans="6:14" ht="13.15" customHeight="1" x14ac:dyDescent="0.25">
      <c r="F411" s="39"/>
      <c r="G411" s="40"/>
      <c r="L411" s="16"/>
      <c r="M411" s="16"/>
      <c r="N411" s="2"/>
    </row>
    <row r="412" spans="6:14" ht="13.15" customHeight="1" x14ac:dyDescent="0.25">
      <c r="F412" s="39"/>
      <c r="G412" s="40"/>
      <c r="L412" s="16"/>
      <c r="M412" s="16"/>
      <c r="N412" s="2"/>
    </row>
    <row r="413" spans="6:14" ht="13.15" customHeight="1" x14ac:dyDescent="0.25">
      <c r="F413" s="39"/>
      <c r="G413" s="40"/>
      <c r="L413" s="16"/>
      <c r="M413" s="16"/>
      <c r="N413" s="2"/>
    </row>
    <row r="414" spans="6:14" ht="13.15" customHeight="1" x14ac:dyDescent="0.25">
      <c r="F414" s="39"/>
      <c r="G414" s="40"/>
      <c r="L414" s="16"/>
      <c r="M414" s="16"/>
      <c r="N414" s="2"/>
    </row>
    <row r="415" spans="6:14" ht="13.15" customHeight="1" x14ac:dyDescent="0.25">
      <c r="F415" s="39"/>
      <c r="G415" s="40"/>
      <c r="L415" s="16"/>
      <c r="M415" s="16"/>
      <c r="N415" s="2"/>
    </row>
    <row r="416" spans="6:14" ht="13.15" customHeight="1" x14ac:dyDescent="0.25">
      <c r="F416" s="39"/>
      <c r="G416" s="40"/>
      <c r="L416" s="16"/>
      <c r="M416" s="16"/>
      <c r="N416" s="2"/>
    </row>
    <row r="417" spans="6:14" ht="13.15" customHeight="1" x14ac:dyDescent="0.25">
      <c r="F417" s="39"/>
      <c r="G417" s="40"/>
      <c r="L417" s="16"/>
      <c r="M417" s="16"/>
      <c r="N417" s="2"/>
    </row>
    <row r="418" spans="6:14" ht="13.15" customHeight="1" x14ac:dyDescent="0.25">
      <c r="F418" s="39"/>
      <c r="G418" s="40"/>
      <c r="L418" s="16"/>
      <c r="M418" s="16"/>
      <c r="N418" s="2"/>
    </row>
    <row r="419" spans="6:14" ht="13.15" customHeight="1" x14ac:dyDescent="0.25">
      <c r="F419" s="39"/>
      <c r="G419" s="40"/>
      <c r="L419" s="16"/>
      <c r="M419" s="16"/>
      <c r="N419" s="2"/>
    </row>
    <row r="420" spans="6:14" ht="13.15" customHeight="1" x14ac:dyDescent="0.25">
      <c r="F420" s="39"/>
      <c r="G420" s="40"/>
      <c r="L420" s="16"/>
      <c r="M420" s="16"/>
      <c r="N420" s="2"/>
    </row>
    <row r="421" spans="6:14" ht="13.15" customHeight="1" x14ac:dyDescent="0.25">
      <c r="F421" s="39"/>
      <c r="G421" s="40"/>
      <c r="L421" s="16"/>
      <c r="M421" s="16"/>
      <c r="N421" s="2"/>
    </row>
    <row r="422" spans="6:14" ht="13.15" customHeight="1" x14ac:dyDescent="0.25">
      <c r="F422" s="39"/>
      <c r="G422" s="40"/>
      <c r="L422" s="16"/>
      <c r="M422" s="16"/>
      <c r="N422" s="2"/>
    </row>
    <row r="423" spans="6:14" ht="13.15" customHeight="1" x14ac:dyDescent="0.25">
      <c r="F423" s="39"/>
      <c r="G423" s="40"/>
      <c r="L423" s="16"/>
      <c r="M423" s="16"/>
      <c r="N423" s="2"/>
    </row>
    <row r="424" spans="6:14" ht="13.15" customHeight="1" x14ac:dyDescent="0.25">
      <c r="F424" s="39"/>
      <c r="G424" s="40"/>
      <c r="L424" s="16"/>
      <c r="M424" s="16"/>
      <c r="N424" s="2"/>
    </row>
    <row r="425" spans="6:14" ht="13.15" customHeight="1" x14ac:dyDescent="0.25"/>
    <row r="426" spans="6:14" ht="13.15" customHeight="1" x14ac:dyDescent="0.25"/>
    <row r="427" spans="6:14" ht="13.15" customHeight="1" x14ac:dyDescent="0.25"/>
    <row r="428" spans="6:14" ht="13.15" customHeight="1" x14ac:dyDescent="0.25"/>
    <row r="429" spans="6:14" ht="13.15" customHeight="1" x14ac:dyDescent="0.25"/>
  </sheetData>
  <mergeCells count="2">
    <mergeCell ref="E2:E3"/>
    <mergeCell ref="B370:C370"/>
  </mergeCells>
  <phoneticPr fontId="3"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526E3-0F83-49D0-AE69-E395B09D60E3}">
  <dimension ref="A1:L111"/>
  <sheetViews>
    <sheetView topLeftCell="A3" zoomScale="74" zoomScaleNormal="87" workbookViewId="0">
      <selection activeCell="M14" sqref="M14"/>
    </sheetView>
  </sheetViews>
  <sheetFormatPr defaultRowHeight="14" x14ac:dyDescent="0.3"/>
  <cols>
    <col min="3" max="3" width="18.5" customWidth="1"/>
  </cols>
  <sheetData>
    <row r="1" spans="1:12" x14ac:dyDescent="0.3">
      <c r="A1" s="47"/>
      <c r="B1" s="48" t="s">
        <v>45</v>
      </c>
      <c r="C1" s="47"/>
      <c r="D1" s="47"/>
      <c r="E1" s="47"/>
      <c r="F1" s="47"/>
      <c r="G1" s="47"/>
      <c r="H1" s="47"/>
      <c r="I1" s="47"/>
      <c r="J1" s="47"/>
    </row>
    <row r="2" spans="1:12" ht="15" x14ac:dyDescent="0.3">
      <c r="A2" s="47"/>
      <c r="B2" s="47"/>
      <c r="C2" s="47"/>
      <c r="D2" s="47"/>
      <c r="E2" s="47"/>
      <c r="F2" s="48" t="s">
        <v>46</v>
      </c>
      <c r="G2" s="47"/>
      <c r="H2" s="47"/>
      <c r="I2" s="49" t="s">
        <v>40</v>
      </c>
      <c r="J2" s="47"/>
    </row>
    <row r="3" spans="1:12" ht="15" x14ac:dyDescent="0.3">
      <c r="A3" s="47"/>
      <c r="B3" s="48" t="s">
        <v>47</v>
      </c>
      <c r="C3" s="47"/>
      <c r="D3" s="47"/>
      <c r="E3" s="47"/>
      <c r="F3" s="50" t="s">
        <v>48</v>
      </c>
      <c r="G3" s="50" t="s">
        <v>49</v>
      </c>
      <c r="H3" s="47"/>
      <c r="I3" s="51" t="s">
        <v>50</v>
      </c>
      <c r="J3" s="51" t="s">
        <v>51</v>
      </c>
    </row>
    <row r="4" spans="1:12" x14ac:dyDescent="0.3">
      <c r="A4" s="47"/>
      <c r="B4" s="52" t="s">
        <v>52</v>
      </c>
      <c r="C4" s="53"/>
      <c r="D4" s="54">
        <v>5</v>
      </c>
      <c r="E4" s="47"/>
      <c r="F4" s="55"/>
      <c r="G4" s="56">
        <f ca="1">D15</f>
        <v>1.3706713095386034</v>
      </c>
      <c r="H4" s="47"/>
      <c r="I4" s="50">
        <f>D21-D23/2</f>
        <v>1.0929744037239748</v>
      </c>
      <c r="J4" cm="1">
        <f t="array" ref="J4:J26">FREQUENCY(G5:G104,I4:I25)</f>
        <v>0</v>
      </c>
      <c r="K4">
        <f>J4/100</f>
        <v>0</v>
      </c>
      <c r="L4">
        <f>K4</f>
        <v>0</v>
      </c>
    </row>
    <row r="5" spans="1:12" x14ac:dyDescent="0.3">
      <c r="A5" s="47"/>
      <c r="B5" s="52" t="s">
        <v>53</v>
      </c>
      <c r="C5" s="53"/>
      <c r="D5" s="54">
        <v>3</v>
      </c>
      <c r="E5" s="47"/>
      <c r="F5" s="58">
        <v>1</v>
      </c>
      <c r="G5" s="59">
        <f t="dataTable" ref="G5:G104" dt2D="0" dtr="0" r1="D30" ca="1"/>
        <v>1.7579564305788802</v>
      </c>
      <c r="H5" s="47"/>
      <c r="I5" s="50">
        <f>I4+$D$23</f>
        <v>1.1342735749156996</v>
      </c>
      <c r="J5" s="57">
        <v>2</v>
      </c>
      <c r="K5">
        <f t="shared" ref="K5:K25" si="0">J5/100</f>
        <v>0.02</v>
      </c>
      <c r="L5">
        <f>K5+L4</f>
        <v>0.02</v>
      </c>
    </row>
    <row r="6" spans="1:12" x14ac:dyDescent="0.3">
      <c r="A6" s="47"/>
      <c r="B6" s="52" t="s">
        <v>54</v>
      </c>
      <c r="C6" s="53"/>
      <c r="D6" s="54">
        <v>2.5</v>
      </c>
      <c r="E6" s="47"/>
      <c r="F6" s="58">
        <v>2</v>
      </c>
      <c r="G6" s="59">
        <v>1.5120481263877679</v>
      </c>
      <c r="H6" s="47"/>
      <c r="I6" s="50">
        <f t="shared" ref="I6:I25" si="1">I5+$D$23</f>
        <v>1.1755727461074243</v>
      </c>
      <c r="J6" s="57">
        <v>0</v>
      </c>
      <c r="K6">
        <f t="shared" si="0"/>
        <v>0</v>
      </c>
      <c r="L6">
        <f t="shared" ref="L6:L25" si="2">K6+L5</f>
        <v>0.02</v>
      </c>
    </row>
    <row r="7" spans="1:12" x14ac:dyDescent="0.3">
      <c r="A7" s="47"/>
      <c r="B7" s="52" t="s">
        <v>55</v>
      </c>
      <c r="C7" s="53"/>
      <c r="D7" s="54">
        <v>2</v>
      </c>
      <c r="E7" s="47"/>
      <c r="F7" s="58">
        <v>3</v>
      </c>
      <c r="G7" s="59">
        <v>1.3129279739837107</v>
      </c>
      <c r="H7" s="47"/>
      <c r="I7" s="50">
        <f t="shared" si="1"/>
        <v>1.2168719172991491</v>
      </c>
      <c r="J7" s="57">
        <v>0</v>
      </c>
      <c r="K7">
        <f t="shared" si="0"/>
        <v>0</v>
      </c>
      <c r="L7">
        <f t="shared" si="2"/>
        <v>0.02</v>
      </c>
    </row>
    <row r="8" spans="1:12" x14ac:dyDescent="0.3">
      <c r="A8" s="47"/>
      <c r="B8" s="52" t="s">
        <v>56</v>
      </c>
      <c r="C8" s="53"/>
      <c r="D8" s="54">
        <v>0.2</v>
      </c>
      <c r="E8" s="47"/>
      <c r="F8" s="58">
        <v>4</v>
      </c>
      <c r="G8" s="59">
        <v>1.357594301252834</v>
      </c>
      <c r="H8" s="47"/>
      <c r="I8" s="50">
        <f t="shared" si="1"/>
        <v>1.2581710884908739</v>
      </c>
      <c r="J8" s="57">
        <v>2</v>
      </c>
      <c r="K8">
        <f t="shared" si="0"/>
        <v>0.02</v>
      </c>
      <c r="L8">
        <f t="shared" si="2"/>
        <v>0.04</v>
      </c>
    </row>
    <row r="9" spans="1:12" x14ac:dyDescent="0.3">
      <c r="A9" s="47"/>
      <c r="B9" s="52" t="s">
        <v>57</v>
      </c>
      <c r="C9" s="53"/>
      <c r="D9" s="60">
        <v>0.08</v>
      </c>
      <c r="E9" s="47"/>
      <c r="F9" s="58">
        <v>5</v>
      </c>
      <c r="G9" s="59">
        <v>1.9396074131543326</v>
      </c>
      <c r="H9" s="47"/>
      <c r="I9" s="50">
        <f t="shared" si="1"/>
        <v>1.2994702596825987</v>
      </c>
      <c r="J9" s="57">
        <v>4</v>
      </c>
      <c r="K9">
        <f t="shared" si="0"/>
        <v>0.04</v>
      </c>
      <c r="L9">
        <f t="shared" si="2"/>
        <v>0.08</v>
      </c>
    </row>
    <row r="10" spans="1:12" x14ac:dyDescent="0.3">
      <c r="A10" s="47"/>
      <c r="B10" s="47"/>
      <c r="C10" s="47"/>
      <c r="D10" s="47"/>
      <c r="E10" s="47"/>
      <c r="F10" s="58">
        <v>6</v>
      </c>
      <c r="G10" s="59">
        <v>1.634833535483148</v>
      </c>
      <c r="H10" s="47"/>
      <c r="I10" s="50">
        <f t="shared" si="1"/>
        <v>1.3407694308743234</v>
      </c>
      <c r="J10" s="57">
        <v>7</v>
      </c>
      <c r="K10">
        <f t="shared" si="0"/>
        <v>7.0000000000000007E-2</v>
      </c>
      <c r="L10">
        <f t="shared" si="2"/>
        <v>0.15000000000000002</v>
      </c>
    </row>
    <row r="11" spans="1:12" x14ac:dyDescent="0.3">
      <c r="A11" s="47"/>
      <c r="B11" s="48" t="s">
        <v>58</v>
      </c>
      <c r="C11" s="47"/>
      <c r="D11" s="47"/>
      <c r="E11" s="47"/>
      <c r="F11" s="58">
        <v>7</v>
      </c>
      <c r="G11" s="59">
        <v>1.464011567817499</v>
      </c>
      <c r="H11" s="47"/>
      <c r="I11" s="50">
        <f t="shared" si="1"/>
        <v>1.3820686020660482</v>
      </c>
      <c r="J11" s="57">
        <v>11</v>
      </c>
      <c r="K11">
        <f t="shared" si="0"/>
        <v>0.11</v>
      </c>
      <c r="L11">
        <f t="shared" si="2"/>
        <v>0.26</v>
      </c>
    </row>
    <row r="12" spans="1:12" x14ac:dyDescent="0.3">
      <c r="A12" s="47"/>
      <c r="B12" s="52" t="s">
        <v>59</v>
      </c>
      <c r="C12" s="53"/>
      <c r="D12" s="61">
        <f ca="1">NORMINV(RAND(),D7,D8)</f>
        <v>1.826011096681494</v>
      </c>
      <c r="E12" s="47"/>
      <c r="F12" s="58">
        <v>8</v>
      </c>
      <c r="G12" s="59">
        <v>1.4380385601527346</v>
      </c>
      <c r="H12" s="47"/>
      <c r="I12" s="50">
        <f t="shared" si="1"/>
        <v>1.423367773257773</v>
      </c>
      <c r="J12" s="57">
        <v>13</v>
      </c>
      <c r="K12">
        <f t="shared" si="0"/>
        <v>0.13</v>
      </c>
      <c r="L12">
        <f t="shared" si="2"/>
        <v>0.39</v>
      </c>
    </row>
    <row r="13" spans="1:12" x14ac:dyDescent="0.3">
      <c r="A13" s="47"/>
      <c r="B13" s="47"/>
      <c r="C13" s="47"/>
      <c r="D13" s="47"/>
      <c r="E13" s="47"/>
      <c r="F13" s="58">
        <v>9</v>
      </c>
      <c r="G13" s="59">
        <v>1.6564006089582461</v>
      </c>
      <c r="H13" s="47"/>
      <c r="I13" s="50">
        <f t="shared" si="1"/>
        <v>1.4646669444494977</v>
      </c>
      <c r="J13" s="57">
        <v>7</v>
      </c>
      <c r="K13">
        <f t="shared" si="0"/>
        <v>7.0000000000000007E-2</v>
      </c>
      <c r="L13">
        <f t="shared" si="2"/>
        <v>0.46</v>
      </c>
    </row>
    <row r="14" spans="1:12" x14ac:dyDescent="0.3">
      <c r="A14" s="47"/>
      <c r="B14" s="48" t="s">
        <v>1</v>
      </c>
      <c r="C14" s="47"/>
      <c r="D14" s="47"/>
      <c r="E14" s="47"/>
      <c r="F14" s="58">
        <v>10</v>
      </c>
      <c r="G14" s="59">
        <v>1.5059828319419113</v>
      </c>
      <c r="H14" s="47"/>
      <c r="I14" s="50">
        <f t="shared" si="1"/>
        <v>1.5059661156412225</v>
      </c>
      <c r="J14" s="57">
        <v>8</v>
      </c>
      <c r="K14">
        <f t="shared" si="0"/>
        <v>0.08</v>
      </c>
      <c r="L14">
        <f t="shared" si="2"/>
        <v>0.54</v>
      </c>
    </row>
    <row r="15" spans="1:12" x14ac:dyDescent="0.3">
      <c r="A15" s="47"/>
      <c r="B15" s="52" t="s">
        <v>49</v>
      </c>
      <c r="C15" s="53"/>
      <c r="D15" s="62">
        <f ca="1">-D4+NPV(D9,D5:D6,D12)</f>
        <v>1.3706713095386034</v>
      </c>
      <c r="E15" s="47"/>
      <c r="F15" s="58">
        <v>11</v>
      </c>
      <c r="G15" s="59">
        <v>1.3861645425788138</v>
      </c>
      <c r="H15" s="47"/>
      <c r="I15" s="50">
        <f t="shared" si="1"/>
        <v>1.5472652868329473</v>
      </c>
      <c r="J15" s="57">
        <v>6</v>
      </c>
      <c r="K15">
        <f t="shared" si="0"/>
        <v>0.06</v>
      </c>
      <c r="L15">
        <f t="shared" si="2"/>
        <v>0.60000000000000009</v>
      </c>
    </row>
    <row r="16" spans="1:12" x14ac:dyDescent="0.3">
      <c r="A16" s="47"/>
      <c r="B16" s="47"/>
      <c r="C16" s="47"/>
      <c r="D16" s="47"/>
      <c r="E16" s="47"/>
      <c r="F16" s="58">
        <v>12</v>
      </c>
      <c r="G16" s="59">
        <v>1.4115713393977778</v>
      </c>
      <c r="H16" s="47"/>
      <c r="I16" s="50">
        <f t="shared" si="1"/>
        <v>1.5885644580246721</v>
      </c>
      <c r="J16" s="57">
        <v>10</v>
      </c>
      <c r="K16">
        <f t="shared" si="0"/>
        <v>0.1</v>
      </c>
      <c r="L16">
        <f t="shared" si="2"/>
        <v>0.70000000000000007</v>
      </c>
    </row>
    <row r="17" spans="1:12" x14ac:dyDescent="0.3">
      <c r="A17" s="47"/>
      <c r="B17" s="11" t="s">
        <v>60</v>
      </c>
      <c r="C17" s="1"/>
      <c r="D17" s="1"/>
      <c r="E17" s="47"/>
      <c r="F17" s="58">
        <v>13</v>
      </c>
      <c r="G17" s="59">
        <v>1.4143460865214497</v>
      </c>
      <c r="H17" s="47"/>
      <c r="I17" s="50">
        <f t="shared" si="1"/>
        <v>1.6298636292163968</v>
      </c>
      <c r="J17" s="57">
        <v>6</v>
      </c>
      <c r="K17">
        <f t="shared" si="0"/>
        <v>0.06</v>
      </c>
      <c r="L17">
        <f t="shared" si="2"/>
        <v>0.76</v>
      </c>
    </row>
    <row r="18" spans="1:12" x14ac:dyDescent="0.3">
      <c r="A18" s="47"/>
      <c r="B18" s="63" t="s">
        <v>61</v>
      </c>
      <c r="C18" s="53"/>
      <c r="D18" s="64">
        <f>AVERAGE(G5:G104)</f>
        <v>1.5010894547670302</v>
      </c>
      <c r="E18" s="47"/>
      <c r="F18" s="58">
        <v>14</v>
      </c>
      <c r="G18" s="59">
        <v>1.7430259015521008</v>
      </c>
      <c r="H18" s="47"/>
      <c r="I18" s="50">
        <f t="shared" si="1"/>
        <v>1.6711628004081216</v>
      </c>
      <c r="J18" s="57">
        <v>7</v>
      </c>
      <c r="K18">
        <f t="shared" si="0"/>
        <v>7.0000000000000007E-2</v>
      </c>
      <c r="L18">
        <f t="shared" si="2"/>
        <v>0.83000000000000007</v>
      </c>
    </row>
    <row r="19" spans="1:12" x14ac:dyDescent="0.3">
      <c r="A19" s="47"/>
      <c r="B19" s="63" t="s">
        <v>62</v>
      </c>
      <c r="C19" s="53"/>
      <c r="D19" s="64">
        <f>STDEV(G5:G104)</f>
        <v>0.1622157882304352</v>
      </c>
      <c r="E19" s="47"/>
      <c r="F19" s="58">
        <v>15</v>
      </c>
      <c r="G19" s="59">
        <v>1.253900514035533</v>
      </c>
      <c r="H19" s="47"/>
      <c r="I19" s="50">
        <f t="shared" si="1"/>
        <v>1.7124619715998464</v>
      </c>
      <c r="J19" s="57">
        <v>7</v>
      </c>
      <c r="K19">
        <f t="shared" si="0"/>
        <v>7.0000000000000007E-2</v>
      </c>
      <c r="L19">
        <f t="shared" si="2"/>
        <v>0.90000000000000013</v>
      </c>
    </row>
    <row r="20" spans="1:12" x14ac:dyDescent="0.3">
      <c r="A20" s="47"/>
      <c r="B20" s="63" t="s">
        <v>63</v>
      </c>
      <c r="C20" s="53"/>
      <c r="D20" s="64">
        <f>MAX(G5:G104)</f>
        <v>1.9396074131543326</v>
      </c>
      <c r="E20" s="47"/>
      <c r="F20" s="58">
        <v>16</v>
      </c>
      <c r="G20" s="59">
        <v>1.2672421534361149</v>
      </c>
      <c r="H20" s="47"/>
      <c r="I20" s="50">
        <f t="shared" si="1"/>
        <v>1.7537611427915711</v>
      </c>
      <c r="J20" s="57">
        <v>2</v>
      </c>
      <c r="K20">
        <f t="shared" si="0"/>
        <v>0.02</v>
      </c>
      <c r="L20">
        <f t="shared" si="2"/>
        <v>0.92000000000000015</v>
      </c>
    </row>
    <row r="21" spans="1:12" x14ac:dyDescent="0.3">
      <c r="A21" s="47"/>
      <c r="B21" s="63" t="s">
        <v>64</v>
      </c>
      <c r="C21" s="53"/>
      <c r="D21" s="65">
        <f>MIN(G5:G104)</f>
        <v>1.1136239893198372</v>
      </c>
      <c r="E21" s="47"/>
      <c r="F21" s="58">
        <v>17</v>
      </c>
      <c r="G21" s="59">
        <v>1.7948920419700993</v>
      </c>
      <c r="H21" s="47"/>
      <c r="I21" s="50">
        <f t="shared" si="1"/>
        <v>1.7950603139832959</v>
      </c>
      <c r="J21" s="57">
        <v>6</v>
      </c>
      <c r="K21">
        <f t="shared" si="0"/>
        <v>0.06</v>
      </c>
      <c r="L21">
        <f t="shared" si="2"/>
        <v>0.9800000000000002</v>
      </c>
    </row>
    <row r="22" spans="1:12" x14ac:dyDescent="0.3">
      <c r="A22" s="47"/>
      <c r="B22" s="99" t="s">
        <v>65</v>
      </c>
      <c r="C22" s="99"/>
      <c r="D22">
        <v>20</v>
      </c>
      <c r="E22" s="47"/>
      <c r="F22" s="58">
        <v>18</v>
      </c>
      <c r="G22" s="59">
        <v>1.4280719638237347</v>
      </c>
      <c r="H22" s="47"/>
      <c r="I22" s="50">
        <f t="shared" si="1"/>
        <v>1.8363594851750207</v>
      </c>
      <c r="J22" s="57">
        <v>0</v>
      </c>
      <c r="K22">
        <f t="shared" si="0"/>
        <v>0</v>
      </c>
      <c r="L22">
        <f t="shared" si="2"/>
        <v>0.9800000000000002</v>
      </c>
    </row>
    <row r="23" spans="1:12" x14ac:dyDescent="0.3">
      <c r="A23" s="47"/>
      <c r="B23" s="99" t="s">
        <v>66</v>
      </c>
      <c r="C23" s="99"/>
      <c r="D23" s="20">
        <f>(D20-D21)/D22</f>
        <v>4.1299171191724771E-2</v>
      </c>
      <c r="E23" s="47"/>
      <c r="F23" s="58">
        <v>19</v>
      </c>
      <c r="G23" s="59">
        <v>1.3586695834160301</v>
      </c>
      <c r="H23" s="47"/>
      <c r="I23" s="50">
        <f t="shared" si="1"/>
        <v>1.8776586563667454</v>
      </c>
      <c r="J23" s="57">
        <v>1</v>
      </c>
      <c r="K23">
        <f t="shared" si="0"/>
        <v>0.01</v>
      </c>
      <c r="L23">
        <f t="shared" si="2"/>
        <v>0.99000000000000021</v>
      </c>
    </row>
    <row r="24" spans="1:12" x14ac:dyDescent="0.3">
      <c r="A24" s="47"/>
      <c r="B24" s="1"/>
      <c r="C24" s="1"/>
      <c r="D24" s="1"/>
      <c r="E24" s="47"/>
      <c r="F24" s="58">
        <v>20</v>
      </c>
      <c r="G24" s="59">
        <v>1.7610406950397097</v>
      </c>
      <c r="H24" s="47"/>
      <c r="I24" s="50">
        <f t="shared" si="1"/>
        <v>1.9189578275584702</v>
      </c>
      <c r="J24">
        <v>0</v>
      </c>
      <c r="K24">
        <f t="shared" si="0"/>
        <v>0</v>
      </c>
      <c r="L24">
        <f t="shared" si="2"/>
        <v>0.99000000000000021</v>
      </c>
    </row>
    <row r="25" spans="1:12" x14ac:dyDescent="0.3">
      <c r="A25" s="47"/>
      <c r="B25" s="1"/>
      <c r="C25" s="1"/>
      <c r="D25" s="1"/>
      <c r="E25" s="47"/>
      <c r="F25" s="58">
        <v>21</v>
      </c>
      <c r="G25" s="59">
        <v>1.6489681765301301</v>
      </c>
      <c r="H25" s="47"/>
      <c r="I25" s="50">
        <f t="shared" si="1"/>
        <v>1.960256998750195</v>
      </c>
      <c r="J25" s="57">
        <v>1</v>
      </c>
      <c r="K25">
        <f t="shared" si="0"/>
        <v>0.01</v>
      </c>
      <c r="L25">
        <f t="shared" si="2"/>
        <v>1.0000000000000002</v>
      </c>
    </row>
    <row r="26" spans="1:12" x14ac:dyDescent="0.3">
      <c r="A26" s="47"/>
      <c r="B26" s="1"/>
      <c r="C26" s="1"/>
      <c r="D26" s="1"/>
      <c r="E26" s="47"/>
      <c r="F26" s="58">
        <v>22</v>
      </c>
      <c r="G26" s="59">
        <v>1.4733832133766134</v>
      </c>
      <c r="H26" s="47"/>
      <c r="J26">
        <v>0</v>
      </c>
    </row>
    <row r="27" spans="1:12" x14ac:dyDescent="0.3">
      <c r="A27" s="47"/>
      <c r="B27" s="1"/>
      <c r="C27" s="1"/>
      <c r="D27" s="1"/>
      <c r="E27" s="47"/>
      <c r="F27" s="58">
        <v>23</v>
      </c>
      <c r="G27" s="59">
        <v>1.2642605585009132</v>
      </c>
      <c r="H27" s="47"/>
    </row>
    <row r="28" spans="1:12" x14ac:dyDescent="0.3">
      <c r="A28" s="47"/>
      <c r="B28" s="1"/>
      <c r="C28" s="1"/>
      <c r="D28" s="1"/>
      <c r="E28" s="47"/>
      <c r="F28" s="58">
        <v>24</v>
      </c>
      <c r="G28" s="59">
        <v>1.3947986280207108</v>
      </c>
      <c r="H28" s="47"/>
    </row>
    <row r="29" spans="1:12" x14ac:dyDescent="0.3">
      <c r="A29" s="47"/>
      <c r="B29" s="1"/>
      <c r="C29" s="1"/>
      <c r="D29" s="1"/>
      <c r="E29" s="47"/>
      <c r="F29" s="58">
        <v>25</v>
      </c>
      <c r="G29" s="59">
        <v>1.5038032982232217</v>
      </c>
      <c r="H29" s="47"/>
    </row>
    <row r="30" spans="1:12" x14ac:dyDescent="0.3">
      <c r="A30" s="47"/>
      <c r="B30" s="1"/>
      <c r="C30" s="1"/>
      <c r="D30" s="1"/>
      <c r="E30" s="47"/>
      <c r="F30" s="58">
        <v>26</v>
      </c>
      <c r="G30" s="59">
        <v>1.3696670970021652</v>
      </c>
      <c r="H30" s="47"/>
    </row>
    <row r="31" spans="1:12" x14ac:dyDescent="0.3">
      <c r="A31" s="47"/>
      <c r="B31" s="1"/>
      <c r="C31" s="1"/>
      <c r="D31" s="1"/>
      <c r="E31" s="47"/>
      <c r="F31" s="58">
        <v>27</v>
      </c>
      <c r="G31" s="59">
        <v>1.6264832396991649</v>
      </c>
      <c r="H31" s="47"/>
    </row>
    <row r="32" spans="1:12" x14ac:dyDescent="0.3">
      <c r="A32" s="47"/>
      <c r="B32" s="1"/>
      <c r="C32" s="1"/>
      <c r="D32" s="1"/>
      <c r="E32" s="47"/>
      <c r="F32" s="58">
        <v>28</v>
      </c>
      <c r="G32" s="59">
        <v>1.5781371275325631</v>
      </c>
      <c r="H32" s="47"/>
    </row>
    <row r="33" spans="1:8" x14ac:dyDescent="0.3">
      <c r="A33" s="47"/>
      <c r="B33" s="1"/>
      <c r="C33" s="1"/>
      <c r="D33" s="1"/>
      <c r="E33" s="47"/>
      <c r="F33" s="58">
        <v>29</v>
      </c>
      <c r="G33" s="59">
        <v>1.6984190072390435</v>
      </c>
      <c r="H33" s="47"/>
    </row>
    <row r="34" spans="1:8" x14ac:dyDescent="0.3">
      <c r="A34" s="47"/>
      <c r="B34" s="1"/>
      <c r="C34" s="1"/>
      <c r="D34" s="1"/>
      <c r="E34" s="47"/>
      <c r="F34" s="58">
        <v>30</v>
      </c>
      <c r="G34" s="59">
        <v>1.5321629438528612</v>
      </c>
      <c r="H34" s="47"/>
    </row>
    <row r="35" spans="1:8" x14ac:dyDescent="0.3">
      <c r="A35" s="47"/>
      <c r="B35" s="1"/>
      <c r="C35" s="1"/>
      <c r="D35" s="1"/>
      <c r="E35" s="47"/>
      <c r="F35" s="58">
        <v>31</v>
      </c>
      <c r="G35" s="59">
        <v>1.3111094737910758</v>
      </c>
      <c r="H35" s="47"/>
    </row>
    <row r="36" spans="1:8" x14ac:dyDescent="0.3">
      <c r="A36" s="47"/>
      <c r="B36" s="1"/>
      <c r="C36" s="1"/>
      <c r="D36" s="1"/>
      <c r="E36" s="47"/>
      <c r="F36" s="58">
        <v>32</v>
      </c>
      <c r="G36" s="59">
        <v>1.5337574081452621</v>
      </c>
      <c r="H36" s="47"/>
    </row>
    <row r="37" spans="1:8" x14ac:dyDescent="0.3">
      <c r="A37" s="47"/>
      <c r="B37" s="1"/>
      <c r="C37" s="1"/>
      <c r="D37" s="1"/>
      <c r="E37" s="47"/>
      <c r="F37" s="58">
        <v>33</v>
      </c>
      <c r="G37" s="59">
        <v>1.7012935534997684</v>
      </c>
      <c r="H37" s="47"/>
    </row>
    <row r="38" spans="1:8" x14ac:dyDescent="0.3">
      <c r="A38" s="47"/>
      <c r="B38" s="1"/>
      <c r="C38" s="1"/>
      <c r="D38" s="1"/>
      <c r="E38" s="47"/>
      <c r="F38" s="58">
        <v>34</v>
      </c>
      <c r="G38" s="59">
        <v>1.3575154774049514</v>
      </c>
      <c r="H38" s="47"/>
    </row>
    <row r="39" spans="1:8" x14ac:dyDescent="0.3">
      <c r="A39" s="47"/>
      <c r="B39" s="1"/>
      <c r="C39" s="1"/>
      <c r="D39" s="1"/>
      <c r="E39" s="47"/>
      <c r="F39" s="58">
        <v>35</v>
      </c>
      <c r="G39" s="59">
        <v>1.6642997803162505</v>
      </c>
      <c r="H39" s="47"/>
    </row>
    <row r="40" spans="1:8" x14ac:dyDescent="0.3">
      <c r="A40" s="47"/>
      <c r="B40" s="1"/>
      <c r="C40" s="1"/>
      <c r="D40" s="1"/>
      <c r="E40" s="47"/>
      <c r="F40" s="58">
        <v>36</v>
      </c>
      <c r="G40" s="59">
        <v>1.5081773377778358</v>
      </c>
      <c r="H40" s="47"/>
    </row>
    <row r="41" spans="1:8" x14ac:dyDescent="0.3">
      <c r="A41" s="47"/>
      <c r="B41" s="1"/>
      <c r="C41" s="1"/>
      <c r="D41" s="1"/>
      <c r="E41" s="47"/>
      <c r="F41" s="58">
        <v>37</v>
      </c>
      <c r="G41" s="59">
        <v>1.7076501172007958</v>
      </c>
      <c r="H41" s="47"/>
    </row>
    <row r="42" spans="1:8" x14ac:dyDescent="0.3">
      <c r="A42" s="47"/>
      <c r="B42" s="1"/>
      <c r="C42" s="1"/>
      <c r="D42" s="1"/>
      <c r="E42" s="47"/>
      <c r="F42" s="58">
        <v>38</v>
      </c>
      <c r="G42" s="59">
        <v>1.2941148534363727</v>
      </c>
      <c r="H42" s="47"/>
    </row>
    <row r="43" spans="1:8" x14ac:dyDescent="0.3">
      <c r="A43" s="47"/>
      <c r="B43" s="1"/>
      <c r="C43" s="1"/>
      <c r="D43" s="1"/>
      <c r="E43" s="47"/>
      <c r="F43" s="58">
        <v>39</v>
      </c>
      <c r="G43" s="59">
        <v>1.4989521266811092</v>
      </c>
      <c r="H43" s="47"/>
    </row>
    <row r="44" spans="1:8" x14ac:dyDescent="0.3">
      <c r="A44" s="47"/>
      <c r="B44" s="1"/>
      <c r="C44" s="1"/>
      <c r="D44" s="1"/>
      <c r="E44" s="47"/>
      <c r="F44" s="58">
        <v>40</v>
      </c>
      <c r="G44" s="59">
        <v>1.5671893768908136</v>
      </c>
      <c r="H44" s="47"/>
    </row>
    <row r="45" spans="1:8" x14ac:dyDescent="0.3">
      <c r="A45" s="47"/>
      <c r="B45" s="1"/>
      <c r="C45" s="1"/>
      <c r="D45" s="1"/>
      <c r="E45" s="47"/>
      <c r="F45" s="58">
        <v>41</v>
      </c>
      <c r="G45" s="59">
        <v>1.5700017271416025</v>
      </c>
      <c r="H45" s="47"/>
    </row>
    <row r="46" spans="1:8" x14ac:dyDescent="0.3">
      <c r="A46" s="47"/>
      <c r="B46" s="1"/>
      <c r="C46" s="1"/>
      <c r="D46" s="1"/>
      <c r="E46" s="47"/>
      <c r="F46" s="58">
        <v>42</v>
      </c>
      <c r="G46" s="59">
        <v>1.1190858475466046</v>
      </c>
      <c r="H46" s="47"/>
    </row>
    <row r="47" spans="1:8" x14ac:dyDescent="0.3">
      <c r="A47" s="47"/>
      <c r="B47" s="1"/>
      <c r="C47" s="1"/>
      <c r="D47" s="1"/>
      <c r="E47" s="47"/>
      <c r="F47" s="58">
        <v>43</v>
      </c>
      <c r="G47" s="59">
        <v>1.3815798839516908</v>
      </c>
      <c r="H47" s="47"/>
    </row>
    <row r="48" spans="1:8" x14ac:dyDescent="0.3">
      <c r="A48" s="47"/>
      <c r="B48" s="1"/>
      <c r="C48" s="1"/>
      <c r="D48" s="1"/>
      <c r="E48" s="47"/>
      <c r="F48" s="58">
        <v>44</v>
      </c>
      <c r="G48" s="59">
        <v>1.2860361563424787</v>
      </c>
      <c r="H48" s="47"/>
    </row>
    <row r="49" spans="1:8" x14ac:dyDescent="0.3">
      <c r="A49" s="47"/>
      <c r="B49" s="1"/>
      <c r="C49" s="1"/>
      <c r="D49" s="1"/>
      <c r="E49" s="47"/>
      <c r="F49" s="58">
        <v>45</v>
      </c>
      <c r="G49" s="59">
        <v>1.3402227346148363</v>
      </c>
      <c r="H49" s="47"/>
    </row>
    <row r="50" spans="1:8" x14ac:dyDescent="0.3">
      <c r="A50" s="47"/>
      <c r="B50" s="1"/>
      <c r="C50" s="1"/>
      <c r="D50" s="1"/>
      <c r="E50" s="47"/>
      <c r="F50" s="58">
        <v>46</v>
      </c>
      <c r="G50" s="59">
        <v>1.6062602043345535</v>
      </c>
      <c r="H50" s="47"/>
    </row>
    <row r="51" spans="1:8" x14ac:dyDescent="0.3">
      <c r="A51" s="47"/>
      <c r="B51" s="1"/>
      <c r="C51" s="1"/>
      <c r="D51" s="1"/>
      <c r="E51" s="47"/>
      <c r="F51" s="58">
        <v>47</v>
      </c>
      <c r="G51" s="59">
        <v>1.4016999427913408</v>
      </c>
      <c r="H51" s="47"/>
    </row>
    <row r="52" spans="1:8" x14ac:dyDescent="0.3">
      <c r="A52" s="47"/>
      <c r="B52" s="1"/>
      <c r="C52" s="1"/>
      <c r="D52" s="1"/>
      <c r="E52" s="47"/>
      <c r="F52" s="58">
        <v>48</v>
      </c>
      <c r="G52" s="59">
        <v>1.3873218948664077</v>
      </c>
      <c r="H52" s="47"/>
    </row>
    <row r="53" spans="1:8" x14ac:dyDescent="0.3">
      <c r="A53" s="47"/>
      <c r="B53" s="1"/>
      <c r="C53" s="1"/>
      <c r="D53" s="1"/>
      <c r="E53" s="47"/>
      <c r="F53" s="58">
        <v>49</v>
      </c>
      <c r="G53" s="59">
        <v>1.5943470439588889</v>
      </c>
      <c r="H53" s="47"/>
    </row>
    <row r="54" spans="1:8" x14ac:dyDescent="0.3">
      <c r="A54" s="47"/>
      <c r="B54" s="1"/>
      <c r="C54" s="1"/>
      <c r="D54" s="1"/>
      <c r="E54" s="47"/>
      <c r="F54" s="58">
        <v>50</v>
      </c>
      <c r="G54" s="59">
        <v>1.5504690319205165</v>
      </c>
      <c r="H54" s="47"/>
    </row>
    <row r="55" spans="1:8" x14ac:dyDescent="0.3">
      <c r="A55" s="47"/>
      <c r="B55" s="1"/>
      <c r="C55" s="1"/>
      <c r="D55" s="1"/>
      <c r="E55" s="47"/>
      <c r="F55" s="58">
        <v>51</v>
      </c>
      <c r="G55" s="59">
        <v>1.3881251216657269</v>
      </c>
      <c r="H55" s="47"/>
    </row>
    <row r="56" spans="1:8" x14ac:dyDescent="0.3">
      <c r="A56" s="47"/>
      <c r="B56" s="1"/>
      <c r="C56" s="1"/>
      <c r="D56" s="1"/>
      <c r="E56" s="47"/>
      <c r="F56" s="58">
        <v>52</v>
      </c>
      <c r="G56" s="59">
        <v>1.7255592407728768</v>
      </c>
      <c r="H56" s="47"/>
    </row>
    <row r="57" spans="1:8" x14ac:dyDescent="0.3">
      <c r="A57" s="47"/>
      <c r="B57" s="1"/>
      <c r="C57" s="1"/>
      <c r="D57" s="1"/>
      <c r="E57" s="47"/>
      <c r="F57" s="58">
        <v>53</v>
      </c>
      <c r="G57" s="59">
        <v>1.3771808539776398</v>
      </c>
      <c r="H57" s="47"/>
    </row>
    <row r="58" spans="1:8" x14ac:dyDescent="0.3">
      <c r="A58" s="47"/>
      <c r="B58" s="1"/>
      <c r="C58" s="1"/>
      <c r="D58" s="1"/>
      <c r="E58" s="47"/>
      <c r="F58" s="58">
        <v>54</v>
      </c>
      <c r="G58" s="59">
        <v>1.5681546012433998</v>
      </c>
      <c r="H58" s="47"/>
    </row>
    <row r="59" spans="1:8" x14ac:dyDescent="0.3">
      <c r="A59" s="47"/>
      <c r="B59" s="1"/>
      <c r="C59" s="1"/>
      <c r="D59" s="1"/>
      <c r="E59" s="47"/>
      <c r="F59" s="58">
        <v>55</v>
      </c>
      <c r="G59" s="59">
        <v>1.476235831479741</v>
      </c>
      <c r="H59" s="47"/>
    </row>
    <row r="60" spans="1:8" x14ac:dyDescent="0.3">
      <c r="A60" s="47"/>
      <c r="B60" s="1"/>
      <c r="C60" s="1"/>
      <c r="D60" s="1"/>
      <c r="E60" s="47"/>
      <c r="F60" s="58">
        <v>56</v>
      </c>
      <c r="G60" s="59">
        <v>1.3397391274682908</v>
      </c>
      <c r="H60" s="47"/>
    </row>
    <row r="61" spans="1:8" x14ac:dyDescent="0.3">
      <c r="A61" s="47"/>
      <c r="B61" s="1"/>
      <c r="C61" s="1"/>
      <c r="D61" s="1"/>
      <c r="E61" s="47"/>
      <c r="F61" s="58">
        <v>57</v>
      </c>
      <c r="G61" s="59">
        <v>1.4940380786933254</v>
      </c>
      <c r="H61" s="47"/>
    </row>
    <row r="62" spans="1:8" x14ac:dyDescent="0.3">
      <c r="A62" s="47"/>
      <c r="B62" s="1"/>
      <c r="C62" s="1"/>
      <c r="D62" s="1"/>
      <c r="E62" s="47"/>
      <c r="F62" s="58">
        <v>58</v>
      </c>
      <c r="G62" s="59">
        <v>1.5850828094809071</v>
      </c>
      <c r="H62" s="47"/>
    </row>
    <row r="63" spans="1:8" x14ac:dyDescent="0.3">
      <c r="A63" s="47"/>
      <c r="B63" s="1"/>
      <c r="C63" s="1"/>
      <c r="D63" s="1"/>
      <c r="E63" s="47"/>
      <c r="F63" s="58">
        <v>59</v>
      </c>
      <c r="G63" s="59">
        <v>1.6028883128173153</v>
      </c>
      <c r="H63" s="47"/>
    </row>
    <row r="64" spans="1:8" x14ac:dyDescent="0.3">
      <c r="A64" s="47"/>
      <c r="B64" s="1"/>
      <c r="C64" s="1"/>
      <c r="D64" s="1"/>
      <c r="E64" s="47"/>
      <c r="F64" s="58">
        <v>60</v>
      </c>
      <c r="G64" s="59">
        <v>1.5213113452286198</v>
      </c>
      <c r="H64" s="47"/>
    </row>
    <row r="65" spans="1:8" x14ac:dyDescent="0.3">
      <c r="A65" s="47"/>
      <c r="B65" s="1"/>
      <c r="C65" s="1"/>
      <c r="D65" s="1"/>
      <c r="E65" s="47"/>
      <c r="F65" s="58">
        <v>61</v>
      </c>
      <c r="G65" s="59">
        <v>1.6159355267833506</v>
      </c>
      <c r="H65" s="47"/>
    </row>
    <row r="66" spans="1:8" x14ac:dyDescent="0.3">
      <c r="A66" s="47"/>
      <c r="B66" s="1"/>
      <c r="C66" s="1"/>
      <c r="D66" s="1"/>
      <c r="E66" s="47"/>
      <c r="F66" s="58">
        <v>62</v>
      </c>
      <c r="G66" s="59">
        <v>1.4172742097582232</v>
      </c>
      <c r="H66" s="47"/>
    </row>
    <row r="67" spans="1:8" x14ac:dyDescent="0.3">
      <c r="A67" s="47"/>
      <c r="B67" s="1"/>
      <c r="C67" s="1"/>
      <c r="D67" s="1"/>
      <c r="E67" s="47"/>
      <c r="F67" s="58">
        <v>63</v>
      </c>
      <c r="G67" s="59">
        <v>1.6830797750415449</v>
      </c>
      <c r="H67" s="47"/>
    </row>
    <row r="68" spans="1:8" x14ac:dyDescent="0.3">
      <c r="A68" s="47"/>
      <c r="B68" s="1"/>
      <c r="C68" s="1"/>
      <c r="D68" s="1"/>
      <c r="E68" s="47"/>
      <c r="F68" s="58">
        <v>64</v>
      </c>
      <c r="G68" s="59">
        <v>1.4680544782631193</v>
      </c>
      <c r="H68" s="47"/>
    </row>
    <row r="69" spans="1:8" x14ac:dyDescent="0.3">
      <c r="A69" s="47"/>
      <c r="B69" s="1"/>
      <c r="C69" s="1"/>
      <c r="D69" s="1"/>
      <c r="E69" s="47"/>
      <c r="F69" s="58">
        <v>65</v>
      </c>
      <c r="G69" s="59">
        <v>1.3937270249774532</v>
      </c>
      <c r="H69" s="47"/>
    </row>
    <row r="70" spans="1:8" x14ac:dyDescent="0.3">
      <c r="A70" s="47"/>
      <c r="B70" s="1"/>
      <c r="C70" s="1"/>
      <c r="D70" s="1"/>
      <c r="E70" s="47"/>
      <c r="F70" s="58">
        <v>66</v>
      </c>
      <c r="G70" s="59">
        <v>1.3802883986063321</v>
      </c>
      <c r="H70" s="47"/>
    </row>
    <row r="71" spans="1:8" x14ac:dyDescent="0.3">
      <c r="A71" s="47"/>
      <c r="B71" s="1"/>
      <c r="C71" s="1"/>
      <c r="D71" s="1"/>
      <c r="E71" s="47"/>
      <c r="F71" s="58">
        <v>67</v>
      </c>
      <c r="G71" s="59">
        <v>1.3620677524929867</v>
      </c>
      <c r="H71" s="47"/>
    </row>
    <row r="72" spans="1:8" x14ac:dyDescent="0.3">
      <c r="A72" s="47"/>
      <c r="B72" s="1"/>
      <c r="C72" s="1"/>
      <c r="D72" s="1"/>
      <c r="E72" s="47"/>
      <c r="F72" s="58">
        <v>68</v>
      </c>
      <c r="G72" s="59">
        <v>1.6929041066049964</v>
      </c>
      <c r="H72" s="47"/>
    </row>
    <row r="73" spans="1:8" x14ac:dyDescent="0.3">
      <c r="A73" s="47"/>
      <c r="B73" s="1"/>
      <c r="C73" s="1"/>
      <c r="D73" s="1"/>
      <c r="E73" s="47"/>
      <c r="F73" s="58">
        <v>69</v>
      </c>
      <c r="G73" s="59">
        <v>1.759437604612943</v>
      </c>
      <c r="H73" s="47"/>
    </row>
    <row r="74" spans="1:8" x14ac:dyDescent="0.3">
      <c r="A74" s="47"/>
      <c r="B74" s="1"/>
      <c r="C74" s="1"/>
      <c r="D74" s="1"/>
      <c r="E74" s="47"/>
      <c r="F74" s="58">
        <v>70</v>
      </c>
      <c r="G74" s="59">
        <v>1.6518929919482845</v>
      </c>
      <c r="H74" s="47"/>
    </row>
    <row r="75" spans="1:8" x14ac:dyDescent="0.3">
      <c r="A75" s="47"/>
      <c r="B75" s="1"/>
      <c r="C75" s="1"/>
      <c r="D75" s="1"/>
      <c r="E75" s="47"/>
      <c r="F75" s="58">
        <v>71</v>
      </c>
      <c r="G75" s="59">
        <v>1.2349264927538766</v>
      </c>
      <c r="H75" s="47"/>
    </row>
    <row r="76" spans="1:8" x14ac:dyDescent="0.3">
      <c r="A76" s="47"/>
      <c r="B76" s="1"/>
      <c r="C76" s="1"/>
      <c r="D76" s="1"/>
      <c r="E76" s="47"/>
      <c r="F76" s="58">
        <v>72</v>
      </c>
      <c r="G76" s="59">
        <v>1.3207318554485621</v>
      </c>
      <c r="H76" s="47"/>
    </row>
    <row r="77" spans="1:8" x14ac:dyDescent="0.3">
      <c r="A77" s="47"/>
      <c r="B77" s="1"/>
      <c r="C77" s="1"/>
      <c r="D77" s="1"/>
      <c r="E77" s="47"/>
      <c r="F77" s="58">
        <v>73</v>
      </c>
      <c r="G77" s="59">
        <v>1.5585776195540104</v>
      </c>
      <c r="H77" s="47"/>
    </row>
    <row r="78" spans="1:8" x14ac:dyDescent="0.3">
      <c r="A78" s="47"/>
      <c r="B78" s="1"/>
      <c r="C78" s="1"/>
      <c r="D78" s="1"/>
      <c r="E78" s="47"/>
      <c r="F78" s="58">
        <v>74</v>
      </c>
      <c r="G78" s="59">
        <v>1.4186619813960064</v>
      </c>
      <c r="H78" s="47"/>
    </row>
    <row r="79" spans="1:8" x14ac:dyDescent="0.3">
      <c r="A79" s="47"/>
      <c r="B79" s="1"/>
      <c r="C79" s="1"/>
      <c r="D79" s="1"/>
      <c r="E79" s="47"/>
      <c r="F79" s="58">
        <v>75</v>
      </c>
      <c r="G79" s="59">
        <v>1.3058484336918887</v>
      </c>
      <c r="H79" s="47"/>
    </row>
    <row r="80" spans="1:8" x14ac:dyDescent="0.3">
      <c r="A80" s="47"/>
      <c r="B80" s="1"/>
      <c r="C80" s="1"/>
      <c r="D80" s="1"/>
      <c r="E80" s="47"/>
      <c r="F80" s="58">
        <v>76</v>
      </c>
      <c r="G80" s="59">
        <v>1.65344990621257</v>
      </c>
      <c r="H80" s="47"/>
    </row>
    <row r="81" spans="1:8" x14ac:dyDescent="0.3">
      <c r="A81" s="47"/>
      <c r="B81" s="1"/>
      <c r="C81" s="1"/>
      <c r="D81" s="1"/>
      <c r="E81" s="47"/>
      <c r="F81" s="58">
        <v>77</v>
      </c>
      <c r="G81" s="59">
        <v>1.8465122976743222</v>
      </c>
      <c r="H81" s="47"/>
    </row>
    <row r="82" spans="1:8" x14ac:dyDescent="0.3">
      <c r="A82" s="47"/>
      <c r="B82" s="1"/>
      <c r="C82" s="1"/>
      <c r="D82" s="1"/>
      <c r="E82" s="47"/>
      <c r="F82" s="58">
        <v>78</v>
      </c>
      <c r="G82" s="59">
        <v>1.6817843520343105</v>
      </c>
      <c r="H82" s="47"/>
    </row>
    <row r="83" spans="1:8" x14ac:dyDescent="0.3">
      <c r="A83" s="47"/>
      <c r="B83" s="1"/>
      <c r="C83" s="1"/>
      <c r="D83" s="1"/>
      <c r="E83" s="47"/>
      <c r="F83" s="58">
        <v>79</v>
      </c>
      <c r="G83" s="59">
        <v>1.6225188570073863</v>
      </c>
      <c r="H83" s="47"/>
    </row>
    <row r="84" spans="1:8" x14ac:dyDescent="0.3">
      <c r="A84" s="47"/>
      <c r="B84" s="1"/>
      <c r="C84" s="1"/>
      <c r="D84" s="1"/>
      <c r="E84" s="47"/>
      <c r="F84" s="58">
        <v>80</v>
      </c>
      <c r="G84" s="59">
        <v>1.6756090627282054</v>
      </c>
      <c r="H84" s="47"/>
    </row>
    <row r="85" spans="1:8" x14ac:dyDescent="0.3">
      <c r="A85" s="47"/>
      <c r="B85" s="1"/>
      <c r="C85" s="1"/>
      <c r="D85" s="1"/>
      <c r="E85" s="47"/>
      <c r="F85" s="58">
        <v>81</v>
      </c>
      <c r="G85" s="59">
        <v>1.7613813962967599</v>
      </c>
      <c r="H85" s="47"/>
    </row>
    <row r="86" spans="1:8" x14ac:dyDescent="0.3">
      <c r="A86" s="47"/>
      <c r="B86" s="1"/>
      <c r="C86" s="1"/>
      <c r="D86" s="1"/>
      <c r="E86" s="47"/>
      <c r="F86" s="58">
        <v>82</v>
      </c>
      <c r="G86" s="59">
        <v>1.4583253249642425</v>
      </c>
      <c r="H86" s="47"/>
    </row>
    <row r="87" spans="1:8" x14ac:dyDescent="0.3">
      <c r="A87" s="47"/>
      <c r="B87" s="1"/>
      <c r="C87" s="1"/>
      <c r="D87" s="1"/>
      <c r="E87" s="47"/>
      <c r="F87" s="58">
        <v>83</v>
      </c>
      <c r="G87" s="59">
        <v>1.324492272837019</v>
      </c>
      <c r="H87" s="47"/>
    </row>
    <row r="88" spans="1:8" x14ac:dyDescent="0.3">
      <c r="A88" s="47"/>
      <c r="B88" s="1"/>
      <c r="C88" s="1"/>
      <c r="D88" s="1"/>
      <c r="E88" s="47"/>
      <c r="F88" s="58">
        <v>84</v>
      </c>
      <c r="G88" s="59">
        <v>1.4426312531566525</v>
      </c>
      <c r="H88" s="47"/>
    </row>
    <row r="89" spans="1:8" x14ac:dyDescent="0.3">
      <c r="A89" s="47"/>
      <c r="B89" s="1"/>
      <c r="C89" s="1"/>
      <c r="D89" s="1"/>
      <c r="E89" s="47"/>
      <c r="F89" s="58">
        <v>85</v>
      </c>
      <c r="G89" s="59">
        <v>1.3574147172091608</v>
      </c>
      <c r="H89" s="47"/>
    </row>
    <row r="90" spans="1:8" x14ac:dyDescent="0.3">
      <c r="A90" s="47"/>
      <c r="B90" s="1"/>
      <c r="C90" s="1"/>
      <c r="D90" s="1"/>
      <c r="E90" s="47"/>
      <c r="F90" s="58">
        <v>86</v>
      </c>
      <c r="G90" s="59">
        <v>1.4560543383752513</v>
      </c>
      <c r="H90" s="47"/>
    </row>
    <row r="91" spans="1:8" x14ac:dyDescent="0.3">
      <c r="A91" s="47"/>
      <c r="B91" s="1"/>
      <c r="C91" s="1"/>
      <c r="D91" s="1"/>
      <c r="E91" s="47"/>
      <c r="F91" s="58">
        <v>87</v>
      </c>
      <c r="G91" s="59">
        <v>1.3857131783472134</v>
      </c>
      <c r="H91" s="47"/>
    </row>
    <row r="92" spans="1:8" x14ac:dyDescent="0.3">
      <c r="A92" s="47"/>
      <c r="B92" s="1"/>
      <c r="C92" s="1"/>
      <c r="D92" s="1"/>
      <c r="E92" s="47"/>
      <c r="F92" s="58">
        <v>88</v>
      </c>
      <c r="G92" s="59">
        <v>1.5021357628851471</v>
      </c>
      <c r="H92" s="47"/>
    </row>
    <row r="93" spans="1:8" x14ac:dyDescent="0.3">
      <c r="A93" s="47"/>
      <c r="B93" s="1"/>
      <c r="C93" s="1"/>
      <c r="D93" s="1"/>
      <c r="E93" s="47"/>
      <c r="F93" s="58">
        <v>89</v>
      </c>
      <c r="G93" s="59">
        <v>1.6501686358650014</v>
      </c>
      <c r="H93" s="47"/>
    </row>
    <row r="94" spans="1:8" x14ac:dyDescent="0.3">
      <c r="A94" s="47"/>
      <c r="B94" s="1"/>
      <c r="C94" s="1"/>
      <c r="D94" s="1"/>
      <c r="E94" s="47"/>
      <c r="F94" s="58">
        <v>90</v>
      </c>
      <c r="G94" s="59">
        <v>1.1136239893198372</v>
      </c>
      <c r="H94" s="47"/>
    </row>
    <row r="95" spans="1:8" x14ac:dyDescent="0.3">
      <c r="A95" s="47"/>
      <c r="B95" s="1"/>
      <c r="C95" s="1"/>
      <c r="D95" s="1"/>
      <c r="E95" s="47"/>
      <c r="F95" s="58">
        <v>91</v>
      </c>
      <c r="G95" s="59">
        <v>1.3526709631463598</v>
      </c>
      <c r="H95" s="47"/>
    </row>
    <row r="96" spans="1:8" x14ac:dyDescent="0.3">
      <c r="A96" s="47"/>
      <c r="B96" s="1"/>
      <c r="C96" s="1"/>
      <c r="D96" s="1"/>
      <c r="E96" s="47"/>
      <c r="F96" s="58">
        <v>92</v>
      </c>
      <c r="G96" s="59">
        <v>1.5712529734981864</v>
      </c>
      <c r="H96" s="47"/>
    </row>
    <row r="97" spans="1:10" x14ac:dyDescent="0.3">
      <c r="A97" s="47"/>
      <c r="B97" s="1"/>
      <c r="C97" s="1"/>
      <c r="D97" s="1"/>
      <c r="E97" s="47"/>
      <c r="F97" s="58">
        <v>93</v>
      </c>
      <c r="G97" s="59">
        <v>1.4213513559618818</v>
      </c>
      <c r="H97" s="47"/>
    </row>
    <row r="98" spans="1:10" x14ac:dyDescent="0.3">
      <c r="A98" s="47"/>
      <c r="B98" s="1"/>
      <c r="C98" s="1"/>
      <c r="D98" s="1"/>
      <c r="E98" s="47"/>
      <c r="F98" s="58">
        <v>94</v>
      </c>
      <c r="G98" s="59">
        <v>1.4818092824896718</v>
      </c>
      <c r="H98" s="47"/>
    </row>
    <row r="99" spans="1:10" x14ac:dyDescent="0.3">
      <c r="A99" s="47"/>
      <c r="B99" s="1"/>
      <c r="C99" s="1"/>
      <c r="D99" s="1"/>
      <c r="E99" s="47"/>
      <c r="F99" s="58">
        <v>95</v>
      </c>
      <c r="G99" s="59">
        <v>1.7845698603687721</v>
      </c>
      <c r="H99" s="47"/>
    </row>
    <row r="100" spans="1:10" x14ac:dyDescent="0.3">
      <c r="A100" s="47"/>
      <c r="B100" s="1"/>
      <c r="C100" s="1"/>
      <c r="D100" s="1"/>
      <c r="E100" s="47"/>
      <c r="F100" s="58">
        <v>96</v>
      </c>
      <c r="G100" s="59">
        <v>1.3562484042187366</v>
      </c>
      <c r="H100" s="47"/>
    </row>
    <row r="101" spans="1:10" x14ac:dyDescent="0.3">
      <c r="A101" s="47"/>
      <c r="B101" s="1"/>
      <c r="C101" s="1"/>
      <c r="D101" s="1"/>
      <c r="E101" s="47"/>
      <c r="F101" s="58">
        <v>97</v>
      </c>
      <c r="G101" s="59">
        <v>1.4301645036193795</v>
      </c>
      <c r="H101" s="47"/>
    </row>
    <row r="102" spans="1:10" x14ac:dyDescent="0.3">
      <c r="A102" s="47"/>
      <c r="B102" s="1"/>
      <c r="C102" s="1"/>
      <c r="D102" s="1"/>
      <c r="E102" s="47"/>
      <c r="F102" s="58">
        <v>98</v>
      </c>
      <c r="G102" s="59">
        <v>1.5769840194298617</v>
      </c>
      <c r="H102" s="47"/>
    </row>
    <row r="103" spans="1:10" x14ac:dyDescent="0.3">
      <c r="A103" s="47"/>
      <c r="B103" s="1"/>
      <c r="C103" s="1"/>
      <c r="D103" s="1"/>
      <c r="E103" s="47"/>
      <c r="F103" s="58">
        <v>99</v>
      </c>
      <c r="G103" s="59">
        <v>1.5705689090988253</v>
      </c>
      <c r="H103" s="47"/>
      <c r="I103" s="47"/>
      <c r="J103" s="47"/>
    </row>
    <row r="104" spans="1:10" x14ac:dyDescent="0.3">
      <c r="A104" s="47"/>
      <c r="B104" s="1"/>
      <c r="C104" s="1"/>
      <c r="D104" s="1"/>
      <c r="E104" s="47"/>
      <c r="F104" s="58">
        <v>100</v>
      </c>
      <c r="G104" s="59">
        <v>1.4202928511238362</v>
      </c>
      <c r="H104" s="47"/>
      <c r="I104" s="47"/>
      <c r="J104" s="47"/>
    </row>
    <row r="105" spans="1:10" x14ac:dyDescent="0.3">
      <c r="A105" s="47"/>
      <c r="B105" s="1"/>
      <c r="C105" s="1"/>
      <c r="D105" s="1"/>
      <c r="E105" s="47"/>
      <c r="F105" s="66"/>
      <c r="G105" s="67"/>
      <c r="H105" s="47"/>
      <c r="I105" s="47"/>
      <c r="J105" s="47"/>
    </row>
    <row r="106" spans="1:10" x14ac:dyDescent="0.3">
      <c r="A106" s="47"/>
      <c r="B106" s="47"/>
      <c r="C106" s="47"/>
      <c r="D106" s="47"/>
      <c r="E106" s="47"/>
      <c r="F106" s="66"/>
      <c r="G106" s="67"/>
      <c r="H106" s="47"/>
      <c r="I106" s="47"/>
      <c r="J106" s="47"/>
    </row>
    <row r="107" spans="1:10" x14ac:dyDescent="0.3">
      <c r="A107" s="47"/>
      <c r="B107" s="47"/>
      <c r="C107" s="47"/>
      <c r="D107" s="47"/>
      <c r="E107" s="47"/>
      <c r="F107" s="66"/>
      <c r="G107" s="67"/>
      <c r="H107" s="47"/>
      <c r="I107" s="47"/>
      <c r="J107" s="47"/>
    </row>
    <row r="108" spans="1:10" x14ac:dyDescent="0.3">
      <c r="A108" s="47"/>
      <c r="B108" s="47"/>
      <c r="C108" s="47"/>
      <c r="D108" s="47"/>
      <c r="E108" s="47"/>
      <c r="F108" s="66"/>
      <c r="G108" s="67"/>
      <c r="H108" s="47"/>
      <c r="I108" s="47"/>
      <c r="J108" s="47"/>
    </row>
    <row r="109" spans="1:10" x14ac:dyDescent="0.3">
      <c r="A109" s="47"/>
      <c r="B109" s="47"/>
      <c r="C109" s="47"/>
      <c r="D109" s="47"/>
      <c r="E109" s="47"/>
      <c r="F109" s="66"/>
      <c r="G109" s="67"/>
      <c r="H109" s="47"/>
      <c r="I109" s="47"/>
      <c r="J109" s="47"/>
    </row>
    <row r="110" spans="1:10" x14ac:dyDescent="0.3">
      <c r="A110" s="47"/>
      <c r="B110" s="47"/>
      <c r="C110" s="47"/>
      <c r="D110" s="47"/>
      <c r="E110" s="47"/>
      <c r="F110" s="66"/>
      <c r="G110" s="67"/>
      <c r="H110" s="47"/>
      <c r="I110" s="47"/>
      <c r="J110" s="47"/>
    </row>
    <row r="111" spans="1:10" x14ac:dyDescent="0.3">
      <c r="A111" s="47"/>
      <c r="B111" s="47"/>
      <c r="C111" s="47"/>
      <c r="D111" s="47"/>
      <c r="E111" s="47"/>
      <c r="F111" s="66"/>
      <c r="G111" s="67"/>
      <c r="H111" s="47"/>
      <c r="I111" s="47"/>
      <c r="J111" s="47"/>
    </row>
  </sheetData>
  <mergeCells count="2">
    <mergeCell ref="B22:C22"/>
    <mergeCell ref="B23:C23"/>
  </mergeCells>
  <phoneticPr fontId="3"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4FDAD-A8E3-4440-A672-601E2EBF1FBA}">
  <dimension ref="B1:P2315"/>
  <sheetViews>
    <sheetView tabSelected="1" zoomScale="66" zoomScaleNormal="70" workbookViewId="0">
      <selection activeCell="P41" sqref="P41"/>
    </sheetView>
  </sheetViews>
  <sheetFormatPr defaultColWidth="8.58203125" defaultRowHeight="14" x14ac:dyDescent="0.3"/>
  <cols>
    <col min="1" max="1" width="1.58203125" style="1" customWidth="1"/>
    <col min="2" max="2" width="12.25" style="1" customWidth="1"/>
    <col min="3" max="3" width="17.5" style="1" customWidth="1"/>
    <col min="4" max="4" width="17.33203125" style="1" customWidth="1"/>
    <col min="5" max="5" width="11.08203125" style="1" customWidth="1"/>
    <col min="6" max="6" width="1.58203125" style="1" customWidth="1"/>
    <col min="7" max="7" width="5.08203125" style="1" customWidth="1"/>
    <col min="8" max="8" width="9.25" style="1" customWidth="1"/>
    <col min="9" max="9" width="1.5" style="1" customWidth="1"/>
    <col min="10" max="10" width="5.08203125" style="1" customWidth="1"/>
    <col min="11" max="11" width="8.25" style="1" customWidth="1"/>
    <col min="12" max="12" width="7.08203125" style="1" customWidth="1"/>
    <col min="13" max="13" width="6.83203125" style="1" customWidth="1"/>
    <col min="14" max="14" width="6.08203125" style="1" customWidth="1"/>
    <col min="15" max="15" width="7.08203125" style="1" customWidth="1"/>
    <col min="16" max="16" width="15" style="1" bestFit="1" customWidth="1"/>
    <col min="17" max="17" width="11.83203125" style="1" bestFit="1" customWidth="1"/>
    <col min="18" max="16384" width="8.58203125" style="1"/>
  </cols>
  <sheetData>
    <row r="1" spans="2:16" ht="12" customHeight="1" x14ac:dyDescent="0.3"/>
    <row r="2" spans="2:16" x14ac:dyDescent="0.3">
      <c r="B2" s="11" t="s">
        <v>47</v>
      </c>
      <c r="G2" s="11" t="s">
        <v>46</v>
      </c>
      <c r="J2" s="11" t="s">
        <v>67</v>
      </c>
    </row>
    <row r="3" spans="2:16" x14ac:dyDescent="0.3">
      <c r="B3" s="19" t="s">
        <v>68</v>
      </c>
      <c r="C3" s="68"/>
      <c r="D3" s="69"/>
      <c r="E3" s="20">
        <v>1</v>
      </c>
      <c r="G3" s="20" t="s">
        <v>48</v>
      </c>
      <c r="H3" s="20" t="s">
        <v>49</v>
      </c>
      <c r="J3" s="20" t="s">
        <v>69</v>
      </c>
      <c r="K3" s="20" t="s">
        <v>70</v>
      </c>
      <c r="L3" s="20" t="s">
        <v>71</v>
      </c>
    </row>
    <row r="4" spans="2:16" x14ac:dyDescent="0.3">
      <c r="B4" s="19" t="s">
        <v>72</v>
      </c>
      <c r="C4" s="68"/>
      <c r="D4" s="69"/>
      <c r="E4" s="20">
        <v>3</v>
      </c>
      <c r="G4" s="70"/>
      <c r="H4" s="71">
        <f ca="1">E26</f>
        <v>569.6411937359868</v>
      </c>
      <c r="J4" s="20">
        <v>200</v>
      </c>
      <c r="K4" s="72">
        <v>0.05</v>
      </c>
      <c r="L4" s="73">
        <v>0</v>
      </c>
    </row>
    <row r="5" spans="2:16" x14ac:dyDescent="0.3">
      <c r="B5" s="19" t="s">
        <v>73</v>
      </c>
      <c r="C5" s="68"/>
      <c r="D5" s="69"/>
      <c r="E5" s="20">
        <v>1</v>
      </c>
      <c r="G5" s="6">
        <v>1</v>
      </c>
      <c r="H5" s="74">
        <v>1711.0001565081329</v>
      </c>
      <c r="J5" s="20">
        <v>300</v>
      </c>
      <c r="K5" s="72">
        <v>0.1</v>
      </c>
      <c r="L5" s="73">
        <f>K4+L4</f>
        <v>0.05</v>
      </c>
    </row>
    <row r="6" spans="2:16" x14ac:dyDescent="0.3">
      <c r="B6" s="19" t="s">
        <v>74</v>
      </c>
      <c r="C6" s="68"/>
      <c r="D6" s="69"/>
      <c r="E6" s="72">
        <v>0.25</v>
      </c>
      <c r="G6" s="6">
        <v>2</v>
      </c>
      <c r="H6" s="74">
        <v>713.08265191911619</v>
      </c>
      <c r="J6" s="20">
        <v>400</v>
      </c>
      <c r="K6" s="72">
        <v>0.2</v>
      </c>
      <c r="L6" s="73">
        <f t="shared" ref="L6:L10" si="0">K5+L5</f>
        <v>0.15000000000000002</v>
      </c>
    </row>
    <row r="7" spans="2:16" x14ac:dyDescent="0.3">
      <c r="B7" s="19" t="s">
        <v>75</v>
      </c>
      <c r="C7" s="68"/>
      <c r="D7" s="69"/>
      <c r="E7" s="72">
        <v>-0.4</v>
      </c>
      <c r="G7" s="6">
        <v>3</v>
      </c>
      <c r="H7" s="74">
        <v>3941.2965012693321</v>
      </c>
      <c r="J7" s="20">
        <v>500</v>
      </c>
      <c r="K7" s="72">
        <v>0.3</v>
      </c>
      <c r="L7" s="73">
        <f t="shared" si="0"/>
        <v>0.35000000000000003</v>
      </c>
    </row>
    <row r="8" spans="2:16" x14ac:dyDescent="0.3">
      <c r="B8" s="19" t="s">
        <v>76</v>
      </c>
      <c r="C8" s="68"/>
      <c r="D8" s="69"/>
      <c r="E8" s="20">
        <v>9</v>
      </c>
      <c r="G8" s="6">
        <v>4</v>
      </c>
      <c r="H8" s="74">
        <v>1053.295572175208</v>
      </c>
      <c r="J8" s="20">
        <v>600</v>
      </c>
      <c r="K8" s="72">
        <v>0.2</v>
      </c>
      <c r="L8" s="73">
        <f t="shared" si="0"/>
        <v>0.65</v>
      </c>
    </row>
    <row r="9" spans="2:16" x14ac:dyDescent="0.3">
      <c r="B9" s="19" t="s">
        <v>77</v>
      </c>
      <c r="C9" s="68"/>
      <c r="D9" s="69"/>
      <c r="E9" s="20">
        <v>200</v>
      </c>
      <c r="G9" s="6">
        <v>5</v>
      </c>
      <c r="H9" s="74">
        <v>811.75139129534978</v>
      </c>
      <c r="J9" s="20">
        <v>700</v>
      </c>
      <c r="K9" s="72">
        <v>0.1</v>
      </c>
      <c r="L9" s="73">
        <f t="shared" si="0"/>
        <v>0.85000000000000009</v>
      </c>
    </row>
    <row r="10" spans="2:16" x14ac:dyDescent="0.3">
      <c r="B10" s="19" t="s">
        <v>78</v>
      </c>
      <c r="C10" s="68"/>
      <c r="D10" s="69"/>
      <c r="E10" s="20">
        <v>400</v>
      </c>
      <c r="G10" s="6">
        <v>6</v>
      </c>
      <c r="H10" s="74">
        <v>1269.0364144980811</v>
      </c>
      <c r="J10" s="20">
        <v>800</v>
      </c>
      <c r="K10" s="72">
        <v>0.05</v>
      </c>
      <c r="L10" s="73">
        <f t="shared" si="0"/>
        <v>0.95000000000000007</v>
      </c>
    </row>
    <row r="11" spans="2:16" x14ac:dyDescent="0.3">
      <c r="B11" s="19" t="s">
        <v>57</v>
      </c>
      <c r="C11" s="68"/>
      <c r="D11" s="69"/>
      <c r="E11" s="72">
        <v>0.09</v>
      </c>
      <c r="G11" s="6">
        <v>7</v>
      </c>
      <c r="H11" s="74">
        <v>1083.4207048661046</v>
      </c>
    </row>
    <row r="12" spans="2:16" x14ac:dyDescent="0.3">
      <c r="E12" s="2"/>
      <c r="G12" s="6">
        <v>8</v>
      </c>
      <c r="H12" s="74">
        <v>-56.405295112915162</v>
      </c>
    </row>
    <row r="13" spans="2:16" x14ac:dyDescent="0.3">
      <c r="B13" s="11" t="s">
        <v>58</v>
      </c>
      <c r="E13" s="2"/>
      <c r="G13" s="6">
        <v>9</v>
      </c>
      <c r="H13" s="74">
        <v>2520.8750804689425</v>
      </c>
      <c r="J13" s="11" t="s">
        <v>79</v>
      </c>
    </row>
    <row r="14" spans="2:16" x14ac:dyDescent="0.3">
      <c r="B14" s="19" t="s">
        <v>80</v>
      </c>
      <c r="C14" s="68"/>
      <c r="D14" s="68"/>
      <c r="E14" s="73">
        <f ca="1">NORMINV(RAND(),E4,E5)</f>
        <v>2.9785901459821238</v>
      </c>
      <c r="G14" s="6">
        <v>10</v>
      </c>
      <c r="H14" s="74">
        <v>40.291216238357443</v>
      </c>
      <c r="J14" s="20" t="s">
        <v>81</v>
      </c>
      <c r="K14" s="20" t="s">
        <v>50</v>
      </c>
      <c r="L14" s="20" t="s">
        <v>82</v>
      </c>
      <c r="M14" s="20" t="s">
        <v>83</v>
      </c>
      <c r="N14" s="2"/>
      <c r="O14" s="2"/>
    </row>
    <row r="15" spans="2:16" x14ac:dyDescent="0.3">
      <c r="B15" s="19" t="s">
        <v>84</v>
      </c>
      <c r="C15" s="68"/>
      <c r="D15" s="68"/>
      <c r="E15" s="6">
        <f ca="1">INDEX(J4:J10,MATCH(RAND(),L4:L10,1))</f>
        <v>300</v>
      </c>
      <c r="G15" s="6">
        <v>11</v>
      </c>
      <c r="H15" s="74">
        <v>676.91311724667594</v>
      </c>
      <c r="J15" s="75">
        <v>1</v>
      </c>
      <c r="K15" s="76">
        <f>E32-D40/2</f>
        <v>-2006.1216166610952</v>
      </c>
      <c r="L15" s="77">
        <f>COUNTIF($H$5:$H$1004,"&gt;"&amp;K15)/1000</f>
        <v>1</v>
      </c>
      <c r="M15" s="78">
        <f>1-L15</f>
        <v>0</v>
      </c>
      <c r="N15" s="79"/>
      <c r="O15" s="79"/>
      <c r="P15" s="80"/>
    </row>
    <row r="16" spans="2:16" x14ac:dyDescent="0.3">
      <c r="B16" s="19" t="s">
        <v>85</v>
      </c>
      <c r="C16" s="68"/>
      <c r="D16" s="68"/>
      <c r="E16" s="73">
        <f ca="1">ROUND(E9+(E10-E9)*RAND(),2)</f>
        <v>221.83</v>
      </c>
      <c r="G16" s="6">
        <v>12</v>
      </c>
      <c r="H16" s="74">
        <v>915.31233024599601</v>
      </c>
      <c r="J16" s="75">
        <v>2</v>
      </c>
      <c r="K16" s="76">
        <f t="shared" ref="K16:K46" si="1">K15+$D$40</f>
        <v>-1713.7746049042112</v>
      </c>
      <c r="L16" s="77">
        <f t="shared" ref="L16:L46" si="2">COUNTIF($H$5:$H$1004,"&gt;"&amp;K16)/1000</f>
        <v>0.999</v>
      </c>
      <c r="M16" s="77">
        <f>1-L16</f>
        <v>1.0000000000000009E-3</v>
      </c>
      <c r="N16" s="79"/>
      <c r="O16" s="79"/>
      <c r="P16" s="80"/>
    </row>
    <row r="17" spans="2:16" x14ac:dyDescent="0.3">
      <c r="G17" s="6">
        <v>13</v>
      </c>
      <c r="H17" s="74">
        <v>979.24091073668444</v>
      </c>
      <c r="J17" s="75">
        <v>3</v>
      </c>
      <c r="K17" s="76">
        <f t="shared" si="1"/>
        <v>-1421.4275931473271</v>
      </c>
      <c r="L17" s="77">
        <f t="shared" si="2"/>
        <v>0.997</v>
      </c>
      <c r="M17" s="77">
        <f t="shared" ref="M17:M46" si="3">1-L17</f>
        <v>3.0000000000000027E-3</v>
      </c>
      <c r="N17" s="79"/>
      <c r="O17" s="79"/>
      <c r="P17" s="80"/>
    </row>
    <row r="18" spans="2:16" x14ac:dyDescent="0.3">
      <c r="B18" s="11" t="s">
        <v>86</v>
      </c>
      <c r="G18" s="6">
        <v>14</v>
      </c>
      <c r="H18" s="74">
        <v>39.379946483156104</v>
      </c>
      <c r="J18" s="75">
        <v>4</v>
      </c>
      <c r="K18" s="76">
        <f t="shared" si="1"/>
        <v>-1129.0805813904431</v>
      </c>
      <c r="L18" s="77">
        <f t="shared" si="2"/>
        <v>0.99299999999999999</v>
      </c>
      <c r="M18" s="77">
        <f t="shared" si="3"/>
        <v>7.0000000000000062E-3</v>
      </c>
      <c r="N18" s="79"/>
      <c r="O18" s="79"/>
      <c r="P18" s="80"/>
    </row>
    <row r="19" spans="2:16" x14ac:dyDescent="0.3">
      <c r="B19" s="70"/>
      <c r="C19" s="20" t="s">
        <v>87</v>
      </c>
      <c r="D19" s="20" t="s">
        <v>88</v>
      </c>
      <c r="E19" s="20" t="s">
        <v>89</v>
      </c>
      <c r="G19" s="6">
        <v>15</v>
      </c>
      <c r="H19" s="74">
        <v>-1859.9481107826532</v>
      </c>
      <c r="J19" s="75">
        <v>5</v>
      </c>
      <c r="K19" s="76">
        <f t="shared" si="1"/>
        <v>-836.733569633559</v>
      </c>
      <c r="L19" s="77">
        <f t="shared" si="2"/>
        <v>0.97699999999999998</v>
      </c>
      <c r="M19" s="77">
        <f t="shared" si="3"/>
        <v>2.300000000000002E-2</v>
      </c>
      <c r="N19" s="79"/>
      <c r="O19" s="79"/>
      <c r="P19" s="80"/>
    </row>
    <row r="20" spans="2:16" x14ac:dyDescent="0.3">
      <c r="B20" s="70" t="s">
        <v>90</v>
      </c>
      <c r="C20" s="74">
        <f ca="1">E14</f>
        <v>2.9785901459821238</v>
      </c>
      <c r="D20" s="74">
        <f ca="1">C20*(1+E6)</f>
        <v>3.723237682477655</v>
      </c>
      <c r="E20" s="74">
        <f ca="1">D20*(1+E7)</f>
        <v>2.2339426094865931</v>
      </c>
      <c r="G20" s="6">
        <v>16</v>
      </c>
      <c r="H20" s="74">
        <v>370.22172698425481</v>
      </c>
      <c r="J20" s="75">
        <v>6</v>
      </c>
      <c r="K20" s="76">
        <f t="shared" si="1"/>
        <v>-544.38655787667494</v>
      </c>
      <c r="L20" s="77">
        <f t="shared" si="2"/>
        <v>0.96</v>
      </c>
      <c r="M20" s="77">
        <f t="shared" si="3"/>
        <v>4.0000000000000036E-2</v>
      </c>
      <c r="N20" s="79"/>
      <c r="O20" s="79"/>
      <c r="P20" s="80"/>
    </row>
    <row r="21" spans="2:16" x14ac:dyDescent="0.3">
      <c r="B21" s="70" t="s">
        <v>91</v>
      </c>
      <c r="C21" s="74">
        <f ca="1">C20*$E$15</f>
        <v>893.57704379463712</v>
      </c>
      <c r="D21" s="74">
        <f ca="1">D20*$E$15</f>
        <v>1116.9713047432965</v>
      </c>
      <c r="E21" s="74">
        <f ca="1">E20*$E$15</f>
        <v>670.18278284597795</v>
      </c>
      <c r="G21" s="6">
        <v>17</v>
      </c>
      <c r="H21" s="74">
        <v>837.17797764116597</v>
      </c>
      <c r="J21" s="75">
        <v>7</v>
      </c>
      <c r="K21" s="76">
        <f t="shared" si="1"/>
        <v>-252.03954611979094</v>
      </c>
      <c r="L21" s="77">
        <f t="shared" si="2"/>
        <v>0.92900000000000005</v>
      </c>
      <c r="M21" s="77">
        <f t="shared" si="3"/>
        <v>7.0999999999999952E-2</v>
      </c>
      <c r="N21" s="79"/>
      <c r="O21" s="79"/>
      <c r="P21" s="80"/>
    </row>
    <row r="22" spans="2:16" x14ac:dyDescent="0.3">
      <c r="B22" s="70" t="s">
        <v>92</v>
      </c>
      <c r="C22" s="74">
        <f ca="1">$E$8+C20*$E$16</f>
        <v>669.74065208321451</v>
      </c>
      <c r="D22" s="74">
        <f ca="1">$E$8+D20*$E$16</f>
        <v>834.92581510401828</v>
      </c>
      <c r="E22" s="74">
        <f ca="1">$E$8+E20*$E$16</f>
        <v>504.55548906241097</v>
      </c>
      <c r="G22" s="6">
        <v>18</v>
      </c>
      <c r="H22" s="74">
        <v>375.50802244260854</v>
      </c>
      <c r="J22" s="75">
        <v>8</v>
      </c>
      <c r="K22" s="76">
        <f t="shared" si="1"/>
        <v>40.30746563709306</v>
      </c>
      <c r="L22" s="77">
        <f t="shared" si="2"/>
        <v>0.89300000000000002</v>
      </c>
      <c r="M22" s="77">
        <f t="shared" si="3"/>
        <v>0.10699999999999998</v>
      </c>
      <c r="N22" s="79"/>
      <c r="O22" s="79"/>
      <c r="P22" s="80"/>
    </row>
    <row r="23" spans="2:16" x14ac:dyDescent="0.3">
      <c r="B23" s="70" t="s">
        <v>93</v>
      </c>
      <c r="C23" s="74">
        <f ca="1">C21-C22</f>
        <v>223.83639171142261</v>
      </c>
      <c r="D23" s="74">
        <f ca="1">D21-D22</f>
        <v>282.04548963927823</v>
      </c>
      <c r="E23" s="74">
        <f ca="1">E21-E22</f>
        <v>165.62729378356698</v>
      </c>
      <c r="G23" s="6">
        <v>19</v>
      </c>
      <c r="H23" s="74">
        <v>1380.7851195470557</v>
      </c>
      <c r="J23" s="75">
        <v>9</v>
      </c>
      <c r="K23" s="76">
        <f t="shared" si="1"/>
        <v>332.65447739397706</v>
      </c>
      <c r="L23" s="77">
        <f t="shared" si="2"/>
        <v>0.82299999999999995</v>
      </c>
      <c r="M23" s="77">
        <f t="shared" si="3"/>
        <v>0.17700000000000005</v>
      </c>
      <c r="N23" s="79"/>
      <c r="O23" s="79"/>
      <c r="P23" s="80"/>
    </row>
    <row r="24" spans="2:16" x14ac:dyDescent="0.3">
      <c r="G24" s="6">
        <v>20</v>
      </c>
      <c r="H24" s="74">
        <v>106.45246146568726</v>
      </c>
      <c r="J24" s="75">
        <v>10</v>
      </c>
      <c r="K24" s="76">
        <f t="shared" si="1"/>
        <v>625.00148915086106</v>
      </c>
      <c r="L24" s="77">
        <f t="shared" si="2"/>
        <v>0.73899999999999999</v>
      </c>
      <c r="M24" s="77">
        <f t="shared" si="3"/>
        <v>0.26100000000000001</v>
      </c>
      <c r="N24" s="79"/>
      <c r="O24" s="79"/>
      <c r="P24" s="80"/>
    </row>
    <row r="25" spans="2:16" x14ac:dyDescent="0.3">
      <c r="B25" s="11" t="s">
        <v>94</v>
      </c>
      <c r="G25" s="6">
        <v>21</v>
      </c>
      <c r="H25" s="74">
        <v>1045.2099817899264</v>
      </c>
      <c r="J25" s="75">
        <v>11</v>
      </c>
      <c r="K25" s="76">
        <f t="shared" si="1"/>
        <v>917.34850090774512</v>
      </c>
      <c r="L25" s="77">
        <f t="shared" si="2"/>
        <v>0.66</v>
      </c>
      <c r="M25" s="77">
        <f t="shared" si="3"/>
        <v>0.33999999999999997</v>
      </c>
      <c r="N25" s="79"/>
      <c r="O25" s="79"/>
      <c r="P25" s="80"/>
    </row>
    <row r="26" spans="2:16" x14ac:dyDescent="0.3">
      <c r="B26" s="19" t="s">
        <v>95</v>
      </c>
      <c r="C26" s="68"/>
      <c r="D26" s="68"/>
      <c r="E26" s="81">
        <f ca="1">-E3+NPV(E11,C23:E23)</f>
        <v>569.6411937359868</v>
      </c>
      <c r="G26" s="6">
        <v>22</v>
      </c>
      <c r="H26" s="74">
        <v>386.2100995776176</v>
      </c>
      <c r="J26" s="75">
        <v>12</v>
      </c>
      <c r="K26" s="76">
        <f t="shared" si="1"/>
        <v>1209.6955126646292</v>
      </c>
      <c r="L26" s="77">
        <f t="shared" si="2"/>
        <v>0.55100000000000005</v>
      </c>
      <c r="M26" s="77">
        <f t="shared" si="3"/>
        <v>0.44899999999999995</v>
      </c>
      <c r="N26" s="79"/>
      <c r="O26" s="79"/>
      <c r="P26" s="80"/>
    </row>
    <row r="27" spans="2:16" x14ac:dyDescent="0.3">
      <c r="G27" s="6">
        <v>23</v>
      </c>
      <c r="H27" s="74">
        <v>3435.2869744470659</v>
      </c>
      <c r="J27" s="75">
        <v>13</v>
      </c>
      <c r="K27" s="76">
        <f t="shared" si="1"/>
        <v>1502.0425244215132</v>
      </c>
      <c r="L27" s="77">
        <f t="shared" si="2"/>
        <v>0.45600000000000002</v>
      </c>
      <c r="M27" s="77">
        <f t="shared" si="3"/>
        <v>0.54400000000000004</v>
      </c>
      <c r="N27" s="79"/>
      <c r="O27" s="79"/>
      <c r="P27" s="80"/>
    </row>
    <row r="28" spans="2:16" x14ac:dyDescent="0.3">
      <c r="B28" s="11" t="s">
        <v>60</v>
      </c>
      <c r="G28" s="6">
        <v>24</v>
      </c>
      <c r="H28" s="74">
        <v>1182.5187328198679</v>
      </c>
      <c r="J28" s="75">
        <v>14</v>
      </c>
      <c r="K28" s="76">
        <f t="shared" si="1"/>
        <v>1794.3895361783973</v>
      </c>
      <c r="L28" s="77">
        <f t="shared" si="2"/>
        <v>0.35899999999999999</v>
      </c>
      <c r="M28" s="77">
        <f t="shared" si="3"/>
        <v>0.64100000000000001</v>
      </c>
      <c r="N28" s="79"/>
      <c r="O28" s="79"/>
      <c r="P28" s="80"/>
    </row>
    <row r="29" spans="2:16" x14ac:dyDescent="0.3">
      <c r="B29" s="82" t="s">
        <v>96</v>
      </c>
      <c r="C29" s="68"/>
      <c r="D29" s="68"/>
      <c r="E29" s="83">
        <f>AVERAGE($H$5:$H$1004)</f>
        <v>1529.9302443388219</v>
      </c>
      <c r="G29" s="6">
        <v>25</v>
      </c>
      <c r="H29" s="74">
        <v>484.04433675990191</v>
      </c>
      <c r="J29" s="75">
        <v>15</v>
      </c>
      <c r="K29" s="76">
        <f t="shared" si="1"/>
        <v>2086.7365479352811</v>
      </c>
      <c r="L29" s="77">
        <f t="shared" si="2"/>
        <v>0.28799999999999998</v>
      </c>
      <c r="M29" s="77">
        <f t="shared" si="3"/>
        <v>0.71199999999999997</v>
      </c>
      <c r="N29" s="79"/>
      <c r="O29" s="79"/>
      <c r="P29" s="80"/>
    </row>
    <row r="30" spans="2:16" x14ac:dyDescent="0.3">
      <c r="B30" s="82" t="s">
        <v>97</v>
      </c>
      <c r="C30" s="68"/>
      <c r="D30" s="68"/>
      <c r="E30" s="83">
        <f>STDEV($H$5:$H$1004)</f>
        <v>1351.3373098278523</v>
      </c>
      <c r="G30" s="6">
        <v>26</v>
      </c>
      <c r="H30" s="74">
        <v>1847.0705819120096</v>
      </c>
      <c r="J30" s="75">
        <v>16</v>
      </c>
      <c r="K30" s="76">
        <f t="shared" si="1"/>
        <v>2379.0835596921652</v>
      </c>
      <c r="L30" s="77">
        <f t="shared" si="2"/>
        <v>0.23</v>
      </c>
      <c r="M30" s="77">
        <f t="shared" si="3"/>
        <v>0.77</v>
      </c>
      <c r="N30" s="79"/>
      <c r="O30" s="79"/>
      <c r="P30" s="80"/>
    </row>
    <row r="31" spans="2:16" x14ac:dyDescent="0.3">
      <c r="B31" s="82" t="s">
        <v>98</v>
      </c>
      <c r="C31" s="68"/>
      <c r="D31" s="68"/>
      <c r="E31" s="83">
        <f>MAX($H$5:$H$1004)</f>
        <v>6910.4622419238676</v>
      </c>
      <c r="G31" s="6">
        <v>27</v>
      </c>
      <c r="H31" s="74">
        <v>2634.8710009096976</v>
      </c>
      <c r="J31" s="75">
        <v>17</v>
      </c>
      <c r="K31" s="76">
        <f t="shared" si="1"/>
        <v>2671.4305714490492</v>
      </c>
      <c r="L31" s="77">
        <f t="shared" si="2"/>
        <v>0.18</v>
      </c>
      <c r="M31" s="77">
        <f t="shared" si="3"/>
        <v>0.82000000000000006</v>
      </c>
      <c r="N31" s="79"/>
      <c r="O31" s="79"/>
      <c r="P31" s="80"/>
    </row>
    <row r="32" spans="2:16" x14ac:dyDescent="0.3">
      <c r="B32" s="82" t="s">
        <v>99</v>
      </c>
      <c r="C32" s="68"/>
      <c r="D32" s="68"/>
      <c r="E32" s="84">
        <f>MIN($H$5:$H$1004)</f>
        <v>-1859.9481107826532</v>
      </c>
      <c r="G32" s="6">
        <v>28</v>
      </c>
      <c r="H32" s="74">
        <v>-478.04042644302803</v>
      </c>
      <c r="J32" s="75">
        <v>18</v>
      </c>
      <c r="K32" s="76">
        <f t="shared" si="1"/>
        <v>2963.7775832059333</v>
      </c>
      <c r="L32" s="77">
        <f t="shared" si="2"/>
        <v>0.14699999999999999</v>
      </c>
      <c r="M32" s="77">
        <f t="shared" si="3"/>
        <v>0.85299999999999998</v>
      </c>
      <c r="N32" s="79"/>
      <c r="O32" s="79"/>
      <c r="P32" s="80"/>
    </row>
    <row r="33" spans="2:16" x14ac:dyDescent="0.3">
      <c r="G33" s="6">
        <v>29</v>
      </c>
      <c r="H33" s="74">
        <v>1769.054820978979</v>
      </c>
      <c r="J33" s="75">
        <v>19</v>
      </c>
      <c r="K33" s="76">
        <f t="shared" si="1"/>
        <v>3256.1245949628174</v>
      </c>
      <c r="L33" s="77">
        <f t="shared" si="2"/>
        <v>0.112</v>
      </c>
      <c r="M33" s="77">
        <f t="shared" si="3"/>
        <v>0.88800000000000001</v>
      </c>
      <c r="N33" s="79"/>
      <c r="O33" s="79"/>
      <c r="P33" s="80"/>
    </row>
    <row r="34" spans="2:16" x14ac:dyDescent="0.3">
      <c r="B34" s="11" t="s">
        <v>100</v>
      </c>
      <c r="G34" s="6">
        <v>30</v>
      </c>
      <c r="H34" s="74">
        <v>1133.8029181182292</v>
      </c>
      <c r="J34" s="75">
        <v>20</v>
      </c>
      <c r="K34" s="76">
        <f t="shared" si="1"/>
        <v>3548.4716067197014</v>
      </c>
      <c r="L34" s="77">
        <f t="shared" si="2"/>
        <v>9.0999999999999998E-2</v>
      </c>
      <c r="M34" s="77">
        <f t="shared" si="3"/>
        <v>0.90900000000000003</v>
      </c>
      <c r="N34" s="79"/>
      <c r="O34" s="79"/>
      <c r="P34" s="80"/>
    </row>
    <row r="35" spans="2:16" x14ac:dyDescent="0.3">
      <c r="B35" s="70" t="s">
        <v>101</v>
      </c>
      <c r="C35" s="20">
        <v>14</v>
      </c>
      <c r="G35" s="6">
        <v>31</v>
      </c>
      <c r="H35" s="74">
        <v>4678.797002547507</v>
      </c>
      <c r="J35" s="75">
        <v>21</v>
      </c>
      <c r="K35" s="76">
        <f t="shared" si="1"/>
        <v>3840.8186184765855</v>
      </c>
      <c r="L35" s="77">
        <f t="shared" si="2"/>
        <v>6.3E-2</v>
      </c>
      <c r="M35" s="77">
        <f t="shared" si="3"/>
        <v>0.93700000000000006</v>
      </c>
      <c r="N35" s="79"/>
      <c r="O35" s="79"/>
      <c r="P35" s="80"/>
    </row>
    <row r="36" spans="2:16" x14ac:dyDescent="0.3">
      <c r="B36" s="70" t="s">
        <v>102</v>
      </c>
      <c r="C36" s="6" cm="1">
        <f t="array" ref="C36">INDEX(K15:K46,C35)</f>
        <v>1794.3895361783973</v>
      </c>
      <c r="G36" s="6">
        <v>32</v>
      </c>
      <c r="H36" s="74">
        <v>1837.7845914257891</v>
      </c>
      <c r="J36" s="75">
        <v>22</v>
      </c>
      <c r="K36" s="76">
        <f t="shared" si="1"/>
        <v>4133.1656302334695</v>
      </c>
      <c r="L36" s="77">
        <f t="shared" si="2"/>
        <v>4.3999999999999997E-2</v>
      </c>
      <c r="M36" s="77">
        <f t="shared" si="3"/>
        <v>0.95599999999999996</v>
      </c>
      <c r="N36" s="79"/>
      <c r="O36" s="79"/>
      <c r="P36" s="80"/>
    </row>
    <row r="37" spans="2:16" x14ac:dyDescent="0.3">
      <c r="B37" s="70" t="s">
        <v>103</v>
      </c>
      <c r="C37" s="85">
        <f>INDEX(L15:L46,MATCH(C36,K15:K46,0))</f>
        <v>0.35899999999999999</v>
      </c>
      <c r="G37" s="6">
        <v>33</v>
      </c>
      <c r="H37" s="74">
        <v>-56.406877659831608</v>
      </c>
      <c r="J37" s="75">
        <v>23</v>
      </c>
      <c r="K37" s="76">
        <f t="shared" si="1"/>
        <v>4425.5126419903536</v>
      </c>
      <c r="L37" s="77">
        <f t="shared" si="2"/>
        <v>3.5000000000000003E-2</v>
      </c>
      <c r="M37" s="77">
        <f t="shared" si="3"/>
        <v>0.96499999999999997</v>
      </c>
      <c r="N37" s="79"/>
      <c r="O37" s="79"/>
      <c r="P37" s="80"/>
    </row>
    <row r="38" spans="2:16" x14ac:dyDescent="0.3">
      <c r="G38" s="6">
        <v>34</v>
      </c>
      <c r="H38" s="74">
        <v>-846.45910770265982</v>
      </c>
      <c r="J38" s="75">
        <v>24</v>
      </c>
      <c r="K38" s="76">
        <f t="shared" si="1"/>
        <v>4717.8596537472376</v>
      </c>
      <c r="L38" s="77">
        <f t="shared" si="2"/>
        <v>2.5000000000000001E-2</v>
      </c>
      <c r="M38" s="77">
        <f t="shared" si="3"/>
        <v>0.97499999999999998</v>
      </c>
      <c r="N38" s="79"/>
      <c r="O38" s="79"/>
      <c r="P38" s="80"/>
    </row>
    <row r="39" spans="2:16" x14ac:dyDescent="0.3">
      <c r="B39" s="19" t="s">
        <v>104</v>
      </c>
      <c r="C39" s="69"/>
      <c r="D39" s="20">
        <v>30</v>
      </c>
      <c r="G39" s="6">
        <v>35</v>
      </c>
      <c r="H39" s="74">
        <v>1225.5673429900346</v>
      </c>
      <c r="J39" s="75">
        <v>25</v>
      </c>
      <c r="K39" s="76">
        <f t="shared" si="1"/>
        <v>5010.2066655041217</v>
      </c>
      <c r="L39" s="77">
        <f t="shared" si="2"/>
        <v>1.9E-2</v>
      </c>
      <c r="M39" s="77">
        <f t="shared" si="3"/>
        <v>0.98099999999999998</v>
      </c>
      <c r="N39" s="79"/>
      <c r="O39" s="79"/>
      <c r="P39" s="80"/>
    </row>
    <row r="40" spans="2:16" x14ac:dyDescent="0.3">
      <c r="B40" s="19" t="s">
        <v>105</v>
      </c>
      <c r="C40" s="69"/>
      <c r="D40" s="6">
        <f>(E31-E32)/D39</f>
        <v>292.347011756884</v>
      </c>
      <c r="G40" s="6">
        <v>36</v>
      </c>
      <c r="H40" s="74">
        <v>165.33952832015228</v>
      </c>
      <c r="J40" s="75">
        <v>26</v>
      </c>
      <c r="K40" s="76">
        <f t="shared" si="1"/>
        <v>5302.5536772610058</v>
      </c>
      <c r="L40" s="77">
        <f t="shared" si="2"/>
        <v>1.2E-2</v>
      </c>
      <c r="M40" s="77">
        <f t="shared" si="3"/>
        <v>0.98799999999999999</v>
      </c>
      <c r="O40" s="79"/>
      <c r="P40" s="80"/>
    </row>
    <row r="41" spans="2:16" x14ac:dyDescent="0.3">
      <c r="G41" s="6">
        <v>37</v>
      </c>
      <c r="H41" s="74">
        <v>3244.2203528352507</v>
      </c>
      <c r="J41" s="75">
        <v>27</v>
      </c>
      <c r="K41" s="76">
        <f t="shared" si="1"/>
        <v>5594.9006890178898</v>
      </c>
      <c r="L41" s="77">
        <f t="shared" si="2"/>
        <v>6.0000000000000001E-3</v>
      </c>
      <c r="M41" s="77">
        <f t="shared" si="3"/>
        <v>0.99399999999999999</v>
      </c>
      <c r="N41" s="79"/>
      <c r="O41" s="79"/>
      <c r="P41" s="80"/>
    </row>
    <row r="42" spans="2:16" x14ac:dyDescent="0.3">
      <c r="B42" s="70" t="s">
        <v>106</v>
      </c>
      <c r="C42" s="86" t="s">
        <v>107</v>
      </c>
      <c r="D42" s="20" t="s">
        <v>108</v>
      </c>
      <c r="G42" s="6">
        <v>38</v>
      </c>
      <c r="H42" s="74">
        <v>1818.2527457222923</v>
      </c>
      <c r="J42" s="75">
        <v>28</v>
      </c>
      <c r="K42" s="76">
        <f t="shared" si="1"/>
        <v>5887.2477007747739</v>
      </c>
      <c r="L42" s="77">
        <f t="shared" si="2"/>
        <v>5.0000000000000001E-3</v>
      </c>
      <c r="M42" s="77">
        <f t="shared" si="3"/>
        <v>0.995</v>
      </c>
      <c r="N42" s="79"/>
      <c r="O42" s="79"/>
      <c r="P42" s="80"/>
    </row>
    <row r="43" spans="2:16" x14ac:dyDescent="0.3">
      <c r="B43" s="70" t="s">
        <v>109</v>
      </c>
      <c r="C43" s="6">
        <f>C36</f>
        <v>1794.3895361783973</v>
      </c>
      <c r="D43" s="20">
        <v>0</v>
      </c>
      <c r="G43" s="6">
        <v>39</v>
      </c>
      <c r="H43" s="74">
        <v>919.41699877607175</v>
      </c>
      <c r="J43" s="75">
        <v>29</v>
      </c>
      <c r="K43" s="76">
        <f t="shared" si="1"/>
        <v>6179.5947125316579</v>
      </c>
      <c r="L43" s="77">
        <f t="shared" si="2"/>
        <v>3.0000000000000001E-3</v>
      </c>
      <c r="M43" s="77">
        <f t="shared" si="3"/>
        <v>0.997</v>
      </c>
      <c r="N43" s="79"/>
      <c r="O43" s="79"/>
      <c r="P43" s="80"/>
    </row>
    <row r="44" spans="2:16" x14ac:dyDescent="0.3">
      <c r="B44" s="70" t="s">
        <v>110</v>
      </c>
      <c r="C44" s="6">
        <f>C36</f>
        <v>1794.3895361783973</v>
      </c>
      <c r="D44" s="87">
        <f>C37</f>
        <v>0.35899999999999999</v>
      </c>
      <c r="G44" s="6">
        <v>40</v>
      </c>
      <c r="H44" s="74">
        <v>1513.8461840808161</v>
      </c>
      <c r="J44" s="75">
        <v>30</v>
      </c>
      <c r="K44" s="76">
        <f t="shared" si="1"/>
        <v>6471.941724288542</v>
      </c>
      <c r="L44" s="77">
        <f t="shared" si="2"/>
        <v>1E-3</v>
      </c>
      <c r="M44" s="77">
        <f t="shared" si="3"/>
        <v>0.999</v>
      </c>
      <c r="N44" s="79"/>
      <c r="O44" s="79"/>
      <c r="P44" s="80"/>
    </row>
    <row r="45" spans="2:16" x14ac:dyDescent="0.3">
      <c r="B45" s="70" t="s">
        <v>111</v>
      </c>
      <c r="C45" s="6">
        <f>C36</f>
        <v>1794.3895361783973</v>
      </c>
      <c r="D45" s="20">
        <v>1</v>
      </c>
      <c r="G45" s="6">
        <v>41</v>
      </c>
      <c r="H45" s="74">
        <v>2114.766590822951</v>
      </c>
      <c r="J45" s="75">
        <v>31</v>
      </c>
      <c r="K45" s="76">
        <f t="shared" si="1"/>
        <v>6764.288736045426</v>
      </c>
      <c r="L45" s="77">
        <f t="shared" si="2"/>
        <v>1E-3</v>
      </c>
      <c r="M45" s="77">
        <f t="shared" si="3"/>
        <v>0.999</v>
      </c>
      <c r="N45" s="79"/>
      <c r="O45" s="79"/>
      <c r="P45" s="80"/>
    </row>
    <row r="46" spans="2:16" x14ac:dyDescent="0.3">
      <c r="G46" s="6">
        <v>42</v>
      </c>
      <c r="H46" s="74">
        <v>1440.1879709793468</v>
      </c>
      <c r="J46" s="88">
        <v>32</v>
      </c>
      <c r="K46" s="89">
        <f t="shared" si="1"/>
        <v>7056.6357478023101</v>
      </c>
      <c r="L46" s="90">
        <f t="shared" si="2"/>
        <v>0</v>
      </c>
      <c r="M46" s="90">
        <f t="shared" si="3"/>
        <v>1</v>
      </c>
      <c r="N46" s="91"/>
      <c r="O46" s="79"/>
      <c r="P46" s="80"/>
    </row>
    <row r="47" spans="2:16" x14ac:dyDescent="0.3">
      <c r="B47" s="70" t="s">
        <v>112</v>
      </c>
      <c r="C47" s="86" t="s">
        <v>107</v>
      </c>
      <c r="D47" s="20" t="s">
        <v>108</v>
      </c>
      <c r="G47" s="6">
        <v>43</v>
      </c>
      <c r="H47" s="74">
        <v>-273.11089445308971</v>
      </c>
      <c r="K47" s="38"/>
      <c r="M47" s="91"/>
      <c r="N47" s="91"/>
      <c r="O47" s="91"/>
    </row>
    <row r="48" spans="2:16" x14ac:dyDescent="0.3">
      <c r="B48" s="70" t="s">
        <v>109</v>
      </c>
      <c r="C48" s="6">
        <f>$C$36</f>
        <v>1794.3895361783973</v>
      </c>
      <c r="D48" s="20">
        <v>0</v>
      </c>
      <c r="G48" s="6">
        <v>44</v>
      </c>
      <c r="H48" s="74">
        <v>131.67993429931829</v>
      </c>
      <c r="K48" s="38"/>
    </row>
    <row r="49" spans="2:11" x14ac:dyDescent="0.3">
      <c r="B49" s="70" t="s">
        <v>110</v>
      </c>
      <c r="C49" s="6">
        <f t="shared" ref="C49:C50" si="4">$C$36</f>
        <v>1794.3895361783973</v>
      </c>
      <c r="D49" s="87">
        <f>INDEX(M15:M46,MATCH(C36,K15:K46,0))</f>
        <v>0.64100000000000001</v>
      </c>
      <c r="G49" s="6">
        <v>45</v>
      </c>
      <c r="H49" s="74">
        <v>39.967467173958141</v>
      </c>
      <c r="K49" s="38"/>
    </row>
    <row r="50" spans="2:11" x14ac:dyDescent="0.3">
      <c r="B50" s="70" t="s">
        <v>111</v>
      </c>
      <c r="C50" s="6">
        <f t="shared" si="4"/>
        <v>1794.3895361783973</v>
      </c>
      <c r="D50" s="20">
        <v>1</v>
      </c>
      <c r="G50" s="6">
        <v>46</v>
      </c>
      <c r="H50" s="74">
        <v>3860.3734745151901</v>
      </c>
      <c r="K50" s="38"/>
    </row>
    <row r="51" spans="2:11" x14ac:dyDescent="0.3">
      <c r="G51" s="6">
        <v>47</v>
      </c>
      <c r="H51" s="74">
        <v>1503.2317214078153</v>
      </c>
      <c r="K51" s="38"/>
    </row>
    <row r="52" spans="2:11" x14ac:dyDescent="0.3">
      <c r="G52" s="6">
        <v>48</v>
      </c>
      <c r="H52" s="74">
        <v>2441.5475916069663</v>
      </c>
      <c r="K52" s="38"/>
    </row>
    <row r="53" spans="2:11" x14ac:dyDescent="0.3">
      <c r="G53" s="6">
        <v>49</v>
      </c>
      <c r="H53" s="74">
        <v>2043.0672330387113</v>
      </c>
      <c r="K53" s="38"/>
    </row>
    <row r="54" spans="2:11" x14ac:dyDescent="0.3">
      <c r="G54" s="6">
        <v>50</v>
      </c>
      <c r="H54" s="74">
        <v>1002.2209636356614</v>
      </c>
    </row>
    <row r="55" spans="2:11" x14ac:dyDescent="0.3">
      <c r="D55" s="79"/>
      <c r="G55" s="6">
        <v>51</v>
      </c>
      <c r="H55" s="74">
        <v>2285.7908858416445</v>
      </c>
    </row>
    <row r="56" spans="2:11" x14ac:dyDescent="0.3">
      <c r="G56" s="6">
        <v>52</v>
      </c>
      <c r="H56" s="74">
        <v>1187.2751822884366</v>
      </c>
    </row>
    <row r="57" spans="2:11" x14ac:dyDescent="0.3">
      <c r="G57" s="6">
        <v>53</v>
      </c>
      <c r="H57" s="74">
        <v>493.42804187571545</v>
      </c>
    </row>
    <row r="58" spans="2:11" x14ac:dyDescent="0.3">
      <c r="G58" s="6">
        <v>54</v>
      </c>
      <c r="H58" s="74">
        <v>72.019066775601175</v>
      </c>
    </row>
    <row r="59" spans="2:11" x14ac:dyDescent="0.3">
      <c r="G59" s="6">
        <v>55</v>
      </c>
      <c r="H59" s="74">
        <v>1663.3999251149612</v>
      </c>
    </row>
    <row r="60" spans="2:11" x14ac:dyDescent="0.3">
      <c r="G60" s="6">
        <v>56</v>
      </c>
      <c r="H60" s="74">
        <v>374.38954802759775</v>
      </c>
    </row>
    <row r="61" spans="2:11" x14ac:dyDescent="0.3">
      <c r="G61" s="6">
        <v>57</v>
      </c>
      <c r="H61" s="74">
        <v>-117.74072899104608</v>
      </c>
    </row>
    <row r="62" spans="2:11" x14ac:dyDescent="0.3">
      <c r="G62" s="6">
        <v>58</v>
      </c>
      <c r="H62" s="74">
        <v>1634.0039410809052</v>
      </c>
    </row>
    <row r="63" spans="2:11" x14ac:dyDescent="0.3">
      <c r="G63" s="6">
        <v>59</v>
      </c>
      <c r="H63" s="74">
        <v>4243.8036872599841</v>
      </c>
    </row>
    <row r="64" spans="2:11" x14ac:dyDescent="0.3">
      <c r="G64" s="6">
        <v>60</v>
      </c>
      <c r="H64" s="74">
        <v>3035.896885130393</v>
      </c>
    </row>
    <row r="65" spans="7:8" x14ac:dyDescent="0.3">
      <c r="G65" s="6">
        <v>61</v>
      </c>
      <c r="H65" s="74">
        <v>546.24843372742532</v>
      </c>
    </row>
    <row r="66" spans="7:8" x14ac:dyDescent="0.3">
      <c r="G66" s="6">
        <v>62</v>
      </c>
      <c r="H66" s="74">
        <v>1606.5432575671337</v>
      </c>
    </row>
    <row r="67" spans="7:8" x14ac:dyDescent="0.3">
      <c r="G67" s="6">
        <v>63</v>
      </c>
      <c r="H67" s="74">
        <v>1448.29267051938</v>
      </c>
    </row>
    <row r="68" spans="7:8" x14ac:dyDescent="0.3">
      <c r="G68" s="6">
        <v>64</v>
      </c>
      <c r="H68" s="74">
        <v>1893.6757878314577</v>
      </c>
    </row>
    <row r="69" spans="7:8" x14ac:dyDescent="0.3">
      <c r="G69" s="6">
        <v>65</v>
      </c>
      <c r="H69" s="74">
        <v>1375.9269994376305</v>
      </c>
    </row>
    <row r="70" spans="7:8" x14ac:dyDescent="0.3">
      <c r="G70" s="6">
        <v>66</v>
      </c>
      <c r="H70" s="74">
        <v>2137.9711867841406</v>
      </c>
    </row>
    <row r="71" spans="7:8" x14ac:dyDescent="0.3">
      <c r="G71" s="6">
        <v>67</v>
      </c>
      <c r="H71" s="74">
        <v>-431.00775866398766</v>
      </c>
    </row>
    <row r="72" spans="7:8" x14ac:dyDescent="0.3">
      <c r="G72" s="6">
        <v>68</v>
      </c>
      <c r="H72" s="74">
        <v>421.0971824593646</v>
      </c>
    </row>
    <row r="73" spans="7:8" x14ac:dyDescent="0.3">
      <c r="G73" s="6">
        <v>69</v>
      </c>
      <c r="H73" s="74">
        <v>949.84244166088331</v>
      </c>
    </row>
    <row r="74" spans="7:8" x14ac:dyDescent="0.3">
      <c r="G74" s="6">
        <v>70</v>
      </c>
      <c r="H74" s="74">
        <v>2055.4692413399357</v>
      </c>
    </row>
    <row r="75" spans="7:8" x14ac:dyDescent="0.3">
      <c r="G75" s="6">
        <v>71</v>
      </c>
      <c r="H75" s="74">
        <v>1317.8984654071571</v>
      </c>
    </row>
    <row r="76" spans="7:8" x14ac:dyDescent="0.3">
      <c r="G76" s="6">
        <v>72</v>
      </c>
      <c r="H76" s="74">
        <v>2381.6179419102727</v>
      </c>
    </row>
    <row r="77" spans="7:8" x14ac:dyDescent="0.3">
      <c r="G77" s="6">
        <v>73</v>
      </c>
      <c r="H77" s="74">
        <v>1511.1873653702705</v>
      </c>
    </row>
    <row r="78" spans="7:8" x14ac:dyDescent="0.3">
      <c r="G78" s="6">
        <v>74</v>
      </c>
      <c r="H78" s="74">
        <v>1114.1532786113789</v>
      </c>
    </row>
    <row r="79" spans="7:8" x14ac:dyDescent="0.3">
      <c r="G79" s="6">
        <v>75</v>
      </c>
      <c r="H79" s="74">
        <v>-513.9057240617235</v>
      </c>
    </row>
    <row r="80" spans="7:8" x14ac:dyDescent="0.3">
      <c r="G80" s="6">
        <v>76</v>
      </c>
      <c r="H80" s="74">
        <v>3682.2540522129871</v>
      </c>
    </row>
    <row r="81" spans="7:8" x14ac:dyDescent="0.3">
      <c r="G81" s="6">
        <v>77</v>
      </c>
      <c r="H81" s="74">
        <v>695.91162387284692</v>
      </c>
    </row>
    <row r="82" spans="7:8" x14ac:dyDescent="0.3">
      <c r="G82" s="6">
        <v>78</v>
      </c>
      <c r="H82" s="74">
        <v>932.12431933113089</v>
      </c>
    </row>
    <row r="83" spans="7:8" x14ac:dyDescent="0.3">
      <c r="G83" s="6">
        <v>79</v>
      </c>
      <c r="H83" s="74">
        <v>3604.6686549525707</v>
      </c>
    </row>
    <row r="84" spans="7:8" x14ac:dyDescent="0.3">
      <c r="G84" s="6">
        <v>80</v>
      </c>
      <c r="H84" s="74">
        <v>2289.7518258579603</v>
      </c>
    </row>
    <row r="85" spans="7:8" x14ac:dyDescent="0.3">
      <c r="G85" s="6">
        <v>81</v>
      </c>
      <c r="H85" s="74">
        <v>-303.57756055375575</v>
      </c>
    </row>
    <row r="86" spans="7:8" x14ac:dyDescent="0.3">
      <c r="G86" s="6">
        <v>82</v>
      </c>
      <c r="H86" s="74">
        <v>1835.3476397454299</v>
      </c>
    </row>
    <row r="87" spans="7:8" x14ac:dyDescent="0.3">
      <c r="G87" s="6">
        <v>83</v>
      </c>
      <c r="H87" s="74">
        <v>2245.1336264970705</v>
      </c>
    </row>
    <row r="88" spans="7:8" x14ac:dyDescent="0.3">
      <c r="G88" s="6">
        <v>84</v>
      </c>
      <c r="H88" s="74">
        <v>725.83200844036423</v>
      </c>
    </row>
    <row r="89" spans="7:8" x14ac:dyDescent="0.3">
      <c r="G89" s="6">
        <v>85</v>
      </c>
      <c r="H89" s="74">
        <v>3165.5905849867258</v>
      </c>
    </row>
    <row r="90" spans="7:8" x14ac:dyDescent="0.3">
      <c r="G90" s="6">
        <v>86</v>
      </c>
      <c r="H90" s="74">
        <v>2966.3508905796525</v>
      </c>
    </row>
    <row r="91" spans="7:8" x14ac:dyDescent="0.3">
      <c r="G91" s="6">
        <v>87</v>
      </c>
      <c r="H91" s="74">
        <v>997.30758359452739</v>
      </c>
    </row>
    <row r="92" spans="7:8" x14ac:dyDescent="0.3">
      <c r="G92" s="6">
        <v>88</v>
      </c>
      <c r="H92" s="74">
        <v>3185.7660426667021</v>
      </c>
    </row>
    <row r="93" spans="7:8" x14ac:dyDescent="0.3">
      <c r="G93" s="6">
        <v>89</v>
      </c>
      <c r="H93" s="74">
        <v>2793.0037547819088</v>
      </c>
    </row>
    <row r="94" spans="7:8" x14ac:dyDescent="0.3">
      <c r="G94" s="6">
        <v>90</v>
      </c>
      <c r="H94" s="74">
        <v>2341.0098015275707</v>
      </c>
    </row>
    <row r="95" spans="7:8" x14ac:dyDescent="0.3">
      <c r="G95" s="6">
        <v>91</v>
      </c>
      <c r="H95" s="74">
        <v>1627.8770397456974</v>
      </c>
    </row>
    <row r="96" spans="7:8" x14ac:dyDescent="0.3">
      <c r="G96" s="6">
        <v>92</v>
      </c>
      <c r="H96" s="74">
        <v>2138.0704497007391</v>
      </c>
    </row>
    <row r="97" spans="7:8" x14ac:dyDescent="0.3">
      <c r="G97" s="6">
        <v>93</v>
      </c>
      <c r="H97" s="74">
        <v>1458.6153788416141</v>
      </c>
    </row>
    <row r="98" spans="7:8" x14ac:dyDescent="0.3">
      <c r="G98" s="6">
        <v>94</v>
      </c>
      <c r="H98" s="74">
        <v>881.30006342110778</v>
      </c>
    </row>
    <row r="99" spans="7:8" x14ac:dyDescent="0.3">
      <c r="G99" s="6">
        <v>95</v>
      </c>
      <c r="H99" s="74">
        <v>5334.0557575738258</v>
      </c>
    </row>
    <row r="100" spans="7:8" x14ac:dyDescent="0.3">
      <c r="G100" s="6">
        <v>96</v>
      </c>
      <c r="H100" s="74">
        <v>2329.0019805477759</v>
      </c>
    </row>
    <row r="101" spans="7:8" x14ac:dyDescent="0.3">
      <c r="G101" s="6">
        <v>97</v>
      </c>
      <c r="H101" s="74">
        <v>305.62596615103661</v>
      </c>
    </row>
    <row r="102" spans="7:8" x14ac:dyDescent="0.3">
      <c r="G102" s="6">
        <v>98</v>
      </c>
      <c r="H102" s="74">
        <v>2793.6187848299437</v>
      </c>
    </row>
    <row r="103" spans="7:8" x14ac:dyDescent="0.3">
      <c r="G103" s="6">
        <v>99</v>
      </c>
      <c r="H103" s="74">
        <v>-744.94801635350404</v>
      </c>
    </row>
    <row r="104" spans="7:8" x14ac:dyDescent="0.3">
      <c r="G104" s="6">
        <v>100</v>
      </c>
      <c r="H104" s="74">
        <v>925.17353984471583</v>
      </c>
    </row>
    <row r="105" spans="7:8" x14ac:dyDescent="0.3">
      <c r="G105" s="6">
        <v>101</v>
      </c>
      <c r="H105" s="74">
        <v>4171.4868191758969</v>
      </c>
    </row>
    <row r="106" spans="7:8" x14ac:dyDescent="0.3">
      <c r="G106" s="6">
        <v>102</v>
      </c>
      <c r="H106" s="74">
        <v>1395.3558050307497</v>
      </c>
    </row>
    <row r="107" spans="7:8" x14ac:dyDescent="0.3">
      <c r="G107" s="6">
        <v>103</v>
      </c>
      <c r="H107" s="74">
        <v>2089.6129557792301</v>
      </c>
    </row>
    <row r="108" spans="7:8" x14ac:dyDescent="0.3">
      <c r="G108" s="6">
        <v>104</v>
      </c>
      <c r="H108" s="74">
        <v>5958.7763464287154</v>
      </c>
    </row>
    <row r="109" spans="7:8" x14ac:dyDescent="0.3">
      <c r="G109" s="6">
        <v>105</v>
      </c>
      <c r="H109" s="74">
        <v>1918.9398262835896</v>
      </c>
    </row>
    <row r="110" spans="7:8" x14ac:dyDescent="0.3">
      <c r="G110" s="6">
        <v>106</v>
      </c>
      <c r="H110" s="74">
        <v>93.20254151254332</v>
      </c>
    </row>
    <row r="111" spans="7:8" x14ac:dyDescent="0.3">
      <c r="G111" s="6">
        <v>107</v>
      </c>
      <c r="H111" s="74">
        <v>211.1285579567525</v>
      </c>
    </row>
    <row r="112" spans="7:8" x14ac:dyDescent="0.3">
      <c r="G112" s="6">
        <v>108</v>
      </c>
      <c r="H112" s="74">
        <v>710.98578555198208</v>
      </c>
    </row>
    <row r="113" spans="7:8" x14ac:dyDescent="0.3">
      <c r="G113" s="6">
        <v>109</v>
      </c>
      <c r="H113" s="74">
        <v>913.74335515977123</v>
      </c>
    </row>
    <row r="114" spans="7:8" x14ac:dyDescent="0.3">
      <c r="G114" s="6">
        <v>110</v>
      </c>
      <c r="H114" s="74">
        <v>2261.034505653653</v>
      </c>
    </row>
    <row r="115" spans="7:8" x14ac:dyDescent="0.3">
      <c r="G115" s="6">
        <v>111</v>
      </c>
      <c r="H115" s="74">
        <v>3933.1514335938305</v>
      </c>
    </row>
    <row r="116" spans="7:8" x14ac:dyDescent="0.3">
      <c r="G116" s="6">
        <v>112</v>
      </c>
      <c r="H116" s="74">
        <v>1020.8481054503015</v>
      </c>
    </row>
    <row r="117" spans="7:8" x14ac:dyDescent="0.3">
      <c r="G117" s="6">
        <v>113</v>
      </c>
      <c r="H117" s="74">
        <v>4348.0556690981066</v>
      </c>
    </row>
    <row r="118" spans="7:8" x14ac:dyDescent="0.3">
      <c r="G118" s="6">
        <v>114</v>
      </c>
      <c r="H118" s="74">
        <v>1545.1571703485758</v>
      </c>
    </row>
    <row r="119" spans="7:8" x14ac:dyDescent="0.3">
      <c r="G119" s="6">
        <v>115</v>
      </c>
      <c r="H119" s="74">
        <v>3522.8489361482493</v>
      </c>
    </row>
    <row r="120" spans="7:8" x14ac:dyDescent="0.3">
      <c r="G120" s="6">
        <v>116</v>
      </c>
      <c r="H120" s="74">
        <v>1921.1497075781244</v>
      </c>
    </row>
    <row r="121" spans="7:8" x14ac:dyDescent="0.3">
      <c r="G121" s="6">
        <v>117</v>
      </c>
      <c r="H121" s="74">
        <v>1399.7175668670386</v>
      </c>
    </row>
    <row r="122" spans="7:8" x14ac:dyDescent="0.3">
      <c r="G122" s="6">
        <v>118</v>
      </c>
      <c r="H122" s="74">
        <v>2520.2214960220754</v>
      </c>
    </row>
    <row r="123" spans="7:8" x14ac:dyDescent="0.3">
      <c r="G123" s="6">
        <v>119</v>
      </c>
      <c r="H123" s="74">
        <v>-557.82817627815928</v>
      </c>
    </row>
    <row r="124" spans="7:8" x14ac:dyDescent="0.3">
      <c r="G124" s="6">
        <v>120</v>
      </c>
      <c r="H124" s="74">
        <v>2114.4400295671894</v>
      </c>
    </row>
    <row r="125" spans="7:8" x14ac:dyDescent="0.3">
      <c r="G125" s="6">
        <v>121</v>
      </c>
      <c r="H125" s="74">
        <v>1747.5150296603001</v>
      </c>
    </row>
    <row r="126" spans="7:8" x14ac:dyDescent="0.3">
      <c r="G126" s="6">
        <v>122</v>
      </c>
      <c r="H126" s="74">
        <v>3639.6726655777957</v>
      </c>
    </row>
    <row r="127" spans="7:8" x14ac:dyDescent="0.3">
      <c r="G127" s="6">
        <v>123</v>
      </c>
      <c r="H127" s="74">
        <v>825.56827628923986</v>
      </c>
    </row>
    <row r="128" spans="7:8" x14ac:dyDescent="0.3">
      <c r="G128" s="6">
        <v>124</v>
      </c>
      <c r="H128" s="74">
        <v>1936.6020518013302</v>
      </c>
    </row>
    <row r="129" spans="7:8" x14ac:dyDescent="0.3">
      <c r="G129" s="6">
        <v>125</v>
      </c>
      <c r="H129" s="74">
        <v>2506.9354902778327</v>
      </c>
    </row>
    <row r="130" spans="7:8" x14ac:dyDescent="0.3">
      <c r="G130" s="6">
        <v>126</v>
      </c>
      <c r="H130" s="74">
        <v>29.616595054241305</v>
      </c>
    </row>
    <row r="131" spans="7:8" x14ac:dyDescent="0.3">
      <c r="G131" s="6">
        <v>127</v>
      </c>
      <c r="H131" s="74">
        <v>3660.888330078059</v>
      </c>
    </row>
    <row r="132" spans="7:8" x14ac:dyDescent="0.3">
      <c r="G132" s="6">
        <v>128</v>
      </c>
      <c r="H132" s="74">
        <v>806.86245641031712</v>
      </c>
    </row>
    <row r="133" spans="7:8" x14ac:dyDescent="0.3">
      <c r="G133" s="6">
        <v>129</v>
      </c>
      <c r="H133" s="74">
        <v>943.3654120543938</v>
      </c>
    </row>
    <row r="134" spans="7:8" x14ac:dyDescent="0.3">
      <c r="G134" s="6">
        <v>130</v>
      </c>
      <c r="H134" s="74">
        <v>2103.5042651582153</v>
      </c>
    </row>
    <row r="135" spans="7:8" x14ac:dyDescent="0.3">
      <c r="G135" s="6">
        <v>131</v>
      </c>
      <c r="H135" s="74">
        <v>2485.7530534634971</v>
      </c>
    </row>
    <row r="136" spans="7:8" x14ac:dyDescent="0.3">
      <c r="G136" s="6">
        <v>132</v>
      </c>
      <c r="H136" s="74">
        <v>-239.04430595723363</v>
      </c>
    </row>
    <row r="137" spans="7:8" x14ac:dyDescent="0.3">
      <c r="G137" s="6">
        <v>133</v>
      </c>
      <c r="H137" s="74">
        <v>1208.1646567507316</v>
      </c>
    </row>
    <row r="138" spans="7:8" x14ac:dyDescent="0.3">
      <c r="G138" s="6">
        <v>134</v>
      </c>
      <c r="H138" s="74">
        <v>1213.2842671276599</v>
      </c>
    </row>
    <row r="139" spans="7:8" x14ac:dyDescent="0.3">
      <c r="G139" s="6">
        <v>135</v>
      </c>
      <c r="H139" s="74">
        <v>644.59695097924271</v>
      </c>
    </row>
    <row r="140" spans="7:8" x14ac:dyDescent="0.3">
      <c r="G140" s="6">
        <v>136</v>
      </c>
      <c r="H140" s="74">
        <v>1466.77935143783</v>
      </c>
    </row>
    <row r="141" spans="7:8" x14ac:dyDescent="0.3">
      <c r="G141" s="6">
        <v>137</v>
      </c>
      <c r="H141" s="74">
        <v>-423.78238148683585</v>
      </c>
    </row>
    <row r="142" spans="7:8" x14ac:dyDescent="0.3">
      <c r="G142" s="6">
        <v>138</v>
      </c>
      <c r="H142" s="74">
        <v>872.20230219281359</v>
      </c>
    </row>
    <row r="143" spans="7:8" x14ac:dyDescent="0.3">
      <c r="G143" s="6">
        <v>139</v>
      </c>
      <c r="H143" s="74">
        <v>3367.225255458995</v>
      </c>
    </row>
    <row r="144" spans="7:8" x14ac:dyDescent="0.3">
      <c r="G144" s="6">
        <v>140</v>
      </c>
      <c r="H144" s="74">
        <v>1697.529699442036</v>
      </c>
    </row>
    <row r="145" spans="7:8" x14ac:dyDescent="0.3">
      <c r="G145" s="6">
        <v>141</v>
      </c>
      <c r="H145" s="74">
        <v>562.27798158931137</v>
      </c>
    </row>
    <row r="146" spans="7:8" x14ac:dyDescent="0.3">
      <c r="G146" s="6">
        <v>142</v>
      </c>
      <c r="H146" s="74">
        <v>998.4428063459884</v>
      </c>
    </row>
    <row r="147" spans="7:8" x14ac:dyDescent="0.3">
      <c r="G147" s="6">
        <v>143</v>
      </c>
      <c r="H147" s="74">
        <v>1747.4437956821364</v>
      </c>
    </row>
    <row r="148" spans="7:8" x14ac:dyDescent="0.3">
      <c r="G148" s="6">
        <v>144</v>
      </c>
      <c r="H148" s="74">
        <v>200.47317907594288</v>
      </c>
    </row>
    <row r="149" spans="7:8" x14ac:dyDescent="0.3">
      <c r="G149" s="6">
        <v>145</v>
      </c>
      <c r="H149" s="74">
        <v>854.19441029014672</v>
      </c>
    </row>
    <row r="150" spans="7:8" x14ac:dyDescent="0.3">
      <c r="G150" s="6">
        <v>146</v>
      </c>
      <c r="H150" s="74">
        <v>1739.3036537330852</v>
      </c>
    </row>
    <row r="151" spans="7:8" x14ac:dyDescent="0.3">
      <c r="G151" s="6">
        <v>147</v>
      </c>
      <c r="H151" s="74">
        <v>1042.2997682064627</v>
      </c>
    </row>
    <row r="152" spans="7:8" x14ac:dyDescent="0.3">
      <c r="G152" s="6">
        <v>148</v>
      </c>
      <c r="H152" s="74">
        <v>1395.2695608740389</v>
      </c>
    </row>
    <row r="153" spans="7:8" x14ac:dyDescent="0.3">
      <c r="G153" s="6">
        <v>149</v>
      </c>
      <c r="H153" s="74">
        <v>1086.9035229592321</v>
      </c>
    </row>
    <row r="154" spans="7:8" x14ac:dyDescent="0.3">
      <c r="G154" s="6">
        <v>150</v>
      </c>
      <c r="H154" s="74">
        <v>2526.5291725414795</v>
      </c>
    </row>
    <row r="155" spans="7:8" x14ac:dyDescent="0.3">
      <c r="G155" s="6">
        <v>151</v>
      </c>
      <c r="H155" s="74">
        <v>1056.81978252423</v>
      </c>
    </row>
    <row r="156" spans="7:8" x14ac:dyDescent="0.3">
      <c r="G156" s="6">
        <v>152</v>
      </c>
      <c r="H156" s="74">
        <v>2221.5798433931423</v>
      </c>
    </row>
    <row r="157" spans="7:8" x14ac:dyDescent="0.3">
      <c r="G157" s="6">
        <v>153</v>
      </c>
      <c r="H157" s="74">
        <v>1624.8393721823868</v>
      </c>
    </row>
    <row r="158" spans="7:8" x14ac:dyDescent="0.3">
      <c r="G158" s="6">
        <v>154</v>
      </c>
      <c r="H158" s="74">
        <v>4136.4520239755975</v>
      </c>
    </row>
    <row r="159" spans="7:8" x14ac:dyDescent="0.3">
      <c r="G159" s="6">
        <v>155</v>
      </c>
      <c r="H159" s="74">
        <v>2488.2722876261378</v>
      </c>
    </row>
    <row r="160" spans="7:8" x14ac:dyDescent="0.3">
      <c r="G160" s="6">
        <v>156</v>
      </c>
      <c r="H160" s="74">
        <v>-1237.2815691406138</v>
      </c>
    </row>
    <row r="161" spans="7:8" x14ac:dyDescent="0.3">
      <c r="G161" s="6">
        <v>157</v>
      </c>
      <c r="H161" s="74">
        <v>915.84414441266176</v>
      </c>
    </row>
    <row r="162" spans="7:8" x14ac:dyDescent="0.3">
      <c r="G162" s="6">
        <v>158</v>
      </c>
      <c r="H162" s="74">
        <v>2758.573731681397</v>
      </c>
    </row>
    <row r="163" spans="7:8" x14ac:dyDescent="0.3">
      <c r="G163" s="6">
        <v>159</v>
      </c>
      <c r="H163" s="74">
        <v>2293.6798943392214</v>
      </c>
    </row>
    <row r="164" spans="7:8" x14ac:dyDescent="0.3">
      <c r="G164" s="6">
        <v>160</v>
      </c>
      <c r="H164" s="74">
        <v>-227.21806881383318</v>
      </c>
    </row>
    <row r="165" spans="7:8" x14ac:dyDescent="0.3">
      <c r="G165" s="6">
        <v>161</v>
      </c>
      <c r="H165" s="74">
        <v>1612.0047559339464</v>
      </c>
    </row>
    <row r="166" spans="7:8" x14ac:dyDescent="0.3">
      <c r="G166" s="6">
        <v>162</v>
      </c>
      <c r="H166" s="74">
        <v>3580.0192315456839</v>
      </c>
    </row>
    <row r="167" spans="7:8" x14ac:dyDescent="0.3">
      <c r="G167" s="6">
        <v>163</v>
      </c>
      <c r="H167" s="74">
        <v>1111.2089836932653</v>
      </c>
    </row>
    <row r="168" spans="7:8" x14ac:dyDescent="0.3">
      <c r="G168" s="6">
        <v>164</v>
      </c>
      <c r="H168" s="74">
        <v>1217.4518134136556</v>
      </c>
    </row>
    <row r="169" spans="7:8" x14ac:dyDescent="0.3">
      <c r="G169" s="6">
        <v>165</v>
      </c>
      <c r="H169" s="74">
        <v>5825.9431642708241</v>
      </c>
    </row>
    <row r="170" spans="7:8" x14ac:dyDescent="0.3">
      <c r="G170" s="6">
        <v>166</v>
      </c>
      <c r="H170" s="74">
        <v>4595.2686555247183</v>
      </c>
    </row>
    <row r="171" spans="7:8" x14ac:dyDescent="0.3">
      <c r="G171" s="6">
        <v>167</v>
      </c>
      <c r="H171" s="74">
        <v>3577.2698092964379</v>
      </c>
    </row>
    <row r="172" spans="7:8" x14ac:dyDescent="0.3">
      <c r="G172" s="6">
        <v>168</v>
      </c>
      <c r="H172" s="74">
        <v>841.78422695687834</v>
      </c>
    </row>
    <row r="173" spans="7:8" x14ac:dyDescent="0.3">
      <c r="G173" s="6">
        <v>169</v>
      </c>
      <c r="H173" s="74">
        <v>966.641917565781</v>
      </c>
    </row>
    <row r="174" spans="7:8" x14ac:dyDescent="0.3">
      <c r="G174" s="6">
        <v>170</v>
      </c>
      <c r="H174" s="74">
        <v>776.96795749189869</v>
      </c>
    </row>
    <row r="175" spans="7:8" x14ac:dyDescent="0.3">
      <c r="G175" s="6">
        <v>171</v>
      </c>
      <c r="H175" s="74">
        <v>1792.6037863030592</v>
      </c>
    </row>
    <row r="176" spans="7:8" x14ac:dyDescent="0.3">
      <c r="G176" s="6">
        <v>172</v>
      </c>
      <c r="H176" s="74">
        <v>725.3473546368308</v>
      </c>
    </row>
    <row r="177" spans="7:8" x14ac:dyDescent="0.3">
      <c r="G177" s="6">
        <v>173</v>
      </c>
      <c r="H177" s="74">
        <v>1053.0398603856038</v>
      </c>
    </row>
    <row r="178" spans="7:8" x14ac:dyDescent="0.3">
      <c r="G178" s="6">
        <v>174</v>
      </c>
      <c r="H178" s="74">
        <v>1196.649741088017</v>
      </c>
    </row>
    <row r="179" spans="7:8" x14ac:dyDescent="0.3">
      <c r="G179" s="6">
        <v>175</v>
      </c>
      <c r="H179" s="74">
        <v>16.311616573893932</v>
      </c>
    </row>
    <row r="180" spans="7:8" x14ac:dyDescent="0.3">
      <c r="G180" s="6">
        <v>176</v>
      </c>
      <c r="H180" s="74">
        <v>530.44511136939241</v>
      </c>
    </row>
    <row r="181" spans="7:8" x14ac:dyDescent="0.3">
      <c r="G181" s="6">
        <v>177</v>
      </c>
      <c r="H181" s="74">
        <v>-939.9174145277359</v>
      </c>
    </row>
    <row r="182" spans="7:8" x14ac:dyDescent="0.3">
      <c r="G182" s="6">
        <v>178</v>
      </c>
      <c r="H182" s="74">
        <v>1078.020621182696</v>
      </c>
    </row>
    <row r="183" spans="7:8" x14ac:dyDescent="0.3">
      <c r="G183" s="6">
        <v>179</v>
      </c>
      <c r="H183" s="74">
        <v>-434.97970040287674</v>
      </c>
    </row>
    <row r="184" spans="7:8" x14ac:dyDescent="0.3">
      <c r="G184" s="6">
        <v>180</v>
      </c>
      <c r="H184" s="74">
        <v>21.645391353240491</v>
      </c>
    </row>
    <row r="185" spans="7:8" x14ac:dyDescent="0.3">
      <c r="G185" s="6">
        <v>181</v>
      </c>
      <c r="H185" s="74">
        <v>1709.5754530690076</v>
      </c>
    </row>
    <row r="186" spans="7:8" x14ac:dyDescent="0.3">
      <c r="G186" s="6">
        <v>182</v>
      </c>
      <c r="H186" s="74">
        <v>1095.8178472368004</v>
      </c>
    </row>
    <row r="187" spans="7:8" x14ac:dyDescent="0.3">
      <c r="G187" s="6">
        <v>183</v>
      </c>
      <c r="H187" s="74">
        <v>1120.5329927099122</v>
      </c>
    </row>
    <row r="188" spans="7:8" x14ac:dyDescent="0.3">
      <c r="G188" s="6">
        <v>184</v>
      </c>
      <c r="H188" s="74">
        <v>-299.59760152434001</v>
      </c>
    </row>
    <row r="189" spans="7:8" x14ac:dyDescent="0.3">
      <c r="G189" s="6">
        <v>185</v>
      </c>
      <c r="H189" s="74">
        <v>1919.9943579997055</v>
      </c>
    </row>
    <row r="190" spans="7:8" x14ac:dyDescent="0.3">
      <c r="G190" s="6">
        <v>186</v>
      </c>
      <c r="H190" s="74">
        <v>1388.3625757264056</v>
      </c>
    </row>
    <row r="191" spans="7:8" x14ac:dyDescent="0.3">
      <c r="G191" s="6">
        <v>187</v>
      </c>
      <c r="H191" s="74">
        <v>1150.8334221616137</v>
      </c>
    </row>
    <row r="192" spans="7:8" x14ac:dyDescent="0.3">
      <c r="G192" s="6">
        <v>188</v>
      </c>
      <c r="H192" s="74">
        <v>3351.6436894220219</v>
      </c>
    </row>
    <row r="193" spans="7:8" x14ac:dyDescent="0.3">
      <c r="G193" s="6">
        <v>189</v>
      </c>
      <c r="H193" s="74">
        <v>955.60340768840081</v>
      </c>
    </row>
    <row r="194" spans="7:8" x14ac:dyDescent="0.3">
      <c r="G194" s="6">
        <v>190</v>
      </c>
      <c r="H194" s="74">
        <v>2021.9082362925626</v>
      </c>
    </row>
    <row r="195" spans="7:8" x14ac:dyDescent="0.3">
      <c r="G195" s="6">
        <v>191</v>
      </c>
      <c r="H195" s="74">
        <v>1834.3970177197248</v>
      </c>
    </row>
    <row r="196" spans="7:8" x14ac:dyDescent="0.3">
      <c r="G196" s="6">
        <v>192</v>
      </c>
      <c r="H196" s="74">
        <v>1460.5077173145694</v>
      </c>
    </row>
    <row r="197" spans="7:8" x14ac:dyDescent="0.3">
      <c r="G197" s="6">
        <v>193</v>
      </c>
      <c r="H197" s="74">
        <v>4434.9369127468908</v>
      </c>
    </row>
    <row r="198" spans="7:8" x14ac:dyDescent="0.3">
      <c r="G198" s="6">
        <v>194</v>
      </c>
      <c r="H198" s="74">
        <v>2870.0178683818544</v>
      </c>
    </row>
    <row r="199" spans="7:8" x14ac:dyDescent="0.3">
      <c r="G199" s="6">
        <v>195</v>
      </c>
      <c r="H199" s="74">
        <v>1025.288784380466</v>
      </c>
    </row>
    <row r="200" spans="7:8" x14ac:dyDescent="0.3">
      <c r="G200" s="6">
        <v>196</v>
      </c>
      <c r="H200" s="74">
        <v>649.43097514688611</v>
      </c>
    </row>
    <row r="201" spans="7:8" x14ac:dyDescent="0.3">
      <c r="G201" s="6">
        <v>197</v>
      </c>
      <c r="H201" s="74">
        <v>1323.7629613723952</v>
      </c>
    </row>
    <row r="202" spans="7:8" x14ac:dyDescent="0.3">
      <c r="G202" s="6">
        <v>198</v>
      </c>
      <c r="H202" s="74">
        <v>3450.9095564317226</v>
      </c>
    </row>
    <row r="203" spans="7:8" x14ac:dyDescent="0.3">
      <c r="G203" s="6">
        <v>199</v>
      </c>
      <c r="H203" s="74">
        <v>545.1785788705414</v>
      </c>
    </row>
    <row r="204" spans="7:8" x14ac:dyDescent="0.3">
      <c r="G204" s="6">
        <v>200</v>
      </c>
      <c r="H204" s="74">
        <v>4506.1492119755012</v>
      </c>
    </row>
    <row r="205" spans="7:8" x14ac:dyDescent="0.3">
      <c r="G205" s="6">
        <v>201</v>
      </c>
      <c r="H205" s="74">
        <v>1572.3667782736695</v>
      </c>
    </row>
    <row r="206" spans="7:8" x14ac:dyDescent="0.3">
      <c r="G206" s="6">
        <v>202</v>
      </c>
      <c r="H206" s="74">
        <v>960.92345750951597</v>
      </c>
    </row>
    <row r="207" spans="7:8" x14ac:dyDescent="0.3">
      <c r="G207" s="6">
        <v>203</v>
      </c>
      <c r="H207" s="74">
        <v>760.5223085823128</v>
      </c>
    </row>
    <row r="208" spans="7:8" x14ac:dyDescent="0.3">
      <c r="G208" s="6">
        <v>204</v>
      </c>
      <c r="H208" s="74">
        <v>513.51637667695638</v>
      </c>
    </row>
    <row r="209" spans="7:8" x14ac:dyDescent="0.3">
      <c r="G209" s="6">
        <v>205</v>
      </c>
      <c r="H209" s="74">
        <v>2429.1123123396997</v>
      </c>
    </row>
    <row r="210" spans="7:8" x14ac:dyDescent="0.3">
      <c r="G210" s="6">
        <v>206</v>
      </c>
      <c r="H210" s="74">
        <v>-475.58326073883461</v>
      </c>
    </row>
    <row r="211" spans="7:8" x14ac:dyDescent="0.3">
      <c r="G211" s="6">
        <v>207</v>
      </c>
      <c r="H211" s="74">
        <v>1689.0088075786136</v>
      </c>
    </row>
    <row r="212" spans="7:8" x14ac:dyDescent="0.3">
      <c r="G212" s="6">
        <v>208</v>
      </c>
      <c r="H212" s="74">
        <v>2101.2206739745966</v>
      </c>
    </row>
    <row r="213" spans="7:8" x14ac:dyDescent="0.3">
      <c r="G213" s="6">
        <v>209</v>
      </c>
      <c r="H213" s="74">
        <v>1261.6363098137847</v>
      </c>
    </row>
    <row r="214" spans="7:8" x14ac:dyDescent="0.3">
      <c r="G214" s="6">
        <v>210</v>
      </c>
      <c r="H214" s="74">
        <v>1576.3797645082602</v>
      </c>
    </row>
    <row r="215" spans="7:8" x14ac:dyDescent="0.3">
      <c r="G215" s="6">
        <v>211</v>
      </c>
      <c r="H215" s="74">
        <v>1028.6341899858369</v>
      </c>
    </row>
    <row r="216" spans="7:8" x14ac:dyDescent="0.3">
      <c r="G216" s="6">
        <v>212</v>
      </c>
      <c r="H216" s="74">
        <v>45.990563436915849</v>
      </c>
    </row>
    <row r="217" spans="7:8" x14ac:dyDescent="0.3">
      <c r="G217" s="6">
        <v>213</v>
      </c>
      <c r="H217" s="74">
        <v>1407.2676753841465</v>
      </c>
    </row>
    <row r="218" spans="7:8" x14ac:dyDescent="0.3">
      <c r="G218" s="6">
        <v>214</v>
      </c>
      <c r="H218" s="74">
        <v>2384.9707367342844</v>
      </c>
    </row>
    <row r="219" spans="7:8" x14ac:dyDescent="0.3">
      <c r="G219" s="6">
        <v>215</v>
      </c>
      <c r="H219" s="74">
        <v>721.188769724802</v>
      </c>
    </row>
    <row r="220" spans="7:8" x14ac:dyDescent="0.3">
      <c r="G220" s="6">
        <v>216</v>
      </c>
      <c r="H220" s="74">
        <v>1768.9044694449749</v>
      </c>
    </row>
    <row r="221" spans="7:8" x14ac:dyDescent="0.3">
      <c r="G221" s="6">
        <v>217</v>
      </c>
      <c r="H221" s="74">
        <v>1451.0162615934541</v>
      </c>
    </row>
    <row r="222" spans="7:8" x14ac:dyDescent="0.3">
      <c r="G222" s="6">
        <v>218</v>
      </c>
      <c r="H222" s="74">
        <v>1223.4862892011809</v>
      </c>
    </row>
    <row r="223" spans="7:8" x14ac:dyDescent="0.3">
      <c r="G223" s="6">
        <v>219</v>
      </c>
      <c r="H223" s="74">
        <v>-453.89163061441417</v>
      </c>
    </row>
    <row r="224" spans="7:8" x14ac:dyDescent="0.3">
      <c r="G224" s="6">
        <v>220</v>
      </c>
      <c r="H224" s="74">
        <v>-492.54589389652881</v>
      </c>
    </row>
    <row r="225" spans="7:8" x14ac:dyDescent="0.3">
      <c r="G225" s="6">
        <v>221</v>
      </c>
      <c r="H225" s="74">
        <v>219.41161431897143</v>
      </c>
    </row>
    <row r="226" spans="7:8" x14ac:dyDescent="0.3">
      <c r="G226" s="6">
        <v>222</v>
      </c>
      <c r="H226" s="74">
        <v>1431.7477944244142</v>
      </c>
    </row>
    <row r="227" spans="7:8" x14ac:dyDescent="0.3">
      <c r="G227" s="6">
        <v>223</v>
      </c>
      <c r="H227" s="74">
        <v>2054.2103002467866</v>
      </c>
    </row>
    <row r="228" spans="7:8" x14ac:dyDescent="0.3">
      <c r="G228" s="6">
        <v>224</v>
      </c>
      <c r="H228" s="74">
        <v>841.43421324958047</v>
      </c>
    </row>
    <row r="229" spans="7:8" x14ac:dyDescent="0.3">
      <c r="G229" s="6">
        <v>225</v>
      </c>
      <c r="H229" s="74">
        <v>1352.0628044199325</v>
      </c>
    </row>
    <row r="230" spans="7:8" x14ac:dyDescent="0.3">
      <c r="G230" s="6">
        <v>226</v>
      </c>
      <c r="H230" s="74">
        <v>1100.2460893732009</v>
      </c>
    </row>
    <row r="231" spans="7:8" x14ac:dyDescent="0.3">
      <c r="G231" s="6">
        <v>227</v>
      </c>
      <c r="H231" s="74">
        <v>3814.3494016483965</v>
      </c>
    </row>
    <row r="232" spans="7:8" x14ac:dyDescent="0.3">
      <c r="G232" s="6">
        <v>228</v>
      </c>
      <c r="H232" s="74">
        <v>2693.7540281119609</v>
      </c>
    </row>
    <row r="233" spans="7:8" x14ac:dyDescent="0.3">
      <c r="G233" s="6">
        <v>229</v>
      </c>
      <c r="H233" s="74">
        <v>604.64503129996058</v>
      </c>
    </row>
    <row r="234" spans="7:8" x14ac:dyDescent="0.3">
      <c r="G234" s="6">
        <v>230</v>
      </c>
      <c r="H234" s="74">
        <v>1009.2894376034311</v>
      </c>
    </row>
    <row r="235" spans="7:8" x14ac:dyDescent="0.3">
      <c r="G235" s="6">
        <v>231</v>
      </c>
      <c r="H235" s="74">
        <v>1907.3561150135488</v>
      </c>
    </row>
    <row r="236" spans="7:8" x14ac:dyDescent="0.3">
      <c r="G236" s="6">
        <v>232</v>
      </c>
      <c r="H236" s="74">
        <v>1955.2878155248611</v>
      </c>
    </row>
    <row r="237" spans="7:8" x14ac:dyDescent="0.3">
      <c r="G237" s="6">
        <v>233</v>
      </c>
      <c r="H237" s="74">
        <v>-828.33522195228261</v>
      </c>
    </row>
    <row r="238" spans="7:8" x14ac:dyDescent="0.3">
      <c r="G238" s="6">
        <v>234</v>
      </c>
      <c r="H238" s="74">
        <v>973.56411553462533</v>
      </c>
    </row>
    <row r="239" spans="7:8" x14ac:dyDescent="0.3">
      <c r="G239" s="6">
        <v>235</v>
      </c>
      <c r="H239" s="74">
        <v>1076.1056822138485</v>
      </c>
    </row>
    <row r="240" spans="7:8" x14ac:dyDescent="0.3">
      <c r="G240" s="6">
        <v>236</v>
      </c>
      <c r="H240" s="74">
        <v>1821.6161616612003</v>
      </c>
    </row>
    <row r="241" spans="7:8" x14ac:dyDescent="0.3">
      <c r="G241" s="6">
        <v>237</v>
      </c>
      <c r="H241" s="74">
        <v>-36.111542739820905</v>
      </c>
    </row>
    <row r="242" spans="7:8" x14ac:dyDescent="0.3">
      <c r="G242" s="6">
        <v>238</v>
      </c>
      <c r="H242" s="74">
        <v>773.68549651253829</v>
      </c>
    </row>
    <row r="243" spans="7:8" x14ac:dyDescent="0.3">
      <c r="G243" s="6">
        <v>239</v>
      </c>
      <c r="H243" s="74">
        <v>3348.0637833403034</v>
      </c>
    </row>
    <row r="244" spans="7:8" x14ac:dyDescent="0.3">
      <c r="G244" s="6">
        <v>240</v>
      </c>
      <c r="H244" s="74">
        <v>2356.3374115871879</v>
      </c>
    </row>
    <row r="245" spans="7:8" x14ac:dyDescent="0.3">
      <c r="G245" s="6">
        <v>241</v>
      </c>
      <c r="H245" s="74">
        <v>2174.6663843373876</v>
      </c>
    </row>
    <row r="246" spans="7:8" x14ac:dyDescent="0.3">
      <c r="G246" s="6">
        <v>242</v>
      </c>
      <c r="H246" s="74">
        <v>2081.9709452474108</v>
      </c>
    </row>
    <row r="247" spans="7:8" x14ac:dyDescent="0.3">
      <c r="G247" s="6">
        <v>243</v>
      </c>
      <c r="H247" s="74">
        <v>1400.9333017577071</v>
      </c>
    </row>
    <row r="248" spans="7:8" x14ac:dyDescent="0.3">
      <c r="G248" s="6">
        <v>244</v>
      </c>
      <c r="H248" s="74">
        <v>1591.1336507942356</v>
      </c>
    </row>
    <row r="249" spans="7:8" x14ac:dyDescent="0.3">
      <c r="G249" s="6">
        <v>245</v>
      </c>
      <c r="H249" s="74">
        <v>56.015251599247662</v>
      </c>
    </row>
    <row r="250" spans="7:8" x14ac:dyDescent="0.3">
      <c r="G250" s="6">
        <v>246</v>
      </c>
      <c r="H250" s="74">
        <v>2017.1385416020366</v>
      </c>
    </row>
    <row r="251" spans="7:8" x14ac:dyDescent="0.3">
      <c r="G251" s="6">
        <v>247</v>
      </c>
      <c r="H251" s="74">
        <v>2192.5793632960608</v>
      </c>
    </row>
    <row r="252" spans="7:8" x14ac:dyDescent="0.3">
      <c r="G252" s="6">
        <v>248</v>
      </c>
      <c r="H252" s="74">
        <v>118.55033005765466</v>
      </c>
    </row>
    <row r="253" spans="7:8" x14ac:dyDescent="0.3">
      <c r="G253" s="6">
        <v>249</v>
      </c>
      <c r="H253" s="74">
        <v>1313.5280761168819</v>
      </c>
    </row>
    <row r="254" spans="7:8" x14ac:dyDescent="0.3">
      <c r="G254" s="6">
        <v>250</v>
      </c>
      <c r="H254" s="74">
        <v>595.07940989020233</v>
      </c>
    </row>
    <row r="255" spans="7:8" x14ac:dyDescent="0.3">
      <c r="G255" s="6">
        <v>251</v>
      </c>
      <c r="H255" s="74">
        <v>4324.4227421726691</v>
      </c>
    </row>
    <row r="256" spans="7:8" x14ac:dyDescent="0.3">
      <c r="G256" s="6">
        <v>252</v>
      </c>
      <c r="H256" s="74">
        <v>1341.4866254730946</v>
      </c>
    </row>
    <row r="257" spans="7:8" x14ac:dyDescent="0.3">
      <c r="G257" s="6">
        <v>253</v>
      </c>
      <c r="H257" s="74">
        <v>507.24131745556048</v>
      </c>
    </row>
    <row r="258" spans="7:8" x14ac:dyDescent="0.3">
      <c r="G258" s="6">
        <v>254</v>
      </c>
      <c r="H258" s="74">
        <v>1810.6723572712499</v>
      </c>
    </row>
    <row r="259" spans="7:8" x14ac:dyDescent="0.3">
      <c r="G259" s="6">
        <v>255</v>
      </c>
      <c r="H259" s="74">
        <v>3143.4196306005902</v>
      </c>
    </row>
    <row r="260" spans="7:8" x14ac:dyDescent="0.3">
      <c r="G260" s="6">
        <v>256</v>
      </c>
      <c r="H260" s="74">
        <v>3767.2160797186775</v>
      </c>
    </row>
    <row r="261" spans="7:8" x14ac:dyDescent="0.3">
      <c r="G261" s="6">
        <v>257</v>
      </c>
      <c r="H261" s="74">
        <v>305.55482766280937</v>
      </c>
    </row>
    <row r="262" spans="7:8" x14ac:dyDescent="0.3">
      <c r="G262" s="6">
        <v>258</v>
      </c>
      <c r="H262" s="74">
        <v>2318.5895776196808</v>
      </c>
    </row>
    <row r="263" spans="7:8" x14ac:dyDescent="0.3">
      <c r="G263" s="6">
        <v>259</v>
      </c>
      <c r="H263" s="74">
        <v>1780.5879011037755</v>
      </c>
    </row>
    <row r="264" spans="7:8" x14ac:dyDescent="0.3">
      <c r="G264" s="6">
        <v>260</v>
      </c>
      <c r="H264" s="74">
        <v>694.28855690505645</v>
      </c>
    </row>
    <row r="265" spans="7:8" x14ac:dyDescent="0.3">
      <c r="G265" s="6">
        <v>261</v>
      </c>
      <c r="H265" s="74">
        <v>1380.6399031940307</v>
      </c>
    </row>
    <row r="266" spans="7:8" x14ac:dyDescent="0.3">
      <c r="G266" s="6">
        <v>262</v>
      </c>
      <c r="H266" s="74">
        <v>518.16783921553997</v>
      </c>
    </row>
    <row r="267" spans="7:8" x14ac:dyDescent="0.3">
      <c r="G267" s="6">
        <v>263</v>
      </c>
      <c r="H267" s="74">
        <v>2371.2034565240933</v>
      </c>
    </row>
    <row r="268" spans="7:8" x14ac:dyDescent="0.3">
      <c r="G268" s="6">
        <v>264</v>
      </c>
      <c r="H268" s="74">
        <v>1453.6444407449599</v>
      </c>
    </row>
    <row r="269" spans="7:8" x14ac:dyDescent="0.3">
      <c r="G269" s="6">
        <v>265</v>
      </c>
      <c r="H269" s="74">
        <v>574.62305018093343</v>
      </c>
    </row>
    <row r="270" spans="7:8" x14ac:dyDescent="0.3">
      <c r="G270" s="6">
        <v>266</v>
      </c>
      <c r="H270" s="74">
        <v>265.92737011504408</v>
      </c>
    </row>
    <row r="271" spans="7:8" x14ac:dyDescent="0.3">
      <c r="G271" s="6">
        <v>267</v>
      </c>
      <c r="H271" s="74">
        <v>1053.0750893539439</v>
      </c>
    </row>
    <row r="272" spans="7:8" x14ac:dyDescent="0.3">
      <c r="G272" s="6">
        <v>268</v>
      </c>
      <c r="H272" s="74">
        <v>5519.5308307349351</v>
      </c>
    </row>
    <row r="273" spans="7:8" x14ac:dyDescent="0.3">
      <c r="G273" s="6">
        <v>269</v>
      </c>
      <c r="H273" s="74">
        <v>574.91415443389258</v>
      </c>
    </row>
    <row r="274" spans="7:8" x14ac:dyDescent="0.3">
      <c r="G274" s="6">
        <v>270</v>
      </c>
      <c r="H274" s="74">
        <v>1531.6970690968344</v>
      </c>
    </row>
    <row r="275" spans="7:8" x14ac:dyDescent="0.3">
      <c r="G275" s="6">
        <v>271</v>
      </c>
      <c r="H275" s="74">
        <v>3375.0792624298679</v>
      </c>
    </row>
    <row r="276" spans="7:8" x14ac:dyDescent="0.3">
      <c r="G276" s="6">
        <v>272</v>
      </c>
      <c r="H276" s="74">
        <v>529.2107459554918</v>
      </c>
    </row>
    <row r="277" spans="7:8" x14ac:dyDescent="0.3">
      <c r="G277" s="6">
        <v>273</v>
      </c>
      <c r="H277" s="74">
        <v>3328.211877232025</v>
      </c>
    </row>
    <row r="278" spans="7:8" x14ac:dyDescent="0.3">
      <c r="G278" s="6">
        <v>274</v>
      </c>
      <c r="H278" s="74">
        <v>1506.1779691699744</v>
      </c>
    </row>
    <row r="279" spans="7:8" x14ac:dyDescent="0.3">
      <c r="G279" s="6">
        <v>275</v>
      </c>
      <c r="H279" s="74">
        <v>1707.7019348048332</v>
      </c>
    </row>
    <row r="280" spans="7:8" x14ac:dyDescent="0.3">
      <c r="G280" s="6">
        <v>276</v>
      </c>
      <c r="H280" s="74">
        <v>1446.4500104553144</v>
      </c>
    </row>
    <row r="281" spans="7:8" x14ac:dyDescent="0.3">
      <c r="G281" s="6">
        <v>277</v>
      </c>
      <c r="H281" s="74">
        <v>1793.1043495572369</v>
      </c>
    </row>
    <row r="282" spans="7:8" x14ac:dyDescent="0.3">
      <c r="G282" s="6">
        <v>278</v>
      </c>
      <c r="H282" s="74">
        <v>2560.3942882646047</v>
      </c>
    </row>
    <row r="283" spans="7:8" x14ac:dyDescent="0.3">
      <c r="G283" s="6">
        <v>279</v>
      </c>
      <c r="H283" s="74">
        <v>109.21814962951841</v>
      </c>
    </row>
    <row r="284" spans="7:8" x14ac:dyDescent="0.3">
      <c r="G284" s="6">
        <v>280</v>
      </c>
      <c r="H284" s="74">
        <v>873.66278306631921</v>
      </c>
    </row>
    <row r="285" spans="7:8" x14ac:dyDescent="0.3">
      <c r="G285" s="6">
        <v>281</v>
      </c>
      <c r="H285" s="74">
        <v>3320.7403099354033</v>
      </c>
    </row>
    <row r="286" spans="7:8" x14ac:dyDescent="0.3">
      <c r="G286" s="6">
        <v>282</v>
      </c>
      <c r="H286" s="74">
        <v>763.61356614373017</v>
      </c>
    </row>
    <row r="287" spans="7:8" x14ac:dyDescent="0.3">
      <c r="G287" s="6">
        <v>283</v>
      </c>
      <c r="H287" s="74">
        <v>2074.3836429382309</v>
      </c>
    </row>
    <row r="288" spans="7:8" x14ac:dyDescent="0.3">
      <c r="G288" s="6">
        <v>284</v>
      </c>
      <c r="H288" s="74">
        <v>4652.8303858781892</v>
      </c>
    </row>
    <row r="289" spans="7:8" x14ac:dyDescent="0.3">
      <c r="G289" s="6">
        <v>285</v>
      </c>
      <c r="H289" s="74">
        <v>1245.465893896926</v>
      </c>
    </row>
    <row r="290" spans="7:8" x14ac:dyDescent="0.3">
      <c r="G290" s="6">
        <v>286</v>
      </c>
      <c r="H290" s="74">
        <v>1282.4243141334505</v>
      </c>
    </row>
    <row r="291" spans="7:8" x14ac:dyDescent="0.3">
      <c r="G291" s="6">
        <v>287</v>
      </c>
      <c r="H291" s="74">
        <v>436.36666929745854</v>
      </c>
    </row>
    <row r="292" spans="7:8" x14ac:dyDescent="0.3">
      <c r="G292" s="6">
        <v>288</v>
      </c>
      <c r="H292" s="74">
        <v>2389.5228940560069</v>
      </c>
    </row>
    <row r="293" spans="7:8" x14ac:dyDescent="0.3">
      <c r="G293" s="6">
        <v>289</v>
      </c>
      <c r="H293" s="74">
        <v>2371.9999941246338</v>
      </c>
    </row>
    <row r="294" spans="7:8" x14ac:dyDescent="0.3">
      <c r="G294" s="6">
        <v>290</v>
      </c>
      <c r="H294" s="74">
        <v>1725.3528201789993</v>
      </c>
    </row>
    <row r="295" spans="7:8" x14ac:dyDescent="0.3">
      <c r="G295" s="6">
        <v>291</v>
      </c>
      <c r="H295" s="74">
        <v>3362.426449255322</v>
      </c>
    </row>
    <row r="296" spans="7:8" x14ac:dyDescent="0.3">
      <c r="G296" s="6">
        <v>292</v>
      </c>
      <c r="H296" s="74">
        <v>1652.386827578559</v>
      </c>
    </row>
    <row r="297" spans="7:8" x14ac:dyDescent="0.3">
      <c r="G297" s="6">
        <v>293</v>
      </c>
      <c r="H297" s="74">
        <v>250.61768008912568</v>
      </c>
    </row>
    <row r="298" spans="7:8" x14ac:dyDescent="0.3">
      <c r="G298" s="6">
        <v>294</v>
      </c>
      <c r="H298" s="74">
        <v>6017.8883910911354</v>
      </c>
    </row>
    <row r="299" spans="7:8" x14ac:dyDescent="0.3">
      <c r="G299" s="6">
        <v>295</v>
      </c>
      <c r="H299" s="74">
        <v>2887.8516161700018</v>
      </c>
    </row>
    <row r="300" spans="7:8" x14ac:dyDescent="0.3">
      <c r="G300" s="6">
        <v>296</v>
      </c>
      <c r="H300" s="74">
        <v>3142.5383334878097</v>
      </c>
    </row>
    <row r="301" spans="7:8" x14ac:dyDescent="0.3">
      <c r="G301" s="6">
        <v>297</v>
      </c>
      <c r="H301" s="74">
        <v>1149.6883245976069</v>
      </c>
    </row>
    <row r="302" spans="7:8" x14ac:dyDescent="0.3">
      <c r="G302" s="6">
        <v>298</v>
      </c>
      <c r="H302" s="74">
        <v>3697.2373960100126</v>
      </c>
    </row>
    <row r="303" spans="7:8" x14ac:dyDescent="0.3">
      <c r="G303" s="6">
        <v>299</v>
      </c>
      <c r="H303" s="74">
        <v>1152.55976469454</v>
      </c>
    </row>
    <row r="304" spans="7:8" x14ac:dyDescent="0.3">
      <c r="G304" s="6">
        <v>300</v>
      </c>
      <c r="H304" s="74">
        <v>1329.1159432257243</v>
      </c>
    </row>
    <row r="305" spans="7:8" x14ac:dyDescent="0.3">
      <c r="G305" s="6">
        <v>301</v>
      </c>
      <c r="H305" s="74">
        <v>2433.0597952660137</v>
      </c>
    </row>
    <row r="306" spans="7:8" x14ac:dyDescent="0.3">
      <c r="G306" s="6">
        <v>302</v>
      </c>
      <c r="H306" s="74">
        <v>2390.8910499009448</v>
      </c>
    </row>
    <row r="307" spans="7:8" x14ac:dyDescent="0.3">
      <c r="G307" s="6">
        <v>303</v>
      </c>
      <c r="H307" s="74">
        <v>-1043.6825907035461</v>
      </c>
    </row>
    <row r="308" spans="7:8" x14ac:dyDescent="0.3">
      <c r="G308" s="6">
        <v>304</v>
      </c>
      <c r="H308" s="74">
        <v>530.19531725956108</v>
      </c>
    </row>
    <row r="309" spans="7:8" x14ac:dyDescent="0.3">
      <c r="G309" s="6">
        <v>305</v>
      </c>
      <c r="H309" s="74">
        <v>3892.6784705062187</v>
      </c>
    </row>
    <row r="310" spans="7:8" x14ac:dyDescent="0.3">
      <c r="G310" s="6">
        <v>306</v>
      </c>
      <c r="H310" s="74">
        <v>4030.1934989127762</v>
      </c>
    </row>
    <row r="311" spans="7:8" x14ac:dyDescent="0.3">
      <c r="G311" s="6">
        <v>307</v>
      </c>
      <c r="H311" s="74">
        <v>472.7477512465116</v>
      </c>
    </row>
    <row r="312" spans="7:8" x14ac:dyDescent="0.3">
      <c r="G312" s="6">
        <v>308</v>
      </c>
      <c r="H312" s="74">
        <v>1561.2028327793726</v>
      </c>
    </row>
    <row r="313" spans="7:8" x14ac:dyDescent="0.3">
      <c r="G313" s="6">
        <v>309</v>
      </c>
      <c r="H313" s="74">
        <v>418.52442583525192</v>
      </c>
    </row>
    <row r="314" spans="7:8" x14ac:dyDescent="0.3">
      <c r="G314" s="6">
        <v>310</v>
      </c>
      <c r="H314" s="74">
        <v>1663.9809052350054</v>
      </c>
    </row>
    <row r="315" spans="7:8" x14ac:dyDescent="0.3">
      <c r="G315" s="6">
        <v>311</v>
      </c>
      <c r="H315" s="74">
        <v>1834.4700873946285</v>
      </c>
    </row>
    <row r="316" spans="7:8" x14ac:dyDescent="0.3">
      <c r="G316" s="6">
        <v>312</v>
      </c>
      <c r="H316" s="74">
        <v>-36.984286602078477</v>
      </c>
    </row>
    <row r="317" spans="7:8" x14ac:dyDescent="0.3">
      <c r="G317" s="6">
        <v>313</v>
      </c>
      <c r="H317" s="74">
        <v>548.61270531980745</v>
      </c>
    </row>
    <row r="318" spans="7:8" x14ac:dyDescent="0.3">
      <c r="G318" s="6">
        <v>314</v>
      </c>
      <c r="H318" s="74">
        <v>668.84477299714865</v>
      </c>
    </row>
    <row r="319" spans="7:8" x14ac:dyDescent="0.3">
      <c r="G319" s="6">
        <v>315</v>
      </c>
      <c r="H319" s="74">
        <v>107.83369319587847</v>
      </c>
    </row>
    <row r="320" spans="7:8" x14ac:dyDescent="0.3">
      <c r="G320" s="6">
        <v>316</v>
      </c>
      <c r="H320" s="74">
        <v>3081.6022080922717</v>
      </c>
    </row>
    <row r="321" spans="7:8" x14ac:dyDescent="0.3">
      <c r="G321" s="6">
        <v>317</v>
      </c>
      <c r="H321" s="74">
        <v>-1095.2776705919644</v>
      </c>
    </row>
    <row r="322" spans="7:8" x14ac:dyDescent="0.3">
      <c r="G322" s="6">
        <v>318</v>
      </c>
      <c r="H322" s="74">
        <v>2970.6561784453206</v>
      </c>
    </row>
    <row r="323" spans="7:8" x14ac:dyDescent="0.3">
      <c r="G323" s="6">
        <v>319</v>
      </c>
      <c r="H323" s="74">
        <v>2463.3538521199039</v>
      </c>
    </row>
    <row r="324" spans="7:8" x14ac:dyDescent="0.3">
      <c r="G324" s="6">
        <v>320</v>
      </c>
      <c r="H324" s="74">
        <v>2800.89428332122</v>
      </c>
    </row>
    <row r="325" spans="7:8" x14ac:dyDescent="0.3">
      <c r="G325" s="6">
        <v>321</v>
      </c>
      <c r="H325" s="74">
        <v>3044.3862518014676</v>
      </c>
    </row>
    <row r="326" spans="7:8" x14ac:dyDescent="0.3">
      <c r="G326" s="6">
        <v>322</v>
      </c>
      <c r="H326" s="74">
        <v>1755.3254471155985</v>
      </c>
    </row>
    <row r="327" spans="7:8" x14ac:dyDescent="0.3">
      <c r="G327" s="6">
        <v>323</v>
      </c>
      <c r="H327" s="74">
        <v>769.56414093738431</v>
      </c>
    </row>
    <row r="328" spans="7:8" x14ac:dyDescent="0.3">
      <c r="G328" s="6">
        <v>324</v>
      </c>
      <c r="H328" s="74">
        <v>191.77710792960752</v>
      </c>
    </row>
    <row r="329" spans="7:8" x14ac:dyDescent="0.3">
      <c r="G329" s="6">
        <v>325</v>
      </c>
      <c r="H329" s="74">
        <v>1938.544852831599</v>
      </c>
    </row>
    <row r="330" spans="7:8" x14ac:dyDescent="0.3">
      <c r="G330" s="6">
        <v>326</v>
      </c>
      <c r="H330" s="74">
        <v>828.417495096008</v>
      </c>
    </row>
    <row r="331" spans="7:8" x14ac:dyDescent="0.3">
      <c r="G331" s="6">
        <v>327</v>
      </c>
      <c r="H331" s="74">
        <v>1884.4558969892066</v>
      </c>
    </row>
    <row r="332" spans="7:8" x14ac:dyDescent="0.3">
      <c r="G332" s="6">
        <v>328</v>
      </c>
      <c r="H332" s="74">
        <v>1974.0378200204564</v>
      </c>
    </row>
    <row r="333" spans="7:8" x14ac:dyDescent="0.3">
      <c r="G333" s="6">
        <v>329</v>
      </c>
      <c r="H333" s="74">
        <v>206.17192061617837</v>
      </c>
    </row>
    <row r="334" spans="7:8" x14ac:dyDescent="0.3">
      <c r="G334" s="6">
        <v>330</v>
      </c>
      <c r="H334" s="74">
        <v>1259.8605414913386</v>
      </c>
    </row>
    <row r="335" spans="7:8" x14ac:dyDescent="0.3">
      <c r="G335" s="6">
        <v>331</v>
      </c>
      <c r="H335" s="74">
        <v>-905.13110147303064</v>
      </c>
    </row>
    <row r="336" spans="7:8" x14ac:dyDescent="0.3">
      <c r="G336" s="6">
        <v>332</v>
      </c>
      <c r="H336" s="74">
        <v>3060.0761179281867</v>
      </c>
    </row>
    <row r="337" spans="7:8" x14ac:dyDescent="0.3">
      <c r="G337" s="6">
        <v>333</v>
      </c>
      <c r="H337" s="74">
        <v>1054.6461592461083</v>
      </c>
    </row>
    <row r="338" spans="7:8" x14ac:dyDescent="0.3">
      <c r="G338" s="6">
        <v>334</v>
      </c>
      <c r="H338" s="74">
        <v>2036.0026942160002</v>
      </c>
    </row>
    <row r="339" spans="7:8" x14ac:dyDescent="0.3">
      <c r="G339" s="6">
        <v>335</v>
      </c>
      <c r="H339" s="74">
        <v>1324.0926432324109</v>
      </c>
    </row>
    <row r="340" spans="7:8" x14ac:dyDescent="0.3">
      <c r="G340" s="6">
        <v>336</v>
      </c>
      <c r="H340" s="74">
        <v>4791.0083517044595</v>
      </c>
    </row>
    <row r="341" spans="7:8" x14ac:dyDescent="0.3">
      <c r="G341" s="6">
        <v>337</v>
      </c>
      <c r="H341" s="74">
        <v>3353.0028860066191</v>
      </c>
    </row>
    <row r="342" spans="7:8" x14ac:dyDescent="0.3">
      <c r="G342" s="6">
        <v>338</v>
      </c>
      <c r="H342" s="74">
        <v>2642.2062834754056</v>
      </c>
    </row>
    <row r="343" spans="7:8" x14ac:dyDescent="0.3">
      <c r="G343" s="6">
        <v>339</v>
      </c>
      <c r="H343" s="74">
        <v>378.71909665190759</v>
      </c>
    </row>
    <row r="344" spans="7:8" x14ac:dyDescent="0.3">
      <c r="G344" s="6">
        <v>340</v>
      </c>
      <c r="H344" s="74">
        <v>1826.7900241316649</v>
      </c>
    </row>
    <row r="345" spans="7:8" x14ac:dyDescent="0.3">
      <c r="G345" s="6">
        <v>341</v>
      </c>
      <c r="H345" s="74">
        <v>-952.13802064814888</v>
      </c>
    </row>
    <row r="346" spans="7:8" x14ac:dyDescent="0.3">
      <c r="G346" s="6">
        <v>342</v>
      </c>
      <c r="H346" s="74">
        <v>3795.1977351964242</v>
      </c>
    </row>
    <row r="347" spans="7:8" x14ac:dyDescent="0.3">
      <c r="G347" s="6">
        <v>343</v>
      </c>
      <c r="H347" s="74">
        <v>912.55585259792338</v>
      </c>
    </row>
    <row r="348" spans="7:8" x14ac:dyDescent="0.3">
      <c r="G348" s="6">
        <v>344</v>
      </c>
      <c r="H348" s="74">
        <v>-251.84462709037209</v>
      </c>
    </row>
    <row r="349" spans="7:8" x14ac:dyDescent="0.3">
      <c r="G349" s="6">
        <v>345</v>
      </c>
      <c r="H349" s="74">
        <v>2539.8798701513369</v>
      </c>
    </row>
    <row r="350" spans="7:8" x14ac:dyDescent="0.3">
      <c r="G350" s="6">
        <v>346</v>
      </c>
      <c r="H350" s="74">
        <v>3070.9720888741708</v>
      </c>
    </row>
    <row r="351" spans="7:8" x14ac:dyDescent="0.3">
      <c r="G351" s="6">
        <v>347</v>
      </c>
      <c r="H351" s="74">
        <v>1711.0931768434184</v>
      </c>
    </row>
    <row r="352" spans="7:8" x14ac:dyDescent="0.3">
      <c r="G352" s="6">
        <v>348</v>
      </c>
      <c r="H352" s="74">
        <v>1998.6268777750386</v>
      </c>
    </row>
    <row r="353" spans="7:8" x14ac:dyDescent="0.3">
      <c r="G353" s="6">
        <v>349</v>
      </c>
      <c r="H353" s="74">
        <v>2869.4708892963258</v>
      </c>
    </row>
    <row r="354" spans="7:8" x14ac:dyDescent="0.3">
      <c r="G354" s="6">
        <v>350</v>
      </c>
      <c r="H354" s="74">
        <v>3910.4409876590134</v>
      </c>
    </row>
    <row r="355" spans="7:8" x14ac:dyDescent="0.3">
      <c r="G355" s="6">
        <v>351</v>
      </c>
      <c r="H355" s="74">
        <v>-532.06357510532007</v>
      </c>
    </row>
    <row r="356" spans="7:8" x14ac:dyDescent="0.3">
      <c r="G356" s="6">
        <v>352</v>
      </c>
      <c r="H356" s="74">
        <v>2901.3084824828902</v>
      </c>
    </row>
    <row r="357" spans="7:8" x14ac:dyDescent="0.3">
      <c r="G357" s="6">
        <v>353</v>
      </c>
      <c r="H357" s="74">
        <v>603.25163076003241</v>
      </c>
    </row>
    <row r="358" spans="7:8" x14ac:dyDescent="0.3">
      <c r="G358" s="6">
        <v>354</v>
      </c>
      <c r="H358" s="74">
        <v>434.0694476967368</v>
      </c>
    </row>
    <row r="359" spans="7:8" x14ac:dyDescent="0.3">
      <c r="G359" s="6">
        <v>355</v>
      </c>
      <c r="H359" s="74">
        <v>453.16838553864778</v>
      </c>
    </row>
    <row r="360" spans="7:8" x14ac:dyDescent="0.3">
      <c r="G360" s="6">
        <v>356</v>
      </c>
      <c r="H360" s="74">
        <v>1252.8655530734354</v>
      </c>
    </row>
    <row r="361" spans="7:8" x14ac:dyDescent="0.3">
      <c r="G361" s="6">
        <v>357</v>
      </c>
      <c r="H361" s="74">
        <v>-738.00245568748812</v>
      </c>
    </row>
    <row r="362" spans="7:8" x14ac:dyDescent="0.3">
      <c r="G362" s="6">
        <v>358</v>
      </c>
      <c r="H362" s="74">
        <v>340.66360963427843</v>
      </c>
    </row>
    <row r="363" spans="7:8" x14ac:dyDescent="0.3">
      <c r="G363" s="6">
        <v>359</v>
      </c>
      <c r="H363" s="74">
        <v>-490.54498641336693</v>
      </c>
    </row>
    <row r="364" spans="7:8" x14ac:dyDescent="0.3">
      <c r="G364" s="6">
        <v>360</v>
      </c>
      <c r="H364" s="74">
        <v>2584.2218619462074</v>
      </c>
    </row>
    <row r="365" spans="7:8" x14ac:dyDescent="0.3">
      <c r="G365" s="6">
        <v>361</v>
      </c>
      <c r="H365" s="74">
        <v>-251.38848693754636</v>
      </c>
    </row>
    <row r="366" spans="7:8" x14ac:dyDescent="0.3">
      <c r="G366" s="6">
        <v>362</v>
      </c>
      <c r="H366" s="74">
        <v>1750.2171177695593</v>
      </c>
    </row>
    <row r="367" spans="7:8" x14ac:dyDescent="0.3">
      <c r="G367" s="6">
        <v>363</v>
      </c>
      <c r="H367" s="74">
        <v>2976.6480829649909</v>
      </c>
    </row>
    <row r="368" spans="7:8" x14ac:dyDescent="0.3">
      <c r="G368" s="6">
        <v>364</v>
      </c>
      <c r="H368" s="74">
        <v>5093.1013485799385</v>
      </c>
    </row>
    <row r="369" spans="7:8" x14ac:dyDescent="0.3">
      <c r="G369" s="6">
        <v>365</v>
      </c>
      <c r="H369" s="74">
        <v>1272.4607186976668</v>
      </c>
    </row>
    <row r="370" spans="7:8" x14ac:dyDescent="0.3">
      <c r="G370" s="6">
        <v>366</v>
      </c>
      <c r="H370" s="74">
        <v>6384.1228216692307</v>
      </c>
    </row>
    <row r="371" spans="7:8" x14ac:dyDescent="0.3">
      <c r="G371" s="6">
        <v>367</v>
      </c>
      <c r="H371" s="74">
        <v>774.67427587447025</v>
      </c>
    </row>
    <row r="372" spans="7:8" x14ac:dyDescent="0.3">
      <c r="G372" s="6">
        <v>368</v>
      </c>
      <c r="H372" s="74">
        <v>3025.0312990239022</v>
      </c>
    </row>
    <row r="373" spans="7:8" x14ac:dyDescent="0.3">
      <c r="G373" s="6">
        <v>369</v>
      </c>
      <c r="H373" s="74">
        <v>1594.2271169523187</v>
      </c>
    </row>
    <row r="374" spans="7:8" x14ac:dyDescent="0.3">
      <c r="G374" s="6">
        <v>370</v>
      </c>
      <c r="H374" s="74">
        <v>2782.829657929055</v>
      </c>
    </row>
    <row r="375" spans="7:8" x14ac:dyDescent="0.3">
      <c r="G375" s="6">
        <v>371</v>
      </c>
      <c r="H375" s="74">
        <v>2673.2223795912892</v>
      </c>
    </row>
    <row r="376" spans="7:8" x14ac:dyDescent="0.3">
      <c r="G376" s="6">
        <v>372</v>
      </c>
      <c r="H376" s="74">
        <v>24.819348666763506</v>
      </c>
    </row>
    <row r="377" spans="7:8" x14ac:dyDescent="0.3">
      <c r="G377" s="6">
        <v>373</v>
      </c>
      <c r="H377" s="74">
        <v>1088.755851263503</v>
      </c>
    </row>
    <row r="378" spans="7:8" x14ac:dyDescent="0.3">
      <c r="G378" s="6">
        <v>374</v>
      </c>
      <c r="H378" s="74">
        <v>2204.3190588461243</v>
      </c>
    </row>
    <row r="379" spans="7:8" x14ac:dyDescent="0.3">
      <c r="G379" s="6">
        <v>375</v>
      </c>
      <c r="H379" s="74">
        <v>-821.80111306770982</v>
      </c>
    </row>
    <row r="380" spans="7:8" x14ac:dyDescent="0.3">
      <c r="G380" s="6">
        <v>376</v>
      </c>
      <c r="H380" s="74">
        <v>1920.9924204473257</v>
      </c>
    </row>
    <row r="381" spans="7:8" x14ac:dyDescent="0.3">
      <c r="G381" s="6">
        <v>377</v>
      </c>
      <c r="H381" s="74">
        <v>1683.326322279712</v>
      </c>
    </row>
    <row r="382" spans="7:8" x14ac:dyDescent="0.3">
      <c r="G382" s="6">
        <v>378</v>
      </c>
      <c r="H382" s="74">
        <v>1513.8808756228311</v>
      </c>
    </row>
    <row r="383" spans="7:8" x14ac:dyDescent="0.3">
      <c r="G383" s="6">
        <v>379</v>
      </c>
      <c r="H383" s="74">
        <v>2056.7273599255836</v>
      </c>
    </row>
    <row r="384" spans="7:8" x14ac:dyDescent="0.3">
      <c r="G384" s="6">
        <v>380</v>
      </c>
      <c r="H384" s="74">
        <v>231.63074247062781</v>
      </c>
    </row>
    <row r="385" spans="7:8" x14ac:dyDescent="0.3">
      <c r="G385" s="6">
        <v>381</v>
      </c>
      <c r="H385" s="74">
        <v>1083.4740761886442</v>
      </c>
    </row>
    <row r="386" spans="7:8" x14ac:dyDescent="0.3">
      <c r="G386" s="6">
        <v>382</v>
      </c>
      <c r="H386" s="74">
        <v>2325.7546291628069</v>
      </c>
    </row>
    <row r="387" spans="7:8" x14ac:dyDescent="0.3">
      <c r="G387" s="6">
        <v>383</v>
      </c>
      <c r="H387" s="74">
        <v>1759.3335306687875</v>
      </c>
    </row>
    <row r="388" spans="7:8" x14ac:dyDescent="0.3">
      <c r="G388" s="6">
        <v>384</v>
      </c>
      <c r="H388" s="74">
        <v>1670.2563112109688</v>
      </c>
    </row>
    <row r="389" spans="7:8" x14ac:dyDescent="0.3">
      <c r="G389" s="6">
        <v>385</v>
      </c>
      <c r="H389" s="74">
        <v>1161.7562346643608</v>
      </c>
    </row>
    <row r="390" spans="7:8" x14ac:dyDescent="0.3">
      <c r="G390" s="6">
        <v>386</v>
      </c>
      <c r="H390" s="74">
        <v>1264.1954763716394</v>
      </c>
    </row>
    <row r="391" spans="7:8" x14ac:dyDescent="0.3">
      <c r="G391" s="6">
        <v>387</v>
      </c>
      <c r="H391" s="74">
        <v>1379.2586483861833</v>
      </c>
    </row>
    <row r="392" spans="7:8" x14ac:dyDescent="0.3">
      <c r="G392" s="6">
        <v>388</v>
      </c>
      <c r="H392" s="74">
        <v>3636.6674692101851</v>
      </c>
    </row>
    <row r="393" spans="7:8" x14ac:dyDescent="0.3">
      <c r="G393" s="6">
        <v>389</v>
      </c>
      <c r="H393" s="74">
        <v>2447.5508129214777</v>
      </c>
    </row>
    <row r="394" spans="7:8" x14ac:dyDescent="0.3">
      <c r="G394" s="6">
        <v>390</v>
      </c>
      <c r="H394" s="74">
        <v>594.10313626347852</v>
      </c>
    </row>
    <row r="395" spans="7:8" x14ac:dyDescent="0.3">
      <c r="G395" s="6">
        <v>391</v>
      </c>
      <c r="H395" s="74">
        <v>2505.6308155172178</v>
      </c>
    </row>
    <row r="396" spans="7:8" x14ac:dyDescent="0.3">
      <c r="G396" s="6">
        <v>392</v>
      </c>
      <c r="H396" s="74">
        <v>834.1858166729719</v>
      </c>
    </row>
    <row r="397" spans="7:8" x14ac:dyDescent="0.3">
      <c r="G397" s="6">
        <v>393</v>
      </c>
      <c r="H397" s="74">
        <v>2784.8051610296102</v>
      </c>
    </row>
    <row r="398" spans="7:8" x14ac:dyDescent="0.3">
      <c r="G398" s="6">
        <v>394</v>
      </c>
      <c r="H398" s="74">
        <v>0.61835854538125612</v>
      </c>
    </row>
    <row r="399" spans="7:8" x14ac:dyDescent="0.3">
      <c r="G399" s="6">
        <v>395</v>
      </c>
      <c r="H399" s="74">
        <v>265.97033417536318</v>
      </c>
    </row>
    <row r="400" spans="7:8" x14ac:dyDescent="0.3">
      <c r="G400" s="6">
        <v>396</v>
      </c>
      <c r="H400" s="74">
        <v>840.20885609855418</v>
      </c>
    </row>
    <row r="401" spans="7:8" x14ac:dyDescent="0.3">
      <c r="G401" s="6">
        <v>397</v>
      </c>
      <c r="H401" s="74">
        <v>565.7660632205143</v>
      </c>
    </row>
    <row r="402" spans="7:8" x14ac:dyDescent="0.3">
      <c r="G402" s="6">
        <v>398</v>
      </c>
      <c r="H402" s="74">
        <v>3986.6671375431597</v>
      </c>
    </row>
    <row r="403" spans="7:8" x14ac:dyDescent="0.3">
      <c r="G403" s="6">
        <v>399</v>
      </c>
      <c r="H403" s="74">
        <v>464.01134024959902</v>
      </c>
    </row>
    <row r="404" spans="7:8" x14ac:dyDescent="0.3">
      <c r="G404" s="6">
        <v>400</v>
      </c>
      <c r="H404" s="74">
        <v>2447.9149220733811</v>
      </c>
    </row>
    <row r="405" spans="7:8" x14ac:dyDescent="0.3">
      <c r="G405" s="6">
        <v>401</v>
      </c>
      <c r="H405" s="74">
        <v>3638.748812264952</v>
      </c>
    </row>
    <row r="406" spans="7:8" x14ac:dyDescent="0.3">
      <c r="G406" s="6">
        <v>402</v>
      </c>
      <c r="H406" s="74">
        <v>1031.3113584403491</v>
      </c>
    </row>
    <row r="407" spans="7:8" x14ac:dyDescent="0.3">
      <c r="G407" s="6">
        <v>403</v>
      </c>
      <c r="H407" s="74">
        <v>280.71368443992475</v>
      </c>
    </row>
    <row r="408" spans="7:8" x14ac:dyDescent="0.3">
      <c r="G408" s="6">
        <v>404</v>
      </c>
      <c r="H408" s="74">
        <v>-528.6803274875997</v>
      </c>
    </row>
    <row r="409" spans="7:8" x14ac:dyDescent="0.3">
      <c r="G409" s="6">
        <v>405</v>
      </c>
      <c r="H409" s="74">
        <v>-349.39408963853924</v>
      </c>
    </row>
    <row r="410" spans="7:8" x14ac:dyDescent="0.3">
      <c r="G410" s="6">
        <v>406</v>
      </c>
      <c r="H410" s="74">
        <v>1339.3115661758627</v>
      </c>
    </row>
    <row r="411" spans="7:8" x14ac:dyDescent="0.3">
      <c r="G411" s="6">
        <v>407</v>
      </c>
      <c r="H411" s="74">
        <v>641.99407209052094</v>
      </c>
    </row>
    <row r="412" spans="7:8" x14ac:dyDescent="0.3">
      <c r="G412" s="6">
        <v>408</v>
      </c>
      <c r="H412" s="74">
        <v>210.43253660397386</v>
      </c>
    </row>
    <row r="413" spans="7:8" x14ac:dyDescent="0.3">
      <c r="G413" s="6">
        <v>409</v>
      </c>
      <c r="H413" s="74">
        <v>1185.7876850654434</v>
      </c>
    </row>
    <row r="414" spans="7:8" x14ac:dyDescent="0.3">
      <c r="G414" s="6">
        <v>410</v>
      </c>
      <c r="H414" s="74">
        <v>2.4092981170527978</v>
      </c>
    </row>
    <row r="415" spans="7:8" x14ac:dyDescent="0.3">
      <c r="G415" s="6">
        <v>411</v>
      </c>
      <c r="H415" s="74">
        <v>1708.0301893677101</v>
      </c>
    </row>
    <row r="416" spans="7:8" x14ac:dyDescent="0.3">
      <c r="G416" s="6">
        <v>412</v>
      </c>
      <c r="H416" s="74">
        <v>792.90567129387478</v>
      </c>
    </row>
    <row r="417" spans="7:8" x14ac:dyDescent="0.3">
      <c r="G417" s="6">
        <v>413</v>
      </c>
      <c r="H417" s="74">
        <v>586.00600372011468</v>
      </c>
    </row>
    <row r="418" spans="7:8" x14ac:dyDescent="0.3">
      <c r="G418" s="6">
        <v>414</v>
      </c>
      <c r="H418" s="74">
        <v>1184.1594503901681</v>
      </c>
    </row>
    <row r="419" spans="7:8" x14ac:dyDescent="0.3">
      <c r="G419" s="6">
        <v>415</v>
      </c>
      <c r="H419" s="74">
        <v>1764.050310929488</v>
      </c>
    </row>
    <row r="420" spans="7:8" x14ac:dyDescent="0.3">
      <c r="G420" s="6">
        <v>416</v>
      </c>
      <c r="H420" s="74">
        <v>3224.7016567115911</v>
      </c>
    </row>
    <row r="421" spans="7:8" x14ac:dyDescent="0.3">
      <c r="G421" s="6">
        <v>417</v>
      </c>
      <c r="H421" s="74">
        <v>4159.6124583749788</v>
      </c>
    </row>
    <row r="422" spans="7:8" x14ac:dyDescent="0.3">
      <c r="G422" s="6">
        <v>418</v>
      </c>
      <c r="H422" s="74">
        <v>1446.2512992089883</v>
      </c>
    </row>
    <row r="423" spans="7:8" x14ac:dyDescent="0.3">
      <c r="G423" s="6">
        <v>419</v>
      </c>
      <c r="H423" s="74">
        <v>3611.4509496116229</v>
      </c>
    </row>
    <row r="424" spans="7:8" x14ac:dyDescent="0.3">
      <c r="G424" s="6">
        <v>420</v>
      </c>
      <c r="H424" s="74">
        <v>739.1060904185498</v>
      </c>
    </row>
    <row r="425" spans="7:8" x14ac:dyDescent="0.3">
      <c r="G425" s="6">
        <v>421</v>
      </c>
      <c r="H425" s="74">
        <v>654.59085263367888</v>
      </c>
    </row>
    <row r="426" spans="7:8" x14ac:dyDescent="0.3">
      <c r="G426" s="6">
        <v>422</v>
      </c>
      <c r="H426" s="74">
        <v>3554.5989675651758</v>
      </c>
    </row>
    <row r="427" spans="7:8" x14ac:dyDescent="0.3">
      <c r="G427" s="6">
        <v>423</v>
      </c>
      <c r="H427" s="74">
        <v>158.7806894992456</v>
      </c>
    </row>
    <row r="428" spans="7:8" x14ac:dyDescent="0.3">
      <c r="G428" s="6">
        <v>424</v>
      </c>
      <c r="H428" s="74">
        <v>3714.3082130267003</v>
      </c>
    </row>
    <row r="429" spans="7:8" x14ac:dyDescent="0.3">
      <c r="G429" s="6">
        <v>425</v>
      </c>
      <c r="H429" s="74">
        <v>1450.8728408470843</v>
      </c>
    </row>
    <row r="430" spans="7:8" x14ac:dyDescent="0.3">
      <c r="G430" s="6">
        <v>426</v>
      </c>
      <c r="H430" s="74">
        <v>1221.7755515157307</v>
      </c>
    </row>
    <row r="431" spans="7:8" x14ac:dyDescent="0.3">
      <c r="G431" s="6">
        <v>427</v>
      </c>
      <c r="H431" s="74">
        <v>319.05947000129447</v>
      </c>
    </row>
    <row r="432" spans="7:8" x14ac:dyDescent="0.3">
      <c r="G432" s="6">
        <v>428</v>
      </c>
      <c r="H432" s="74">
        <v>622.23248099804698</v>
      </c>
    </row>
    <row r="433" spans="7:8" x14ac:dyDescent="0.3">
      <c r="G433" s="6">
        <v>429</v>
      </c>
      <c r="H433" s="74">
        <v>1541.7849027146524</v>
      </c>
    </row>
    <row r="434" spans="7:8" x14ac:dyDescent="0.3">
      <c r="G434" s="6">
        <v>430</v>
      </c>
      <c r="H434" s="74">
        <v>384.55145546398057</v>
      </c>
    </row>
    <row r="435" spans="7:8" x14ac:dyDescent="0.3">
      <c r="G435" s="6">
        <v>431</v>
      </c>
      <c r="H435" s="74">
        <v>-88.442476427832986</v>
      </c>
    </row>
    <row r="436" spans="7:8" x14ac:dyDescent="0.3">
      <c r="G436" s="6">
        <v>432</v>
      </c>
      <c r="H436" s="74">
        <v>4480.5880329657939</v>
      </c>
    </row>
    <row r="437" spans="7:8" x14ac:dyDescent="0.3">
      <c r="G437" s="6">
        <v>433</v>
      </c>
      <c r="H437" s="74">
        <v>1597.1445278522856</v>
      </c>
    </row>
    <row r="438" spans="7:8" x14ac:dyDescent="0.3">
      <c r="G438" s="6">
        <v>434</v>
      </c>
      <c r="H438" s="74">
        <v>278.5633101861124</v>
      </c>
    </row>
    <row r="439" spans="7:8" x14ac:dyDescent="0.3">
      <c r="G439" s="6">
        <v>435</v>
      </c>
      <c r="H439" s="74">
        <v>1436.3620212332171</v>
      </c>
    </row>
    <row r="440" spans="7:8" x14ac:dyDescent="0.3">
      <c r="G440" s="6">
        <v>436</v>
      </c>
      <c r="H440" s="74">
        <v>1707.1496208620053</v>
      </c>
    </row>
    <row r="441" spans="7:8" x14ac:dyDescent="0.3">
      <c r="G441" s="6">
        <v>437</v>
      </c>
      <c r="H441" s="74">
        <v>1519.6821288473163</v>
      </c>
    </row>
    <row r="442" spans="7:8" x14ac:dyDescent="0.3">
      <c r="G442" s="6">
        <v>438</v>
      </c>
      <c r="H442" s="74">
        <v>1973.3818479651686</v>
      </c>
    </row>
    <row r="443" spans="7:8" x14ac:dyDescent="0.3">
      <c r="G443" s="6">
        <v>439</v>
      </c>
      <c r="H443" s="74">
        <v>1454.0594185944208</v>
      </c>
    </row>
    <row r="444" spans="7:8" x14ac:dyDescent="0.3">
      <c r="G444" s="6">
        <v>440</v>
      </c>
      <c r="H444" s="74">
        <v>3076.8956647826271</v>
      </c>
    </row>
    <row r="445" spans="7:8" x14ac:dyDescent="0.3">
      <c r="G445" s="6">
        <v>441</v>
      </c>
      <c r="H445" s="74">
        <v>-326.54118150417139</v>
      </c>
    </row>
    <row r="446" spans="7:8" x14ac:dyDescent="0.3">
      <c r="G446" s="6">
        <v>442</v>
      </c>
      <c r="H446" s="74">
        <v>605.33051193749327</v>
      </c>
    </row>
    <row r="447" spans="7:8" x14ac:dyDescent="0.3">
      <c r="G447" s="6">
        <v>443</v>
      </c>
      <c r="H447" s="74">
        <v>2163.9079658423761</v>
      </c>
    </row>
    <row r="448" spans="7:8" x14ac:dyDescent="0.3">
      <c r="G448" s="6">
        <v>444</v>
      </c>
      <c r="H448" s="74">
        <v>78.927060337542187</v>
      </c>
    </row>
    <row r="449" spans="7:8" x14ac:dyDescent="0.3">
      <c r="G449" s="6">
        <v>445</v>
      </c>
      <c r="H449" s="74">
        <v>1421.4225795611301</v>
      </c>
    </row>
    <row r="450" spans="7:8" x14ac:dyDescent="0.3">
      <c r="G450" s="6">
        <v>446</v>
      </c>
      <c r="H450" s="74">
        <v>748.51044405343555</v>
      </c>
    </row>
    <row r="451" spans="7:8" x14ac:dyDescent="0.3">
      <c r="G451" s="6">
        <v>447</v>
      </c>
      <c r="H451" s="74">
        <v>784.85796139688227</v>
      </c>
    </row>
    <row r="452" spans="7:8" x14ac:dyDescent="0.3">
      <c r="G452" s="6">
        <v>448</v>
      </c>
      <c r="H452" s="74">
        <v>-238.19600828734698</v>
      </c>
    </row>
    <row r="453" spans="7:8" x14ac:dyDescent="0.3">
      <c r="G453" s="6">
        <v>449</v>
      </c>
      <c r="H453" s="74">
        <v>2610.9713376392106</v>
      </c>
    </row>
    <row r="454" spans="7:8" x14ac:dyDescent="0.3">
      <c r="G454" s="6">
        <v>450</v>
      </c>
      <c r="H454" s="74">
        <v>761.37962060360235</v>
      </c>
    </row>
    <row r="455" spans="7:8" x14ac:dyDescent="0.3">
      <c r="G455" s="6">
        <v>451</v>
      </c>
      <c r="H455" s="74">
        <v>-814.06257018670851</v>
      </c>
    </row>
    <row r="456" spans="7:8" x14ac:dyDescent="0.3">
      <c r="G456" s="6">
        <v>452</v>
      </c>
      <c r="H456" s="74">
        <v>539.2268253831636</v>
      </c>
    </row>
    <row r="457" spans="7:8" x14ac:dyDescent="0.3">
      <c r="G457" s="6">
        <v>453</v>
      </c>
      <c r="H457" s="74">
        <v>1733.4519414442789</v>
      </c>
    </row>
    <row r="458" spans="7:8" x14ac:dyDescent="0.3">
      <c r="G458" s="6">
        <v>454</v>
      </c>
      <c r="H458" s="74">
        <v>-21.614483705199405</v>
      </c>
    </row>
    <row r="459" spans="7:8" x14ac:dyDescent="0.3">
      <c r="G459" s="6">
        <v>455</v>
      </c>
      <c r="H459" s="74">
        <v>1595.2859211859065</v>
      </c>
    </row>
    <row r="460" spans="7:8" x14ac:dyDescent="0.3">
      <c r="G460" s="6">
        <v>456</v>
      </c>
      <c r="H460" s="74">
        <v>-256.4140470527214</v>
      </c>
    </row>
    <row r="461" spans="7:8" x14ac:dyDescent="0.3">
      <c r="G461" s="6">
        <v>457</v>
      </c>
      <c r="H461" s="74">
        <v>1204.990538552456</v>
      </c>
    </row>
    <row r="462" spans="7:8" x14ac:dyDescent="0.3">
      <c r="G462" s="6">
        <v>458</v>
      </c>
      <c r="H462" s="74">
        <v>1454.0041166666044</v>
      </c>
    </row>
    <row r="463" spans="7:8" x14ac:dyDescent="0.3">
      <c r="G463" s="6">
        <v>459</v>
      </c>
      <c r="H463" s="74">
        <v>1292.6342253310945</v>
      </c>
    </row>
    <row r="464" spans="7:8" x14ac:dyDescent="0.3">
      <c r="G464" s="6">
        <v>460</v>
      </c>
      <c r="H464" s="74">
        <v>1810.0109989172106</v>
      </c>
    </row>
    <row r="465" spans="7:8" x14ac:dyDescent="0.3">
      <c r="G465" s="6">
        <v>461</v>
      </c>
      <c r="H465" s="74">
        <v>-131.63307800032968</v>
      </c>
    </row>
    <row r="466" spans="7:8" x14ac:dyDescent="0.3">
      <c r="G466" s="6">
        <v>462</v>
      </c>
      <c r="H466" s="74">
        <v>679.44775612673595</v>
      </c>
    </row>
    <row r="467" spans="7:8" x14ac:dyDescent="0.3">
      <c r="G467" s="6">
        <v>463</v>
      </c>
      <c r="H467" s="74">
        <v>2754.5322085814878</v>
      </c>
    </row>
    <row r="468" spans="7:8" x14ac:dyDescent="0.3">
      <c r="G468" s="6">
        <v>464</v>
      </c>
      <c r="H468" s="74">
        <v>-129.97877977227682</v>
      </c>
    </row>
    <row r="469" spans="7:8" x14ac:dyDescent="0.3">
      <c r="G469" s="6">
        <v>465</v>
      </c>
      <c r="H469" s="74">
        <v>1323.8897346667138</v>
      </c>
    </row>
    <row r="470" spans="7:8" x14ac:dyDescent="0.3">
      <c r="G470" s="6">
        <v>466</v>
      </c>
      <c r="H470" s="74">
        <v>1254.8478191960144</v>
      </c>
    </row>
    <row r="471" spans="7:8" x14ac:dyDescent="0.3">
      <c r="G471" s="6">
        <v>467</v>
      </c>
      <c r="H471" s="74">
        <v>60.101698936433408</v>
      </c>
    </row>
    <row r="472" spans="7:8" x14ac:dyDescent="0.3">
      <c r="G472" s="6">
        <v>468</v>
      </c>
      <c r="H472" s="74">
        <v>2328.959284086111</v>
      </c>
    </row>
    <row r="473" spans="7:8" x14ac:dyDescent="0.3">
      <c r="G473" s="6">
        <v>469</v>
      </c>
      <c r="H473" s="74">
        <v>1719.1629595202517</v>
      </c>
    </row>
    <row r="474" spans="7:8" x14ac:dyDescent="0.3">
      <c r="G474" s="6">
        <v>470</v>
      </c>
      <c r="H474" s="74">
        <v>581.33496181261091</v>
      </c>
    </row>
    <row r="475" spans="7:8" x14ac:dyDescent="0.3">
      <c r="G475" s="6">
        <v>471</v>
      </c>
      <c r="H475" s="74">
        <v>1393.4573929588737</v>
      </c>
    </row>
    <row r="476" spans="7:8" x14ac:dyDescent="0.3">
      <c r="G476" s="6">
        <v>472</v>
      </c>
      <c r="H476" s="74">
        <v>1987.8549585495462</v>
      </c>
    </row>
    <row r="477" spans="7:8" x14ac:dyDescent="0.3">
      <c r="G477" s="6">
        <v>473</v>
      </c>
      <c r="H477" s="74">
        <v>1066.6348596320029</v>
      </c>
    </row>
    <row r="478" spans="7:8" x14ac:dyDescent="0.3">
      <c r="G478" s="6">
        <v>474</v>
      </c>
      <c r="H478" s="74">
        <v>344.44827033098454</v>
      </c>
    </row>
    <row r="479" spans="7:8" x14ac:dyDescent="0.3">
      <c r="G479" s="6">
        <v>475</v>
      </c>
      <c r="H479" s="74">
        <v>498.54131001804495</v>
      </c>
    </row>
    <row r="480" spans="7:8" x14ac:dyDescent="0.3">
      <c r="G480" s="6">
        <v>476</v>
      </c>
      <c r="H480" s="74">
        <v>2802.7341282357215</v>
      </c>
    </row>
    <row r="481" spans="7:8" x14ac:dyDescent="0.3">
      <c r="G481" s="6">
        <v>477</v>
      </c>
      <c r="H481" s="74">
        <v>1023.0489137058055</v>
      </c>
    </row>
    <row r="482" spans="7:8" x14ac:dyDescent="0.3">
      <c r="G482" s="6">
        <v>478</v>
      </c>
      <c r="H482" s="74">
        <v>3720.9285284723751</v>
      </c>
    </row>
    <row r="483" spans="7:8" x14ac:dyDescent="0.3">
      <c r="G483" s="6">
        <v>479</v>
      </c>
      <c r="H483" s="74">
        <v>3276.5578869831284</v>
      </c>
    </row>
    <row r="484" spans="7:8" x14ac:dyDescent="0.3">
      <c r="G484" s="6">
        <v>480</v>
      </c>
      <c r="H484" s="74">
        <v>2384.6919653875716</v>
      </c>
    </row>
    <row r="485" spans="7:8" x14ac:dyDescent="0.3">
      <c r="G485" s="6">
        <v>481</v>
      </c>
      <c r="H485" s="74">
        <v>1478.7918695915562</v>
      </c>
    </row>
    <row r="486" spans="7:8" x14ac:dyDescent="0.3">
      <c r="G486" s="6">
        <v>482</v>
      </c>
      <c r="H486" s="74">
        <v>-617.39499550188509</v>
      </c>
    </row>
    <row r="487" spans="7:8" x14ac:dyDescent="0.3">
      <c r="G487" s="6">
        <v>483</v>
      </c>
      <c r="H487" s="74">
        <v>2244.1496892769806</v>
      </c>
    </row>
    <row r="488" spans="7:8" x14ac:dyDescent="0.3">
      <c r="G488" s="6">
        <v>484</v>
      </c>
      <c r="H488" s="74">
        <v>289.32442925921492</v>
      </c>
    </row>
    <row r="489" spans="7:8" x14ac:dyDescent="0.3">
      <c r="G489" s="6">
        <v>485</v>
      </c>
      <c r="H489" s="74">
        <v>2044.6189265672504</v>
      </c>
    </row>
    <row r="490" spans="7:8" x14ac:dyDescent="0.3">
      <c r="G490" s="6">
        <v>486</v>
      </c>
      <c r="H490" s="74">
        <v>1740.4277283407091</v>
      </c>
    </row>
    <row r="491" spans="7:8" x14ac:dyDescent="0.3">
      <c r="G491" s="6">
        <v>487</v>
      </c>
      <c r="H491" s="74">
        <v>2705.2136710624432</v>
      </c>
    </row>
    <row r="492" spans="7:8" x14ac:dyDescent="0.3">
      <c r="G492" s="6">
        <v>488</v>
      </c>
      <c r="H492" s="74">
        <v>4968.5176011239937</v>
      </c>
    </row>
    <row r="493" spans="7:8" x14ac:dyDescent="0.3">
      <c r="G493" s="6">
        <v>489</v>
      </c>
      <c r="H493" s="74">
        <v>1833.6463604593152</v>
      </c>
    </row>
    <row r="494" spans="7:8" x14ac:dyDescent="0.3">
      <c r="G494" s="6">
        <v>490</v>
      </c>
      <c r="H494" s="74">
        <v>1713.9718968034031</v>
      </c>
    </row>
    <row r="495" spans="7:8" x14ac:dyDescent="0.3">
      <c r="G495" s="6">
        <v>491</v>
      </c>
      <c r="H495" s="74">
        <v>559.71311366897044</v>
      </c>
    </row>
    <row r="496" spans="7:8" x14ac:dyDescent="0.3">
      <c r="G496" s="6">
        <v>492</v>
      </c>
      <c r="H496" s="74">
        <v>852.1500184710178</v>
      </c>
    </row>
    <row r="497" spans="7:8" x14ac:dyDescent="0.3">
      <c r="G497" s="6">
        <v>493</v>
      </c>
      <c r="H497" s="74">
        <v>1879.3233228791321</v>
      </c>
    </row>
    <row r="498" spans="7:8" x14ac:dyDescent="0.3">
      <c r="G498" s="6">
        <v>494</v>
      </c>
      <c r="H498" s="74">
        <v>2178.6190118253185</v>
      </c>
    </row>
    <row r="499" spans="7:8" x14ac:dyDescent="0.3">
      <c r="G499" s="6">
        <v>495</v>
      </c>
      <c r="H499" s="74">
        <v>1173.3131053852244</v>
      </c>
    </row>
    <row r="500" spans="7:8" x14ac:dyDescent="0.3">
      <c r="G500" s="6">
        <v>496</v>
      </c>
      <c r="H500" s="74">
        <v>1640.4891509364629</v>
      </c>
    </row>
    <row r="501" spans="7:8" x14ac:dyDescent="0.3">
      <c r="G501" s="6">
        <v>497</v>
      </c>
      <c r="H501" s="74">
        <v>-554.28915258533857</v>
      </c>
    </row>
    <row r="502" spans="7:8" x14ac:dyDescent="0.3">
      <c r="G502" s="6">
        <v>498</v>
      </c>
      <c r="H502" s="74">
        <v>6210.0331483736609</v>
      </c>
    </row>
    <row r="503" spans="7:8" x14ac:dyDescent="0.3">
      <c r="G503" s="6">
        <v>499</v>
      </c>
      <c r="H503" s="74">
        <v>2143.1737827898232</v>
      </c>
    </row>
    <row r="504" spans="7:8" x14ac:dyDescent="0.3">
      <c r="G504" s="6">
        <v>500</v>
      </c>
      <c r="H504" s="74">
        <v>5212.230362319845</v>
      </c>
    </row>
    <row r="505" spans="7:8" x14ac:dyDescent="0.3">
      <c r="G505" s="6">
        <v>501</v>
      </c>
      <c r="H505" s="74">
        <v>819.79864596450545</v>
      </c>
    </row>
    <row r="506" spans="7:8" x14ac:dyDescent="0.3">
      <c r="G506" s="6">
        <v>502</v>
      </c>
      <c r="H506" s="74">
        <v>528.62419726732378</v>
      </c>
    </row>
    <row r="507" spans="7:8" x14ac:dyDescent="0.3">
      <c r="G507" s="6">
        <v>503</v>
      </c>
      <c r="H507" s="74">
        <v>1504.4874495849197</v>
      </c>
    </row>
    <row r="508" spans="7:8" x14ac:dyDescent="0.3">
      <c r="G508" s="6">
        <v>504</v>
      </c>
      <c r="H508" s="74">
        <v>3999.7472940250022</v>
      </c>
    </row>
    <row r="509" spans="7:8" x14ac:dyDescent="0.3">
      <c r="G509" s="6">
        <v>505</v>
      </c>
      <c r="H509" s="74">
        <v>-871.97104626226098</v>
      </c>
    </row>
    <row r="510" spans="7:8" x14ac:dyDescent="0.3">
      <c r="G510" s="6">
        <v>506</v>
      </c>
      <c r="H510" s="74">
        <v>1275.931290437062</v>
      </c>
    </row>
    <row r="511" spans="7:8" x14ac:dyDescent="0.3">
      <c r="G511" s="6">
        <v>507</v>
      </c>
      <c r="H511" s="74">
        <v>1667.9978544925477</v>
      </c>
    </row>
    <row r="512" spans="7:8" x14ac:dyDescent="0.3">
      <c r="G512" s="6">
        <v>508</v>
      </c>
      <c r="H512" s="74">
        <v>868.68455078656393</v>
      </c>
    </row>
    <row r="513" spans="7:8" x14ac:dyDescent="0.3">
      <c r="G513" s="6">
        <v>509</v>
      </c>
      <c r="H513" s="74">
        <v>1209.6720251974873</v>
      </c>
    </row>
    <row r="514" spans="7:8" x14ac:dyDescent="0.3">
      <c r="G514" s="6">
        <v>510</v>
      </c>
      <c r="H514" s="74">
        <v>4502.8995694991181</v>
      </c>
    </row>
    <row r="515" spans="7:8" x14ac:dyDescent="0.3">
      <c r="G515" s="6">
        <v>511</v>
      </c>
      <c r="H515" s="74">
        <v>349.45521547262547</v>
      </c>
    </row>
    <row r="516" spans="7:8" x14ac:dyDescent="0.3">
      <c r="G516" s="6">
        <v>512</v>
      </c>
      <c r="H516" s="74">
        <v>2166.1006002589825</v>
      </c>
    </row>
    <row r="517" spans="7:8" x14ac:dyDescent="0.3">
      <c r="G517" s="6">
        <v>513</v>
      </c>
      <c r="H517" s="74">
        <v>2206.156230094301</v>
      </c>
    </row>
    <row r="518" spans="7:8" x14ac:dyDescent="0.3">
      <c r="G518" s="6">
        <v>514</v>
      </c>
      <c r="H518" s="74">
        <v>1490.4971192072599</v>
      </c>
    </row>
    <row r="519" spans="7:8" x14ac:dyDescent="0.3">
      <c r="G519" s="6">
        <v>515</v>
      </c>
      <c r="H519" s="74">
        <v>1074.8158685457017</v>
      </c>
    </row>
    <row r="520" spans="7:8" x14ac:dyDescent="0.3">
      <c r="G520" s="6">
        <v>516</v>
      </c>
      <c r="H520" s="74">
        <v>1110.6151073323433</v>
      </c>
    </row>
    <row r="521" spans="7:8" x14ac:dyDescent="0.3">
      <c r="G521" s="6">
        <v>517</v>
      </c>
      <c r="H521" s="74">
        <v>-554.36350105298072</v>
      </c>
    </row>
    <row r="522" spans="7:8" x14ac:dyDescent="0.3">
      <c r="G522" s="6">
        <v>518</v>
      </c>
      <c r="H522" s="74">
        <v>3203.5418798565765</v>
      </c>
    </row>
    <row r="523" spans="7:8" x14ac:dyDescent="0.3">
      <c r="G523" s="6">
        <v>519</v>
      </c>
      <c r="H523" s="74">
        <v>-248.42917105320427</v>
      </c>
    </row>
    <row r="524" spans="7:8" x14ac:dyDescent="0.3">
      <c r="G524" s="6">
        <v>520</v>
      </c>
      <c r="H524" s="74">
        <v>2357.4241405136881</v>
      </c>
    </row>
    <row r="525" spans="7:8" x14ac:dyDescent="0.3">
      <c r="G525" s="6">
        <v>521</v>
      </c>
      <c r="H525" s="74">
        <v>1428.3193958516492</v>
      </c>
    </row>
    <row r="526" spans="7:8" x14ac:dyDescent="0.3">
      <c r="G526" s="6">
        <v>522</v>
      </c>
      <c r="H526" s="74">
        <v>-1165.8589137087408</v>
      </c>
    </row>
    <row r="527" spans="7:8" x14ac:dyDescent="0.3">
      <c r="G527" s="6">
        <v>523</v>
      </c>
      <c r="H527" s="74">
        <v>666.54342339112759</v>
      </c>
    </row>
    <row r="528" spans="7:8" x14ac:dyDescent="0.3">
      <c r="G528" s="6">
        <v>524</v>
      </c>
      <c r="H528" s="74">
        <v>2031.9556774961318</v>
      </c>
    </row>
    <row r="529" spans="7:8" x14ac:dyDescent="0.3">
      <c r="G529" s="6">
        <v>525</v>
      </c>
      <c r="H529" s="74">
        <v>-896.60509846513094</v>
      </c>
    </row>
    <row r="530" spans="7:8" x14ac:dyDescent="0.3">
      <c r="G530" s="6">
        <v>526</v>
      </c>
      <c r="H530" s="74">
        <v>5228.7605254146529</v>
      </c>
    </row>
    <row r="531" spans="7:8" x14ac:dyDescent="0.3">
      <c r="G531" s="6">
        <v>527</v>
      </c>
      <c r="H531" s="74">
        <v>1383.483646452109</v>
      </c>
    </row>
    <row r="532" spans="7:8" x14ac:dyDescent="0.3">
      <c r="G532" s="6">
        <v>528</v>
      </c>
      <c r="H532" s="74">
        <v>1910.7710674118762</v>
      </c>
    </row>
    <row r="533" spans="7:8" x14ac:dyDescent="0.3">
      <c r="G533" s="6">
        <v>529</v>
      </c>
      <c r="H533" s="74">
        <v>1293.3042506847764</v>
      </c>
    </row>
    <row r="534" spans="7:8" x14ac:dyDescent="0.3">
      <c r="G534" s="6">
        <v>530</v>
      </c>
      <c r="H534" s="74">
        <v>-270.48705313695524</v>
      </c>
    </row>
    <row r="535" spans="7:8" x14ac:dyDescent="0.3">
      <c r="G535" s="6">
        <v>531</v>
      </c>
      <c r="H535" s="74">
        <v>1889.5931066507978</v>
      </c>
    </row>
    <row r="536" spans="7:8" x14ac:dyDescent="0.3">
      <c r="G536" s="6">
        <v>532</v>
      </c>
      <c r="H536" s="74">
        <v>2751.6187511556768</v>
      </c>
    </row>
    <row r="537" spans="7:8" x14ac:dyDescent="0.3">
      <c r="G537" s="6">
        <v>533</v>
      </c>
      <c r="H537" s="74">
        <v>1183.0284937104134</v>
      </c>
    </row>
    <row r="538" spans="7:8" x14ac:dyDescent="0.3">
      <c r="G538" s="6">
        <v>534</v>
      </c>
      <c r="H538" s="74">
        <v>395.89698191281838</v>
      </c>
    </row>
    <row r="539" spans="7:8" x14ac:dyDescent="0.3">
      <c r="G539" s="6">
        <v>535</v>
      </c>
      <c r="H539" s="74">
        <v>-130.2010639280013</v>
      </c>
    </row>
    <row r="540" spans="7:8" x14ac:dyDescent="0.3">
      <c r="G540" s="6">
        <v>536</v>
      </c>
      <c r="H540" s="74">
        <v>102.69613432984586</v>
      </c>
    </row>
    <row r="541" spans="7:8" x14ac:dyDescent="0.3">
      <c r="G541" s="6">
        <v>537</v>
      </c>
      <c r="H541" s="74">
        <v>467.01887307488909</v>
      </c>
    </row>
    <row r="542" spans="7:8" x14ac:dyDescent="0.3">
      <c r="G542" s="6">
        <v>538</v>
      </c>
      <c r="H542" s="74">
        <v>1648.534573624087</v>
      </c>
    </row>
    <row r="543" spans="7:8" x14ac:dyDescent="0.3">
      <c r="G543" s="6">
        <v>539</v>
      </c>
      <c r="H543" s="74">
        <v>1497.2363853111922</v>
      </c>
    </row>
    <row r="544" spans="7:8" x14ac:dyDescent="0.3">
      <c r="G544" s="6">
        <v>540</v>
      </c>
      <c r="H544" s="74">
        <v>594.23813599729408</v>
      </c>
    </row>
    <row r="545" spans="7:8" x14ac:dyDescent="0.3">
      <c r="G545" s="6">
        <v>541</v>
      </c>
      <c r="H545" s="74">
        <v>963.97815818024708</v>
      </c>
    </row>
    <row r="546" spans="7:8" x14ac:dyDescent="0.3">
      <c r="G546" s="6">
        <v>542</v>
      </c>
      <c r="H546" s="74">
        <v>-164.96821051097825</v>
      </c>
    </row>
    <row r="547" spans="7:8" x14ac:dyDescent="0.3">
      <c r="G547" s="6">
        <v>543</v>
      </c>
      <c r="H547" s="74">
        <v>2329.9931198721283</v>
      </c>
    </row>
    <row r="548" spans="7:8" x14ac:dyDescent="0.3">
      <c r="G548" s="6">
        <v>544</v>
      </c>
      <c r="H548" s="74">
        <v>2116.6543577873022</v>
      </c>
    </row>
    <row r="549" spans="7:8" x14ac:dyDescent="0.3">
      <c r="G549" s="6">
        <v>545</v>
      </c>
      <c r="H549" s="74">
        <v>2479.0754929389859</v>
      </c>
    </row>
    <row r="550" spans="7:8" x14ac:dyDescent="0.3">
      <c r="G550" s="6">
        <v>546</v>
      </c>
      <c r="H550" s="74">
        <v>92.354001164436497</v>
      </c>
    </row>
    <row r="551" spans="7:8" x14ac:dyDescent="0.3">
      <c r="G551" s="6">
        <v>547</v>
      </c>
      <c r="H551" s="74">
        <v>1336.3774318412518</v>
      </c>
    </row>
    <row r="552" spans="7:8" x14ac:dyDescent="0.3">
      <c r="G552" s="6">
        <v>548</v>
      </c>
      <c r="H552" s="74">
        <v>1945.3583278926428</v>
      </c>
    </row>
    <row r="553" spans="7:8" x14ac:dyDescent="0.3">
      <c r="G553" s="6">
        <v>549</v>
      </c>
      <c r="H553" s="74">
        <v>1005.9517480090791</v>
      </c>
    </row>
    <row r="554" spans="7:8" x14ac:dyDescent="0.3">
      <c r="G554" s="6">
        <v>550</v>
      </c>
      <c r="H554" s="74">
        <v>419.22529434402702</v>
      </c>
    </row>
    <row r="555" spans="7:8" x14ac:dyDescent="0.3">
      <c r="G555" s="6">
        <v>551</v>
      </c>
      <c r="H555" s="74">
        <v>1570.6377365142723</v>
      </c>
    </row>
    <row r="556" spans="7:8" x14ac:dyDescent="0.3">
      <c r="G556" s="6">
        <v>552</v>
      </c>
      <c r="H556" s="74">
        <v>1116.6233248663304</v>
      </c>
    </row>
    <row r="557" spans="7:8" x14ac:dyDescent="0.3">
      <c r="G557" s="6">
        <v>553</v>
      </c>
      <c r="H557" s="74">
        <v>738.48843740380846</v>
      </c>
    </row>
    <row r="558" spans="7:8" x14ac:dyDescent="0.3">
      <c r="G558" s="6">
        <v>554</v>
      </c>
      <c r="H558" s="74">
        <v>784.05470532613026</v>
      </c>
    </row>
    <row r="559" spans="7:8" x14ac:dyDescent="0.3">
      <c r="G559" s="6">
        <v>555</v>
      </c>
      <c r="H559" s="74">
        <v>902.871228180721</v>
      </c>
    </row>
    <row r="560" spans="7:8" x14ac:dyDescent="0.3">
      <c r="G560" s="6">
        <v>556</v>
      </c>
      <c r="H560" s="74">
        <v>1499.3148624636999</v>
      </c>
    </row>
    <row r="561" spans="7:8" x14ac:dyDescent="0.3">
      <c r="G561" s="6">
        <v>557</v>
      </c>
      <c r="H561" s="74">
        <v>1511.749045002148</v>
      </c>
    </row>
    <row r="562" spans="7:8" x14ac:dyDescent="0.3">
      <c r="G562" s="6">
        <v>558</v>
      </c>
      <c r="H562" s="74">
        <v>-146.0517674906115</v>
      </c>
    </row>
    <row r="563" spans="7:8" x14ac:dyDescent="0.3">
      <c r="G563" s="6">
        <v>559</v>
      </c>
      <c r="H563" s="74">
        <v>1087.5634787724759</v>
      </c>
    </row>
    <row r="564" spans="7:8" x14ac:dyDescent="0.3">
      <c r="G564" s="6">
        <v>560</v>
      </c>
      <c r="H564" s="74">
        <v>2370.0230002626527</v>
      </c>
    </row>
    <row r="565" spans="7:8" x14ac:dyDescent="0.3">
      <c r="G565" s="6">
        <v>561</v>
      </c>
      <c r="H565" s="74">
        <v>1053.2445354457211</v>
      </c>
    </row>
    <row r="566" spans="7:8" x14ac:dyDescent="0.3">
      <c r="G566" s="6">
        <v>562</v>
      </c>
      <c r="H566" s="74">
        <v>3311.52809436702</v>
      </c>
    </row>
    <row r="567" spans="7:8" x14ac:dyDescent="0.3">
      <c r="G567" s="6">
        <v>563</v>
      </c>
      <c r="H567" s="74">
        <v>2195.3635468624848</v>
      </c>
    </row>
    <row r="568" spans="7:8" x14ac:dyDescent="0.3">
      <c r="G568" s="6">
        <v>564</v>
      </c>
      <c r="H568" s="74">
        <v>1391.444913809124</v>
      </c>
    </row>
    <row r="569" spans="7:8" x14ac:dyDescent="0.3">
      <c r="G569" s="6">
        <v>565</v>
      </c>
      <c r="H569" s="74">
        <v>589.1507529644432</v>
      </c>
    </row>
    <row r="570" spans="7:8" x14ac:dyDescent="0.3">
      <c r="G570" s="6">
        <v>566</v>
      </c>
      <c r="H570" s="74">
        <v>809.97988819433715</v>
      </c>
    </row>
    <row r="571" spans="7:8" x14ac:dyDescent="0.3">
      <c r="G571" s="6">
        <v>567</v>
      </c>
      <c r="H571" s="74">
        <v>-807.43868924771709</v>
      </c>
    </row>
    <row r="572" spans="7:8" x14ac:dyDescent="0.3">
      <c r="G572" s="6">
        <v>568</v>
      </c>
      <c r="H572" s="74">
        <v>2866.7416792033323</v>
      </c>
    </row>
    <row r="573" spans="7:8" x14ac:dyDescent="0.3">
      <c r="G573" s="6">
        <v>569</v>
      </c>
      <c r="H573" s="74">
        <v>536.31062883942309</v>
      </c>
    </row>
    <row r="574" spans="7:8" x14ac:dyDescent="0.3">
      <c r="G574" s="6">
        <v>570</v>
      </c>
      <c r="H574" s="74">
        <v>382.5712126453256</v>
      </c>
    </row>
    <row r="575" spans="7:8" x14ac:dyDescent="0.3">
      <c r="G575" s="6">
        <v>571</v>
      </c>
      <c r="H575" s="74">
        <v>-478.77421558212859</v>
      </c>
    </row>
    <row r="576" spans="7:8" x14ac:dyDescent="0.3">
      <c r="G576" s="6">
        <v>572</v>
      </c>
      <c r="H576" s="74">
        <v>3850.5686894782079</v>
      </c>
    </row>
    <row r="577" spans="7:8" x14ac:dyDescent="0.3">
      <c r="G577" s="6">
        <v>573</v>
      </c>
      <c r="H577" s="74">
        <v>3196.6520329387258</v>
      </c>
    </row>
    <row r="578" spans="7:8" x14ac:dyDescent="0.3">
      <c r="G578" s="6">
        <v>574</v>
      </c>
      <c r="H578" s="74">
        <v>-884.27199287909548</v>
      </c>
    </row>
    <row r="579" spans="7:8" x14ac:dyDescent="0.3">
      <c r="G579" s="6">
        <v>575</v>
      </c>
      <c r="H579" s="74">
        <v>-892.44577662819972</v>
      </c>
    </row>
    <row r="580" spans="7:8" x14ac:dyDescent="0.3">
      <c r="G580" s="6">
        <v>576</v>
      </c>
      <c r="H580" s="74">
        <v>1615.5300154315159</v>
      </c>
    </row>
    <row r="581" spans="7:8" x14ac:dyDescent="0.3">
      <c r="G581" s="6">
        <v>577</v>
      </c>
      <c r="H581" s="74">
        <v>1065.1452848191152</v>
      </c>
    </row>
    <row r="582" spans="7:8" x14ac:dyDescent="0.3">
      <c r="G582" s="6">
        <v>578</v>
      </c>
      <c r="H582" s="74">
        <v>808.17867000373315</v>
      </c>
    </row>
    <row r="583" spans="7:8" x14ac:dyDescent="0.3">
      <c r="G583" s="6">
        <v>579</v>
      </c>
      <c r="H583" s="74">
        <v>1143.9460612520693</v>
      </c>
    </row>
    <row r="584" spans="7:8" x14ac:dyDescent="0.3">
      <c r="G584" s="6">
        <v>580</v>
      </c>
      <c r="H584" s="74">
        <v>1402.3387556962614</v>
      </c>
    </row>
    <row r="585" spans="7:8" x14ac:dyDescent="0.3">
      <c r="G585" s="6">
        <v>581</v>
      </c>
      <c r="H585" s="74">
        <v>1993.6292225335235</v>
      </c>
    </row>
    <row r="586" spans="7:8" x14ac:dyDescent="0.3">
      <c r="G586" s="6">
        <v>582</v>
      </c>
      <c r="H586" s="74">
        <v>-1631.2963032995999</v>
      </c>
    </row>
    <row r="587" spans="7:8" x14ac:dyDescent="0.3">
      <c r="G587" s="6">
        <v>583</v>
      </c>
      <c r="H587" s="74">
        <v>2296.7963036530773</v>
      </c>
    </row>
    <row r="588" spans="7:8" x14ac:dyDescent="0.3">
      <c r="G588" s="6">
        <v>584</v>
      </c>
      <c r="H588" s="74">
        <v>2509.70396320691</v>
      </c>
    </row>
    <row r="589" spans="7:8" x14ac:dyDescent="0.3">
      <c r="G589" s="6">
        <v>585</v>
      </c>
      <c r="H589" s="74">
        <v>5100.7214264055756</v>
      </c>
    </row>
    <row r="590" spans="7:8" x14ac:dyDescent="0.3">
      <c r="G590" s="6">
        <v>586</v>
      </c>
      <c r="H590" s="74">
        <v>3773.4991526267331</v>
      </c>
    </row>
    <row r="591" spans="7:8" x14ac:dyDescent="0.3">
      <c r="G591" s="6">
        <v>587</v>
      </c>
      <c r="H591" s="74">
        <v>3957.1008443532564</v>
      </c>
    </row>
    <row r="592" spans="7:8" x14ac:dyDescent="0.3">
      <c r="G592" s="6">
        <v>588</v>
      </c>
      <c r="H592" s="74">
        <v>1370.3614557768099</v>
      </c>
    </row>
    <row r="593" spans="7:8" x14ac:dyDescent="0.3">
      <c r="G593" s="6">
        <v>589</v>
      </c>
      <c r="H593" s="74">
        <v>3941.836092862342</v>
      </c>
    </row>
    <row r="594" spans="7:8" x14ac:dyDescent="0.3">
      <c r="G594" s="6">
        <v>590</v>
      </c>
      <c r="H594" s="74">
        <v>2202.8663627166789</v>
      </c>
    </row>
    <row r="595" spans="7:8" x14ac:dyDescent="0.3">
      <c r="G595" s="6">
        <v>591</v>
      </c>
      <c r="H595" s="74">
        <v>4292.5553952777009</v>
      </c>
    </row>
    <row r="596" spans="7:8" x14ac:dyDescent="0.3">
      <c r="G596" s="6">
        <v>592</v>
      </c>
      <c r="H596" s="74">
        <v>2285.126262354579</v>
      </c>
    </row>
    <row r="597" spans="7:8" x14ac:dyDescent="0.3">
      <c r="G597" s="6">
        <v>593</v>
      </c>
      <c r="H597" s="74">
        <v>1398.2468229788335</v>
      </c>
    </row>
    <row r="598" spans="7:8" x14ac:dyDescent="0.3">
      <c r="G598" s="6">
        <v>594</v>
      </c>
      <c r="H598" s="74">
        <v>1024.0266985235783</v>
      </c>
    </row>
    <row r="599" spans="7:8" x14ac:dyDescent="0.3">
      <c r="G599" s="6">
        <v>595</v>
      </c>
      <c r="H599" s="74">
        <v>936.31313305479944</v>
      </c>
    </row>
    <row r="600" spans="7:8" x14ac:dyDescent="0.3">
      <c r="G600" s="6">
        <v>596</v>
      </c>
      <c r="H600" s="74">
        <v>2235.6883669323588</v>
      </c>
    </row>
    <row r="601" spans="7:8" x14ac:dyDescent="0.3">
      <c r="G601" s="6">
        <v>597</v>
      </c>
      <c r="H601" s="74">
        <v>229.6566787303347</v>
      </c>
    </row>
    <row r="602" spans="7:8" x14ac:dyDescent="0.3">
      <c r="G602" s="6">
        <v>598</v>
      </c>
      <c r="H602" s="74">
        <v>286.14144346495283</v>
      </c>
    </row>
    <row r="603" spans="7:8" x14ac:dyDescent="0.3">
      <c r="G603" s="6">
        <v>599</v>
      </c>
      <c r="H603" s="74">
        <v>2612.0999696986673</v>
      </c>
    </row>
    <row r="604" spans="7:8" x14ac:dyDescent="0.3">
      <c r="G604" s="6">
        <v>600</v>
      </c>
      <c r="H604" s="74">
        <v>2548.3150979532543</v>
      </c>
    </row>
    <row r="605" spans="7:8" x14ac:dyDescent="0.3">
      <c r="G605" s="6">
        <v>601</v>
      </c>
      <c r="H605" s="74">
        <v>-838.12613607271612</v>
      </c>
    </row>
    <row r="606" spans="7:8" x14ac:dyDescent="0.3">
      <c r="G606" s="6">
        <v>602</v>
      </c>
      <c r="H606" s="74">
        <v>2441.3444204600273</v>
      </c>
    </row>
    <row r="607" spans="7:8" x14ac:dyDescent="0.3">
      <c r="G607" s="6">
        <v>603</v>
      </c>
      <c r="H607" s="74">
        <v>552.11791626766217</v>
      </c>
    </row>
    <row r="608" spans="7:8" x14ac:dyDescent="0.3">
      <c r="G608" s="6">
        <v>604</v>
      </c>
      <c r="H608" s="74">
        <v>1739.3898251257722</v>
      </c>
    </row>
    <row r="609" spans="7:8" x14ac:dyDescent="0.3">
      <c r="G609" s="6">
        <v>605</v>
      </c>
      <c r="H609" s="74">
        <v>110.34913960957127</v>
      </c>
    </row>
    <row r="610" spans="7:8" x14ac:dyDescent="0.3">
      <c r="G610" s="6">
        <v>606</v>
      </c>
      <c r="H610" s="74">
        <v>327.48320507244864</v>
      </c>
    </row>
    <row r="611" spans="7:8" x14ac:dyDescent="0.3">
      <c r="G611" s="6">
        <v>607</v>
      </c>
      <c r="H611" s="74">
        <v>1372.7845850339761</v>
      </c>
    </row>
    <row r="612" spans="7:8" x14ac:dyDescent="0.3">
      <c r="G612" s="6">
        <v>608</v>
      </c>
      <c r="H612" s="74">
        <v>2595.3991153027305</v>
      </c>
    </row>
    <row r="613" spans="7:8" x14ac:dyDescent="0.3">
      <c r="G613" s="6">
        <v>609</v>
      </c>
      <c r="H613" s="74">
        <v>1927.4877902336243</v>
      </c>
    </row>
    <row r="614" spans="7:8" x14ac:dyDescent="0.3">
      <c r="G614" s="6">
        <v>610</v>
      </c>
      <c r="H614" s="74">
        <v>1232.9607274510831</v>
      </c>
    </row>
    <row r="615" spans="7:8" x14ac:dyDescent="0.3">
      <c r="G615" s="6">
        <v>611</v>
      </c>
      <c r="H615" s="74">
        <v>1361.0777317514039</v>
      </c>
    </row>
    <row r="616" spans="7:8" x14ac:dyDescent="0.3">
      <c r="G616" s="6">
        <v>612</v>
      </c>
      <c r="H616" s="74">
        <v>2774.5341104869121</v>
      </c>
    </row>
    <row r="617" spans="7:8" x14ac:dyDescent="0.3">
      <c r="G617" s="6">
        <v>613</v>
      </c>
      <c r="H617" s="74">
        <v>1219.0187516512781</v>
      </c>
    </row>
    <row r="618" spans="7:8" x14ac:dyDescent="0.3">
      <c r="G618" s="6">
        <v>614</v>
      </c>
      <c r="H618" s="74">
        <v>2558.0439399648717</v>
      </c>
    </row>
    <row r="619" spans="7:8" x14ac:dyDescent="0.3">
      <c r="G619" s="6">
        <v>615</v>
      </c>
      <c r="H619" s="74">
        <v>2201.6488366999329</v>
      </c>
    </row>
    <row r="620" spans="7:8" x14ac:dyDescent="0.3">
      <c r="G620" s="6">
        <v>616</v>
      </c>
      <c r="H620" s="74">
        <v>4079.0659095223268</v>
      </c>
    </row>
    <row r="621" spans="7:8" x14ac:dyDescent="0.3">
      <c r="G621" s="6">
        <v>617</v>
      </c>
      <c r="H621" s="74">
        <v>1547.4234854147389</v>
      </c>
    </row>
    <row r="622" spans="7:8" x14ac:dyDescent="0.3">
      <c r="G622" s="6">
        <v>618</v>
      </c>
      <c r="H622" s="74">
        <v>-407.85866367830386</v>
      </c>
    </row>
    <row r="623" spans="7:8" x14ac:dyDescent="0.3">
      <c r="G623" s="6">
        <v>619</v>
      </c>
      <c r="H623" s="74">
        <v>3268.9893330170435</v>
      </c>
    </row>
    <row r="624" spans="7:8" x14ac:dyDescent="0.3">
      <c r="G624" s="6">
        <v>620</v>
      </c>
      <c r="H624" s="74">
        <v>2812.6688798151481</v>
      </c>
    </row>
    <row r="625" spans="7:8" x14ac:dyDescent="0.3">
      <c r="G625" s="6">
        <v>621</v>
      </c>
      <c r="H625" s="74">
        <v>1051.3131265808329</v>
      </c>
    </row>
    <row r="626" spans="7:8" x14ac:dyDescent="0.3">
      <c r="G626" s="6">
        <v>622</v>
      </c>
      <c r="H626" s="74">
        <v>223.06208932609266</v>
      </c>
    </row>
    <row r="627" spans="7:8" x14ac:dyDescent="0.3">
      <c r="G627" s="6">
        <v>623</v>
      </c>
      <c r="H627" s="74">
        <v>1954.322219040899</v>
      </c>
    </row>
    <row r="628" spans="7:8" x14ac:dyDescent="0.3">
      <c r="G628" s="6">
        <v>624</v>
      </c>
      <c r="H628" s="74">
        <v>3796.2645627965126</v>
      </c>
    </row>
    <row r="629" spans="7:8" x14ac:dyDescent="0.3">
      <c r="G629" s="6">
        <v>625</v>
      </c>
      <c r="H629" s="74">
        <v>3201.7783437848102</v>
      </c>
    </row>
    <row r="630" spans="7:8" x14ac:dyDescent="0.3">
      <c r="G630" s="6">
        <v>626</v>
      </c>
      <c r="H630" s="74">
        <v>1360.2660104001459</v>
      </c>
    </row>
    <row r="631" spans="7:8" x14ac:dyDescent="0.3">
      <c r="G631" s="6">
        <v>627</v>
      </c>
      <c r="H631" s="74">
        <v>794.59840622293814</v>
      </c>
    </row>
    <row r="632" spans="7:8" x14ac:dyDescent="0.3">
      <c r="G632" s="6">
        <v>628</v>
      </c>
      <c r="H632" s="74">
        <v>403.59836028213175</v>
      </c>
    </row>
    <row r="633" spans="7:8" x14ac:dyDescent="0.3">
      <c r="G633" s="6">
        <v>629</v>
      </c>
      <c r="H633" s="74">
        <v>-598.75928376070431</v>
      </c>
    </row>
    <row r="634" spans="7:8" x14ac:dyDescent="0.3">
      <c r="G634" s="6">
        <v>630</v>
      </c>
      <c r="H634" s="74">
        <v>2257.3335663077601</v>
      </c>
    </row>
    <row r="635" spans="7:8" x14ac:dyDescent="0.3">
      <c r="G635" s="6">
        <v>631</v>
      </c>
      <c r="H635" s="74">
        <v>2568.4385683966029</v>
      </c>
    </row>
    <row r="636" spans="7:8" x14ac:dyDescent="0.3">
      <c r="G636" s="6">
        <v>632</v>
      </c>
      <c r="H636" s="74">
        <v>1291.2135541280409</v>
      </c>
    </row>
    <row r="637" spans="7:8" x14ac:dyDescent="0.3">
      <c r="G637" s="6">
        <v>633</v>
      </c>
      <c r="H637" s="74">
        <v>1019.2093042798457</v>
      </c>
    </row>
    <row r="638" spans="7:8" x14ac:dyDescent="0.3">
      <c r="G638" s="6">
        <v>634</v>
      </c>
      <c r="H638" s="74">
        <v>4136.8395323201948</v>
      </c>
    </row>
    <row r="639" spans="7:8" x14ac:dyDescent="0.3">
      <c r="G639" s="6">
        <v>635</v>
      </c>
      <c r="H639" s="74">
        <v>1750.7752325554168</v>
      </c>
    </row>
    <row r="640" spans="7:8" x14ac:dyDescent="0.3">
      <c r="G640" s="6">
        <v>636</v>
      </c>
      <c r="H640" s="74">
        <v>3211.7984359341144</v>
      </c>
    </row>
    <row r="641" spans="7:8" x14ac:dyDescent="0.3">
      <c r="G641" s="6">
        <v>637</v>
      </c>
      <c r="H641" s="74">
        <v>1173.908058425591</v>
      </c>
    </row>
    <row r="642" spans="7:8" x14ac:dyDescent="0.3">
      <c r="G642" s="6">
        <v>638</v>
      </c>
      <c r="H642" s="74">
        <v>2382.0139257260435</v>
      </c>
    </row>
    <row r="643" spans="7:8" x14ac:dyDescent="0.3">
      <c r="G643" s="6">
        <v>639</v>
      </c>
      <c r="H643" s="74">
        <v>497.68184605983953</v>
      </c>
    </row>
    <row r="644" spans="7:8" x14ac:dyDescent="0.3">
      <c r="G644" s="6">
        <v>640</v>
      </c>
      <c r="H644" s="74">
        <v>186.59072423827394</v>
      </c>
    </row>
    <row r="645" spans="7:8" x14ac:dyDescent="0.3">
      <c r="G645" s="6">
        <v>641</v>
      </c>
      <c r="H645" s="74">
        <v>343.82079005716759</v>
      </c>
    </row>
    <row r="646" spans="7:8" x14ac:dyDescent="0.3">
      <c r="G646" s="6">
        <v>642</v>
      </c>
      <c r="H646" s="74">
        <v>467.86312321259732</v>
      </c>
    </row>
    <row r="647" spans="7:8" x14ac:dyDescent="0.3">
      <c r="G647" s="6">
        <v>643</v>
      </c>
      <c r="H647" s="74">
        <v>1327.2921146932304</v>
      </c>
    </row>
    <row r="648" spans="7:8" x14ac:dyDescent="0.3">
      <c r="G648" s="6">
        <v>644</v>
      </c>
      <c r="H648" s="74">
        <v>2193.7046357789814</v>
      </c>
    </row>
    <row r="649" spans="7:8" x14ac:dyDescent="0.3">
      <c r="G649" s="6">
        <v>645</v>
      </c>
      <c r="H649" s="74">
        <v>1413.1812804747763</v>
      </c>
    </row>
    <row r="650" spans="7:8" x14ac:dyDescent="0.3">
      <c r="G650" s="6">
        <v>646</v>
      </c>
      <c r="H650" s="74">
        <v>-473.43852082843517</v>
      </c>
    </row>
    <row r="651" spans="7:8" x14ac:dyDescent="0.3">
      <c r="G651" s="6">
        <v>647</v>
      </c>
      <c r="H651" s="74">
        <v>1595.2751743791875</v>
      </c>
    </row>
    <row r="652" spans="7:8" x14ac:dyDescent="0.3">
      <c r="G652" s="6">
        <v>648</v>
      </c>
      <c r="H652" s="74">
        <v>376.06701967071496</v>
      </c>
    </row>
    <row r="653" spans="7:8" x14ac:dyDescent="0.3">
      <c r="G653" s="6">
        <v>649</v>
      </c>
      <c r="H653" s="74">
        <v>1369.8858187888964</v>
      </c>
    </row>
    <row r="654" spans="7:8" x14ac:dyDescent="0.3">
      <c r="G654" s="6">
        <v>650</v>
      </c>
      <c r="H654" s="74">
        <v>1826.2071367494852</v>
      </c>
    </row>
    <row r="655" spans="7:8" x14ac:dyDescent="0.3">
      <c r="G655" s="6">
        <v>651</v>
      </c>
      <c r="H655" s="74">
        <v>2532.8992097651635</v>
      </c>
    </row>
    <row r="656" spans="7:8" x14ac:dyDescent="0.3">
      <c r="G656" s="6">
        <v>652</v>
      </c>
      <c r="H656" s="74">
        <v>-573.63727337164187</v>
      </c>
    </row>
    <row r="657" spans="7:8" x14ac:dyDescent="0.3">
      <c r="G657" s="6">
        <v>653</v>
      </c>
      <c r="H657" s="74">
        <v>2121.7789078172573</v>
      </c>
    </row>
    <row r="658" spans="7:8" x14ac:dyDescent="0.3">
      <c r="G658" s="6">
        <v>654</v>
      </c>
      <c r="H658" s="74">
        <v>3024.8965986887665</v>
      </c>
    </row>
    <row r="659" spans="7:8" x14ac:dyDescent="0.3">
      <c r="G659" s="6">
        <v>655</v>
      </c>
      <c r="H659" s="74">
        <v>3592.4887355810993</v>
      </c>
    </row>
    <row r="660" spans="7:8" x14ac:dyDescent="0.3">
      <c r="G660" s="6">
        <v>656</v>
      </c>
      <c r="H660" s="74">
        <v>1756.1971380189707</v>
      </c>
    </row>
    <row r="661" spans="7:8" x14ac:dyDescent="0.3">
      <c r="G661" s="6">
        <v>657</v>
      </c>
      <c r="H661" s="74">
        <v>5267.0855501155347</v>
      </c>
    </row>
    <row r="662" spans="7:8" x14ac:dyDescent="0.3">
      <c r="G662" s="6">
        <v>658</v>
      </c>
      <c r="H662" s="74">
        <v>1345.8915801063281</v>
      </c>
    </row>
    <row r="663" spans="7:8" x14ac:dyDescent="0.3">
      <c r="G663" s="6">
        <v>659</v>
      </c>
      <c r="H663" s="74">
        <v>1042.7657432671474</v>
      </c>
    </row>
    <row r="664" spans="7:8" x14ac:dyDescent="0.3">
      <c r="G664" s="6">
        <v>660</v>
      </c>
      <c r="H664" s="74">
        <v>-97.628294495238876</v>
      </c>
    </row>
    <row r="665" spans="7:8" x14ac:dyDescent="0.3">
      <c r="G665" s="6">
        <v>661</v>
      </c>
      <c r="H665" s="74">
        <v>4218.2126226392766</v>
      </c>
    </row>
    <row r="666" spans="7:8" x14ac:dyDescent="0.3">
      <c r="G666" s="6">
        <v>662</v>
      </c>
      <c r="H666" s="74">
        <v>2304.1550458640086</v>
      </c>
    </row>
    <row r="667" spans="7:8" x14ac:dyDescent="0.3">
      <c r="G667" s="6">
        <v>663</v>
      </c>
      <c r="H667" s="74">
        <v>5326.514891840231</v>
      </c>
    </row>
    <row r="668" spans="7:8" x14ac:dyDescent="0.3">
      <c r="G668" s="6">
        <v>664</v>
      </c>
      <c r="H668" s="74">
        <v>1559.0003933658627</v>
      </c>
    </row>
    <row r="669" spans="7:8" x14ac:dyDescent="0.3">
      <c r="G669" s="6">
        <v>665</v>
      </c>
      <c r="H669" s="74">
        <v>1200.5983334264151</v>
      </c>
    </row>
    <row r="670" spans="7:8" x14ac:dyDescent="0.3">
      <c r="G670" s="6">
        <v>666</v>
      </c>
      <c r="H670" s="74">
        <v>649.04464794331773</v>
      </c>
    </row>
    <row r="671" spans="7:8" x14ac:dyDescent="0.3">
      <c r="G671" s="6">
        <v>667</v>
      </c>
      <c r="H671" s="74">
        <v>3116.3221637583461</v>
      </c>
    </row>
    <row r="672" spans="7:8" x14ac:dyDescent="0.3">
      <c r="G672" s="6">
        <v>668</v>
      </c>
      <c r="H672" s="74">
        <v>1903.0533949237677</v>
      </c>
    </row>
    <row r="673" spans="7:8" x14ac:dyDescent="0.3">
      <c r="G673" s="6">
        <v>669</v>
      </c>
      <c r="H673" s="74">
        <v>2061.4811044675807</v>
      </c>
    </row>
    <row r="674" spans="7:8" x14ac:dyDescent="0.3">
      <c r="G674" s="6">
        <v>670</v>
      </c>
      <c r="H674" s="74">
        <v>3011.0293896503999</v>
      </c>
    </row>
    <row r="675" spans="7:8" x14ac:dyDescent="0.3">
      <c r="G675" s="6">
        <v>671</v>
      </c>
      <c r="H675" s="74">
        <v>-269.63653589335019</v>
      </c>
    </row>
    <row r="676" spans="7:8" x14ac:dyDescent="0.3">
      <c r="G676" s="6">
        <v>672</v>
      </c>
      <c r="H676" s="74">
        <v>5135.8315841209815</v>
      </c>
    </row>
    <row r="677" spans="7:8" x14ac:dyDescent="0.3">
      <c r="G677" s="6">
        <v>673</v>
      </c>
      <c r="H677" s="74">
        <v>3645.0177268162497</v>
      </c>
    </row>
    <row r="678" spans="7:8" x14ac:dyDescent="0.3">
      <c r="G678" s="6">
        <v>674</v>
      </c>
      <c r="H678" s="74">
        <v>1656.5176563383723</v>
      </c>
    </row>
    <row r="679" spans="7:8" x14ac:dyDescent="0.3">
      <c r="G679" s="6">
        <v>675</v>
      </c>
      <c r="H679" s="74">
        <v>575.60962133682824</v>
      </c>
    </row>
    <row r="680" spans="7:8" x14ac:dyDescent="0.3">
      <c r="G680" s="6">
        <v>676</v>
      </c>
      <c r="H680" s="74">
        <v>-43.678614121441385</v>
      </c>
    </row>
    <row r="681" spans="7:8" x14ac:dyDescent="0.3">
      <c r="G681" s="6">
        <v>677</v>
      </c>
      <c r="H681" s="74">
        <v>2008.3881229742778</v>
      </c>
    </row>
    <row r="682" spans="7:8" x14ac:dyDescent="0.3">
      <c r="G682" s="6">
        <v>678</v>
      </c>
      <c r="H682" s="74">
        <v>-289.12122143961267</v>
      </c>
    </row>
    <row r="683" spans="7:8" x14ac:dyDescent="0.3">
      <c r="G683" s="6">
        <v>679</v>
      </c>
      <c r="H683" s="74">
        <v>-496.20081746273723</v>
      </c>
    </row>
    <row r="684" spans="7:8" x14ac:dyDescent="0.3">
      <c r="G684" s="6">
        <v>680</v>
      </c>
      <c r="H684" s="74">
        <v>1864.3218474552266</v>
      </c>
    </row>
    <row r="685" spans="7:8" x14ac:dyDescent="0.3">
      <c r="G685" s="6">
        <v>681</v>
      </c>
      <c r="H685" s="74">
        <v>714.97969600054796</v>
      </c>
    </row>
    <row r="686" spans="7:8" x14ac:dyDescent="0.3">
      <c r="G686" s="6">
        <v>682</v>
      </c>
      <c r="H686" s="74">
        <v>3770.8616388550436</v>
      </c>
    </row>
    <row r="687" spans="7:8" x14ac:dyDescent="0.3">
      <c r="G687" s="6">
        <v>683</v>
      </c>
      <c r="H687" s="74">
        <v>1013.5327879796806</v>
      </c>
    </row>
    <row r="688" spans="7:8" x14ac:dyDescent="0.3">
      <c r="G688" s="6">
        <v>684</v>
      </c>
      <c r="H688" s="74">
        <v>2352.9086124885334</v>
      </c>
    </row>
    <row r="689" spans="7:8" x14ac:dyDescent="0.3">
      <c r="G689" s="6">
        <v>685</v>
      </c>
      <c r="H689" s="74">
        <v>3265.0265678475375</v>
      </c>
    </row>
    <row r="690" spans="7:8" x14ac:dyDescent="0.3">
      <c r="G690" s="6">
        <v>686</v>
      </c>
      <c r="H690" s="74">
        <v>1938.8512432997018</v>
      </c>
    </row>
    <row r="691" spans="7:8" x14ac:dyDescent="0.3">
      <c r="G691" s="6">
        <v>687</v>
      </c>
      <c r="H691" s="74">
        <v>1620.0490196235733</v>
      </c>
    </row>
    <row r="692" spans="7:8" x14ac:dyDescent="0.3">
      <c r="G692" s="6">
        <v>688</v>
      </c>
      <c r="H692" s="74">
        <v>3595.6492954015166</v>
      </c>
    </row>
    <row r="693" spans="7:8" x14ac:dyDescent="0.3">
      <c r="G693" s="6">
        <v>689</v>
      </c>
      <c r="H693" s="74">
        <v>3728.2635294211805</v>
      </c>
    </row>
    <row r="694" spans="7:8" x14ac:dyDescent="0.3">
      <c r="G694" s="6">
        <v>690</v>
      </c>
      <c r="H694" s="74">
        <v>2785.7722010657121</v>
      </c>
    </row>
    <row r="695" spans="7:8" x14ac:dyDescent="0.3">
      <c r="G695" s="6">
        <v>691</v>
      </c>
      <c r="H695" s="74">
        <v>2813.9884078573323</v>
      </c>
    </row>
    <row r="696" spans="7:8" x14ac:dyDescent="0.3">
      <c r="G696" s="6">
        <v>692</v>
      </c>
      <c r="H696" s="74">
        <v>967.97815741613942</v>
      </c>
    </row>
    <row r="697" spans="7:8" x14ac:dyDescent="0.3">
      <c r="G697" s="6">
        <v>693</v>
      </c>
      <c r="H697" s="74">
        <v>-304.91535988327655</v>
      </c>
    </row>
    <row r="698" spans="7:8" x14ac:dyDescent="0.3">
      <c r="G698" s="6">
        <v>694</v>
      </c>
      <c r="H698" s="74">
        <v>1449.3294997035944</v>
      </c>
    </row>
    <row r="699" spans="7:8" x14ac:dyDescent="0.3">
      <c r="G699" s="6">
        <v>695</v>
      </c>
      <c r="H699" s="74">
        <v>1741.3165626140021</v>
      </c>
    </row>
    <row r="700" spans="7:8" x14ac:dyDescent="0.3">
      <c r="G700" s="6">
        <v>696</v>
      </c>
      <c r="H700" s="74">
        <v>1932.46484678926</v>
      </c>
    </row>
    <row r="701" spans="7:8" x14ac:dyDescent="0.3">
      <c r="G701" s="6">
        <v>697</v>
      </c>
      <c r="H701" s="74">
        <v>617.09673942281188</v>
      </c>
    </row>
    <row r="702" spans="7:8" x14ac:dyDescent="0.3">
      <c r="G702" s="6">
        <v>698</v>
      </c>
      <c r="H702" s="74">
        <v>-88.182495383755125</v>
      </c>
    </row>
    <row r="703" spans="7:8" x14ac:dyDescent="0.3">
      <c r="G703" s="6">
        <v>699</v>
      </c>
      <c r="H703" s="74">
        <v>1367.5693116408604</v>
      </c>
    </row>
    <row r="704" spans="7:8" x14ac:dyDescent="0.3">
      <c r="G704" s="6">
        <v>700</v>
      </c>
      <c r="H704" s="74">
        <v>1204.810279799852</v>
      </c>
    </row>
    <row r="705" spans="7:8" x14ac:dyDescent="0.3">
      <c r="G705" s="6">
        <v>701</v>
      </c>
      <c r="H705" s="74">
        <v>2316.6560699397451</v>
      </c>
    </row>
    <row r="706" spans="7:8" x14ac:dyDescent="0.3">
      <c r="G706" s="6">
        <v>702</v>
      </c>
      <c r="H706" s="74">
        <v>2127.8333636618286</v>
      </c>
    </row>
    <row r="707" spans="7:8" x14ac:dyDescent="0.3">
      <c r="G707" s="6">
        <v>703</v>
      </c>
      <c r="H707" s="74">
        <v>-100.8753252944831</v>
      </c>
    </row>
    <row r="708" spans="7:8" x14ac:dyDescent="0.3">
      <c r="G708" s="6">
        <v>704</v>
      </c>
      <c r="H708" s="74">
        <v>1389.5928875405598</v>
      </c>
    </row>
    <row r="709" spans="7:8" x14ac:dyDescent="0.3">
      <c r="G709" s="6">
        <v>705</v>
      </c>
      <c r="H709" s="74">
        <v>1201.1264827778311</v>
      </c>
    </row>
    <row r="710" spans="7:8" x14ac:dyDescent="0.3">
      <c r="G710" s="6">
        <v>706</v>
      </c>
      <c r="H710" s="74">
        <v>289.23140783214171</v>
      </c>
    </row>
    <row r="711" spans="7:8" x14ac:dyDescent="0.3">
      <c r="G711" s="6">
        <v>707</v>
      </c>
      <c r="H711" s="74">
        <v>1448.1471203233546</v>
      </c>
    </row>
    <row r="712" spans="7:8" x14ac:dyDescent="0.3">
      <c r="G712" s="6">
        <v>708</v>
      </c>
      <c r="H712" s="74">
        <v>2381.0528940549602</v>
      </c>
    </row>
    <row r="713" spans="7:8" x14ac:dyDescent="0.3">
      <c r="G713" s="6">
        <v>709</v>
      </c>
      <c r="H713" s="74">
        <v>556.846818825892</v>
      </c>
    </row>
    <row r="714" spans="7:8" x14ac:dyDescent="0.3">
      <c r="G714" s="6">
        <v>710</v>
      </c>
      <c r="H714" s="74">
        <v>2991.0834869063515</v>
      </c>
    </row>
    <row r="715" spans="7:8" x14ac:dyDescent="0.3">
      <c r="G715" s="6">
        <v>711</v>
      </c>
      <c r="H715" s="74">
        <v>3902.3007707035613</v>
      </c>
    </row>
    <row r="716" spans="7:8" x14ac:dyDescent="0.3">
      <c r="G716" s="6">
        <v>712</v>
      </c>
      <c r="H716" s="74">
        <v>3145.3581706734922</v>
      </c>
    </row>
    <row r="717" spans="7:8" x14ac:dyDescent="0.3">
      <c r="G717" s="6">
        <v>713</v>
      </c>
      <c r="H717" s="74">
        <v>3212.564887271275</v>
      </c>
    </row>
    <row r="718" spans="7:8" x14ac:dyDescent="0.3">
      <c r="G718" s="6">
        <v>714</v>
      </c>
      <c r="H718" s="74">
        <v>505.86828099317859</v>
      </c>
    </row>
    <row r="719" spans="7:8" x14ac:dyDescent="0.3">
      <c r="G719" s="6">
        <v>715</v>
      </c>
      <c r="H719" s="74">
        <v>702.39146524660725</v>
      </c>
    </row>
    <row r="720" spans="7:8" x14ac:dyDescent="0.3">
      <c r="G720" s="6">
        <v>716</v>
      </c>
      <c r="H720" s="74">
        <v>998.04394792465791</v>
      </c>
    </row>
    <row r="721" spans="7:8" x14ac:dyDescent="0.3">
      <c r="G721" s="6">
        <v>717</v>
      </c>
      <c r="H721" s="74">
        <v>4910.0836417123801</v>
      </c>
    </row>
    <row r="722" spans="7:8" x14ac:dyDescent="0.3">
      <c r="G722" s="6">
        <v>718</v>
      </c>
      <c r="H722" s="74">
        <v>26.819395801409421</v>
      </c>
    </row>
    <row r="723" spans="7:8" x14ac:dyDescent="0.3">
      <c r="G723" s="6">
        <v>719</v>
      </c>
      <c r="H723" s="74">
        <v>967.21198247092093</v>
      </c>
    </row>
    <row r="724" spans="7:8" x14ac:dyDescent="0.3">
      <c r="G724" s="6">
        <v>720</v>
      </c>
      <c r="H724" s="74">
        <v>-1537.2712042695798</v>
      </c>
    </row>
    <row r="725" spans="7:8" x14ac:dyDescent="0.3">
      <c r="G725" s="6">
        <v>721</v>
      </c>
      <c r="H725" s="74">
        <v>215.86340730160126</v>
      </c>
    </row>
    <row r="726" spans="7:8" x14ac:dyDescent="0.3">
      <c r="G726" s="6">
        <v>722</v>
      </c>
      <c r="H726" s="74">
        <v>1943.205937229902</v>
      </c>
    </row>
    <row r="727" spans="7:8" x14ac:dyDescent="0.3">
      <c r="G727" s="6">
        <v>723</v>
      </c>
      <c r="H727" s="74">
        <v>753.49904847349364</v>
      </c>
    </row>
    <row r="728" spans="7:8" x14ac:dyDescent="0.3">
      <c r="G728" s="6">
        <v>724</v>
      </c>
      <c r="H728" s="74">
        <v>1552.0314498719522</v>
      </c>
    </row>
    <row r="729" spans="7:8" x14ac:dyDescent="0.3">
      <c r="G729" s="6">
        <v>725</v>
      </c>
      <c r="H729" s="74">
        <v>-1195.7528499430446</v>
      </c>
    </row>
    <row r="730" spans="7:8" x14ac:dyDescent="0.3">
      <c r="G730" s="6">
        <v>726</v>
      </c>
      <c r="H730" s="74">
        <v>-600.79565056527724</v>
      </c>
    </row>
    <row r="731" spans="7:8" x14ac:dyDescent="0.3">
      <c r="G731" s="6">
        <v>727</v>
      </c>
      <c r="H731" s="74">
        <v>483.97464516957871</v>
      </c>
    </row>
    <row r="732" spans="7:8" x14ac:dyDescent="0.3">
      <c r="G732" s="6">
        <v>728</v>
      </c>
      <c r="H732" s="74">
        <v>484.34585777058192</v>
      </c>
    </row>
    <row r="733" spans="7:8" x14ac:dyDescent="0.3">
      <c r="G733" s="6">
        <v>729</v>
      </c>
      <c r="H733" s="74">
        <v>1582.0480948039208</v>
      </c>
    </row>
    <row r="734" spans="7:8" x14ac:dyDescent="0.3">
      <c r="G734" s="6">
        <v>730</v>
      </c>
      <c r="H734" s="74">
        <v>-858.08182049490892</v>
      </c>
    </row>
    <row r="735" spans="7:8" x14ac:dyDescent="0.3">
      <c r="G735" s="6">
        <v>731</v>
      </c>
      <c r="H735" s="74">
        <v>1525.2488056236282</v>
      </c>
    </row>
    <row r="736" spans="7:8" x14ac:dyDescent="0.3">
      <c r="G736" s="6">
        <v>732</v>
      </c>
      <c r="H736" s="74">
        <v>2136.541528271589</v>
      </c>
    </row>
    <row r="737" spans="7:8" x14ac:dyDescent="0.3">
      <c r="G737" s="6">
        <v>733</v>
      </c>
      <c r="H737" s="74">
        <v>2436.6132581243128</v>
      </c>
    </row>
    <row r="738" spans="7:8" x14ac:dyDescent="0.3">
      <c r="G738" s="6">
        <v>734</v>
      </c>
      <c r="H738" s="74">
        <v>772.21531904136475</v>
      </c>
    </row>
    <row r="739" spans="7:8" x14ac:dyDescent="0.3">
      <c r="G739" s="6">
        <v>735</v>
      </c>
      <c r="H739" s="74">
        <v>822.24094838610699</v>
      </c>
    </row>
    <row r="740" spans="7:8" x14ac:dyDescent="0.3">
      <c r="G740" s="6">
        <v>736</v>
      </c>
      <c r="H740" s="74">
        <v>829.32243682492924</v>
      </c>
    </row>
    <row r="741" spans="7:8" x14ac:dyDescent="0.3">
      <c r="G741" s="6">
        <v>737</v>
      </c>
      <c r="H741" s="74">
        <v>1366.8095901046984</v>
      </c>
    </row>
    <row r="742" spans="7:8" x14ac:dyDescent="0.3">
      <c r="G742" s="6">
        <v>738</v>
      </c>
      <c r="H742" s="74">
        <v>2374.2905602977667</v>
      </c>
    </row>
    <row r="743" spans="7:8" x14ac:dyDescent="0.3">
      <c r="G743" s="6">
        <v>739</v>
      </c>
      <c r="H743" s="74">
        <v>2700.3792155682545</v>
      </c>
    </row>
    <row r="744" spans="7:8" x14ac:dyDescent="0.3">
      <c r="G744" s="6">
        <v>740</v>
      </c>
      <c r="H744" s="74">
        <v>1110.8477565084363</v>
      </c>
    </row>
    <row r="745" spans="7:8" x14ac:dyDescent="0.3">
      <c r="G745" s="6">
        <v>741</v>
      </c>
      <c r="H745" s="74">
        <v>-457.6895084404635</v>
      </c>
    </row>
    <row r="746" spans="7:8" x14ac:dyDescent="0.3">
      <c r="G746" s="6">
        <v>742</v>
      </c>
      <c r="H746" s="74">
        <v>6910.4622419238676</v>
      </c>
    </row>
    <row r="747" spans="7:8" x14ac:dyDescent="0.3">
      <c r="G747" s="6">
        <v>743</v>
      </c>
      <c r="H747" s="74">
        <v>540.30695564519397</v>
      </c>
    </row>
    <row r="748" spans="7:8" x14ac:dyDescent="0.3">
      <c r="G748" s="6">
        <v>744</v>
      </c>
      <c r="H748" s="74">
        <v>2021.4519108192246</v>
      </c>
    </row>
    <row r="749" spans="7:8" x14ac:dyDescent="0.3">
      <c r="G749" s="6">
        <v>745</v>
      </c>
      <c r="H749" s="74">
        <v>312.46231127654329</v>
      </c>
    </row>
    <row r="750" spans="7:8" x14ac:dyDescent="0.3">
      <c r="G750" s="6">
        <v>746</v>
      </c>
      <c r="H750" s="74">
        <v>1968.5370271230968</v>
      </c>
    </row>
    <row r="751" spans="7:8" x14ac:dyDescent="0.3">
      <c r="G751" s="6">
        <v>747</v>
      </c>
      <c r="H751" s="74">
        <v>755.08451634299422</v>
      </c>
    </row>
    <row r="752" spans="7:8" x14ac:dyDescent="0.3">
      <c r="G752" s="6">
        <v>748</v>
      </c>
      <c r="H752" s="74">
        <v>706.57437440360559</v>
      </c>
    </row>
    <row r="753" spans="7:8" x14ac:dyDescent="0.3">
      <c r="G753" s="6">
        <v>749</v>
      </c>
      <c r="H753" s="74">
        <v>1372.7095712565113</v>
      </c>
    </row>
    <row r="754" spans="7:8" x14ac:dyDescent="0.3">
      <c r="G754" s="6">
        <v>750</v>
      </c>
      <c r="H754" s="74">
        <v>434.27768652455768</v>
      </c>
    </row>
    <row r="755" spans="7:8" x14ac:dyDescent="0.3">
      <c r="G755" s="6">
        <v>751</v>
      </c>
      <c r="H755" s="74">
        <v>224.97401431680024</v>
      </c>
    </row>
    <row r="756" spans="7:8" x14ac:dyDescent="0.3">
      <c r="G756" s="6">
        <v>752</v>
      </c>
      <c r="H756" s="74">
        <v>3458.6137800669394</v>
      </c>
    </row>
    <row r="757" spans="7:8" x14ac:dyDescent="0.3">
      <c r="G757" s="6">
        <v>753</v>
      </c>
      <c r="H757" s="74">
        <v>1556.6808100275496</v>
      </c>
    </row>
    <row r="758" spans="7:8" x14ac:dyDescent="0.3">
      <c r="G758" s="6">
        <v>754</v>
      </c>
      <c r="H758" s="74">
        <v>74.775340112993078</v>
      </c>
    </row>
    <row r="759" spans="7:8" x14ac:dyDescent="0.3">
      <c r="G759" s="6">
        <v>755</v>
      </c>
      <c r="H759" s="74">
        <v>2149.9374717762244</v>
      </c>
    </row>
    <row r="760" spans="7:8" x14ac:dyDescent="0.3">
      <c r="G760" s="6">
        <v>756</v>
      </c>
      <c r="H760" s="74">
        <v>352.78810854783177</v>
      </c>
    </row>
    <row r="761" spans="7:8" x14ac:dyDescent="0.3">
      <c r="G761" s="6">
        <v>757</v>
      </c>
      <c r="H761" s="74">
        <v>3309.9739163131908</v>
      </c>
    </row>
    <row r="762" spans="7:8" x14ac:dyDescent="0.3">
      <c r="G762" s="6">
        <v>758</v>
      </c>
      <c r="H762" s="74">
        <v>130.32518661701553</v>
      </c>
    </row>
    <row r="763" spans="7:8" x14ac:dyDescent="0.3">
      <c r="G763" s="6">
        <v>759</v>
      </c>
      <c r="H763" s="74">
        <v>1586.8409851792608</v>
      </c>
    </row>
    <row r="764" spans="7:8" x14ac:dyDescent="0.3">
      <c r="G764" s="6">
        <v>760</v>
      </c>
      <c r="H764" s="74">
        <v>301.07237678132554</v>
      </c>
    </row>
    <row r="765" spans="7:8" x14ac:dyDescent="0.3">
      <c r="G765" s="6">
        <v>761</v>
      </c>
      <c r="H765" s="74">
        <v>2647.3899648998072</v>
      </c>
    </row>
    <row r="766" spans="7:8" x14ac:dyDescent="0.3">
      <c r="G766" s="6">
        <v>762</v>
      </c>
      <c r="H766" s="74">
        <v>613.10890697670811</v>
      </c>
    </row>
    <row r="767" spans="7:8" x14ac:dyDescent="0.3">
      <c r="G767" s="6">
        <v>763</v>
      </c>
      <c r="H767" s="74">
        <v>1885.0038870881945</v>
      </c>
    </row>
    <row r="768" spans="7:8" x14ac:dyDescent="0.3">
      <c r="G768" s="6">
        <v>764</v>
      </c>
      <c r="H768" s="74">
        <v>464.10686566213172</v>
      </c>
    </row>
    <row r="769" spans="7:8" x14ac:dyDescent="0.3">
      <c r="G769" s="6">
        <v>765</v>
      </c>
      <c r="H769" s="74">
        <v>21.598007609566267</v>
      </c>
    </row>
    <row r="770" spans="7:8" x14ac:dyDescent="0.3">
      <c r="G770" s="6">
        <v>766</v>
      </c>
      <c r="H770" s="74">
        <v>1408.6966731899875</v>
      </c>
    </row>
    <row r="771" spans="7:8" x14ac:dyDescent="0.3">
      <c r="G771" s="6">
        <v>767</v>
      </c>
      <c r="H771" s="74">
        <v>1632.683661906244</v>
      </c>
    </row>
    <row r="772" spans="7:8" x14ac:dyDescent="0.3">
      <c r="G772" s="6">
        <v>768</v>
      </c>
      <c r="H772" s="74">
        <v>1062.3830834782489</v>
      </c>
    </row>
    <row r="773" spans="7:8" x14ac:dyDescent="0.3">
      <c r="G773" s="6">
        <v>769</v>
      </c>
      <c r="H773" s="74">
        <v>945.6610411717229</v>
      </c>
    </row>
    <row r="774" spans="7:8" x14ac:dyDescent="0.3">
      <c r="G774" s="6">
        <v>770</v>
      </c>
      <c r="H774" s="74">
        <v>439.73717906946769</v>
      </c>
    </row>
    <row r="775" spans="7:8" x14ac:dyDescent="0.3">
      <c r="G775" s="6">
        <v>771</v>
      </c>
      <c r="H775" s="74">
        <v>1298.5712246435257</v>
      </c>
    </row>
    <row r="776" spans="7:8" x14ac:dyDescent="0.3">
      <c r="G776" s="6">
        <v>772</v>
      </c>
      <c r="H776" s="74">
        <v>266.18823334272355</v>
      </c>
    </row>
    <row r="777" spans="7:8" x14ac:dyDescent="0.3">
      <c r="G777" s="6">
        <v>773</v>
      </c>
      <c r="H777" s="74">
        <v>1851.639619838932</v>
      </c>
    </row>
    <row r="778" spans="7:8" x14ac:dyDescent="0.3">
      <c r="G778" s="6">
        <v>774</v>
      </c>
      <c r="H778" s="74">
        <v>3830.5791929029142</v>
      </c>
    </row>
    <row r="779" spans="7:8" x14ac:dyDescent="0.3">
      <c r="G779" s="6">
        <v>775</v>
      </c>
      <c r="H779" s="74">
        <v>3286.414060534511</v>
      </c>
    </row>
    <row r="780" spans="7:8" x14ac:dyDescent="0.3">
      <c r="G780" s="6">
        <v>776</v>
      </c>
      <c r="H780" s="74">
        <v>1977.54951241398</v>
      </c>
    </row>
    <row r="781" spans="7:8" x14ac:dyDescent="0.3">
      <c r="G781" s="6">
        <v>777</v>
      </c>
      <c r="H781" s="74">
        <v>2442.8055799176955</v>
      </c>
    </row>
    <row r="782" spans="7:8" x14ac:dyDescent="0.3">
      <c r="G782" s="6">
        <v>778</v>
      </c>
      <c r="H782" s="74">
        <v>1207.9575120266363</v>
      </c>
    </row>
    <row r="783" spans="7:8" x14ac:dyDescent="0.3">
      <c r="G783" s="6">
        <v>779</v>
      </c>
      <c r="H783" s="74">
        <v>4082.4149287227606</v>
      </c>
    </row>
    <row r="784" spans="7:8" x14ac:dyDescent="0.3">
      <c r="G784" s="6">
        <v>780</v>
      </c>
      <c r="H784" s="74">
        <v>248.66287344318133</v>
      </c>
    </row>
    <row r="785" spans="7:8" x14ac:dyDescent="0.3">
      <c r="G785" s="6">
        <v>781</v>
      </c>
      <c r="H785" s="74">
        <v>2868.2428475267334</v>
      </c>
    </row>
    <row r="786" spans="7:8" x14ac:dyDescent="0.3">
      <c r="G786" s="6">
        <v>782</v>
      </c>
      <c r="H786" s="74">
        <v>2986.3110591783534</v>
      </c>
    </row>
    <row r="787" spans="7:8" x14ac:dyDescent="0.3">
      <c r="G787" s="6">
        <v>783</v>
      </c>
      <c r="H787" s="74">
        <v>3739.6969009482336</v>
      </c>
    </row>
    <row r="788" spans="7:8" x14ac:dyDescent="0.3">
      <c r="G788" s="6">
        <v>784</v>
      </c>
      <c r="H788" s="74">
        <v>3103.2125670262426</v>
      </c>
    </row>
    <row r="789" spans="7:8" x14ac:dyDescent="0.3">
      <c r="G789" s="6">
        <v>785</v>
      </c>
      <c r="H789" s="74">
        <v>442.11537729381462</v>
      </c>
    </row>
    <row r="790" spans="7:8" x14ac:dyDescent="0.3">
      <c r="G790" s="6">
        <v>786</v>
      </c>
      <c r="H790" s="74">
        <v>3064.0401046320944</v>
      </c>
    </row>
    <row r="791" spans="7:8" x14ac:dyDescent="0.3">
      <c r="G791" s="6">
        <v>787</v>
      </c>
      <c r="H791" s="74">
        <v>1744.2523607834039</v>
      </c>
    </row>
    <row r="792" spans="7:8" x14ac:dyDescent="0.3">
      <c r="G792" s="6">
        <v>788</v>
      </c>
      <c r="H792" s="74">
        <v>5364.4046663158297</v>
      </c>
    </row>
    <row r="793" spans="7:8" x14ac:dyDescent="0.3">
      <c r="G793" s="6">
        <v>789</v>
      </c>
      <c r="H793" s="74">
        <v>290.3560849574618</v>
      </c>
    </row>
    <row r="794" spans="7:8" x14ac:dyDescent="0.3">
      <c r="G794" s="6">
        <v>790</v>
      </c>
      <c r="H794" s="74">
        <v>-330.24038405553057</v>
      </c>
    </row>
    <row r="795" spans="7:8" x14ac:dyDescent="0.3">
      <c r="G795" s="6">
        <v>791</v>
      </c>
      <c r="H795" s="74">
        <v>2022.2266164213254</v>
      </c>
    </row>
    <row r="796" spans="7:8" x14ac:dyDescent="0.3">
      <c r="G796" s="6">
        <v>792</v>
      </c>
      <c r="H796" s="74">
        <v>-963.34411639402629</v>
      </c>
    </row>
    <row r="797" spans="7:8" x14ac:dyDescent="0.3">
      <c r="G797" s="6">
        <v>793</v>
      </c>
      <c r="H797" s="74">
        <v>1560.0477273495885</v>
      </c>
    </row>
    <row r="798" spans="7:8" x14ac:dyDescent="0.3">
      <c r="G798" s="6">
        <v>794</v>
      </c>
      <c r="H798" s="74">
        <v>50.973264596128708</v>
      </c>
    </row>
    <row r="799" spans="7:8" x14ac:dyDescent="0.3">
      <c r="G799" s="6">
        <v>795</v>
      </c>
      <c r="H799" s="74">
        <v>1154.1770207498464</v>
      </c>
    </row>
    <row r="800" spans="7:8" x14ac:dyDescent="0.3">
      <c r="G800" s="6">
        <v>796</v>
      </c>
      <c r="H800" s="74">
        <v>2148.1753239273371</v>
      </c>
    </row>
    <row r="801" spans="7:8" x14ac:dyDescent="0.3">
      <c r="G801" s="6">
        <v>797</v>
      </c>
      <c r="H801" s="74">
        <v>1193.0073301503128</v>
      </c>
    </row>
    <row r="802" spans="7:8" x14ac:dyDescent="0.3">
      <c r="G802" s="6">
        <v>798</v>
      </c>
      <c r="H802" s="74">
        <v>959.43696210495659</v>
      </c>
    </row>
    <row r="803" spans="7:8" x14ac:dyDescent="0.3">
      <c r="G803" s="6">
        <v>799</v>
      </c>
      <c r="H803" s="74">
        <v>4522.4187140484228</v>
      </c>
    </row>
    <row r="804" spans="7:8" x14ac:dyDescent="0.3">
      <c r="G804" s="6">
        <v>800</v>
      </c>
      <c r="H804" s="74">
        <v>218.32769903055058</v>
      </c>
    </row>
    <row r="805" spans="7:8" x14ac:dyDescent="0.3">
      <c r="G805" s="6">
        <v>801</v>
      </c>
      <c r="H805" s="74">
        <v>1159.3945354976506</v>
      </c>
    </row>
    <row r="806" spans="7:8" x14ac:dyDescent="0.3">
      <c r="G806" s="6">
        <v>802</v>
      </c>
      <c r="H806" s="74">
        <v>2841.1057797984299</v>
      </c>
    </row>
    <row r="807" spans="7:8" x14ac:dyDescent="0.3">
      <c r="G807" s="6">
        <v>803</v>
      </c>
      <c r="H807" s="74">
        <v>174.46842722374183</v>
      </c>
    </row>
    <row r="808" spans="7:8" x14ac:dyDescent="0.3">
      <c r="G808" s="6">
        <v>804</v>
      </c>
      <c r="H808" s="74">
        <v>1645.1342303115255</v>
      </c>
    </row>
    <row r="809" spans="7:8" x14ac:dyDescent="0.3">
      <c r="G809" s="6">
        <v>805</v>
      </c>
      <c r="H809" s="74">
        <v>2965.3117141998655</v>
      </c>
    </row>
    <row r="810" spans="7:8" x14ac:dyDescent="0.3">
      <c r="G810" s="6">
        <v>806</v>
      </c>
      <c r="H810" s="74">
        <v>1217.3909789092718</v>
      </c>
    </row>
    <row r="811" spans="7:8" x14ac:dyDescent="0.3">
      <c r="G811" s="6">
        <v>807</v>
      </c>
      <c r="H811" s="74">
        <v>115.54435231547869</v>
      </c>
    </row>
    <row r="812" spans="7:8" x14ac:dyDescent="0.3">
      <c r="G812" s="6">
        <v>808</v>
      </c>
      <c r="H812" s="74">
        <v>-357.5009128848784</v>
      </c>
    </row>
    <row r="813" spans="7:8" x14ac:dyDescent="0.3">
      <c r="G813" s="6">
        <v>809</v>
      </c>
      <c r="H813" s="74">
        <v>-676.0747826181497</v>
      </c>
    </row>
    <row r="814" spans="7:8" x14ac:dyDescent="0.3">
      <c r="G814" s="6">
        <v>810</v>
      </c>
      <c r="H814" s="74">
        <v>1465.0897862011495</v>
      </c>
    </row>
    <row r="815" spans="7:8" x14ac:dyDescent="0.3">
      <c r="G815" s="6">
        <v>811</v>
      </c>
      <c r="H815" s="74">
        <v>-27.151772810169142</v>
      </c>
    </row>
    <row r="816" spans="7:8" x14ac:dyDescent="0.3">
      <c r="G816" s="6">
        <v>812</v>
      </c>
      <c r="H816" s="74">
        <v>1710.1947230336868</v>
      </c>
    </row>
    <row r="817" spans="7:8" x14ac:dyDescent="0.3">
      <c r="G817" s="6">
        <v>813</v>
      </c>
      <c r="H817" s="74">
        <v>588.77377506175878</v>
      </c>
    </row>
    <row r="818" spans="7:8" x14ac:dyDescent="0.3">
      <c r="G818" s="6">
        <v>814</v>
      </c>
      <c r="H818" s="74">
        <v>1212.1352967772843</v>
      </c>
    </row>
    <row r="819" spans="7:8" x14ac:dyDescent="0.3">
      <c r="G819" s="6">
        <v>815</v>
      </c>
      <c r="H819" s="74">
        <v>893.40243940386642</v>
      </c>
    </row>
    <row r="820" spans="7:8" x14ac:dyDescent="0.3">
      <c r="G820" s="6">
        <v>816</v>
      </c>
      <c r="H820" s="74">
        <v>1165.340467014867</v>
      </c>
    </row>
    <row r="821" spans="7:8" x14ac:dyDescent="0.3">
      <c r="G821" s="6">
        <v>817</v>
      </c>
      <c r="H821" s="74">
        <v>1467.7115947797874</v>
      </c>
    </row>
    <row r="822" spans="7:8" x14ac:dyDescent="0.3">
      <c r="G822" s="6">
        <v>818</v>
      </c>
      <c r="H822" s="74">
        <v>2498.1914069954887</v>
      </c>
    </row>
    <row r="823" spans="7:8" x14ac:dyDescent="0.3">
      <c r="G823" s="6">
        <v>819</v>
      </c>
      <c r="H823" s="74">
        <v>858.16709947107177</v>
      </c>
    </row>
    <row r="824" spans="7:8" x14ac:dyDescent="0.3">
      <c r="G824" s="6">
        <v>820</v>
      </c>
      <c r="H824" s="74">
        <v>752.8903825076959</v>
      </c>
    </row>
    <row r="825" spans="7:8" x14ac:dyDescent="0.3">
      <c r="G825" s="6">
        <v>821</v>
      </c>
      <c r="H825" s="74">
        <v>909.52036016402405</v>
      </c>
    </row>
    <row r="826" spans="7:8" x14ac:dyDescent="0.3">
      <c r="G826" s="6">
        <v>822</v>
      </c>
      <c r="H826" s="74">
        <v>3872.9477226260906</v>
      </c>
    </row>
    <row r="827" spans="7:8" x14ac:dyDescent="0.3">
      <c r="G827" s="6">
        <v>823</v>
      </c>
      <c r="H827" s="74">
        <v>2278.5744407519933</v>
      </c>
    </row>
    <row r="828" spans="7:8" x14ac:dyDescent="0.3">
      <c r="G828" s="6">
        <v>824</v>
      </c>
      <c r="H828" s="74">
        <v>1244.8473660465713</v>
      </c>
    </row>
    <row r="829" spans="7:8" x14ac:dyDescent="0.3">
      <c r="G829" s="6">
        <v>825</v>
      </c>
      <c r="H829" s="74">
        <v>3279.0994307731144</v>
      </c>
    </row>
    <row r="830" spans="7:8" x14ac:dyDescent="0.3">
      <c r="G830" s="6">
        <v>826</v>
      </c>
      <c r="H830" s="74">
        <v>1260.7166975143425</v>
      </c>
    </row>
    <row r="831" spans="7:8" x14ac:dyDescent="0.3">
      <c r="G831" s="6">
        <v>827</v>
      </c>
      <c r="H831" s="74">
        <v>1733.2277420931798</v>
      </c>
    </row>
    <row r="832" spans="7:8" x14ac:dyDescent="0.3">
      <c r="G832" s="6">
        <v>828</v>
      </c>
      <c r="H832" s="74">
        <v>1427.3029752064313</v>
      </c>
    </row>
    <row r="833" spans="7:8" x14ac:dyDescent="0.3">
      <c r="G833" s="6">
        <v>829</v>
      </c>
      <c r="H833" s="74">
        <v>1839.4410646355873</v>
      </c>
    </row>
    <row r="834" spans="7:8" x14ac:dyDescent="0.3">
      <c r="G834" s="6">
        <v>830</v>
      </c>
      <c r="H834" s="74">
        <v>3423.4762470979335</v>
      </c>
    </row>
    <row r="835" spans="7:8" x14ac:dyDescent="0.3">
      <c r="G835" s="6">
        <v>831</v>
      </c>
      <c r="H835" s="74">
        <v>1379.8763634170766</v>
      </c>
    </row>
    <row r="836" spans="7:8" x14ac:dyDescent="0.3">
      <c r="G836" s="6">
        <v>832</v>
      </c>
      <c r="H836" s="74">
        <v>541.58015071664727</v>
      </c>
    </row>
    <row r="837" spans="7:8" x14ac:dyDescent="0.3">
      <c r="G837" s="6">
        <v>833</v>
      </c>
      <c r="H837" s="74">
        <v>1578.3725460431408</v>
      </c>
    </row>
    <row r="838" spans="7:8" x14ac:dyDescent="0.3">
      <c r="G838" s="6">
        <v>834</v>
      </c>
      <c r="H838" s="74">
        <v>968.82466389687056</v>
      </c>
    </row>
    <row r="839" spans="7:8" x14ac:dyDescent="0.3">
      <c r="G839" s="6">
        <v>835</v>
      </c>
      <c r="H839" s="74">
        <v>3694.1548004925348</v>
      </c>
    </row>
    <row r="840" spans="7:8" x14ac:dyDescent="0.3">
      <c r="G840" s="6">
        <v>836</v>
      </c>
      <c r="H840" s="74">
        <v>2578.3494815134563</v>
      </c>
    </row>
    <row r="841" spans="7:8" x14ac:dyDescent="0.3">
      <c r="G841" s="6">
        <v>837</v>
      </c>
      <c r="H841" s="74">
        <v>1196.5444045045576</v>
      </c>
    </row>
    <row r="842" spans="7:8" x14ac:dyDescent="0.3">
      <c r="G842" s="6">
        <v>838</v>
      </c>
      <c r="H842" s="74">
        <v>2207.4630115517389</v>
      </c>
    </row>
    <row r="843" spans="7:8" x14ac:dyDescent="0.3">
      <c r="G843" s="6">
        <v>839</v>
      </c>
      <c r="H843" s="74">
        <v>2695.4839215553802</v>
      </c>
    </row>
    <row r="844" spans="7:8" x14ac:dyDescent="0.3">
      <c r="G844" s="6">
        <v>840</v>
      </c>
      <c r="H844" s="74">
        <v>1760.9332178491213</v>
      </c>
    </row>
    <row r="845" spans="7:8" x14ac:dyDescent="0.3">
      <c r="G845" s="6">
        <v>841</v>
      </c>
      <c r="H845" s="74">
        <v>2206.5364113363194</v>
      </c>
    </row>
    <row r="846" spans="7:8" x14ac:dyDescent="0.3">
      <c r="G846" s="6">
        <v>842</v>
      </c>
      <c r="H846" s="74">
        <v>700.14718644184347</v>
      </c>
    </row>
    <row r="847" spans="7:8" x14ac:dyDescent="0.3">
      <c r="G847" s="6">
        <v>843</v>
      </c>
      <c r="H847" s="74">
        <v>1275.3453809747828</v>
      </c>
    </row>
    <row r="848" spans="7:8" x14ac:dyDescent="0.3">
      <c r="G848" s="6">
        <v>844</v>
      </c>
      <c r="H848" s="74">
        <v>-1092.3488697552923</v>
      </c>
    </row>
    <row r="849" spans="7:8" x14ac:dyDescent="0.3">
      <c r="G849" s="6">
        <v>845</v>
      </c>
      <c r="H849" s="74">
        <v>1866.5831448583642</v>
      </c>
    </row>
    <row r="850" spans="7:8" x14ac:dyDescent="0.3">
      <c r="G850" s="6">
        <v>846</v>
      </c>
      <c r="H850" s="74">
        <v>3698.8139980635474</v>
      </c>
    </row>
    <row r="851" spans="7:8" x14ac:dyDescent="0.3">
      <c r="G851" s="6">
        <v>847</v>
      </c>
      <c r="H851" s="74">
        <v>830.52303446482608</v>
      </c>
    </row>
    <row r="852" spans="7:8" x14ac:dyDescent="0.3">
      <c r="G852" s="6">
        <v>848</v>
      </c>
      <c r="H852" s="74">
        <v>2713.9789561821763</v>
      </c>
    </row>
    <row r="853" spans="7:8" x14ac:dyDescent="0.3">
      <c r="G853" s="6">
        <v>849</v>
      </c>
      <c r="H853" s="74">
        <v>5008.733572580536</v>
      </c>
    </row>
    <row r="854" spans="7:8" x14ac:dyDescent="0.3">
      <c r="G854" s="6">
        <v>850</v>
      </c>
      <c r="H854" s="74">
        <v>1626.2794262743166</v>
      </c>
    </row>
    <row r="855" spans="7:8" x14ac:dyDescent="0.3">
      <c r="G855" s="6">
        <v>851</v>
      </c>
      <c r="H855" s="74">
        <v>94.339683961239686</v>
      </c>
    </row>
    <row r="856" spans="7:8" x14ac:dyDescent="0.3">
      <c r="G856" s="6">
        <v>852</v>
      </c>
      <c r="H856" s="74">
        <v>799.14145449442583</v>
      </c>
    </row>
    <row r="857" spans="7:8" x14ac:dyDescent="0.3">
      <c r="G857" s="6">
        <v>853</v>
      </c>
      <c r="H857" s="74">
        <v>316.39779953757613</v>
      </c>
    </row>
    <row r="858" spans="7:8" x14ac:dyDescent="0.3">
      <c r="G858" s="6">
        <v>854</v>
      </c>
      <c r="H858" s="74">
        <v>1503.7030450606176</v>
      </c>
    </row>
    <row r="859" spans="7:8" x14ac:dyDescent="0.3">
      <c r="G859" s="6">
        <v>855</v>
      </c>
      <c r="H859" s="74">
        <v>2227.6879482320633</v>
      </c>
    </row>
    <row r="860" spans="7:8" x14ac:dyDescent="0.3">
      <c r="G860" s="6">
        <v>856</v>
      </c>
      <c r="H860" s="74">
        <v>821.38892225775692</v>
      </c>
    </row>
    <row r="861" spans="7:8" x14ac:dyDescent="0.3">
      <c r="G861" s="6">
        <v>857</v>
      </c>
      <c r="H861" s="74">
        <v>1237.9327998460647</v>
      </c>
    </row>
    <row r="862" spans="7:8" x14ac:dyDescent="0.3">
      <c r="G862" s="6">
        <v>858</v>
      </c>
      <c r="H862" s="74">
        <v>248.80923423699608</v>
      </c>
    </row>
    <row r="863" spans="7:8" x14ac:dyDescent="0.3">
      <c r="G863" s="6">
        <v>859</v>
      </c>
      <c r="H863" s="74">
        <v>2700.6896877031236</v>
      </c>
    </row>
    <row r="864" spans="7:8" x14ac:dyDescent="0.3">
      <c r="G864" s="6">
        <v>860</v>
      </c>
      <c r="H864" s="74">
        <v>1511.6294530863797</v>
      </c>
    </row>
    <row r="865" spans="7:8" x14ac:dyDescent="0.3">
      <c r="G865" s="6">
        <v>861</v>
      </c>
      <c r="H865" s="74">
        <v>-145.49483723033924</v>
      </c>
    </row>
    <row r="866" spans="7:8" x14ac:dyDescent="0.3">
      <c r="G866" s="6">
        <v>862</v>
      </c>
      <c r="H866" s="74">
        <v>856.82862258782848</v>
      </c>
    </row>
    <row r="867" spans="7:8" x14ac:dyDescent="0.3">
      <c r="G867" s="6">
        <v>863</v>
      </c>
      <c r="H867" s="74">
        <v>121.69996306430571</v>
      </c>
    </row>
    <row r="868" spans="7:8" x14ac:dyDescent="0.3">
      <c r="G868" s="6">
        <v>864</v>
      </c>
      <c r="H868" s="74">
        <v>1781.6785857355706</v>
      </c>
    </row>
    <row r="869" spans="7:8" x14ac:dyDescent="0.3">
      <c r="G869" s="6">
        <v>865</v>
      </c>
      <c r="H869" s="74">
        <v>482.6922577295266</v>
      </c>
    </row>
    <row r="870" spans="7:8" x14ac:dyDescent="0.3">
      <c r="G870" s="6">
        <v>866</v>
      </c>
      <c r="H870" s="74">
        <v>1325.9568329273241</v>
      </c>
    </row>
    <row r="871" spans="7:8" x14ac:dyDescent="0.3">
      <c r="G871" s="6">
        <v>867</v>
      </c>
      <c r="H871" s="74">
        <v>1991.3886777448229</v>
      </c>
    </row>
    <row r="872" spans="7:8" x14ac:dyDescent="0.3">
      <c r="G872" s="6">
        <v>868</v>
      </c>
      <c r="H872" s="74">
        <v>601.79855600205497</v>
      </c>
    </row>
    <row r="873" spans="7:8" x14ac:dyDescent="0.3">
      <c r="G873" s="6">
        <v>869</v>
      </c>
      <c r="H873" s="74">
        <v>2832.3899074173573</v>
      </c>
    </row>
    <row r="874" spans="7:8" x14ac:dyDescent="0.3">
      <c r="G874" s="6">
        <v>870</v>
      </c>
      <c r="H874" s="74">
        <v>1059.186835343085</v>
      </c>
    </row>
    <row r="875" spans="7:8" x14ac:dyDescent="0.3">
      <c r="G875" s="6">
        <v>871</v>
      </c>
      <c r="H875" s="74">
        <v>109.22922857046173</v>
      </c>
    </row>
    <row r="876" spans="7:8" x14ac:dyDescent="0.3">
      <c r="G876" s="6">
        <v>872</v>
      </c>
      <c r="H876" s="74">
        <v>1077.2265086791347</v>
      </c>
    </row>
    <row r="877" spans="7:8" x14ac:dyDescent="0.3">
      <c r="G877" s="6">
        <v>873</v>
      </c>
      <c r="H877" s="74">
        <v>199.26416612158218</v>
      </c>
    </row>
    <row r="878" spans="7:8" x14ac:dyDescent="0.3">
      <c r="G878" s="6">
        <v>874</v>
      </c>
      <c r="H878" s="74">
        <v>2147.7506589647269</v>
      </c>
    </row>
    <row r="879" spans="7:8" x14ac:dyDescent="0.3">
      <c r="G879" s="6">
        <v>875</v>
      </c>
      <c r="H879" s="74">
        <v>1041.9306883013937</v>
      </c>
    </row>
    <row r="880" spans="7:8" x14ac:dyDescent="0.3">
      <c r="G880" s="6">
        <v>876</v>
      </c>
      <c r="H880" s="74">
        <v>848.99301626341139</v>
      </c>
    </row>
    <row r="881" spans="7:8" x14ac:dyDescent="0.3">
      <c r="G881" s="6">
        <v>877</v>
      </c>
      <c r="H881" s="74">
        <v>1047.3501867591463</v>
      </c>
    </row>
    <row r="882" spans="7:8" x14ac:dyDescent="0.3">
      <c r="G882" s="6">
        <v>878</v>
      </c>
      <c r="H882" s="74">
        <v>2037.1273275302842</v>
      </c>
    </row>
    <row r="883" spans="7:8" x14ac:dyDescent="0.3">
      <c r="G883" s="6">
        <v>879</v>
      </c>
      <c r="H883" s="74">
        <v>1105.5655420920079</v>
      </c>
    </row>
    <row r="884" spans="7:8" x14ac:dyDescent="0.3">
      <c r="G884" s="6">
        <v>880</v>
      </c>
      <c r="H884" s="74">
        <v>1048.5920252762726</v>
      </c>
    </row>
    <row r="885" spans="7:8" x14ac:dyDescent="0.3">
      <c r="G885" s="6">
        <v>881</v>
      </c>
      <c r="H885" s="74">
        <v>80.179087107098511</v>
      </c>
    </row>
    <row r="886" spans="7:8" x14ac:dyDescent="0.3">
      <c r="G886" s="6">
        <v>882</v>
      </c>
      <c r="H886" s="74">
        <v>2691.4209658930426</v>
      </c>
    </row>
    <row r="887" spans="7:8" x14ac:dyDescent="0.3">
      <c r="G887" s="6">
        <v>883</v>
      </c>
      <c r="H887" s="74">
        <v>-503.87890864134039</v>
      </c>
    </row>
    <row r="888" spans="7:8" x14ac:dyDescent="0.3">
      <c r="G888" s="6">
        <v>884</v>
      </c>
      <c r="H888" s="74">
        <v>1816.6766891244883</v>
      </c>
    </row>
    <row r="889" spans="7:8" x14ac:dyDescent="0.3">
      <c r="G889" s="6">
        <v>885</v>
      </c>
      <c r="H889" s="74">
        <v>843.3887985713186</v>
      </c>
    </row>
    <row r="890" spans="7:8" x14ac:dyDescent="0.3">
      <c r="G890" s="6">
        <v>886</v>
      </c>
      <c r="H890" s="74">
        <v>1211.7429034205738</v>
      </c>
    </row>
    <row r="891" spans="7:8" x14ac:dyDescent="0.3">
      <c r="G891" s="6">
        <v>887</v>
      </c>
      <c r="H891" s="74">
        <v>-813.90579390275718</v>
      </c>
    </row>
    <row r="892" spans="7:8" x14ac:dyDescent="0.3">
      <c r="G892" s="6">
        <v>888</v>
      </c>
      <c r="H892" s="74">
        <v>2618.918806753768</v>
      </c>
    </row>
    <row r="893" spans="7:8" x14ac:dyDescent="0.3">
      <c r="G893" s="6">
        <v>889</v>
      </c>
      <c r="H893" s="74">
        <v>2987.7479698784064</v>
      </c>
    </row>
    <row r="894" spans="7:8" x14ac:dyDescent="0.3">
      <c r="G894" s="6">
        <v>890</v>
      </c>
      <c r="H894" s="74">
        <v>2880.7675209685112</v>
      </c>
    </row>
    <row r="895" spans="7:8" x14ac:dyDescent="0.3">
      <c r="G895" s="6">
        <v>891</v>
      </c>
      <c r="H895" s="74">
        <v>2384.8501319776324</v>
      </c>
    </row>
    <row r="896" spans="7:8" x14ac:dyDescent="0.3">
      <c r="G896" s="6">
        <v>892</v>
      </c>
      <c r="H896" s="74">
        <v>843.66693715122449</v>
      </c>
    </row>
    <row r="897" spans="7:8" x14ac:dyDescent="0.3">
      <c r="G897" s="6">
        <v>893</v>
      </c>
      <c r="H897" s="74">
        <v>663.13195606065574</v>
      </c>
    </row>
    <row r="898" spans="7:8" x14ac:dyDescent="0.3">
      <c r="G898" s="6">
        <v>894</v>
      </c>
      <c r="H898" s="74">
        <v>943.28851674237762</v>
      </c>
    </row>
    <row r="899" spans="7:8" x14ac:dyDescent="0.3">
      <c r="G899" s="6">
        <v>895</v>
      </c>
      <c r="H899" s="74">
        <v>2040.9212871269078</v>
      </c>
    </row>
    <row r="900" spans="7:8" x14ac:dyDescent="0.3">
      <c r="G900" s="6">
        <v>896</v>
      </c>
      <c r="H900" s="74">
        <v>1931.3100903329791</v>
      </c>
    </row>
    <row r="901" spans="7:8" x14ac:dyDescent="0.3">
      <c r="G901" s="6">
        <v>897</v>
      </c>
      <c r="H901" s="74">
        <v>1841.2181128653999</v>
      </c>
    </row>
    <row r="902" spans="7:8" x14ac:dyDescent="0.3">
      <c r="G902" s="6">
        <v>898</v>
      </c>
      <c r="H902" s="74">
        <v>1055.6187025948966</v>
      </c>
    </row>
    <row r="903" spans="7:8" x14ac:dyDescent="0.3">
      <c r="G903" s="6">
        <v>899</v>
      </c>
      <c r="H903" s="74">
        <v>3204.0369995697401</v>
      </c>
    </row>
    <row r="904" spans="7:8" x14ac:dyDescent="0.3">
      <c r="G904" s="6">
        <v>900</v>
      </c>
      <c r="H904" s="74">
        <v>1758.9290023548331</v>
      </c>
    </row>
    <row r="905" spans="7:8" x14ac:dyDescent="0.3">
      <c r="G905" s="6">
        <v>901</v>
      </c>
      <c r="H905" s="74">
        <v>1580.1410038662068</v>
      </c>
    </row>
    <row r="906" spans="7:8" x14ac:dyDescent="0.3">
      <c r="G906" s="6">
        <v>902</v>
      </c>
      <c r="H906" s="74">
        <v>5560.8220903349993</v>
      </c>
    </row>
    <row r="907" spans="7:8" x14ac:dyDescent="0.3">
      <c r="G907" s="6">
        <v>903</v>
      </c>
      <c r="H907" s="74">
        <v>502.8085155429394</v>
      </c>
    </row>
    <row r="908" spans="7:8" x14ac:dyDescent="0.3">
      <c r="G908" s="6">
        <v>904</v>
      </c>
      <c r="H908" s="74">
        <v>1074.650444442138</v>
      </c>
    </row>
    <row r="909" spans="7:8" x14ac:dyDescent="0.3">
      <c r="G909" s="6">
        <v>905</v>
      </c>
      <c r="H909" s="74">
        <v>2782.8940730686318</v>
      </c>
    </row>
    <row r="910" spans="7:8" x14ac:dyDescent="0.3">
      <c r="G910" s="6">
        <v>906</v>
      </c>
      <c r="H910" s="74">
        <v>1157.058423018907</v>
      </c>
    </row>
    <row r="911" spans="7:8" x14ac:dyDescent="0.3">
      <c r="G911" s="6">
        <v>907</v>
      </c>
      <c r="H911" s="74">
        <v>136.66011205004125</v>
      </c>
    </row>
    <row r="912" spans="7:8" x14ac:dyDescent="0.3">
      <c r="G912" s="6">
        <v>908</v>
      </c>
      <c r="H912" s="74">
        <v>1539.3931365513245</v>
      </c>
    </row>
    <row r="913" spans="7:8" x14ac:dyDescent="0.3">
      <c r="G913" s="6">
        <v>909</v>
      </c>
      <c r="H913" s="74">
        <v>293.11886334827324</v>
      </c>
    </row>
    <row r="914" spans="7:8" x14ac:dyDescent="0.3">
      <c r="G914" s="6">
        <v>910</v>
      </c>
      <c r="H914" s="74">
        <v>1512.6751847115479</v>
      </c>
    </row>
    <row r="915" spans="7:8" x14ac:dyDescent="0.3">
      <c r="G915" s="6">
        <v>911</v>
      </c>
      <c r="H915" s="74">
        <v>308.13906240538199</v>
      </c>
    </row>
    <row r="916" spans="7:8" x14ac:dyDescent="0.3">
      <c r="G916" s="6">
        <v>912</v>
      </c>
      <c r="H916" s="74">
        <v>3063.9080015808991</v>
      </c>
    </row>
    <row r="917" spans="7:8" x14ac:dyDescent="0.3">
      <c r="G917" s="6">
        <v>913</v>
      </c>
      <c r="H917" s="74">
        <v>5241.6370056406267</v>
      </c>
    </row>
    <row r="918" spans="7:8" x14ac:dyDescent="0.3">
      <c r="G918" s="6">
        <v>914</v>
      </c>
      <c r="H918" s="74">
        <v>911.52520444830179</v>
      </c>
    </row>
    <row r="919" spans="7:8" x14ac:dyDescent="0.3">
      <c r="G919" s="6">
        <v>915</v>
      </c>
      <c r="H919" s="74">
        <v>4460.2329966783473</v>
      </c>
    </row>
    <row r="920" spans="7:8" x14ac:dyDescent="0.3">
      <c r="G920" s="6">
        <v>916</v>
      </c>
      <c r="H920" s="74">
        <v>1620.4511441774443</v>
      </c>
    </row>
    <row r="921" spans="7:8" x14ac:dyDescent="0.3">
      <c r="G921" s="6">
        <v>917</v>
      </c>
      <c r="H921" s="74">
        <v>99.824449552864962</v>
      </c>
    </row>
    <row r="922" spans="7:8" x14ac:dyDescent="0.3">
      <c r="G922" s="6">
        <v>918</v>
      </c>
      <c r="H922" s="74">
        <v>2687.7529389079082</v>
      </c>
    </row>
    <row r="923" spans="7:8" x14ac:dyDescent="0.3">
      <c r="G923" s="6">
        <v>919</v>
      </c>
      <c r="H923" s="74">
        <v>1429.8194722075609</v>
      </c>
    </row>
    <row r="924" spans="7:8" x14ac:dyDescent="0.3">
      <c r="G924" s="6">
        <v>920</v>
      </c>
      <c r="H924" s="74">
        <v>1685.4353850550565</v>
      </c>
    </row>
    <row r="925" spans="7:8" x14ac:dyDescent="0.3">
      <c r="G925" s="6">
        <v>921</v>
      </c>
      <c r="H925" s="74">
        <v>2579.6386671061828</v>
      </c>
    </row>
    <row r="926" spans="7:8" x14ac:dyDescent="0.3">
      <c r="G926" s="6">
        <v>922</v>
      </c>
      <c r="H926" s="74">
        <v>3467.5919940650347</v>
      </c>
    </row>
    <row r="927" spans="7:8" x14ac:dyDescent="0.3">
      <c r="G927" s="6">
        <v>923</v>
      </c>
      <c r="H927" s="74">
        <v>2537.8309948318742</v>
      </c>
    </row>
    <row r="928" spans="7:8" x14ac:dyDescent="0.3">
      <c r="G928" s="6">
        <v>924</v>
      </c>
      <c r="H928" s="74">
        <v>-585.64556557937124</v>
      </c>
    </row>
    <row r="929" spans="7:8" x14ac:dyDescent="0.3">
      <c r="G929" s="6">
        <v>925</v>
      </c>
      <c r="H929" s="74">
        <v>-52.439427101554692</v>
      </c>
    </row>
    <row r="930" spans="7:8" x14ac:dyDescent="0.3">
      <c r="G930" s="6">
        <v>926</v>
      </c>
      <c r="H930" s="74">
        <v>1854.1339571166382</v>
      </c>
    </row>
    <row r="931" spans="7:8" x14ac:dyDescent="0.3">
      <c r="G931" s="6">
        <v>927</v>
      </c>
      <c r="H931" s="74">
        <v>350.45104979051467</v>
      </c>
    </row>
    <row r="932" spans="7:8" x14ac:dyDescent="0.3">
      <c r="G932" s="6">
        <v>928</v>
      </c>
      <c r="H932" s="74">
        <v>1615.242977288988</v>
      </c>
    </row>
    <row r="933" spans="7:8" x14ac:dyDescent="0.3">
      <c r="G933" s="6">
        <v>929</v>
      </c>
      <c r="H933" s="74">
        <v>4890.3278127765234</v>
      </c>
    </row>
    <row r="934" spans="7:8" x14ac:dyDescent="0.3">
      <c r="G934" s="6">
        <v>930</v>
      </c>
      <c r="H934" s="74">
        <v>504.14966195425347</v>
      </c>
    </row>
    <row r="935" spans="7:8" x14ac:dyDescent="0.3">
      <c r="G935" s="6">
        <v>931</v>
      </c>
      <c r="H935" s="74">
        <v>-856.37177699968902</v>
      </c>
    </row>
    <row r="936" spans="7:8" x14ac:dyDescent="0.3">
      <c r="G936" s="6">
        <v>932</v>
      </c>
      <c r="H936" s="74">
        <v>2984.578170526639</v>
      </c>
    </row>
    <row r="937" spans="7:8" x14ac:dyDescent="0.3">
      <c r="G937" s="6">
        <v>933</v>
      </c>
      <c r="H937" s="74">
        <v>2657.7691234989225</v>
      </c>
    </row>
    <row r="938" spans="7:8" x14ac:dyDescent="0.3">
      <c r="G938" s="6">
        <v>934</v>
      </c>
      <c r="H938" s="74">
        <v>411.43951387344401</v>
      </c>
    </row>
    <row r="939" spans="7:8" x14ac:dyDescent="0.3">
      <c r="G939" s="6">
        <v>935</v>
      </c>
      <c r="H939" s="74">
        <v>2741.6732776000385</v>
      </c>
    </row>
    <row r="940" spans="7:8" x14ac:dyDescent="0.3">
      <c r="G940" s="6">
        <v>936</v>
      </c>
      <c r="H940" s="74">
        <v>176.31253782513915</v>
      </c>
    </row>
    <row r="941" spans="7:8" x14ac:dyDescent="0.3">
      <c r="G941" s="6">
        <v>937</v>
      </c>
      <c r="H941" s="74">
        <v>1385.0701734824738</v>
      </c>
    </row>
    <row r="942" spans="7:8" x14ac:dyDescent="0.3">
      <c r="G942" s="6">
        <v>938</v>
      </c>
      <c r="H942" s="74">
        <v>1010.5381368064509</v>
      </c>
    </row>
    <row r="943" spans="7:8" x14ac:dyDescent="0.3">
      <c r="G943" s="6">
        <v>939</v>
      </c>
      <c r="H943" s="74">
        <v>203.31763978395807</v>
      </c>
    </row>
    <row r="944" spans="7:8" x14ac:dyDescent="0.3">
      <c r="G944" s="6">
        <v>940</v>
      </c>
      <c r="H944" s="74">
        <v>132.73539509587278</v>
      </c>
    </row>
    <row r="945" spans="7:8" x14ac:dyDescent="0.3">
      <c r="G945" s="6">
        <v>941</v>
      </c>
      <c r="H945" s="74">
        <v>291.12779604519358</v>
      </c>
    </row>
    <row r="946" spans="7:8" x14ac:dyDescent="0.3">
      <c r="G946" s="6">
        <v>942</v>
      </c>
      <c r="H946" s="74">
        <v>1890.5676154225523</v>
      </c>
    </row>
    <row r="947" spans="7:8" x14ac:dyDescent="0.3">
      <c r="G947" s="6">
        <v>943</v>
      </c>
      <c r="H947" s="74">
        <v>1958.3038514708148</v>
      </c>
    </row>
    <row r="948" spans="7:8" x14ac:dyDescent="0.3">
      <c r="G948" s="6">
        <v>944</v>
      </c>
      <c r="H948" s="74">
        <v>1691.9153554991435</v>
      </c>
    </row>
    <row r="949" spans="7:8" x14ac:dyDescent="0.3">
      <c r="G949" s="6">
        <v>945</v>
      </c>
      <c r="H949" s="74">
        <v>1108.0471917656523</v>
      </c>
    </row>
    <row r="950" spans="7:8" x14ac:dyDescent="0.3">
      <c r="G950" s="6">
        <v>946</v>
      </c>
      <c r="H950" s="74">
        <v>358.40155481550084</v>
      </c>
    </row>
    <row r="951" spans="7:8" x14ac:dyDescent="0.3">
      <c r="G951" s="6">
        <v>947</v>
      </c>
      <c r="H951" s="74">
        <v>496.96436869705099</v>
      </c>
    </row>
    <row r="952" spans="7:8" x14ac:dyDescent="0.3">
      <c r="G952" s="6">
        <v>948</v>
      </c>
      <c r="H952" s="74">
        <v>3948.1309441011908</v>
      </c>
    </row>
    <row r="953" spans="7:8" x14ac:dyDescent="0.3">
      <c r="G953" s="6">
        <v>949</v>
      </c>
      <c r="H953" s="74">
        <v>-802.60749530466171</v>
      </c>
    </row>
    <row r="954" spans="7:8" x14ac:dyDescent="0.3">
      <c r="G954" s="6">
        <v>950</v>
      </c>
      <c r="H954" s="74">
        <v>2496.3388978211487</v>
      </c>
    </row>
    <row r="955" spans="7:8" x14ac:dyDescent="0.3">
      <c r="G955" s="6">
        <v>951</v>
      </c>
      <c r="H955" s="74">
        <v>166.85161128798299</v>
      </c>
    </row>
    <row r="956" spans="7:8" x14ac:dyDescent="0.3">
      <c r="G956" s="6">
        <v>952</v>
      </c>
      <c r="H956" s="74">
        <v>-349.40226854579106</v>
      </c>
    </row>
    <row r="957" spans="7:8" x14ac:dyDescent="0.3">
      <c r="G957" s="6">
        <v>953</v>
      </c>
      <c r="H957" s="74">
        <v>1722.972299465571</v>
      </c>
    </row>
    <row r="958" spans="7:8" x14ac:dyDescent="0.3">
      <c r="G958" s="6">
        <v>954</v>
      </c>
      <c r="H958" s="74">
        <v>402.35808879720935</v>
      </c>
    </row>
    <row r="959" spans="7:8" x14ac:dyDescent="0.3">
      <c r="G959" s="6">
        <v>955</v>
      </c>
      <c r="H959" s="74">
        <v>834.40753784940443</v>
      </c>
    </row>
    <row r="960" spans="7:8" x14ac:dyDescent="0.3">
      <c r="G960" s="6">
        <v>956</v>
      </c>
      <c r="H960" s="74">
        <v>-848.56340239957387</v>
      </c>
    </row>
    <row r="961" spans="7:8" x14ac:dyDescent="0.3">
      <c r="G961" s="6">
        <v>957</v>
      </c>
      <c r="H961" s="74">
        <v>838.55655839951419</v>
      </c>
    </row>
    <row r="962" spans="7:8" x14ac:dyDescent="0.3">
      <c r="G962" s="6">
        <v>958</v>
      </c>
      <c r="H962" s="74">
        <v>977.79969617225368</v>
      </c>
    </row>
    <row r="963" spans="7:8" x14ac:dyDescent="0.3">
      <c r="G963" s="6">
        <v>959</v>
      </c>
      <c r="H963" s="74">
        <v>4996.1797029031441</v>
      </c>
    </row>
    <row r="964" spans="7:8" x14ac:dyDescent="0.3">
      <c r="G964" s="6">
        <v>960</v>
      </c>
      <c r="H964" s="74">
        <v>174.57138591007973</v>
      </c>
    </row>
    <row r="965" spans="7:8" x14ac:dyDescent="0.3">
      <c r="G965" s="6">
        <v>961</v>
      </c>
      <c r="H965" s="74">
        <v>776.99203919750641</v>
      </c>
    </row>
    <row r="966" spans="7:8" x14ac:dyDescent="0.3">
      <c r="G966" s="6">
        <v>962</v>
      </c>
      <c r="H966" s="74">
        <v>1536.0964359772584</v>
      </c>
    </row>
    <row r="967" spans="7:8" x14ac:dyDescent="0.3">
      <c r="G967" s="6">
        <v>963</v>
      </c>
      <c r="H967" s="74">
        <v>1867.0870255497734</v>
      </c>
    </row>
    <row r="968" spans="7:8" x14ac:dyDescent="0.3">
      <c r="G968" s="6">
        <v>964</v>
      </c>
      <c r="H968" s="74">
        <v>1008.7482386638742</v>
      </c>
    </row>
    <row r="969" spans="7:8" x14ac:dyDescent="0.3">
      <c r="G969" s="6">
        <v>965</v>
      </c>
      <c r="H969" s="74">
        <v>3226.1963313929127</v>
      </c>
    </row>
    <row r="970" spans="7:8" x14ac:dyDescent="0.3">
      <c r="G970" s="6">
        <v>966</v>
      </c>
      <c r="H970" s="74">
        <v>1790.7375509226092</v>
      </c>
    </row>
    <row r="971" spans="7:8" x14ac:dyDescent="0.3">
      <c r="G971" s="6">
        <v>967</v>
      </c>
      <c r="H971" s="74">
        <v>2187.3348290633589</v>
      </c>
    </row>
    <row r="972" spans="7:8" x14ac:dyDescent="0.3">
      <c r="G972" s="6">
        <v>968</v>
      </c>
      <c r="H972" s="74">
        <v>401.62108849353012</v>
      </c>
    </row>
    <row r="973" spans="7:8" x14ac:dyDescent="0.3">
      <c r="G973" s="6">
        <v>969</v>
      </c>
      <c r="H973" s="74">
        <v>2057.5137854686104</v>
      </c>
    </row>
    <row r="974" spans="7:8" x14ac:dyDescent="0.3">
      <c r="G974" s="6">
        <v>970</v>
      </c>
      <c r="H974" s="74">
        <v>1009.0606762187577</v>
      </c>
    </row>
    <row r="975" spans="7:8" x14ac:dyDescent="0.3">
      <c r="G975" s="6">
        <v>971</v>
      </c>
      <c r="H975" s="74">
        <v>543.48909092707549</v>
      </c>
    </row>
    <row r="976" spans="7:8" x14ac:dyDescent="0.3">
      <c r="G976" s="6">
        <v>972</v>
      </c>
      <c r="H976" s="74">
        <v>349.39993542844263</v>
      </c>
    </row>
    <row r="977" spans="7:8" x14ac:dyDescent="0.3">
      <c r="G977" s="6">
        <v>973</v>
      </c>
      <c r="H977" s="74">
        <v>2257.2073060307976</v>
      </c>
    </row>
    <row r="978" spans="7:8" x14ac:dyDescent="0.3">
      <c r="G978" s="6">
        <v>974</v>
      </c>
      <c r="H978" s="74">
        <v>-418.36750314129671</v>
      </c>
    </row>
    <row r="979" spans="7:8" x14ac:dyDescent="0.3">
      <c r="G979" s="6">
        <v>975</v>
      </c>
      <c r="H979" s="74">
        <v>2606.9493882068887</v>
      </c>
    </row>
    <row r="980" spans="7:8" x14ac:dyDescent="0.3">
      <c r="G980" s="6">
        <v>976</v>
      </c>
      <c r="H980" s="74">
        <v>972.70130538722435</v>
      </c>
    </row>
    <row r="981" spans="7:8" x14ac:dyDescent="0.3">
      <c r="G981" s="6">
        <v>977</v>
      </c>
      <c r="H981" s="74">
        <v>1109.299210017143</v>
      </c>
    </row>
    <row r="982" spans="7:8" x14ac:dyDescent="0.3">
      <c r="G982" s="6">
        <v>978</v>
      </c>
      <c r="H982" s="74">
        <v>3979.8926649074851</v>
      </c>
    </row>
    <row r="983" spans="7:8" x14ac:dyDescent="0.3">
      <c r="G983" s="6">
        <v>979</v>
      </c>
      <c r="H983" s="74">
        <v>3860.692562399377</v>
      </c>
    </row>
    <row r="984" spans="7:8" x14ac:dyDescent="0.3">
      <c r="G984" s="6">
        <v>980</v>
      </c>
      <c r="H984" s="74">
        <v>2387.4019317038833</v>
      </c>
    </row>
    <row r="985" spans="7:8" x14ac:dyDescent="0.3">
      <c r="G985" s="6">
        <v>981</v>
      </c>
      <c r="H985" s="74">
        <v>4651.5088403292502</v>
      </c>
    </row>
    <row r="986" spans="7:8" x14ac:dyDescent="0.3">
      <c r="G986" s="6">
        <v>982</v>
      </c>
      <c r="H986" s="74">
        <v>1134.5270135504441</v>
      </c>
    </row>
    <row r="987" spans="7:8" x14ac:dyDescent="0.3">
      <c r="G987" s="6">
        <v>983</v>
      </c>
      <c r="H987" s="74">
        <v>1624.2750760195756</v>
      </c>
    </row>
    <row r="988" spans="7:8" x14ac:dyDescent="0.3">
      <c r="G988" s="6">
        <v>984</v>
      </c>
      <c r="H988" s="74">
        <v>350.63924235834367</v>
      </c>
    </row>
    <row r="989" spans="7:8" x14ac:dyDescent="0.3">
      <c r="G989" s="6">
        <v>985</v>
      </c>
      <c r="H989" s="74">
        <v>5405.2920738432194</v>
      </c>
    </row>
    <row r="990" spans="7:8" x14ac:dyDescent="0.3">
      <c r="G990" s="6">
        <v>986</v>
      </c>
      <c r="H990" s="74">
        <v>209.52366689194616</v>
      </c>
    </row>
    <row r="991" spans="7:8" x14ac:dyDescent="0.3">
      <c r="G991" s="6">
        <v>987</v>
      </c>
      <c r="H991" s="74">
        <v>1081.5472151385161</v>
      </c>
    </row>
    <row r="992" spans="7:8" x14ac:dyDescent="0.3">
      <c r="G992" s="6">
        <v>988</v>
      </c>
      <c r="H992" s="74">
        <v>1135.1740543941573</v>
      </c>
    </row>
    <row r="993" spans="7:8" x14ac:dyDescent="0.3">
      <c r="G993" s="6">
        <v>989</v>
      </c>
      <c r="H993" s="74">
        <v>1714.1245275840577</v>
      </c>
    </row>
    <row r="994" spans="7:8" x14ac:dyDescent="0.3">
      <c r="G994" s="6">
        <v>990</v>
      </c>
      <c r="H994" s="74">
        <v>980.75448070769971</v>
      </c>
    </row>
    <row r="995" spans="7:8" x14ac:dyDescent="0.3">
      <c r="G995" s="6">
        <v>991</v>
      </c>
      <c r="H995" s="74">
        <v>-1318.2740745150727</v>
      </c>
    </row>
    <row r="996" spans="7:8" x14ac:dyDescent="0.3">
      <c r="G996" s="6">
        <v>992</v>
      </c>
      <c r="H996" s="74">
        <v>3751.2640904631398</v>
      </c>
    </row>
    <row r="997" spans="7:8" x14ac:dyDescent="0.3">
      <c r="G997" s="6">
        <v>993</v>
      </c>
      <c r="H997" s="74">
        <v>1866.1511602818791</v>
      </c>
    </row>
    <row r="998" spans="7:8" x14ac:dyDescent="0.3">
      <c r="G998" s="6">
        <v>994</v>
      </c>
      <c r="H998" s="74">
        <v>1027.1032246413788</v>
      </c>
    </row>
    <row r="999" spans="7:8" x14ac:dyDescent="0.3">
      <c r="G999" s="6">
        <v>995</v>
      </c>
      <c r="H999" s="74">
        <v>2496.1156825746648</v>
      </c>
    </row>
    <row r="1000" spans="7:8" x14ac:dyDescent="0.3">
      <c r="G1000" s="6">
        <v>996</v>
      </c>
      <c r="H1000" s="74">
        <v>2485.8159221241012</v>
      </c>
    </row>
    <row r="1001" spans="7:8" x14ac:dyDescent="0.3">
      <c r="G1001" s="6">
        <v>997</v>
      </c>
      <c r="H1001" s="74">
        <v>970.46008414668358</v>
      </c>
    </row>
    <row r="1002" spans="7:8" x14ac:dyDescent="0.3">
      <c r="G1002" s="6">
        <v>998</v>
      </c>
      <c r="H1002" s="74">
        <v>266.80494977183599</v>
      </c>
    </row>
    <row r="1003" spans="7:8" x14ac:dyDescent="0.3">
      <c r="G1003" s="6">
        <v>999</v>
      </c>
      <c r="H1003" s="74">
        <v>883.58214333088677</v>
      </c>
    </row>
    <row r="1004" spans="7:8" x14ac:dyDescent="0.3">
      <c r="G1004" s="6">
        <v>1000</v>
      </c>
      <c r="H1004" s="74">
        <v>3954.3013408251122</v>
      </c>
    </row>
    <row r="1005" spans="7:8" x14ac:dyDescent="0.3">
      <c r="G1005" s="16"/>
    </row>
    <row r="1006" spans="7:8" x14ac:dyDescent="0.3">
      <c r="G1006" s="16"/>
    </row>
    <row r="1007" spans="7:8" x14ac:dyDescent="0.3">
      <c r="G1007" s="16"/>
    </row>
    <row r="1008" spans="7:8" x14ac:dyDescent="0.3">
      <c r="G1008" s="16"/>
    </row>
    <row r="1009" spans="7:7" x14ac:dyDescent="0.3">
      <c r="G1009" s="16"/>
    </row>
    <row r="1010" spans="7:7" x14ac:dyDescent="0.3">
      <c r="G1010" s="16"/>
    </row>
    <row r="1011" spans="7:7" x14ac:dyDescent="0.3">
      <c r="G1011" s="16"/>
    </row>
    <row r="1012" spans="7:7" x14ac:dyDescent="0.3">
      <c r="G1012" s="16"/>
    </row>
    <row r="1013" spans="7:7" x14ac:dyDescent="0.3">
      <c r="G1013" s="16"/>
    </row>
    <row r="1014" spans="7:7" x14ac:dyDescent="0.3">
      <c r="G1014" s="16"/>
    </row>
    <row r="1015" spans="7:7" x14ac:dyDescent="0.3">
      <c r="G1015" s="16"/>
    </row>
    <row r="1016" spans="7:7" x14ac:dyDescent="0.3">
      <c r="G1016" s="16"/>
    </row>
    <row r="1017" spans="7:7" x14ac:dyDescent="0.3">
      <c r="G1017" s="16"/>
    </row>
    <row r="1018" spans="7:7" x14ac:dyDescent="0.3">
      <c r="G1018" s="16"/>
    </row>
    <row r="1019" spans="7:7" x14ac:dyDescent="0.3">
      <c r="G1019" s="16"/>
    </row>
    <row r="1020" spans="7:7" x14ac:dyDescent="0.3">
      <c r="G1020" s="16"/>
    </row>
    <row r="1021" spans="7:7" x14ac:dyDescent="0.3">
      <c r="G1021" s="16"/>
    </row>
    <row r="1022" spans="7:7" x14ac:dyDescent="0.3">
      <c r="G1022" s="16"/>
    </row>
    <row r="1023" spans="7:7" x14ac:dyDescent="0.3">
      <c r="G1023" s="16"/>
    </row>
    <row r="1024" spans="7:7" x14ac:dyDescent="0.3">
      <c r="G1024" s="16"/>
    </row>
    <row r="1025" spans="7:7" x14ac:dyDescent="0.3">
      <c r="G1025" s="16"/>
    </row>
    <row r="1026" spans="7:7" x14ac:dyDescent="0.3">
      <c r="G1026" s="16"/>
    </row>
    <row r="1027" spans="7:7" x14ac:dyDescent="0.3">
      <c r="G1027" s="16"/>
    </row>
    <row r="1028" spans="7:7" x14ac:dyDescent="0.3">
      <c r="G1028" s="16"/>
    </row>
    <row r="1029" spans="7:7" x14ac:dyDescent="0.3">
      <c r="G1029" s="16"/>
    </row>
    <row r="1030" spans="7:7" x14ac:dyDescent="0.3">
      <c r="G1030" s="16"/>
    </row>
    <row r="1031" spans="7:7" x14ac:dyDescent="0.3">
      <c r="G1031" s="16"/>
    </row>
    <row r="1032" spans="7:7" x14ac:dyDescent="0.3">
      <c r="G1032" s="16"/>
    </row>
    <row r="1033" spans="7:7" x14ac:dyDescent="0.3">
      <c r="G1033" s="16"/>
    </row>
    <row r="1034" spans="7:7" x14ac:dyDescent="0.3">
      <c r="G1034" s="16"/>
    </row>
    <row r="1035" spans="7:7" x14ac:dyDescent="0.3">
      <c r="G1035" s="16"/>
    </row>
    <row r="1036" spans="7:7" x14ac:dyDescent="0.3">
      <c r="G1036" s="16"/>
    </row>
    <row r="1037" spans="7:7" x14ac:dyDescent="0.3">
      <c r="G1037" s="16"/>
    </row>
    <row r="1038" spans="7:7" x14ac:dyDescent="0.3">
      <c r="G1038" s="16"/>
    </row>
    <row r="1039" spans="7:7" x14ac:dyDescent="0.3">
      <c r="G1039" s="16"/>
    </row>
    <row r="1040" spans="7:7" x14ac:dyDescent="0.3">
      <c r="G1040" s="16"/>
    </row>
    <row r="1041" spans="7:7" x14ac:dyDescent="0.3">
      <c r="G1041" s="16"/>
    </row>
    <row r="1042" spans="7:7" x14ac:dyDescent="0.3">
      <c r="G1042" s="16"/>
    </row>
    <row r="1043" spans="7:7" x14ac:dyDescent="0.3">
      <c r="G1043" s="16"/>
    </row>
    <row r="1044" spans="7:7" x14ac:dyDescent="0.3">
      <c r="G1044" s="16"/>
    </row>
    <row r="1045" spans="7:7" x14ac:dyDescent="0.3">
      <c r="G1045" s="16"/>
    </row>
    <row r="1046" spans="7:7" x14ac:dyDescent="0.3">
      <c r="G1046" s="16"/>
    </row>
    <row r="1047" spans="7:7" x14ac:dyDescent="0.3">
      <c r="G1047" s="16"/>
    </row>
    <row r="1048" spans="7:7" x14ac:dyDescent="0.3">
      <c r="G1048" s="16"/>
    </row>
    <row r="1049" spans="7:7" x14ac:dyDescent="0.3">
      <c r="G1049" s="16"/>
    </row>
    <row r="1050" spans="7:7" x14ac:dyDescent="0.3">
      <c r="G1050" s="16"/>
    </row>
    <row r="1051" spans="7:7" x14ac:dyDescent="0.3">
      <c r="G1051" s="16"/>
    </row>
    <row r="1052" spans="7:7" x14ac:dyDescent="0.3">
      <c r="G1052" s="16"/>
    </row>
    <row r="1053" spans="7:7" x14ac:dyDescent="0.3">
      <c r="G1053" s="16"/>
    </row>
    <row r="1054" spans="7:7" x14ac:dyDescent="0.3">
      <c r="G1054" s="16"/>
    </row>
    <row r="1055" spans="7:7" x14ac:dyDescent="0.3">
      <c r="G1055" s="16"/>
    </row>
    <row r="1056" spans="7:7" x14ac:dyDescent="0.3">
      <c r="G1056" s="16"/>
    </row>
    <row r="1057" spans="7:7" x14ac:dyDescent="0.3">
      <c r="G1057" s="16"/>
    </row>
    <row r="1058" spans="7:7" x14ac:dyDescent="0.3">
      <c r="G1058" s="16"/>
    </row>
    <row r="1059" spans="7:7" x14ac:dyDescent="0.3">
      <c r="G1059" s="16"/>
    </row>
    <row r="1060" spans="7:7" x14ac:dyDescent="0.3">
      <c r="G1060" s="16"/>
    </row>
    <row r="1061" spans="7:7" x14ac:dyDescent="0.3">
      <c r="G1061" s="16"/>
    </row>
    <row r="1062" spans="7:7" x14ac:dyDescent="0.3">
      <c r="G1062" s="16"/>
    </row>
    <row r="1063" spans="7:7" x14ac:dyDescent="0.3">
      <c r="G1063" s="16"/>
    </row>
    <row r="1064" spans="7:7" x14ac:dyDescent="0.3">
      <c r="G1064" s="16"/>
    </row>
    <row r="1065" spans="7:7" x14ac:dyDescent="0.3">
      <c r="G1065" s="16"/>
    </row>
    <row r="1066" spans="7:7" x14ac:dyDescent="0.3">
      <c r="G1066" s="16"/>
    </row>
    <row r="1067" spans="7:7" x14ac:dyDescent="0.3">
      <c r="G1067" s="16"/>
    </row>
    <row r="1068" spans="7:7" x14ac:dyDescent="0.3">
      <c r="G1068" s="16"/>
    </row>
    <row r="1069" spans="7:7" x14ac:dyDescent="0.3">
      <c r="G1069" s="16"/>
    </row>
    <row r="1070" spans="7:7" x14ac:dyDescent="0.3">
      <c r="G1070" s="16"/>
    </row>
    <row r="1071" spans="7:7" x14ac:dyDescent="0.3">
      <c r="G1071" s="16"/>
    </row>
    <row r="1072" spans="7:7" x14ac:dyDescent="0.3">
      <c r="G1072" s="16"/>
    </row>
    <row r="1073" spans="7:7" x14ac:dyDescent="0.3">
      <c r="G1073" s="16"/>
    </row>
    <row r="1074" spans="7:7" x14ac:dyDescent="0.3">
      <c r="G1074" s="16"/>
    </row>
    <row r="1075" spans="7:7" x14ac:dyDescent="0.3">
      <c r="G1075" s="16"/>
    </row>
    <row r="1076" spans="7:7" x14ac:dyDescent="0.3">
      <c r="G1076" s="16"/>
    </row>
    <row r="1077" spans="7:7" x14ac:dyDescent="0.3">
      <c r="G1077" s="16"/>
    </row>
    <row r="1078" spans="7:7" x14ac:dyDescent="0.3">
      <c r="G1078" s="16"/>
    </row>
    <row r="1079" spans="7:7" x14ac:dyDescent="0.3">
      <c r="G1079" s="16"/>
    </row>
    <row r="1080" spans="7:7" x14ac:dyDescent="0.3">
      <c r="G1080" s="16"/>
    </row>
    <row r="1081" spans="7:7" x14ac:dyDescent="0.3">
      <c r="G1081" s="16"/>
    </row>
    <row r="1082" spans="7:7" x14ac:dyDescent="0.3">
      <c r="G1082" s="16"/>
    </row>
    <row r="1083" spans="7:7" x14ac:dyDescent="0.3">
      <c r="G1083" s="16"/>
    </row>
    <row r="1084" spans="7:7" x14ac:dyDescent="0.3">
      <c r="G1084" s="16"/>
    </row>
    <row r="1085" spans="7:7" x14ac:dyDescent="0.3">
      <c r="G1085" s="16"/>
    </row>
    <row r="1086" spans="7:7" x14ac:dyDescent="0.3">
      <c r="G1086" s="16"/>
    </row>
    <row r="1087" spans="7:7" x14ac:dyDescent="0.3">
      <c r="G1087" s="16"/>
    </row>
    <row r="1088" spans="7:7" x14ac:dyDescent="0.3">
      <c r="G1088" s="16"/>
    </row>
    <row r="1089" spans="7:7" x14ac:dyDescent="0.3">
      <c r="G1089" s="16"/>
    </row>
    <row r="1090" spans="7:7" x14ac:dyDescent="0.3">
      <c r="G1090" s="16"/>
    </row>
    <row r="1091" spans="7:7" x14ac:dyDescent="0.3">
      <c r="G1091" s="16"/>
    </row>
    <row r="1092" spans="7:7" x14ac:dyDescent="0.3">
      <c r="G1092" s="16"/>
    </row>
    <row r="1093" spans="7:7" x14ac:dyDescent="0.3">
      <c r="G1093" s="16"/>
    </row>
    <row r="1094" spans="7:7" x14ac:dyDescent="0.3">
      <c r="G1094" s="16"/>
    </row>
    <row r="1095" spans="7:7" x14ac:dyDescent="0.3">
      <c r="G1095" s="16"/>
    </row>
    <row r="1096" spans="7:7" x14ac:dyDescent="0.3">
      <c r="G1096" s="16"/>
    </row>
    <row r="1097" spans="7:7" x14ac:dyDescent="0.3">
      <c r="G1097" s="16"/>
    </row>
    <row r="1098" spans="7:7" x14ac:dyDescent="0.3">
      <c r="G1098" s="16"/>
    </row>
    <row r="1099" spans="7:7" x14ac:dyDescent="0.3">
      <c r="G1099" s="16"/>
    </row>
    <row r="1100" spans="7:7" x14ac:dyDescent="0.3">
      <c r="G1100" s="16"/>
    </row>
    <row r="1101" spans="7:7" x14ac:dyDescent="0.3">
      <c r="G1101" s="16"/>
    </row>
    <row r="1102" spans="7:7" x14ac:dyDescent="0.3">
      <c r="G1102" s="16"/>
    </row>
    <row r="1103" spans="7:7" x14ac:dyDescent="0.3">
      <c r="G1103" s="16"/>
    </row>
    <row r="1104" spans="7:7" x14ac:dyDescent="0.3">
      <c r="G1104" s="16"/>
    </row>
    <row r="1105" spans="7:7" x14ac:dyDescent="0.3">
      <c r="G1105" s="16"/>
    </row>
    <row r="1106" spans="7:7" x14ac:dyDescent="0.3">
      <c r="G1106" s="16"/>
    </row>
    <row r="1107" spans="7:7" x14ac:dyDescent="0.3">
      <c r="G1107" s="16"/>
    </row>
    <row r="1108" spans="7:7" x14ac:dyDescent="0.3">
      <c r="G1108" s="16"/>
    </row>
    <row r="1109" spans="7:7" x14ac:dyDescent="0.3">
      <c r="G1109" s="16"/>
    </row>
    <row r="1110" spans="7:7" x14ac:dyDescent="0.3">
      <c r="G1110" s="16"/>
    </row>
    <row r="1111" spans="7:7" x14ac:dyDescent="0.3">
      <c r="G1111" s="16"/>
    </row>
    <row r="1112" spans="7:7" x14ac:dyDescent="0.3">
      <c r="G1112" s="16"/>
    </row>
    <row r="1113" spans="7:7" x14ac:dyDescent="0.3">
      <c r="G1113" s="16"/>
    </row>
    <row r="1114" spans="7:7" x14ac:dyDescent="0.3">
      <c r="G1114" s="16"/>
    </row>
    <row r="1115" spans="7:7" x14ac:dyDescent="0.3">
      <c r="G1115" s="16"/>
    </row>
    <row r="1116" spans="7:7" x14ac:dyDescent="0.3">
      <c r="G1116" s="16"/>
    </row>
    <row r="1117" spans="7:7" x14ac:dyDescent="0.3">
      <c r="G1117" s="16"/>
    </row>
    <row r="1118" spans="7:7" x14ac:dyDescent="0.3">
      <c r="G1118" s="16"/>
    </row>
    <row r="1119" spans="7:7" x14ac:dyDescent="0.3">
      <c r="G1119" s="16"/>
    </row>
    <row r="1120" spans="7:7" x14ac:dyDescent="0.3">
      <c r="G1120" s="16"/>
    </row>
    <row r="1121" spans="7:7" x14ac:dyDescent="0.3">
      <c r="G1121" s="16"/>
    </row>
    <row r="1122" spans="7:7" x14ac:dyDescent="0.3">
      <c r="G1122" s="16"/>
    </row>
    <row r="1123" spans="7:7" x14ac:dyDescent="0.3">
      <c r="G1123" s="16"/>
    </row>
    <row r="1124" spans="7:7" x14ac:dyDescent="0.3">
      <c r="G1124" s="16"/>
    </row>
    <row r="1125" spans="7:7" x14ac:dyDescent="0.3">
      <c r="G1125" s="16"/>
    </row>
    <row r="1126" spans="7:7" x14ac:dyDescent="0.3">
      <c r="G1126" s="16"/>
    </row>
    <row r="1127" spans="7:7" x14ac:dyDescent="0.3">
      <c r="G1127" s="16"/>
    </row>
    <row r="1128" spans="7:7" x14ac:dyDescent="0.3">
      <c r="G1128" s="16"/>
    </row>
    <row r="1129" spans="7:7" x14ac:dyDescent="0.3">
      <c r="G1129" s="16"/>
    </row>
    <row r="1130" spans="7:7" x14ac:dyDescent="0.3">
      <c r="G1130" s="16"/>
    </row>
    <row r="1131" spans="7:7" x14ac:dyDescent="0.3">
      <c r="G1131" s="16"/>
    </row>
    <row r="1132" spans="7:7" x14ac:dyDescent="0.3">
      <c r="G1132" s="16"/>
    </row>
    <row r="1133" spans="7:7" x14ac:dyDescent="0.3">
      <c r="G1133" s="16"/>
    </row>
    <row r="1134" spans="7:7" x14ac:dyDescent="0.3">
      <c r="G1134" s="16"/>
    </row>
    <row r="1135" spans="7:7" x14ac:dyDescent="0.3">
      <c r="G1135" s="16"/>
    </row>
    <row r="1136" spans="7:7" x14ac:dyDescent="0.3">
      <c r="G1136" s="16"/>
    </row>
    <row r="1137" spans="7:7" x14ac:dyDescent="0.3">
      <c r="G1137" s="16"/>
    </row>
    <row r="1138" spans="7:7" x14ac:dyDescent="0.3">
      <c r="G1138" s="16"/>
    </row>
    <row r="1139" spans="7:7" x14ac:dyDescent="0.3">
      <c r="G1139" s="16"/>
    </row>
    <row r="1140" spans="7:7" x14ac:dyDescent="0.3">
      <c r="G1140" s="16"/>
    </row>
    <row r="1141" spans="7:7" x14ac:dyDescent="0.3">
      <c r="G1141" s="16"/>
    </row>
    <row r="1142" spans="7:7" x14ac:dyDescent="0.3">
      <c r="G1142" s="16"/>
    </row>
    <row r="1143" spans="7:7" x14ac:dyDescent="0.3">
      <c r="G1143" s="16"/>
    </row>
    <row r="1144" spans="7:7" x14ac:dyDescent="0.3">
      <c r="G1144" s="16"/>
    </row>
    <row r="1145" spans="7:7" x14ac:dyDescent="0.3">
      <c r="G1145" s="16"/>
    </row>
    <row r="1146" spans="7:7" x14ac:dyDescent="0.3">
      <c r="G1146" s="16"/>
    </row>
    <row r="1147" spans="7:7" x14ac:dyDescent="0.3">
      <c r="G1147" s="16"/>
    </row>
    <row r="1148" spans="7:7" x14ac:dyDescent="0.3">
      <c r="G1148" s="16"/>
    </row>
    <row r="1149" spans="7:7" x14ac:dyDescent="0.3">
      <c r="G1149" s="16"/>
    </row>
    <row r="1150" spans="7:7" x14ac:dyDescent="0.3">
      <c r="G1150" s="16"/>
    </row>
    <row r="1151" spans="7:7" x14ac:dyDescent="0.3">
      <c r="G1151" s="16"/>
    </row>
    <row r="1152" spans="7:7" x14ac:dyDescent="0.3">
      <c r="G1152" s="16"/>
    </row>
    <row r="1153" spans="7:7" x14ac:dyDescent="0.3">
      <c r="G1153" s="16"/>
    </row>
    <row r="1154" spans="7:7" x14ac:dyDescent="0.3">
      <c r="G1154" s="16"/>
    </row>
    <row r="1155" spans="7:7" x14ac:dyDescent="0.3">
      <c r="G1155" s="16"/>
    </row>
    <row r="1156" spans="7:7" x14ac:dyDescent="0.3">
      <c r="G1156" s="16"/>
    </row>
    <row r="1157" spans="7:7" x14ac:dyDescent="0.3">
      <c r="G1157" s="16"/>
    </row>
    <row r="1158" spans="7:7" x14ac:dyDescent="0.3">
      <c r="G1158" s="16"/>
    </row>
    <row r="1159" spans="7:7" x14ac:dyDescent="0.3">
      <c r="G1159" s="16"/>
    </row>
    <row r="1160" spans="7:7" x14ac:dyDescent="0.3">
      <c r="G1160" s="16"/>
    </row>
    <row r="1161" spans="7:7" x14ac:dyDescent="0.3">
      <c r="G1161" s="16"/>
    </row>
    <row r="1162" spans="7:7" x14ac:dyDescent="0.3">
      <c r="G1162" s="16"/>
    </row>
    <row r="1163" spans="7:7" x14ac:dyDescent="0.3">
      <c r="G1163" s="16"/>
    </row>
    <row r="1164" spans="7:7" x14ac:dyDescent="0.3">
      <c r="G1164" s="16"/>
    </row>
    <row r="1165" spans="7:7" x14ac:dyDescent="0.3">
      <c r="G1165" s="16"/>
    </row>
    <row r="1166" spans="7:7" x14ac:dyDescent="0.3">
      <c r="G1166" s="16"/>
    </row>
    <row r="1167" spans="7:7" x14ac:dyDescent="0.3">
      <c r="G1167" s="16"/>
    </row>
    <row r="1168" spans="7:7" x14ac:dyDescent="0.3">
      <c r="G1168" s="16"/>
    </row>
    <row r="1169" spans="7:7" x14ac:dyDescent="0.3">
      <c r="G1169" s="16"/>
    </row>
    <row r="1170" spans="7:7" x14ac:dyDescent="0.3">
      <c r="G1170" s="16"/>
    </row>
    <row r="1171" spans="7:7" x14ac:dyDescent="0.3">
      <c r="G1171" s="16"/>
    </row>
    <row r="1172" spans="7:7" x14ac:dyDescent="0.3">
      <c r="G1172" s="16"/>
    </row>
    <row r="1173" spans="7:7" x14ac:dyDescent="0.3">
      <c r="G1173" s="16"/>
    </row>
    <row r="1174" spans="7:7" x14ac:dyDescent="0.3">
      <c r="G1174" s="16"/>
    </row>
    <row r="1175" spans="7:7" x14ac:dyDescent="0.3">
      <c r="G1175" s="16"/>
    </row>
    <row r="1176" spans="7:7" x14ac:dyDescent="0.3">
      <c r="G1176" s="16"/>
    </row>
    <row r="1177" spans="7:7" x14ac:dyDescent="0.3">
      <c r="G1177" s="16"/>
    </row>
    <row r="1178" spans="7:7" x14ac:dyDescent="0.3">
      <c r="G1178" s="16"/>
    </row>
    <row r="1179" spans="7:7" x14ac:dyDescent="0.3">
      <c r="G1179" s="16"/>
    </row>
    <row r="1180" spans="7:7" x14ac:dyDescent="0.3">
      <c r="G1180" s="16"/>
    </row>
    <row r="1181" spans="7:7" x14ac:dyDescent="0.3">
      <c r="G1181" s="16"/>
    </row>
    <row r="1182" spans="7:7" x14ac:dyDescent="0.3">
      <c r="G1182" s="16"/>
    </row>
    <row r="1183" spans="7:7" x14ac:dyDescent="0.3">
      <c r="G1183" s="16"/>
    </row>
    <row r="1184" spans="7:7" x14ac:dyDescent="0.3">
      <c r="G1184" s="16"/>
    </row>
    <row r="1185" spans="7:7" x14ac:dyDescent="0.3">
      <c r="G1185" s="16"/>
    </row>
    <row r="1186" spans="7:7" x14ac:dyDescent="0.3">
      <c r="G1186" s="16"/>
    </row>
    <row r="1187" spans="7:7" x14ac:dyDescent="0.3">
      <c r="G1187" s="16"/>
    </row>
    <row r="1188" spans="7:7" x14ac:dyDescent="0.3">
      <c r="G1188" s="16"/>
    </row>
    <row r="1189" spans="7:7" x14ac:dyDescent="0.3">
      <c r="G1189" s="16"/>
    </row>
    <row r="1190" spans="7:7" x14ac:dyDescent="0.3">
      <c r="G1190" s="16"/>
    </row>
    <row r="1191" spans="7:7" x14ac:dyDescent="0.3">
      <c r="G1191" s="16"/>
    </row>
    <row r="1192" spans="7:7" x14ac:dyDescent="0.3">
      <c r="G1192" s="16"/>
    </row>
    <row r="1193" spans="7:7" x14ac:dyDescent="0.3">
      <c r="G1193" s="16"/>
    </row>
    <row r="1194" spans="7:7" x14ac:dyDescent="0.3">
      <c r="G1194" s="16"/>
    </row>
    <row r="1195" spans="7:7" x14ac:dyDescent="0.3">
      <c r="G1195" s="16"/>
    </row>
    <row r="1196" spans="7:7" x14ac:dyDescent="0.3">
      <c r="G1196" s="16"/>
    </row>
    <row r="1197" spans="7:7" x14ac:dyDescent="0.3">
      <c r="G1197" s="16"/>
    </row>
    <row r="1198" spans="7:7" x14ac:dyDescent="0.3">
      <c r="G1198" s="16"/>
    </row>
    <row r="1199" spans="7:7" x14ac:dyDescent="0.3">
      <c r="G1199" s="16"/>
    </row>
    <row r="1200" spans="7:7" x14ac:dyDescent="0.3">
      <c r="G1200" s="16"/>
    </row>
    <row r="1201" spans="7:7" x14ac:dyDescent="0.3">
      <c r="G1201" s="16"/>
    </row>
    <row r="1202" spans="7:7" x14ac:dyDescent="0.3">
      <c r="G1202" s="16"/>
    </row>
    <row r="1203" spans="7:7" x14ac:dyDescent="0.3">
      <c r="G1203" s="16"/>
    </row>
    <row r="1204" spans="7:7" x14ac:dyDescent="0.3">
      <c r="G1204" s="16"/>
    </row>
    <row r="1205" spans="7:7" x14ac:dyDescent="0.3">
      <c r="G1205" s="16"/>
    </row>
    <row r="1206" spans="7:7" x14ac:dyDescent="0.3">
      <c r="G1206" s="16"/>
    </row>
    <row r="1207" spans="7:7" x14ac:dyDescent="0.3">
      <c r="G1207" s="16"/>
    </row>
    <row r="1208" spans="7:7" x14ac:dyDescent="0.3">
      <c r="G1208" s="16"/>
    </row>
    <row r="1209" spans="7:7" x14ac:dyDescent="0.3">
      <c r="G1209" s="16"/>
    </row>
    <row r="1210" spans="7:7" x14ac:dyDescent="0.3">
      <c r="G1210" s="16"/>
    </row>
    <row r="1211" spans="7:7" x14ac:dyDescent="0.3">
      <c r="G1211" s="16"/>
    </row>
    <row r="1212" spans="7:7" x14ac:dyDescent="0.3">
      <c r="G1212" s="16"/>
    </row>
    <row r="1213" spans="7:7" x14ac:dyDescent="0.3">
      <c r="G1213" s="16"/>
    </row>
    <row r="1214" spans="7:7" x14ac:dyDescent="0.3">
      <c r="G1214" s="16"/>
    </row>
    <row r="1215" spans="7:7" x14ac:dyDescent="0.3">
      <c r="G1215" s="16"/>
    </row>
    <row r="1216" spans="7:7" x14ac:dyDescent="0.3">
      <c r="G1216" s="16"/>
    </row>
    <row r="1217" spans="7:7" x14ac:dyDescent="0.3">
      <c r="G1217" s="16"/>
    </row>
    <row r="1218" spans="7:7" x14ac:dyDescent="0.3">
      <c r="G1218" s="16"/>
    </row>
    <row r="1219" spans="7:7" x14ac:dyDescent="0.3">
      <c r="G1219" s="16"/>
    </row>
    <row r="1220" spans="7:7" x14ac:dyDescent="0.3">
      <c r="G1220" s="16"/>
    </row>
    <row r="1221" spans="7:7" x14ac:dyDescent="0.3">
      <c r="G1221" s="16"/>
    </row>
    <row r="1222" spans="7:7" x14ac:dyDescent="0.3">
      <c r="G1222" s="16"/>
    </row>
    <row r="1223" spans="7:7" x14ac:dyDescent="0.3">
      <c r="G1223" s="16"/>
    </row>
    <row r="1224" spans="7:7" x14ac:dyDescent="0.3">
      <c r="G1224" s="16"/>
    </row>
    <row r="1225" spans="7:7" x14ac:dyDescent="0.3">
      <c r="G1225" s="16"/>
    </row>
    <row r="1226" spans="7:7" x14ac:dyDescent="0.3">
      <c r="G1226" s="16"/>
    </row>
    <row r="1227" spans="7:7" x14ac:dyDescent="0.3">
      <c r="G1227" s="16"/>
    </row>
    <row r="1228" spans="7:7" x14ac:dyDescent="0.3">
      <c r="G1228" s="16"/>
    </row>
    <row r="1229" spans="7:7" x14ac:dyDescent="0.3">
      <c r="G1229" s="16"/>
    </row>
    <row r="1230" spans="7:7" x14ac:dyDescent="0.3">
      <c r="G1230" s="16"/>
    </row>
    <row r="1231" spans="7:7" x14ac:dyDescent="0.3">
      <c r="G1231" s="16"/>
    </row>
    <row r="1232" spans="7:7" x14ac:dyDescent="0.3">
      <c r="G1232" s="16"/>
    </row>
    <row r="1233" spans="7:7" x14ac:dyDescent="0.3">
      <c r="G1233" s="16"/>
    </row>
    <row r="1234" spans="7:7" x14ac:dyDescent="0.3">
      <c r="G1234" s="16"/>
    </row>
    <row r="1235" spans="7:7" x14ac:dyDescent="0.3">
      <c r="G1235" s="16"/>
    </row>
    <row r="1236" spans="7:7" x14ac:dyDescent="0.3">
      <c r="G1236" s="16"/>
    </row>
    <row r="1237" spans="7:7" x14ac:dyDescent="0.3">
      <c r="G1237" s="16"/>
    </row>
    <row r="1238" spans="7:7" x14ac:dyDescent="0.3">
      <c r="G1238" s="16"/>
    </row>
    <row r="1239" spans="7:7" x14ac:dyDescent="0.3">
      <c r="G1239" s="16"/>
    </row>
    <row r="1240" spans="7:7" x14ac:dyDescent="0.3">
      <c r="G1240" s="16"/>
    </row>
    <row r="1241" spans="7:7" x14ac:dyDescent="0.3">
      <c r="G1241" s="16"/>
    </row>
    <row r="1242" spans="7:7" x14ac:dyDescent="0.3">
      <c r="G1242" s="16"/>
    </row>
    <row r="1243" spans="7:7" x14ac:dyDescent="0.3">
      <c r="G1243" s="16"/>
    </row>
    <row r="1244" spans="7:7" x14ac:dyDescent="0.3">
      <c r="G1244" s="16"/>
    </row>
    <row r="1245" spans="7:7" x14ac:dyDescent="0.3">
      <c r="G1245" s="16"/>
    </row>
    <row r="1246" spans="7:7" x14ac:dyDescent="0.3">
      <c r="G1246" s="16"/>
    </row>
    <row r="1247" spans="7:7" x14ac:dyDescent="0.3">
      <c r="G1247" s="16"/>
    </row>
    <row r="1248" spans="7:7" x14ac:dyDescent="0.3">
      <c r="G1248" s="16"/>
    </row>
    <row r="1249" spans="7:7" x14ac:dyDescent="0.3">
      <c r="G1249" s="16"/>
    </row>
    <row r="1250" spans="7:7" x14ac:dyDescent="0.3">
      <c r="G1250" s="16"/>
    </row>
    <row r="1251" spans="7:7" x14ac:dyDescent="0.3">
      <c r="G1251" s="16"/>
    </row>
    <row r="1252" spans="7:7" x14ac:dyDescent="0.3">
      <c r="G1252" s="16"/>
    </row>
    <row r="1253" spans="7:7" x14ac:dyDescent="0.3">
      <c r="G1253" s="16"/>
    </row>
    <row r="1254" spans="7:7" x14ac:dyDescent="0.3">
      <c r="G1254" s="16"/>
    </row>
    <row r="1255" spans="7:7" x14ac:dyDescent="0.3">
      <c r="G1255" s="16"/>
    </row>
    <row r="1256" spans="7:7" x14ac:dyDescent="0.3">
      <c r="G1256" s="16"/>
    </row>
    <row r="1257" spans="7:7" x14ac:dyDescent="0.3">
      <c r="G1257" s="16"/>
    </row>
    <row r="1258" spans="7:7" x14ac:dyDescent="0.3">
      <c r="G1258" s="16"/>
    </row>
    <row r="1259" spans="7:7" x14ac:dyDescent="0.3">
      <c r="G1259" s="16"/>
    </row>
    <row r="1260" spans="7:7" x14ac:dyDescent="0.3">
      <c r="G1260" s="16"/>
    </row>
    <row r="1261" spans="7:7" x14ac:dyDescent="0.3">
      <c r="G1261" s="16"/>
    </row>
    <row r="1262" spans="7:7" x14ac:dyDescent="0.3">
      <c r="G1262" s="16"/>
    </row>
    <row r="1263" spans="7:7" x14ac:dyDescent="0.3">
      <c r="G1263" s="16"/>
    </row>
    <row r="1264" spans="7:7" x14ac:dyDescent="0.3">
      <c r="G1264" s="16"/>
    </row>
    <row r="1265" spans="7:7" x14ac:dyDescent="0.3">
      <c r="G1265" s="16"/>
    </row>
    <row r="1266" spans="7:7" x14ac:dyDescent="0.3">
      <c r="G1266" s="16"/>
    </row>
    <row r="1267" spans="7:7" x14ac:dyDescent="0.3">
      <c r="G1267" s="16"/>
    </row>
    <row r="1268" spans="7:7" x14ac:dyDescent="0.3">
      <c r="G1268" s="16"/>
    </row>
    <row r="1269" spans="7:7" x14ac:dyDescent="0.3">
      <c r="G1269" s="16"/>
    </row>
    <row r="1270" spans="7:7" x14ac:dyDescent="0.3">
      <c r="G1270" s="16"/>
    </row>
    <row r="1271" spans="7:7" x14ac:dyDescent="0.3">
      <c r="G1271" s="16"/>
    </row>
    <row r="1272" spans="7:7" x14ac:dyDescent="0.3">
      <c r="G1272" s="16"/>
    </row>
    <row r="1273" spans="7:7" x14ac:dyDescent="0.3">
      <c r="G1273" s="16"/>
    </row>
    <row r="1274" spans="7:7" x14ac:dyDescent="0.3">
      <c r="G1274" s="16"/>
    </row>
    <row r="1275" spans="7:7" x14ac:dyDescent="0.3">
      <c r="G1275" s="16"/>
    </row>
    <row r="1276" spans="7:7" x14ac:dyDescent="0.3">
      <c r="G1276" s="16"/>
    </row>
    <row r="1277" spans="7:7" x14ac:dyDescent="0.3">
      <c r="G1277" s="16"/>
    </row>
    <row r="1278" spans="7:7" x14ac:dyDescent="0.3">
      <c r="G1278" s="16"/>
    </row>
    <row r="1279" spans="7:7" x14ac:dyDescent="0.3">
      <c r="G1279" s="16"/>
    </row>
    <row r="1280" spans="7:7" x14ac:dyDescent="0.3">
      <c r="G1280" s="16"/>
    </row>
    <row r="1281" spans="7:7" x14ac:dyDescent="0.3">
      <c r="G1281" s="16"/>
    </row>
    <row r="1282" spans="7:7" x14ac:dyDescent="0.3">
      <c r="G1282" s="16"/>
    </row>
    <row r="1283" spans="7:7" x14ac:dyDescent="0.3">
      <c r="G1283" s="16"/>
    </row>
    <row r="1284" spans="7:7" x14ac:dyDescent="0.3">
      <c r="G1284" s="16"/>
    </row>
    <row r="1285" spans="7:7" x14ac:dyDescent="0.3">
      <c r="G1285" s="16"/>
    </row>
    <row r="1286" spans="7:7" x14ac:dyDescent="0.3">
      <c r="G1286" s="16"/>
    </row>
    <row r="1287" spans="7:7" x14ac:dyDescent="0.3">
      <c r="G1287" s="16"/>
    </row>
    <row r="1288" spans="7:7" x14ac:dyDescent="0.3">
      <c r="G1288" s="16"/>
    </row>
    <row r="1289" spans="7:7" x14ac:dyDescent="0.3">
      <c r="G1289" s="16"/>
    </row>
    <row r="1290" spans="7:7" x14ac:dyDescent="0.3">
      <c r="G1290" s="16"/>
    </row>
    <row r="1291" spans="7:7" x14ac:dyDescent="0.3">
      <c r="G1291" s="16"/>
    </row>
    <row r="1292" spans="7:7" x14ac:dyDescent="0.3">
      <c r="G1292" s="16"/>
    </row>
    <row r="1293" spans="7:7" x14ac:dyDescent="0.3">
      <c r="G1293" s="16"/>
    </row>
    <row r="1294" spans="7:7" x14ac:dyDescent="0.3">
      <c r="G1294" s="16"/>
    </row>
    <row r="1295" spans="7:7" x14ac:dyDescent="0.3">
      <c r="G1295" s="16"/>
    </row>
    <row r="1296" spans="7:7" x14ac:dyDescent="0.3">
      <c r="G1296" s="16"/>
    </row>
    <row r="1297" spans="7:7" x14ac:dyDescent="0.3">
      <c r="G1297" s="16"/>
    </row>
    <row r="1298" spans="7:7" x14ac:dyDescent="0.3">
      <c r="G1298" s="16"/>
    </row>
    <row r="1299" spans="7:7" x14ac:dyDescent="0.3">
      <c r="G1299" s="16"/>
    </row>
    <row r="1300" spans="7:7" x14ac:dyDescent="0.3">
      <c r="G1300" s="16"/>
    </row>
    <row r="1301" spans="7:7" x14ac:dyDescent="0.3">
      <c r="G1301" s="16"/>
    </row>
    <row r="1302" spans="7:7" x14ac:dyDescent="0.3">
      <c r="G1302" s="16"/>
    </row>
    <row r="1303" spans="7:7" x14ac:dyDescent="0.3">
      <c r="G1303" s="16"/>
    </row>
    <row r="1304" spans="7:7" x14ac:dyDescent="0.3">
      <c r="G1304" s="16"/>
    </row>
    <row r="1305" spans="7:7" x14ac:dyDescent="0.3">
      <c r="G1305" s="16"/>
    </row>
    <row r="1306" spans="7:7" x14ac:dyDescent="0.3">
      <c r="G1306" s="16"/>
    </row>
    <row r="1307" spans="7:7" x14ac:dyDescent="0.3">
      <c r="G1307" s="16"/>
    </row>
    <row r="1308" spans="7:7" x14ac:dyDescent="0.3">
      <c r="G1308" s="16"/>
    </row>
    <row r="1309" spans="7:7" x14ac:dyDescent="0.3">
      <c r="G1309" s="16"/>
    </row>
    <row r="1310" spans="7:7" x14ac:dyDescent="0.3">
      <c r="G1310" s="16"/>
    </row>
    <row r="1311" spans="7:7" x14ac:dyDescent="0.3">
      <c r="G1311" s="16"/>
    </row>
    <row r="1312" spans="7:7" x14ac:dyDescent="0.3">
      <c r="G1312" s="16"/>
    </row>
    <row r="1313" spans="7:7" x14ac:dyDescent="0.3">
      <c r="G1313" s="16"/>
    </row>
    <row r="1314" spans="7:7" x14ac:dyDescent="0.3">
      <c r="G1314" s="16"/>
    </row>
    <row r="1315" spans="7:7" x14ac:dyDescent="0.3">
      <c r="G1315" s="16"/>
    </row>
    <row r="1316" spans="7:7" x14ac:dyDescent="0.3">
      <c r="G1316" s="16"/>
    </row>
    <row r="1317" spans="7:7" x14ac:dyDescent="0.3">
      <c r="G1317" s="16"/>
    </row>
    <row r="1318" spans="7:7" x14ac:dyDescent="0.3">
      <c r="G1318" s="16"/>
    </row>
    <row r="1319" spans="7:7" x14ac:dyDescent="0.3">
      <c r="G1319" s="16"/>
    </row>
    <row r="1320" spans="7:7" x14ac:dyDescent="0.3">
      <c r="G1320" s="16"/>
    </row>
    <row r="1321" spans="7:7" x14ac:dyDescent="0.3">
      <c r="G1321" s="16"/>
    </row>
    <row r="1322" spans="7:7" x14ac:dyDescent="0.3">
      <c r="G1322" s="16"/>
    </row>
    <row r="1323" spans="7:7" x14ac:dyDescent="0.3">
      <c r="G1323" s="16"/>
    </row>
    <row r="1324" spans="7:7" x14ac:dyDescent="0.3">
      <c r="G1324" s="16"/>
    </row>
    <row r="1325" spans="7:7" x14ac:dyDescent="0.3">
      <c r="G1325" s="16"/>
    </row>
    <row r="1326" spans="7:7" x14ac:dyDescent="0.3">
      <c r="G1326" s="16"/>
    </row>
    <row r="1327" spans="7:7" x14ac:dyDescent="0.3">
      <c r="G1327" s="16"/>
    </row>
    <row r="1328" spans="7:7" x14ac:dyDescent="0.3">
      <c r="G1328" s="16"/>
    </row>
    <row r="1329" spans="7:7" x14ac:dyDescent="0.3">
      <c r="G1329" s="16"/>
    </row>
    <row r="1330" spans="7:7" x14ac:dyDescent="0.3">
      <c r="G1330" s="16"/>
    </row>
    <row r="1331" spans="7:7" x14ac:dyDescent="0.3">
      <c r="G1331" s="16"/>
    </row>
    <row r="1332" spans="7:7" x14ac:dyDescent="0.3">
      <c r="G1332" s="16"/>
    </row>
    <row r="1333" spans="7:7" x14ac:dyDescent="0.3">
      <c r="G1333" s="16"/>
    </row>
    <row r="1334" spans="7:7" x14ac:dyDescent="0.3">
      <c r="G1334" s="16"/>
    </row>
    <row r="1335" spans="7:7" x14ac:dyDescent="0.3">
      <c r="G1335" s="16"/>
    </row>
    <row r="1336" spans="7:7" x14ac:dyDescent="0.3">
      <c r="G1336" s="16"/>
    </row>
    <row r="1337" spans="7:7" x14ac:dyDescent="0.3">
      <c r="G1337" s="16"/>
    </row>
    <row r="1338" spans="7:7" x14ac:dyDescent="0.3">
      <c r="G1338" s="16"/>
    </row>
    <row r="1339" spans="7:7" x14ac:dyDescent="0.3">
      <c r="G1339" s="16"/>
    </row>
    <row r="1340" spans="7:7" x14ac:dyDescent="0.3">
      <c r="G1340" s="16"/>
    </row>
    <row r="1341" spans="7:7" x14ac:dyDescent="0.3">
      <c r="G1341" s="16"/>
    </row>
    <row r="1342" spans="7:7" x14ac:dyDescent="0.3">
      <c r="G1342" s="16"/>
    </row>
    <row r="1343" spans="7:7" x14ac:dyDescent="0.3">
      <c r="G1343" s="16"/>
    </row>
    <row r="1344" spans="7:7" x14ac:dyDescent="0.3">
      <c r="G1344" s="16"/>
    </row>
    <row r="1345" spans="7:7" x14ac:dyDescent="0.3">
      <c r="G1345" s="16"/>
    </row>
    <row r="1346" spans="7:7" x14ac:dyDescent="0.3">
      <c r="G1346" s="16"/>
    </row>
    <row r="1347" spans="7:7" x14ac:dyDescent="0.3">
      <c r="G1347" s="16"/>
    </row>
    <row r="1348" spans="7:7" x14ac:dyDescent="0.3">
      <c r="G1348" s="16"/>
    </row>
    <row r="1349" spans="7:7" x14ac:dyDescent="0.3">
      <c r="G1349" s="16"/>
    </row>
    <row r="1350" spans="7:7" x14ac:dyDescent="0.3">
      <c r="G1350" s="16"/>
    </row>
    <row r="1351" spans="7:7" x14ac:dyDescent="0.3">
      <c r="G1351" s="16"/>
    </row>
    <row r="1352" spans="7:7" x14ac:dyDescent="0.3">
      <c r="G1352" s="16"/>
    </row>
    <row r="1353" spans="7:7" x14ac:dyDescent="0.3">
      <c r="G1353" s="16"/>
    </row>
    <row r="1354" spans="7:7" x14ac:dyDescent="0.3">
      <c r="G1354" s="16"/>
    </row>
    <row r="1355" spans="7:7" x14ac:dyDescent="0.3">
      <c r="G1355" s="16"/>
    </row>
    <row r="1356" spans="7:7" x14ac:dyDescent="0.3">
      <c r="G1356" s="16"/>
    </row>
    <row r="1357" spans="7:7" x14ac:dyDescent="0.3">
      <c r="G1357" s="16"/>
    </row>
    <row r="1358" spans="7:7" x14ac:dyDescent="0.3">
      <c r="G1358" s="16"/>
    </row>
    <row r="1359" spans="7:7" x14ac:dyDescent="0.3">
      <c r="G1359" s="16"/>
    </row>
    <row r="1360" spans="7:7" x14ac:dyDescent="0.3">
      <c r="G1360" s="16"/>
    </row>
    <row r="1361" spans="7:7" x14ac:dyDescent="0.3">
      <c r="G1361" s="16"/>
    </row>
    <row r="1362" spans="7:7" x14ac:dyDescent="0.3">
      <c r="G1362" s="16"/>
    </row>
    <row r="1363" spans="7:7" x14ac:dyDescent="0.3">
      <c r="G1363" s="16"/>
    </row>
    <row r="1364" spans="7:7" x14ac:dyDescent="0.3">
      <c r="G1364" s="16"/>
    </row>
    <row r="1365" spans="7:7" x14ac:dyDescent="0.3">
      <c r="G1365" s="16"/>
    </row>
    <row r="1366" spans="7:7" x14ac:dyDescent="0.3">
      <c r="G1366" s="16"/>
    </row>
    <row r="1367" spans="7:7" x14ac:dyDescent="0.3">
      <c r="G1367" s="16"/>
    </row>
    <row r="1368" spans="7:7" x14ac:dyDescent="0.3">
      <c r="G1368" s="16"/>
    </row>
    <row r="1369" spans="7:7" x14ac:dyDescent="0.3">
      <c r="G1369" s="16"/>
    </row>
    <row r="1370" spans="7:7" x14ac:dyDescent="0.3">
      <c r="G1370" s="16"/>
    </row>
    <row r="1371" spans="7:7" x14ac:dyDescent="0.3">
      <c r="G1371" s="16"/>
    </row>
    <row r="1372" spans="7:7" x14ac:dyDescent="0.3">
      <c r="G1372" s="16"/>
    </row>
    <row r="1373" spans="7:7" x14ac:dyDescent="0.3">
      <c r="G1373" s="16"/>
    </row>
    <row r="1374" spans="7:7" x14ac:dyDescent="0.3">
      <c r="G1374" s="16"/>
    </row>
    <row r="1375" spans="7:7" x14ac:dyDescent="0.3">
      <c r="G1375" s="16"/>
    </row>
    <row r="1376" spans="7:7" x14ac:dyDescent="0.3">
      <c r="G1376" s="16"/>
    </row>
    <row r="1377" spans="7:7" x14ac:dyDescent="0.3">
      <c r="G1377" s="16"/>
    </row>
    <row r="1378" spans="7:7" x14ac:dyDescent="0.3">
      <c r="G1378" s="16"/>
    </row>
    <row r="1379" spans="7:7" x14ac:dyDescent="0.3">
      <c r="G1379" s="16"/>
    </row>
    <row r="1380" spans="7:7" x14ac:dyDescent="0.3">
      <c r="G1380" s="16"/>
    </row>
    <row r="1381" spans="7:7" x14ac:dyDescent="0.3">
      <c r="G1381" s="16"/>
    </row>
    <row r="1382" spans="7:7" x14ac:dyDescent="0.3">
      <c r="G1382" s="16"/>
    </row>
    <row r="1383" spans="7:7" x14ac:dyDescent="0.3">
      <c r="G1383" s="16"/>
    </row>
    <row r="1384" spans="7:7" x14ac:dyDescent="0.3">
      <c r="G1384" s="16"/>
    </row>
    <row r="1385" spans="7:7" x14ac:dyDescent="0.3">
      <c r="G1385" s="16"/>
    </row>
    <row r="1386" spans="7:7" x14ac:dyDescent="0.3">
      <c r="G1386" s="16"/>
    </row>
    <row r="1387" spans="7:7" x14ac:dyDescent="0.3">
      <c r="G1387" s="16"/>
    </row>
    <row r="1388" spans="7:7" x14ac:dyDescent="0.3">
      <c r="G1388" s="16"/>
    </row>
    <row r="1389" spans="7:7" x14ac:dyDescent="0.3">
      <c r="G1389" s="16"/>
    </row>
    <row r="1390" spans="7:7" x14ac:dyDescent="0.3">
      <c r="G1390" s="16"/>
    </row>
    <row r="1391" spans="7:7" x14ac:dyDescent="0.3">
      <c r="G1391" s="16"/>
    </row>
    <row r="1392" spans="7:7" x14ac:dyDescent="0.3">
      <c r="G1392" s="16"/>
    </row>
    <row r="1393" spans="7:7" x14ac:dyDescent="0.3">
      <c r="G1393" s="16"/>
    </row>
    <row r="1394" spans="7:7" x14ac:dyDescent="0.3">
      <c r="G1394" s="16"/>
    </row>
    <row r="1395" spans="7:7" x14ac:dyDescent="0.3">
      <c r="G1395" s="16"/>
    </row>
    <row r="1396" spans="7:7" x14ac:dyDescent="0.3">
      <c r="G1396" s="16"/>
    </row>
    <row r="1397" spans="7:7" x14ac:dyDescent="0.3">
      <c r="G1397" s="16"/>
    </row>
    <row r="1398" spans="7:7" x14ac:dyDescent="0.3">
      <c r="G1398" s="16"/>
    </row>
    <row r="1399" spans="7:7" x14ac:dyDescent="0.3">
      <c r="G1399" s="16"/>
    </row>
    <row r="1400" spans="7:7" x14ac:dyDescent="0.3">
      <c r="G1400" s="16"/>
    </row>
    <row r="1401" spans="7:7" x14ac:dyDescent="0.3">
      <c r="G1401" s="16"/>
    </row>
    <row r="1402" spans="7:7" x14ac:dyDescent="0.3">
      <c r="G1402" s="16"/>
    </row>
    <row r="1403" spans="7:7" x14ac:dyDescent="0.3">
      <c r="G1403" s="16"/>
    </row>
    <row r="1404" spans="7:7" x14ac:dyDescent="0.3">
      <c r="G1404" s="16"/>
    </row>
    <row r="1405" spans="7:7" x14ac:dyDescent="0.3">
      <c r="G1405" s="16"/>
    </row>
    <row r="1406" spans="7:7" x14ac:dyDescent="0.3">
      <c r="G1406" s="16"/>
    </row>
    <row r="1407" spans="7:7" x14ac:dyDescent="0.3">
      <c r="G1407" s="16"/>
    </row>
    <row r="1408" spans="7:7" x14ac:dyDescent="0.3">
      <c r="G1408" s="16"/>
    </row>
    <row r="1409" spans="7:7" x14ac:dyDescent="0.3">
      <c r="G1409" s="16"/>
    </row>
    <row r="1410" spans="7:7" x14ac:dyDescent="0.3">
      <c r="G1410" s="16"/>
    </row>
    <row r="1411" spans="7:7" x14ac:dyDescent="0.3">
      <c r="G1411" s="16"/>
    </row>
    <row r="1412" spans="7:7" x14ac:dyDescent="0.3">
      <c r="G1412" s="16"/>
    </row>
    <row r="1413" spans="7:7" x14ac:dyDescent="0.3">
      <c r="G1413" s="16"/>
    </row>
    <row r="1414" spans="7:7" x14ac:dyDescent="0.3">
      <c r="G1414" s="16"/>
    </row>
    <row r="1415" spans="7:7" x14ac:dyDescent="0.3">
      <c r="G1415" s="16"/>
    </row>
    <row r="1416" spans="7:7" x14ac:dyDescent="0.3">
      <c r="G1416" s="16"/>
    </row>
    <row r="1417" spans="7:7" x14ac:dyDescent="0.3">
      <c r="G1417" s="16"/>
    </row>
    <row r="1418" spans="7:7" x14ac:dyDescent="0.3">
      <c r="G1418" s="16"/>
    </row>
    <row r="1419" spans="7:7" x14ac:dyDescent="0.3">
      <c r="G1419" s="16"/>
    </row>
    <row r="1420" spans="7:7" x14ac:dyDescent="0.3">
      <c r="G1420" s="16"/>
    </row>
    <row r="1421" spans="7:7" x14ac:dyDescent="0.3">
      <c r="G1421" s="16"/>
    </row>
    <row r="1422" spans="7:7" x14ac:dyDescent="0.3">
      <c r="G1422" s="16"/>
    </row>
    <row r="1423" spans="7:7" x14ac:dyDescent="0.3">
      <c r="G1423" s="16"/>
    </row>
    <row r="1424" spans="7:7" x14ac:dyDescent="0.3">
      <c r="G1424" s="16"/>
    </row>
    <row r="1425" spans="7:7" x14ac:dyDescent="0.3">
      <c r="G1425" s="16"/>
    </row>
    <row r="1426" spans="7:7" x14ac:dyDescent="0.3">
      <c r="G1426" s="16"/>
    </row>
    <row r="1427" spans="7:7" x14ac:dyDescent="0.3">
      <c r="G1427" s="16"/>
    </row>
    <row r="1428" spans="7:7" x14ac:dyDescent="0.3">
      <c r="G1428" s="16"/>
    </row>
    <row r="1429" spans="7:7" x14ac:dyDescent="0.3">
      <c r="G1429" s="16"/>
    </row>
    <row r="1430" spans="7:7" x14ac:dyDescent="0.3">
      <c r="G1430" s="16"/>
    </row>
    <row r="1431" spans="7:7" x14ac:dyDescent="0.3">
      <c r="G1431" s="16"/>
    </row>
    <row r="1432" spans="7:7" x14ac:dyDescent="0.3">
      <c r="G1432" s="16"/>
    </row>
    <row r="1433" spans="7:7" x14ac:dyDescent="0.3">
      <c r="G1433" s="16"/>
    </row>
    <row r="1434" spans="7:7" x14ac:dyDescent="0.3">
      <c r="G1434" s="16"/>
    </row>
    <row r="1435" spans="7:7" x14ac:dyDescent="0.3">
      <c r="G1435" s="16"/>
    </row>
    <row r="1436" spans="7:7" x14ac:dyDescent="0.3">
      <c r="G1436" s="16"/>
    </row>
    <row r="1437" spans="7:7" x14ac:dyDescent="0.3">
      <c r="G1437" s="16"/>
    </row>
    <row r="1438" spans="7:7" x14ac:dyDescent="0.3">
      <c r="G1438" s="16"/>
    </row>
    <row r="1439" spans="7:7" x14ac:dyDescent="0.3">
      <c r="G1439" s="16"/>
    </row>
    <row r="1440" spans="7:7" x14ac:dyDescent="0.3">
      <c r="G1440" s="16"/>
    </row>
    <row r="1441" spans="7:7" x14ac:dyDescent="0.3">
      <c r="G1441" s="16"/>
    </row>
    <row r="1442" spans="7:7" x14ac:dyDescent="0.3">
      <c r="G1442" s="16"/>
    </row>
    <row r="1443" spans="7:7" x14ac:dyDescent="0.3">
      <c r="G1443" s="16"/>
    </row>
    <row r="1444" spans="7:7" x14ac:dyDescent="0.3">
      <c r="G1444" s="16"/>
    </row>
    <row r="1445" spans="7:7" x14ac:dyDescent="0.3">
      <c r="G1445" s="16"/>
    </row>
    <row r="1446" spans="7:7" x14ac:dyDescent="0.3">
      <c r="G1446" s="16"/>
    </row>
    <row r="1447" spans="7:7" x14ac:dyDescent="0.3">
      <c r="G1447" s="16"/>
    </row>
    <row r="1448" spans="7:7" x14ac:dyDescent="0.3">
      <c r="G1448" s="16"/>
    </row>
    <row r="1449" spans="7:7" x14ac:dyDescent="0.3">
      <c r="G1449" s="16"/>
    </row>
    <row r="1450" spans="7:7" x14ac:dyDescent="0.3">
      <c r="G1450" s="16"/>
    </row>
    <row r="1451" spans="7:7" x14ac:dyDescent="0.3">
      <c r="G1451" s="16"/>
    </row>
    <row r="1452" spans="7:7" x14ac:dyDescent="0.3">
      <c r="G1452" s="16"/>
    </row>
    <row r="1453" spans="7:7" x14ac:dyDescent="0.3">
      <c r="G1453" s="16"/>
    </row>
    <row r="1454" spans="7:7" x14ac:dyDescent="0.3">
      <c r="G1454" s="16"/>
    </row>
    <row r="1455" spans="7:7" x14ac:dyDescent="0.3">
      <c r="G1455" s="16"/>
    </row>
    <row r="1456" spans="7:7" x14ac:dyDescent="0.3">
      <c r="G1456" s="16"/>
    </row>
    <row r="1457" spans="7:7" x14ac:dyDescent="0.3">
      <c r="G1457" s="16"/>
    </row>
    <row r="1458" spans="7:7" x14ac:dyDescent="0.3">
      <c r="G1458" s="16"/>
    </row>
    <row r="1459" spans="7:7" x14ac:dyDescent="0.3">
      <c r="G1459" s="16"/>
    </row>
    <row r="1460" spans="7:7" x14ac:dyDescent="0.3">
      <c r="G1460" s="16"/>
    </row>
    <row r="1461" spans="7:7" x14ac:dyDescent="0.3">
      <c r="G1461" s="16"/>
    </row>
    <row r="1462" spans="7:7" x14ac:dyDescent="0.3">
      <c r="G1462" s="16"/>
    </row>
    <row r="1463" spans="7:7" x14ac:dyDescent="0.3">
      <c r="G1463" s="16"/>
    </row>
    <row r="1464" spans="7:7" x14ac:dyDescent="0.3">
      <c r="G1464" s="16"/>
    </row>
    <row r="1465" spans="7:7" x14ac:dyDescent="0.3">
      <c r="G1465" s="16"/>
    </row>
    <row r="1466" spans="7:7" x14ac:dyDescent="0.3">
      <c r="G1466" s="16"/>
    </row>
    <row r="1467" spans="7:7" x14ac:dyDescent="0.3">
      <c r="G1467" s="16"/>
    </row>
    <row r="1468" spans="7:7" x14ac:dyDescent="0.3">
      <c r="G1468" s="16"/>
    </row>
    <row r="1469" spans="7:7" x14ac:dyDescent="0.3">
      <c r="G1469" s="16"/>
    </row>
    <row r="1470" spans="7:7" x14ac:dyDescent="0.3">
      <c r="G1470" s="16"/>
    </row>
    <row r="1471" spans="7:7" x14ac:dyDescent="0.3">
      <c r="G1471" s="16"/>
    </row>
    <row r="1472" spans="7:7" x14ac:dyDescent="0.3">
      <c r="G1472" s="16"/>
    </row>
    <row r="1473" spans="7:7" x14ac:dyDescent="0.3">
      <c r="G1473" s="16"/>
    </row>
    <row r="1474" spans="7:7" x14ac:dyDescent="0.3">
      <c r="G1474" s="16"/>
    </row>
    <row r="1475" spans="7:7" x14ac:dyDescent="0.3">
      <c r="G1475" s="16"/>
    </row>
    <row r="1476" spans="7:7" x14ac:dyDescent="0.3">
      <c r="G1476" s="16"/>
    </row>
    <row r="1477" spans="7:7" x14ac:dyDescent="0.3">
      <c r="G1477" s="16"/>
    </row>
    <row r="1478" spans="7:7" x14ac:dyDescent="0.3">
      <c r="G1478" s="16"/>
    </row>
    <row r="1479" spans="7:7" x14ac:dyDescent="0.3">
      <c r="G1479" s="16"/>
    </row>
    <row r="1480" spans="7:7" x14ac:dyDescent="0.3">
      <c r="G1480" s="16"/>
    </row>
    <row r="1481" spans="7:7" x14ac:dyDescent="0.3">
      <c r="G1481" s="16"/>
    </row>
    <row r="1482" spans="7:7" x14ac:dyDescent="0.3">
      <c r="G1482" s="16"/>
    </row>
    <row r="1483" spans="7:7" x14ac:dyDescent="0.3">
      <c r="G1483" s="16"/>
    </row>
    <row r="1484" spans="7:7" x14ac:dyDescent="0.3">
      <c r="G1484" s="16"/>
    </row>
    <row r="1485" spans="7:7" x14ac:dyDescent="0.3">
      <c r="G1485" s="16"/>
    </row>
    <row r="1486" spans="7:7" x14ac:dyDescent="0.3">
      <c r="G1486" s="16"/>
    </row>
    <row r="1487" spans="7:7" x14ac:dyDescent="0.3">
      <c r="G1487" s="16"/>
    </row>
    <row r="1488" spans="7:7" x14ac:dyDescent="0.3">
      <c r="G1488" s="16"/>
    </row>
    <row r="1489" spans="7:7" x14ac:dyDescent="0.3">
      <c r="G1489" s="16"/>
    </row>
    <row r="1490" spans="7:7" x14ac:dyDescent="0.3">
      <c r="G1490" s="16"/>
    </row>
    <row r="1491" spans="7:7" x14ac:dyDescent="0.3">
      <c r="G1491" s="16"/>
    </row>
    <row r="1492" spans="7:7" x14ac:dyDescent="0.3">
      <c r="G1492" s="16"/>
    </row>
    <row r="1493" spans="7:7" x14ac:dyDescent="0.3">
      <c r="G1493" s="16"/>
    </row>
    <row r="1494" spans="7:7" x14ac:dyDescent="0.3">
      <c r="G1494" s="16"/>
    </row>
    <row r="1495" spans="7:7" x14ac:dyDescent="0.3">
      <c r="G1495" s="16"/>
    </row>
    <row r="1496" spans="7:7" x14ac:dyDescent="0.3">
      <c r="G1496" s="16"/>
    </row>
    <row r="1497" spans="7:7" x14ac:dyDescent="0.3">
      <c r="G1497" s="16"/>
    </row>
    <row r="1498" spans="7:7" x14ac:dyDescent="0.3">
      <c r="G1498" s="16"/>
    </row>
    <row r="1499" spans="7:7" x14ac:dyDescent="0.3">
      <c r="G1499" s="16"/>
    </row>
    <row r="1500" spans="7:7" x14ac:dyDescent="0.3">
      <c r="G1500" s="16"/>
    </row>
    <row r="1501" spans="7:7" x14ac:dyDescent="0.3">
      <c r="G1501" s="16"/>
    </row>
    <row r="1502" spans="7:7" x14ac:dyDescent="0.3">
      <c r="G1502" s="16"/>
    </row>
    <row r="1503" spans="7:7" x14ac:dyDescent="0.3">
      <c r="G1503" s="16"/>
    </row>
    <row r="1504" spans="7:7" x14ac:dyDescent="0.3">
      <c r="G1504" s="16"/>
    </row>
    <row r="1505" spans="7:7" x14ac:dyDescent="0.3">
      <c r="G1505" s="16"/>
    </row>
    <row r="1506" spans="7:7" x14ac:dyDescent="0.3">
      <c r="G1506" s="16"/>
    </row>
    <row r="1507" spans="7:7" x14ac:dyDescent="0.3">
      <c r="G1507" s="16"/>
    </row>
    <row r="1508" spans="7:7" x14ac:dyDescent="0.3">
      <c r="G1508" s="16"/>
    </row>
    <row r="1509" spans="7:7" x14ac:dyDescent="0.3">
      <c r="G1509" s="16"/>
    </row>
    <row r="1510" spans="7:7" x14ac:dyDescent="0.3">
      <c r="G1510" s="16"/>
    </row>
    <row r="1511" spans="7:7" x14ac:dyDescent="0.3">
      <c r="G1511" s="16"/>
    </row>
    <row r="1512" spans="7:7" x14ac:dyDescent="0.3">
      <c r="G1512" s="16"/>
    </row>
    <row r="1513" spans="7:7" x14ac:dyDescent="0.3">
      <c r="G1513" s="16"/>
    </row>
    <row r="1514" spans="7:7" x14ac:dyDescent="0.3">
      <c r="G1514" s="16"/>
    </row>
    <row r="1515" spans="7:7" x14ac:dyDescent="0.3">
      <c r="G1515" s="16"/>
    </row>
    <row r="1516" spans="7:7" x14ac:dyDescent="0.3">
      <c r="G1516" s="16"/>
    </row>
    <row r="1517" spans="7:7" x14ac:dyDescent="0.3">
      <c r="G1517" s="16"/>
    </row>
    <row r="1518" spans="7:7" x14ac:dyDescent="0.3">
      <c r="G1518" s="16"/>
    </row>
    <row r="1519" spans="7:7" x14ac:dyDescent="0.3">
      <c r="G1519" s="16"/>
    </row>
    <row r="1520" spans="7:7" x14ac:dyDescent="0.3">
      <c r="G1520" s="16"/>
    </row>
    <row r="1521" spans="7:7" x14ac:dyDescent="0.3">
      <c r="G1521" s="16"/>
    </row>
    <row r="1522" spans="7:7" x14ac:dyDescent="0.3">
      <c r="G1522" s="16"/>
    </row>
    <row r="1523" spans="7:7" x14ac:dyDescent="0.3">
      <c r="G1523" s="16"/>
    </row>
    <row r="1524" spans="7:7" x14ac:dyDescent="0.3">
      <c r="G1524" s="16"/>
    </row>
    <row r="1525" spans="7:7" x14ac:dyDescent="0.3">
      <c r="G1525" s="16"/>
    </row>
    <row r="1526" spans="7:7" x14ac:dyDescent="0.3">
      <c r="G1526" s="16"/>
    </row>
    <row r="1527" spans="7:7" x14ac:dyDescent="0.3">
      <c r="G1527" s="16"/>
    </row>
    <row r="1528" spans="7:7" x14ac:dyDescent="0.3">
      <c r="G1528" s="16"/>
    </row>
    <row r="1529" spans="7:7" x14ac:dyDescent="0.3">
      <c r="G1529" s="16"/>
    </row>
    <row r="1530" spans="7:7" x14ac:dyDescent="0.3">
      <c r="G1530" s="16"/>
    </row>
    <row r="1531" spans="7:7" x14ac:dyDescent="0.3">
      <c r="G1531" s="16"/>
    </row>
    <row r="1532" spans="7:7" x14ac:dyDescent="0.3">
      <c r="G1532" s="16"/>
    </row>
    <row r="1533" spans="7:7" x14ac:dyDescent="0.3">
      <c r="G1533" s="16"/>
    </row>
    <row r="1534" spans="7:7" x14ac:dyDescent="0.3">
      <c r="G1534" s="16"/>
    </row>
    <row r="1535" spans="7:7" x14ac:dyDescent="0.3">
      <c r="G1535" s="16"/>
    </row>
    <row r="1536" spans="7:7" x14ac:dyDescent="0.3">
      <c r="G1536" s="16"/>
    </row>
    <row r="1537" spans="7:7" x14ac:dyDescent="0.3">
      <c r="G1537" s="16"/>
    </row>
    <row r="1538" spans="7:7" x14ac:dyDescent="0.3">
      <c r="G1538" s="16"/>
    </row>
    <row r="1539" spans="7:7" x14ac:dyDescent="0.3">
      <c r="G1539" s="16"/>
    </row>
    <row r="1540" spans="7:7" x14ac:dyDescent="0.3">
      <c r="G1540" s="16"/>
    </row>
    <row r="1541" spans="7:7" x14ac:dyDescent="0.3">
      <c r="G1541" s="16"/>
    </row>
    <row r="1542" spans="7:7" x14ac:dyDescent="0.3">
      <c r="G1542" s="16"/>
    </row>
    <row r="1543" spans="7:7" x14ac:dyDescent="0.3">
      <c r="G1543" s="16"/>
    </row>
    <row r="1544" spans="7:7" x14ac:dyDescent="0.3">
      <c r="G1544" s="16"/>
    </row>
    <row r="1545" spans="7:7" x14ac:dyDescent="0.3">
      <c r="G1545" s="16"/>
    </row>
    <row r="1546" spans="7:7" x14ac:dyDescent="0.3">
      <c r="G1546" s="16"/>
    </row>
    <row r="1547" spans="7:7" x14ac:dyDescent="0.3">
      <c r="G1547" s="16"/>
    </row>
    <row r="1548" spans="7:7" x14ac:dyDescent="0.3">
      <c r="G1548" s="16"/>
    </row>
    <row r="1549" spans="7:7" x14ac:dyDescent="0.3">
      <c r="G1549" s="16"/>
    </row>
    <row r="1550" spans="7:7" x14ac:dyDescent="0.3">
      <c r="G1550" s="16"/>
    </row>
    <row r="1551" spans="7:7" x14ac:dyDescent="0.3">
      <c r="G1551" s="16"/>
    </row>
    <row r="1552" spans="7:7" x14ac:dyDescent="0.3">
      <c r="G1552" s="16"/>
    </row>
    <row r="1553" spans="7:7" x14ac:dyDescent="0.3">
      <c r="G1553" s="16"/>
    </row>
    <row r="1554" spans="7:7" x14ac:dyDescent="0.3">
      <c r="G1554" s="16"/>
    </row>
    <row r="1555" spans="7:7" x14ac:dyDescent="0.3">
      <c r="G1555" s="16"/>
    </row>
    <row r="1556" spans="7:7" x14ac:dyDescent="0.3">
      <c r="G1556" s="16"/>
    </row>
    <row r="1557" spans="7:7" x14ac:dyDescent="0.3">
      <c r="G1557" s="16"/>
    </row>
    <row r="1558" spans="7:7" x14ac:dyDescent="0.3">
      <c r="G1558" s="16"/>
    </row>
    <row r="1559" spans="7:7" x14ac:dyDescent="0.3">
      <c r="G1559" s="16"/>
    </row>
    <row r="1560" spans="7:7" x14ac:dyDescent="0.3">
      <c r="G1560" s="16"/>
    </row>
    <row r="1561" spans="7:7" x14ac:dyDescent="0.3">
      <c r="G1561" s="16"/>
    </row>
    <row r="1562" spans="7:7" x14ac:dyDescent="0.3">
      <c r="G1562" s="16"/>
    </row>
    <row r="1563" spans="7:7" x14ac:dyDescent="0.3">
      <c r="G1563" s="16"/>
    </row>
    <row r="1564" spans="7:7" x14ac:dyDescent="0.3">
      <c r="G1564" s="16"/>
    </row>
    <row r="1565" spans="7:7" x14ac:dyDescent="0.3">
      <c r="G1565" s="16"/>
    </row>
    <row r="1566" spans="7:7" x14ac:dyDescent="0.3">
      <c r="G1566" s="16"/>
    </row>
    <row r="1567" spans="7:7" x14ac:dyDescent="0.3">
      <c r="G1567" s="16"/>
    </row>
    <row r="1568" spans="7:7" x14ac:dyDescent="0.3">
      <c r="G1568" s="16"/>
    </row>
    <row r="1569" spans="7:7" x14ac:dyDescent="0.3">
      <c r="G1569" s="16"/>
    </row>
    <row r="1570" spans="7:7" x14ac:dyDescent="0.3">
      <c r="G1570" s="16"/>
    </row>
    <row r="1571" spans="7:7" x14ac:dyDescent="0.3">
      <c r="G1571" s="16"/>
    </row>
    <row r="1572" spans="7:7" x14ac:dyDescent="0.3">
      <c r="G1572" s="16"/>
    </row>
    <row r="1573" spans="7:7" x14ac:dyDescent="0.3">
      <c r="G1573" s="16"/>
    </row>
    <row r="1574" spans="7:7" x14ac:dyDescent="0.3">
      <c r="G1574" s="16"/>
    </row>
    <row r="1575" spans="7:7" x14ac:dyDescent="0.3">
      <c r="G1575" s="16"/>
    </row>
    <row r="1576" spans="7:7" x14ac:dyDescent="0.3">
      <c r="G1576" s="16"/>
    </row>
    <row r="1577" spans="7:7" x14ac:dyDescent="0.3">
      <c r="G1577" s="16"/>
    </row>
    <row r="1578" spans="7:7" x14ac:dyDescent="0.3">
      <c r="G1578" s="16"/>
    </row>
    <row r="1579" spans="7:7" x14ac:dyDescent="0.3">
      <c r="G1579" s="16"/>
    </row>
    <row r="1580" spans="7:7" x14ac:dyDescent="0.3">
      <c r="G1580" s="16"/>
    </row>
    <row r="1581" spans="7:7" x14ac:dyDescent="0.3">
      <c r="G1581" s="16"/>
    </row>
    <row r="1582" spans="7:7" x14ac:dyDescent="0.3">
      <c r="G1582" s="16"/>
    </row>
    <row r="1583" spans="7:7" x14ac:dyDescent="0.3">
      <c r="G1583" s="16"/>
    </row>
    <row r="1584" spans="7:7" x14ac:dyDescent="0.3">
      <c r="G1584" s="16"/>
    </row>
    <row r="1585" spans="7:7" x14ac:dyDescent="0.3">
      <c r="G1585" s="16"/>
    </row>
    <row r="1586" spans="7:7" x14ac:dyDescent="0.3">
      <c r="G1586" s="16"/>
    </row>
    <row r="1587" spans="7:7" x14ac:dyDescent="0.3">
      <c r="G1587" s="16"/>
    </row>
    <row r="1588" spans="7:7" x14ac:dyDescent="0.3">
      <c r="G1588" s="16"/>
    </row>
    <row r="1589" spans="7:7" x14ac:dyDescent="0.3">
      <c r="G1589" s="16"/>
    </row>
    <row r="1590" spans="7:7" x14ac:dyDescent="0.3">
      <c r="G1590" s="16"/>
    </row>
    <row r="1591" spans="7:7" x14ac:dyDescent="0.3">
      <c r="G1591" s="16"/>
    </row>
    <row r="1592" spans="7:7" x14ac:dyDescent="0.3">
      <c r="G1592" s="16"/>
    </row>
    <row r="1593" spans="7:7" x14ac:dyDescent="0.3">
      <c r="G1593" s="16"/>
    </row>
    <row r="1594" spans="7:7" x14ac:dyDescent="0.3">
      <c r="G1594" s="16"/>
    </row>
    <row r="1595" spans="7:7" x14ac:dyDescent="0.3">
      <c r="G1595" s="16"/>
    </row>
    <row r="1596" spans="7:7" x14ac:dyDescent="0.3">
      <c r="G1596" s="16"/>
    </row>
    <row r="1597" spans="7:7" x14ac:dyDescent="0.3">
      <c r="G1597" s="16"/>
    </row>
    <row r="1598" spans="7:7" x14ac:dyDescent="0.3">
      <c r="G1598" s="16"/>
    </row>
    <row r="1599" spans="7:7" x14ac:dyDescent="0.3">
      <c r="G1599" s="16"/>
    </row>
    <row r="1600" spans="7:7" x14ac:dyDescent="0.3">
      <c r="G1600" s="16"/>
    </row>
    <row r="1601" spans="7:7" x14ac:dyDescent="0.3">
      <c r="G1601" s="16"/>
    </row>
    <row r="1602" spans="7:7" x14ac:dyDescent="0.3">
      <c r="G1602" s="16"/>
    </row>
    <row r="1603" spans="7:7" x14ac:dyDescent="0.3">
      <c r="G1603" s="16"/>
    </row>
    <row r="1604" spans="7:7" x14ac:dyDescent="0.3">
      <c r="G1604" s="16"/>
    </row>
    <row r="1605" spans="7:7" x14ac:dyDescent="0.3">
      <c r="G1605" s="16"/>
    </row>
    <row r="1606" spans="7:7" x14ac:dyDescent="0.3">
      <c r="G1606" s="16"/>
    </row>
    <row r="1607" spans="7:7" x14ac:dyDescent="0.3">
      <c r="G1607" s="16"/>
    </row>
    <row r="1608" spans="7:7" x14ac:dyDescent="0.3">
      <c r="G1608" s="16"/>
    </row>
    <row r="1609" spans="7:7" x14ac:dyDescent="0.3">
      <c r="G1609" s="16"/>
    </row>
    <row r="1610" spans="7:7" x14ac:dyDescent="0.3">
      <c r="G1610" s="16"/>
    </row>
    <row r="1611" spans="7:7" x14ac:dyDescent="0.3">
      <c r="G1611" s="16"/>
    </row>
    <row r="1612" spans="7:7" x14ac:dyDescent="0.3">
      <c r="G1612" s="16"/>
    </row>
    <row r="1613" spans="7:7" x14ac:dyDescent="0.3">
      <c r="G1613" s="16"/>
    </row>
    <row r="1614" spans="7:7" x14ac:dyDescent="0.3">
      <c r="G1614" s="16"/>
    </row>
    <row r="1615" spans="7:7" x14ac:dyDescent="0.3">
      <c r="G1615" s="16"/>
    </row>
    <row r="1616" spans="7:7" x14ac:dyDescent="0.3">
      <c r="G1616" s="16"/>
    </row>
    <row r="1617" spans="7:7" x14ac:dyDescent="0.3">
      <c r="G1617" s="16"/>
    </row>
    <row r="1618" spans="7:7" x14ac:dyDescent="0.3">
      <c r="G1618" s="16"/>
    </row>
    <row r="1619" spans="7:7" x14ac:dyDescent="0.3">
      <c r="G1619" s="16"/>
    </row>
    <row r="1620" spans="7:7" x14ac:dyDescent="0.3">
      <c r="G1620" s="16"/>
    </row>
    <row r="1621" spans="7:7" x14ac:dyDescent="0.3">
      <c r="G1621" s="16"/>
    </row>
    <row r="1622" spans="7:7" x14ac:dyDescent="0.3">
      <c r="G1622" s="16"/>
    </row>
    <row r="1623" spans="7:7" x14ac:dyDescent="0.3">
      <c r="G1623" s="16"/>
    </row>
    <row r="1624" spans="7:7" x14ac:dyDescent="0.3">
      <c r="G1624" s="16"/>
    </row>
    <row r="1625" spans="7:7" x14ac:dyDescent="0.3">
      <c r="G1625" s="16"/>
    </row>
    <row r="1626" spans="7:7" x14ac:dyDescent="0.3">
      <c r="G1626" s="16"/>
    </row>
    <row r="1627" spans="7:7" x14ac:dyDescent="0.3">
      <c r="G1627" s="16"/>
    </row>
    <row r="1628" spans="7:7" x14ac:dyDescent="0.3">
      <c r="G1628" s="16"/>
    </row>
    <row r="1629" spans="7:7" x14ac:dyDescent="0.3">
      <c r="G1629" s="16"/>
    </row>
    <row r="1630" spans="7:7" x14ac:dyDescent="0.3">
      <c r="G1630" s="16"/>
    </row>
    <row r="1631" spans="7:7" x14ac:dyDescent="0.3">
      <c r="G1631" s="16"/>
    </row>
    <row r="1632" spans="7:7" x14ac:dyDescent="0.3">
      <c r="G1632" s="16"/>
    </row>
    <row r="1633" spans="7:7" x14ac:dyDescent="0.3">
      <c r="G1633" s="16"/>
    </row>
    <row r="1634" spans="7:7" x14ac:dyDescent="0.3">
      <c r="G1634" s="16"/>
    </row>
    <row r="1635" spans="7:7" x14ac:dyDescent="0.3">
      <c r="G1635" s="16"/>
    </row>
    <row r="1636" spans="7:7" x14ac:dyDescent="0.3">
      <c r="G1636" s="16"/>
    </row>
    <row r="1637" spans="7:7" x14ac:dyDescent="0.3">
      <c r="G1637" s="16"/>
    </row>
    <row r="1638" spans="7:7" x14ac:dyDescent="0.3">
      <c r="G1638" s="16"/>
    </row>
    <row r="1639" spans="7:7" x14ac:dyDescent="0.3">
      <c r="G1639" s="16"/>
    </row>
    <row r="1640" spans="7:7" x14ac:dyDescent="0.3">
      <c r="G1640" s="16"/>
    </row>
    <row r="1641" spans="7:7" x14ac:dyDescent="0.3">
      <c r="G1641" s="16"/>
    </row>
    <row r="1642" spans="7:7" x14ac:dyDescent="0.3">
      <c r="G1642" s="16"/>
    </row>
    <row r="1643" spans="7:7" x14ac:dyDescent="0.3">
      <c r="G1643" s="16"/>
    </row>
    <row r="1644" spans="7:7" x14ac:dyDescent="0.3">
      <c r="G1644" s="16"/>
    </row>
    <row r="1645" spans="7:7" x14ac:dyDescent="0.3">
      <c r="G1645" s="16"/>
    </row>
    <row r="1646" spans="7:7" x14ac:dyDescent="0.3">
      <c r="G1646" s="16"/>
    </row>
    <row r="1647" spans="7:7" x14ac:dyDescent="0.3">
      <c r="G1647" s="16"/>
    </row>
    <row r="1648" spans="7:7" x14ac:dyDescent="0.3">
      <c r="G1648" s="16"/>
    </row>
    <row r="1649" spans="7:7" x14ac:dyDescent="0.3">
      <c r="G1649" s="16"/>
    </row>
    <row r="1650" spans="7:7" x14ac:dyDescent="0.3">
      <c r="G1650" s="16"/>
    </row>
    <row r="1651" spans="7:7" x14ac:dyDescent="0.3">
      <c r="G1651" s="16"/>
    </row>
    <row r="1652" spans="7:7" x14ac:dyDescent="0.3">
      <c r="G1652" s="16"/>
    </row>
    <row r="1653" spans="7:7" x14ac:dyDescent="0.3">
      <c r="G1653" s="16"/>
    </row>
    <row r="1654" spans="7:7" x14ac:dyDescent="0.3">
      <c r="G1654" s="16"/>
    </row>
    <row r="1655" spans="7:7" x14ac:dyDescent="0.3">
      <c r="G1655" s="16"/>
    </row>
    <row r="1656" spans="7:7" x14ac:dyDescent="0.3">
      <c r="G1656" s="16"/>
    </row>
    <row r="1657" spans="7:7" x14ac:dyDescent="0.3">
      <c r="G1657" s="16"/>
    </row>
    <row r="1658" spans="7:7" x14ac:dyDescent="0.3">
      <c r="G1658" s="16"/>
    </row>
    <row r="1659" spans="7:7" x14ac:dyDescent="0.3">
      <c r="G1659" s="16"/>
    </row>
    <row r="1660" spans="7:7" x14ac:dyDescent="0.3">
      <c r="G1660" s="16"/>
    </row>
    <row r="1661" spans="7:7" x14ac:dyDescent="0.3">
      <c r="G1661" s="16"/>
    </row>
    <row r="1662" spans="7:7" x14ac:dyDescent="0.3">
      <c r="G1662" s="16"/>
    </row>
    <row r="1663" spans="7:7" x14ac:dyDescent="0.3">
      <c r="G1663" s="16"/>
    </row>
    <row r="1664" spans="7:7" x14ac:dyDescent="0.3">
      <c r="G1664" s="16"/>
    </row>
    <row r="1665" spans="7:7" x14ac:dyDescent="0.3">
      <c r="G1665" s="16"/>
    </row>
    <row r="1666" spans="7:7" x14ac:dyDescent="0.3">
      <c r="G1666" s="16"/>
    </row>
    <row r="1667" spans="7:7" x14ac:dyDescent="0.3">
      <c r="G1667" s="16"/>
    </row>
    <row r="1668" spans="7:7" x14ac:dyDescent="0.3">
      <c r="G1668" s="16"/>
    </row>
    <row r="1669" spans="7:7" x14ac:dyDescent="0.3">
      <c r="G1669" s="16"/>
    </row>
    <row r="1670" spans="7:7" x14ac:dyDescent="0.3">
      <c r="G1670" s="16"/>
    </row>
    <row r="1671" spans="7:7" x14ac:dyDescent="0.3">
      <c r="G1671" s="16"/>
    </row>
    <row r="1672" spans="7:7" x14ac:dyDescent="0.3">
      <c r="G1672" s="16"/>
    </row>
    <row r="1673" spans="7:7" x14ac:dyDescent="0.3">
      <c r="G1673" s="16"/>
    </row>
    <row r="1674" spans="7:7" x14ac:dyDescent="0.3">
      <c r="G1674" s="16"/>
    </row>
    <row r="1675" spans="7:7" x14ac:dyDescent="0.3">
      <c r="G1675" s="16"/>
    </row>
    <row r="1676" spans="7:7" x14ac:dyDescent="0.3">
      <c r="G1676" s="16"/>
    </row>
    <row r="1677" spans="7:7" x14ac:dyDescent="0.3">
      <c r="G1677" s="16"/>
    </row>
    <row r="1678" spans="7:7" x14ac:dyDescent="0.3">
      <c r="G1678" s="16"/>
    </row>
    <row r="1679" spans="7:7" x14ac:dyDescent="0.3">
      <c r="G1679" s="16"/>
    </row>
    <row r="1680" spans="7:7" x14ac:dyDescent="0.3">
      <c r="G1680" s="16"/>
    </row>
    <row r="1681" spans="7:7" x14ac:dyDescent="0.3">
      <c r="G1681" s="16"/>
    </row>
    <row r="1682" spans="7:7" x14ac:dyDescent="0.3">
      <c r="G1682" s="16"/>
    </row>
    <row r="1683" spans="7:7" x14ac:dyDescent="0.3">
      <c r="G1683" s="16"/>
    </row>
    <row r="1684" spans="7:7" x14ac:dyDescent="0.3">
      <c r="G1684" s="16"/>
    </row>
    <row r="1685" spans="7:7" x14ac:dyDescent="0.3">
      <c r="G1685" s="16"/>
    </row>
    <row r="1686" spans="7:7" x14ac:dyDescent="0.3">
      <c r="G1686" s="16"/>
    </row>
    <row r="1687" spans="7:7" x14ac:dyDescent="0.3">
      <c r="G1687" s="16"/>
    </row>
    <row r="1688" spans="7:7" x14ac:dyDescent="0.3">
      <c r="G1688" s="16"/>
    </row>
    <row r="1689" spans="7:7" x14ac:dyDescent="0.3">
      <c r="G1689" s="16"/>
    </row>
    <row r="1690" spans="7:7" x14ac:dyDescent="0.3">
      <c r="G1690" s="16"/>
    </row>
    <row r="1691" spans="7:7" x14ac:dyDescent="0.3">
      <c r="G1691" s="16"/>
    </row>
    <row r="1692" spans="7:7" x14ac:dyDescent="0.3">
      <c r="G1692" s="16"/>
    </row>
    <row r="1693" spans="7:7" x14ac:dyDescent="0.3">
      <c r="G1693" s="16"/>
    </row>
    <row r="1694" spans="7:7" x14ac:dyDescent="0.3">
      <c r="G1694" s="16"/>
    </row>
    <row r="1695" spans="7:7" x14ac:dyDescent="0.3">
      <c r="G1695" s="16"/>
    </row>
    <row r="1696" spans="7:7" x14ac:dyDescent="0.3">
      <c r="G1696" s="16"/>
    </row>
    <row r="1697" spans="7:7" x14ac:dyDescent="0.3">
      <c r="G1697" s="16"/>
    </row>
    <row r="1698" spans="7:7" x14ac:dyDescent="0.3">
      <c r="G1698" s="16"/>
    </row>
    <row r="1699" spans="7:7" x14ac:dyDescent="0.3">
      <c r="G1699" s="16"/>
    </row>
    <row r="1700" spans="7:7" x14ac:dyDescent="0.3">
      <c r="G1700" s="16"/>
    </row>
    <row r="1701" spans="7:7" x14ac:dyDescent="0.3">
      <c r="G1701" s="16"/>
    </row>
    <row r="1702" spans="7:7" x14ac:dyDescent="0.3">
      <c r="G1702" s="16"/>
    </row>
    <row r="1703" spans="7:7" x14ac:dyDescent="0.3">
      <c r="G1703" s="16"/>
    </row>
    <row r="1704" spans="7:7" x14ac:dyDescent="0.3">
      <c r="G1704" s="16"/>
    </row>
    <row r="1705" spans="7:7" x14ac:dyDescent="0.3">
      <c r="G1705" s="16"/>
    </row>
    <row r="1706" spans="7:7" x14ac:dyDescent="0.3">
      <c r="G1706" s="16"/>
    </row>
    <row r="1707" spans="7:7" x14ac:dyDescent="0.3">
      <c r="G1707" s="16"/>
    </row>
    <row r="1708" spans="7:7" x14ac:dyDescent="0.3">
      <c r="G1708" s="16"/>
    </row>
    <row r="1709" spans="7:7" x14ac:dyDescent="0.3">
      <c r="G1709" s="16"/>
    </row>
    <row r="1710" spans="7:7" x14ac:dyDescent="0.3">
      <c r="G1710" s="16"/>
    </row>
    <row r="1711" spans="7:7" x14ac:dyDescent="0.3">
      <c r="G1711" s="16"/>
    </row>
    <row r="1712" spans="7:7" x14ac:dyDescent="0.3">
      <c r="G1712" s="16"/>
    </row>
    <row r="1713" spans="7:7" x14ac:dyDescent="0.3">
      <c r="G1713" s="16"/>
    </row>
    <row r="1714" spans="7:7" x14ac:dyDescent="0.3">
      <c r="G1714" s="16"/>
    </row>
    <row r="1715" spans="7:7" x14ac:dyDescent="0.3">
      <c r="G1715" s="16"/>
    </row>
    <row r="1716" spans="7:7" x14ac:dyDescent="0.3">
      <c r="G1716" s="16"/>
    </row>
    <row r="1717" spans="7:7" x14ac:dyDescent="0.3">
      <c r="G1717" s="16"/>
    </row>
    <row r="1718" spans="7:7" x14ac:dyDescent="0.3">
      <c r="G1718" s="16"/>
    </row>
    <row r="1719" spans="7:7" x14ac:dyDescent="0.3">
      <c r="G1719" s="16"/>
    </row>
    <row r="1720" spans="7:7" x14ac:dyDescent="0.3">
      <c r="G1720" s="16"/>
    </row>
    <row r="1721" spans="7:7" x14ac:dyDescent="0.3">
      <c r="G1721" s="16"/>
    </row>
    <row r="1722" spans="7:7" x14ac:dyDescent="0.3">
      <c r="G1722" s="16"/>
    </row>
    <row r="1723" spans="7:7" x14ac:dyDescent="0.3">
      <c r="G1723" s="16"/>
    </row>
    <row r="1724" spans="7:7" x14ac:dyDescent="0.3">
      <c r="G1724" s="16"/>
    </row>
    <row r="1725" spans="7:7" x14ac:dyDescent="0.3">
      <c r="G1725" s="16"/>
    </row>
    <row r="1726" spans="7:7" x14ac:dyDescent="0.3">
      <c r="G1726" s="16"/>
    </row>
    <row r="1727" spans="7:7" x14ac:dyDescent="0.3">
      <c r="G1727" s="16"/>
    </row>
    <row r="1728" spans="7:7" x14ac:dyDescent="0.3">
      <c r="G1728" s="16"/>
    </row>
    <row r="1729" spans="7:7" x14ac:dyDescent="0.3">
      <c r="G1729" s="16"/>
    </row>
    <row r="1730" spans="7:7" x14ac:dyDescent="0.3">
      <c r="G1730" s="16"/>
    </row>
    <row r="1731" spans="7:7" x14ac:dyDescent="0.3">
      <c r="G1731" s="16"/>
    </row>
    <row r="1732" spans="7:7" x14ac:dyDescent="0.3">
      <c r="G1732" s="16"/>
    </row>
    <row r="1733" spans="7:7" x14ac:dyDescent="0.3">
      <c r="G1733" s="16"/>
    </row>
    <row r="1734" spans="7:7" x14ac:dyDescent="0.3">
      <c r="G1734" s="16"/>
    </row>
    <row r="1735" spans="7:7" x14ac:dyDescent="0.3">
      <c r="G1735" s="16"/>
    </row>
    <row r="1736" spans="7:7" x14ac:dyDescent="0.3">
      <c r="G1736" s="16"/>
    </row>
    <row r="1737" spans="7:7" x14ac:dyDescent="0.3">
      <c r="G1737" s="16"/>
    </row>
    <row r="1738" spans="7:7" x14ac:dyDescent="0.3">
      <c r="G1738" s="16"/>
    </row>
    <row r="1739" spans="7:7" x14ac:dyDescent="0.3">
      <c r="G1739" s="16"/>
    </row>
    <row r="1740" spans="7:7" x14ac:dyDescent="0.3">
      <c r="G1740" s="16"/>
    </row>
    <row r="1741" spans="7:7" x14ac:dyDescent="0.3">
      <c r="G1741" s="16"/>
    </row>
    <row r="1742" spans="7:7" x14ac:dyDescent="0.3">
      <c r="G1742" s="16"/>
    </row>
    <row r="1743" spans="7:7" x14ac:dyDescent="0.3">
      <c r="G1743" s="16"/>
    </row>
    <row r="1744" spans="7:7" x14ac:dyDescent="0.3">
      <c r="G1744" s="16"/>
    </row>
    <row r="1745" spans="7:7" x14ac:dyDescent="0.3">
      <c r="G1745" s="16"/>
    </row>
    <row r="1746" spans="7:7" x14ac:dyDescent="0.3">
      <c r="G1746" s="16"/>
    </row>
    <row r="1747" spans="7:7" x14ac:dyDescent="0.3">
      <c r="G1747" s="16"/>
    </row>
    <row r="1748" spans="7:7" x14ac:dyDescent="0.3">
      <c r="G1748" s="16"/>
    </row>
    <row r="1749" spans="7:7" x14ac:dyDescent="0.3">
      <c r="G1749" s="16"/>
    </row>
    <row r="1750" spans="7:7" x14ac:dyDescent="0.3">
      <c r="G1750" s="16"/>
    </row>
    <row r="1751" spans="7:7" x14ac:dyDescent="0.3">
      <c r="G1751" s="16"/>
    </row>
    <row r="1752" spans="7:7" x14ac:dyDescent="0.3">
      <c r="G1752" s="16"/>
    </row>
    <row r="1753" spans="7:7" x14ac:dyDescent="0.3">
      <c r="G1753" s="16"/>
    </row>
    <row r="1754" spans="7:7" x14ac:dyDescent="0.3">
      <c r="G1754" s="16"/>
    </row>
    <row r="1755" spans="7:7" x14ac:dyDescent="0.3">
      <c r="G1755" s="16"/>
    </row>
    <row r="1756" spans="7:7" x14ac:dyDescent="0.3">
      <c r="G1756" s="16"/>
    </row>
    <row r="1757" spans="7:7" x14ac:dyDescent="0.3">
      <c r="G1757" s="16"/>
    </row>
    <row r="1758" spans="7:7" x14ac:dyDescent="0.3">
      <c r="G1758" s="16"/>
    </row>
    <row r="1759" spans="7:7" x14ac:dyDescent="0.3">
      <c r="G1759" s="16"/>
    </row>
    <row r="1760" spans="7:7" x14ac:dyDescent="0.3">
      <c r="G1760" s="16"/>
    </row>
    <row r="1761" spans="7:7" x14ac:dyDescent="0.3">
      <c r="G1761" s="16"/>
    </row>
    <row r="1762" spans="7:7" x14ac:dyDescent="0.3">
      <c r="G1762" s="16"/>
    </row>
    <row r="1763" spans="7:7" x14ac:dyDescent="0.3">
      <c r="G1763" s="16"/>
    </row>
    <row r="1764" spans="7:7" x14ac:dyDescent="0.3">
      <c r="G1764" s="16"/>
    </row>
    <row r="1765" spans="7:7" x14ac:dyDescent="0.3">
      <c r="G1765" s="16"/>
    </row>
    <row r="1766" spans="7:7" x14ac:dyDescent="0.3">
      <c r="G1766" s="16"/>
    </row>
    <row r="1767" spans="7:7" x14ac:dyDescent="0.3">
      <c r="G1767" s="16"/>
    </row>
    <row r="1768" spans="7:7" x14ac:dyDescent="0.3">
      <c r="G1768" s="16"/>
    </row>
    <row r="1769" spans="7:7" x14ac:dyDescent="0.3">
      <c r="G1769" s="16"/>
    </row>
    <row r="1770" spans="7:7" x14ac:dyDescent="0.3">
      <c r="G1770" s="16"/>
    </row>
    <row r="1771" spans="7:7" x14ac:dyDescent="0.3">
      <c r="G1771" s="16"/>
    </row>
    <row r="1772" spans="7:7" x14ac:dyDescent="0.3">
      <c r="G1772" s="16"/>
    </row>
    <row r="1773" spans="7:7" x14ac:dyDescent="0.3">
      <c r="G1773" s="16"/>
    </row>
    <row r="1774" spans="7:7" x14ac:dyDescent="0.3">
      <c r="G1774" s="16"/>
    </row>
    <row r="1775" spans="7:7" x14ac:dyDescent="0.3">
      <c r="G1775" s="16"/>
    </row>
    <row r="1776" spans="7:7" x14ac:dyDescent="0.3">
      <c r="G1776" s="16"/>
    </row>
    <row r="1777" spans="7:7" x14ac:dyDescent="0.3">
      <c r="G1777" s="16"/>
    </row>
    <row r="1778" spans="7:7" x14ac:dyDescent="0.3">
      <c r="G1778" s="16"/>
    </row>
    <row r="1779" spans="7:7" x14ac:dyDescent="0.3">
      <c r="G1779" s="16"/>
    </row>
    <row r="1780" spans="7:7" x14ac:dyDescent="0.3">
      <c r="G1780" s="16"/>
    </row>
    <row r="1781" spans="7:7" x14ac:dyDescent="0.3">
      <c r="G1781" s="16"/>
    </row>
    <row r="1782" spans="7:7" x14ac:dyDescent="0.3">
      <c r="G1782" s="16"/>
    </row>
    <row r="1783" spans="7:7" x14ac:dyDescent="0.3">
      <c r="G1783" s="16"/>
    </row>
    <row r="1784" spans="7:7" x14ac:dyDescent="0.3">
      <c r="G1784" s="16"/>
    </row>
    <row r="1785" spans="7:7" x14ac:dyDescent="0.3">
      <c r="G1785" s="16"/>
    </row>
    <row r="1786" spans="7:7" x14ac:dyDescent="0.3">
      <c r="G1786" s="16"/>
    </row>
    <row r="1787" spans="7:7" x14ac:dyDescent="0.3">
      <c r="G1787" s="16"/>
    </row>
    <row r="1788" spans="7:7" x14ac:dyDescent="0.3">
      <c r="G1788" s="16"/>
    </row>
    <row r="1789" spans="7:7" x14ac:dyDescent="0.3">
      <c r="G1789" s="16"/>
    </row>
    <row r="1790" spans="7:7" x14ac:dyDescent="0.3">
      <c r="G1790" s="16"/>
    </row>
    <row r="1791" spans="7:7" x14ac:dyDescent="0.3">
      <c r="G1791" s="16"/>
    </row>
    <row r="1792" spans="7:7" x14ac:dyDescent="0.3">
      <c r="G1792" s="16"/>
    </row>
    <row r="1793" spans="7:7" x14ac:dyDescent="0.3">
      <c r="G1793" s="16"/>
    </row>
    <row r="1794" spans="7:7" x14ac:dyDescent="0.3">
      <c r="G1794" s="16"/>
    </row>
    <row r="1795" spans="7:7" x14ac:dyDescent="0.3">
      <c r="G1795" s="16"/>
    </row>
    <row r="1796" spans="7:7" x14ac:dyDescent="0.3">
      <c r="G1796" s="16"/>
    </row>
    <row r="1797" spans="7:7" x14ac:dyDescent="0.3">
      <c r="G1797" s="16"/>
    </row>
    <row r="1798" spans="7:7" x14ac:dyDescent="0.3">
      <c r="G1798" s="16"/>
    </row>
    <row r="1799" spans="7:7" x14ac:dyDescent="0.3">
      <c r="G1799" s="16"/>
    </row>
    <row r="1800" spans="7:7" x14ac:dyDescent="0.3">
      <c r="G1800" s="16"/>
    </row>
    <row r="1801" spans="7:7" x14ac:dyDescent="0.3">
      <c r="G1801" s="16"/>
    </row>
    <row r="1802" spans="7:7" x14ac:dyDescent="0.3">
      <c r="G1802" s="16"/>
    </row>
    <row r="1803" spans="7:7" x14ac:dyDescent="0.3">
      <c r="G1803" s="16"/>
    </row>
    <row r="1804" spans="7:7" x14ac:dyDescent="0.3">
      <c r="G1804" s="16"/>
    </row>
    <row r="1805" spans="7:7" x14ac:dyDescent="0.3">
      <c r="G1805" s="16"/>
    </row>
    <row r="1806" spans="7:7" x14ac:dyDescent="0.3">
      <c r="G1806" s="16"/>
    </row>
    <row r="1807" spans="7:7" x14ac:dyDescent="0.3">
      <c r="G1807" s="16"/>
    </row>
    <row r="1808" spans="7:7" x14ac:dyDescent="0.3">
      <c r="G1808" s="16"/>
    </row>
    <row r="1809" spans="7:7" x14ac:dyDescent="0.3">
      <c r="G1809" s="16"/>
    </row>
    <row r="1810" spans="7:7" x14ac:dyDescent="0.3">
      <c r="G1810" s="16"/>
    </row>
    <row r="1811" spans="7:7" x14ac:dyDescent="0.3">
      <c r="G1811" s="16"/>
    </row>
    <row r="1812" spans="7:7" x14ac:dyDescent="0.3">
      <c r="G1812" s="16"/>
    </row>
    <row r="1813" spans="7:7" x14ac:dyDescent="0.3">
      <c r="G1813" s="16"/>
    </row>
    <row r="1814" spans="7:7" x14ac:dyDescent="0.3">
      <c r="G1814" s="16"/>
    </row>
    <row r="1815" spans="7:7" x14ac:dyDescent="0.3">
      <c r="G1815" s="16"/>
    </row>
    <row r="1816" spans="7:7" x14ac:dyDescent="0.3">
      <c r="G1816" s="16"/>
    </row>
    <row r="1817" spans="7:7" x14ac:dyDescent="0.3">
      <c r="G1817" s="16"/>
    </row>
    <row r="1818" spans="7:7" x14ac:dyDescent="0.3">
      <c r="G1818" s="16"/>
    </row>
    <row r="1819" spans="7:7" x14ac:dyDescent="0.3">
      <c r="G1819" s="16"/>
    </row>
    <row r="1820" spans="7:7" x14ac:dyDescent="0.3">
      <c r="G1820" s="16"/>
    </row>
    <row r="1821" spans="7:7" x14ac:dyDescent="0.3">
      <c r="G1821" s="16"/>
    </row>
    <row r="1822" spans="7:7" x14ac:dyDescent="0.3">
      <c r="G1822" s="16"/>
    </row>
    <row r="1823" spans="7:7" x14ac:dyDescent="0.3">
      <c r="G1823" s="16"/>
    </row>
    <row r="1824" spans="7:7" x14ac:dyDescent="0.3">
      <c r="G1824" s="16"/>
    </row>
    <row r="1825" spans="7:7" x14ac:dyDescent="0.3">
      <c r="G1825" s="16"/>
    </row>
    <row r="1826" spans="7:7" x14ac:dyDescent="0.3">
      <c r="G1826" s="16"/>
    </row>
    <row r="1827" spans="7:7" x14ac:dyDescent="0.3">
      <c r="G1827" s="16"/>
    </row>
    <row r="1828" spans="7:7" x14ac:dyDescent="0.3">
      <c r="G1828" s="16"/>
    </row>
    <row r="1829" spans="7:7" x14ac:dyDescent="0.3">
      <c r="G1829" s="16"/>
    </row>
    <row r="1830" spans="7:7" x14ac:dyDescent="0.3">
      <c r="G1830" s="16"/>
    </row>
    <row r="1831" spans="7:7" x14ac:dyDescent="0.3">
      <c r="G1831" s="16"/>
    </row>
    <row r="1832" spans="7:7" x14ac:dyDescent="0.3">
      <c r="G1832" s="16"/>
    </row>
    <row r="1833" spans="7:7" x14ac:dyDescent="0.3">
      <c r="G1833" s="16"/>
    </row>
    <row r="1834" spans="7:7" x14ac:dyDescent="0.3">
      <c r="G1834" s="16"/>
    </row>
    <row r="1835" spans="7:7" x14ac:dyDescent="0.3">
      <c r="G1835" s="16"/>
    </row>
    <row r="1836" spans="7:7" x14ac:dyDescent="0.3">
      <c r="G1836" s="16"/>
    </row>
    <row r="1837" spans="7:7" x14ac:dyDescent="0.3">
      <c r="G1837" s="16"/>
    </row>
    <row r="1838" spans="7:7" x14ac:dyDescent="0.3">
      <c r="G1838" s="16"/>
    </row>
    <row r="1839" spans="7:7" x14ac:dyDescent="0.3">
      <c r="G1839" s="16"/>
    </row>
    <row r="1840" spans="7:7" x14ac:dyDescent="0.3">
      <c r="G1840" s="16"/>
    </row>
    <row r="1841" spans="7:7" x14ac:dyDescent="0.3">
      <c r="G1841" s="16"/>
    </row>
    <row r="1842" spans="7:7" x14ac:dyDescent="0.3">
      <c r="G1842" s="16"/>
    </row>
    <row r="1843" spans="7:7" x14ac:dyDescent="0.3">
      <c r="G1843" s="16"/>
    </row>
    <row r="1844" spans="7:7" x14ac:dyDescent="0.3">
      <c r="G1844" s="16"/>
    </row>
    <row r="1845" spans="7:7" x14ac:dyDescent="0.3">
      <c r="G1845" s="16"/>
    </row>
    <row r="1846" spans="7:7" x14ac:dyDescent="0.3">
      <c r="G1846" s="16"/>
    </row>
    <row r="1847" spans="7:7" x14ac:dyDescent="0.3">
      <c r="G1847" s="16"/>
    </row>
    <row r="1848" spans="7:7" x14ac:dyDescent="0.3">
      <c r="G1848" s="16"/>
    </row>
    <row r="1849" spans="7:7" x14ac:dyDescent="0.3">
      <c r="G1849" s="16"/>
    </row>
    <row r="1850" spans="7:7" x14ac:dyDescent="0.3">
      <c r="G1850" s="16"/>
    </row>
    <row r="1851" spans="7:7" x14ac:dyDescent="0.3">
      <c r="G1851" s="16"/>
    </row>
    <row r="1852" spans="7:7" x14ac:dyDescent="0.3">
      <c r="G1852" s="16"/>
    </row>
    <row r="1853" spans="7:7" x14ac:dyDescent="0.3">
      <c r="G1853" s="16"/>
    </row>
    <row r="1854" spans="7:7" x14ac:dyDescent="0.3">
      <c r="G1854" s="16"/>
    </row>
    <row r="1855" spans="7:7" x14ac:dyDescent="0.3">
      <c r="G1855" s="16"/>
    </row>
    <row r="1856" spans="7:7" x14ac:dyDescent="0.3">
      <c r="G1856" s="16"/>
    </row>
    <row r="1857" spans="7:7" x14ac:dyDescent="0.3">
      <c r="G1857" s="16"/>
    </row>
    <row r="1858" spans="7:7" x14ac:dyDescent="0.3">
      <c r="G1858" s="16"/>
    </row>
    <row r="1859" spans="7:7" x14ac:dyDescent="0.3">
      <c r="G1859" s="16"/>
    </row>
    <row r="1860" spans="7:7" x14ac:dyDescent="0.3">
      <c r="G1860" s="16"/>
    </row>
    <row r="1861" spans="7:7" x14ac:dyDescent="0.3">
      <c r="G1861" s="16"/>
    </row>
    <row r="1862" spans="7:7" x14ac:dyDescent="0.3">
      <c r="G1862" s="16"/>
    </row>
    <row r="1863" spans="7:7" x14ac:dyDescent="0.3">
      <c r="G1863" s="16"/>
    </row>
    <row r="1864" spans="7:7" x14ac:dyDescent="0.3">
      <c r="G1864" s="16"/>
    </row>
    <row r="1865" spans="7:7" x14ac:dyDescent="0.3">
      <c r="G1865" s="16"/>
    </row>
    <row r="1866" spans="7:7" x14ac:dyDescent="0.3">
      <c r="G1866" s="16"/>
    </row>
    <row r="1867" spans="7:7" x14ac:dyDescent="0.3">
      <c r="G1867" s="16"/>
    </row>
    <row r="1868" spans="7:7" x14ac:dyDescent="0.3">
      <c r="G1868" s="16"/>
    </row>
    <row r="1869" spans="7:7" x14ac:dyDescent="0.3">
      <c r="G1869" s="16"/>
    </row>
    <row r="1870" spans="7:7" x14ac:dyDescent="0.3">
      <c r="G1870" s="16"/>
    </row>
    <row r="1871" spans="7:7" x14ac:dyDescent="0.3">
      <c r="G1871" s="16"/>
    </row>
    <row r="1872" spans="7:7" x14ac:dyDescent="0.3">
      <c r="G1872" s="16"/>
    </row>
    <row r="1873" spans="7:7" x14ac:dyDescent="0.3">
      <c r="G1873" s="16"/>
    </row>
    <row r="1874" spans="7:7" x14ac:dyDescent="0.3">
      <c r="G1874" s="16"/>
    </row>
    <row r="1875" spans="7:7" x14ac:dyDescent="0.3">
      <c r="G1875" s="16"/>
    </row>
    <row r="1876" spans="7:7" x14ac:dyDescent="0.3">
      <c r="G1876" s="16"/>
    </row>
    <row r="1877" spans="7:7" x14ac:dyDescent="0.3">
      <c r="G1877" s="16"/>
    </row>
    <row r="1878" spans="7:7" x14ac:dyDescent="0.3">
      <c r="G1878" s="16"/>
    </row>
    <row r="1879" spans="7:7" x14ac:dyDescent="0.3">
      <c r="G1879" s="16"/>
    </row>
    <row r="1880" spans="7:7" x14ac:dyDescent="0.3">
      <c r="G1880" s="16"/>
    </row>
    <row r="1881" spans="7:7" x14ac:dyDescent="0.3">
      <c r="G1881" s="16"/>
    </row>
    <row r="1882" spans="7:7" x14ac:dyDescent="0.3">
      <c r="G1882" s="16"/>
    </row>
    <row r="1883" spans="7:7" x14ac:dyDescent="0.3">
      <c r="G1883" s="16"/>
    </row>
    <row r="1884" spans="7:7" x14ac:dyDescent="0.3">
      <c r="G1884" s="16"/>
    </row>
    <row r="1885" spans="7:7" x14ac:dyDescent="0.3">
      <c r="G1885" s="16"/>
    </row>
    <row r="1886" spans="7:7" x14ac:dyDescent="0.3">
      <c r="G1886" s="16"/>
    </row>
    <row r="1887" spans="7:7" x14ac:dyDescent="0.3">
      <c r="G1887" s="16"/>
    </row>
    <row r="1888" spans="7:7" x14ac:dyDescent="0.3">
      <c r="G1888" s="16"/>
    </row>
    <row r="1889" spans="7:7" x14ac:dyDescent="0.3">
      <c r="G1889" s="16"/>
    </row>
    <row r="1890" spans="7:7" x14ac:dyDescent="0.3">
      <c r="G1890" s="16"/>
    </row>
    <row r="1891" spans="7:7" x14ac:dyDescent="0.3">
      <c r="G1891" s="16"/>
    </row>
    <row r="1892" spans="7:7" x14ac:dyDescent="0.3">
      <c r="G1892" s="16"/>
    </row>
    <row r="1893" spans="7:7" x14ac:dyDescent="0.3">
      <c r="G1893" s="16"/>
    </row>
    <row r="1894" spans="7:7" x14ac:dyDescent="0.3">
      <c r="G1894" s="16"/>
    </row>
    <row r="1895" spans="7:7" x14ac:dyDescent="0.3">
      <c r="G1895" s="16"/>
    </row>
    <row r="1896" spans="7:7" x14ac:dyDescent="0.3">
      <c r="G1896" s="16"/>
    </row>
    <row r="1897" spans="7:7" x14ac:dyDescent="0.3">
      <c r="G1897" s="16"/>
    </row>
    <row r="1898" spans="7:7" x14ac:dyDescent="0.3">
      <c r="G1898" s="16"/>
    </row>
    <row r="1899" spans="7:7" x14ac:dyDescent="0.3">
      <c r="G1899" s="16"/>
    </row>
    <row r="1900" spans="7:7" x14ac:dyDescent="0.3">
      <c r="G1900" s="16"/>
    </row>
    <row r="1901" spans="7:7" x14ac:dyDescent="0.3">
      <c r="G1901" s="16"/>
    </row>
    <row r="1902" spans="7:7" x14ac:dyDescent="0.3">
      <c r="G1902" s="16"/>
    </row>
    <row r="1903" spans="7:7" x14ac:dyDescent="0.3">
      <c r="G1903" s="16"/>
    </row>
    <row r="1904" spans="7:7" x14ac:dyDescent="0.3">
      <c r="G1904" s="16"/>
    </row>
    <row r="1905" spans="7:7" x14ac:dyDescent="0.3">
      <c r="G1905" s="16"/>
    </row>
    <row r="1906" spans="7:7" x14ac:dyDescent="0.3">
      <c r="G1906" s="16"/>
    </row>
    <row r="1907" spans="7:7" x14ac:dyDescent="0.3">
      <c r="G1907" s="16"/>
    </row>
    <row r="1908" spans="7:7" x14ac:dyDescent="0.3">
      <c r="G1908" s="16"/>
    </row>
    <row r="1909" spans="7:7" x14ac:dyDescent="0.3">
      <c r="G1909" s="16"/>
    </row>
    <row r="1910" spans="7:7" x14ac:dyDescent="0.3">
      <c r="G1910" s="16"/>
    </row>
    <row r="1911" spans="7:7" x14ac:dyDescent="0.3">
      <c r="G1911" s="16"/>
    </row>
    <row r="1912" spans="7:7" x14ac:dyDescent="0.3">
      <c r="G1912" s="16"/>
    </row>
    <row r="1913" spans="7:7" x14ac:dyDescent="0.3">
      <c r="G1913" s="16"/>
    </row>
    <row r="1914" spans="7:7" x14ac:dyDescent="0.3">
      <c r="G1914" s="16"/>
    </row>
    <row r="1915" spans="7:7" x14ac:dyDescent="0.3">
      <c r="G1915" s="16"/>
    </row>
    <row r="1916" spans="7:7" x14ac:dyDescent="0.3">
      <c r="G1916" s="16"/>
    </row>
    <row r="1917" spans="7:7" x14ac:dyDescent="0.3">
      <c r="G1917" s="16"/>
    </row>
    <row r="1918" spans="7:7" x14ac:dyDescent="0.3">
      <c r="G1918" s="16"/>
    </row>
    <row r="1919" spans="7:7" x14ac:dyDescent="0.3">
      <c r="G1919" s="16"/>
    </row>
    <row r="1920" spans="7:7" x14ac:dyDescent="0.3">
      <c r="G1920" s="16"/>
    </row>
    <row r="1921" spans="7:7" x14ac:dyDescent="0.3">
      <c r="G1921" s="16"/>
    </row>
    <row r="1922" spans="7:7" x14ac:dyDescent="0.3">
      <c r="G1922" s="16"/>
    </row>
    <row r="1923" spans="7:7" x14ac:dyDescent="0.3">
      <c r="G1923" s="16"/>
    </row>
    <row r="1924" spans="7:7" x14ac:dyDescent="0.3">
      <c r="G1924" s="16"/>
    </row>
    <row r="1925" spans="7:7" x14ac:dyDescent="0.3">
      <c r="G1925" s="16"/>
    </row>
    <row r="1926" spans="7:7" x14ac:dyDescent="0.3">
      <c r="G1926" s="16"/>
    </row>
    <row r="1927" spans="7:7" x14ac:dyDescent="0.3">
      <c r="G1927" s="16"/>
    </row>
    <row r="1928" spans="7:7" x14ac:dyDescent="0.3">
      <c r="G1928" s="16"/>
    </row>
    <row r="1929" spans="7:7" x14ac:dyDescent="0.3">
      <c r="G1929" s="16"/>
    </row>
    <row r="1930" spans="7:7" x14ac:dyDescent="0.3">
      <c r="G1930" s="16"/>
    </row>
    <row r="1931" spans="7:7" x14ac:dyDescent="0.3">
      <c r="G1931" s="16"/>
    </row>
    <row r="1932" spans="7:7" x14ac:dyDescent="0.3">
      <c r="G1932" s="16"/>
    </row>
    <row r="1933" spans="7:7" x14ac:dyDescent="0.3">
      <c r="G1933" s="16"/>
    </row>
    <row r="1934" spans="7:7" x14ac:dyDescent="0.3">
      <c r="G1934" s="16"/>
    </row>
    <row r="1935" spans="7:7" x14ac:dyDescent="0.3">
      <c r="G1935" s="16"/>
    </row>
    <row r="1936" spans="7:7" x14ac:dyDescent="0.3">
      <c r="G1936" s="16"/>
    </row>
    <row r="1937" spans="7:7" x14ac:dyDescent="0.3">
      <c r="G1937" s="16"/>
    </row>
    <row r="1938" spans="7:7" x14ac:dyDescent="0.3">
      <c r="G1938" s="16"/>
    </row>
    <row r="1939" spans="7:7" x14ac:dyDescent="0.3">
      <c r="G1939" s="16"/>
    </row>
    <row r="1940" spans="7:7" x14ac:dyDescent="0.3">
      <c r="G1940" s="16"/>
    </row>
    <row r="1941" spans="7:7" x14ac:dyDescent="0.3">
      <c r="G1941" s="16"/>
    </row>
    <row r="1942" spans="7:7" x14ac:dyDescent="0.3">
      <c r="G1942" s="16"/>
    </row>
    <row r="1943" spans="7:7" x14ac:dyDescent="0.3">
      <c r="G1943" s="16"/>
    </row>
    <row r="1944" spans="7:7" x14ac:dyDescent="0.3">
      <c r="G1944" s="16"/>
    </row>
    <row r="1945" spans="7:7" x14ac:dyDescent="0.3">
      <c r="G1945" s="16"/>
    </row>
    <row r="1946" spans="7:7" x14ac:dyDescent="0.3">
      <c r="G1946" s="16"/>
    </row>
    <row r="1947" spans="7:7" x14ac:dyDescent="0.3">
      <c r="G1947" s="16"/>
    </row>
    <row r="1948" spans="7:7" x14ac:dyDescent="0.3">
      <c r="G1948" s="16"/>
    </row>
    <row r="1949" spans="7:7" x14ac:dyDescent="0.3">
      <c r="G1949" s="16"/>
    </row>
    <row r="1950" spans="7:7" x14ac:dyDescent="0.3">
      <c r="G1950" s="16"/>
    </row>
    <row r="1951" spans="7:7" x14ac:dyDescent="0.3">
      <c r="G1951" s="16"/>
    </row>
    <row r="1952" spans="7:7" x14ac:dyDescent="0.3">
      <c r="G1952" s="16"/>
    </row>
    <row r="1953" spans="7:7" x14ac:dyDescent="0.3">
      <c r="G1953" s="16"/>
    </row>
    <row r="1954" spans="7:7" x14ac:dyDescent="0.3">
      <c r="G1954" s="16"/>
    </row>
    <row r="1955" spans="7:7" x14ac:dyDescent="0.3">
      <c r="G1955" s="16"/>
    </row>
    <row r="1956" spans="7:7" x14ac:dyDescent="0.3">
      <c r="G1956" s="16"/>
    </row>
    <row r="1957" spans="7:7" x14ac:dyDescent="0.3">
      <c r="G1957" s="16"/>
    </row>
    <row r="1958" spans="7:7" x14ac:dyDescent="0.3">
      <c r="G1958" s="16"/>
    </row>
    <row r="1959" spans="7:7" x14ac:dyDescent="0.3">
      <c r="G1959" s="16"/>
    </row>
    <row r="1960" spans="7:7" x14ac:dyDescent="0.3">
      <c r="G1960" s="16"/>
    </row>
    <row r="1961" spans="7:7" x14ac:dyDescent="0.3">
      <c r="G1961" s="16"/>
    </row>
    <row r="1962" spans="7:7" x14ac:dyDescent="0.3">
      <c r="G1962" s="16"/>
    </row>
    <row r="1963" spans="7:7" x14ac:dyDescent="0.3">
      <c r="G1963" s="16"/>
    </row>
    <row r="1964" spans="7:7" x14ac:dyDescent="0.3">
      <c r="G1964" s="16"/>
    </row>
    <row r="1965" spans="7:7" x14ac:dyDescent="0.3">
      <c r="G1965" s="16"/>
    </row>
    <row r="1966" spans="7:7" x14ac:dyDescent="0.3">
      <c r="G1966" s="16"/>
    </row>
    <row r="1967" spans="7:7" x14ac:dyDescent="0.3">
      <c r="G1967" s="16"/>
    </row>
    <row r="1968" spans="7:7" x14ac:dyDescent="0.3">
      <c r="G1968" s="16"/>
    </row>
    <row r="1969" spans="7:7" x14ac:dyDescent="0.3">
      <c r="G1969" s="16"/>
    </row>
    <row r="1970" spans="7:7" x14ac:dyDescent="0.3">
      <c r="G1970" s="16"/>
    </row>
    <row r="1971" spans="7:7" x14ac:dyDescent="0.3">
      <c r="G1971" s="16"/>
    </row>
    <row r="1972" spans="7:7" x14ac:dyDescent="0.3">
      <c r="G1972" s="16"/>
    </row>
    <row r="1973" spans="7:7" x14ac:dyDescent="0.3">
      <c r="G1973" s="16"/>
    </row>
    <row r="1974" spans="7:7" x14ac:dyDescent="0.3">
      <c r="G1974" s="16"/>
    </row>
    <row r="1975" spans="7:7" x14ac:dyDescent="0.3">
      <c r="G1975" s="16"/>
    </row>
    <row r="1976" spans="7:7" x14ac:dyDescent="0.3">
      <c r="G1976" s="16"/>
    </row>
    <row r="1977" spans="7:7" x14ac:dyDescent="0.3">
      <c r="G1977" s="16"/>
    </row>
    <row r="1978" spans="7:7" x14ac:dyDescent="0.3">
      <c r="G1978" s="16"/>
    </row>
    <row r="1979" spans="7:7" x14ac:dyDescent="0.3">
      <c r="G1979" s="16"/>
    </row>
    <row r="1980" spans="7:7" x14ac:dyDescent="0.3">
      <c r="G1980" s="16"/>
    </row>
    <row r="1981" spans="7:7" x14ac:dyDescent="0.3">
      <c r="G1981" s="16"/>
    </row>
    <row r="1982" spans="7:7" x14ac:dyDescent="0.3">
      <c r="G1982" s="16"/>
    </row>
    <row r="1983" spans="7:7" x14ac:dyDescent="0.3">
      <c r="G1983" s="16"/>
    </row>
    <row r="1984" spans="7:7" x14ac:dyDescent="0.3">
      <c r="G1984" s="16"/>
    </row>
    <row r="1985" spans="7:7" x14ac:dyDescent="0.3">
      <c r="G1985" s="16"/>
    </row>
    <row r="1986" spans="7:7" x14ac:dyDescent="0.3">
      <c r="G1986" s="16"/>
    </row>
    <row r="1987" spans="7:7" x14ac:dyDescent="0.3">
      <c r="G1987" s="16"/>
    </row>
    <row r="1988" spans="7:7" x14ac:dyDescent="0.3">
      <c r="G1988" s="16"/>
    </row>
    <row r="1989" spans="7:7" x14ac:dyDescent="0.3">
      <c r="G1989" s="16"/>
    </row>
    <row r="1990" spans="7:7" x14ac:dyDescent="0.3">
      <c r="G1990" s="16"/>
    </row>
    <row r="1991" spans="7:7" x14ac:dyDescent="0.3">
      <c r="G1991" s="16"/>
    </row>
    <row r="1992" spans="7:7" x14ac:dyDescent="0.3">
      <c r="G1992" s="16"/>
    </row>
    <row r="1993" spans="7:7" x14ac:dyDescent="0.3">
      <c r="G1993" s="16"/>
    </row>
    <row r="1994" spans="7:7" x14ac:dyDescent="0.3">
      <c r="G1994" s="16"/>
    </row>
    <row r="1995" spans="7:7" x14ac:dyDescent="0.3">
      <c r="G1995" s="16"/>
    </row>
    <row r="1996" spans="7:7" x14ac:dyDescent="0.3">
      <c r="G1996" s="16"/>
    </row>
    <row r="1997" spans="7:7" x14ac:dyDescent="0.3">
      <c r="G1997" s="16"/>
    </row>
    <row r="1998" spans="7:7" x14ac:dyDescent="0.3">
      <c r="G1998" s="16"/>
    </row>
    <row r="1999" spans="7:7" x14ac:dyDescent="0.3">
      <c r="G1999" s="16"/>
    </row>
    <row r="2000" spans="7:7" x14ac:dyDescent="0.3">
      <c r="G2000" s="16"/>
    </row>
    <row r="2001" spans="7:7" x14ac:dyDescent="0.3">
      <c r="G2001" s="16"/>
    </row>
    <row r="2002" spans="7:7" x14ac:dyDescent="0.3">
      <c r="G2002" s="16"/>
    </row>
    <row r="2003" spans="7:7" x14ac:dyDescent="0.3">
      <c r="G2003" s="16"/>
    </row>
    <row r="2004" spans="7:7" x14ac:dyDescent="0.3">
      <c r="G2004" s="16"/>
    </row>
    <row r="2005" spans="7:7" x14ac:dyDescent="0.3">
      <c r="G2005" s="16"/>
    </row>
    <row r="2006" spans="7:7" x14ac:dyDescent="0.3">
      <c r="G2006" s="16"/>
    </row>
    <row r="2007" spans="7:7" x14ac:dyDescent="0.3">
      <c r="G2007" s="16"/>
    </row>
    <row r="2008" spans="7:7" x14ac:dyDescent="0.3">
      <c r="G2008" s="16"/>
    </row>
    <row r="2009" spans="7:7" x14ac:dyDescent="0.3">
      <c r="G2009" s="16"/>
    </row>
    <row r="2010" spans="7:7" x14ac:dyDescent="0.3">
      <c r="G2010" s="16"/>
    </row>
    <row r="2011" spans="7:7" x14ac:dyDescent="0.3">
      <c r="G2011" s="16"/>
    </row>
    <row r="2012" spans="7:7" x14ac:dyDescent="0.3">
      <c r="G2012" s="16"/>
    </row>
    <row r="2013" spans="7:7" x14ac:dyDescent="0.3">
      <c r="G2013" s="16"/>
    </row>
    <row r="2014" spans="7:7" x14ac:dyDescent="0.3">
      <c r="G2014" s="16"/>
    </row>
    <row r="2015" spans="7:7" x14ac:dyDescent="0.3">
      <c r="G2015" s="16"/>
    </row>
    <row r="2016" spans="7:7" x14ac:dyDescent="0.3">
      <c r="G2016" s="16"/>
    </row>
    <row r="2017" spans="7:7" x14ac:dyDescent="0.3">
      <c r="G2017" s="16"/>
    </row>
    <row r="2018" spans="7:7" x14ac:dyDescent="0.3">
      <c r="G2018" s="16"/>
    </row>
    <row r="2019" spans="7:7" x14ac:dyDescent="0.3">
      <c r="G2019" s="16"/>
    </row>
    <row r="2020" spans="7:7" x14ac:dyDescent="0.3">
      <c r="G2020" s="16"/>
    </row>
    <row r="2021" spans="7:7" x14ac:dyDescent="0.3">
      <c r="G2021" s="16"/>
    </row>
    <row r="2022" spans="7:7" x14ac:dyDescent="0.3">
      <c r="G2022" s="16"/>
    </row>
    <row r="2023" spans="7:7" x14ac:dyDescent="0.3">
      <c r="G2023" s="16"/>
    </row>
    <row r="2024" spans="7:7" x14ac:dyDescent="0.3">
      <c r="G2024" s="16"/>
    </row>
    <row r="2025" spans="7:7" x14ac:dyDescent="0.3">
      <c r="G2025" s="16"/>
    </row>
    <row r="2026" spans="7:7" x14ac:dyDescent="0.3">
      <c r="G2026" s="16"/>
    </row>
    <row r="2027" spans="7:7" x14ac:dyDescent="0.3">
      <c r="G2027" s="16"/>
    </row>
    <row r="2028" spans="7:7" x14ac:dyDescent="0.3">
      <c r="G2028" s="16"/>
    </row>
    <row r="2029" spans="7:7" x14ac:dyDescent="0.3">
      <c r="G2029" s="16"/>
    </row>
    <row r="2030" spans="7:7" x14ac:dyDescent="0.3">
      <c r="G2030" s="16"/>
    </row>
    <row r="2031" spans="7:7" x14ac:dyDescent="0.3">
      <c r="G2031" s="16"/>
    </row>
    <row r="2032" spans="7:7" x14ac:dyDescent="0.3">
      <c r="G2032" s="16"/>
    </row>
    <row r="2033" spans="7:7" x14ac:dyDescent="0.3">
      <c r="G2033" s="16"/>
    </row>
    <row r="2034" spans="7:7" x14ac:dyDescent="0.3">
      <c r="G2034" s="16"/>
    </row>
    <row r="2035" spans="7:7" x14ac:dyDescent="0.3">
      <c r="G2035" s="16"/>
    </row>
    <row r="2036" spans="7:7" x14ac:dyDescent="0.3">
      <c r="G2036" s="16"/>
    </row>
    <row r="2037" spans="7:7" x14ac:dyDescent="0.3">
      <c r="G2037" s="16"/>
    </row>
    <row r="2038" spans="7:7" x14ac:dyDescent="0.3">
      <c r="G2038" s="16"/>
    </row>
    <row r="2039" spans="7:7" x14ac:dyDescent="0.3">
      <c r="G2039" s="16"/>
    </row>
    <row r="2040" spans="7:7" x14ac:dyDescent="0.3">
      <c r="G2040" s="16"/>
    </row>
    <row r="2041" spans="7:7" x14ac:dyDescent="0.3">
      <c r="G2041" s="16"/>
    </row>
    <row r="2042" spans="7:7" x14ac:dyDescent="0.3">
      <c r="G2042" s="16"/>
    </row>
    <row r="2043" spans="7:7" x14ac:dyDescent="0.3">
      <c r="G2043" s="16"/>
    </row>
    <row r="2044" spans="7:7" x14ac:dyDescent="0.3">
      <c r="G2044" s="16"/>
    </row>
    <row r="2045" spans="7:7" x14ac:dyDescent="0.3">
      <c r="G2045" s="16"/>
    </row>
    <row r="2046" spans="7:7" x14ac:dyDescent="0.3">
      <c r="G2046" s="16"/>
    </row>
    <row r="2047" spans="7:7" x14ac:dyDescent="0.3">
      <c r="G2047" s="16"/>
    </row>
    <row r="2048" spans="7:7" x14ac:dyDescent="0.3">
      <c r="G2048" s="16"/>
    </row>
    <row r="2049" spans="7:7" x14ac:dyDescent="0.3">
      <c r="G2049" s="16"/>
    </row>
    <row r="2050" spans="7:7" x14ac:dyDescent="0.3">
      <c r="G2050" s="16"/>
    </row>
    <row r="2051" spans="7:7" x14ac:dyDescent="0.3">
      <c r="G2051" s="16"/>
    </row>
    <row r="2052" spans="7:7" x14ac:dyDescent="0.3">
      <c r="G2052" s="16"/>
    </row>
    <row r="2053" spans="7:7" x14ac:dyDescent="0.3">
      <c r="G2053" s="16"/>
    </row>
    <row r="2054" spans="7:7" x14ac:dyDescent="0.3">
      <c r="G2054" s="16"/>
    </row>
    <row r="2055" spans="7:7" x14ac:dyDescent="0.3">
      <c r="G2055" s="16"/>
    </row>
    <row r="2056" spans="7:7" x14ac:dyDescent="0.3">
      <c r="G2056" s="16"/>
    </row>
    <row r="2057" spans="7:7" x14ac:dyDescent="0.3">
      <c r="G2057" s="16"/>
    </row>
    <row r="2058" spans="7:7" x14ac:dyDescent="0.3">
      <c r="G2058" s="16"/>
    </row>
    <row r="2059" spans="7:7" x14ac:dyDescent="0.3">
      <c r="G2059" s="16"/>
    </row>
    <row r="2060" spans="7:7" x14ac:dyDescent="0.3">
      <c r="G2060" s="16"/>
    </row>
    <row r="2061" spans="7:7" x14ac:dyDescent="0.3">
      <c r="G2061" s="16"/>
    </row>
    <row r="2062" spans="7:7" x14ac:dyDescent="0.3">
      <c r="G2062" s="16"/>
    </row>
    <row r="2063" spans="7:7" x14ac:dyDescent="0.3">
      <c r="G2063" s="16"/>
    </row>
    <row r="2064" spans="7:7" x14ac:dyDescent="0.3">
      <c r="G2064" s="16"/>
    </row>
    <row r="2065" spans="7:7" x14ac:dyDescent="0.3">
      <c r="G2065" s="16"/>
    </row>
    <row r="2066" spans="7:7" x14ac:dyDescent="0.3">
      <c r="G2066" s="16"/>
    </row>
    <row r="2067" spans="7:7" x14ac:dyDescent="0.3">
      <c r="G2067" s="16"/>
    </row>
    <row r="2068" spans="7:7" x14ac:dyDescent="0.3">
      <c r="G2068" s="16"/>
    </row>
    <row r="2069" spans="7:7" x14ac:dyDescent="0.3">
      <c r="G2069" s="16"/>
    </row>
    <row r="2070" spans="7:7" x14ac:dyDescent="0.3">
      <c r="G2070" s="16"/>
    </row>
    <row r="2071" spans="7:7" x14ac:dyDescent="0.3">
      <c r="G2071" s="16"/>
    </row>
    <row r="2072" spans="7:7" x14ac:dyDescent="0.3">
      <c r="G2072" s="16"/>
    </row>
    <row r="2073" spans="7:7" x14ac:dyDescent="0.3">
      <c r="G2073" s="16"/>
    </row>
    <row r="2074" spans="7:7" x14ac:dyDescent="0.3">
      <c r="G2074" s="16"/>
    </row>
    <row r="2075" spans="7:7" x14ac:dyDescent="0.3">
      <c r="G2075" s="16"/>
    </row>
    <row r="2076" spans="7:7" x14ac:dyDescent="0.3">
      <c r="G2076" s="16"/>
    </row>
    <row r="2077" spans="7:7" x14ac:dyDescent="0.3">
      <c r="G2077" s="16"/>
    </row>
    <row r="2078" spans="7:7" x14ac:dyDescent="0.3">
      <c r="G2078" s="16"/>
    </row>
    <row r="2079" spans="7:7" x14ac:dyDescent="0.3">
      <c r="G2079" s="16"/>
    </row>
    <row r="2080" spans="7:7" x14ac:dyDescent="0.3">
      <c r="G2080" s="16"/>
    </row>
    <row r="2081" spans="7:7" x14ac:dyDescent="0.3">
      <c r="G2081" s="16"/>
    </row>
    <row r="2082" spans="7:7" x14ac:dyDescent="0.3">
      <c r="G2082" s="16"/>
    </row>
    <row r="2083" spans="7:7" x14ac:dyDescent="0.3">
      <c r="G2083" s="16"/>
    </row>
    <row r="2084" spans="7:7" x14ac:dyDescent="0.3">
      <c r="G2084" s="16"/>
    </row>
    <row r="2085" spans="7:7" x14ac:dyDescent="0.3">
      <c r="G2085" s="16"/>
    </row>
    <row r="2086" spans="7:7" x14ac:dyDescent="0.3">
      <c r="G2086" s="16"/>
    </row>
    <row r="2087" spans="7:7" x14ac:dyDescent="0.3">
      <c r="G2087" s="16"/>
    </row>
    <row r="2088" spans="7:7" x14ac:dyDescent="0.3">
      <c r="G2088" s="16"/>
    </row>
    <row r="2089" spans="7:7" x14ac:dyDescent="0.3">
      <c r="G2089" s="16"/>
    </row>
    <row r="2090" spans="7:7" x14ac:dyDescent="0.3">
      <c r="G2090" s="16"/>
    </row>
    <row r="2091" spans="7:7" x14ac:dyDescent="0.3">
      <c r="G2091" s="16"/>
    </row>
    <row r="2092" spans="7:7" x14ac:dyDescent="0.3">
      <c r="G2092" s="16"/>
    </row>
    <row r="2093" spans="7:7" x14ac:dyDescent="0.3">
      <c r="G2093" s="16"/>
    </row>
    <row r="2094" spans="7:7" x14ac:dyDescent="0.3">
      <c r="G2094" s="16"/>
    </row>
    <row r="2095" spans="7:7" x14ac:dyDescent="0.3">
      <c r="G2095" s="16"/>
    </row>
    <row r="2096" spans="7:7" x14ac:dyDescent="0.3">
      <c r="G2096" s="16"/>
    </row>
    <row r="2097" spans="7:7" x14ac:dyDescent="0.3">
      <c r="G2097" s="16"/>
    </row>
    <row r="2098" spans="7:7" x14ac:dyDescent="0.3">
      <c r="G2098" s="16"/>
    </row>
    <row r="2099" spans="7:7" x14ac:dyDescent="0.3">
      <c r="G2099" s="16"/>
    </row>
    <row r="2100" spans="7:7" x14ac:dyDescent="0.3">
      <c r="G2100" s="16"/>
    </row>
    <row r="2101" spans="7:7" x14ac:dyDescent="0.3">
      <c r="G2101" s="16"/>
    </row>
    <row r="2102" spans="7:7" x14ac:dyDescent="0.3">
      <c r="G2102" s="16"/>
    </row>
    <row r="2103" spans="7:7" x14ac:dyDescent="0.3">
      <c r="G2103" s="16"/>
    </row>
    <row r="2104" spans="7:7" x14ac:dyDescent="0.3">
      <c r="G2104" s="16"/>
    </row>
    <row r="2105" spans="7:7" x14ac:dyDescent="0.3">
      <c r="G2105" s="16"/>
    </row>
    <row r="2106" spans="7:7" x14ac:dyDescent="0.3">
      <c r="G2106" s="16"/>
    </row>
    <row r="2107" spans="7:7" x14ac:dyDescent="0.3">
      <c r="G2107" s="16"/>
    </row>
    <row r="2108" spans="7:7" x14ac:dyDescent="0.3">
      <c r="G2108" s="16"/>
    </row>
    <row r="2109" spans="7:7" x14ac:dyDescent="0.3">
      <c r="G2109" s="16"/>
    </row>
    <row r="2110" spans="7:7" x14ac:dyDescent="0.3">
      <c r="G2110" s="16"/>
    </row>
    <row r="2111" spans="7:7" x14ac:dyDescent="0.3">
      <c r="G2111" s="16"/>
    </row>
    <row r="2112" spans="7:7" x14ac:dyDescent="0.3">
      <c r="G2112" s="16"/>
    </row>
    <row r="2113" spans="7:7" x14ac:dyDescent="0.3">
      <c r="G2113" s="16"/>
    </row>
    <row r="2114" spans="7:7" x14ac:dyDescent="0.3">
      <c r="G2114" s="16"/>
    </row>
    <row r="2115" spans="7:7" x14ac:dyDescent="0.3">
      <c r="G2115" s="16"/>
    </row>
    <row r="2116" spans="7:7" x14ac:dyDescent="0.3">
      <c r="G2116" s="16"/>
    </row>
    <row r="2117" spans="7:7" x14ac:dyDescent="0.3">
      <c r="G2117" s="16"/>
    </row>
    <row r="2118" spans="7:7" x14ac:dyDescent="0.3">
      <c r="G2118" s="16"/>
    </row>
    <row r="2119" spans="7:7" x14ac:dyDescent="0.3">
      <c r="G2119" s="16"/>
    </row>
    <row r="2120" spans="7:7" x14ac:dyDescent="0.3">
      <c r="G2120" s="16"/>
    </row>
    <row r="2121" spans="7:7" x14ac:dyDescent="0.3">
      <c r="G2121" s="16"/>
    </row>
    <row r="2122" spans="7:7" x14ac:dyDescent="0.3">
      <c r="G2122" s="16"/>
    </row>
    <row r="2123" spans="7:7" x14ac:dyDescent="0.3">
      <c r="G2123" s="16"/>
    </row>
    <row r="2124" spans="7:7" x14ac:dyDescent="0.3">
      <c r="G2124" s="16"/>
    </row>
    <row r="2125" spans="7:7" x14ac:dyDescent="0.3">
      <c r="G2125" s="16"/>
    </row>
    <row r="2126" spans="7:7" x14ac:dyDescent="0.3">
      <c r="G2126" s="16"/>
    </row>
    <row r="2127" spans="7:7" x14ac:dyDescent="0.3">
      <c r="G2127" s="16"/>
    </row>
    <row r="2128" spans="7:7" x14ac:dyDescent="0.3">
      <c r="G2128" s="16"/>
    </row>
    <row r="2129" spans="7:7" x14ac:dyDescent="0.3">
      <c r="G2129" s="16"/>
    </row>
    <row r="2130" spans="7:7" x14ac:dyDescent="0.3">
      <c r="G2130" s="16"/>
    </row>
    <row r="2131" spans="7:7" x14ac:dyDescent="0.3">
      <c r="G2131" s="16"/>
    </row>
    <row r="2132" spans="7:7" x14ac:dyDescent="0.3">
      <c r="G2132" s="16"/>
    </row>
    <row r="2133" spans="7:7" x14ac:dyDescent="0.3">
      <c r="G2133" s="16"/>
    </row>
    <row r="2134" spans="7:7" x14ac:dyDescent="0.3">
      <c r="G2134" s="16"/>
    </row>
    <row r="2135" spans="7:7" x14ac:dyDescent="0.3">
      <c r="G2135" s="16"/>
    </row>
    <row r="2136" spans="7:7" x14ac:dyDescent="0.3">
      <c r="G2136" s="16"/>
    </row>
    <row r="2137" spans="7:7" x14ac:dyDescent="0.3">
      <c r="G2137" s="16"/>
    </row>
    <row r="2138" spans="7:7" x14ac:dyDescent="0.3">
      <c r="G2138" s="16"/>
    </row>
    <row r="2139" spans="7:7" x14ac:dyDescent="0.3">
      <c r="G2139" s="16"/>
    </row>
    <row r="2140" spans="7:7" x14ac:dyDescent="0.3">
      <c r="G2140" s="16"/>
    </row>
    <row r="2141" spans="7:7" x14ac:dyDescent="0.3">
      <c r="G2141" s="16"/>
    </row>
    <row r="2142" spans="7:7" x14ac:dyDescent="0.3">
      <c r="G2142" s="16"/>
    </row>
    <row r="2143" spans="7:7" x14ac:dyDescent="0.3">
      <c r="G2143" s="16"/>
    </row>
    <row r="2144" spans="7:7" x14ac:dyDescent="0.3">
      <c r="G2144" s="16"/>
    </row>
    <row r="2145" spans="7:7" x14ac:dyDescent="0.3">
      <c r="G2145" s="16"/>
    </row>
    <row r="2146" spans="7:7" x14ac:dyDescent="0.3">
      <c r="G2146" s="16"/>
    </row>
    <row r="2147" spans="7:7" x14ac:dyDescent="0.3">
      <c r="G2147" s="16"/>
    </row>
    <row r="2148" spans="7:7" x14ac:dyDescent="0.3">
      <c r="G2148" s="16"/>
    </row>
    <row r="2149" spans="7:7" x14ac:dyDescent="0.3">
      <c r="G2149" s="16"/>
    </row>
    <row r="2150" spans="7:7" x14ac:dyDescent="0.3">
      <c r="G2150" s="16"/>
    </row>
    <row r="2151" spans="7:7" x14ac:dyDescent="0.3">
      <c r="G2151" s="16"/>
    </row>
    <row r="2152" spans="7:7" x14ac:dyDescent="0.3">
      <c r="G2152" s="16"/>
    </row>
    <row r="2153" spans="7:7" x14ac:dyDescent="0.3">
      <c r="G2153" s="16"/>
    </row>
    <row r="2154" spans="7:7" x14ac:dyDescent="0.3">
      <c r="G2154" s="16"/>
    </row>
    <row r="2155" spans="7:7" x14ac:dyDescent="0.3">
      <c r="G2155" s="16"/>
    </row>
    <row r="2156" spans="7:7" x14ac:dyDescent="0.3">
      <c r="G2156" s="16"/>
    </row>
    <row r="2157" spans="7:7" x14ac:dyDescent="0.3">
      <c r="G2157" s="16"/>
    </row>
    <row r="2158" spans="7:7" x14ac:dyDescent="0.3">
      <c r="G2158" s="16"/>
    </row>
    <row r="2159" spans="7:7" x14ac:dyDescent="0.3">
      <c r="G2159" s="16"/>
    </row>
    <row r="2160" spans="7:7" x14ac:dyDescent="0.3">
      <c r="G2160" s="16"/>
    </row>
    <row r="2161" spans="7:7" x14ac:dyDescent="0.3">
      <c r="G2161" s="16"/>
    </row>
    <row r="2162" spans="7:7" x14ac:dyDescent="0.3">
      <c r="G2162" s="16"/>
    </row>
    <row r="2163" spans="7:7" x14ac:dyDescent="0.3">
      <c r="G2163" s="16"/>
    </row>
    <row r="2164" spans="7:7" x14ac:dyDescent="0.3">
      <c r="G2164" s="16"/>
    </row>
    <row r="2165" spans="7:7" x14ac:dyDescent="0.3">
      <c r="G2165" s="16"/>
    </row>
    <row r="2166" spans="7:7" x14ac:dyDescent="0.3">
      <c r="G2166" s="16"/>
    </row>
    <row r="2167" spans="7:7" x14ac:dyDescent="0.3">
      <c r="G2167" s="16"/>
    </row>
    <row r="2168" spans="7:7" x14ac:dyDescent="0.3">
      <c r="G2168" s="16"/>
    </row>
    <row r="2169" spans="7:7" x14ac:dyDescent="0.3">
      <c r="G2169" s="16"/>
    </row>
    <row r="2170" spans="7:7" x14ac:dyDescent="0.3">
      <c r="G2170" s="16"/>
    </row>
    <row r="2171" spans="7:7" x14ac:dyDescent="0.3">
      <c r="G2171" s="16"/>
    </row>
    <row r="2172" spans="7:7" x14ac:dyDescent="0.3">
      <c r="G2172" s="16"/>
    </row>
    <row r="2173" spans="7:7" x14ac:dyDescent="0.3">
      <c r="G2173" s="16"/>
    </row>
    <row r="2174" spans="7:7" x14ac:dyDescent="0.3">
      <c r="G2174" s="16"/>
    </row>
    <row r="2175" spans="7:7" x14ac:dyDescent="0.3">
      <c r="G2175" s="16"/>
    </row>
    <row r="2176" spans="7:7" x14ac:dyDescent="0.3">
      <c r="G2176" s="16"/>
    </row>
    <row r="2177" spans="7:7" x14ac:dyDescent="0.3">
      <c r="G2177" s="16"/>
    </row>
    <row r="2178" spans="7:7" x14ac:dyDescent="0.3">
      <c r="G2178" s="16"/>
    </row>
    <row r="2179" spans="7:7" x14ac:dyDescent="0.3">
      <c r="G2179" s="16"/>
    </row>
    <row r="2180" spans="7:7" x14ac:dyDescent="0.3">
      <c r="G2180" s="16"/>
    </row>
    <row r="2181" spans="7:7" x14ac:dyDescent="0.3">
      <c r="G2181" s="16"/>
    </row>
    <row r="2182" spans="7:7" x14ac:dyDescent="0.3">
      <c r="G2182" s="16"/>
    </row>
    <row r="2183" spans="7:7" x14ac:dyDescent="0.3">
      <c r="G2183" s="16"/>
    </row>
    <row r="2184" spans="7:7" x14ac:dyDescent="0.3">
      <c r="G2184" s="16"/>
    </row>
    <row r="2185" spans="7:7" x14ac:dyDescent="0.3">
      <c r="G2185" s="16"/>
    </row>
    <row r="2186" spans="7:7" x14ac:dyDescent="0.3">
      <c r="G2186" s="16"/>
    </row>
    <row r="2187" spans="7:7" x14ac:dyDescent="0.3">
      <c r="G2187" s="16"/>
    </row>
    <row r="2188" spans="7:7" x14ac:dyDescent="0.3">
      <c r="G2188" s="16"/>
    </row>
    <row r="2189" spans="7:7" x14ac:dyDescent="0.3">
      <c r="G2189" s="16"/>
    </row>
    <row r="2190" spans="7:7" x14ac:dyDescent="0.3">
      <c r="G2190" s="16"/>
    </row>
    <row r="2191" spans="7:7" x14ac:dyDescent="0.3">
      <c r="G2191" s="16"/>
    </row>
    <row r="2192" spans="7:7" x14ac:dyDescent="0.3">
      <c r="G2192" s="16"/>
    </row>
    <row r="2193" spans="7:7" x14ac:dyDescent="0.3">
      <c r="G2193" s="16"/>
    </row>
    <row r="2194" spans="7:7" x14ac:dyDescent="0.3">
      <c r="G2194" s="16"/>
    </row>
    <row r="2195" spans="7:7" x14ac:dyDescent="0.3">
      <c r="G2195" s="16"/>
    </row>
    <row r="2196" spans="7:7" x14ac:dyDescent="0.3">
      <c r="G2196" s="16"/>
    </row>
    <row r="2197" spans="7:7" x14ac:dyDescent="0.3">
      <c r="G2197" s="16"/>
    </row>
    <row r="2198" spans="7:7" x14ac:dyDescent="0.3">
      <c r="G2198" s="16"/>
    </row>
    <row r="2199" spans="7:7" x14ac:dyDescent="0.3">
      <c r="G2199" s="16"/>
    </row>
    <row r="2200" spans="7:7" x14ac:dyDescent="0.3">
      <c r="G2200" s="16"/>
    </row>
    <row r="2201" spans="7:7" x14ac:dyDescent="0.3">
      <c r="G2201" s="16"/>
    </row>
    <row r="2202" spans="7:7" x14ac:dyDescent="0.3">
      <c r="G2202" s="16"/>
    </row>
    <row r="2203" spans="7:7" x14ac:dyDescent="0.3">
      <c r="G2203" s="16"/>
    </row>
    <row r="2204" spans="7:7" x14ac:dyDescent="0.3">
      <c r="G2204" s="16"/>
    </row>
    <row r="2205" spans="7:7" x14ac:dyDescent="0.3">
      <c r="G2205" s="16"/>
    </row>
    <row r="2206" spans="7:7" x14ac:dyDescent="0.3">
      <c r="G2206" s="16"/>
    </row>
    <row r="2207" spans="7:7" x14ac:dyDescent="0.3">
      <c r="G2207" s="16"/>
    </row>
    <row r="2208" spans="7:7" x14ac:dyDescent="0.3">
      <c r="G2208" s="16"/>
    </row>
    <row r="2209" spans="7:7" x14ac:dyDescent="0.3">
      <c r="G2209" s="16"/>
    </row>
    <row r="2210" spans="7:7" x14ac:dyDescent="0.3">
      <c r="G2210" s="16"/>
    </row>
    <row r="2211" spans="7:7" x14ac:dyDescent="0.3">
      <c r="G2211" s="16"/>
    </row>
    <row r="2212" spans="7:7" x14ac:dyDescent="0.3">
      <c r="G2212" s="16"/>
    </row>
    <row r="2213" spans="7:7" x14ac:dyDescent="0.3">
      <c r="G2213" s="16"/>
    </row>
    <row r="2214" spans="7:7" x14ac:dyDescent="0.3">
      <c r="G2214" s="16"/>
    </row>
    <row r="2215" spans="7:7" x14ac:dyDescent="0.3">
      <c r="G2215" s="16"/>
    </row>
    <row r="2216" spans="7:7" x14ac:dyDescent="0.3">
      <c r="G2216" s="16"/>
    </row>
    <row r="2217" spans="7:7" x14ac:dyDescent="0.3">
      <c r="G2217" s="16"/>
    </row>
    <row r="2218" spans="7:7" x14ac:dyDescent="0.3">
      <c r="G2218" s="16"/>
    </row>
    <row r="2219" spans="7:7" x14ac:dyDescent="0.3">
      <c r="G2219" s="16"/>
    </row>
    <row r="2220" spans="7:7" x14ac:dyDescent="0.3">
      <c r="G2220" s="16"/>
    </row>
    <row r="2221" spans="7:7" x14ac:dyDescent="0.3">
      <c r="G2221" s="16"/>
    </row>
    <row r="2222" spans="7:7" x14ac:dyDescent="0.3">
      <c r="G2222" s="16"/>
    </row>
    <row r="2223" spans="7:7" x14ac:dyDescent="0.3">
      <c r="G2223" s="16"/>
    </row>
    <row r="2224" spans="7:7" x14ac:dyDescent="0.3">
      <c r="G2224" s="16"/>
    </row>
    <row r="2225" spans="7:7" x14ac:dyDescent="0.3">
      <c r="G2225" s="16"/>
    </row>
    <row r="2226" spans="7:7" x14ac:dyDescent="0.3">
      <c r="G2226" s="16"/>
    </row>
    <row r="2227" spans="7:7" x14ac:dyDescent="0.3">
      <c r="G2227" s="16"/>
    </row>
    <row r="2228" spans="7:7" x14ac:dyDescent="0.3">
      <c r="G2228" s="16"/>
    </row>
    <row r="2229" spans="7:7" x14ac:dyDescent="0.3">
      <c r="G2229" s="16"/>
    </row>
    <row r="2230" spans="7:7" x14ac:dyDescent="0.3">
      <c r="G2230" s="16"/>
    </row>
    <row r="2231" spans="7:7" x14ac:dyDescent="0.3">
      <c r="G2231" s="16"/>
    </row>
    <row r="2232" spans="7:7" x14ac:dyDescent="0.3">
      <c r="G2232" s="16"/>
    </row>
    <row r="2233" spans="7:7" x14ac:dyDescent="0.3">
      <c r="G2233" s="16"/>
    </row>
    <row r="2234" spans="7:7" x14ac:dyDescent="0.3">
      <c r="G2234" s="16"/>
    </row>
    <row r="2235" spans="7:7" x14ac:dyDescent="0.3">
      <c r="G2235" s="16"/>
    </row>
    <row r="2236" spans="7:7" x14ac:dyDescent="0.3">
      <c r="G2236" s="16"/>
    </row>
    <row r="2237" spans="7:7" x14ac:dyDescent="0.3">
      <c r="G2237" s="16"/>
    </row>
    <row r="2238" spans="7:7" x14ac:dyDescent="0.3">
      <c r="G2238" s="16"/>
    </row>
    <row r="2239" spans="7:7" x14ac:dyDescent="0.3">
      <c r="G2239" s="16"/>
    </row>
    <row r="2240" spans="7:7" x14ac:dyDescent="0.3">
      <c r="G2240" s="16"/>
    </row>
    <row r="2241" spans="7:7" x14ac:dyDescent="0.3">
      <c r="G2241" s="16"/>
    </row>
    <row r="2242" spans="7:7" x14ac:dyDescent="0.3">
      <c r="G2242" s="16"/>
    </row>
    <row r="2243" spans="7:7" x14ac:dyDescent="0.3">
      <c r="G2243" s="16"/>
    </row>
    <row r="2244" spans="7:7" x14ac:dyDescent="0.3">
      <c r="G2244" s="16"/>
    </row>
    <row r="2245" spans="7:7" x14ac:dyDescent="0.3">
      <c r="G2245" s="16"/>
    </row>
    <row r="2246" spans="7:7" x14ac:dyDescent="0.3">
      <c r="G2246" s="16"/>
    </row>
    <row r="2247" spans="7:7" x14ac:dyDescent="0.3">
      <c r="G2247" s="16"/>
    </row>
    <row r="2248" spans="7:7" x14ac:dyDescent="0.3">
      <c r="G2248" s="16"/>
    </row>
    <row r="2249" spans="7:7" x14ac:dyDescent="0.3">
      <c r="G2249" s="16"/>
    </row>
    <row r="2250" spans="7:7" x14ac:dyDescent="0.3">
      <c r="G2250" s="16"/>
    </row>
    <row r="2251" spans="7:7" x14ac:dyDescent="0.3">
      <c r="G2251" s="16"/>
    </row>
    <row r="2252" spans="7:7" x14ac:dyDescent="0.3">
      <c r="G2252" s="16"/>
    </row>
    <row r="2253" spans="7:7" x14ac:dyDescent="0.3">
      <c r="G2253" s="16"/>
    </row>
    <row r="2254" spans="7:7" x14ac:dyDescent="0.3">
      <c r="G2254" s="16"/>
    </row>
    <row r="2255" spans="7:7" x14ac:dyDescent="0.3">
      <c r="G2255" s="16"/>
    </row>
    <row r="2256" spans="7:7" x14ac:dyDescent="0.3">
      <c r="G2256" s="16"/>
    </row>
    <row r="2257" spans="7:7" x14ac:dyDescent="0.3">
      <c r="G2257" s="16"/>
    </row>
    <row r="2258" spans="7:7" x14ac:dyDescent="0.3">
      <c r="G2258" s="16"/>
    </row>
    <row r="2259" spans="7:7" x14ac:dyDescent="0.3">
      <c r="G2259" s="16"/>
    </row>
    <row r="2260" spans="7:7" x14ac:dyDescent="0.3">
      <c r="G2260" s="16"/>
    </row>
    <row r="2261" spans="7:7" x14ac:dyDescent="0.3">
      <c r="G2261" s="16"/>
    </row>
    <row r="2262" spans="7:7" x14ac:dyDescent="0.3">
      <c r="G2262" s="16"/>
    </row>
    <row r="2263" spans="7:7" x14ac:dyDescent="0.3">
      <c r="G2263" s="16"/>
    </row>
    <row r="2264" spans="7:7" x14ac:dyDescent="0.3">
      <c r="G2264" s="16"/>
    </row>
    <row r="2265" spans="7:7" x14ac:dyDescent="0.3">
      <c r="G2265" s="16"/>
    </row>
    <row r="2266" spans="7:7" x14ac:dyDescent="0.3">
      <c r="G2266" s="16"/>
    </row>
    <row r="2267" spans="7:7" x14ac:dyDescent="0.3">
      <c r="G2267" s="16"/>
    </row>
    <row r="2268" spans="7:7" x14ac:dyDescent="0.3">
      <c r="G2268" s="16"/>
    </row>
    <row r="2269" spans="7:7" x14ac:dyDescent="0.3">
      <c r="G2269" s="16"/>
    </row>
    <row r="2270" spans="7:7" x14ac:dyDescent="0.3">
      <c r="G2270" s="16"/>
    </row>
    <row r="2271" spans="7:7" x14ac:dyDescent="0.3">
      <c r="G2271" s="16"/>
    </row>
    <row r="2272" spans="7:7" x14ac:dyDescent="0.3">
      <c r="G2272" s="16"/>
    </row>
    <row r="2273" spans="7:7" x14ac:dyDescent="0.3">
      <c r="G2273" s="16"/>
    </row>
    <row r="2274" spans="7:7" x14ac:dyDescent="0.3">
      <c r="G2274" s="16"/>
    </row>
    <row r="2275" spans="7:7" x14ac:dyDescent="0.3">
      <c r="G2275" s="16"/>
    </row>
    <row r="2276" spans="7:7" x14ac:dyDescent="0.3">
      <c r="G2276" s="16"/>
    </row>
    <row r="2277" spans="7:7" x14ac:dyDescent="0.3">
      <c r="G2277" s="16"/>
    </row>
    <row r="2278" spans="7:7" x14ac:dyDescent="0.3">
      <c r="G2278" s="16"/>
    </row>
    <row r="2279" spans="7:7" x14ac:dyDescent="0.3">
      <c r="G2279" s="16"/>
    </row>
    <row r="2280" spans="7:7" x14ac:dyDescent="0.3">
      <c r="G2280" s="16"/>
    </row>
    <row r="2281" spans="7:7" x14ac:dyDescent="0.3">
      <c r="G2281" s="16"/>
    </row>
    <row r="2282" spans="7:7" x14ac:dyDescent="0.3">
      <c r="G2282" s="16"/>
    </row>
    <row r="2283" spans="7:7" x14ac:dyDescent="0.3">
      <c r="G2283" s="16"/>
    </row>
    <row r="2284" spans="7:7" x14ac:dyDescent="0.3">
      <c r="G2284" s="16"/>
    </row>
    <row r="2285" spans="7:7" x14ac:dyDescent="0.3">
      <c r="G2285" s="16"/>
    </row>
    <row r="2286" spans="7:7" x14ac:dyDescent="0.3">
      <c r="G2286" s="16"/>
    </row>
    <row r="2287" spans="7:7" x14ac:dyDescent="0.3">
      <c r="G2287" s="16"/>
    </row>
    <row r="2288" spans="7:7" x14ac:dyDescent="0.3">
      <c r="G2288" s="16"/>
    </row>
    <row r="2289" spans="7:7" x14ac:dyDescent="0.3">
      <c r="G2289" s="16"/>
    </row>
    <row r="2290" spans="7:7" x14ac:dyDescent="0.3">
      <c r="G2290" s="16"/>
    </row>
    <row r="2291" spans="7:7" x14ac:dyDescent="0.3">
      <c r="G2291" s="16"/>
    </row>
    <row r="2292" spans="7:7" x14ac:dyDescent="0.3">
      <c r="G2292" s="16"/>
    </row>
    <row r="2293" spans="7:7" x14ac:dyDescent="0.3">
      <c r="G2293" s="16"/>
    </row>
    <row r="2294" spans="7:7" x14ac:dyDescent="0.3">
      <c r="G2294" s="16"/>
    </row>
    <row r="2295" spans="7:7" x14ac:dyDescent="0.3">
      <c r="G2295" s="16"/>
    </row>
    <row r="2296" spans="7:7" x14ac:dyDescent="0.3">
      <c r="G2296" s="16"/>
    </row>
    <row r="2297" spans="7:7" x14ac:dyDescent="0.3">
      <c r="G2297" s="16"/>
    </row>
    <row r="2298" spans="7:7" x14ac:dyDescent="0.3">
      <c r="G2298" s="16"/>
    </row>
    <row r="2299" spans="7:7" x14ac:dyDescent="0.3">
      <c r="G2299" s="16"/>
    </row>
    <row r="2300" spans="7:7" x14ac:dyDescent="0.3">
      <c r="G2300" s="16"/>
    </row>
    <row r="2301" spans="7:7" x14ac:dyDescent="0.3">
      <c r="G2301" s="16"/>
    </row>
    <row r="2302" spans="7:7" x14ac:dyDescent="0.3">
      <c r="G2302" s="16"/>
    </row>
    <row r="2303" spans="7:7" x14ac:dyDescent="0.3">
      <c r="G2303" s="16"/>
    </row>
    <row r="2304" spans="7:7" x14ac:dyDescent="0.3">
      <c r="G2304" s="16"/>
    </row>
    <row r="2305" spans="7:7" x14ac:dyDescent="0.3">
      <c r="G2305" s="16"/>
    </row>
    <row r="2306" spans="7:7" x14ac:dyDescent="0.3">
      <c r="G2306" s="16"/>
    </row>
    <row r="2307" spans="7:7" x14ac:dyDescent="0.3">
      <c r="G2307" s="16"/>
    </row>
    <row r="2308" spans="7:7" x14ac:dyDescent="0.3">
      <c r="G2308" s="16"/>
    </row>
    <row r="2309" spans="7:7" x14ac:dyDescent="0.3">
      <c r="G2309" s="16"/>
    </row>
    <row r="2310" spans="7:7" x14ac:dyDescent="0.3">
      <c r="G2310" s="16"/>
    </row>
    <row r="2311" spans="7:7" x14ac:dyDescent="0.3">
      <c r="G2311" s="16"/>
    </row>
    <row r="2312" spans="7:7" x14ac:dyDescent="0.3">
      <c r="G2312" s="16"/>
    </row>
    <row r="2313" spans="7:7" x14ac:dyDescent="0.3">
      <c r="G2313" s="16"/>
    </row>
    <row r="2314" spans="7:7" x14ac:dyDescent="0.3">
      <c r="G2314" s="16"/>
    </row>
    <row r="2315" spans="7:7" x14ac:dyDescent="0.3">
      <c r="G2315" s="16"/>
    </row>
  </sheetData>
  <phoneticPr fontId="3"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1</vt:lpstr>
      <vt:lpstr>2</vt:lpstr>
      <vt:lpstr>3</vt:lpstr>
      <vt:lpstr>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8613311913622</dc:creator>
  <cp:lastModifiedBy>bin jiao</cp:lastModifiedBy>
  <dcterms:created xsi:type="dcterms:W3CDTF">2024-12-15T21:23:50Z</dcterms:created>
  <dcterms:modified xsi:type="dcterms:W3CDTF">2025-12-25T04:01:00Z</dcterms:modified>
</cp:coreProperties>
</file>