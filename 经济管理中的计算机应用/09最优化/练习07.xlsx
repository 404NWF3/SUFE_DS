
<file path=[Content_Types].xml><?xml version="1.0" encoding="utf-8"?>
<Types xmlns="http://schemas.openxmlformats.org/package/2006/content-types">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作业与资料\经管机\09最优化\"/>
    </mc:Choice>
  </mc:AlternateContent>
  <xr:revisionPtr revIDLastSave="0" documentId="13_ncr:1_{A32A028D-FBE4-448A-9955-0B6CEF3DFE99}" xr6:coauthVersionLast="47" xr6:coauthVersionMax="47" xr10:uidLastSave="{00000000-0000-0000-0000-000000000000}"/>
  <bookViews>
    <workbookView xWindow="-110" yWindow="-110" windowWidth="25820" windowHeight="15500" activeTab="6" xr2:uid="{987613FF-11CC-4C96-8999-2CFEABA30904}"/>
  </bookViews>
  <sheets>
    <sheet name="1" sheetId="1" r:id="rId1"/>
    <sheet name="2" sheetId="2" r:id="rId2"/>
    <sheet name="3" sheetId="3" r:id="rId3"/>
    <sheet name="4" sheetId="4" r:id="rId4"/>
    <sheet name="5" sheetId="5" r:id="rId5"/>
    <sheet name="6" sheetId="6" r:id="rId6"/>
    <sheet name="7" sheetId="7" r:id="rId7"/>
  </sheets>
  <definedNames>
    <definedName name="solver_adj" localSheetId="0" hidden="1">'1'!$D$8:$E$8</definedName>
    <definedName name="solver_adj" localSheetId="1" hidden="1">'2'!$C$6:$D$6</definedName>
    <definedName name="solver_adj" localSheetId="2" hidden="1">'3'!$C$9:$F$11</definedName>
    <definedName name="solver_adj" localSheetId="3" hidden="1">'4'!$C$8:$F$8</definedName>
    <definedName name="solver_adj" localSheetId="4" hidden="1">'5'!$C$12:$H$12,'5'!$C$13:$G$13,'5'!$C$14:$F$14</definedName>
    <definedName name="solver_adj" localSheetId="5" hidden="1">'6'!$C$10:$H$10</definedName>
    <definedName name="solver_adj" localSheetId="6" hidden="1">'7'!$C$7:$D$7</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eng" localSheetId="0" hidden="1">2</definedName>
    <definedName name="solver_eng" localSheetId="1" hidden="1">1</definedName>
    <definedName name="solver_eng" localSheetId="2" hidden="1">2</definedName>
    <definedName name="solver_eng" localSheetId="3" hidden="1">2</definedName>
    <definedName name="solver_eng" localSheetId="4" hidden="1">1</definedName>
    <definedName name="solver_eng" localSheetId="5" hidden="1">1</definedName>
    <definedName name="solver_eng" localSheetId="6" hidden="1">2</definedName>
    <definedName name="solver_est" localSheetId="0" hidden="1">1</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itr" localSheetId="0" hidden="1">2147483647</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lhs1" localSheetId="0" hidden="1">'1'!$F$4:$F$6</definedName>
    <definedName name="solver_lhs1" localSheetId="1" hidden="1">'2'!$E$3:$E$5</definedName>
    <definedName name="solver_lhs1" localSheetId="2" hidden="1">'3'!$C$12:$F$12</definedName>
    <definedName name="solver_lhs1" localSheetId="3" hidden="1">'4'!$C$8:$F$8</definedName>
    <definedName name="solver_lhs1" localSheetId="4" hidden="1">'5'!$C$15:$H$15</definedName>
    <definedName name="solver_lhs1" localSheetId="5" hidden="1">'6'!$C$10:$H$10</definedName>
    <definedName name="solver_lhs1" localSheetId="6" hidden="1">'7'!$C$7:$D$7</definedName>
    <definedName name="solver_lhs2" localSheetId="2" hidden="1">'3'!$C$9:$F$11</definedName>
    <definedName name="solver_lhs2" localSheetId="3" hidden="1">'4'!$G$3:$G$6</definedName>
    <definedName name="solver_lhs2" localSheetId="5" hidden="1">'6'!$C$10:$H$10</definedName>
    <definedName name="solver_lhs2" localSheetId="6" hidden="1">'7'!$E$3:$E$5</definedName>
    <definedName name="solver_lhs3" localSheetId="2" hidden="1">'3'!$G$9:$G$11</definedName>
    <definedName name="solver_lhs3" localSheetId="5" hidden="1">'6'!$C$10:$H$10</definedName>
    <definedName name="solver_lhs3" localSheetId="6" hidden="1">'7'!$E$3:$E$5</definedName>
    <definedName name="solver_lhs4" localSheetId="5" hidden="1">'6'!$C$13:$H$13</definedName>
    <definedName name="solver_lhs5" localSheetId="5" hidden="1">'6'!$C$14:$H$14</definedName>
    <definedName name="solver_lin" localSheetId="6" hidden="1">2</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um" localSheetId="0" hidden="1">1</definedName>
    <definedName name="solver_num" localSheetId="1" hidden="1">1</definedName>
    <definedName name="solver_num" localSheetId="2" hidden="1">3</definedName>
    <definedName name="solver_num" localSheetId="3" hidden="1">2</definedName>
    <definedName name="solver_num" localSheetId="4" hidden="1">1</definedName>
    <definedName name="solver_num" localSheetId="5" hidden="1">5</definedName>
    <definedName name="solver_num" localSheetId="6" hidden="1">2</definedName>
    <definedName name="solver_nwt" localSheetId="0" hidden="1">1</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opt" localSheetId="0" hidden="1">'1'!$E$9</definedName>
    <definedName name="solver_opt" localSheetId="1" hidden="1">'2'!$C$14</definedName>
    <definedName name="solver_opt" localSheetId="2" hidden="1">'3'!$H$12</definedName>
    <definedName name="solver_opt" localSheetId="3" hidden="1">'4'!$C$9</definedName>
    <definedName name="solver_opt" localSheetId="4" hidden="1">'5'!$I$12</definedName>
    <definedName name="solver_opt" localSheetId="5" hidden="1">'6'!$C$17</definedName>
    <definedName name="solver_opt" localSheetId="6" hidden="1">'7'!$C$8</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el1" localSheetId="0" hidden="1">1</definedName>
    <definedName name="solver_rel1" localSheetId="1" hidden="1">1</definedName>
    <definedName name="solver_rel1" localSheetId="2" hidden="1">2</definedName>
    <definedName name="solver_rel1" localSheetId="3" hidden="1">5</definedName>
    <definedName name="solver_rel1" localSheetId="4" hidden="1">3</definedName>
    <definedName name="solver_rel1" localSheetId="5" hidden="1">1</definedName>
    <definedName name="solver_rel1" localSheetId="6" hidden="1">4</definedName>
    <definedName name="solver_rel2" localSheetId="2" hidden="1">4</definedName>
    <definedName name="solver_rel2" localSheetId="3" hidden="1">3</definedName>
    <definedName name="solver_rel2" localSheetId="5" hidden="1">4</definedName>
    <definedName name="solver_rel2" localSheetId="6" hidden="1">1</definedName>
    <definedName name="solver_rel3" localSheetId="2" hidden="1">1</definedName>
    <definedName name="solver_rel3" localSheetId="5" hidden="1">3</definedName>
    <definedName name="solver_rel3" localSheetId="6" hidden="1">1</definedName>
    <definedName name="solver_rel4" localSheetId="5" hidden="1">3</definedName>
    <definedName name="solver_rel5" localSheetId="5" hidden="1">1</definedName>
    <definedName name="solver_rhs1" localSheetId="0" hidden="1">'1'!$G$4:$G$6</definedName>
    <definedName name="solver_rhs1" localSheetId="1" hidden="1">'2'!$F$3:$F$5</definedName>
    <definedName name="solver_rhs1" localSheetId="2" hidden="1">'3'!$C$13:$F$13</definedName>
    <definedName name="solver_rhs1" localSheetId="3" hidden="1">"二进制"</definedName>
    <definedName name="solver_rhs1" localSheetId="4" hidden="1">0</definedName>
    <definedName name="solver_rhs1" localSheetId="5" hidden="1">'6'!$C$11:$H$11</definedName>
    <definedName name="solver_rhs1" localSheetId="6" hidden="1">"整数"</definedName>
    <definedName name="solver_rhs2" localSheetId="2" hidden="1">"整数"</definedName>
    <definedName name="solver_rhs2" localSheetId="3" hidden="1">1</definedName>
    <definedName name="solver_rhs2" localSheetId="5" hidden="1">"整数"</definedName>
    <definedName name="solver_rhs2" localSheetId="6" hidden="1">'7'!$F$3:$F$5</definedName>
    <definedName name="solver_rhs3" localSheetId="2" hidden="1">'3'!$H$9:$H$11</definedName>
    <definedName name="solver_rhs3" localSheetId="5" hidden="1">'6'!$C$12:$H$12</definedName>
    <definedName name="solver_rhs3" localSheetId="6" hidden="1">'7'!$F$3:$F$5</definedName>
    <definedName name="solver_rhs4" localSheetId="5" hidden="1">'6'!$C$3</definedName>
    <definedName name="solver_rhs5" localSheetId="5" hidden="1">'6'!$C$2</definedName>
    <definedName name="solver_rlx" localSheetId="0" hidden="1">2</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scl" localSheetId="0" hidden="1">1</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cl" localSheetId="5" hidden="1">1</definedName>
    <definedName name="solver_scl" localSheetId="6" hidden="1">1</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tim" localSheetId="0" hidden="1">2147483647</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ol" localSheetId="0" hidden="1">0.01</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6" hidden="1">0.01</definedName>
    <definedName name="solver_typ" localSheetId="0" hidden="1">1</definedName>
    <definedName name="solver_typ" localSheetId="1" hidden="1">1</definedName>
    <definedName name="solver_typ" localSheetId="2" hidden="1">2</definedName>
    <definedName name="solver_typ" localSheetId="3" hidden="1">2</definedName>
    <definedName name="solver_typ" localSheetId="4" hidden="1">1</definedName>
    <definedName name="solver_typ" localSheetId="5" hidden="1">2</definedName>
    <definedName name="solver_typ" localSheetId="6" hidden="1">1</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er" localSheetId="0" hidden="1">3</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1" i="5" l="1"/>
  <c r="B20" i="5"/>
  <c r="B19" i="5" a="1"/>
  <c r="B18" i="5"/>
  <c r="C18" i="7" l="1"/>
  <c r="C17" i="7"/>
  <c r="C16" i="7" a="1"/>
  <c r="C16" i="7" s="1"/>
  <c r="C15" i="7"/>
  <c r="C14" i="7" a="1"/>
  <c r="C14" i="7" s="1"/>
  <c r="C13" i="7"/>
  <c r="C12" i="7"/>
  <c r="B17" i="7"/>
  <c r="B16" i="7"/>
  <c r="B15" i="7" a="1"/>
  <c r="B14" i="7" a="1"/>
  <c r="B14" i="7" s="1"/>
  <c r="B13" i="7"/>
  <c r="C8" i="7"/>
  <c r="B12" i="7" s="1"/>
  <c r="E4" i="7"/>
  <c r="E5" i="7"/>
  <c r="E3" i="7"/>
  <c r="B27" i="6"/>
  <c r="B26" i="6"/>
  <c r="B25" i="6" a="1"/>
  <c r="B24" i="6" a="1"/>
  <c r="B23" i="6" a="1"/>
  <c r="B23" i="6" s="1"/>
  <c r="B22" i="6" a="1"/>
  <c r="B22" i="6" s="1"/>
  <c r="B21" i="6" a="1"/>
  <c r="B21" i="6" s="1"/>
  <c r="B20" i="6"/>
  <c r="D12" i="6"/>
  <c r="E12" i="6"/>
  <c r="F12" i="6"/>
  <c r="G12" i="6"/>
  <c r="H12" i="6"/>
  <c r="C12" i="6"/>
  <c r="D16" i="6"/>
  <c r="E16" i="6"/>
  <c r="F16" i="6"/>
  <c r="G16" i="6"/>
  <c r="H16" i="6"/>
  <c r="C16" i="6"/>
  <c r="C13" i="6"/>
  <c r="D9" i="6" s="1"/>
  <c r="C9" i="6"/>
  <c r="I10" i="5"/>
  <c r="G10" i="5"/>
  <c r="H10" i="5"/>
  <c r="F10" i="5"/>
  <c r="E10" i="5"/>
  <c r="G9" i="5"/>
  <c r="H9" i="5"/>
  <c r="I9" i="5"/>
  <c r="E9" i="5"/>
  <c r="F9" i="5"/>
  <c r="C15" i="5"/>
  <c r="D8" i="5" s="1"/>
  <c r="D9" i="5"/>
  <c r="D10" i="5" s="1"/>
  <c r="D5" i="5"/>
  <c r="D4" i="5"/>
  <c r="D3" i="5"/>
  <c r="B16" i="4"/>
  <c r="B15" i="4"/>
  <c r="B14" i="4" a="1"/>
  <c r="B13" i="4" a="1"/>
  <c r="B13" i="4" s="1"/>
  <c r="B12" i="4"/>
  <c r="G4" i="4" a="1"/>
  <c r="G4" i="4" s="1"/>
  <c r="G5" i="4" a="1"/>
  <c r="G5" i="4" s="1"/>
  <c r="G6" i="4" a="1"/>
  <c r="G6" i="4" s="1"/>
  <c r="G3" i="4" a="1"/>
  <c r="G3" i="4" s="1"/>
  <c r="C9" i="4" a="1"/>
  <c r="C9" i="4" s="1"/>
  <c r="B11" i="4" s="1"/>
  <c r="B21" i="3"/>
  <c r="B20" i="3"/>
  <c r="B19" i="3" a="1"/>
  <c r="B19" i="3" s="1"/>
  <c r="B18" i="3" a="1"/>
  <c r="B18" i="3" s="1"/>
  <c r="B17" i="3" a="1"/>
  <c r="B17" i="3" s="1"/>
  <c r="B16" i="3"/>
  <c r="B15" i="3"/>
  <c r="H12" i="3" a="1"/>
  <c r="H12" i="3" s="1"/>
  <c r="D12" i="3"/>
  <c r="E12" i="3"/>
  <c r="F12" i="3"/>
  <c r="C12" i="3"/>
  <c r="G10" i="3"/>
  <c r="G11" i="3"/>
  <c r="G9" i="3"/>
  <c r="B20" i="2"/>
  <c r="B19" i="2"/>
  <c r="B18" i="2" a="1"/>
  <c r="B18" i="2" s="1"/>
  <c r="B17" i="2"/>
  <c r="B16" i="2"/>
  <c r="E4" i="2"/>
  <c r="E5" i="2"/>
  <c r="E3" i="2"/>
  <c r="D11" i="2"/>
  <c r="D12" i="2" s="1"/>
  <c r="C11" i="2"/>
  <c r="C12" i="2"/>
  <c r="D9" i="2"/>
  <c r="D10" i="2" s="1"/>
  <c r="C9" i="2"/>
  <c r="C10" i="2" s="1"/>
  <c r="C14" i="1"/>
  <c r="C13" i="1"/>
  <c r="C12" i="1" a="1"/>
  <c r="C12" i="1" s="1"/>
  <c r="C11" i="1"/>
  <c r="C10" i="1"/>
  <c r="F5" i="1"/>
  <c r="F6" i="1"/>
  <c r="F4" i="1"/>
  <c r="E9" i="1"/>
  <c r="B19" i="5" l="1"/>
  <c r="B14" i="4"/>
  <c r="B15" i="7"/>
  <c r="C14" i="6"/>
  <c r="B24" i="6" s="1"/>
  <c r="D13" i="6"/>
  <c r="E9" i="6" s="1"/>
  <c r="D15" i="5"/>
  <c r="E8" i="5" s="1"/>
  <c r="E15" i="5" s="1"/>
  <c r="F8" i="5" s="1"/>
  <c r="F15" i="5" s="1"/>
  <c r="G8" i="5" s="1"/>
  <c r="C14" i="2"/>
  <c r="B25" i="6" l="1"/>
  <c r="D14" i="6"/>
  <c r="E13" i="6"/>
  <c r="F9" i="6" s="1"/>
  <c r="G15" i="5"/>
  <c r="H8" i="5" s="1"/>
  <c r="H15" i="5" s="1"/>
  <c r="I8" i="5" s="1"/>
  <c r="I12" i="5" s="1"/>
  <c r="B17" i="5" s="1"/>
  <c r="E14" i="6" l="1"/>
  <c r="F13" i="6"/>
  <c r="G9" i="6" s="1"/>
  <c r="F14" i="6" l="1"/>
  <c r="G13" i="6"/>
  <c r="H9" i="6" s="1"/>
  <c r="G14" i="6" l="1"/>
  <c r="H13" i="6"/>
  <c r="H14" i="6" s="1"/>
  <c r="C17" i="6" s="1" a="1"/>
  <c r="C17" i="6" s="1"/>
  <c r="B19"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<sst xmlns="http://schemas.openxmlformats.org/spreadsheetml/2006/main" count="115" uniqueCount="98">
  <si>
    <t>产品</t>
    <phoneticPr fontId="5" type="noConversion"/>
  </si>
  <si>
    <t>P1</t>
    <phoneticPr fontId="5" type="noConversion"/>
  </si>
  <si>
    <t>P2</t>
    <phoneticPr fontId="5" type="noConversion"/>
  </si>
  <si>
    <t>实际量</t>
    <phoneticPr fontId="5" type="noConversion"/>
  </si>
  <si>
    <t>供给量</t>
    <phoneticPr fontId="5" type="noConversion"/>
  </si>
  <si>
    <t>原料A</t>
    <phoneticPr fontId="5" type="noConversion"/>
  </si>
  <si>
    <t>原料B</t>
    <phoneticPr fontId="5" type="noConversion"/>
  </si>
  <si>
    <t>原料C</t>
    <phoneticPr fontId="5" type="noConversion"/>
  </si>
  <si>
    <t>单位利润</t>
    <phoneticPr fontId="5" type="noConversion"/>
  </si>
  <si>
    <t>产量</t>
    <phoneticPr fontId="5" type="noConversion"/>
  </si>
  <si>
    <t>总利润</t>
    <phoneticPr fontId="5" type="noConversion"/>
  </si>
  <si>
    <r>
      <t>产品</t>
    </r>
    <r>
      <rPr>
        <sz val="11"/>
        <rFont val="Times New Roman"/>
        <family val="1"/>
      </rPr>
      <t>1</t>
    </r>
    <phoneticPr fontId="5" type="noConversion"/>
  </si>
  <si>
    <r>
      <t>产品</t>
    </r>
    <r>
      <rPr>
        <sz val="11"/>
        <rFont val="Times New Roman"/>
        <family val="1"/>
      </rPr>
      <t>2</t>
    </r>
    <phoneticPr fontId="5" type="noConversion"/>
  </si>
  <si>
    <t>需要量</t>
    <phoneticPr fontId="5" type="noConversion"/>
  </si>
  <si>
    <t>可提供量</t>
    <phoneticPr fontId="5" type="noConversion"/>
  </si>
  <si>
    <t>单位成本</t>
    <phoneticPr fontId="5" type="noConversion"/>
  </si>
  <si>
    <t>工时</t>
    <phoneticPr fontId="5" type="noConversion"/>
  </si>
  <si>
    <t>用电量</t>
    <phoneticPr fontId="5" type="noConversion"/>
  </si>
  <si>
    <t>原材料</t>
    <phoneticPr fontId="5" type="noConversion"/>
  </si>
  <si>
    <t>a</t>
    <phoneticPr fontId="5" type="noConversion"/>
  </si>
  <si>
    <t>b</t>
    <phoneticPr fontId="5" type="noConversion"/>
  </si>
  <si>
    <t>单价</t>
    <phoneticPr fontId="5" type="noConversion"/>
  </si>
  <si>
    <t>收益</t>
    <phoneticPr fontId="5" type="noConversion"/>
  </si>
  <si>
    <t>单位变动成本</t>
    <phoneticPr fontId="5" type="noConversion"/>
  </si>
  <si>
    <t>变动成本</t>
    <phoneticPr fontId="5" type="noConversion"/>
  </si>
  <si>
    <t>总固定成本</t>
    <phoneticPr fontId="5" type="noConversion"/>
  </si>
  <si>
    <t>每箱运费</t>
    <phoneticPr fontId="5" type="noConversion"/>
  </si>
  <si>
    <t>城市A</t>
    <phoneticPr fontId="5" type="noConversion"/>
  </si>
  <si>
    <t>城市B</t>
    <phoneticPr fontId="5" type="noConversion"/>
  </si>
  <si>
    <t>城市C</t>
    <phoneticPr fontId="5" type="noConversion"/>
  </si>
  <si>
    <t>城市D</t>
    <phoneticPr fontId="5" type="noConversion"/>
  </si>
  <si>
    <t>工厂1</t>
    <phoneticPr fontId="5" type="noConversion"/>
  </si>
  <si>
    <t>工厂2</t>
    <phoneticPr fontId="5" type="noConversion"/>
  </si>
  <si>
    <t>工厂3</t>
    <phoneticPr fontId="5" type="noConversion"/>
  </si>
  <si>
    <t>实际产量</t>
    <phoneticPr fontId="5" type="noConversion"/>
  </si>
  <si>
    <t>最大产量</t>
    <phoneticPr fontId="5" type="noConversion"/>
  </si>
  <si>
    <t>运到量</t>
    <phoneticPr fontId="5" type="noConversion"/>
  </si>
  <si>
    <t>总运费</t>
    <phoneticPr fontId="5" type="noConversion"/>
  </si>
  <si>
    <t>覆盖</t>
    <phoneticPr fontId="5" type="noConversion"/>
  </si>
  <si>
    <t>位置1</t>
    <phoneticPr fontId="5" type="noConversion"/>
  </si>
  <si>
    <r>
      <t>位置2</t>
    </r>
    <r>
      <rPr>
        <sz val="12"/>
        <rFont val="宋体"/>
        <family val="3"/>
        <charset val="134"/>
      </rPr>
      <t/>
    </r>
    <phoneticPr fontId="5" type="noConversion"/>
  </si>
  <si>
    <r>
      <t>位置3</t>
    </r>
    <r>
      <rPr>
        <sz val="12"/>
        <rFont val="宋体"/>
        <family val="3"/>
        <charset val="134"/>
      </rPr>
      <t/>
    </r>
    <phoneticPr fontId="5" type="noConversion"/>
  </si>
  <si>
    <r>
      <t>位置4</t>
    </r>
    <r>
      <rPr>
        <sz val="12"/>
        <rFont val="宋体"/>
        <family val="3"/>
        <charset val="134"/>
      </rPr>
      <t/>
    </r>
    <phoneticPr fontId="5" type="noConversion"/>
  </si>
  <si>
    <t>覆盖次数</t>
    <phoneticPr fontId="5" type="noConversion"/>
  </si>
  <si>
    <t>地区A</t>
    <phoneticPr fontId="5" type="noConversion"/>
  </si>
  <si>
    <t>地区B</t>
    <phoneticPr fontId="5" type="noConversion"/>
  </si>
  <si>
    <t>地区C</t>
    <phoneticPr fontId="5" type="noConversion"/>
  </si>
  <si>
    <t>地区D</t>
    <phoneticPr fontId="5" type="noConversion"/>
  </si>
  <si>
    <t>费用</t>
    <phoneticPr fontId="5" type="noConversion"/>
  </si>
  <si>
    <t>选择</t>
    <phoneticPr fontId="5" type="noConversion"/>
  </si>
  <si>
    <t>总费用</t>
    <phoneticPr fontId="5" type="noConversion"/>
  </si>
  <si>
    <t>年利率</t>
  </si>
  <si>
    <t>到期总利率</t>
    <phoneticPr fontId="5" type="noConversion"/>
  </si>
  <si>
    <r>
      <t>一年期</t>
    </r>
    <r>
      <rPr>
        <sz val="10"/>
        <rFont val="Times New Roman"/>
        <family val="1"/>
      </rPr>
      <t/>
    </r>
    <phoneticPr fontId="5" type="noConversion"/>
  </si>
  <si>
    <r>
      <t>二年期</t>
    </r>
    <r>
      <rPr>
        <sz val="10"/>
        <rFont val="Times New Roman"/>
        <family val="1"/>
      </rPr>
      <t/>
    </r>
    <phoneticPr fontId="5" type="noConversion"/>
  </si>
  <si>
    <r>
      <t>三年期</t>
    </r>
    <r>
      <rPr>
        <sz val="10"/>
        <rFont val="Times New Roman"/>
        <family val="1"/>
      </rPr>
      <t/>
    </r>
    <phoneticPr fontId="5" type="noConversion"/>
  </si>
  <si>
    <t>第1年</t>
    <phoneticPr fontId="5" type="noConversion"/>
  </si>
  <si>
    <t>第2年</t>
    <phoneticPr fontId="5" type="noConversion"/>
  </si>
  <si>
    <t>第3年</t>
    <phoneticPr fontId="5" type="noConversion"/>
  </si>
  <si>
    <t>第4年</t>
    <phoneticPr fontId="5" type="noConversion"/>
  </si>
  <si>
    <t>第5年</t>
    <phoneticPr fontId="5" type="noConversion"/>
  </si>
  <si>
    <t>第6年</t>
    <phoneticPr fontId="5" type="noConversion"/>
  </si>
  <si>
    <t>第7年初</t>
    <phoneticPr fontId="5" type="noConversion"/>
  </si>
  <si>
    <t>期初现金</t>
    <phoneticPr fontId="5" type="noConversion"/>
  </si>
  <si>
    <t>到期本金</t>
    <phoneticPr fontId="5" type="noConversion"/>
  </si>
  <si>
    <t>到期利息</t>
    <phoneticPr fontId="5" type="noConversion"/>
  </si>
  <si>
    <t>现金需要额</t>
    <phoneticPr fontId="5" type="noConversion"/>
  </si>
  <si>
    <t>到期现金余额</t>
    <phoneticPr fontId="5" type="noConversion"/>
  </si>
  <si>
    <t>一年期存款</t>
    <phoneticPr fontId="5" type="noConversion"/>
  </si>
  <si>
    <t>二年期存款</t>
    <phoneticPr fontId="5" type="noConversion"/>
  </si>
  <si>
    <t>三年期存款</t>
    <phoneticPr fontId="5" type="noConversion"/>
  </si>
  <si>
    <t>期末现金</t>
    <phoneticPr fontId="5" type="noConversion"/>
  </si>
  <si>
    <t>仓库容量</t>
    <phoneticPr fontId="5" type="noConversion"/>
  </si>
  <si>
    <t>安全库存量</t>
    <phoneticPr fontId="5" type="noConversion"/>
  </si>
  <si>
    <t>储存成本系数</t>
    <phoneticPr fontId="5" type="noConversion"/>
  </si>
  <si>
    <t>当前库存量</t>
    <phoneticPr fontId="5" type="noConversion"/>
  </si>
  <si>
    <t>1月</t>
    <phoneticPr fontId="5" type="noConversion"/>
  </si>
  <si>
    <t>2月</t>
  </si>
  <si>
    <t>3月</t>
  </si>
  <si>
    <t>4月</t>
  </si>
  <si>
    <t>5月</t>
  </si>
  <si>
    <t>6月</t>
  </si>
  <si>
    <t>需求量</t>
    <phoneticPr fontId="5" type="noConversion"/>
  </si>
  <si>
    <t>月初库存量</t>
    <phoneticPr fontId="5" type="noConversion"/>
  </si>
  <si>
    <t>生产量</t>
    <phoneticPr fontId="5" type="noConversion"/>
  </si>
  <si>
    <t>生产量上限</t>
    <phoneticPr fontId="5" type="noConversion"/>
  </si>
  <si>
    <t>生产量下限</t>
    <phoneticPr fontId="5" type="noConversion"/>
  </si>
  <si>
    <t>月末库存量</t>
    <phoneticPr fontId="5" type="noConversion"/>
  </si>
  <si>
    <t>月平均库存量</t>
    <phoneticPr fontId="5" type="noConversion"/>
  </si>
  <si>
    <t>单位生产成本</t>
    <phoneticPr fontId="5" type="noConversion"/>
  </si>
  <si>
    <t>单位储存成本</t>
    <phoneticPr fontId="5" type="noConversion"/>
  </si>
  <si>
    <t>总成本</t>
    <phoneticPr fontId="5" type="noConversion"/>
  </si>
  <si>
    <r>
      <t>产品</t>
    </r>
    <r>
      <rPr>
        <sz val="10"/>
        <rFont val="Times New Roman"/>
        <family val="1"/>
      </rPr>
      <t>1</t>
    </r>
    <phoneticPr fontId="5" type="noConversion"/>
  </si>
  <si>
    <r>
      <t>产品</t>
    </r>
    <r>
      <rPr>
        <sz val="10"/>
        <rFont val="Times New Roman"/>
        <family val="1"/>
      </rPr>
      <t>2</t>
    </r>
    <phoneticPr fontId="5" type="noConversion"/>
  </si>
  <si>
    <t>提供量</t>
    <phoneticPr fontId="5" type="noConversion"/>
  </si>
  <si>
    <t>规划求解参数</t>
    <phoneticPr fontId="5" type="noConversion"/>
  </si>
  <si>
    <t>总利润最大</t>
    <phoneticPr fontId="5" type="noConversion"/>
  </si>
  <si>
    <t>总工时最少</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</si>
</sst>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 "/>
  </numFmts>
  <fonts count="10" x14ac:knownFonts="1">
    <font>
      <sz val="11"/>
      <color theme="1"/>
      <name val="等线"/>
      <family val="2"/>
      <charset val="134"/>
      <scheme val="minor"/>
    </font>
    <font>
      <sz val="11"/>
      <color theme="1"/>
      <name val="等线"/>
      <family val="2"/>
      <charset val="134"/>
      <scheme val="minor"/>
    </font>
    <font>
      <sz val="9"/>
      <name val="等线"/>
      <family val="2"/>
      <charset val="134"/>
      <scheme val="minor"/>
    </font>
    <font>
      <sz val="12"/>
      <name val="宋体"/>
      <family val="3"/>
      <charset val="134"/>
    </font>
    <font>
      <sz val="11"/>
      <name val="宋体"/>
      <family val="3"/>
      <charset val="134"/>
    </font>
    <font>
      <sz val="9"/>
      <name val="宋体"/>
      <family val="3"/>
      <charset val="134"/>
    </font>
    <font>
      <sz val="11"/>
      <name val="Times New Roman"/>
      <family val="1"/>
    </font>
    <font>
      <sz val="10"/>
      <name val="宋体"/>
      <family val="3"/>
      <charset val="134"/>
    </font>
    <font>
      <sz val="10"/>
      <name val="Times New Roman"/>
      <family val="1"/>
    </font>
    <font>
      <b/>
      <sz val="11"/>
      <name val="宋体"/>
      <family val="3"/>
      <charset val="134"/>
    </font>
  </fonts>
  <fills count="12">
    <fill>
      <patternFill patternType="none"/>
    </fill>
    <fill>
      <patternFill patternType="gray125"/>
    </fill>
    <fill>
      <patternFill patternType="solid">
        <fgColor theme="6" tint="-0.499984740745262"/>
        <bgColor indexed="64"/>
      </patternFill>
    </fill>
    <fill>
      <patternFill patternType="solid">
        <fgColor theme="0" tint="-0.14999847407452621"/>
        <bgColor indexed="64"/>
      </patternFill>
    </fill>
    <fill>
      <patternFill patternType="solid">
        <fgColor rgb="FFCCFFFF"/>
        <bgColor indexed="64"/>
      </patternFill>
    </fill>
    <fill>
      <patternFill patternType="solid">
        <fgColor rgb="FFFFFF99"/>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8" tint="0.59999389629810485"/>
        <bgColor indexed="64"/>
      </patternFill>
    </fill>
    <fill>
      <patternFill patternType="lightDown"/>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8">
    <xf numFmtId="0" fontId="0" fillId="0" borderId="0">
      <alignment vertical="center"/>
    </xf>
    <xf numFmtId="9" fontId="1" fillId="0" borderId="0" applyFont="0" applyFill="0" applyBorder="0" applyAlignment="0" applyProtection="0">
      <alignment vertical="center"/>
    </xf>
    <xf numFmtId="0" fontId="3" fillId="0" borderId="0">
      <alignment vertical="center"/>
    </xf>
    <xf numFmtId="0" fontId="3" fillId="0" borderId="0"/>
    <xf numFmtId="0" fontId="3" fillId="0" borderId="0"/>
    <xf numFmtId="0" fontId="3" fillId="0" borderId="0"/>
    <xf numFmtId="9" fontId="3" fillId="0" borderId="0" applyFont="0" applyFill="0" applyBorder="0" applyAlignment="0" applyProtection="0">
      <alignment vertical="center"/>
    </xf>
    <xf numFmtId="0" fontId="7" fillId="0" borderId="0"/>
  </cellStyleXfs>
  <cellXfs count="48">
    <xf numFmtId="0" fontId="0" fillId="0" borderId="0" xfId="0">
      <alignment vertical="center"/>
    </xf>
    <xf numFmtId="0" fontId="4" fillId="2" borderId="0" xfId="2" applyFont="1" applyFill="1">
      <alignment vertical="center"/>
    </xf>
    <xf numFmtId="0" fontId="4" fillId="0" borderId="0" xfId="2" applyFont="1">
      <alignment vertical="center"/>
    </xf>
    <xf numFmtId="0" fontId="4" fillId="3" borderId="1" xfId="2" applyFont="1" applyFill="1" applyBorder="1">
      <alignment vertical="center"/>
    </xf>
    <xf numFmtId="0" fontId="4" fillId="3" borderId="1" xfId="2" applyFont="1" applyFill="1" applyBorder="1" applyAlignment="1">
      <alignment horizontal="center" vertical="center"/>
    </xf>
    <xf numFmtId="0" fontId="4" fillId="4" borderId="1" xfId="2" applyFont="1" applyFill="1" applyBorder="1" applyAlignment="1">
      <alignment horizontal="center" vertical="center"/>
    </xf>
    <xf numFmtId="0" fontId="4" fillId="5" borderId="1" xfId="2" applyFont="1" applyFill="1" applyBorder="1" applyAlignment="1">
      <alignment horizontal="center" vertical="center"/>
    </xf>
    <xf numFmtId="0" fontId="4" fillId="2" borderId="0" xfId="2" applyFont="1" applyFill="1" applyAlignment="1">
      <alignment horizontal="center" vertical="center"/>
    </xf>
    <xf numFmtId="0" fontId="4" fillId="6" borderId="1" xfId="2" applyFont="1" applyFill="1" applyBorder="1" applyAlignment="1">
      <alignment horizontal="center" vertical="center"/>
    </xf>
    <xf numFmtId="0" fontId="4" fillId="7" borderId="1" xfId="2" applyFont="1" applyFill="1" applyBorder="1">
      <alignment vertical="center"/>
    </xf>
    <xf numFmtId="0" fontId="4" fillId="8" borderId="0" xfId="3" applyFont="1" applyFill="1"/>
    <xf numFmtId="0" fontId="4" fillId="0" borderId="0" xfId="3" applyFont="1"/>
    <xf numFmtId="0" fontId="4" fillId="4" borderId="1" xfId="2" applyFont="1" applyFill="1" applyBorder="1">
      <alignment vertical="center"/>
    </xf>
    <xf numFmtId="0" fontId="4" fillId="5" borderId="1" xfId="2" applyFont="1" applyFill="1" applyBorder="1">
      <alignment vertical="center"/>
    </xf>
    <xf numFmtId="0" fontId="4" fillId="6" borderId="1" xfId="2" applyFont="1" applyFill="1" applyBorder="1">
      <alignment vertical="center"/>
    </xf>
    <xf numFmtId="0" fontId="4" fillId="0" borderId="0" xfId="3" applyFont="1" applyFill="1"/>
    <xf numFmtId="0" fontId="3" fillId="8" borderId="0" xfId="2" applyFill="1">
      <alignment vertical="center"/>
    </xf>
    <xf numFmtId="0" fontId="3" fillId="0" borderId="0" xfId="2">
      <alignment vertical="center"/>
    </xf>
    <xf numFmtId="0" fontId="3" fillId="8" borderId="0" xfId="2" applyFill="1" applyAlignment="1">
      <alignment horizontal="center" vertical="center"/>
    </xf>
    <xf numFmtId="0" fontId="0" fillId="8" borderId="0" xfId="4" applyFont="1" applyFill="1"/>
    <xf numFmtId="0" fontId="0" fillId="0" borderId="0" xfId="4" applyFont="1"/>
    <xf numFmtId="0" fontId="7" fillId="8" borderId="0" xfId="2" applyFont="1" applyFill="1" applyAlignment="1"/>
    <xf numFmtId="0" fontId="7" fillId="8" borderId="0" xfId="5" applyFont="1" applyFill="1"/>
    <xf numFmtId="0" fontId="7" fillId="0" borderId="0" xfId="5" applyFont="1"/>
    <xf numFmtId="176" fontId="4" fillId="5" borderId="1" xfId="1" applyNumberFormat="1" applyFont="1" applyFill="1" applyBorder="1">
      <alignment vertical="center"/>
    </xf>
    <xf numFmtId="176" fontId="4" fillId="4" borderId="1" xfId="6" applyNumberFormat="1" applyFont="1" applyFill="1" applyBorder="1">
      <alignment vertical="center"/>
    </xf>
    <xf numFmtId="1" fontId="4" fillId="5" borderId="1" xfId="2" applyNumberFormat="1" applyFont="1" applyFill="1" applyBorder="1">
      <alignment vertical="center"/>
    </xf>
    <xf numFmtId="2" fontId="4" fillId="4" borderId="1" xfId="2" applyNumberFormat="1" applyFont="1" applyFill="1" applyBorder="1">
      <alignment vertical="center"/>
    </xf>
    <xf numFmtId="2" fontId="4" fillId="9" borderId="1" xfId="2" applyNumberFormat="1" applyFont="1" applyFill="1" applyBorder="1">
      <alignment vertical="center"/>
    </xf>
    <xf numFmtId="2" fontId="7" fillId="10" borderId="2" xfId="7" applyNumberFormat="1" applyFill="1" applyBorder="1"/>
    <xf numFmtId="2" fontId="7" fillId="10" borderId="3" xfId="7" applyNumberFormat="1" applyFill="1" applyBorder="1"/>
    <xf numFmtId="2" fontId="7" fillId="10" borderId="1" xfId="7" applyNumberFormat="1" applyFill="1" applyBorder="1"/>
    <xf numFmtId="0" fontId="9" fillId="3" borderId="1" xfId="2" applyFont="1" applyFill="1" applyBorder="1">
      <alignment vertical="center"/>
    </xf>
    <xf numFmtId="2" fontId="4" fillId="11" borderId="1" xfId="2" applyNumberFormat="1" applyFont="1" applyFill="1" applyBorder="1">
      <alignment vertical="center"/>
    </xf>
    <xf numFmtId="2" fontId="4" fillId="6" borderId="1" xfId="2" applyNumberFormat="1" applyFont="1" applyFill="1" applyBorder="1">
      <alignment vertical="center"/>
    </xf>
    <xf numFmtId="2" fontId="7" fillId="10" borderId="4" xfId="7" applyNumberFormat="1" applyFill="1" applyBorder="1"/>
    <xf numFmtId="2" fontId="4" fillId="7" borderId="1" xfId="2" applyNumberFormat="1" applyFont="1" applyFill="1" applyBorder="1">
      <alignment vertical="center"/>
    </xf>
    <xf numFmtId="0" fontId="7" fillId="8" borderId="0" xfId="4" applyFont="1" applyFill="1"/>
    <xf numFmtId="0" fontId="7" fillId="0" borderId="0" xfId="4" applyFont="1"/>
    <xf numFmtId="1" fontId="4" fillId="11" borderId="1" xfId="2" applyNumberFormat="1" applyFont="1" applyFill="1" applyBorder="1">
      <alignment vertical="center"/>
    </xf>
    <xf numFmtId="1" fontId="4" fillId="6" borderId="1" xfId="2" applyNumberFormat="1" applyFont="1" applyFill="1" applyBorder="1">
      <alignment vertical="center"/>
    </xf>
    <xf numFmtId="1" fontId="4" fillId="7" borderId="1" xfId="2" applyNumberFormat="1" applyFont="1" applyFill="1" applyBorder="1">
      <alignment vertical="center"/>
    </xf>
    <xf numFmtId="0" fontId="8" fillId="0" borderId="0" xfId="4" applyFont="1"/>
    <xf numFmtId="0" fontId="7" fillId="0" borderId="0" xfId="4" applyFont="1" applyFill="1"/>
    <xf numFmtId="177" fontId="4" fillId="4" borderId="1" xfId="2" applyNumberFormat="1" applyFont="1" applyFill="1" applyBorder="1">
      <alignment vertical="center"/>
    </xf>
    <xf numFmtId="1" fontId="4" fillId="4" borderId="1" xfId="2" applyNumberFormat="1" applyFont="1" applyFill="1" applyBorder="1">
      <alignment vertical="center"/>
    </xf>
    <xf numFmtId="0" fontId="4" fillId="3" borderId="5" xfId="2" applyFont="1" applyFill="1" applyBorder="1" applyAlignment="1">
      <alignment horizontal="center" vertical="center"/>
    </xf>
    <xf numFmtId="0" fontId="4" fillId="3" borderId="3" xfId="2" applyFont="1" applyFill="1" applyBorder="1" applyAlignment="1">
      <alignment horizontal="center" vertical="center"/>
    </xf>
  </cellXfs>
  <cellStyles count="8">
    <cellStyle name="Normal_A4" xfId="7" xr:uid="{C74EF428-E08A-4C59-B487-6C476C8C2CCD}"/>
    <cellStyle name="百分比" xfId="1" builtinId="5"/>
    <cellStyle name="百分比 2" xfId="6" xr:uid="{4ACDF3C0-5DDD-4DB6-99D8-EC1EB5F14326}"/>
    <cellStyle name="常规" xfId="0" builtinId="0"/>
    <cellStyle name="常规 2" xfId="2" xr:uid="{C7502914-2A3F-46C5-B244-6295EE45B8FC}"/>
    <cellStyle name="常规 2 2" xfId="4" xr:uid="{A9CB7542-AD43-42C2-A2F7-7EE5912B46F9}"/>
    <cellStyle name="常规 3" xfId="5" xr:uid="{785C39C3-D4B4-42FF-9E09-496F36A40F6C}"/>
    <cellStyle name="常规 4" xfId="3" xr:uid="{A2B38C96-0C23-4251-86B0-CD133ECC2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14</xdr:col>
      <xdr:colOff>647700</xdr:colOff>
      <xdr:row>9</xdr:row>
      <xdr:rowOff>38100</xdr:rowOff>
    </xdr:to>
    <xdr:sp macro="" textlink="">
      <xdr:nvSpPr>
        <xdr:cNvPr id="2" name="Text Box 1">
          <a:extLst>
            <a:ext uri="{FF2B5EF4-FFF2-40B4-BE49-F238E27FC236}">
              <a16:creationId xmlns:a16="http://schemas.microsoft.com/office/drawing/2014/main" id="{85DD3A72-8F4A-4512-951B-B07E2405B1A5}"/>
            </a:ext>
          </a:extLst>
        </xdr:cNvPr>
        <xdr:cNvSpPr txBox="1">
          <a:spLocks noChangeArrowheads="1"/>
        </xdr:cNvSpPr>
      </xdr:nvSpPr>
      <xdr:spPr bwMode="auto">
        <a:xfrm>
          <a:off x="4103914" y="348343"/>
          <a:ext cx="4076700" cy="1257300"/>
        </a:xfrm>
        <a:prstGeom prst="rect">
          <a:avLst/>
        </a:prstGeom>
        <a:solidFill>
          <a:schemeClr val="accent1">
            <a:lumMod val="20000"/>
            <a:lumOff val="80000"/>
          </a:schemeClr>
        </a:solidFill>
        <a:ln w="9525">
          <a:solidFill>
            <a:schemeClr val="tx1"/>
          </a:solidFill>
          <a:miter lim="800000"/>
          <a:headEnd/>
          <a:tailEnd/>
        </a:ln>
      </xdr:spPr>
      <xdr:txBody>
        <a:bodyPr vertOverflow="clip" wrap="square" lIns="27432" tIns="18288" rIns="0" bIns="0" anchor="t" upright="1"/>
        <a:lstStyle/>
        <a:p>
          <a:pPr algn="l" rtl="0">
            <a:lnSpc>
              <a:spcPts val="1400"/>
            </a:lnSpc>
            <a:defRPr sz="1000"/>
          </a:pPr>
          <a:r>
            <a:rPr lang="zh-CN" altLang="en-US" sz="1100" b="0" i="0" u="none" strike="noStrike" baseline="0">
              <a:solidFill>
                <a:srgbClr val="000000"/>
              </a:solidFill>
              <a:latin typeface="宋体"/>
              <a:ea typeface="宋体"/>
            </a:rPr>
            <a:t>某化工厂用</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C</a:t>
          </a:r>
          <a:r>
            <a:rPr lang="zh-CN" altLang="en-US" sz="1100" b="0" i="0" u="none" strike="noStrike" baseline="0">
              <a:solidFill>
                <a:srgbClr val="000000"/>
              </a:solidFill>
              <a:latin typeface="宋体"/>
              <a:ea typeface="宋体"/>
            </a:rPr>
            <a:t>三种原料生产</a:t>
          </a:r>
          <a:r>
            <a:rPr lang="en-US" altLang="zh-CN" sz="1100" b="0" i="0" u="none" strike="noStrike" baseline="0">
              <a:solidFill>
                <a:srgbClr val="000000"/>
              </a:solidFill>
              <a:latin typeface="宋体"/>
              <a:ea typeface="宋体"/>
            </a:rPr>
            <a:t>P1</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P2</a:t>
          </a:r>
          <a:r>
            <a:rPr lang="zh-CN" altLang="en-US" sz="1100" b="0" i="0" u="none" strike="noStrike" baseline="0">
              <a:solidFill>
                <a:srgbClr val="000000"/>
              </a:solidFill>
              <a:latin typeface="宋体"/>
              <a:ea typeface="宋体"/>
            </a:rPr>
            <a:t>两种化工产品。每生产</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升</a:t>
          </a:r>
          <a:r>
            <a:rPr lang="en-US" altLang="zh-CN" sz="1100" b="0" i="0" u="none" strike="noStrike" baseline="0">
              <a:solidFill>
                <a:srgbClr val="000000"/>
              </a:solidFill>
              <a:latin typeface="宋体"/>
              <a:ea typeface="宋体"/>
            </a:rPr>
            <a:t>P1</a:t>
          </a:r>
          <a:r>
            <a:rPr lang="zh-CN" altLang="en-US" sz="1100" b="0" i="0" u="none" strike="noStrike" baseline="0">
              <a:solidFill>
                <a:srgbClr val="000000"/>
              </a:solidFill>
              <a:latin typeface="宋体"/>
              <a:ea typeface="宋体"/>
            </a:rPr>
            <a:t>产品需要</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C</a:t>
          </a:r>
          <a:r>
            <a:rPr lang="zh-CN" altLang="en-US" sz="1100" b="0" i="0" u="none" strike="noStrike" baseline="0">
              <a:solidFill>
                <a:srgbClr val="000000"/>
              </a:solidFill>
              <a:latin typeface="宋体"/>
              <a:ea typeface="宋体"/>
            </a:rPr>
            <a:t>的数量为</a:t>
          </a: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公斤，而生产</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升</a:t>
          </a:r>
          <a:r>
            <a:rPr lang="en-US" altLang="zh-CN" sz="1100" b="0" i="0" u="none" strike="noStrike" baseline="0">
              <a:solidFill>
                <a:srgbClr val="000000"/>
              </a:solidFill>
              <a:latin typeface="宋体"/>
              <a:ea typeface="宋体"/>
            </a:rPr>
            <a:t>P2</a:t>
          </a:r>
          <a:r>
            <a:rPr lang="zh-CN" altLang="en-US" sz="1100" b="0" i="0" u="none" strike="noStrike" baseline="0">
              <a:solidFill>
                <a:srgbClr val="000000"/>
              </a:solidFill>
              <a:latin typeface="宋体"/>
              <a:ea typeface="宋体"/>
            </a:rPr>
            <a:t>的数量为</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公斤。</a:t>
          </a:r>
          <a:r>
            <a:rPr lang="en-US" altLang="zh-CN" sz="1100" b="0" i="0" u="none" strike="noStrike" baseline="0">
              <a:solidFill>
                <a:srgbClr val="000000"/>
              </a:solidFill>
              <a:latin typeface="宋体"/>
              <a:ea typeface="宋体"/>
            </a:rPr>
            <a:t>P1</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P2</a:t>
          </a:r>
          <a:r>
            <a:rPr lang="zh-CN" altLang="en-US" sz="1100" b="0" i="0" u="none" strike="noStrike" baseline="0">
              <a:solidFill>
                <a:srgbClr val="000000"/>
              </a:solidFill>
              <a:latin typeface="宋体"/>
              <a:ea typeface="宋体"/>
            </a:rPr>
            <a:t>的单位利润分别为</a:t>
          </a: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元和</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元，工厂现有</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C</a:t>
          </a:r>
          <a:r>
            <a:rPr lang="zh-CN" altLang="en-US" sz="1100" b="0" i="0" u="none" strike="noStrike" baseline="0">
              <a:solidFill>
                <a:srgbClr val="000000"/>
              </a:solidFill>
              <a:latin typeface="宋体"/>
              <a:ea typeface="宋体"/>
            </a:rPr>
            <a:t>三种原料的数量分别为</a:t>
          </a:r>
          <a:r>
            <a:rPr lang="en-US" altLang="zh-CN" sz="1100" b="0" i="0" u="none" strike="noStrike" baseline="0">
              <a:solidFill>
                <a:srgbClr val="000000"/>
              </a:solidFill>
              <a:latin typeface="宋体"/>
              <a:ea typeface="宋体"/>
            </a:rPr>
            <a:t>14</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8</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6</a:t>
          </a:r>
          <a:r>
            <a:rPr lang="zh-CN" altLang="en-US" sz="1100" b="0" i="0" u="none" strike="noStrike" baseline="0">
              <a:solidFill>
                <a:srgbClr val="000000"/>
              </a:solidFill>
              <a:latin typeface="宋体"/>
              <a:ea typeface="宋体"/>
            </a:rPr>
            <a:t>公斤。请问：</a:t>
          </a:r>
        </a:p>
        <a:p>
          <a:pPr algn="l" rtl="0">
            <a:lnSpc>
              <a:spcPts val="1500"/>
            </a:lnSpc>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、如何安排生产</a:t>
          </a:r>
          <a:r>
            <a:rPr lang="en-US" altLang="zh-CN" sz="1100" b="0" i="0" u="none" strike="noStrike" baseline="0">
              <a:solidFill>
                <a:srgbClr val="000000"/>
              </a:solidFill>
              <a:latin typeface="宋体"/>
              <a:ea typeface="宋体"/>
            </a:rPr>
            <a:t>P1</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P2</a:t>
          </a:r>
          <a:r>
            <a:rPr lang="zh-CN" altLang="en-US" sz="1100" b="0" i="0" u="none" strike="noStrike" baseline="0">
              <a:solidFill>
                <a:srgbClr val="000000"/>
              </a:solidFill>
              <a:latin typeface="宋体"/>
              <a:ea typeface="宋体"/>
            </a:rPr>
            <a:t>的产量能获利最大？</a:t>
          </a:r>
        </a:p>
        <a:p>
          <a:pPr algn="l" rtl="0">
            <a:lnSpc>
              <a:spcPts val="1500"/>
            </a:lnSpc>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、将规划求解的模型保存在</a:t>
          </a:r>
          <a:r>
            <a:rPr lang="en-US" altLang="zh-CN" sz="1100" b="0" i="0" u="none" strike="noStrike" baseline="0">
              <a:solidFill>
                <a:srgbClr val="000000"/>
              </a:solidFill>
              <a:latin typeface="宋体"/>
              <a:ea typeface="宋体"/>
            </a:rPr>
            <a:t>C15</a:t>
          </a:r>
          <a:r>
            <a:rPr lang="zh-CN" altLang="en-US" sz="1100" b="0" i="0" u="none" strike="noStrike" baseline="0">
              <a:solidFill>
                <a:srgbClr val="000000"/>
              </a:solidFill>
              <a:latin typeface="宋体"/>
              <a:ea typeface="宋体"/>
            </a:rPr>
            <a:t>开始的单元格中。</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374487</xdr:colOff>
      <xdr:row>2</xdr:row>
      <xdr:rowOff>138398</xdr:rowOff>
    </xdr:from>
    <xdr:to>
      <xdr:col>13</xdr:col>
      <xdr:colOff>374487</xdr:colOff>
      <xdr:row>11</xdr:row>
      <xdr:rowOff>176498</xdr:rowOff>
    </xdr:to>
    <xdr:sp macro="" textlink="">
      <xdr:nvSpPr>
        <xdr:cNvPr id="2" name="TextBox 1">
          <a:extLst>
            <a:ext uri="{FF2B5EF4-FFF2-40B4-BE49-F238E27FC236}">
              <a16:creationId xmlns:a16="http://schemas.microsoft.com/office/drawing/2014/main" id="{1AAEFF35-A254-4AB6-8A7E-EE36BF8A7470}"/>
            </a:ext>
          </a:extLst>
        </xdr:cNvPr>
        <xdr:cNvSpPr txBox="1"/>
      </xdr:nvSpPr>
      <xdr:spPr>
        <a:xfrm>
          <a:off x="4445000" y="496603"/>
          <a:ext cx="3419231" cy="1650023"/>
        </a:xfrm>
        <a:prstGeom prst="rect">
          <a:avLst/>
        </a:prstGeom>
        <a:solidFill>
          <a:schemeClr val="accent1">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300"/>
            </a:lnSpc>
          </a:pPr>
          <a:r>
            <a:rPr lang="zh-CN" altLang="zh-CN" sz="1100">
              <a:solidFill>
                <a:schemeClr val="dk1"/>
              </a:solidFill>
              <a:latin typeface="+mn-lt"/>
              <a:ea typeface="+mn-ea"/>
              <a:cs typeface="+mn-cs"/>
            </a:rPr>
            <a:t>某公司生产和销售两种产品，两种产品各生产一个单位需要工时</a:t>
          </a:r>
          <a:r>
            <a:rPr lang="en-US" altLang="zh-CN" sz="1100">
              <a:solidFill>
                <a:schemeClr val="dk1"/>
              </a:solidFill>
              <a:latin typeface="+mn-lt"/>
              <a:ea typeface="+mn-ea"/>
              <a:cs typeface="+mn-cs"/>
            </a:rPr>
            <a:t>3</a:t>
          </a:r>
          <a:r>
            <a:rPr lang="zh-CN" altLang="zh-CN" sz="1100">
              <a:solidFill>
                <a:schemeClr val="dk1"/>
              </a:solidFill>
              <a:latin typeface="+mn-lt"/>
              <a:ea typeface="+mn-ea"/>
              <a:cs typeface="+mn-cs"/>
            </a:rPr>
            <a:t>和</a:t>
          </a:r>
          <a:r>
            <a:rPr lang="en-US" altLang="zh-CN" sz="1100">
              <a:solidFill>
                <a:schemeClr val="dk1"/>
              </a:solidFill>
              <a:latin typeface="+mn-lt"/>
              <a:ea typeface="+mn-ea"/>
              <a:cs typeface="+mn-cs"/>
            </a:rPr>
            <a:t>7</a:t>
          </a:r>
          <a:r>
            <a:rPr lang="zh-CN" altLang="zh-CN" sz="1100">
              <a:solidFill>
                <a:schemeClr val="dk1"/>
              </a:solidFill>
              <a:latin typeface="+mn-lt"/>
              <a:ea typeface="+mn-ea"/>
              <a:cs typeface="+mn-cs"/>
            </a:rPr>
            <a:t>，用电量</a:t>
          </a:r>
          <a:r>
            <a:rPr lang="en-US" altLang="zh-CN" sz="1100">
              <a:solidFill>
                <a:schemeClr val="dk1"/>
              </a:solidFill>
              <a:latin typeface="+mn-lt"/>
              <a:ea typeface="+mn-ea"/>
              <a:cs typeface="+mn-cs"/>
            </a:rPr>
            <a:t>4</a:t>
          </a:r>
          <a:r>
            <a:rPr lang="zh-CN" altLang="zh-CN" sz="1100">
              <a:solidFill>
                <a:schemeClr val="dk1"/>
              </a:solidFill>
              <a:latin typeface="+mn-lt"/>
              <a:ea typeface="+mn-ea"/>
              <a:cs typeface="+mn-cs"/>
            </a:rPr>
            <a:t>千瓦和</a:t>
          </a:r>
          <a:r>
            <a:rPr lang="en-US" altLang="zh-CN" sz="1100">
              <a:solidFill>
                <a:schemeClr val="dk1"/>
              </a:solidFill>
              <a:latin typeface="+mn-lt"/>
              <a:ea typeface="+mn-ea"/>
              <a:cs typeface="+mn-cs"/>
            </a:rPr>
            <a:t>5</a:t>
          </a:r>
          <a:r>
            <a:rPr lang="zh-CN" altLang="zh-CN" sz="1100">
              <a:solidFill>
                <a:schemeClr val="dk1"/>
              </a:solidFill>
              <a:latin typeface="+mn-lt"/>
              <a:ea typeface="+mn-ea"/>
              <a:cs typeface="+mn-cs"/>
            </a:rPr>
            <a:t>千瓦，需要原材料</a:t>
          </a:r>
          <a:r>
            <a:rPr lang="en-US" altLang="zh-CN" sz="1100">
              <a:solidFill>
                <a:schemeClr val="dk1"/>
              </a:solidFill>
              <a:latin typeface="+mn-lt"/>
              <a:ea typeface="+mn-ea"/>
              <a:cs typeface="+mn-cs"/>
            </a:rPr>
            <a:t>9</a:t>
          </a:r>
          <a:r>
            <a:rPr lang="zh-CN" altLang="zh-CN" sz="1100">
              <a:solidFill>
                <a:schemeClr val="dk1"/>
              </a:solidFill>
              <a:latin typeface="+mn-lt"/>
              <a:ea typeface="+mn-ea"/>
              <a:cs typeface="+mn-cs"/>
            </a:rPr>
            <a:t>公斤和</a:t>
          </a:r>
          <a:r>
            <a:rPr lang="en-US" altLang="zh-CN" sz="1100">
              <a:solidFill>
                <a:schemeClr val="dk1"/>
              </a:solidFill>
              <a:latin typeface="+mn-lt"/>
              <a:ea typeface="+mn-ea"/>
              <a:cs typeface="+mn-cs"/>
            </a:rPr>
            <a:t>4</a:t>
          </a:r>
          <a:r>
            <a:rPr lang="zh-CN" altLang="zh-CN" sz="1100">
              <a:solidFill>
                <a:schemeClr val="dk1"/>
              </a:solidFill>
              <a:latin typeface="+mn-lt"/>
              <a:ea typeface="+mn-ea"/>
              <a:cs typeface="+mn-cs"/>
            </a:rPr>
            <a:t>公斤。公司可提供的工时为</a:t>
          </a:r>
          <a:r>
            <a:rPr lang="en-US" altLang="zh-CN" sz="1100">
              <a:solidFill>
                <a:schemeClr val="dk1"/>
              </a:solidFill>
              <a:latin typeface="+mn-lt"/>
              <a:ea typeface="+mn-ea"/>
              <a:cs typeface="+mn-cs"/>
            </a:rPr>
            <a:t>300</a:t>
          </a:r>
          <a:r>
            <a:rPr lang="zh-CN" altLang="zh-CN" sz="1100">
              <a:solidFill>
                <a:schemeClr val="dk1"/>
              </a:solidFill>
              <a:latin typeface="+mn-lt"/>
              <a:ea typeface="+mn-ea"/>
              <a:cs typeface="+mn-cs"/>
            </a:rPr>
            <a:t>，可提供的用电量为</a:t>
          </a:r>
          <a:r>
            <a:rPr lang="en-US" altLang="zh-CN" sz="1100">
              <a:solidFill>
                <a:schemeClr val="dk1"/>
              </a:solidFill>
              <a:latin typeface="+mn-lt"/>
              <a:ea typeface="+mn-ea"/>
              <a:cs typeface="+mn-cs"/>
            </a:rPr>
            <a:t>250</a:t>
          </a:r>
          <a:r>
            <a:rPr lang="zh-CN" altLang="zh-CN" sz="1100">
              <a:solidFill>
                <a:schemeClr val="dk1"/>
              </a:solidFill>
              <a:latin typeface="+mn-lt"/>
              <a:ea typeface="+mn-ea"/>
              <a:cs typeface="+mn-cs"/>
            </a:rPr>
            <a:t>千瓦，可提供的原材料为</a:t>
          </a:r>
          <a:r>
            <a:rPr lang="en-US" altLang="zh-CN" sz="1100">
              <a:solidFill>
                <a:schemeClr val="dk1"/>
              </a:solidFill>
              <a:latin typeface="+mn-lt"/>
              <a:ea typeface="+mn-ea"/>
              <a:cs typeface="+mn-cs"/>
            </a:rPr>
            <a:t>420</a:t>
          </a:r>
          <a:r>
            <a:rPr lang="zh-CN" altLang="zh-CN" sz="1100">
              <a:solidFill>
                <a:schemeClr val="dk1"/>
              </a:solidFill>
              <a:latin typeface="+mn-lt"/>
              <a:ea typeface="+mn-ea"/>
              <a:cs typeface="+mn-cs"/>
            </a:rPr>
            <a:t>公斤。两种产品的单价</a:t>
          </a:r>
          <a:r>
            <a:rPr lang="en-US" altLang="zh-CN" sz="1100">
              <a:solidFill>
                <a:schemeClr val="dk1"/>
              </a:solidFill>
              <a:latin typeface="+mn-lt"/>
              <a:ea typeface="+mn-ea"/>
              <a:cs typeface="+mn-cs"/>
            </a:rPr>
            <a:t>p</a:t>
          </a:r>
          <a:r>
            <a:rPr lang="zh-CN" altLang="zh-CN" sz="1100">
              <a:solidFill>
                <a:schemeClr val="dk1"/>
              </a:solidFill>
              <a:latin typeface="+mn-lt"/>
              <a:ea typeface="+mn-ea"/>
              <a:cs typeface="+mn-cs"/>
            </a:rPr>
            <a:t>与销量</a:t>
          </a:r>
          <a:r>
            <a:rPr lang="en-US" altLang="zh-CN" sz="1100">
              <a:solidFill>
                <a:schemeClr val="dk1"/>
              </a:solidFill>
              <a:latin typeface="+mn-lt"/>
              <a:ea typeface="+mn-ea"/>
              <a:cs typeface="+mn-cs"/>
            </a:rPr>
            <a:t>q</a:t>
          </a:r>
          <a:r>
            <a:rPr lang="zh-CN" altLang="zh-CN" sz="1100">
              <a:solidFill>
                <a:schemeClr val="dk1"/>
              </a:solidFill>
              <a:latin typeface="+mn-lt"/>
              <a:ea typeface="+mn-ea"/>
              <a:cs typeface="+mn-cs"/>
            </a:rPr>
            <a:t>之间存在负的线性关系，分别为</a:t>
          </a:r>
          <a:r>
            <a:rPr lang="en-US" altLang="zh-CN" sz="1100">
              <a:solidFill>
                <a:schemeClr val="dk1"/>
              </a:solidFill>
              <a:latin typeface="+mn-lt"/>
              <a:ea typeface="+mn-ea"/>
              <a:cs typeface="+mn-cs"/>
            </a:rPr>
            <a:t>p1=3000 - 50q1, p2 = 3250- 80q2 </a:t>
          </a:r>
          <a:r>
            <a:rPr lang="zh-CN" altLang="zh-CN" sz="1100">
              <a:solidFill>
                <a:schemeClr val="dk1"/>
              </a:solidFill>
              <a:latin typeface="+mn-lt"/>
              <a:ea typeface="+mn-ea"/>
              <a:cs typeface="+mn-cs"/>
            </a:rPr>
            <a:t>。工时、用电量和原材料的单位成本分别为</a:t>
          </a:r>
          <a:r>
            <a:rPr lang="en-US" altLang="zh-CN" sz="1100">
              <a:solidFill>
                <a:schemeClr val="dk1"/>
              </a:solidFill>
              <a:latin typeface="+mn-lt"/>
              <a:ea typeface="+mn-ea"/>
              <a:cs typeface="+mn-cs"/>
            </a:rPr>
            <a:t>10</a:t>
          </a:r>
          <a:r>
            <a:rPr lang="zh-CN" altLang="zh-CN" sz="1100">
              <a:solidFill>
                <a:schemeClr val="dk1"/>
              </a:solidFill>
              <a:latin typeface="+mn-lt"/>
              <a:ea typeface="+mn-ea"/>
              <a:cs typeface="+mn-cs"/>
            </a:rPr>
            <a:t>、</a:t>
          </a:r>
          <a:r>
            <a:rPr lang="en-US" altLang="zh-CN" sz="1100">
              <a:solidFill>
                <a:schemeClr val="dk1"/>
              </a:solidFill>
              <a:latin typeface="+mn-lt"/>
              <a:ea typeface="+mn-ea"/>
              <a:cs typeface="+mn-cs"/>
            </a:rPr>
            <a:t>12</a:t>
          </a:r>
          <a:r>
            <a:rPr lang="zh-CN" altLang="zh-CN" sz="1100">
              <a:solidFill>
                <a:schemeClr val="dk1"/>
              </a:solidFill>
              <a:latin typeface="+mn-lt"/>
              <a:ea typeface="+mn-ea"/>
              <a:cs typeface="+mn-cs"/>
            </a:rPr>
            <a:t>和</a:t>
          </a:r>
          <a:r>
            <a:rPr lang="en-US" altLang="zh-CN" sz="1100">
              <a:solidFill>
                <a:schemeClr val="dk1"/>
              </a:solidFill>
              <a:latin typeface="+mn-lt"/>
              <a:ea typeface="+mn-ea"/>
              <a:cs typeface="+mn-cs"/>
            </a:rPr>
            <a:t>50</a:t>
          </a:r>
          <a:r>
            <a:rPr lang="zh-CN" altLang="zh-CN" sz="1100">
              <a:solidFill>
                <a:schemeClr val="dk1"/>
              </a:solidFill>
              <a:latin typeface="+mn-lt"/>
              <a:ea typeface="+mn-ea"/>
              <a:cs typeface="+mn-cs"/>
            </a:rPr>
            <a:t>，总固定成本是</a:t>
          </a:r>
          <a:r>
            <a:rPr lang="en-US" altLang="zh-CN" sz="1100">
              <a:solidFill>
                <a:schemeClr val="dk1"/>
              </a:solidFill>
              <a:latin typeface="+mn-lt"/>
              <a:ea typeface="+mn-ea"/>
              <a:cs typeface="+mn-cs"/>
            </a:rPr>
            <a:t>10000</a:t>
          </a:r>
          <a:r>
            <a:rPr lang="zh-CN" altLang="zh-CN" sz="1100">
              <a:solidFill>
                <a:schemeClr val="dk1"/>
              </a:solidFill>
              <a:latin typeface="+mn-lt"/>
              <a:ea typeface="+mn-ea"/>
              <a:cs typeface="+mn-cs"/>
            </a:rPr>
            <a:t>。该公司怎样安排两种产品的产量，能获得最大利润？</a:t>
          </a:r>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639641</xdr:colOff>
      <xdr:row>14</xdr:row>
      <xdr:rowOff>78398</xdr:rowOff>
    </xdr:to>
    <xdr:sp macro="" textlink="">
      <xdr:nvSpPr>
        <xdr:cNvPr id="2" name="TextBox 2">
          <a:extLst>
            <a:ext uri="{FF2B5EF4-FFF2-40B4-BE49-F238E27FC236}">
              <a16:creationId xmlns:a16="http://schemas.microsoft.com/office/drawing/2014/main" id="{AB19BFFE-EB53-47B4-B447-818BC155E7AC}"/>
            </a:ext>
          </a:extLst>
        </xdr:cNvPr>
        <xdr:cNvSpPr txBox="1"/>
      </xdr:nvSpPr>
      <xdr:spPr bwMode="auto">
        <a:xfrm>
          <a:off x="5736981" y="366346"/>
          <a:ext cx="4772025" cy="2276475"/>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zh-CN" altLang="zh-CN" sz="1100">
              <a:solidFill>
                <a:schemeClr val="dk1"/>
              </a:solidFill>
              <a:latin typeface="+mn-lt"/>
              <a:ea typeface="+mn-ea"/>
              <a:cs typeface="+mn-cs"/>
            </a:rPr>
            <a:t>某公司生产一种高档品牌葡萄酒，在全国有</a:t>
          </a:r>
          <a:r>
            <a:rPr lang="en-US" altLang="zh-CN" sz="1100">
              <a:solidFill>
                <a:schemeClr val="dk1"/>
              </a:solidFill>
              <a:latin typeface="+mj-ea"/>
              <a:ea typeface="+mj-ea"/>
              <a:cs typeface="+mn-cs"/>
            </a:rPr>
            <a:t>3</a:t>
          </a:r>
          <a:r>
            <a:rPr lang="zh-CN" altLang="zh-CN" sz="1100">
              <a:solidFill>
                <a:schemeClr val="dk1"/>
              </a:solidFill>
              <a:latin typeface="+mn-lt"/>
              <a:ea typeface="+mn-ea"/>
              <a:cs typeface="+mn-cs"/>
            </a:rPr>
            <a:t>个工厂（工厂</a:t>
          </a:r>
          <a:r>
            <a:rPr lang="en-US" altLang="zh-CN" sz="1100">
              <a:solidFill>
                <a:schemeClr val="dk1"/>
              </a:solidFill>
              <a:latin typeface="+mj-ea"/>
              <a:ea typeface="+mj-ea"/>
              <a:cs typeface="+mn-cs"/>
            </a:rPr>
            <a:t>1</a:t>
          </a:r>
          <a:r>
            <a:rPr lang="zh-CN" altLang="zh-CN" sz="1100">
              <a:solidFill>
                <a:schemeClr val="dk1"/>
              </a:solidFill>
              <a:latin typeface="+mn-lt"/>
              <a:ea typeface="+mn-ea"/>
              <a:cs typeface="+mn-cs"/>
            </a:rPr>
            <a:t>、工厂</a:t>
          </a:r>
          <a:r>
            <a:rPr lang="en-US" altLang="zh-CN" sz="1100">
              <a:solidFill>
                <a:schemeClr val="dk1"/>
              </a:solidFill>
              <a:latin typeface="+mj-ea"/>
              <a:ea typeface="+mj-ea"/>
              <a:cs typeface="+mn-cs"/>
            </a:rPr>
            <a:t>2</a:t>
          </a:r>
          <a:r>
            <a:rPr lang="zh-CN" altLang="zh-CN" sz="1100">
              <a:solidFill>
                <a:schemeClr val="dk1"/>
              </a:solidFill>
              <a:latin typeface="+mj-ea"/>
              <a:ea typeface="+mj-ea"/>
              <a:cs typeface="+mn-cs"/>
            </a:rPr>
            <a:t>和工厂</a:t>
          </a:r>
          <a:r>
            <a:rPr lang="en-US" altLang="zh-CN" sz="1100">
              <a:solidFill>
                <a:schemeClr val="dk1"/>
              </a:solidFill>
              <a:latin typeface="+mj-ea"/>
              <a:ea typeface="+mj-ea"/>
              <a:cs typeface="+mn-cs"/>
            </a:rPr>
            <a:t>3</a:t>
          </a:r>
          <a:r>
            <a:rPr lang="zh-CN" altLang="zh-CN" sz="1100">
              <a:solidFill>
                <a:schemeClr val="dk1"/>
              </a:solidFill>
              <a:latin typeface="+mj-ea"/>
              <a:ea typeface="+mj-ea"/>
              <a:cs typeface="+mn-cs"/>
            </a:rPr>
            <a:t>），各工厂的日最大生产量分别为</a:t>
          </a:r>
          <a:r>
            <a:rPr lang="en-US" altLang="zh-CN" sz="1100">
              <a:solidFill>
                <a:schemeClr val="dk1"/>
              </a:solidFill>
              <a:latin typeface="+mj-ea"/>
              <a:ea typeface="+mj-ea"/>
              <a:cs typeface="+mn-cs"/>
            </a:rPr>
            <a:t>120</a:t>
          </a:r>
          <a:r>
            <a:rPr lang="zh-CN" altLang="zh-CN" sz="1100">
              <a:solidFill>
                <a:schemeClr val="dk1"/>
              </a:solidFill>
              <a:latin typeface="+mj-ea"/>
              <a:ea typeface="+mj-ea"/>
              <a:cs typeface="+mn-cs"/>
            </a:rPr>
            <a:t>箱、</a:t>
          </a:r>
          <a:r>
            <a:rPr lang="en-US" altLang="zh-CN" sz="1100">
              <a:solidFill>
                <a:schemeClr val="dk1"/>
              </a:solidFill>
              <a:latin typeface="+mj-ea"/>
              <a:ea typeface="+mj-ea"/>
              <a:cs typeface="+mn-cs"/>
            </a:rPr>
            <a:t>200</a:t>
          </a:r>
          <a:r>
            <a:rPr lang="zh-CN" altLang="zh-CN" sz="1100">
              <a:solidFill>
                <a:schemeClr val="dk1"/>
              </a:solidFill>
              <a:latin typeface="+mj-ea"/>
              <a:ea typeface="+mj-ea"/>
              <a:cs typeface="+mn-cs"/>
            </a:rPr>
            <a:t>箱和</a:t>
          </a:r>
          <a:r>
            <a:rPr lang="en-US" altLang="zh-CN" sz="1100">
              <a:solidFill>
                <a:schemeClr val="dk1"/>
              </a:solidFill>
              <a:latin typeface="+mj-ea"/>
              <a:ea typeface="+mj-ea"/>
              <a:cs typeface="+mn-cs"/>
            </a:rPr>
            <a:t>100</a:t>
          </a:r>
          <a:r>
            <a:rPr lang="zh-CN" altLang="zh-CN" sz="1100">
              <a:solidFill>
                <a:schemeClr val="dk1"/>
              </a:solidFill>
              <a:latin typeface="+mj-ea"/>
              <a:ea typeface="+mj-ea"/>
              <a:cs typeface="+mn-cs"/>
            </a:rPr>
            <a:t>箱。该公司每天要向</a:t>
          </a:r>
          <a:r>
            <a:rPr lang="en-US" altLang="zh-CN" sz="1100">
              <a:solidFill>
                <a:schemeClr val="dk1"/>
              </a:solidFill>
              <a:latin typeface="+mj-ea"/>
              <a:ea typeface="+mj-ea"/>
              <a:cs typeface="+mn-cs"/>
            </a:rPr>
            <a:t>4</a:t>
          </a:r>
          <a:r>
            <a:rPr lang="zh-CN" altLang="zh-CN" sz="1100">
              <a:solidFill>
                <a:schemeClr val="dk1"/>
              </a:solidFill>
              <a:latin typeface="+mj-ea"/>
              <a:ea typeface="+mj-ea"/>
              <a:cs typeface="+mn-cs"/>
            </a:rPr>
            <a:t>个城市（城市</a:t>
          </a:r>
          <a:r>
            <a:rPr lang="en-US" altLang="zh-CN" sz="1100">
              <a:solidFill>
                <a:schemeClr val="dk1"/>
              </a:solidFill>
              <a:latin typeface="+mj-ea"/>
              <a:ea typeface="+mj-ea"/>
              <a:cs typeface="+mn-cs"/>
            </a:rPr>
            <a:t>A</a:t>
          </a:r>
          <a:r>
            <a:rPr lang="zh-CN" altLang="zh-CN" sz="1100">
              <a:solidFill>
                <a:schemeClr val="dk1"/>
              </a:solidFill>
              <a:latin typeface="+mj-ea"/>
              <a:ea typeface="+mj-ea"/>
              <a:cs typeface="+mn-cs"/>
            </a:rPr>
            <a:t>、城市</a:t>
          </a:r>
          <a:r>
            <a:rPr lang="en-US" altLang="zh-CN" sz="1100">
              <a:solidFill>
                <a:schemeClr val="dk1"/>
              </a:solidFill>
              <a:latin typeface="+mj-ea"/>
              <a:ea typeface="+mj-ea"/>
              <a:cs typeface="+mn-cs"/>
            </a:rPr>
            <a:t>B</a:t>
          </a:r>
          <a:r>
            <a:rPr lang="zh-CN" altLang="zh-CN" sz="1100">
              <a:solidFill>
                <a:schemeClr val="dk1"/>
              </a:solidFill>
              <a:latin typeface="+mj-ea"/>
              <a:ea typeface="+mj-ea"/>
              <a:cs typeface="+mn-cs"/>
            </a:rPr>
            <a:t>、城市</a:t>
          </a:r>
          <a:r>
            <a:rPr lang="en-US" altLang="zh-CN" sz="1100">
              <a:solidFill>
                <a:schemeClr val="dk1"/>
              </a:solidFill>
              <a:latin typeface="+mj-ea"/>
              <a:ea typeface="+mj-ea"/>
              <a:cs typeface="+mn-cs"/>
            </a:rPr>
            <a:t>C</a:t>
          </a:r>
          <a:r>
            <a:rPr lang="zh-CN" altLang="zh-CN" sz="1100">
              <a:solidFill>
                <a:schemeClr val="dk1"/>
              </a:solidFill>
              <a:latin typeface="+mj-ea"/>
              <a:ea typeface="+mj-ea"/>
              <a:cs typeface="+mn-cs"/>
            </a:rPr>
            <a:t>和城市</a:t>
          </a:r>
          <a:r>
            <a:rPr lang="en-US" altLang="zh-CN" sz="1100">
              <a:solidFill>
                <a:schemeClr val="dk1"/>
              </a:solidFill>
              <a:latin typeface="+mj-ea"/>
              <a:ea typeface="+mj-ea"/>
              <a:cs typeface="+mn-cs"/>
            </a:rPr>
            <a:t>D</a:t>
          </a:r>
          <a:r>
            <a:rPr lang="zh-CN" altLang="zh-CN" sz="1100">
              <a:solidFill>
                <a:schemeClr val="dk1"/>
              </a:solidFill>
              <a:latin typeface="+mj-ea"/>
              <a:ea typeface="+mj-ea"/>
              <a:cs typeface="+mn-cs"/>
            </a:rPr>
            <a:t>）供货，这四个城市的日需要量分别为</a:t>
          </a:r>
          <a:r>
            <a:rPr lang="en-US" altLang="zh-CN" sz="1100">
              <a:solidFill>
                <a:schemeClr val="dk1"/>
              </a:solidFill>
              <a:latin typeface="+mj-ea"/>
              <a:ea typeface="+mj-ea"/>
              <a:cs typeface="+mn-cs"/>
            </a:rPr>
            <a:t>80</a:t>
          </a:r>
          <a:r>
            <a:rPr lang="zh-CN" altLang="zh-CN" sz="1100">
              <a:solidFill>
                <a:schemeClr val="dk1"/>
              </a:solidFill>
              <a:latin typeface="+mj-ea"/>
              <a:ea typeface="+mj-ea"/>
              <a:cs typeface="+mn-cs"/>
            </a:rPr>
            <a:t>箱、</a:t>
          </a:r>
          <a:r>
            <a:rPr lang="en-US" altLang="zh-CN" sz="1100">
              <a:solidFill>
                <a:schemeClr val="dk1"/>
              </a:solidFill>
              <a:latin typeface="+mj-ea"/>
              <a:ea typeface="+mj-ea"/>
              <a:cs typeface="+mn-cs"/>
            </a:rPr>
            <a:t>150</a:t>
          </a:r>
          <a:r>
            <a:rPr lang="zh-CN" altLang="zh-CN" sz="1100">
              <a:solidFill>
                <a:schemeClr val="dk1"/>
              </a:solidFill>
              <a:latin typeface="+mj-ea"/>
              <a:ea typeface="+mj-ea"/>
              <a:cs typeface="+mn-cs"/>
            </a:rPr>
            <a:t>箱、</a:t>
          </a:r>
          <a:r>
            <a:rPr lang="en-US" altLang="zh-CN" sz="1100">
              <a:solidFill>
                <a:schemeClr val="dk1"/>
              </a:solidFill>
              <a:latin typeface="+mj-ea"/>
              <a:ea typeface="+mj-ea"/>
              <a:cs typeface="+mn-cs"/>
            </a:rPr>
            <a:t>100</a:t>
          </a:r>
          <a:r>
            <a:rPr lang="zh-CN" altLang="zh-CN" sz="1100">
              <a:solidFill>
                <a:schemeClr val="dk1"/>
              </a:solidFill>
              <a:latin typeface="+mj-ea"/>
              <a:ea typeface="+mj-ea"/>
              <a:cs typeface="+mn-cs"/>
            </a:rPr>
            <a:t>箱和</a:t>
          </a:r>
          <a:r>
            <a:rPr lang="en-US" altLang="zh-CN" sz="1100">
              <a:solidFill>
                <a:schemeClr val="dk1"/>
              </a:solidFill>
              <a:latin typeface="+mj-ea"/>
              <a:ea typeface="+mj-ea"/>
              <a:cs typeface="+mn-cs"/>
            </a:rPr>
            <a:t>70</a:t>
          </a:r>
          <a:r>
            <a:rPr lang="zh-CN" altLang="zh-CN" sz="1100">
              <a:solidFill>
                <a:schemeClr val="dk1"/>
              </a:solidFill>
              <a:latin typeface="+mj-ea"/>
              <a:ea typeface="+mj-ea"/>
              <a:cs typeface="+mn-cs"/>
            </a:rPr>
            <a:t>箱。每箱货物从工厂运到各城市的运费如下表所示：</a:t>
          </a:r>
          <a:endParaRPr lang="en-US" altLang="zh-CN" sz="1100">
            <a:solidFill>
              <a:schemeClr val="dk1"/>
            </a:solidFill>
            <a:latin typeface="+mj-ea"/>
            <a:ea typeface="+mj-ea"/>
            <a:cs typeface="+mn-cs"/>
          </a:endParaRPr>
        </a:p>
        <a:p>
          <a:endParaRPr lang="en-US" altLang="zh-CN" sz="1100">
            <a:solidFill>
              <a:schemeClr val="dk1"/>
            </a:solidFill>
            <a:latin typeface="+mn-lt"/>
            <a:ea typeface="+mn-ea"/>
            <a:cs typeface="+mn-cs"/>
          </a:endParaRPr>
        </a:p>
        <a:p>
          <a:endParaRPr lang="en-US" altLang="zh-CN" sz="1100">
            <a:solidFill>
              <a:schemeClr val="dk1"/>
            </a:solidFill>
            <a:latin typeface="+mn-lt"/>
            <a:ea typeface="+mn-ea"/>
            <a:cs typeface="+mn-cs"/>
          </a:endParaRPr>
        </a:p>
        <a:p>
          <a:endParaRPr lang="en-US" altLang="zh-CN" sz="1100">
            <a:solidFill>
              <a:schemeClr val="dk1"/>
            </a:solidFill>
            <a:latin typeface="+mn-lt"/>
            <a:ea typeface="+mn-ea"/>
            <a:cs typeface="+mn-cs"/>
          </a:endParaRPr>
        </a:p>
        <a:p>
          <a:endParaRPr lang="en-US" altLang="zh-CN" sz="1100">
            <a:solidFill>
              <a:schemeClr val="dk1"/>
            </a:solidFill>
            <a:latin typeface="+mn-lt"/>
            <a:ea typeface="+mn-ea"/>
            <a:cs typeface="+mn-cs"/>
          </a:endParaRPr>
        </a:p>
        <a:p>
          <a:endParaRPr lang="en-US" altLang="zh-CN" sz="1100">
            <a:solidFill>
              <a:schemeClr val="dk1"/>
            </a:solidFill>
            <a:latin typeface="+mn-lt"/>
            <a:ea typeface="+mn-ea"/>
            <a:cs typeface="+mn-cs"/>
          </a:endParaRPr>
        </a:p>
        <a:p>
          <a:r>
            <a:rPr lang="zh-CN" altLang="zh-CN" sz="1100">
              <a:solidFill>
                <a:schemeClr val="dk1"/>
              </a:solidFill>
              <a:latin typeface="+mn-lt"/>
              <a:ea typeface="+mn-ea"/>
              <a:cs typeface="+mn-cs"/>
            </a:rPr>
            <a:t>该公司怎样安排生产和运输量，能使总运费最小？要求各工厂的实际供给量不能超过其最大产量，同时又要满足各城市的需要量。</a:t>
          </a:r>
        </a:p>
        <a:p>
          <a:endParaRPr lang="zh-CN" altLang="en-US" sz="1100"/>
        </a:p>
      </xdr:txBody>
    </xdr:sp>
    <xdr:clientData/>
  </xdr:twoCellAnchor>
  <xdr:twoCellAnchor>
    <xdr:from>
      <xdr:col>11</xdr:col>
      <xdr:colOff>402980</xdr:colOff>
      <xdr:row>7</xdr:row>
      <xdr:rowOff>109903</xdr:rowOff>
    </xdr:from>
    <xdr:to>
      <xdr:col>17</xdr:col>
      <xdr:colOff>137746</xdr:colOff>
      <xdr:row>11</xdr:row>
      <xdr:rowOff>82061</xdr:rowOff>
    </xdr:to>
    <xdr:pic>
      <xdr:nvPicPr>
        <xdr:cNvPr id="3" name="Picture 105">
          <a:extLst>
            <a:ext uri="{FF2B5EF4-FFF2-40B4-BE49-F238E27FC236}">
              <a16:creationId xmlns:a16="http://schemas.microsoft.com/office/drawing/2014/main" id="{0648015E-2EAF-4C26-B9D4-4893E4671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9961" y="1392115"/>
          <a:ext cx="3867150" cy="704850"/>
        </a:xfrm>
        <a:prstGeom prst="rect">
          <a:avLst/>
        </a:prstGeom>
        <a:solidFill>
          <a:schemeClr val="accent1">
            <a:lumMod val="20000"/>
            <a:lumOff val="80000"/>
          </a:scheme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3</xdr:row>
      <xdr:rowOff>0</xdr:rowOff>
    </xdr:from>
    <xdr:to>
      <xdr:col>18</xdr:col>
      <xdr:colOff>169379</xdr:colOff>
      <xdr:row>18</xdr:row>
      <xdr:rowOff>181389</xdr:rowOff>
    </xdr:to>
    <xdr:sp macro="" textlink="">
      <xdr:nvSpPr>
        <xdr:cNvPr id="2" name="Text Box 2">
          <a:extLst>
            <a:ext uri="{FF2B5EF4-FFF2-40B4-BE49-F238E27FC236}">
              <a16:creationId xmlns:a16="http://schemas.microsoft.com/office/drawing/2014/main" id="{58AF6FEC-25B0-423E-8DAC-9375535E9F8C}"/>
            </a:ext>
          </a:extLst>
        </xdr:cNvPr>
        <xdr:cNvSpPr txBox="1">
          <a:spLocks noChangeArrowheads="1"/>
        </xdr:cNvSpPr>
      </xdr:nvSpPr>
      <xdr:spPr bwMode="auto">
        <a:xfrm>
          <a:off x="5557630" y="546652"/>
          <a:ext cx="4981575" cy="291465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endParaRPr lang="en-US" altLang="zh-CN" sz="1100">
            <a:effectLst/>
            <a:latin typeface="+mj-ea"/>
            <a:ea typeface="+mj-ea"/>
            <a:cs typeface="+mn-cs"/>
          </a:endParaRPr>
        </a:p>
        <a:p>
          <a:pPr algn="l" rtl="0">
            <a:lnSpc>
              <a:spcPts val="1200"/>
            </a:lnSpc>
            <a:defRPr sz="1000"/>
          </a:pPr>
          <a:r>
            <a:rPr lang="zh-CN" altLang="en-US" sz="1100" b="0" i="0" u="none" strike="noStrike" baseline="0">
              <a:solidFill>
                <a:srgbClr val="000000"/>
              </a:solidFill>
              <a:latin typeface="+mj-ea"/>
              <a:ea typeface="+mj-ea"/>
            </a:rPr>
            <a:t>一个传呼电话公司准备在四个候选的位置中挑选几个来建造信号发射塔以便覆盖一个城市中的四个地区，这四个位置对于四个区的覆盖与修建费用如下表所示（在一个位置所在列与一个地区所在行的交叉点处有数字“</a:t>
          </a:r>
          <a:r>
            <a:rPr lang="en-US" altLang="zh-CN" sz="1100" b="0" i="0" u="none" strike="noStrike" baseline="0">
              <a:solidFill>
                <a:srgbClr val="000000"/>
              </a:solidFill>
              <a:latin typeface="+mj-ea"/>
              <a:ea typeface="+mj-ea"/>
              <a:cs typeface="Arial"/>
            </a:rPr>
            <a:t>1”</a:t>
          </a:r>
          <a:r>
            <a:rPr lang="zh-CN" altLang="en-US" sz="1100" b="0" i="0" u="none" strike="noStrike" baseline="0">
              <a:solidFill>
                <a:srgbClr val="000000"/>
              </a:solidFill>
              <a:latin typeface="+mj-ea"/>
              <a:ea typeface="+mj-ea"/>
            </a:rPr>
            <a:t>表明在该位置建造信号发射塔时信号可以覆盖对应的地区）：</a:t>
          </a:r>
        </a:p>
        <a:p>
          <a:pPr algn="l" rtl="0">
            <a:lnSpc>
              <a:spcPts val="1200"/>
            </a:lnSpc>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defRPr sz="1000"/>
          </a:pPr>
          <a:endParaRPr lang="zh-CN" altLang="en-US" sz="1100" b="0" i="0" u="none" strike="noStrike" baseline="0">
            <a:solidFill>
              <a:srgbClr val="000000"/>
            </a:solidFill>
            <a:latin typeface="+mj-ea"/>
            <a:ea typeface="+mj-ea"/>
          </a:endParaRPr>
        </a:p>
        <a:p>
          <a:pPr algn="l" rtl="0">
            <a:lnSpc>
              <a:spcPts val="1200"/>
            </a:lnSpc>
            <a:defRPr sz="1000"/>
          </a:pPr>
          <a:endParaRPr lang="zh-CN" altLang="en-US" sz="1100" b="0" i="0" u="none" strike="noStrike" baseline="0">
            <a:solidFill>
              <a:srgbClr val="000000"/>
            </a:solidFill>
            <a:latin typeface="+mj-ea"/>
            <a:ea typeface="+mj-ea"/>
          </a:endParaRPr>
        </a:p>
        <a:p>
          <a:pPr algn="l" rtl="0">
            <a:defRPr sz="1000"/>
          </a:pPr>
          <a:r>
            <a:rPr lang="zh-CN" altLang="en-US" sz="1100" b="0" i="0" u="none" strike="noStrike" baseline="0">
              <a:solidFill>
                <a:srgbClr val="000000"/>
              </a:solidFill>
              <a:latin typeface="+mj-ea"/>
              <a:ea typeface="+mj-ea"/>
            </a:rPr>
            <a:t>要求：</a:t>
          </a:r>
        </a:p>
        <a:p>
          <a:pPr algn="l" rtl="0">
            <a:lnSpc>
              <a:spcPts val="1100"/>
            </a:lnSpc>
            <a:defRPr sz="1000"/>
          </a:pPr>
          <a:r>
            <a:rPr lang="en-US" altLang="zh-CN" sz="1100" b="0" i="0" u="none" strike="noStrike" baseline="0">
              <a:solidFill>
                <a:srgbClr val="000000"/>
              </a:solidFill>
              <a:latin typeface="+mj-ea"/>
              <a:ea typeface="+mj-ea"/>
              <a:cs typeface="Arial"/>
            </a:rPr>
            <a:t>1</a:t>
          </a:r>
          <a:r>
            <a:rPr lang="zh-CN" altLang="en-US" sz="1100" b="0" i="0" u="none" strike="noStrike" baseline="0">
              <a:solidFill>
                <a:srgbClr val="000000"/>
              </a:solidFill>
              <a:latin typeface="+mj-ea"/>
              <a:ea typeface="+mj-ea"/>
            </a:rPr>
            <a:t>。试在本工作表中构造一个线性规划模型框架，以便确定一种建塔方案使得既能将所有四个地区都加以覆盖又使总费用达到极小。</a:t>
          </a:r>
        </a:p>
        <a:p>
          <a:pPr algn="l" rtl="0">
            <a:defRPr sz="1000"/>
          </a:pPr>
          <a:r>
            <a:rPr lang="en-US" altLang="zh-CN" sz="1100" b="0" i="0" u="none" strike="noStrike" baseline="0">
              <a:solidFill>
                <a:srgbClr val="000000"/>
              </a:solidFill>
              <a:latin typeface="+mj-ea"/>
              <a:ea typeface="+mj-ea"/>
              <a:cs typeface="Arial"/>
            </a:rPr>
            <a:t>2</a:t>
          </a:r>
          <a:r>
            <a:rPr lang="zh-CN" altLang="en-US" sz="1100" b="0" i="0" u="none" strike="noStrike" baseline="0">
              <a:solidFill>
                <a:srgbClr val="000000"/>
              </a:solidFill>
              <a:latin typeface="+mj-ea"/>
              <a:ea typeface="+mj-ea"/>
            </a:rPr>
            <a:t>。利用</a:t>
          </a:r>
          <a:r>
            <a:rPr lang="en-US" altLang="zh-CN" sz="1100" b="0" i="0" u="none" strike="noStrike" baseline="0">
              <a:solidFill>
                <a:srgbClr val="000000"/>
              </a:solidFill>
              <a:latin typeface="+mj-ea"/>
              <a:ea typeface="+mj-ea"/>
              <a:cs typeface="Arial"/>
            </a:rPr>
            <a:t>Solver</a:t>
          </a:r>
          <a:r>
            <a:rPr lang="zh-CN" altLang="en-US" sz="1100" b="0" i="0" u="none" strike="noStrike" baseline="0">
              <a:solidFill>
                <a:srgbClr val="000000"/>
              </a:solidFill>
              <a:latin typeface="+mj-ea"/>
              <a:ea typeface="+mj-ea"/>
            </a:rPr>
            <a:t>来找到实现上述要求的最优建塔方案（用位于每个候选位置下方的一个单元格中的数字“</a:t>
          </a:r>
          <a:r>
            <a:rPr lang="en-US" altLang="zh-CN" sz="1100" b="0" i="0" u="none" strike="noStrike" baseline="0">
              <a:solidFill>
                <a:srgbClr val="000000"/>
              </a:solidFill>
              <a:latin typeface="+mj-ea"/>
              <a:ea typeface="+mj-ea"/>
              <a:cs typeface="Arial"/>
            </a:rPr>
            <a:t>1</a:t>
          </a:r>
          <a:r>
            <a:rPr lang="en-US" altLang="zh-CN" sz="1100" b="0" i="0" u="none" strike="noStrike" baseline="0">
              <a:solidFill>
                <a:srgbClr val="000000"/>
              </a:solidFill>
              <a:latin typeface="+mj-ea"/>
              <a:ea typeface="+mj-ea"/>
            </a:rPr>
            <a:t>”</a:t>
          </a:r>
          <a:r>
            <a:rPr lang="zh-CN" altLang="en-US" sz="1100" b="0" i="0" u="none" strike="noStrike" baseline="0">
              <a:solidFill>
                <a:srgbClr val="000000"/>
              </a:solidFill>
              <a:latin typeface="+mj-ea"/>
              <a:ea typeface="+mj-ea"/>
            </a:rPr>
            <a:t>与“</a:t>
          </a:r>
          <a:r>
            <a:rPr lang="en-US" altLang="zh-CN" sz="1100" b="0" i="0" u="none" strike="noStrike" baseline="0">
              <a:solidFill>
                <a:srgbClr val="000000"/>
              </a:solidFill>
              <a:latin typeface="+mj-ea"/>
              <a:ea typeface="+mj-ea"/>
              <a:cs typeface="Arial"/>
            </a:rPr>
            <a:t>0</a:t>
          </a:r>
          <a:r>
            <a:rPr lang="en-US" altLang="zh-CN" sz="1100" b="0" i="0" u="none" strike="noStrike" baseline="0">
              <a:solidFill>
                <a:srgbClr val="000000"/>
              </a:solidFill>
              <a:latin typeface="+mj-ea"/>
              <a:ea typeface="+mj-ea"/>
            </a:rPr>
            <a:t>”</a:t>
          </a:r>
          <a:r>
            <a:rPr lang="zh-CN" altLang="en-US" sz="1100" b="0" i="0" u="none" strike="noStrike" baseline="0">
              <a:solidFill>
                <a:srgbClr val="000000"/>
              </a:solidFill>
              <a:latin typeface="+mj-ea"/>
              <a:ea typeface="+mj-ea"/>
            </a:rPr>
            <a:t>来表示各个候选位置是否被选中的状态。</a:t>
          </a:r>
        </a:p>
        <a:p>
          <a:pPr algn="l" rtl="0">
            <a:lnSpc>
              <a:spcPts val="1100"/>
            </a:lnSpc>
            <a:defRPr sz="1000"/>
          </a:pPr>
          <a:endParaRPr lang="zh-CN" altLang="en-US" sz="1100" b="0" i="0" u="none" strike="noStrike" baseline="0">
            <a:solidFill>
              <a:srgbClr val="000000"/>
            </a:solidFill>
            <a:latin typeface="+mj-ea"/>
            <a:ea typeface="+mj-ea"/>
          </a:endParaRPr>
        </a:p>
      </xdr:txBody>
    </xdr:sp>
    <xdr:clientData/>
  </xdr:twoCellAnchor>
  <xdr:twoCellAnchor>
    <xdr:from>
      <xdr:col>11</xdr:col>
      <xdr:colOff>637761</xdr:colOff>
      <xdr:row>7</xdr:row>
      <xdr:rowOff>165653</xdr:rowOff>
    </xdr:from>
    <xdr:to>
      <xdr:col>16</xdr:col>
      <xdr:colOff>581853</xdr:colOff>
      <xdr:row>13</xdr:row>
      <xdr:rowOff>129624</xdr:rowOff>
    </xdr:to>
    <xdr:pic>
      <xdr:nvPicPr>
        <xdr:cNvPr id="3" name="Picture 3">
          <a:extLst>
            <a:ext uri="{FF2B5EF4-FFF2-40B4-BE49-F238E27FC236}">
              <a16:creationId xmlns:a16="http://schemas.microsoft.com/office/drawing/2014/main" id="{68888034-E769-47F5-BE3F-DAFE46D0B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1" y="1441175"/>
          <a:ext cx="33813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0</xdr:colOff>
      <xdr:row>4</xdr:row>
      <xdr:rowOff>0</xdr:rowOff>
    </xdr:from>
    <xdr:to>
      <xdr:col>19</xdr:col>
      <xdr:colOff>19050</xdr:colOff>
      <xdr:row>13</xdr:row>
      <xdr:rowOff>161925</xdr:rowOff>
    </xdr:to>
    <xdr:sp macro="" textlink="">
      <xdr:nvSpPr>
        <xdr:cNvPr id="2" name="TextBox 1">
          <a:extLst>
            <a:ext uri="{FF2B5EF4-FFF2-40B4-BE49-F238E27FC236}">
              <a16:creationId xmlns:a16="http://schemas.microsoft.com/office/drawing/2014/main" id="{8E3D0011-6142-4DE8-A1A0-AC5E8FF79F65}"/>
            </a:ext>
          </a:extLst>
        </xdr:cNvPr>
        <xdr:cNvSpPr txBox="1"/>
      </xdr:nvSpPr>
      <xdr:spPr>
        <a:xfrm>
          <a:off x="8353425" y="666750"/>
          <a:ext cx="4133850" cy="1685925"/>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100">
              <a:solidFill>
                <a:schemeClr val="dk1"/>
              </a:solidFill>
              <a:effectLst/>
              <a:latin typeface="+mj-ea"/>
              <a:ea typeface="+mj-ea"/>
              <a:cs typeface="+mn-cs"/>
            </a:rPr>
            <a:t>某人手头有</a:t>
          </a:r>
          <a:r>
            <a:rPr lang="en-US" altLang="zh-CN" sz="1100">
              <a:solidFill>
                <a:schemeClr val="dk1"/>
              </a:solidFill>
              <a:effectLst/>
              <a:latin typeface="+mj-ea"/>
              <a:ea typeface="+mj-ea"/>
              <a:cs typeface="+mn-cs"/>
            </a:rPr>
            <a:t>10000</a:t>
          </a:r>
          <a:r>
            <a:rPr lang="zh-CN" altLang="zh-CN" sz="1100">
              <a:solidFill>
                <a:schemeClr val="dk1"/>
              </a:solidFill>
              <a:effectLst/>
              <a:latin typeface="+mj-ea"/>
              <a:ea typeface="+mj-ea"/>
              <a:cs typeface="+mn-cs"/>
            </a:rPr>
            <a:t>元准备存入银行。银行可供选择的储蓄品种有一年期、二年期和三年期的定期存款，三种存款的年利率分别为</a:t>
          </a:r>
          <a:r>
            <a:rPr lang="en-US" altLang="zh-CN" sz="1100">
              <a:solidFill>
                <a:schemeClr val="dk1"/>
              </a:solidFill>
              <a:effectLst/>
              <a:latin typeface="+mj-ea"/>
              <a:ea typeface="+mj-ea"/>
              <a:cs typeface="+mn-cs"/>
            </a:rPr>
            <a:t>2.5%</a:t>
          </a:r>
          <a:r>
            <a:rPr lang="zh-CN" altLang="zh-CN" sz="1100">
              <a:solidFill>
                <a:schemeClr val="dk1"/>
              </a:solidFill>
              <a:effectLst/>
              <a:latin typeface="+mj-ea"/>
              <a:ea typeface="+mj-ea"/>
              <a:cs typeface="+mn-cs"/>
            </a:rPr>
            <a:t>、</a:t>
          </a:r>
          <a:r>
            <a:rPr lang="en-US" altLang="zh-CN" sz="1100">
              <a:solidFill>
                <a:schemeClr val="dk1"/>
              </a:solidFill>
              <a:effectLst/>
              <a:latin typeface="+mj-ea"/>
              <a:ea typeface="+mj-ea"/>
              <a:cs typeface="+mn-cs"/>
            </a:rPr>
            <a:t>2.7%</a:t>
          </a:r>
          <a:r>
            <a:rPr lang="zh-CN" altLang="zh-CN" sz="1100">
              <a:solidFill>
                <a:schemeClr val="dk1"/>
              </a:solidFill>
              <a:effectLst/>
              <a:latin typeface="+mj-ea"/>
              <a:ea typeface="+mj-ea"/>
              <a:cs typeface="+mn-cs"/>
            </a:rPr>
            <a:t>和</a:t>
          </a:r>
          <a:r>
            <a:rPr lang="en-US" altLang="zh-CN" sz="1100">
              <a:solidFill>
                <a:schemeClr val="dk1"/>
              </a:solidFill>
              <a:effectLst/>
              <a:latin typeface="+mj-ea"/>
              <a:ea typeface="+mj-ea"/>
              <a:cs typeface="+mn-cs"/>
            </a:rPr>
            <a:t>2.9%</a:t>
          </a:r>
          <a:r>
            <a:rPr lang="zh-CN" altLang="zh-CN" sz="1100">
              <a:solidFill>
                <a:schemeClr val="dk1"/>
              </a:solidFill>
              <a:effectLst/>
              <a:latin typeface="+mj-ea"/>
              <a:ea typeface="+mj-ea"/>
              <a:cs typeface="+mn-cs"/>
            </a:rPr>
            <a:t>（复利计息）。此人第</a:t>
          </a:r>
          <a:r>
            <a:rPr lang="en-US" altLang="zh-CN" sz="1100">
              <a:solidFill>
                <a:schemeClr val="dk1"/>
              </a:solidFill>
              <a:effectLst/>
              <a:latin typeface="+mj-ea"/>
              <a:ea typeface="+mj-ea"/>
              <a:cs typeface="+mn-cs"/>
            </a:rPr>
            <a:t>3</a:t>
          </a:r>
          <a:r>
            <a:rPr lang="zh-CN" altLang="zh-CN" sz="1100">
              <a:solidFill>
                <a:schemeClr val="dk1"/>
              </a:solidFill>
              <a:effectLst/>
              <a:latin typeface="+mj-ea"/>
              <a:ea typeface="+mj-ea"/>
              <a:cs typeface="+mn-cs"/>
            </a:rPr>
            <a:t>年初和第</a:t>
          </a:r>
          <a:r>
            <a:rPr lang="en-US" altLang="zh-CN" sz="1100">
              <a:solidFill>
                <a:schemeClr val="dk1"/>
              </a:solidFill>
              <a:effectLst/>
              <a:latin typeface="+mj-ea"/>
              <a:ea typeface="+mj-ea"/>
              <a:cs typeface="+mn-cs"/>
            </a:rPr>
            <a:t>5</a:t>
          </a:r>
          <a:r>
            <a:rPr lang="zh-CN" altLang="zh-CN" sz="1100">
              <a:solidFill>
                <a:schemeClr val="dk1"/>
              </a:solidFill>
              <a:effectLst/>
              <a:latin typeface="+mj-ea"/>
              <a:ea typeface="+mj-ea"/>
              <a:cs typeface="+mn-cs"/>
            </a:rPr>
            <a:t>年初需要使用现金</a:t>
          </a:r>
          <a:r>
            <a:rPr lang="en-US" altLang="zh-CN" sz="1100">
              <a:solidFill>
                <a:schemeClr val="dk1"/>
              </a:solidFill>
              <a:effectLst/>
              <a:latin typeface="+mj-ea"/>
              <a:ea typeface="+mj-ea"/>
              <a:cs typeface="+mn-cs"/>
            </a:rPr>
            <a:t>1000</a:t>
          </a:r>
          <a:r>
            <a:rPr lang="zh-CN" altLang="zh-CN" sz="1100">
              <a:solidFill>
                <a:schemeClr val="dk1"/>
              </a:solidFill>
              <a:effectLst/>
              <a:latin typeface="+mj-ea"/>
              <a:ea typeface="+mj-ea"/>
              <a:cs typeface="+mn-cs"/>
            </a:rPr>
            <a:t>元和</a:t>
          </a:r>
          <a:r>
            <a:rPr lang="en-US" altLang="zh-CN" sz="1100">
              <a:solidFill>
                <a:schemeClr val="dk1"/>
              </a:solidFill>
              <a:effectLst/>
              <a:latin typeface="+mj-ea"/>
              <a:ea typeface="+mj-ea"/>
              <a:cs typeface="+mn-cs"/>
            </a:rPr>
            <a:t>2000</a:t>
          </a:r>
          <a:r>
            <a:rPr lang="zh-CN" altLang="zh-CN" sz="1100">
              <a:solidFill>
                <a:schemeClr val="dk1"/>
              </a:solidFill>
              <a:effectLst/>
              <a:latin typeface="+mj-ea"/>
              <a:ea typeface="+mj-ea"/>
              <a:cs typeface="+mn-cs"/>
            </a:rPr>
            <a:t>元，第</a:t>
          </a:r>
          <a:r>
            <a:rPr lang="en-US" altLang="zh-CN" sz="1100">
              <a:solidFill>
                <a:schemeClr val="dk1"/>
              </a:solidFill>
              <a:effectLst/>
              <a:latin typeface="+mj-ea"/>
              <a:ea typeface="+mj-ea"/>
              <a:cs typeface="+mn-cs"/>
            </a:rPr>
            <a:t>4</a:t>
          </a:r>
          <a:r>
            <a:rPr lang="zh-CN" altLang="zh-CN" sz="1100">
              <a:solidFill>
                <a:schemeClr val="dk1"/>
              </a:solidFill>
              <a:effectLst/>
              <a:latin typeface="+mj-ea"/>
              <a:ea typeface="+mj-ea"/>
              <a:cs typeface="+mn-cs"/>
            </a:rPr>
            <a:t>年初有</a:t>
          </a:r>
          <a:r>
            <a:rPr lang="en-US" altLang="zh-CN" sz="1100">
              <a:solidFill>
                <a:schemeClr val="dk1"/>
              </a:solidFill>
              <a:effectLst/>
              <a:latin typeface="+mj-ea"/>
              <a:ea typeface="+mj-ea"/>
              <a:cs typeface="+mn-cs"/>
            </a:rPr>
            <a:t>5000</a:t>
          </a:r>
          <a:r>
            <a:rPr lang="zh-CN" altLang="zh-CN" sz="1100">
              <a:solidFill>
                <a:schemeClr val="dk1"/>
              </a:solidFill>
              <a:effectLst/>
              <a:latin typeface="+mj-ea"/>
              <a:ea typeface="+mj-ea"/>
              <a:cs typeface="+mn-cs"/>
            </a:rPr>
            <a:t>元的现金收入可以存入银行。银行的定期存款假设为当年年初存款，次年年初到期。试在</a:t>
          </a:r>
          <a:r>
            <a:rPr lang="en-US" altLang="zh-CN" sz="1100">
              <a:solidFill>
                <a:schemeClr val="dk1"/>
              </a:solidFill>
              <a:effectLst/>
              <a:latin typeface="+mj-ea"/>
              <a:ea typeface="+mj-ea"/>
              <a:cs typeface="+mn-cs"/>
            </a:rPr>
            <a:t>Excel</a:t>
          </a:r>
          <a:r>
            <a:rPr lang="zh-CN" altLang="zh-CN" sz="1100">
              <a:solidFill>
                <a:schemeClr val="dk1"/>
              </a:solidFill>
              <a:effectLst/>
              <a:latin typeface="+mj-ea"/>
              <a:ea typeface="+mj-ea"/>
              <a:cs typeface="+mn-cs"/>
            </a:rPr>
            <a:t>中建立模型，计算每年年初的到期本金、到期利息和年末现金余额；用规划求解工具求解每年各种存款的最优存款额，使第</a:t>
          </a:r>
          <a:r>
            <a:rPr lang="en-US" altLang="zh-CN" sz="1100">
              <a:solidFill>
                <a:schemeClr val="dk1"/>
              </a:solidFill>
              <a:effectLst/>
              <a:latin typeface="+mj-ea"/>
              <a:ea typeface="+mj-ea"/>
              <a:cs typeface="+mn-cs"/>
            </a:rPr>
            <a:t>7</a:t>
          </a:r>
          <a:r>
            <a:rPr lang="zh-CN" altLang="zh-CN" sz="1100">
              <a:solidFill>
                <a:schemeClr val="dk1"/>
              </a:solidFill>
              <a:effectLst/>
              <a:latin typeface="+mj-ea"/>
              <a:ea typeface="+mj-ea"/>
              <a:cs typeface="+mn-cs"/>
            </a:rPr>
            <a:t>年到期的现金本利之和最大。</a:t>
          </a:r>
        </a:p>
        <a:p>
          <a:endParaRPr lang="zh-CN" altLang="en-US" sz="1100">
            <a:latin typeface="+mj-ea"/>
            <a:ea typeface="+mj-ea"/>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2</xdr:row>
      <xdr:rowOff>0</xdr:rowOff>
    </xdr:from>
    <xdr:to>
      <xdr:col>19</xdr:col>
      <xdr:colOff>628650</xdr:colOff>
      <xdr:row>19</xdr:row>
      <xdr:rowOff>142875</xdr:rowOff>
    </xdr:to>
    <xdr:sp macro="" textlink="">
      <xdr:nvSpPr>
        <xdr:cNvPr id="2" name="TextBox 2">
          <a:extLst>
            <a:ext uri="{FF2B5EF4-FFF2-40B4-BE49-F238E27FC236}">
              <a16:creationId xmlns:a16="http://schemas.microsoft.com/office/drawing/2014/main" id="{508E360B-45D8-48FC-A7FF-6CF2391C4898}"/>
            </a:ext>
          </a:extLst>
        </xdr:cNvPr>
        <xdr:cNvSpPr txBox="1"/>
      </xdr:nvSpPr>
      <xdr:spPr>
        <a:xfrm>
          <a:off x="7753350" y="323850"/>
          <a:ext cx="5429250" cy="3019425"/>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j-ea"/>
              <a:ea typeface="+mj-ea"/>
              <a:cs typeface="+mn-cs"/>
            </a:rPr>
            <a:t>已知某公司生产的某一产品在不同月份的需求量、单位生产成本与生产能力不同，见下表：</a:t>
          </a:r>
          <a:endParaRPr lang="en-US" altLang="zh-CN" sz="1100">
            <a:solidFill>
              <a:schemeClr val="dk1"/>
            </a:solidFill>
            <a:effectLst/>
            <a:latin typeface="+mj-ea"/>
            <a:ea typeface="+mj-ea"/>
            <a:cs typeface="+mn-cs"/>
          </a:endParaRPr>
        </a:p>
        <a:p>
          <a:endParaRPr lang="en-US" altLang="zh-CN" sz="1100">
            <a:solidFill>
              <a:schemeClr val="dk1"/>
            </a:solidFill>
            <a:effectLst/>
            <a:latin typeface="+mj-ea"/>
            <a:ea typeface="+mj-ea"/>
            <a:cs typeface="+mn-cs"/>
          </a:endParaRPr>
        </a:p>
        <a:p>
          <a:endParaRPr lang="en-US" altLang="zh-CN" sz="1100">
            <a:solidFill>
              <a:schemeClr val="dk1"/>
            </a:solidFill>
            <a:effectLst/>
            <a:latin typeface="+mj-ea"/>
            <a:ea typeface="+mj-ea"/>
            <a:cs typeface="+mn-cs"/>
          </a:endParaRPr>
        </a:p>
        <a:p>
          <a:endParaRPr lang="en-US" altLang="zh-CN" sz="1100">
            <a:solidFill>
              <a:schemeClr val="dk1"/>
            </a:solidFill>
            <a:effectLst/>
            <a:latin typeface="+mj-ea"/>
            <a:ea typeface="+mj-ea"/>
            <a:cs typeface="+mn-cs"/>
          </a:endParaRPr>
        </a:p>
        <a:p>
          <a:endParaRPr lang="en-US" altLang="zh-CN" sz="1100">
            <a:solidFill>
              <a:schemeClr val="dk1"/>
            </a:solidFill>
            <a:effectLst/>
            <a:latin typeface="+mj-ea"/>
            <a:ea typeface="+mj-ea"/>
            <a:cs typeface="+mn-cs"/>
          </a:endParaRPr>
        </a:p>
        <a:p>
          <a:endParaRPr lang="en-US" altLang="zh-CN" sz="1100">
            <a:solidFill>
              <a:schemeClr val="dk1"/>
            </a:solidFill>
            <a:effectLst/>
            <a:latin typeface="+mj-ea"/>
            <a:ea typeface="+mj-ea"/>
            <a:cs typeface="+mn-cs"/>
          </a:endParaRPr>
        </a:p>
        <a:p>
          <a:r>
            <a:rPr lang="zh-CN" altLang="zh-CN" sz="1100">
              <a:solidFill>
                <a:schemeClr val="dk1"/>
              </a:solidFill>
              <a:effectLst/>
              <a:latin typeface="+mj-ea"/>
              <a:ea typeface="+mj-ea"/>
              <a:cs typeface="+mn-cs"/>
            </a:rPr>
            <a:t>每月的储存成本等于单位储存成本与月平均库存量（月初库存量与月末库存量的平均值）的乘积，而每月的单位储存成本等于当月单位生产成本的</a:t>
          </a:r>
          <a:r>
            <a:rPr lang="en-US" altLang="zh-CN" sz="1100">
              <a:solidFill>
                <a:schemeClr val="dk1"/>
              </a:solidFill>
              <a:effectLst/>
              <a:latin typeface="+mj-ea"/>
              <a:ea typeface="+mj-ea"/>
              <a:cs typeface="+mn-cs"/>
            </a:rPr>
            <a:t>1.5%</a:t>
          </a:r>
          <a:r>
            <a:rPr lang="zh-CN" altLang="zh-CN" sz="1100">
              <a:solidFill>
                <a:schemeClr val="dk1"/>
              </a:solidFill>
              <a:effectLst/>
              <a:latin typeface="+mj-ea"/>
              <a:ea typeface="+mj-ea"/>
              <a:cs typeface="+mn-cs"/>
            </a:rPr>
            <a:t>。公司要求每月的生产量既不超过当月生产能力又不低于当月生产能力的一半，另外，为防备急需，管理人员还要求每月月末库存量不少于</a:t>
          </a:r>
          <a:r>
            <a:rPr lang="en-US" altLang="zh-CN" sz="1100">
              <a:solidFill>
                <a:schemeClr val="dk1"/>
              </a:solidFill>
              <a:effectLst/>
              <a:latin typeface="+mj-ea"/>
              <a:ea typeface="+mj-ea"/>
              <a:cs typeface="+mn-cs"/>
            </a:rPr>
            <a:t>1500</a:t>
          </a:r>
          <a:r>
            <a:rPr lang="zh-CN" altLang="zh-CN" sz="1100">
              <a:solidFill>
                <a:schemeClr val="dk1"/>
              </a:solidFill>
              <a:effectLst/>
              <a:latin typeface="+mj-ea"/>
              <a:ea typeface="+mj-ea"/>
              <a:cs typeface="+mn-cs"/>
            </a:rPr>
            <a:t>件（安全库存量），仓库容量为</a:t>
          </a:r>
          <a:r>
            <a:rPr lang="en-US" altLang="zh-CN" sz="1100">
              <a:solidFill>
                <a:schemeClr val="dk1"/>
              </a:solidFill>
              <a:effectLst/>
              <a:latin typeface="+mj-ea"/>
              <a:ea typeface="+mj-ea"/>
              <a:cs typeface="+mn-cs"/>
            </a:rPr>
            <a:t>6000</a:t>
          </a:r>
          <a:r>
            <a:rPr lang="zh-CN" altLang="zh-CN" sz="1100">
              <a:solidFill>
                <a:schemeClr val="dk1"/>
              </a:solidFill>
              <a:effectLst/>
              <a:latin typeface="+mj-ea"/>
              <a:ea typeface="+mj-ea"/>
              <a:cs typeface="+mn-cs"/>
            </a:rPr>
            <a:t>件，当前库存量为</a:t>
          </a:r>
          <a:r>
            <a:rPr lang="en-US" altLang="zh-CN" sz="1100">
              <a:solidFill>
                <a:schemeClr val="dk1"/>
              </a:solidFill>
              <a:effectLst/>
              <a:latin typeface="+mj-ea"/>
              <a:ea typeface="+mj-ea"/>
              <a:cs typeface="+mn-cs"/>
            </a:rPr>
            <a:t>2750</a:t>
          </a:r>
          <a:r>
            <a:rPr lang="zh-CN" altLang="zh-CN" sz="1100">
              <a:solidFill>
                <a:schemeClr val="dk1"/>
              </a:solidFill>
              <a:effectLst/>
              <a:latin typeface="+mj-ea"/>
              <a:ea typeface="+mj-ea"/>
              <a:cs typeface="+mn-cs"/>
            </a:rPr>
            <a:t>件。假设每月生产量为</a:t>
          </a:r>
          <a:r>
            <a:rPr lang="en-US" altLang="zh-CN" sz="1100">
              <a:solidFill>
                <a:schemeClr val="dk1"/>
              </a:solidFill>
              <a:effectLst/>
              <a:latin typeface="+mj-ea"/>
              <a:ea typeface="+mj-ea"/>
              <a:cs typeface="+mn-cs"/>
            </a:rPr>
            <a:t>1</a:t>
          </a:r>
          <a:r>
            <a:rPr lang="zh-CN" altLang="zh-CN" sz="1100">
              <a:solidFill>
                <a:schemeClr val="dk1"/>
              </a:solidFill>
              <a:effectLst/>
              <a:latin typeface="+mj-ea"/>
              <a:ea typeface="+mj-ea"/>
              <a:cs typeface="+mn-cs"/>
            </a:rPr>
            <a:t>件，试在</a:t>
          </a:r>
          <a:r>
            <a:rPr lang="en-US" altLang="zh-CN" sz="1100">
              <a:solidFill>
                <a:schemeClr val="dk1"/>
              </a:solidFill>
              <a:effectLst/>
              <a:latin typeface="+mj-ea"/>
              <a:ea typeface="+mj-ea"/>
              <a:cs typeface="+mn-cs"/>
            </a:rPr>
            <a:t>Excel</a:t>
          </a:r>
          <a:r>
            <a:rPr lang="zh-CN" altLang="zh-CN" sz="1100">
              <a:solidFill>
                <a:schemeClr val="dk1"/>
              </a:solidFill>
              <a:effectLst/>
              <a:latin typeface="+mj-ea"/>
              <a:ea typeface="+mj-ea"/>
              <a:cs typeface="+mn-cs"/>
            </a:rPr>
            <a:t>中建立规划求解模型，并且按如下要求操作：计算每月的月初库存量、生产量下限、月末库存量、月平均库存量、单位储存成本和总成本；用规划求解工具求解每月的最优生产量和</a:t>
          </a:r>
          <a:r>
            <a:rPr lang="en-US" altLang="zh-CN" sz="1100">
              <a:solidFill>
                <a:schemeClr val="dk1"/>
              </a:solidFill>
              <a:effectLst/>
              <a:latin typeface="+mj-ea"/>
              <a:ea typeface="+mj-ea"/>
              <a:cs typeface="+mn-cs"/>
            </a:rPr>
            <a:t>6</a:t>
          </a:r>
          <a:r>
            <a:rPr lang="zh-CN" altLang="zh-CN" sz="1100">
              <a:solidFill>
                <a:schemeClr val="dk1"/>
              </a:solidFill>
              <a:effectLst/>
              <a:latin typeface="+mj-ea"/>
              <a:ea typeface="+mj-ea"/>
              <a:cs typeface="+mn-cs"/>
            </a:rPr>
            <a:t>个月总成本的最小值。</a:t>
          </a:r>
        </a:p>
        <a:p>
          <a:endParaRPr lang="zh-CN" altLang="en-US" sz="1100">
            <a:latin typeface="+mj-ea"/>
            <a:ea typeface="+mj-ea"/>
          </a:endParaRPr>
        </a:p>
      </xdr:txBody>
    </xdr:sp>
    <xdr:clientData/>
  </xdr:twoCellAnchor>
  <xdr:twoCellAnchor>
    <xdr:from>
      <xdr:col>12</xdr:col>
      <xdr:colOff>247650</xdr:colOff>
      <xdr:row>4</xdr:row>
      <xdr:rowOff>76200</xdr:rowOff>
    </xdr:from>
    <xdr:to>
      <xdr:col>20</xdr:col>
      <xdr:colOff>28575</xdr:colOff>
      <xdr:row>9</xdr:row>
      <xdr:rowOff>107109</xdr:rowOff>
    </xdr:to>
    <xdr:pic>
      <xdr:nvPicPr>
        <xdr:cNvPr id="3" name="图片 2">
          <a:extLst>
            <a:ext uri="{FF2B5EF4-FFF2-40B4-BE49-F238E27FC236}">
              <a16:creationId xmlns:a16="http://schemas.microsoft.com/office/drawing/2014/main" id="{8D8C09D0-2E57-466E-A5F9-346FC55EA17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0" y="742950"/>
          <a:ext cx="5267325" cy="869109"/>
        </a:xfrm>
        <a:prstGeom prst="rect">
          <a:avLst/>
        </a:prstGeom>
        <a:solidFill>
          <a:schemeClr val="accent1">
            <a:lumMod val="20000"/>
            <a:lumOff val="80000"/>
          </a:schemeClr>
        </a:solidFill>
        <a:ln>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4</xdr:row>
      <xdr:rowOff>0</xdr:rowOff>
    </xdr:from>
    <xdr:to>
      <xdr:col>14</xdr:col>
      <xdr:colOff>666750</xdr:colOff>
      <xdr:row>15</xdr:row>
      <xdr:rowOff>85725</xdr:rowOff>
    </xdr:to>
    <xdr:sp macro="" textlink="">
      <xdr:nvSpPr>
        <xdr:cNvPr id="2" name="TextBox 1">
          <a:extLst>
            <a:ext uri="{FF2B5EF4-FFF2-40B4-BE49-F238E27FC236}">
              <a16:creationId xmlns:a16="http://schemas.microsoft.com/office/drawing/2014/main" id="{022DDE2F-4191-42BD-A41B-6F1A60507693}"/>
            </a:ext>
          </a:extLst>
        </xdr:cNvPr>
        <xdr:cNvSpPr txBox="1"/>
      </xdr:nvSpPr>
      <xdr:spPr>
        <a:xfrm>
          <a:off x="6019800" y="666750"/>
          <a:ext cx="3409950" cy="1952625"/>
        </a:xfrm>
        <a:prstGeom prst="rect">
          <a:avLst/>
        </a:prstGeom>
        <a:solidFill>
          <a:schemeClr val="accent1">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zh-CN" altLang="zh-CN" sz="1100" b="0" i="0" baseline="0">
              <a:solidFill>
                <a:schemeClr val="dk1"/>
              </a:solidFill>
              <a:latin typeface="+mj-ea"/>
              <a:ea typeface="+mj-ea"/>
              <a:cs typeface="+mn-cs"/>
            </a:rPr>
            <a:t>某公司生产和销售两种产品，两种产品各生产一个单位需要工时</a:t>
          </a:r>
          <a:r>
            <a:rPr lang="en-US" altLang="zh-CN" sz="1100" b="0" i="0" baseline="0">
              <a:solidFill>
                <a:schemeClr val="dk1"/>
              </a:solidFill>
              <a:latin typeface="+mj-ea"/>
              <a:ea typeface="+mj-ea"/>
              <a:cs typeface="+mn-cs"/>
            </a:rPr>
            <a:t>3</a:t>
          </a:r>
          <a:r>
            <a:rPr lang="zh-CN" altLang="zh-CN" sz="1100" b="0" i="0" baseline="0">
              <a:solidFill>
                <a:schemeClr val="dk1"/>
              </a:solidFill>
              <a:latin typeface="+mj-ea"/>
              <a:ea typeface="+mj-ea"/>
              <a:cs typeface="+mn-cs"/>
            </a:rPr>
            <a:t>和</a:t>
          </a:r>
          <a:r>
            <a:rPr lang="en-US" altLang="zh-CN" sz="1100" b="0" i="0" baseline="0">
              <a:solidFill>
                <a:schemeClr val="dk1"/>
              </a:solidFill>
              <a:latin typeface="+mj-ea"/>
              <a:ea typeface="+mj-ea"/>
              <a:cs typeface="+mn-cs"/>
            </a:rPr>
            <a:t>7</a:t>
          </a:r>
          <a:r>
            <a:rPr lang="zh-CN" altLang="zh-CN" sz="1100" b="0" i="0" baseline="0">
              <a:solidFill>
                <a:schemeClr val="dk1"/>
              </a:solidFill>
              <a:latin typeface="+mj-ea"/>
              <a:ea typeface="+mj-ea"/>
              <a:cs typeface="+mn-cs"/>
            </a:rPr>
            <a:t>，用电量</a:t>
          </a:r>
          <a:r>
            <a:rPr lang="en-US" altLang="zh-CN" sz="1100" b="0" i="0" baseline="0">
              <a:solidFill>
                <a:schemeClr val="dk1"/>
              </a:solidFill>
              <a:latin typeface="+mj-ea"/>
              <a:ea typeface="+mj-ea"/>
              <a:cs typeface="+mn-cs"/>
            </a:rPr>
            <a:t>4</a:t>
          </a:r>
          <a:r>
            <a:rPr lang="zh-CN" altLang="zh-CN" sz="1100" b="0" i="0" baseline="0">
              <a:solidFill>
                <a:schemeClr val="dk1"/>
              </a:solidFill>
              <a:latin typeface="+mj-ea"/>
              <a:ea typeface="+mj-ea"/>
              <a:cs typeface="+mn-cs"/>
            </a:rPr>
            <a:t>千瓦和</a:t>
          </a:r>
          <a:r>
            <a:rPr lang="en-US" altLang="zh-CN" sz="1100" b="0" i="0" baseline="0">
              <a:solidFill>
                <a:schemeClr val="dk1"/>
              </a:solidFill>
              <a:latin typeface="+mj-ea"/>
              <a:ea typeface="+mj-ea"/>
              <a:cs typeface="+mn-cs"/>
            </a:rPr>
            <a:t>5</a:t>
          </a:r>
          <a:r>
            <a:rPr lang="zh-CN" altLang="zh-CN" sz="1100" b="0" i="0" baseline="0">
              <a:solidFill>
                <a:schemeClr val="dk1"/>
              </a:solidFill>
              <a:latin typeface="+mj-ea"/>
              <a:ea typeface="+mj-ea"/>
              <a:cs typeface="+mn-cs"/>
            </a:rPr>
            <a:t>千瓦，需要原材料</a:t>
          </a:r>
          <a:r>
            <a:rPr lang="en-US" altLang="zh-CN" sz="1100" b="0" i="0" baseline="0">
              <a:solidFill>
                <a:schemeClr val="dk1"/>
              </a:solidFill>
              <a:latin typeface="+mj-ea"/>
              <a:ea typeface="+mj-ea"/>
              <a:cs typeface="+mn-cs"/>
            </a:rPr>
            <a:t>9</a:t>
          </a:r>
          <a:r>
            <a:rPr lang="zh-CN" altLang="zh-CN" sz="1100" b="0" i="0" baseline="0">
              <a:solidFill>
                <a:schemeClr val="dk1"/>
              </a:solidFill>
              <a:latin typeface="+mj-ea"/>
              <a:ea typeface="+mj-ea"/>
              <a:cs typeface="+mn-cs"/>
            </a:rPr>
            <a:t>公斤和</a:t>
          </a:r>
          <a:r>
            <a:rPr lang="en-US" altLang="zh-CN" sz="1100" b="0" i="0" baseline="0">
              <a:solidFill>
                <a:schemeClr val="dk1"/>
              </a:solidFill>
              <a:latin typeface="+mj-ea"/>
              <a:ea typeface="+mj-ea"/>
              <a:cs typeface="+mn-cs"/>
            </a:rPr>
            <a:t>4</a:t>
          </a:r>
          <a:r>
            <a:rPr lang="zh-CN" altLang="zh-CN" sz="1100" b="0" i="0" baseline="0">
              <a:solidFill>
                <a:schemeClr val="dk1"/>
              </a:solidFill>
              <a:latin typeface="+mj-ea"/>
              <a:ea typeface="+mj-ea"/>
              <a:cs typeface="+mn-cs"/>
            </a:rPr>
            <a:t>公斤。公司可提供的工时为</a:t>
          </a:r>
          <a:r>
            <a:rPr lang="en-US" altLang="zh-CN" sz="1100" b="0" i="0" baseline="0">
              <a:solidFill>
                <a:schemeClr val="dk1"/>
              </a:solidFill>
              <a:latin typeface="+mj-ea"/>
              <a:ea typeface="+mj-ea"/>
              <a:cs typeface="+mn-cs"/>
            </a:rPr>
            <a:t>300</a:t>
          </a:r>
          <a:r>
            <a:rPr lang="zh-CN" altLang="zh-CN" sz="1100" b="0" i="0" baseline="0">
              <a:solidFill>
                <a:schemeClr val="dk1"/>
              </a:solidFill>
              <a:latin typeface="+mj-ea"/>
              <a:ea typeface="+mj-ea"/>
              <a:cs typeface="+mn-cs"/>
            </a:rPr>
            <a:t>，可提供的用电量为</a:t>
          </a:r>
          <a:r>
            <a:rPr lang="en-US" altLang="zh-CN" sz="1100" b="0" i="0" baseline="0">
              <a:solidFill>
                <a:schemeClr val="dk1"/>
              </a:solidFill>
              <a:latin typeface="+mj-ea"/>
              <a:ea typeface="+mj-ea"/>
              <a:cs typeface="+mn-cs"/>
            </a:rPr>
            <a:t>250</a:t>
          </a:r>
          <a:r>
            <a:rPr lang="zh-CN" altLang="zh-CN" sz="1100" b="0" i="0" baseline="0">
              <a:solidFill>
                <a:schemeClr val="dk1"/>
              </a:solidFill>
              <a:latin typeface="+mj-ea"/>
              <a:ea typeface="+mj-ea"/>
              <a:cs typeface="+mn-cs"/>
            </a:rPr>
            <a:t>千瓦，可提供的原材料为</a:t>
          </a:r>
          <a:r>
            <a:rPr lang="en-US" altLang="zh-CN" sz="1100" b="0" i="0" baseline="0">
              <a:solidFill>
                <a:schemeClr val="dk1"/>
              </a:solidFill>
              <a:latin typeface="+mj-ea"/>
              <a:ea typeface="+mj-ea"/>
              <a:cs typeface="+mn-cs"/>
            </a:rPr>
            <a:t>420</a:t>
          </a:r>
          <a:r>
            <a:rPr lang="zh-CN" altLang="zh-CN" sz="1100" b="0" i="0" baseline="0">
              <a:solidFill>
                <a:schemeClr val="dk1"/>
              </a:solidFill>
              <a:latin typeface="+mj-ea"/>
              <a:ea typeface="+mj-ea"/>
              <a:cs typeface="+mn-cs"/>
            </a:rPr>
            <a:t>公斤。两种产品的单位利润分别为</a:t>
          </a:r>
          <a:r>
            <a:rPr lang="en-US" altLang="zh-CN" sz="1100" b="0" i="0" baseline="0">
              <a:solidFill>
                <a:schemeClr val="dk1"/>
              </a:solidFill>
              <a:latin typeface="+mj-ea"/>
              <a:ea typeface="+mj-ea"/>
              <a:cs typeface="+mn-cs"/>
            </a:rPr>
            <a:t>25</a:t>
          </a:r>
          <a:r>
            <a:rPr lang="zh-CN" altLang="zh-CN" sz="1100" b="0" i="0" baseline="0">
              <a:solidFill>
                <a:schemeClr val="dk1"/>
              </a:solidFill>
              <a:latin typeface="+mj-ea"/>
              <a:ea typeface="+mj-ea"/>
              <a:cs typeface="+mn-cs"/>
            </a:rPr>
            <a:t>元和</a:t>
          </a:r>
          <a:r>
            <a:rPr lang="en-US" altLang="zh-CN" sz="1100" b="0" i="0" baseline="0">
              <a:solidFill>
                <a:schemeClr val="dk1"/>
              </a:solidFill>
              <a:latin typeface="+mj-ea"/>
              <a:ea typeface="+mj-ea"/>
              <a:cs typeface="+mn-cs"/>
            </a:rPr>
            <a:t>30</a:t>
          </a:r>
          <a:r>
            <a:rPr lang="zh-CN" altLang="zh-CN" sz="1100" b="0" i="0" baseline="0">
              <a:solidFill>
                <a:schemeClr val="dk1"/>
              </a:solidFill>
              <a:latin typeface="+mj-ea"/>
              <a:ea typeface="+mj-ea"/>
              <a:cs typeface="+mn-cs"/>
            </a:rPr>
            <a:t>元。试在</a:t>
          </a:r>
          <a:r>
            <a:rPr lang="en-US" altLang="zh-CN" sz="1100" b="0" i="0" baseline="0">
              <a:solidFill>
                <a:schemeClr val="dk1"/>
              </a:solidFill>
              <a:latin typeface="+mj-ea"/>
              <a:ea typeface="+mj-ea"/>
              <a:cs typeface="+mn-cs"/>
            </a:rPr>
            <a:t>Excel</a:t>
          </a:r>
          <a:r>
            <a:rPr lang="zh-CN" altLang="zh-CN" sz="1100" b="0" i="0" baseline="0">
              <a:solidFill>
                <a:schemeClr val="dk1"/>
              </a:solidFill>
              <a:latin typeface="+mj-ea"/>
              <a:ea typeface="+mj-ea"/>
              <a:cs typeface="+mn-cs"/>
            </a:rPr>
            <a:t>中建立产品组合线性规划模型，用规划求解工具求解两种产品的最优生产量，使总利润最大，总工时最少；把规划求解参数保存在单元格中。</a:t>
          </a:r>
          <a:endParaRPr lang="zh-CN" altLang="en-US" sz="1100">
            <a:latin typeface="+mj-ea"/>
            <a:ea typeface="+mj-ea"/>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A8399-2D3F-4E2A-AD86-A64A8276C30E}">
  <dimension ref="B2:H15"/>
  <sheetViews>
    <sheetView zoomScale="99" zoomScaleNormal="175" workbookViewId="0">
      <selection activeCell="E9" sqref="E9"/>
    </sheetView>
  </sheetViews>
  <sheetFormatPr defaultColWidth="9" defaultRowHeight="14" x14ac:dyDescent="0.3"/>
  <cols>
    <col min="1" max="1" width="2.83203125" style="2" customWidth="1"/>
    <col min="2" max="2" width="2.25" style="2" customWidth="1"/>
    <col min="3" max="3" width="8.58203125" style="2" customWidth="1"/>
    <col min="4" max="4" width="7.25" style="2" customWidth="1"/>
    <col min="5" max="5" width="7.58203125" style="2" customWidth="1"/>
    <col min="6" max="6" width="7" style="2" customWidth="1"/>
    <col min="7" max="7" width="6.83203125" style="2" customWidth="1"/>
    <col min="8" max="8" width="2.25" style="2" customWidth="1"/>
    <col min="9" max="16384" width="9" style="2"/>
  </cols>
  <sheetData>
    <row r="2" spans="2:8" x14ac:dyDescent="0.3">
      <c r="B2" s="1"/>
      <c r="C2" s="1"/>
      <c r="D2" s="1"/>
      <c r="E2" s="1"/>
      <c r="F2" s="1"/>
      <c r="G2" s="1"/>
      <c r="H2" s="1"/>
    </row>
    <row r="3" spans="2:8" x14ac:dyDescent="0.3">
      <c r="B3" s="1"/>
      <c r="C3" s="3" t="s">
        <v>0</v>
      </c>
      <c r="D3" s="4" t="s">
        <v>1</v>
      </c>
      <c r="E3" s="4" t="s">
        <v>2</v>
      </c>
      <c r="F3" s="4" t="s">
        <v>3</v>
      </c>
      <c r="G3" s="4" t="s">
        <v>4</v>
      </c>
      <c r="H3" s="1"/>
    </row>
    <row r="4" spans="2:8" x14ac:dyDescent="0.3">
      <c r="B4" s="1"/>
      <c r="C4" s="3" t="s">
        <v>5</v>
      </c>
      <c r="D4" s="5">
        <v>3</v>
      </c>
      <c r="E4" s="5">
        <v>4</v>
      </c>
      <c r="F4" s="6">
        <f>D4*$D$8+E4*$E$8</f>
        <v>14</v>
      </c>
      <c r="G4" s="5">
        <v>14</v>
      </c>
      <c r="H4" s="1"/>
    </row>
    <row r="5" spans="2:8" x14ac:dyDescent="0.3">
      <c r="B5" s="1"/>
      <c r="C5" s="3" t="s">
        <v>6</v>
      </c>
      <c r="D5" s="5">
        <v>4</v>
      </c>
      <c r="E5" s="5">
        <v>2</v>
      </c>
      <c r="F5" s="6">
        <f t="shared" ref="F5:F6" si="0">D5*$D$8+E5*$E$8</f>
        <v>8</v>
      </c>
      <c r="G5" s="5">
        <v>8</v>
      </c>
      <c r="H5" s="1"/>
    </row>
    <row r="6" spans="2:8" x14ac:dyDescent="0.3">
      <c r="B6" s="1"/>
      <c r="C6" s="3" t="s">
        <v>7</v>
      </c>
      <c r="D6" s="5">
        <v>2</v>
      </c>
      <c r="E6" s="5">
        <v>1</v>
      </c>
      <c r="F6" s="6">
        <f t="shared" si="0"/>
        <v>4</v>
      </c>
      <c r="G6" s="5">
        <v>6</v>
      </c>
      <c r="H6" s="1"/>
    </row>
    <row r="7" spans="2:8" x14ac:dyDescent="0.3">
      <c r="B7" s="1"/>
      <c r="C7" s="3" t="s">
        <v>8</v>
      </c>
      <c r="D7" s="5">
        <v>5</v>
      </c>
      <c r="E7" s="5">
        <v>4</v>
      </c>
      <c r="F7" s="7"/>
      <c r="G7" s="7"/>
      <c r="H7" s="1"/>
    </row>
    <row r="8" spans="2:8" x14ac:dyDescent="0.3">
      <c r="B8" s="1"/>
      <c r="C8" s="3" t="s">
        <v>9</v>
      </c>
      <c r="D8" s="6">
        <v>0.39999999999999991</v>
      </c>
      <c r="E8" s="6">
        <v>3.2</v>
      </c>
      <c r="F8" s="7"/>
      <c r="G8" s="7"/>
      <c r="H8" s="1"/>
    </row>
    <row r="9" spans="2:8" x14ac:dyDescent="0.3">
      <c r="B9" s="1"/>
      <c r="C9" s="1"/>
      <c r="D9" s="4" t="s">
        <v>10</v>
      </c>
      <c r="E9" s="8">
        <f>D8*D7+E8*E7</f>
        <v>14.8</v>
      </c>
      <c r="F9" s="7"/>
      <c r="G9" s="7"/>
      <c r="H9" s="1"/>
    </row>
    <row r="10" spans="2:8" x14ac:dyDescent="0.3">
      <c r="B10" s="1"/>
      <c r="C10" s="9">
        <f>MAX($E$9)</f>
        <v>14.8</v>
      </c>
      <c r="D10" s="1"/>
      <c r="E10" s="1"/>
      <c r="F10" s="1"/>
      <c r="G10" s="1"/>
      <c r="H10" s="1"/>
    </row>
    <row r="11" spans="2:8" x14ac:dyDescent="0.3">
      <c r="B11" s="1"/>
      <c r="C11" s="9">
        <f>COUNT($D$8:$E$8)</f>
        <v>2</v>
      </c>
      <c r="D11" s="1"/>
      <c r="E11" s="1"/>
      <c r="F11" s="1"/>
      <c r="G11" s="1"/>
      <c r="H11" s="1"/>
    </row>
    <row r="12" spans="2:8" x14ac:dyDescent="0.3">
      <c r="B12" s="1"/>
      <c r="C12" s="9" t="b">
        <f t="array" ref="C12">$F$4:$F$6&lt;=$G$4:$G$6</f>
        <v>1</v>
      </c>
      <c r="D12" s="1"/>
      <c r="E12" s="1"/>
      <c r="F12" s="1"/>
      <c r="G12" s="1"/>
      <c r="H12" s="1"/>
    </row>
    <row r="13" spans="2:8" x14ac:dyDescent="0.3">
      <c r="B13" s="1"/>
      <c r="C13" s="9">
        <f>{32767,32767,0.000001,0.01,TRUE,FALSE,TRUE,1,1,1,0.0001,TRUE}</f>
        <v>32767</v>
      </c>
      <c r="D13" s="1"/>
      <c r="E13" s="1"/>
      <c r="F13" s="1"/>
      <c r="G13" s="1"/>
      <c r="H13" s="1"/>
    </row>
    <row r="14" spans="2:8" x14ac:dyDescent="0.3">
      <c r="B14" s="1"/>
      <c r="C14" s="9">
        <f>{0,0,2,100,0,FALSE,TRUE,0.075,0,0,FALSE,30}</f>
        <v>0</v>
      </c>
      <c r="D14" s="1"/>
      <c r="E14" s="1"/>
      <c r="F14" s="1"/>
      <c r="G14" s="1"/>
      <c r="H14" s="1"/>
    </row>
    <row r="15" spans="2:8" x14ac:dyDescent="0.3">
      <c r="B15" s="1"/>
      <c r="C15" s="1"/>
      <c r="D15" s="1"/>
      <c r="E15" s="1"/>
      <c r="F15" s="1"/>
      <c r="G15" s="1"/>
      <c r="H15" s="1"/>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E1B8-E520-4208-AC9F-9D94D3556107}">
  <dimension ref="A1:H22"/>
  <sheetViews>
    <sheetView zoomScale="143" zoomScaleNormal="130" workbookViewId="0">
      <selection activeCell="C14" sqref="C14"/>
    </sheetView>
  </sheetViews>
  <sheetFormatPr defaultColWidth="9" defaultRowHeight="14" x14ac:dyDescent="0.25"/>
  <cols>
    <col min="1" max="1" width="1.75" style="11" customWidth="1"/>
    <col min="2" max="2" width="11.5" style="11" customWidth="1"/>
    <col min="3" max="3" width="8.58203125" style="11" customWidth="1"/>
    <col min="4" max="4" width="8" style="11" customWidth="1"/>
    <col min="5" max="5" width="7" style="11" customWidth="1"/>
    <col min="6" max="6" width="7.75" style="11" customWidth="1"/>
    <col min="7" max="7" width="7.5" style="11" customWidth="1"/>
    <col min="8" max="8" width="1.33203125" style="11" customWidth="1"/>
    <col min="9" max="16384" width="9" style="11"/>
  </cols>
  <sheetData>
    <row r="1" spans="1:8" x14ac:dyDescent="0.25">
      <c r="A1" s="10"/>
      <c r="B1" s="10"/>
      <c r="C1" s="10"/>
      <c r="D1" s="10"/>
      <c r="E1" s="10"/>
      <c r="F1" s="10"/>
      <c r="G1" s="10"/>
      <c r="H1" s="10"/>
    </row>
    <row r="2" spans="1:8" x14ac:dyDescent="0.25">
      <c r="A2" s="10"/>
      <c r="B2" s="3"/>
      <c r="C2" s="4" t="s">
        <v>11</v>
      </c>
      <c r="D2" s="4" t="s">
        <v>12</v>
      </c>
      <c r="E2" s="4" t="s">
        <v>13</v>
      </c>
      <c r="F2" s="4" t="s">
        <v>14</v>
      </c>
      <c r="G2" s="4" t="s">
        <v>15</v>
      </c>
      <c r="H2" s="10"/>
    </row>
    <row r="3" spans="1:8" x14ac:dyDescent="0.25">
      <c r="A3" s="10"/>
      <c r="B3" s="3" t="s">
        <v>16</v>
      </c>
      <c r="C3" s="12">
        <v>3</v>
      </c>
      <c r="D3" s="12">
        <v>7</v>
      </c>
      <c r="E3" s="13">
        <f>C3*$C$6+D3*$D$6</f>
        <v>201.9100023084944</v>
      </c>
      <c r="F3" s="12">
        <v>300</v>
      </c>
      <c r="G3" s="12">
        <v>10</v>
      </c>
      <c r="H3" s="10"/>
    </row>
    <row r="4" spans="1:8" x14ac:dyDescent="0.25">
      <c r="A4" s="10"/>
      <c r="B4" s="3" t="s">
        <v>17</v>
      </c>
      <c r="C4" s="12">
        <v>4</v>
      </c>
      <c r="D4" s="12">
        <v>5</v>
      </c>
      <c r="E4" s="13">
        <f t="shared" ref="E4:E5" si="0">C4*$C$6+D4*$D$6</f>
        <v>190.12999565329807</v>
      </c>
      <c r="F4" s="12">
        <v>250</v>
      </c>
      <c r="G4" s="12">
        <v>12</v>
      </c>
      <c r="H4" s="10"/>
    </row>
    <row r="5" spans="1:8" x14ac:dyDescent="0.25">
      <c r="A5" s="10"/>
      <c r="B5" s="3" t="s">
        <v>18</v>
      </c>
      <c r="C5" s="12">
        <v>9</v>
      </c>
      <c r="D5" s="12">
        <v>4</v>
      </c>
      <c r="E5" s="13">
        <f t="shared" si="0"/>
        <v>295.4799777978356</v>
      </c>
      <c r="F5" s="12">
        <v>420</v>
      </c>
      <c r="G5" s="12">
        <v>50</v>
      </c>
      <c r="H5" s="10"/>
    </row>
    <row r="6" spans="1:8" x14ac:dyDescent="0.25">
      <c r="A6" s="10"/>
      <c r="B6" s="3" t="s">
        <v>9</v>
      </c>
      <c r="C6" s="12">
        <v>24.719996771585716</v>
      </c>
      <c r="D6" s="12">
        <v>18.250001713391036</v>
      </c>
      <c r="E6" s="10"/>
      <c r="F6" s="10"/>
      <c r="G6" s="10"/>
      <c r="H6" s="10"/>
    </row>
    <row r="7" spans="1:8" x14ac:dyDescent="0.25">
      <c r="A7" s="10"/>
      <c r="B7" s="3" t="s">
        <v>19</v>
      </c>
      <c r="C7" s="12">
        <v>3000</v>
      </c>
      <c r="D7" s="12">
        <v>3250</v>
      </c>
      <c r="E7" s="10"/>
      <c r="F7" s="10"/>
      <c r="G7" s="10"/>
      <c r="H7" s="10"/>
    </row>
    <row r="8" spans="1:8" x14ac:dyDescent="0.25">
      <c r="A8" s="10"/>
      <c r="B8" s="3" t="s">
        <v>20</v>
      </c>
      <c r="C8" s="12">
        <v>-50</v>
      </c>
      <c r="D8" s="12">
        <v>-80</v>
      </c>
      <c r="E8" s="10"/>
      <c r="F8" s="10"/>
      <c r="G8" s="10"/>
      <c r="H8" s="10"/>
    </row>
    <row r="9" spans="1:8" x14ac:dyDescent="0.25">
      <c r="A9" s="10"/>
      <c r="B9" s="3" t="s">
        <v>21</v>
      </c>
      <c r="C9" s="13">
        <f>C7+C8*C6</f>
        <v>1764.0001614207142</v>
      </c>
      <c r="D9" s="13">
        <f>D7+D8*D6</f>
        <v>1789.999862928717</v>
      </c>
      <c r="E9" s="10"/>
      <c r="F9" s="10"/>
      <c r="G9" s="10"/>
      <c r="H9" s="10"/>
    </row>
    <row r="10" spans="1:8" x14ac:dyDescent="0.25">
      <c r="A10" s="10"/>
      <c r="B10" s="3" t="s">
        <v>22</v>
      </c>
      <c r="C10" s="13">
        <f>C9*C6</f>
        <v>43606.078295396735</v>
      </c>
      <c r="D10" s="13">
        <f>D9*D6</f>
        <v>32667.500565418806</v>
      </c>
      <c r="E10" s="10"/>
      <c r="F10" s="10"/>
      <c r="G10" s="10"/>
      <c r="H10" s="10"/>
    </row>
    <row r="11" spans="1:8" x14ac:dyDescent="0.25">
      <c r="A11" s="10"/>
      <c r="B11" s="3" t="s">
        <v>23</v>
      </c>
      <c r="C11" s="13">
        <f>C3*$G$3+C4*$G$4+C5*$G$5</f>
        <v>528</v>
      </c>
      <c r="D11" s="13">
        <f>D3*$G$3+D4*$G$4+D5*$G$5</f>
        <v>330</v>
      </c>
      <c r="E11" s="10"/>
      <c r="F11" s="10"/>
      <c r="G11" s="10"/>
      <c r="H11" s="10"/>
    </row>
    <row r="12" spans="1:8" x14ac:dyDescent="0.25">
      <c r="A12" s="10"/>
      <c r="B12" s="3" t="s">
        <v>24</v>
      </c>
      <c r="C12" s="13">
        <f>C11*C6</f>
        <v>13052.158295397257</v>
      </c>
      <c r="D12" s="13">
        <f>D11*D6</f>
        <v>6022.5005654190418</v>
      </c>
      <c r="E12" s="10"/>
      <c r="F12" s="10"/>
      <c r="G12" s="10"/>
      <c r="H12" s="10"/>
    </row>
    <row r="13" spans="1:8" x14ac:dyDescent="0.25">
      <c r="A13" s="10"/>
      <c r="B13" s="3" t="s">
        <v>25</v>
      </c>
      <c r="C13" s="12">
        <v>10000</v>
      </c>
      <c r="D13" s="10"/>
      <c r="E13" s="10"/>
      <c r="F13" s="10"/>
      <c r="G13" s="10"/>
      <c r="H13" s="10"/>
    </row>
    <row r="14" spans="1:8" x14ac:dyDescent="0.25">
      <c r="A14" s="10"/>
      <c r="B14" s="3" t="s">
        <v>10</v>
      </c>
      <c r="C14" s="14">
        <f>C10+D10-C12-D12-C13</f>
        <v>47198.919999999249</v>
      </c>
      <c r="D14" s="10"/>
      <c r="E14" s="10"/>
      <c r="F14" s="10"/>
      <c r="G14" s="10"/>
      <c r="H14" s="10"/>
    </row>
    <row r="15" spans="1:8" x14ac:dyDescent="0.25">
      <c r="A15" s="10"/>
      <c r="B15" s="10"/>
      <c r="C15" s="10"/>
      <c r="D15" s="10"/>
      <c r="E15" s="10"/>
      <c r="F15" s="10"/>
      <c r="G15" s="10"/>
      <c r="H15" s="10"/>
    </row>
    <row r="16" spans="1:8" x14ac:dyDescent="0.25">
      <c r="A16" s="10"/>
      <c r="B16" s="9">
        <f>MAX($C$14)</f>
        <v>47198.919999999249</v>
      </c>
      <c r="C16" s="10"/>
      <c r="D16" s="10"/>
      <c r="E16" s="10"/>
      <c r="F16" s="10"/>
      <c r="G16" s="10"/>
      <c r="H16" s="10"/>
    </row>
    <row r="17" spans="1:8" x14ac:dyDescent="0.25">
      <c r="A17" s="10"/>
      <c r="B17" s="9">
        <f>COUNT($C$6:$D$6)</f>
        <v>2</v>
      </c>
      <c r="C17" s="10"/>
      <c r="D17" s="10"/>
      <c r="E17" s="10"/>
      <c r="F17" s="10"/>
      <c r="G17" s="10"/>
      <c r="H17" s="10"/>
    </row>
    <row r="18" spans="1:8" x14ac:dyDescent="0.25">
      <c r="A18" s="10"/>
      <c r="B18" s="9" t="b">
        <f t="array" ref="B18">$E$3:$E$5&lt;=$F$3:$F$5</f>
        <v>1</v>
      </c>
      <c r="C18" s="10"/>
      <c r="D18" s="10"/>
      <c r="E18" s="10"/>
      <c r="F18" s="10"/>
      <c r="G18" s="10"/>
      <c r="H18" s="10"/>
    </row>
    <row r="19" spans="1:8" x14ac:dyDescent="0.25">
      <c r="A19" s="10"/>
      <c r="B19" s="9">
        <f>{32767,32767,0.000001,0.01,FALSE,FALSE,TRUE,1,1,1,0.0001,TRUE}</f>
        <v>32767</v>
      </c>
      <c r="C19" s="10"/>
      <c r="D19" s="10"/>
      <c r="E19" s="10"/>
      <c r="F19" s="10"/>
      <c r="G19" s="10"/>
      <c r="H19" s="10"/>
    </row>
    <row r="20" spans="1:8" x14ac:dyDescent="0.25">
      <c r="A20" s="10"/>
      <c r="B20" s="9">
        <f>{0,0,1,100,0,FALSE,TRUE,0.075,0,0,FALSE,30}</f>
        <v>0</v>
      </c>
      <c r="C20" s="10"/>
      <c r="D20" s="10"/>
      <c r="E20" s="10"/>
      <c r="F20" s="10"/>
      <c r="G20" s="10"/>
      <c r="H20" s="10"/>
    </row>
    <row r="21" spans="1:8" x14ac:dyDescent="0.25">
      <c r="A21" s="10"/>
      <c r="B21" s="10"/>
      <c r="C21" s="10"/>
      <c r="D21" s="10"/>
      <c r="E21" s="10"/>
      <c r="F21" s="10"/>
      <c r="G21" s="10"/>
      <c r="H21" s="10"/>
    </row>
    <row r="22" spans="1:8" x14ac:dyDescent="0.25">
      <c r="B22" s="15"/>
      <c r="C22" s="15"/>
      <c r="D22" s="15"/>
      <c r="E22" s="15"/>
      <c r="F22" s="15"/>
      <c r="G22" s="15"/>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1435-8CB7-41EA-9B1F-5EE1D753F2B2}">
  <dimension ref="A1:I22"/>
  <sheetViews>
    <sheetView zoomScale="122" zoomScaleNormal="130" workbookViewId="0">
      <selection activeCell="H12" sqref="H12"/>
    </sheetView>
  </sheetViews>
  <sheetFormatPr defaultColWidth="9" defaultRowHeight="15" x14ac:dyDescent="0.3"/>
  <cols>
    <col min="1" max="1" width="2.25" style="17" customWidth="1"/>
    <col min="2" max="2" width="9.5" style="17" bestFit="1" customWidth="1"/>
    <col min="3" max="3" width="6.25" style="17" customWidth="1"/>
    <col min="4" max="4" width="6.08203125" style="17" customWidth="1"/>
    <col min="5" max="6" width="6.25" style="17" customWidth="1"/>
    <col min="7" max="8" width="9" style="17" bestFit="1"/>
    <col min="9" max="9" width="2.5" style="17" customWidth="1"/>
    <col min="10" max="16384" width="9" style="17"/>
  </cols>
  <sheetData>
    <row r="1" spans="1:9" x14ac:dyDescent="0.3">
      <c r="A1" s="16"/>
      <c r="B1" s="16"/>
      <c r="C1" s="16"/>
      <c r="D1" s="16"/>
      <c r="E1" s="16"/>
      <c r="F1" s="16"/>
      <c r="G1" s="16"/>
      <c r="H1" s="16"/>
      <c r="I1" s="16"/>
    </row>
    <row r="2" spans="1:9" x14ac:dyDescent="0.3">
      <c r="A2" s="16"/>
      <c r="B2" s="3" t="s">
        <v>26</v>
      </c>
      <c r="C2" s="3" t="s">
        <v>27</v>
      </c>
      <c r="D2" s="3" t="s">
        <v>28</v>
      </c>
      <c r="E2" s="3" t="s">
        <v>29</v>
      </c>
      <c r="F2" s="3" t="s">
        <v>30</v>
      </c>
      <c r="G2" s="16"/>
      <c r="H2" s="16"/>
      <c r="I2" s="16"/>
    </row>
    <row r="3" spans="1:9" x14ac:dyDescent="0.3">
      <c r="A3" s="16"/>
      <c r="B3" s="3" t="s">
        <v>31</v>
      </c>
      <c r="C3" s="12">
        <v>100</v>
      </c>
      <c r="D3" s="12">
        <v>200</v>
      </c>
      <c r="E3" s="12">
        <v>130</v>
      </c>
      <c r="F3" s="12">
        <v>80</v>
      </c>
      <c r="G3" s="16"/>
      <c r="H3" s="16"/>
      <c r="I3" s="16"/>
    </row>
    <row r="4" spans="1:9" x14ac:dyDescent="0.3">
      <c r="A4" s="16"/>
      <c r="B4" s="3" t="s">
        <v>32</v>
      </c>
      <c r="C4" s="12">
        <v>120</v>
      </c>
      <c r="D4" s="12">
        <v>100</v>
      </c>
      <c r="E4" s="12">
        <v>150</v>
      </c>
      <c r="F4" s="12">
        <v>130</v>
      </c>
      <c r="G4" s="16"/>
      <c r="H4" s="16"/>
      <c r="I4" s="16"/>
    </row>
    <row r="5" spans="1:9" x14ac:dyDescent="0.3">
      <c r="A5" s="16"/>
      <c r="B5" s="3" t="s">
        <v>33</v>
      </c>
      <c r="C5" s="12">
        <v>140</v>
      </c>
      <c r="D5" s="12">
        <v>110</v>
      </c>
      <c r="E5" s="12">
        <v>180</v>
      </c>
      <c r="F5" s="12">
        <v>150</v>
      </c>
      <c r="G5" s="16"/>
      <c r="H5" s="16"/>
      <c r="I5" s="16"/>
    </row>
    <row r="6" spans="1:9" x14ac:dyDescent="0.3">
      <c r="A6" s="16"/>
      <c r="B6" s="16"/>
      <c r="C6" s="16"/>
      <c r="D6" s="16"/>
      <c r="E6" s="16"/>
      <c r="F6" s="16"/>
      <c r="G6" s="16"/>
      <c r="H6" s="16"/>
      <c r="I6" s="16"/>
    </row>
    <row r="7" spans="1:9" x14ac:dyDescent="0.3">
      <c r="A7" s="16"/>
      <c r="B7" s="16"/>
      <c r="C7" s="16"/>
      <c r="D7" s="16"/>
      <c r="E7" s="16"/>
      <c r="F7" s="16"/>
      <c r="G7" s="16"/>
      <c r="H7" s="16"/>
      <c r="I7" s="16"/>
    </row>
    <row r="8" spans="1:9" x14ac:dyDescent="0.3">
      <c r="A8" s="16"/>
      <c r="B8" s="3"/>
      <c r="C8" s="3" t="s">
        <v>27</v>
      </c>
      <c r="D8" s="3" t="s">
        <v>28</v>
      </c>
      <c r="E8" s="3" t="s">
        <v>29</v>
      </c>
      <c r="F8" s="3" t="s">
        <v>30</v>
      </c>
      <c r="G8" s="3" t="s">
        <v>34</v>
      </c>
      <c r="H8" s="3" t="s">
        <v>35</v>
      </c>
      <c r="I8" s="16"/>
    </row>
    <row r="9" spans="1:9" x14ac:dyDescent="0.3">
      <c r="A9" s="16"/>
      <c r="B9" s="3" t="s">
        <v>31</v>
      </c>
      <c r="C9" s="13">
        <v>0</v>
      </c>
      <c r="D9" s="13">
        <v>0</v>
      </c>
      <c r="E9" s="13">
        <v>50</v>
      </c>
      <c r="F9" s="13">
        <v>70</v>
      </c>
      <c r="G9" s="12">
        <f>SUM(C9:F9)</f>
        <v>120</v>
      </c>
      <c r="H9" s="13">
        <v>120</v>
      </c>
      <c r="I9" s="16"/>
    </row>
    <row r="10" spans="1:9" x14ac:dyDescent="0.3">
      <c r="A10" s="16"/>
      <c r="B10" s="3" t="s">
        <v>32</v>
      </c>
      <c r="C10" s="13">
        <v>80</v>
      </c>
      <c r="D10" s="13">
        <v>70</v>
      </c>
      <c r="E10" s="13">
        <v>50</v>
      </c>
      <c r="F10" s="13">
        <v>0</v>
      </c>
      <c r="G10" s="12">
        <f t="shared" ref="G10:G11" si="0">SUM(C10:F10)</f>
        <v>200</v>
      </c>
      <c r="H10" s="13">
        <v>200</v>
      </c>
      <c r="I10" s="16"/>
    </row>
    <row r="11" spans="1:9" x14ac:dyDescent="0.3">
      <c r="A11" s="16"/>
      <c r="B11" s="3" t="s">
        <v>33</v>
      </c>
      <c r="C11" s="13">
        <v>0</v>
      </c>
      <c r="D11" s="13">
        <v>80</v>
      </c>
      <c r="E11" s="13">
        <v>0</v>
      </c>
      <c r="F11" s="13">
        <v>0</v>
      </c>
      <c r="G11" s="12">
        <f t="shared" si="0"/>
        <v>80</v>
      </c>
      <c r="H11" s="13">
        <v>100</v>
      </c>
      <c r="I11" s="16"/>
    </row>
    <row r="12" spans="1:9" x14ac:dyDescent="0.3">
      <c r="A12" s="16"/>
      <c r="B12" s="3" t="s">
        <v>36</v>
      </c>
      <c r="C12" s="12">
        <f>SUM(C9:C11)</f>
        <v>80</v>
      </c>
      <c r="D12" s="12">
        <f t="shared" ref="D12:F12" si="1">SUM(D9:D11)</f>
        <v>150</v>
      </c>
      <c r="E12" s="12">
        <f t="shared" si="1"/>
        <v>100</v>
      </c>
      <c r="F12" s="12">
        <f t="shared" si="1"/>
        <v>70</v>
      </c>
      <c r="G12" s="3" t="s">
        <v>37</v>
      </c>
      <c r="H12" s="14" cm="1">
        <f t="array" ref="H12">SUM(C3:F5*C9:F11)</f>
        <v>45000</v>
      </c>
      <c r="I12" s="16"/>
    </row>
    <row r="13" spans="1:9" x14ac:dyDescent="0.3">
      <c r="A13" s="16"/>
      <c r="B13" s="3" t="s">
        <v>13</v>
      </c>
      <c r="C13" s="13">
        <v>80</v>
      </c>
      <c r="D13" s="13">
        <v>150</v>
      </c>
      <c r="E13" s="13">
        <v>100</v>
      </c>
      <c r="F13" s="13">
        <v>70</v>
      </c>
      <c r="G13" s="18"/>
      <c r="H13" s="16"/>
      <c r="I13" s="16"/>
    </row>
    <row r="14" spans="1:9" x14ac:dyDescent="0.3">
      <c r="A14" s="16"/>
      <c r="B14" s="16"/>
      <c r="C14" s="16"/>
      <c r="D14" s="16"/>
      <c r="E14" s="16"/>
      <c r="F14" s="16"/>
      <c r="G14" s="16"/>
      <c r="H14" s="16"/>
      <c r="I14" s="16"/>
    </row>
    <row r="15" spans="1:9" x14ac:dyDescent="0.3">
      <c r="A15" s="16"/>
      <c r="B15" s="9">
        <f>MIN($H$12)</f>
        <v>45000</v>
      </c>
      <c r="C15" s="16"/>
      <c r="D15" s="16"/>
      <c r="E15" s="16"/>
      <c r="F15" s="16"/>
      <c r="G15" s="16"/>
      <c r="H15" s="16"/>
      <c r="I15" s="16"/>
    </row>
    <row r="16" spans="1:9" x14ac:dyDescent="0.3">
      <c r="A16" s="16"/>
      <c r="B16" s="9">
        <f>COUNT($C$9:$F$11)</f>
        <v>12</v>
      </c>
      <c r="C16" s="16"/>
      <c r="D16" s="16"/>
      <c r="E16" s="16"/>
      <c r="F16" s="16"/>
      <c r="G16" s="16"/>
      <c r="H16" s="16"/>
      <c r="I16" s="16"/>
    </row>
    <row r="17" spans="1:9" x14ac:dyDescent="0.3">
      <c r="A17" s="16"/>
      <c r="B17" s="9" t="b">
        <f t="array" ref="B17">$C$12:$F$12=$C$13:$F$13</f>
        <v>1</v>
      </c>
      <c r="C17" s="16"/>
      <c r="D17" s="16"/>
      <c r="E17" s="16"/>
      <c r="F17" s="16"/>
      <c r="G17" s="16"/>
      <c r="H17" s="16"/>
      <c r="I17" s="16"/>
    </row>
    <row r="18" spans="1:9" x14ac:dyDescent="0.3">
      <c r="A18" s="16"/>
      <c r="B18" s="9" t="b">
        <f t="array" ref="B18">$C$9:$F$11=INT($C$9:$F$11)</f>
        <v>1</v>
      </c>
      <c r="C18" s="16"/>
      <c r="D18" s="16"/>
      <c r="E18" s="16"/>
      <c r="F18" s="16"/>
      <c r="G18" s="16"/>
      <c r="H18" s="16"/>
      <c r="I18" s="16"/>
    </row>
    <row r="19" spans="1:9" x14ac:dyDescent="0.3">
      <c r="A19" s="16"/>
      <c r="B19" s="9" t="b">
        <f t="array" ref="B19">$G$9:$G$11&lt;=$H$9:$H$11</f>
        <v>1</v>
      </c>
      <c r="C19" s="16"/>
      <c r="D19" s="16"/>
      <c r="E19" s="16"/>
      <c r="F19" s="16"/>
      <c r="G19" s="16"/>
      <c r="H19" s="16"/>
      <c r="I19" s="16"/>
    </row>
    <row r="20" spans="1:9" x14ac:dyDescent="0.3">
      <c r="A20" s="16"/>
      <c r="B20" s="9">
        <f>{32767,32767,0.000001,0.01,TRUE,FALSE,TRUE,1,1,1,0.0001,TRUE}</f>
        <v>32767</v>
      </c>
      <c r="C20" s="16"/>
      <c r="D20" s="16"/>
      <c r="E20" s="16"/>
      <c r="F20" s="16"/>
      <c r="G20" s="16"/>
      <c r="H20" s="16"/>
      <c r="I20" s="16"/>
    </row>
    <row r="21" spans="1:9" x14ac:dyDescent="0.3">
      <c r="A21" s="16"/>
      <c r="B21" s="9">
        <f>{0,0,2,100,0,FALSE,TRUE,0.075,0,0,FALSE,30}</f>
        <v>0</v>
      </c>
      <c r="C21" s="16"/>
      <c r="D21" s="16"/>
      <c r="E21" s="16"/>
      <c r="F21" s="16"/>
      <c r="G21" s="16"/>
      <c r="H21" s="16"/>
      <c r="I21" s="16"/>
    </row>
    <row r="22" spans="1:9" x14ac:dyDescent="0.3">
      <c r="A22" s="16"/>
      <c r="B22" s="16"/>
      <c r="C22" s="16"/>
      <c r="D22" s="16"/>
      <c r="E22" s="16"/>
      <c r="F22" s="16"/>
      <c r="G22" s="16"/>
      <c r="H22" s="16"/>
      <c r="I22" s="16"/>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3CB9-C4E4-4C8F-A97C-0A13BCDEB555}">
  <dimension ref="A1:H17"/>
  <sheetViews>
    <sheetView zoomScale="118" zoomScaleNormal="115" workbookViewId="0">
      <selection activeCell="E10" sqref="E10"/>
    </sheetView>
  </sheetViews>
  <sheetFormatPr defaultColWidth="9" defaultRowHeight="14" x14ac:dyDescent="0.3"/>
  <cols>
    <col min="1" max="1" width="2.25" style="20" customWidth="1"/>
    <col min="2" max="3" width="7.58203125" style="20" customWidth="1"/>
    <col min="4" max="6" width="5.58203125" style="20" bestFit="1" customWidth="1"/>
    <col min="7" max="7" width="9" style="20" bestFit="1"/>
    <col min="8" max="8" width="2.33203125" style="20" customWidth="1"/>
    <col min="9" max="16384" width="9" style="20"/>
  </cols>
  <sheetData>
    <row r="1" spans="1:8" x14ac:dyDescent="0.3">
      <c r="A1" s="19"/>
      <c r="B1" s="19"/>
      <c r="C1" s="19"/>
      <c r="D1" s="19"/>
      <c r="E1" s="19"/>
      <c r="F1" s="19"/>
      <c r="G1" s="19"/>
      <c r="H1" s="19"/>
    </row>
    <row r="2" spans="1:8" ht="15" x14ac:dyDescent="0.3">
      <c r="A2" s="19"/>
      <c r="B2" s="3" t="s">
        <v>38</v>
      </c>
      <c r="C2" s="3" t="s">
        <v>39</v>
      </c>
      <c r="D2" s="3" t="s">
        <v>40</v>
      </c>
      <c r="E2" s="3" t="s">
        <v>41</v>
      </c>
      <c r="F2" s="3" t="s">
        <v>42</v>
      </c>
      <c r="G2" s="3" t="s">
        <v>43</v>
      </c>
      <c r="H2" s="19"/>
    </row>
    <row r="3" spans="1:8" x14ac:dyDescent="0.3">
      <c r="A3" s="19"/>
      <c r="B3" s="3" t="s">
        <v>44</v>
      </c>
      <c r="C3" s="13">
        <v>1</v>
      </c>
      <c r="D3" s="13"/>
      <c r="E3" s="13">
        <v>1</v>
      </c>
      <c r="F3" s="13">
        <v>1</v>
      </c>
      <c r="G3" s="12" cm="1">
        <f t="array" ref="G3">SUM(C3:F3*$C$8:$F$8)</f>
        <v>1</v>
      </c>
      <c r="H3" s="19"/>
    </row>
    <row r="4" spans="1:8" x14ac:dyDescent="0.3">
      <c r="A4" s="19"/>
      <c r="B4" s="3" t="s">
        <v>45</v>
      </c>
      <c r="C4" s="13"/>
      <c r="D4" s="13">
        <v>1</v>
      </c>
      <c r="E4" s="13"/>
      <c r="F4" s="13"/>
      <c r="G4" s="12" cm="1">
        <f t="array" ref="G4">SUM(C4:F4*$C$8:$F$8)</f>
        <v>1</v>
      </c>
      <c r="H4" s="19"/>
    </row>
    <row r="5" spans="1:8" x14ac:dyDescent="0.3">
      <c r="A5" s="19"/>
      <c r="B5" s="3" t="s">
        <v>46</v>
      </c>
      <c r="C5" s="13"/>
      <c r="D5" s="13"/>
      <c r="E5" s="13"/>
      <c r="F5" s="13">
        <v>1</v>
      </c>
      <c r="G5" s="12" cm="1">
        <f t="array" ref="G5">SUM(C5:F5*$C$8:$F$8)</f>
        <v>1</v>
      </c>
      <c r="H5" s="19"/>
    </row>
    <row r="6" spans="1:8" x14ac:dyDescent="0.3">
      <c r="A6" s="19"/>
      <c r="B6" s="3" t="s">
        <v>47</v>
      </c>
      <c r="C6" s="13">
        <v>1</v>
      </c>
      <c r="D6" s="13">
        <v>1</v>
      </c>
      <c r="E6" s="13"/>
      <c r="F6" s="13"/>
      <c r="G6" s="12" cm="1">
        <f t="array" ref="G6">SUM(C6:F6*$C$8:$F$8)</f>
        <v>1</v>
      </c>
      <c r="H6" s="19"/>
    </row>
    <row r="7" spans="1:8" x14ac:dyDescent="0.3">
      <c r="A7" s="19"/>
      <c r="B7" s="3" t="s">
        <v>48</v>
      </c>
      <c r="C7" s="13">
        <v>200</v>
      </c>
      <c r="D7" s="13">
        <v>150</v>
      </c>
      <c r="E7" s="13">
        <v>190</v>
      </c>
      <c r="F7" s="13">
        <v>250</v>
      </c>
      <c r="G7" s="21"/>
      <c r="H7" s="19"/>
    </row>
    <row r="8" spans="1:8" x14ac:dyDescent="0.3">
      <c r="A8" s="19"/>
      <c r="B8" s="3" t="s">
        <v>49</v>
      </c>
      <c r="C8" s="12">
        <v>0</v>
      </c>
      <c r="D8" s="12">
        <v>1</v>
      </c>
      <c r="E8" s="12">
        <v>0</v>
      </c>
      <c r="F8" s="12">
        <v>1</v>
      </c>
      <c r="G8" s="21"/>
      <c r="H8" s="19"/>
    </row>
    <row r="9" spans="1:8" x14ac:dyDescent="0.3">
      <c r="A9" s="19"/>
      <c r="B9" s="3" t="s">
        <v>50</v>
      </c>
      <c r="C9" s="14" cm="1">
        <f t="array" ref="C9">SUM(C7:F7*C8:F8)</f>
        <v>400</v>
      </c>
      <c r="D9" s="21"/>
      <c r="E9" s="21"/>
      <c r="F9" s="21"/>
      <c r="G9" s="21"/>
      <c r="H9" s="19"/>
    </row>
    <row r="10" spans="1:8" x14ac:dyDescent="0.3">
      <c r="A10" s="19"/>
      <c r="B10" s="19"/>
      <c r="C10" s="19"/>
      <c r="D10" s="19"/>
      <c r="E10" s="19"/>
      <c r="F10" s="19"/>
      <c r="G10" s="19"/>
      <c r="H10" s="19"/>
    </row>
    <row r="11" spans="1:8" x14ac:dyDescent="0.3">
      <c r="A11" s="19"/>
      <c r="B11" s="9">
        <f>MIN($C$9)</f>
        <v>400</v>
      </c>
      <c r="C11" s="19"/>
      <c r="D11" s="19"/>
      <c r="E11" s="19"/>
      <c r="F11" s="19"/>
      <c r="G11" s="19"/>
      <c r="H11" s="19"/>
    </row>
    <row r="12" spans="1:8" x14ac:dyDescent="0.3">
      <c r="A12" s="19"/>
      <c r="B12" s="9">
        <f>COUNT($C$8:$F$8)</f>
        <v>4</v>
      </c>
      <c r="C12" s="19"/>
      <c r="D12" s="19"/>
      <c r="E12" s="19"/>
      <c r="F12" s="19"/>
      <c r="G12" s="19"/>
      <c r="H12" s="19"/>
    </row>
    <row r="13" spans="1:8" x14ac:dyDescent="0.3">
      <c r="A13" s="19"/>
      <c r="B13" s="9" t="b">
        <f t="array" ref="B13">($C$8:$F$8=0)+($C$8:$F$8=1)=1</f>
        <v>1</v>
      </c>
      <c r="C13" s="19"/>
      <c r="D13" s="19"/>
      <c r="E13" s="19"/>
      <c r="F13" s="19"/>
      <c r="G13" s="19"/>
      <c r="H13" s="19"/>
    </row>
    <row r="14" spans="1:8" x14ac:dyDescent="0.3">
      <c r="A14" s="19"/>
      <c r="B14" s="9" t="b">
        <f t="array" ref="B14">$G$3:$G$6&gt;=1</f>
        <v>1</v>
      </c>
      <c r="C14" s="19"/>
      <c r="D14" s="19"/>
      <c r="E14" s="19"/>
      <c r="F14" s="19"/>
      <c r="G14" s="19"/>
      <c r="H14" s="19"/>
    </row>
    <row r="15" spans="1:8" x14ac:dyDescent="0.3">
      <c r="A15" s="19"/>
      <c r="B15" s="9">
        <f>{32767,32767,0.000001,0.01,TRUE,FALSE,TRUE,1,1,1,0.0001,TRUE}</f>
        <v>32767</v>
      </c>
      <c r="C15" s="19"/>
      <c r="D15" s="19"/>
      <c r="E15" s="19"/>
      <c r="F15" s="19"/>
      <c r="G15" s="19"/>
      <c r="H15" s="19"/>
    </row>
    <row r="16" spans="1:8" x14ac:dyDescent="0.3">
      <c r="A16" s="19"/>
      <c r="B16" s="9">
        <f>{0,0,2,100,0,FALSE,TRUE,0.075,0,0,FALSE,30}</f>
        <v>0</v>
      </c>
      <c r="C16" s="19"/>
      <c r="D16" s="19"/>
      <c r="E16" s="19"/>
      <c r="F16" s="19"/>
      <c r="G16" s="19"/>
      <c r="H16" s="19"/>
    </row>
    <row r="17" spans="1:8" x14ac:dyDescent="0.3">
      <c r="A17" s="19"/>
      <c r="B17" s="19"/>
      <c r="C17" s="19"/>
      <c r="D17" s="19"/>
      <c r="E17" s="19"/>
      <c r="F17" s="19"/>
      <c r="G17" s="19"/>
      <c r="H17" s="19"/>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B8032-82A0-47F3-ACBE-5C1870E7D9F5}">
  <dimension ref="A1:J24"/>
  <sheetViews>
    <sheetView topLeftCell="B1" zoomScale="104" zoomScaleNormal="130" workbookViewId="0">
      <selection activeCell="I13" sqref="I13"/>
    </sheetView>
  </sheetViews>
  <sheetFormatPr defaultColWidth="9" defaultRowHeight="13" x14ac:dyDescent="0.25"/>
  <cols>
    <col min="1" max="1" width="2.08203125" style="23" customWidth="1"/>
    <col min="2" max="2" width="10.33203125" style="23" customWidth="1"/>
    <col min="3" max="3" width="9.5" style="23" bestFit="1" customWidth="1"/>
    <col min="4" max="4" width="9.75" style="23" customWidth="1"/>
    <col min="5" max="5" width="8.5" style="23" bestFit="1" customWidth="1"/>
    <col min="6" max="6" width="10.5" style="23" bestFit="1" customWidth="1"/>
    <col min="7" max="7" width="8.5" style="23" bestFit="1" customWidth="1"/>
    <col min="8" max="8" width="8.83203125" style="23" customWidth="1"/>
    <col min="9" max="9" width="12.75" style="23" customWidth="1"/>
    <col min="10" max="10" width="2.33203125" style="23" customWidth="1"/>
    <col min="11" max="16384" width="9" style="23"/>
  </cols>
  <sheetData>
    <row r="1" spans="1:10" x14ac:dyDescent="0.25">
      <c r="A1" s="22"/>
      <c r="B1" s="22"/>
      <c r="C1" s="22"/>
      <c r="D1" s="22"/>
      <c r="E1" s="22"/>
      <c r="F1" s="22"/>
      <c r="G1" s="22"/>
      <c r="H1" s="22"/>
      <c r="I1" s="22"/>
      <c r="J1" s="22"/>
    </row>
    <row r="2" spans="1:10" ht="14" x14ac:dyDescent="0.25">
      <c r="A2" s="22"/>
      <c r="B2" s="3"/>
      <c r="C2" s="3" t="s">
        <v>51</v>
      </c>
      <c r="D2" s="3" t="s">
        <v>52</v>
      </c>
      <c r="E2" s="22"/>
      <c r="F2" s="22"/>
      <c r="G2" s="22"/>
      <c r="H2" s="22"/>
      <c r="I2" s="22"/>
      <c r="J2" s="22"/>
    </row>
    <row r="3" spans="1:10" ht="14" x14ac:dyDescent="0.25">
      <c r="A3" s="22"/>
      <c r="B3" s="3" t="s">
        <v>53</v>
      </c>
      <c r="C3" s="24">
        <v>2.5000000000000001E-2</v>
      </c>
      <c r="D3" s="25">
        <f>C3</f>
        <v>2.5000000000000001E-2</v>
      </c>
      <c r="E3" s="22"/>
      <c r="F3" s="22"/>
      <c r="G3" s="22"/>
      <c r="H3" s="22"/>
      <c r="I3" s="22"/>
      <c r="J3" s="22"/>
    </row>
    <row r="4" spans="1:10" ht="14" x14ac:dyDescent="0.25">
      <c r="A4" s="22"/>
      <c r="B4" s="3" t="s">
        <v>54</v>
      </c>
      <c r="C4" s="24">
        <v>2.7144239708273805E-2</v>
      </c>
      <c r="D4" s="25">
        <f>(1+C4)^2-1</f>
        <v>5.5025289165887781E-2</v>
      </c>
      <c r="E4" s="22"/>
      <c r="F4" s="22"/>
      <c r="G4" s="22"/>
      <c r="H4" s="22"/>
      <c r="I4" s="22"/>
      <c r="J4" s="22"/>
    </row>
    <row r="5" spans="1:10" ht="14" x14ac:dyDescent="0.25">
      <c r="A5" s="22"/>
      <c r="B5" s="3" t="s">
        <v>55</v>
      </c>
      <c r="C5" s="24">
        <v>2.9321114499931886E-2</v>
      </c>
      <c r="D5" s="25">
        <f>(1+C5)^3-1</f>
        <v>9.0567734942308187E-2</v>
      </c>
      <c r="E5" s="22"/>
      <c r="F5" s="22"/>
      <c r="G5" s="22"/>
      <c r="H5" s="22"/>
      <c r="I5" s="22"/>
      <c r="J5" s="22"/>
    </row>
    <row r="6" spans="1:10" x14ac:dyDescent="0.25">
      <c r="A6" s="22"/>
      <c r="B6" s="22"/>
      <c r="C6" s="22"/>
      <c r="D6" s="22"/>
      <c r="E6" s="22"/>
      <c r="F6" s="22"/>
      <c r="G6" s="22"/>
      <c r="H6" s="22"/>
      <c r="I6" s="22"/>
      <c r="J6" s="22"/>
    </row>
    <row r="7" spans="1:10" ht="14" x14ac:dyDescent="0.25">
      <c r="A7" s="22"/>
      <c r="B7" s="3"/>
      <c r="C7" s="4" t="s">
        <v>56</v>
      </c>
      <c r="D7" s="4" t="s">
        <v>57</v>
      </c>
      <c r="E7" s="4" t="s">
        <v>58</v>
      </c>
      <c r="F7" s="4" t="s">
        <v>59</v>
      </c>
      <c r="G7" s="4" t="s">
        <v>60</v>
      </c>
      <c r="H7" s="4" t="s">
        <v>61</v>
      </c>
      <c r="I7" s="4" t="s">
        <v>62</v>
      </c>
      <c r="J7" s="22"/>
    </row>
    <row r="8" spans="1:10" ht="14" x14ac:dyDescent="0.25">
      <c r="A8" s="22"/>
      <c r="B8" s="3" t="s">
        <v>63</v>
      </c>
      <c r="C8" s="26">
        <v>10000</v>
      </c>
      <c r="D8" s="44">
        <f>C15</f>
        <v>0</v>
      </c>
      <c r="E8" s="27">
        <f>D15</f>
        <v>1.8012939143136289E-6</v>
      </c>
      <c r="F8" s="27">
        <f>E15</f>
        <v>-9.9996816516068066E-7</v>
      </c>
      <c r="G8" s="27">
        <f t="shared" ref="G8:I8" si="0">F15</f>
        <v>0</v>
      </c>
      <c r="H8" s="27">
        <f t="shared" si="0"/>
        <v>0</v>
      </c>
      <c r="I8" s="27">
        <f t="shared" si="0"/>
        <v>2.9112086960421094E-6</v>
      </c>
      <c r="J8" s="22"/>
    </row>
    <row r="9" spans="1:10" ht="14" x14ac:dyDescent="0.25">
      <c r="A9" s="22"/>
      <c r="B9" s="3" t="s">
        <v>64</v>
      </c>
      <c r="C9" s="29"/>
      <c r="D9" s="27">
        <f>C12</f>
        <v>1.7573599164035404E-6</v>
      </c>
      <c r="E9" s="27">
        <f>D12+C13</f>
        <v>947.84457535548427</v>
      </c>
      <c r="F9" s="27">
        <f>C14+D13+E12</f>
        <v>9052.1554228871555</v>
      </c>
      <c r="G9" s="27">
        <f t="shared" ref="G9:I9" si="1">D14+E13+F12</f>
        <v>1951.2195121951218</v>
      </c>
      <c r="H9" s="27">
        <f t="shared" si="1"/>
        <v>2.7593733780009542E-6</v>
      </c>
      <c r="I9" s="27">
        <f t="shared" si="1"/>
        <v>12920.769119929313</v>
      </c>
      <c r="J9" s="22"/>
    </row>
    <row r="10" spans="1:10" ht="14" x14ac:dyDescent="0.25">
      <c r="A10" s="22"/>
      <c r="B10" s="3" t="s">
        <v>65</v>
      </c>
      <c r="C10" s="30"/>
      <c r="D10" s="27">
        <f>D9*D3</f>
        <v>4.3933997910088512E-8</v>
      </c>
      <c r="E10" s="27">
        <f>D12*D3+C13*D4</f>
        <v>52.155421843253635</v>
      </c>
      <c r="F10" s="27">
        <f>E12*$D$3+D13*$D$4+C14*$D$5</f>
        <v>819.83321299662157</v>
      </c>
      <c r="G10" s="27">
        <f t="shared" ref="G10:I10" si="2">F12*$D$3+E13*$D$4+D14*$D$5</f>
        <v>48.780487804878049</v>
      </c>
      <c r="H10" s="27">
        <f t="shared" si="2"/>
        <v>1.5183531804115508E-7</v>
      </c>
      <c r="I10" s="27">
        <f t="shared" si="2"/>
        <v>1170.2047929045186</v>
      </c>
      <c r="J10" s="22"/>
    </row>
    <row r="11" spans="1:10" ht="14" x14ac:dyDescent="0.25">
      <c r="A11" s="22"/>
      <c r="B11" s="3" t="s">
        <v>66</v>
      </c>
      <c r="C11" s="31"/>
      <c r="D11" s="31"/>
      <c r="E11" s="26">
        <v>1000</v>
      </c>
      <c r="F11" s="26">
        <v>-5000</v>
      </c>
      <c r="G11" s="26">
        <v>2000</v>
      </c>
      <c r="H11" s="31"/>
      <c r="I11" s="32" t="s">
        <v>67</v>
      </c>
      <c r="J11" s="22"/>
    </row>
    <row r="12" spans="1:10" ht="14" x14ac:dyDescent="0.25">
      <c r="A12" s="22"/>
      <c r="B12" s="3" t="s">
        <v>68</v>
      </c>
      <c r="C12" s="33">
        <v>1.7573599164035404E-6</v>
      </c>
      <c r="D12" s="33">
        <v>0</v>
      </c>
      <c r="E12" s="33">
        <v>0</v>
      </c>
      <c r="F12" s="33">
        <v>1951.2195121951218</v>
      </c>
      <c r="G12" s="33">
        <v>0</v>
      </c>
      <c r="H12" s="33">
        <v>0</v>
      </c>
      <c r="I12" s="34">
        <f>SUM(I8:I10)</f>
        <v>14090.97391574504</v>
      </c>
      <c r="J12" s="22"/>
    </row>
    <row r="13" spans="1:10" ht="14" x14ac:dyDescent="0.25">
      <c r="A13" s="22"/>
      <c r="B13" s="3" t="s">
        <v>69</v>
      </c>
      <c r="C13" s="33">
        <v>947.84457535548427</v>
      </c>
      <c r="D13" s="33">
        <v>0</v>
      </c>
      <c r="E13" s="33">
        <v>0</v>
      </c>
      <c r="F13" s="33">
        <v>2.7593733780009542E-6</v>
      </c>
      <c r="G13" s="33">
        <v>0</v>
      </c>
      <c r="H13" s="35"/>
      <c r="I13" s="22"/>
      <c r="J13" s="22"/>
    </row>
    <row r="14" spans="1:10" ht="14" x14ac:dyDescent="0.25">
      <c r="A14" s="22"/>
      <c r="B14" s="3" t="s">
        <v>70</v>
      </c>
      <c r="C14" s="33">
        <v>9052.1554228871555</v>
      </c>
      <c r="D14" s="33">
        <v>0</v>
      </c>
      <c r="E14" s="33">
        <v>0</v>
      </c>
      <c r="F14" s="33">
        <v>12920.769119929313</v>
      </c>
      <c r="G14" s="29"/>
      <c r="H14" s="35"/>
      <c r="I14" s="22"/>
      <c r="J14" s="22"/>
    </row>
    <row r="15" spans="1:10" ht="14" x14ac:dyDescent="0.25">
      <c r="A15" s="22"/>
      <c r="B15" s="3" t="s">
        <v>71</v>
      </c>
      <c r="C15" s="28">
        <f>C8-SUM(C12:C14)</f>
        <v>0</v>
      </c>
      <c r="D15" s="28">
        <f>SUM(D8:D10)-SUM(D12:D14)</f>
        <v>1.8012939143136289E-6</v>
      </c>
      <c r="E15" s="28">
        <f>SUM(E8:E10)-SUM(E11:E14)</f>
        <v>-9.9996816516068066E-7</v>
      </c>
      <c r="F15" s="28">
        <f t="shared" ref="F15" si="3">SUM(F8:F10)-SUM(F11:F14)</f>
        <v>0</v>
      </c>
      <c r="G15" s="28">
        <f>SUM(G8:G10)-SUM(G11:G13)</f>
        <v>0</v>
      </c>
      <c r="H15" s="28">
        <f>SUM(H8:H10)-SUM(H12:H12)</f>
        <v>2.9112086960421094E-6</v>
      </c>
      <c r="I15" s="22"/>
      <c r="J15" s="22"/>
    </row>
    <row r="16" spans="1:10" x14ac:dyDescent="0.25">
      <c r="A16" s="22"/>
      <c r="B16" s="22"/>
      <c r="C16" s="22"/>
      <c r="D16" s="22"/>
      <c r="E16" s="22"/>
      <c r="F16" s="22"/>
      <c r="G16" s="22"/>
      <c r="H16" s="22"/>
      <c r="I16" s="22"/>
      <c r="J16" s="22"/>
    </row>
    <row r="17" spans="1:10" ht="14" x14ac:dyDescent="0.25">
      <c r="A17" s="22"/>
      <c r="B17" s="36">
        <f>MAX($I$12)</f>
        <v>14090.97391574504</v>
      </c>
      <c r="C17" s="22"/>
      <c r="D17" s="22"/>
      <c r="E17" s="22"/>
      <c r="F17" s="22"/>
      <c r="G17" s="22"/>
      <c r="H17" s="22"/>
      <c r="I17" s="22"/>
      <c r="J17" s="22"/>
    </row>
    <row r="18" spans="1:10" ht="14" x14ac:dyDescent="0.25">
      <c r="A18" s="22"/>
      <c r="B18" s="9">
        <f>COUNT($C$12:$H$12,$C$13:$G$13,$C$14:$F$14)</f>
        <v>15</v>
      </c>
      <c r="C18" s="22"/>
      <c r="D18" s="22"/>
      <c r="E18" s="22"/>
      <c r="F18" s="22"/>
      <c r="G18" s="22"/>
      <c r="H18" s="22"/>
      <c r="I18" s="22"/>
      <c r="J18" s="22"/>
    </row>
    <row r="19" spans="1:10" ht="14" x14ac:dyDescent="0.25">
      <c r="A19" s="22"/>
      <c r="B19" s="9" t="b">
        <f t="array" ref="B19">$C$15:$H$15&gt;=0</f>
        <v>1</v>
      </c>
      <c r="C19" s="22"/>
      <c r="D19" s="22"/>
      <c r="E19" s="22"/>
      <c r="F19" s="22"/>
      <c r="G19" s="22"/>
      <c r="H19" s="22"/>
      <c r="I19" s="22"/>
      <c r="J19" s="22"/>
    </row>
    <row r="20" spans="1:10" ht="14" x14ac:dyDescent="0.25">
      <c r="A20" s="22"/>
      <c r="B20" s="9">
        <f>{32767,32767,0.000001,0.01,FALSE,FALSE,TRUE,1,1,1,0.0001,TRUE}</f>
        <v>32767</v>
      </c>
      <c r="C20" s="22"/>
      <c r="D20" s="22"/>
      <c r="E20" s="22"/>
      <c r="F20" s="22"/>
      <c r="G20" s="22"/>
      <c r="H20" s="22"/>
      <c r="I20" s="22"/>
      <c r="J20" s="22"/>
    </row>
    <row r="21" spans="1:10" ht="14" x14ac:dyDescent="0.25">
      <c r="A21" s="22"/>
      <c r="B21" s="9">
        <f>{0,0,1,100,0,FALSE,TRUE,0.075,0,0,FALSE,30}</f>
        <v>0</v>
      </c>
      <c r="C21" s="22"/>
      <c r="D21" s="22"/>
      <c r="E21" s="22"/>
      <c r="F21" s="22"/>
      <c r="G21" s="22"/>
      <c r="H21" s="22"/>
      <c r="I21" s="22"/>
      <c r="J21" s="22"/>
    </row>
    <row r="22" spans="1:10" ht="14" x14ac:dyDescent="0.25">
      <c r="A22" s="22"/>
      <c r="B22" s="9"/>
      <c r="C22" s="22"/>
      <c r="D22" s="22"/>
      <c r="E22" s="22"/>
      <c r="F22" s="22"/>
      <c r="G22" s="22"/>
      <c r="H22" s="22"/>
      <c r="I22" s="22"/>
      <c r="J22" s="22"/>
    </row>
    <row r="23" spans="1:10" ht="14" x14ac:dyDescent="0.25">
      <c r="A23" s="22"/>
      <c r="B23" s="9"/>
      <c r="C23" s="22"/>
      <c r="D23" s="22"/>
      <c r="E23" s="22"/>
      <c r="F23" s="22"/>
      <c r="G23" s="22"/>
      <c r="H23" s="22"/>
      <c r="I23" s="22"/>
      <c r="J23" s="22"/>
    </row>
    <row r="24" spans="1:10" x14ac:dyDescent="0.25">
      <c r="A24" s="22"/>
      <c r="B24" s="22"/>
      <c r="C24" s="22"/>
      <c r="D24" s="22"/>
      <c r="E24" s="22"/>
      <c r="F24" s="22"/>
      <c r="G24" s="22"/>
      <c r="H24" s="22"/>
      <c r="I24" s="22"/>
      <c r="J24" s="22"/>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573A-B149-4F10-BE33-B0A5E14FCCCA}">
  <dimension ref="A1:I27"/>
  <sheetViews>
    <sheetView workbookViewId="0">
      <selection activeCell="M28" sqref="M28"/>
    </sheetView>
  </sheetViews>
  <sheetFormatPr defaultColWidth="9" defaultRowHeight="13" x14ac:dyDescent="0.25"/>
  <cols>
    <col min="1" max="1" width="2.08203125" style="38" customWidth="1"/>
    <col min="2" max="2" width="13" style="38" bestFit="1" customWidth="1"/>
    <col min="3" max="3" width="11.25" style="38" bestFit="1" customWidth="1"/>
    <col min="4" max="8" width="9.25" style="38" customWidth="1"/>
    <col min="9" max="9" width="2.08203125" style="38" customWidth="1"/>
    <col min="10" max="16384" width="9" style="38"/>
  </cols>
  <sheetData>
    <row r="1" spans="1:9" x14ac:dyDescent="0.25">
      <c r="A1" s="37"/>
      <c r="B1" s="37"/>
      <c r="C1" s="37"/>
      <c r="D1" s="37"/>
      <c r="E1" s="37"/>
      <c r="F1" s="37"/>
      <c r="G1" s="37"/>
      <c r="H1" s="37"/>
      <c r="I1" s="37"/>
    </row>
    <row r="2" spans="1:9" ht="14" x14ac:dyDescent="0.25">
      <c r="A2" s="37"/>
      <c r="B2" s="3" t="s">
        <v>72</v>
      </c>
      <c r="C2" s="26">
        <v>6000</v>
      </c>
      <c r="D2" s="37"/>
      <c r="E2" s="37"/>
      <c r="F2" s="37"/>
      <c r="G2" s="37"/>
      <c r="H2" s="37"/>
      <c r="I2" s="37"/>
    </row>
    <row r="3" spans="1:9" ht="14" x14ac:dyDescent="0.25">
      <c r="A3" s="37"/>
      <c r="B3" s="3" t="s">
        <v>73</v>
      </c>
      <c r="C3" s="26">
        <v>1500</v>
      </c>
      <c r="D3" s="37"/>
      <c r="E3" s="37"/>
      <c r="F3" s="37"/>
      <c r="G3" s="37"/>
      <c r="H3" s="37"/>
      <c r="I3" s="37"/>
    </row>
    <row r="4" spans="1:9" ht="14" x14ac:dyDescent="0.25">
      <c r="A4" s="37"/>
      <c r="B4" s="3" t="s">
        <v>74</v>
      </c>
      <c r="C4" s="24">
        <v>1.4999999999999999E-2</v>
      </c>
      <c r="D4" s="37"/>
      <c r="E4" s="37"/>
      <c r="F4" s="37"/>
      <c r="G4" s="37"/>
      <c r="H4" s="37"/>
      <c r="I4" s="37"/>
    </row>
    <row r="5" spans="1:9" ht="14" x14ac:dyDescent="0.25">
      <c r="A5" s="37"/>
      <c r="B5" s="3" t="s">
        <v>75</v>
      </c>
      <c r="C5" s="26">
        <v>2750</v>
      </c>
      <c r="D5" s="37"/>
      <c r="E5" s="37"/>
      <c r="F5" s="37"/>
      <c r="G5" s="37"/>
      <c r="H5" s="37"/>
      <c r="I5" s="37"/>
    </row>
    <row r="6" spans="1:9" x14ac:dyDescent="0.25">
      <c r="A6" s="37"/>
      <c r="B6" s="37"/>
      <c r="C6" s="37"/>
      <c r="D6" s="37"/>
      <c r="E6" s="37"/>
      <c r="F6" s="37"/>
      <c r="G6" s="37"/>
      <c r="H6" s="37"/>
      <c r="I6" s="37"/>
    </row>
    <row r="7" spans="1:9" ht="14" x14ac:dyDescent="0.25">
      <c r="A7" s="37"/>
      <c r="B7" s="3"/>
      <c r="C7" s="4" t="s">
        <v>76</v>
      </c>
      <c r="D7" s="4" t="s">
        <v>77</v>
      </c>
      <c r="E7" s="4" t="s">
        <v>78</v>
      </c>
      <c r="F7" s="4" t="s">
        <v>79</v>
      </c>
      <c r="G7" s="4" t="s">
        <v>80</v>
      </c>
      <c r="H7" s="4" t="s">
        <v>81</v>
      </c>
      <c r="I7" s="37"/>
    </row>
    <row r="8" spans="1:9" ht="14" x14ac:dyDescent="0.25">
      <c r="A8" s="37"/>
      <c r="B8" s="3" t="s">
        <v>82</v>
      </c>
      <c r="C8" s="26">
        <v>1000</v>
      </c>
      <c r="D8" s="26">
        <v>4500</v>
      </c>
      <c r="E8" s="26">
        <v>6000</v>
      </c>
      <c r="F8" s="26">
        <v>5500</v>
      </c>
      <c r="G8" s="26">
        <v>3500</v>
      </c>
      <c r="H8" s="26">
        <v>4000</v>
      </c>
      <c r="I8" s="37"/>
    </row>
    <row r="9" spans="1:9" ht="14" x14ac:dyDescent="0.25">
      <c r="A9" s="37"/>
      <c r="B9" s="3" t="s">
        <v>83</v>
      </c>
      <c r="C9" s="45">
        <f>C5</f>
        <v>2750</v>
      </c>
      <c r="D9" s="45">
        <f>C13</f>
        <v>5750</v>
      </c>
      <c r="E9" s="45">
        <f t="shared" ref="E9:H9" si="0">D13</f>
        <v>4750</v>
      </c>
      <c r="F9" s="45">
        <f t="shared" si="0"/>
        <v>2750</v>
      </c>
      <c r="G9" s="45">
        <f t="shared" si="0"/>
        <v>1500</v>
      </c>
      <c r="H9" s="45">
        <f t="shared" si="0"/>
        <v>2000</v>
      </c>
      <c r="I9" s="37"/>
    </row>
    <row r="10" spans="1:9" ht="14" x14ac:dyDescent="0.25">
      <c r="A10" s="37"/>
      <c r="B10" s="3" t="s">
        <v>84</v>
      </c>
      <c r="C10" s="39">
        <v>4000</v>
      </c>
      <c r="D10" s="39">
        <v>3500</v>
      </c>
      <c r="E10" s="39">
        <v>4000</v>
      </c>
      <c r="F10" s="39">
        <v>4250</v>
      </c>
      <c r="G10" s="39">
        <v>4000</v>
      </c>
      <c r="H10" s="39">
        <v>3500</v>
      </c>
      <c r="I10" s="37"/>
    </row>
    <row r="11" spans="1:9" ht="14" x14ac:dyDescent="0.25">
      <c r="A11" s="37"/>
      <c r="B11" s="3" t="s">
        <v>85</v>
      </c>
      <c r="C11" s="26">
        <v>4000</v>
      </c>
      <c r="D11" s="26">
        <v>3500</v>
      </c>
      <c r="E11" s="26">
        <v>4000</v>
      </c>
      <c r="F11" s="26">
        <v>4500</v>
      </c>
      <c r="G11" s="26">
        <v>4000</v>
      </c>
      <c r="H11" s="26">
        <v>3500</v>
      </c>
      <c r="I11" s="37"/>
    </row>
    <row r="12" spans="1:9" ht="14" x14ac:dyDescent="0.25">
      <c r="A12" s="37"/>
      <c r="B12" s="3" t="s">
        <v>86</v>
      </c>
      <c r="C12" s="12">
        <f>0.5*C11</f>
        <v>2000</v>
      </c>
      <c r="D12" s="12">
        <f t="shared" ref="D12:H12" si="1">0.5*D11</f>
        <v>1750</v>
      </c>
      <c r="E12" s="12">
        <f t="shared" si="1"/>
        <v>2000</v>
      </c>
      <c r="F12" s="12">
        <f t="shared" si="1"/>
        <v>2250</v>
      </c>
      <c r="G12" s="12">
        <f t="shared" si="1"/>
        <v>2000</v>
      </c>
      <c r="H12" s="12">
        <f t="shared" si="1"/>
        <v>1750</v>
      </c>
      <c r="I12" s="37"/>
    </row>
    <row r="13" spans="1:9" ht="14" x14ac:dyDescent="0.25">
      <c r="A13" s="37"/>
      <c r="B13" s="3" t="s">
        <v>87</v>
      </c>
      <c r="C13" s="45">
        <f>C9+C10-C8</f>
        <v>5750</v>
      </c>
      <c r="D13" s="45">
        <f t="shared" ref="D13:H13" si="2">D9+D10-D8</f>
        <v>4750</v>
      </c>
      <c r="E13" s="45">
        <f t="shared" si="2"/>
        <v>2750</v>
      </c>
      <c r="F13" s="45">
        <f t="shared" si="2"/>
        <v>1500</v>
      </c>
      <c r="G13" s="45">
        <f t="shared" si="2"/>
        <v>2000</v>
      </c>
      <c r="H13" s="45">
        <f t="shared" si="2"/>
        <v>1500</v>
      </c>
      <c r="I13" s="37"/>
    </row>
    <row r="14" spans="1:9" ht="14" x14ac:dyDescent="0.25">
      <c r="A14" s="37"/>
      <c r="B14" s="3" t="s">
        <v>88</v>
      </c>
      <c r="C14" s="12">
        <f>(C9+C13)/2</f>
        <v>4250</v>
      </c>
      <c r="D14" s="12">
        <f t="shared" ref="D14:H14" si="3">(D9+D13)/2</f>
        <v>5250</v>
      </c>
      <c r="E14" s="12">
        <f t="shared" si="3"/>
        <v>3750</v>
      </c>
      <c r="F14" s="12">
        <f t="shared" si="3"/>
        <v>2125</v>
      </c>
      <c r="G14" s="12">
        <f t="shared" si="3"/>
        <v>1750</v>
      </c>
      <c r="H14" s="12">
        <f t="shared" si="3"/>
        <v>1750</v>
      </c>
      <c r="I14" s="37"/>
    </row>
    <row r="15" spans="1:9" ht="14" x14ac:dyDescent="0.25">
      <c r="A15" s="37"/>
      <c r="B15" s="3" t="s">
        <v>89</v>
      </c>
      <c r="C15" s="26">
        <v>240</v>
      </c>
      <c r="D15" s="26">
        <v>250</v>
      </c>
      <c r="E15" s="26">
        <v>265</v>
      </c>
      <c r="F15" s="26">
        <v>285</v>
      </c>
      <c r="G15" s="26">
        <v>280</v>
      </c>
      <c r="H15" s="26">
        <v>260</v>
      </c>
      <c r="I15" s="37"/>
    </row>
    <row r="16" spans="1:9" ht="14" x14ac:dyDescent="0.25">
      <c r="A16" s="37"/>
      <c r="B16" s="3" t="s">
        <v>90</v>
      </c>
      <c r="C16" s="27">
        <f>C15*$C$4</f>
        <v>3.5999999999999996</v>
      </c>
      <c r="D16" s="27">
        <f t="shared" ref="D16:H16" si="4">D15*$C$4</f>
        <v>3.75</v>
      </c>
      <c r="E16" s="27">
        <f t="shared" si="4"/>
        <v>3.9749999999999996</v>
      </c>
      <c r="F16" s="27">
        <f t="shared" si="4"/>
        <v>4.2749999999999995</v>
      </c>
      <c r="G16" s="27">
        <f t="shared" si="4"/>
        <v>4.2</v>
      </c>
      <c r="H16" s="27">
        <f t="shared" si="4"/>
        <v>3.9</v>
      </c>
      <c r="I16" s="37"/>
    </row>
    <row r="17" spans="1:9" ht="14" x14ac:dyDescent="0.25">
      <c r="A17" s="37"/>
      <c r="B17" s="3" t="s">
        <v>91</v>
      </c>
      <c r="C17" s="40" cm="1">
        <f t="array" ref="C17">SUM(C10:H10*C15:H15)+SUM(C16:H16*C14:H14)</f>
        <v>6209403.125</v>
      </c>
      <c r="D17" s="37"/>
      <c r="E17" s="37"/>
      <c r="F17" s="37"/>
      <c r="G17" s="37"/>
      <c r="H17" s="37"/>
      <c r="I17" s="37"/>
    </row>
    <row r="18" spans="1:9" x14ac:dyDescent="0.25">
      <c r="A18" s="37"/>
      <c r="B18" s="37"/>
      <c r="C18" s="37"/>
      <c r="D18" s="37"/>
      <c r="E18" s="37"/>
      <c r="F18" s="37"/>
      <c r="G18" s="37"/>
      <c r="H18" s="37"/>
      <c r="I18" s="37"/>
    </row>
    <row r="19" spans="1:9" ht="14" x14ac:dyDescent="0.25">
      <c r="A19" s="37"/>
      <c r="B19" s="36">
        <f>MIN($C$17)</f>
        <v>6209403.125</v>
      </c>
      <c r="C19" s="37"/>
      <c r="D19" s="37"/>
      <c r="E19" s="37"/>
      <c r="F19" s="37"/>
      <c r="G19" s="37"/>
      <c r="H19" s="37"/>
      <c r="I19" s="37"/>
    </row>
    <row r="20" spans="1:9" ht="14" x14ac:dyDescent="0.25">
      <c r="A20" s="37"/>
      <c r="B20" s="9">
        <f>COUNT($C$10:$H$10)</f>
        <v>6</v>
      </c>
      <c r="C20" s="37"/>
      <c r="D20" s="37"/>
      <c r="E20" s="37"/>
      <c r="F20" s="37"/>
      <c r="G20" s="37"/>
      <c r="H20" s="37"/>
      <c r="I20" s="37"/>
    </row>
    <row r="21" spans="1:9" ht="14" x14ac:dyDescent="0.25">
      <c r="A21" s="37"/>
      <c r="B21" s="9" t="b">
        <f t="array" ref="B21">$C$10:$H$10&lt;=$C$11:$H$11</f>
        <v>1</v>
      </c>
      <c r="C21" s="37"/>
      <c r="D21" s="37"/>
      <c r="E21" s="37"/>
      <c r="F21" s="37"/>
      <c r="G21" s="37"/>
      <c r="H21" s="37"/>
      <c r="I21" s="37"/>
    </row>
    <row r="22" spans="1:9" ht="14" x14ac:dyDescent="0.25">
      <c r="A22" s="37"/>
      <c r="B22" s="9" t="b">
        <f t="array" ref="B22">$C$10:$H$10=INT($C$10:$H$10)</f>
        <v>1</v>
      </c>
      <c r="C22" s="37"/>
      <c r="D22" s="37"/>
      <c r="E22" s="37"/>
      <c r="F22" s="37"/>
      <c r="G22" s="37"/>
      <c r="H22" s="37"/>
      <c r="I22" s="37"/>
    </row>
    <row r="23" spans="1:9" ht="14" x14ac:dyDescent="0.25">
      <c r="A23" s="37"/>
      <c r="B23" s="9" t="b">
        <f t="array" ref="B23">$C$10:$H$10&gt;=$C$12:$H$12</f>
        <v>1</v>
      </c>
      <c r="C23" s="37"/>
      <c r="D23" s="37"/>
      <c r="E23" s="37"/>
      <c r="F23" s="37"/>
      <c r="G23" s="37"/>
      <c r="H23" s="37"/>
      <c r="I23" s="37"/>
    </row>
    <row r="24" spans="1:9" ht="14" x14ac:dyDescent="0.25">
      <c r="A24" s="37"/>
      <c r="B24" s="9" t="b">
        <f t="array" ref="B24">$C$14:$H$14&lt;=$C$2</f>
        <v>1</v>
      </c>
      <c r="C24" s="37"/>
      <c r="D24" s="37"/>
      <c r="E24" s="37"/>
      <c r="F24" s="37"/>
      <c r="G24" s="37"/>
      <c r="H24" s="37"/>
      <c r="I24" s="37"/>
    </row>
    <row r="25" spans="1:9" ht="14" x14ac:dyDescent="0.25">
      <c r="A25" s="37"/>
      <c r="B25" s="9" t="b">
        <f t="array" ref="B25">$C$14:$H$14&gt;=$C$3</f>
        <v>1</v>
      </c>
      <c r="C25" s="37"/>
      <c r="D25" s="37"/>
      <c r="E25" s="37"/>
      <c r="F25" s="37"/>
      <c r="G25" s="37"/>
      <c r="H25" s="37"/>
      <c r="I25" s="37"/>
    </row>
    <row r="26" spans="1:9" ht="14" x14ac:dyDescent="0.25">
      <c r="A26" s="37"/>
      <c r="B26" s="36">
        <f>{32767,32767,0.000001,0.01,FALSE,FALSE,TRUE,1,1,1,0.0001,TRUE}</f>
        <v>32767</v>
      </c>
      <c r="C26" s="37"/>
      <c r="D26" s="37"/>
      <c r="E26" s="37"/>
      <c r="F26" s="37"/>
      <c r="G26" s="37"/>
      <c r="H26" s="37"/>
      <c r="I26" s="37"/>
    </row>
    <row r="27" spans="1:9" x14ac:dyDescent="0.25">
      <c r="A27" s="37"/>
      <c r="B27" s="37">
        <f>{0,0,1,100,0,FALSE,TRUE,0.075,0,0,FALSE,30}</f>
        <v>0</v>
      </c>
      <c r="C27" s="37"/>
      <c r="D27" s="37"/>
      <c r="E27" s="37"/>
      <c r="F27" s="37"/>
      <c r="G27" s="37"/>
      <c r="H27" s="37"/>
      <c r="I27" s="37"/>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A6DF-8757-428E-ABDD-75239728EE0D}">
  <dimension ref="A1:G35"/>
  <sheetViews>
    <sheetView tabSelected="1" zoomScale="145" zoomScaleNormal="145" workbookViewId="0">
      <selection activeCell="E23" sqref="E23"/>
    </sheetView>
  </sheetViews>
  <sheetFormatPr defaultColWidth="9" defaultRowHeight="13" x14ac:dyDescent="0.25"/>
  <cols>
    <col min="1" max="1" width="2.25" style="38" customWidth="1"/>
    <col min="2" max="2" width="10.08203125" style="38" customWidth="1"/>
    <col min="3" max="3" width="10.33203125" style="38" customWidth="1"/>
    <col min="4" max="6" width="9" style="38"/>
    <col min="7" max="7" width="2.25" style="38" customWidth="1"/>
    <col min="8" max="16384" width="9" style="38"/>
  </cols>
  <sheetData>
    <row r="1" spans="1:7" x14ac:dyDescent="0.25">
      <c r="A1" s="37"/>
      <c r="B1" s="37"/>
      <c r="C1" s="37"/>
      <c r="D1" s="37"/>
      <c r="E1" s="37"/>
      <c r="F1" s="37"/>
      <c r="G1" s="37"/>
    </row>
    <row r="2" spans="1:7" ht="14" x14ac:dyDescent="0.25">
      <c r="A2" s="37"/>
      <c r="B2" s="3"/>
      <c r="C2" s="3" t="s">
        <v>92</v>
      </c>
      <c r="D2" s="3" t="s">
        <v>93</v>
      </c>
      <c r="E2" s="3" t="s">
        <v>13</v>
      </c>
      <c r="F2" s="3" t="s">
        <v>94</v>
      </c>
      <c r="G2" s="37"/>
    </row>
    <row r="3" spans="1:7" ht="14" x14ac:dyDescent="0.25">
      <c r="A3" s="37"/>
      <c r="B3" s="3" t="s">
        <v>16</v>
      </c>
      <c r="C3" s="26">
        <v>3</v>
      </c>
      <c r="D3" s="26">
        <v>7</v>
      </c>
      <c r="E3" s="40">
        <f>C3*$C$7+D3*$D$7</f>
        <v>259</v>
      </c>
      <c r="F3" s="26">
        <v>300</v>
      </c>
      <c r="G3" s="37"/>
    </row>
    <row r="4" spans="1:7" ht="14" x14ac:dyDescent="0.25">
      <c r="A4" s="37"/>
      <c r="B4" s="3" t="s">
        <v>17</v>
      </c>
      <c r="C4" s="26">
        <v>4</v>
      </c>
      <c r="D4" s="26">
        <v>5</v>
      </c>
      <c r="E4" s="40">
        <f t="shared" ref="E4:E5" si="0">C4*$C$7+D4*$D$7</f>
        <v>250</v>
      </c>
      <c r="F4" s="26">
        <v>250</v>
      </c>
      <c r="G4" s="37"/>
    </row>
    <row r="5" spans="1:7" ht="14" x14ac:dyDescent="0.25">
      <c r="A5" s="37"/>
      <c r="B5" s="3" t="s">
        <v>18</v>
      </c>
      <c r="C5" s="26">
        <v>9</v>
      </c>
      <c r="D5" s="26">
        <v>4</v>
      </c>
      <c r="E5" s="40">
        <f t="shared" si="0"/>
        <v>403</v>
      </c>
      <c r="F5" s="26">
        <v>420</v>
      </c>
      <c r="G5" s="37"/>
    </row>
    <row r="6" spans="1:7" ht="14" x14ac:dyDescent="0.25">
      <c r="A6" s="37"/>
      <c r="B6" s="3" t="s">
        <v>8</v>
      </c>
      <c r="C6" s="26">
        <v>12</v>
      </c>
      <c r="D6" s="26">
        <v>15</v>
      </c>
      <c r="E6" s="37"/>
      <c r="F6" s="37"/>
      <c r="G6" s="37"/>
    </row>
    <row r="7" spans="1:7" ht="14" x14ac:dyDescent="0.25">
      <c r="A7" s="37"/>
      <c r="B7" s="3" t="s">
        <v>9</v>
      </c>
      <c r="C7" s="39">
        <v>35</v>
      </c>
      <c r="D7" s="39">
        <v>22</v>
      </c>
      <c r="E7" s="37"/>
      <c r="F7" s="37"/>
      <c r="G7" s="37"/>
    </row>
    <row r="8" spans="1:7" ht="14" x14ac:dyDescent="0.25">
      <c r="A8" s="37"/>
      <c r="B8" s="3" t="s">
        <v>10</v>
      </c>
      <c r="C8" s="40">
        <f>C6*C7+D6*D7</f>
        <v>750</v>
      </c>
      <c r="D8" s="37"/>
      <c r="E8" s="37"/>
      <c r="F8" s="37"/>
      <c r="G8" s="37"/>
    </row>
    <row r="9" spans="1:7" x14ac:dyDescent="0.25">
      <c r="A9" s="37"/>
      <c r="B9" s="37"/>
      <c r="C9" s="37"/>
      <c r="D9" s="37"/>
      <c r="E9" s="37"/>
      <c r="F9" s="37"/>
      <c r="G9" s="37"/>
    </row>
    <row r="10" spans="1:7" ht="14" x14ac:dyDescent="0.25">
      <c r="A10" s="37"/>
      <c r="B10" s="46" t="s">
        <v>95</v>
      </c>
      <c r="C10" s="47"/>
      <c r="D10" s="37"/>
      <c r="E10" s="37"/>
      <c r="F10" s="37"/>
      <c r="G10" s="37"/>
    </row>
    <row r="11" spans="1:7" ht="14" x14ac:dyDescent="0.25">
      <c r="A11" s="37"/>
      <c r="B11" s="12" t="s">
        <v>96</v>
      </c>
      <c r="C11" s="12" t="s">
        <v>97</v>
      </c>
      <c r="D11" s="37"/>
      <c r="E11" s="37"/>
      <c r="F11" s="37"/>
      <c r="G11" s="37"/>
    </row>
    <row r="12" spans="1:7" ht="14" x14ac:dyDescent="0.25">
      <c r="A12" s="37"/>
      <c r="B12" s="41">
        <f>MAX($C$8)</f>
        <v>750</v>
      </c>
      <c r="C12" s="41">
        <f>MIN($E$3)</f>
        <v>259</v>
      </c>
      <c r="D12" s="37"/>
      <c r="E12" s="37"/>
      <c r="F12" s="37"/>
      <c r="G12" s="37"/>
    </row>
    <row r="13" spans="1:7" ht="14" x14ac:dyDescent="0.25">
      <c r="A13" s="37"/>
      <c r="B13" s="9">
        <f>COUNT($C$7:$D$7)</f>
        <v>2</v>
      </c>
      <c r="C13" s="9">
        <f>COUNT($C$7:$D$7)</f>
        <v>2</v>
      </c>
      <c r="D13" s="37"/>
      <c r="E13" s="37"/>
      <c r="F13" s="37"/>
      <c r="G13" s="37"/>
    </row>
    <row r="14" spans="1:7" ht="14" x14ac:dyDescent="0.25">
      <c r="A14" s="37"/>
      <c r="B14" s="9" t="b">
        <f t="array" ref="B14">$C$7:$D$7=INT($C$7:$D$7)</f>
        <v>1</v>
      </c>
      <c r="C14" s="9" t="b">
        <f t="array" ref="C14">$C$7:$D$7=INT($C$7:$D$7)</f>
        <v>1</v>
      </c>
      <c r="D14" s="37"/>
      <c r="E14" s="37"/>
      <c r="F14" s="37"/>
      <c r="G14" s="37"/>
    </row>
    <row r="15" spans="1:7" ht="14" x14ac:dyDescent="0.25">
      <c r="A15" s="37"/>
      <c r="B15" s="9" t="b">
        <f t="array" ref="B15">$E$3:$E$5&lt;=$F$3:$F$5</f>
        <v>1</v>
      </c>
      <c r="C15" s="9" t="b">
        <f>$C$8=750</f>
        <v>1</v>
      </c>
      <c r="D15" s="37"/>
      <c r="E15" s="37"/>
      <c r="F15" s="37"/>
      <c r="G15" s="37"/>
    </row>
    <row r="16" spans="1:7" ht="14" x14ac:dyDescent="0.25">
      <c r="A16" s="37"/>
      <c r="B16" s="9">
        <f>{32767,32767,0.000001,0.01,TRUE,FALSE,TRUE,1,1,1,0.0001,TRUE}</f>
        <v>32767</v>
      </c>
      <c r="C16" s="9" t="b">
        <f t="array" ref="C16">$E$3:$E$5&lt;=$F$3:$F$5</f>
        <v>1</v>
      </c>
      <c r="D16" s="37"/>
      <c r="E16" s="37"/>
      <c r="F16" s="37"/>
      <c r="G16" s="37"/>
    </row>
    <row r="17" spans="1:7" ht="14" x14ac:dyDescent="0.25">
      <c r="A17" s="37"/>
      <c r="B17" s="37">
        <f>{0,0,2,100,0,FALSE,TRUE,0.075,0,0,FALSE,30}</f>
        <v>0</v>
      </c>
      <c r="C17" s="9">
        <f>{32767,32767,0.000001,0.01,TRUE,FALSE,TRUE,1,1,1,0.0001,TRUE}</f>
        <v>32767</v>
      </c>
      <c r="D17" s="37"/>
      <c r="E17" s="37"/>
      <c r="F17" s="37"/>
      <c r="G17" s="37"/>
    </row>
    <row r="18" spans="1:7" x14ac:dyDescent="0.25">
      <c r="A18" s="37"/>
      <c r="B18" s="37"/>
      <c r="C18" s="37">
        <f>{0,0,2,100,0,FALSE,TRUE,0.075,0,0,FALSE,30}</f>
        <v>0</v>
      </c>
      <c r="D18" s="37"/>
      <c r="E18" s="37"/>
      <c r="F18" s="37"/>
      <c r="G18" s="37"/>
    </row>
    <row r="19" spans="1:7" ht="13.5" x14ac:dyDescent="0.3">
      <c r="C19" s="42"/>
      <c r="D19" s="42"/>
    </row>
    <row r="23" spans="1:7" ht="13.5" x14ac:dyDescent="0.3">
      <c r="C23" s="42"/>
      <c r="D23" s="42"/>
    </row>
    <row r="27" spans="1:7" ht="13.5" x14ac:dyDescent="0.3">
      <c r="C27" s="42"/>
      <c r="D27" s="42"/>
    </row>
    <row r="31" spans="1:7" ht="13.5" x14ac:dyDescent="0.3">
      <c r="C31" s="42"/>
      <c r="D31" s="42"/>
    </row>
    <row r="35" spans="2:2" x14ac:dyDescent="0.25">
      <c r="B35" s="43"/>
    </row>
  </sheetData>
  <mergeCells count="1">
    <mergeCell ref="B10:C10"/>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1</vt:lpstr>
      <vt:lpstr>2</vt:lpstr>
      <vt:lpstr>3</vt:lpstr>
      <vt:lpstr>4</vt:lpstr>
      <vt:lpstr>5</vt:lpstr>
      <vt:lpstr>6</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bin jiao</cp:lastModifiedBy>
  <dcterms:created xsi:type="dcterms:W3CDTF">2021-12-09T10:39:40Z</dcterms:created>
  <dcterms:modified xsi:type="dcterms:W3CDTF">2025-12-22T14:25:42Z</dcterms:modified>
</cp:coreProperties>
</file>