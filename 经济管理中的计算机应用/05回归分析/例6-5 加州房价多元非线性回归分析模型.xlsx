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8da5265628b68d8/Desktop/1-财经管理中的计算机应用第五版-0406启动/0-第五版/1-第五版PPT^0数据源^0例题-0722/3-第五版例题答案-0722/第六章例题答案/"/>
    </mc:Choice>
  </mc:AlternateContent>
  <xr:revisionPtr revIDLastSave="0" documentId="13_ncr:1_{D56E8F55-171F-4669-B75B-A5D7A8B61E66}" xr6:coauthVersionLast="47" xr6:coauthVersionMax="47" xr10:uidLastSave="{00000000-0000-0000-0000-000000000000}"/>
  <bookViews>
    <workbookView xWindow="22932" yWindow="-108" windowWidth="23256" windowHeight="12456" tabRatio="671" firstSheet="1" activeTab="5" xr2:uid="{00000000-000D-0000-FFFF-FFFF00000000}"/>
  </bookViews>
  <sheets>
    <sheet name="例6-5" sheetId="24" r:id="rId1"/>
    <sheet name="California_Houses_200_3 " sheetId="2" r:id="rId2"/>
    <sheet name="summary_table" sheetId="3" r:id="rId3"/>
    <sheet name="（一）回归报告法ia_Houses_200_3_reg" sheetId="1" r:id="rId4"/>
    <sheet name="（二）规划求解法" sheetId="26" r:id="rId5"/>
    <sheet name="X1,X2,X3,X1²,X1³" sheetId="18" r:id="rId6"/>
    <sheet name="X1" sheetId="9" r:id="rId7"/>
    <sheet name="X2" sheetId="8" r:id="rId8"/>
    <sheet name="X3" sheetId="5" r:id="rId9"/>
    <sheet name="X1,X2" sheetId="10" r:id="rId10"/>
    <sheet name="X1,X3" sheetId="11" r:id="rId11"/>
    <sheet name="X1,X2,X3" sheetId="6" r:id="rId12"/>
    <sheet name="X1,X2,X3,X1²" sheetId="12" r:id="rId13"/>
    <sheet name="X1,X2,X3,X2²" sheetId="13" r:id="rId14"/>
    <sheet name="X1,X2,X3,X3²" sheetId="14" r:id="rId15"/>
    <sheet name="X1,X2,X3,X1²,X3²" sheetId="15" r:id="rId16"/>
    <sheet name="X1,X2,X3,X1²,X2²" sheetId="16" r:id="rId17"/>
    <sheet name="X1,X2,X3,X1²,X2²,X3²" sheetId="17" r:id="rId18"/>
    <sheet name="X1,X2,X3,X1²,X2³" sheetId="19" r:id="rId19"/>
    <sheet name="X1,X2,X3,X1²,X3³" sheetId="20" r:id="rId20"/>
    <sheet name="X1,X2,X3,X1²,X1³,X3³" sheetId="21" r:id="rId21"/>
    <sheet name="X1,X2,X3,X1²,X1³,X2³" sheetId="22" r:id="rId22"/>
    <sheet name="X1,X2,X3,X1²,X1³,X2³,X3³" sheetId="23" r:id="rId23"/>
    <sheet name="data" sheetId="4" r:id="rId24"/>
  </sheets>
  <definedNames>
    <definedName name="solver_adj" localSheetId="4" hidden="1">'（二）规划求解法'!$H$3:$H$8</definedName>
    <definedName name="solver_adj" localSheetId="1" hidden="1">'California_Houses_200_3 '!$G$3:$G$8</definedName>
    <definedName name="solver_cvg" localSheetId="1" hidden="1">0.0001</definedName>
    <definedName name="solver_drv" localSheetId="1" hidden="1">1</definedName>
    <definedName name="solver_eng" localSheetId="4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4" hidden="1">1</definedName>
    <definedName name="solver_neg" localSheetId="1" hidden="1">2</definedName>
    <definedName name="solver_nod" localSheetId="1" hidden="1">2147483647</definedName>
    <definedName name="solver_num" localSheetId="4" hidden="1">0</definedName>
    <definedName name="solver_num" localSheetId="1" hidden="1">0</definedName>
    <definedName name="solver_nwt" localSheetId="1" hidden="1">1</definedName>
    <definedName name="solver_opt" localSheetId="4" hidden="1">'（二）规划求解法'!$H$10</definedName>
    <definedName name="solver_opt" localSheetId="1" hidden="1">'California_Houses_200_3 '!$G$10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4" hidden="1">2</definedName>
    <definedName name="solver_typ" localSheetId="1" hidden="1">2</definedName>
    <definedName name="solver_val" localSheetId="4" hidden="1">0</definedName>
    <definedName name="solver_val" localSheetId="1" hidden="1">0</definedName>
    <definedName name="solver_ver" localSheetId="4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8" i="26" l="1"/>
  <c r="B228" i="26"/>
  <c r="A228" i="26"/>
  <c r="E221" i="26"/>
  <c r="E219" i="26"/>
  <c r="E218" i="26"/>
  <c r="E217" i="26"/>
  <c r="E216" i="26"/>
  <c r="E215" i="26"/>
  <c r="E214" i="26"/>
  <c r="E213" i="26"/>
  <c r="E212" i="26"/>
  <c r="E211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H10" i="26" s="1"/>
  <c r="E4" i="26"/>
  <c r="E3" i="26"/>
  <c r="E2" i="26"/>
  <c r="G2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J10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" i="1"/>
  <c r="J4" i="1"/>
  <c r="J5" i="1"/>
  <c r="J6" i="1"/>
  <c r="J7" i="1"/>
  <c r="J8" i="1"/>
  <c r="J3" i="1"/>
  <c r="B228" i="2" l="1"/>
  <c r="C228" i="2"/>
  <c r="A228" i="2"/>
</calcChain>
</file>

<file path=xl/sharedStrings.xml><?xml version="1.0" encoding="utf-8"?>
<sst xmlns="http://schemas.openxmlformats.org/spreadsheetml/2006/main" count="615" uniqueCount="79">
  <si>
    <t>X1</t>
  </si>
  <si>
    <t>U1</t>
  </si>
  <si>
    <t>U2</t>
  </si>
  <si>
    <t>X2</t>
  </si>
  <si>
    <t>X3</t>
  </si>
  <si>
    <t>房屋价值(美元)</t>
  </si>
  <si>
    <t>居民收入(美元)</t>
    <phoneticPr fontId="2" type="noConversion"/>
  </si>
  <si>
    <t>总房间数(间)</t>
    <phoneticPr fontId="2" type="noConversion"/>
  </si>
  <si>
    <t>距离最近海岸距离(米)</t>
    <phoneticPr fontId="2" type="noConversion"/>
  </si>
  <si>
    <t>房屋价值(美元)</t>
    <phoneticPr fontId="2" type="noConversion"/>
  </si>
  <si>
    <t>汇总数据</t>
    <phoneticPr fontId="2" type="noConversion"/>
  </si>
  <si>
    <t>自变量集</t>
    <phoneticPr fontId="2" type="noConversion"/>
  </si>
  <si>
    <t>R²</t>
    <phoneticPr fontId="2" type="noConversion"/>
  </si>
  <si>
    <t>调整后R²</t>
    <phoneticPr fontId="2" type="noConversion"/>
  </si>
  <si>
    <t>X1</t>
    <phoneticPr fontId="2" type="noConversion"/>
  </si>
  <si>
    <t>X2</t>
    <phoneticPr fontId="2" type="noConversion"/>
  </si>
  <si>
    <t>X3</t>
    <phoneticPr fontId="2" type="noConversion"/>
  </si>
  <si>
    <t>X1,X2</t>
    <phoneticPr fontId="2" type="noConversion"/>
  </si>
  <si>
    <t>X1,X3</t>
    <phoneticPr fontId="2" type="noConversion"/>
  </si>
  <si>
    <t>X1,X2,X3</t>
    <phoneticPr fontId="2" type="noConversion"/>
  </si>
  <si>
    <t>X1,X2,X3,X1²</t>
    <phoneticPr fontId="2" type="noConversion"/>
  </si>
  <si>
    <t>X1,X2,X3,X2²</t>
    <phoneticPr fontId="2" type="noConversion"/>
  </si>
  <si>
    <t>X1,X2,X3,X3²</t>
    <phoneticPr fontId="2" type="noConversion"/>
  </si>
  <si>
    <t>X1,X2,X3,X1²,X2²</t>
    <phoneticPr fontId="2" type="noConversion"/>
  </si>
  <si>
    <t>X1,X2,X3,X1²,X3²</t>
    <phoneticPr fontId="2" type="noConversion"/>
  </si>
  <si>
    <t>X1,X2,X3,X1²,X2²,X3²</t>
    <phoneticPr fontId="2" type="noConversion"/>
  </si>
  <si>
    <t>X1,X2,X3,X1²,X1³</t>
    <phoneticPr fontId="2" type="noConversion"/>
  </si>
  <si>
    <t>X1,X2,X3,X1²,X2³</t>
    <phoneticPr fontId="2" type="noConversion"/>
  </si>
  <si>
    <t>X1,X2,X3,X1²,X3³</t>
    <phoneticPr fontId="2" type="noConversion"/>
  </si>
  <si>
    <t>X1,X2,X3,X1²,X1³,X2³</t>
    <phoneticPr fontId="2" type="noConversion"/>
  </si>
  <si>
    <t>X1,X2,X3,X1²,X1³,X3³</t>
    <phoneticPr fontId="2" type="noConversion"/>
  </si>
  <si>
    <t>X1,X2,X3,X1²,X1³,X2³,X3³</t>
    <phoneticPr fontId="2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</si>
  <si>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</si>
  <si>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</si>
  <si>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</si>
  <si>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Y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</si>
  <si>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</si>
  <si>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</si>
  <si>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</si>
  <si>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</si>
  <si>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</si>
  <si>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</si>
  <si>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</si>
  <si>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</si>
  <si>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</si>
  <si>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</si>
  <si>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</si>
  <si>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</si>
  <si>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</si>
  <si>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</si>
  <si>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</si>
  <si>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</si>
  <si>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</si>
  <si>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</si>
  <si>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</si>
  <si>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</si>
  <si>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</si>
  <si>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</si>
  <si>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</si>
  <si>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</si>
  <si>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X1²</t>
  </si>
  <si>
    <t>X2²</t>
  </si>
  <si>
    <t>X2²</t>
    <phoneticPr fontId="1" type="noConversion"/>
  </si>
  <si>
    <t>X3²</t>
  </si>
  <si>
    <t>X3²</t>
    <phoneticPr fontId="1" type="noConversion"/>
  </si>
  <si>
    <t>X1³</t>
  </si>
  <si>
    <t>X2³</t>
  </si>
  <si>
    <t>X2³</t>
    <phoneticPr fontId="1" type="noConversion"/>
  </si>
  <si>
    <t>X3³</t>
  </si>
  <si>
    <t>X3³</t>
    <phoneticPr fontId="1" type="noConversion"/>
  </si>
  <si>
    <t>a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</si>
  <si>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</si>
  <si>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</si>
  <si>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</si>
  <si>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c1</t>
    <phoneticPr fontId="1" type="noConversion"/>
  </si>
  <si>
    <t>d1</t>
    <phoneticPr fontId="1" type="noConversion"/>
  </si>
  <si>
    <t>MSE</t>
    <phoneticPr fontId="1" type="noConversion"/>
  </si>
  <si>
    <t>预测值</t>
    <phoneticPr fontId="1" type="noConversion"/>
  </si>
  <si>
    <t>表6-5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</si>
</sst>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_ "/>
    <numFmt numFmtId="165" formatCode="0.000_ "/>
  </numFmts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164" fontId="0" fillId="0" borderId="0" xfId="0" applyNumberFormat="1"/>
    <xf numFmtId="165" fontId="0" fillId="0" borderId="0" xfId="0" applyNumberFormat="1"/>
    <xf numFmtId="0" fontId="0" fillId="0" borderId="1" xfId="0" applyFill="1" applyBorder="1" applyAlignment="1"/>
    <xf numFmtId="0" fontId="0" fillId="3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0" fontId="0" fillId="4" borderId="0" xfId="0" applyFill="1"/>
    <xf numFmtId="0" fontId="0" fillId="4" borderId="3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4" borderId="2" xfId="0" applyFill="1" applyBorder="1" applyAlignment="1"/>
    <xf numFmtId="0" fontId="0" fillId="4" borderId="3" xfId="0" applyFont="1" applyFill="1" applyBorder="1" applyAlignment="1">
      <alignment horizontal="center"/>
    </xf>
    <xf numFmtId="11" fontId="0" fillId="0" borderId="1" xfId="0" applyNumberFormat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0</xdr:row>
      <xdr:rowOff>165100</xdr:rowOff>
    </xdr:from>
    <xdr:to>
      <xdr:col>15</xdr:col>
      <xdr:colOff>654050</xdr:colOff>
      <xdr:row>6</xdr:row>
      <xdr:rowOff>6350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3C67639-6A65-42F9-9CEE-B8EC3D06FB74}"/>
            </a:ext>
          </a:extLst>
        </xdr:cNvPr>
        <xdr:cNvSpPr txBox="1"/>
      </xdr:nvSpPr>
      <xdr:spPr>
        <a:xfrm>
          <a:off x="5289550" y="165100"/>
          <a:ext cx="5270500" cy="908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6-5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】房产经纪人发现加州房价与下列三个因素有关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X1: 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居民收入， 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X2: 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总房间数，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X3: 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距离最近海岸的距离，他想知道当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19167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2643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7349.62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时的房价。表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6-5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中给出了三个因素与加州房价的示例数据。</a:t>
          </a:r>
        </a:p>
        <a:p>
          <a:endParaRPr lang="zh-CN" altLang="en-US" sz="1100"/>
        </a:p>
      </xdr:txBody>
    </xdr:sp>
    <xdr:clientData/>
  </xdr:twoCellAnchor>
  <xdr:twoCellAnchor editAs="oneCell">
    <xdr:from>
      <xdr:col>0</xdr:col>
      <xdr:colOff>38100</xdr:colOff>
      <xdr:row>1</xdr:row>
      <xdr:rowOff>38100</xdr:rowOff>
    </xdr:from>
    <xdr:to>
      <xdr:col>6</xdr:col>
      <xdr:colOff>606425</xdr:colOff>
      <xdr:row>24</xdr:row>
      <xdr:rowOff>149225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A1AA756-07AF-47F7-94C6-76EBBC6C53A3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5297"/>
        <a:stretch/>
      </xdr:blipFill>
      <xdr:spPr>
        <a:xfrm>
          <a:off x="38100" y="215900"/>
          <a:ext cx="4530725" cy="4200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I10" sqref="I10"/>
    </sheetView>
  </sheetViews>
  <sheetFormatPr defaultRowHeight="14.4"/>
  <sheetData>
    <row r="1" spans="1:2">
      <c r="A1" s="28" t="s">
        <v>78</v>
      </c>
      <c r="B1" s="28"/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28"/>
  <sheetViews>
    <sheetView zoomScale="85" zoomScaleNormal="85" workbookViewId="0">
      <selection activeCell="H17" sqref="H17"/>
    </sheetView>
  </sheetViews>
  <sheetFormatPr defaultRowHeight="14.4"/>
  <cols>
    <col min="1" max="1" width="14" bestFit="1" customWidth="1"/>
    <col min="2" max="2" width="11.88671875" bestFit="1" customWidth="1"/>
    <col min="3" max="3" width="20.109375" bestFit="1" customWidth="1"/>
    <col min="4" max="4" width="14" bestFit="1" customWidth="1"/>
    <col min="7" max="7" width="12.44140625" bestFit="1" customWidth="1"/>
  </cols>
  <sheetData>
    <row r="1" spans="1:4">
      <c r="A1" s="2" t="s">
        <v>6</v>
      </c>
      <c r="B1" s="2" t="s">
        <v>7</v>
      </c>
      <c r="C1" s="2" t="s">
        <v>8</v>
      </c>
      <c r="D1" s="2" t="s">
        <v>9</v>
      </c>
    </row>
    <row r="2" spans="1:4">
      <c r="A2" s="3">
        <v>83252</v>
      </c>
      <c r="B2" s="3">
        <v>880</v>
      </c>
      <c r="C2" s="4">
        <v>9263.0407728503797</v>
      </c>
      <c r="D2" s="3">
        <v>452600</v>
      </c>
    </row>
    <row r="3" spans="1:4">
      <c r="A3" s="3">
        <v>83014</v>
      </c>
      <c r="B3" s="3">
        <v>7099</v>
      </c>
      <c r="C3" s="4">
        <v>8225.7330715423996</v>
      </c>
      <c r="D3" s="3">
        <v>358500</v>
      </c>
    </row>
    <row r="4" spans="1:4">
      <c r="A4" s="3">
        <v>72574</v>
      </c>
      <c r="B4" s="3">
        <v>1467</v>
      </c>
      <c r="C4" s="4">
        <v>8259.0851093229303</v>
      </c>
      <c r="D4" s="3">
        <v>352100</v>
      </c>
    </row>
    <row r="5" spans="1:4">
      <c r="A5" s="3">
        <v>56430.999999999993</v>
      </c>
      <c r="B5" s="3">
        <v>1274</v>
      </c>
      <c r="C5" s="4">
        <v>7768.0865708363999</v>
      </c>
      <c r="D5" s="3">
        <v>341300</v>
      </c>
    </row>
    <row r="6" spans="1:4">
      <c r="A6" s="3">
        <v>38462</v>
      </c>
      <c r="B6" s="3">
        <v>1627</v>
      </c>
      <c r="C6" s="4">
        <v>7768.0865708363999</v>
      </c>
      <c r="D6" s="3">
        <v>342200</v>
      </c>
    </row>
    <row r="7" spans="1:4">
      <c r="A7" s="3">
        <v>40368.000000000007</v>
      </c>
      <c r="B7" s="3">
        <v>919</v>
      </c>
      <c r="C7" s="4">
        <v>7768.0865708363999</v>
      </c>
      <c r="D7" s="3">
        <v>269700</v>
      </c>
    </row>
    <row r="8" spans="1:4">
      <c r="A8" s="3">
        <v>36591</v>
      </c>
      <c r="B8" s="3">
        <v>2535</v>
      </c>
      <c r="C8" s="4">
        <v>6843.0208473749799</v>
      </c>
      <c r="D8" s="3">
        <v>299200</v>
      </c>
    </row>
    <row r="9" spans="1:4">
      <c r="A9" s="3">
        <v>31200</v>
      </c>
      <c r="B9" s="3">
        <v>3104</v>
      </c>
      <c r="C9" s="4">
        <v>6843.0208473749799</v>
      </c>
      <c r="D9" s="3">
        <v>241400</v>
      </c>
    </row>
    <row r="10" spans="1:4">
      <c r="A10" s="3">
        <v>34982</v>
      </c>
      <c r="B10" s="3">
        <v>2555</v>
      </c>
      <c r="C10" s="4">
        <v>6363.9480126176904</v>
      </c>
      <c r="D10" s="3">
        <v>226700</v>
      </c>
    </row>
    <row r="11" spans="1:4">
      <c r="A11" s="3">
        <v>42912</v>
      </c>
      <c r="B11" s="3">
        <v>3549</v>
      </c>
      <c r="C11" s="4">
        <v>6843.0208473749799</v>
      </c>
      <c r="D11" s="3">
        <v>261100</v>
      </c>
    </row>
    <row r="12" spans="1:4">
      <c r="A12" s="3">
        <v>39765</v>
      </c>
      <c r="B12" s="3">
        <v>2202</v>
      </c>
      <c r="C12" s="4">
        <v>7349.6208416098098</v>
      </c>
      <c r="D12" s="3">
        <v>281500</v>
      </c>
    </row>
    <row r="13" spans="1:4">
      <c r="A13" s="3">
        <v>32705.000000000004</v>
      </c>
      <c r="B13" s="3">
        <v>3503</v>
      </c>
      <c r="C13" s="4">
        <v>7349.6208416098098</v>
      </c>
      <c r="D13" s="3">
        <v>241800</v>
      </c>
    </row>
    <row r="14" spans="1:4">
      <c r="A14" s="3">
        <v>30750</v>
      </c>
      <c r="B14" s="3">
        <v>2491</v>
      </c>
      <c r="C14" s="4">
        <v>7349.6208416098098</v>
      </c>
      <c r="D14" s="3">
        <v>213500</v>
      </c>
    </row>
    <row r="15" spans="1:4">
      <c r="A15" s="3">
        <v>26736</v>
      </c>
      <c r="B15" s="3">
        <v>696</v>
      </c>
      <c r="C15" s="4">
        <v>6363.9480126176904</v>
      </c>
      <c r="D15" s="3">
        <v>191300</v>
      </c>
    </row>
    <row r="16" spans="1:4">
      <c r="A16" s="3">
        <v>19167</v>
      </c>
      <c r="B16" s="3">
        <v>2643</v>
      </c>
      <c r="C16" s="4">
        <v>7349.6208416098098</v>
      </c>
      <c r="D16" s="3">
        <v>159200</v>
      </c>
    </row>
    <row r="17" spans="1:4">
      <c r="A17" s="3">
        <v>16250</v>
      </c>
      <c r="B17" s="3">
        <v>1120</v>
      </c>
      <c r="C17" s="4">
        <v>7349.6208416098098</v>
      </c>
      <c r="D17" s="3">
        <v>140000</v>
      </c>
    </row>
    <row r="18" spans="1:4">
      <c r="A18" s="3">
        <v>19750</v>
      </c>
      <c r="B18" s="3">
        <v>1966</v>
      </c>
      <c r="C18" s="4">
        <v>7016.6772439486404</v>
      </c>
      <c r="D18" s="3">
        <v>152500</v>
      </c>
    </row>
    <row r="19" spans="1:4">
      <c r="A19" s="3">
        <v>21202</v>
      </c>
      <c r="B19" s="3">
        <v>1228</v>
      </c>
      <c r="C19" s="4">
        <v>7016.6772439486404</v>
      </c>
      <c r="D19" s="3">
        <v>155500</v>
      </c>
    </row>
    <row r="20" spans="1:4">
      <c r="A20" s="3">
        <v>19911</v>
      </c>
      <c r="B20" s="3">
        <v>2239</v>
      </c>
      <c r="C20" s="4">
        <v>6363.9480126176904</v>
      </c>
      <c r="D20" s="3">
        <v>158700</v>
      </c>
    </row>
    <row r="21" spans="1:4" hidden="1">
      <c r="A21" s="3">
        <v>26033</v>
      </c>
      <c r="B21" s="3">
        <v>1503</v>
      </c>
      <c r="C21" s="4">
        <v>5976.2880582760299</v>
      </c>
      <c r="D21" s="3">
        <v>162900</v>
      </c>
    </row>
    <row r="22" spans="1:4" hidden="1">
      <c r="A22" s="3">
        <v>43578</v>
      </c>
      <c r="B22" s="3">
        <v>751</v>
      </c>
      <c r="C22" s="4">
        <v>7016.6772439486404</v>
      </c>
      <c r="D22" s="3">
        <v>147500</v>
      </c>
    </row>
    <row r="23" spans="1:4" hidden="1">
      <c r="A23" s="3">
        <v>17135</v>
      </c>
      <c r="B23" s="3">
        <v>1639</v>
      </c>
      <c r="C23" s="4">
        <v>7016.6772439486404</v>
      </c>
      <c r="D23" s="3">
        <v>159800</v>
      </c>
    </row>
    <row r="24" spans="1:4" hidden="1">
      <c r="A24" s="3">
        <v>17250</v>
      </c>
      <c r="B24" s="3">
        <v>2436</v>
      </c>
      <c r="C24" s="4">
        <v>5976.2880582760299</v>
      </c>
      <c r="D24" s="3">
        <v>113900</v>
      </c>
    </row>
    <row r="25" spans="1:4" hidden="1">
      <c r="A25" s="3">
        <v>11806</v>
      </c>
      <c r="B25" s="3">
        <v>1688</v>
      </c>
      <c r="C25" s="4">
        <v>5976.2880582760299</v>
      </c>
      <c r="D25" s="3">
        <v>99700</v>
      </c>
    </row>
    <row r="26" spans="1:4" hidden="1">
      <c r="A26" s="3">
        <v>16000</v>
      </c>
      <c r="B26" s="3">
        <v>2224</v>
      </c>
      <c r="C26" s="4">
        <v>5976.2880582760299</v>
      </c>
      <c r="D26" s="3">
        <v>132600</v>
      </c>
    </row>
    <row r="27" spans="1:4" hidden="1">
      <c r="A27" s="3">
        <v>14038</v>
      </c>
      <c r="B27" s="3">
        <v>535</v>
      </c>
      <c r="C27" s="4">
        <v>6781.8631745086795</v>
      </c>
      <c r="D27" s="3">
        <v>107500</v>
      </c>
    </row>
    <row r="28" spans="1:4" hidden="1">
      <c r="A28" s="3">
        <v>14597</v>
      </c>
      <c r="B28" s="3">
        <v>1130</v>
      </c>
      <c r="C28" s="4">
        <v>6781.8631745086795</v>
      </c>
      <c r="D28" s="3">
        <v>93800</v>
      </c>
    </row>
    <row r="29" spans="1:4" hidden="1">
      <c r="A29" s="3">
        <v>18080</v>
      </c>
      <c r="B29" s="3">
        <v>1898</v>
      </c>
      <c r="C29" s="4">
        <v>6781.8631745086795</v>
      </c>
      <c r="D29" s="3">
        <v>105500</v>
      </c>
    </row>
    <row r="30" spans="1:4" hidden="1">
      <c r="A30" s="3">
        <v>16424</v>
      </c>
      <c r="B30" s="3">
        <v>2082</v>
      </c>
      <c r="C30" s="4">
        <v>5698.7269031743899</v>
      </c>
      <c r="D30" s="3">
        <v>108900</v>
      </c>
    </row>
    <row r="31" spans="1:4" hidden="1">
      <c r="A31" s="3">
        <v>16875</v>
      </c>
      <c r="B31" s="3">
        <v>729</v>
      </c>
      <c r="C31" s="4">
        <v>5698.7269031743899</v>
      </c>
      <c r="D31" s="3">
        <v>132000</v>
      </c>
    </row>
    <row r="32" spans="1:4" hidden="1">
      <c r="A32" s="3">
        <v>19274</v>
      </c>
      <c r="B32" s="3">
        <v>1916</v>
      </c>
      <c r="C32" s="4">
        <v>5698.7269031743899</v>
      </c>
      <c r="D32" s="3">
        <v>122300</v>
      </c>
    </row>
    <row r="33" spans="1:4" hidden="1">
      <c r="A33" s="3">
        <v>19615</v>
      </c>
      <c r="B33" s="3">
        <v>2153</v>
      </c>
      <c r="C33" s="4">
        <v>5698.7269031743899</v>
      </c>
      <c r="D33" s="3">
        <v>115200</v>
      </c>
    </row>
    <row r="34" spans="1:4" hidden="1">
      <c r="A34" s="3">
        <v>17969</v>
      </c>
      <c r="B34" s="3">
        <v>1922</v>
      </c>
      <c r="C34" s="4">
        <v>5976.2880582760299</v>
      </c>
      <c r="D34" s="3">
        <v>110400</v>
      </c>
    </row>
    <row r="35" spans="1:4" hidden="1">
      <c r="A35" s="3">
        <v>13750</v>
      </c>
      <c r="B35" s="3">
        <v>1655</v>
      </c>
      <c r="C35" s="4">
        <v>4967.0051944367697</v>
      </c>
      <c r="D35" s="3">
        <v>104900</v>
      </c>
    </row>
    <row r="36" spans="1:4" hidden="1">
      <c r="A36" s="3">
        <v>12303</v>
      </c>
      <c r="B36" s="3">
        <v>2665</v>
      </c>
      <c r="C36" s="4">
        <v>4967.0051944367697</v>
      </c>
      <c r="D36" s="3">
        <v>109700</v>
      </c>
    </row>
    <row r="37" spans="1:4" hidden="1">
      <c r="A37" s="3">
        <v>44861</v>
      </c>
      <c r="B37" s="3">
        <v>1215</v>
      </c>
      <c r="C37" s="4">
        <v>4967.0051944367697</v>
      </c>
      <c r="D37" s="3">
        <v>97200</v>
      </c>
    </row>
    <row r="38" spans="1:4" hidden="1">
      <c r="A38" s="3">
        <v>10972</v>
      </c>
      <c r="B38" s="3">
        <v>1798</v>
      </c>
      <c r="C38" s="4">
        <v>4967.0051944367697</v>
      </c>
      <c r="D38" s="3">
        <v>104500</v>
      </c>
    </row>
    <row r="39" spans="1:4" hidden="1">
      <c r="A39" s="3">
        <v>14103.000000000002</v>
      </c>
      <c r="B39" s="3">
        <v>1511</v>
      </c>
      <c r="C39" s="4">
        <v>4629.27324947942</v>
      </c>
      <c r="D39" s="3">
        <v>103900</v>
      </c>
    </row>
    <row r="40" spans="1:4" hidden="1">
      <c r="A40" s="3">
        <v>34800</v>
      </c>
      <c r="B40" s="3">
        <v>1470</v>
      </c>
      <c r="C40" s="4">
        <v>5427.3017456453399</v>
      </c>
      <c r="D40" s="3">
        <v>191400</v>
      </c>
    </row>
    <row r="41" spans="1:4" hidden="1">
      <c r="A41" s="3">
        <v>25898</v>
      </c>
      <c r="B41" s="3">
        <v>2432</v>
      </c>
      <c r="C41" s="4">
        <v>5427.3017456453399</v>
      </c>
      <c r="D41" s="3">
        <v>176000</v>
      </c>
    </row>
    <row r="42" spans="1:4" hidden="1">
      <c r="A42" s="3">
        <v>20978</v>
      </c>
      <c r="B42" s="3">
        <v>1665</v>
      </c>
      <c r="C42" s="4">
        <v>5427.3017456453399</v>
      </c>
      <c r="D42" s="3">
        <v>155400</v>
      </c>
    </row>
    <row r="43" spans="1:4" hidden="1">
      <c r="A43" s="3">
        <v>22852</v>
      </c>
      <c r="B43" s="3">
        <v>936</v>
      </c>
      <c r="C43" s="4">
        <v>5427.3017456453399</v>
      </c>
      <c r="D43" s="3">
        <v>150000</v>
      </c>
    </row>
    <row r="44" spans="1:4" hidden="1">
      <c r="A44" s="3">
        <v>10250</v>
      </c>
      <c r="B44" s="3">
        <v>713</v>
      </c>
      <c r="C44" s="4">
        <v>6363.9480126176904</v>
      </c>
      <c r="D44" s="3">
        <v>118800</v>
      </c>
    </row>
    <row r="45" spans="1:4" hidden="1">
      <c r="A45" s="3">
        <v>39643</v>
      </c>
      <c r="B45" s="3">
        <v>950</v>
      </c>
      <c r="C45" s="4">
        <v>6363.9480126176904</v>
      </c>
      <c r="D45" s="3">
        <v>188800</v>
      </c>
    </row>
    <row r="46" spans="1:4" hidden="1">
      <c r="A46" s="3">
        <v>30125</v>
      </c>
      <c r="B46" s="3">
        <v>1443</v>
      </c>
      <c r="C46" s="4">
        <v>5427.3017456453399</v>
      </c>
      <c r="D46" s="3">
        <v>184400</v>
      </c>
    </row>
    <row r="47" spans="1:4" hidden="1">
      <c r="A47" s="3">
        <v>26768</v>
      </c>
      <c r="B47" s="3">
        <v>1656</v>
      </c>
      <c r="C47" s="4">
        <v>5427.3017456453399</v>
      </c>
      <c r="D47" s="3">
        <v>182300</v>
      </c>
    </row>
    <row r="48" spans="1:4" hidden="1">
      <c r="A48" s="3">
        <v>20259.999999999996</v>
      </c>
      <c r="B48" s="3">
        <v>1125</v>
      </c>
      <c r="C48" s="4">
        <v>5427.3017456453399</v>
      </c>
      <c r="D48" s="3">
        <v>142500</v>
      </c>
    </row>
    <row r="49" spans="1:4" hidden="1">
      <c r="A49" s="3">
        <v>17348</v>
      </c>
      <c r="B49" s="3">
        <v>1007</v>
      </c>
      <c r="C49" s="4">
        <v>4012.3714289612699</v>
      </c>
      <c r="D49" s="3">
        <v>137500</v>
      </c>
    </row>
    <row r="50" spans="1:4" hidden="1">
      <c r="A50" s="3">
        <v>9506</v>
      </c>
      <c r="B50" s="3">
        <v>624</v>
      </c>
      <c r="C50" s="4">
        <v>4569.9273854590601</v>
      </c>
      <c r="D50" s="3">
        <v>187500</v>
      </c>
    </row>
    <row r="51" spans="1:4" hidden="1">
      <c r="A51" s="3">
        <v>17750</v>
      </c>
      <c r="B51" s="3">
        <v>946</v>
      </c>
      <c r="C51" s="4">
        <v>4012.3714289612699</v>
      </c>
      <c r="D51" s="3">
        <v>112500</v>
      </c>
    </row>
    <row r="52" spans="1:4" hidden="1">
      <c r="A52" s="3">
        <v>9218</v>
      </c>
      <c r="B52" s="3">
        <v>896</v>
      </c>
      <c r="C52" s="4">
        <v>4012.3714289612699</v>
      </c>
      <c r="D52" s="3">
        <v>171900</v>
      </c>
    </row>
    <row r="53" spans="1:4" hidden="1">
      <c r="A53" s="3">
        <v>15045</v>
      </c>
      <c r="B53" s="3">
        <v>1868</v>
      </c>
      <c r="C53" s="4">
        <v>4012.3714289612699</v>
      </c>
      <c r="D53" s="3">
        <v>93800</v>
      </c>
    </row>
    <row r="54" spans="1:4" hidden="1">
      <c r="A54" s="3">
        <v>11108</v>
      </c>
      <c r="B54" s="3">
        <v>3221</v>
      </c>
      <c r="C54" s="4">
        <v>4012.3714289612699</v>
      </c>
      <c r="D54" s="3">
        <v>97500</v>
      </c>
    </row>
    <row r="55" spans="1:4" hidden="1">
      <c r="A55" s="3">
        <v>12475</v>
      </c>
      <c r="B55" s="3">
        <v>1630</v>
      </c>
      <c r="C55" s="4">
        <v>4012.3714289612699</v>
      </c>
      <c r="D55" s="3">
        <v>104200</v>
      </c>
    </row>
    <row r="56" spans="1:4" hidden="1">
      <c r="A56" s="3">
        <v>16097.999999999998</v>
      </c>
      <c r="B56" s="3">
        <v>1170</v>
      </c>
      <c r="C56" s="4">
        <v>3585.7656953423598</v>
      </c>
      <c r="D56" s="3">
        <v>87500</v>
      </c>
    </row>
    <row r="57" spans="1:4" hidden="1">
      <c r="A57" s="3">
        <v>14113</v>
      </c>
      <c r="B57" s="3">
        <v>945</v>
      </c>
      <c r="C57" s="4">
        <v>3585.7656953423598</v>
      </c>
      <c r="D57" s="3">
        <v>83100</v>
      </c>
    </row>
    <row r="58" spans="1:4" hidden="1">
      <c r="A58" s="3">
        <v>15057</v>
      </c>
      <c r="B58" s="3">
        <v>1238</v>
      </c>
      <c r="C58" s="4">
        <v>3585.7656953423598</v>
      </c>
      <c r="D58" s="3">
        <v>87500</v>
      </c>
    </row>
    <row r="59" spans="1:4" hidden="1">
      <c r="A59" s="3">
        <v>8172</v>
      </c>
      <c r="B59" s="3">
        <v>1489</v>
      </c>
      <c r="C59" s="4">
        <v>3585.7656953423598</v>
      </c>
      <c r="D59" s="3">
        <v>85300</v>
      </c>
    </row>
    <row r="60" spans="1:4" hidden="1">
      <c r="A60" s="3">
        <v>12171</v>
      </c>
      <c r="B60" s="3">
        <v>1387</v>
      </c>
      <c r="C60" s="4">
        <v>3585.7656953423598</v>
      </c>
      <c r="D60" s="3">
        <v>80300</v>
      </c>
    </row>
    <row r="61" spans="1:4" hidden="1">
      <c r="A61" s="3">
        <v>11625</v>
      </c>
      <c r="B61" s="3">
        <v>158</v>
      </c>
      <c r="C61" s="4">
        <v>3340.66007838528</v>
      </c>
      <c r="D61" s="3">
        <v>60000</v>
      </c>
    </row>
    <row r="62" spans="1:4" hidden="1">
      <c r="A62" s="3">
        <v>33929</v>
      </c>
      <c r="B62" s="3">
        <v>1121</v>
      </c>
      <c r="C62" s="4">
        <v>4442.1498090159403</v>
      </c>
      <c r="D62" s="3">
        <v>75700</v>
      </c>
    </row>
    <row r="63" spans="1:4" hidden="1">
      <c r="A63" s="3">
        <v>61182.999999999993</v>
      </c>
      <c r="B63" s="3">
        <v>135</v>
      </c>
      <c r="C63" s="4">
        <v>3340.66007838528</v>
      </c>
      <c r="D63" s="3">
        <v>75000</v>
      </c>
    </row>
    <row r="64" spans="1:4" hidden="1">
      <c r="A64" s="3">
        <v>9011</v>
      </c>
      <c r="B64" s="3">
        <v>760</v>
      </c>
      <c r="C64" s="4">
        <v>2249.48592561738</v>
      </c>
      <c r="D64" s="3">
        <v>86100</v>
      </c>
    </row>
    <row r="65" spans="1:4" hidden="1">
      <c r="A65" s="3">
        <v>11910</v>
      </c>
      <c r="B65" s="3">
        <v>1224</v>
      </c>
      <c r="C65" s="4">
        <v>2214.9860559148601</v>
      </c>
      <c r="D65" s="3">
        <v>76100</v>
      </c>
    </row>
    <row r="66" spans="1:4" hidden="1">
      <c r="A66" s="3">
        <v>25938</v>
      </c>
      <c r="B66" s="3">
        <v>828</v>
      </c>
      <c r="C66" s="4">
        <v>2214.9860559148601</v>
      </c>
      <c r="D66" s="3">
        <v>73500</v>
      </c>
    </row>
    <row r="67" spans="1:4" hidden="1">
      <c r="A67" s="3">
        <v>11667</v>
      </c>
      <c r="B67" s="3">
        <v>1010</v>
      </c>
      <c r="C67" s="4">
        <v>2214.9860559148601</v>
      </c>
      <c r="D67" s="3">
        <v>78400</v>
      </c>
    </row>
    <row r="68" spans="1:4" hidden="1">
      <c r="A68" s="3">
        <v>8056</v>
      </c>
      <c r="B68" s="3">
        <v>1455</v>
      </c>
      <c r="C68" s="4">
        <v>2214.9860559148601</v>
      </c>
      <c r="D68" s="3">
        <v>84400</v>
      </c>
    </row>
    <row r="69" spans="1:4" hidden="1">
      <c r="A69" s="3">
        <v>26094</v>
      </c>
      <c r="B69" s="3">
        <v>1027</v>
      </c>
      <c r="C69" s="4">
        <v>1197.17435507093</v>
      </c>
      <c r="D69" s="3">
        <v>81300</v>
      </c>
    </row>
    <row r="70" spans="1:4" hidden="1">
      <c r="A70" s="3">
        <v>18516</v>
      </c>
      <c r="B70" s="3">
        <v>572</v>
      </c>
      <c r="C70" s="4">
        <v>2214.9860559148601</v>
      </c>
      <c r="D70" s="3">
        <v>85000</v>
      </c>
    </row>
    <row r="71" spans="1:4" hidden="1">
      <c r="A71" s="3">
        <v>9802</v>
      </c>
      <c r="B71" s="3">
        <v>2801</v>
      </c>
      <c r="C71" s="4">
        <v>2249.48592561738</v>
      </c>
      <c r="D71" s="3">
        <v>129200</v>
      </c>
    </row>
    <row r="72" spans="1:4" hidden="1">
      <c r="A72" s="3">
        <v>17719</v>
      </c>
      <c r="B72" s="3">
        <v>768</v>
      </c>
      <c r="C72" s="4">
        <v>2249.48592561738</v>
      </c>
      <c r="D72" s="3">
        <v>82500</v>
      </c>
    </row>
    <row r="73" spans="1:4" hidden="1">
      <c r="A73" s="3">
        <v>7286</v>
      </c>
      <c r="B73" s="3">
        <v>935</v>
      </c>
      <c r="C73" s="4">
        <v>2249.48592561738</v>
      </c>
      <c r="D73" s="3">
        <v>95200</v>
      </c>
    </row>
    <row r="74" spans="1:4" hidden="1">
      <c r="A74" s="3">
        <v>17500</v>
      </c>
      <c r="B74" s="3">
        <v>844</v>
      </c>
      <c r="C74" s="4">
        <v>2249.48592561738</v>
      </c>
      <c r="D74" s="3">
        <v>75000</v>
      </c>
    </row>
    <row r="75" spans="1:4" hidden="1">
      <c r="A75" s="3">
        <v>4999</v>
      </c>
      <c r="B75" s="3">
        <v>12</v>
      </c>
      <c r="C75" s="4">
        <v>2249.48592561738</v>
      </c>
      <c r="D75" s="3">
        <v>67500</v>
      </c>
    </row>
    <row r="76" spans="1:4" hidden="1">
      <c r="A76" s="3">
        <v>24830</v>
      </c>
      <c r="B76" s="3">
        <v>835</v>
      </c>
      <c r="C76" s="4">
        <v>2249.48592561738</v>
      </c>
      <c r="D76" s="3">
        <v>137500</v>
      </c>
    </row>
    <row r="77" spans="1:4" hidden="1">
      <c r="A77" s="3">
        <v>32241</v>
      </c>
      <c r="B77" s="3">
        <v>1237</v>
      </c>
      <c r="C77" s="4">
        <v>2599.6389610114502</v>
      </c>
      <c r="D77" s="3">
        <v>177500</v>
      </c>
    </row>
    <row r="78" spans="1:4" hidden="1">
      <c r="A78" s="3">
        <v>24464</v>
      </c>
      <c r="B78" s="3">
        <v>2914</v>
      </c>
      <c r="C78" s="4">
        <v>2599.6389610114502</v>
      </c>
      <c r="D78" s="3">
        <v>102100</v>
      </c>
    </row>
    <row r="79" spans="1:4" hidden="1">
      <c r="A79" s="3">
        <v>11111</v>
      </c>
      <c r="B79" s="3">
        <v>1207</v>
      </c>
      <c r="C79" s="4">
        <v>2599.6389610114502</v>
      </c>
      <c r="D79" s="3">
        <v>108300</v>
      </c>
    </row>
    <row r="80" spans="1:4" hidden="1">
      <c r="A80" s="3">
        <v>8026</v>
      </c>
      <c r="B80" s="3">
        <v>1745</v>
      </c>
      <c r="C80" s="4">
        <v>2249.48592561738</v>
      </c>
      <c r="D80" s="3">
        <v>112500</v>
      </c>
    </row>
    <row r="81" spans="1:4" hidden="1">
      <c r="A81" s="3">
        <v>20114</v>
      </c>
      <c r="B81" s="3">
        <v>684</v>
      </c>
      <c r="C81" s="4">
        <v>1769.57399830806</v>
      </c>
      <c r="D81" s="3">
        <v>131300</v>
      </c>
    </row>
    <row r="82" spans="1:4" hidden="1">
      <c r="A82" s="3">
        <v>25000</v>
      </c>
      <c r="B82" s="3">
        <v>924</v>
      </c>
      <c r="C82" s="4">
        <v>2599.6389610114502</v>
      </c>
      <c r="D82" s="3">
        <v>162500</v>
      </c>
    </row>
    <row r="83" spans="1:4" hidden="1">
      <c r="A83" s="3">
        <v>11667</v>
      </c>
      <c r="B83" s="3">
        <v>210</v>
      </c>
      <c r="C83" s="4">
        <v>3162.2730120344499</v>
      </c>
      <c r="D83" s="3">
        <v>112500</v>
      </c>
    </row>
    <row r="84" spans="1:4" hidden="1">
      <c r="A84" s="3">
        <v>15208</v>
      </c>
      <c r="B84" s="3">
        <v>340</v>
      </c>
      <c r="C84" s="4">
        <v>2599.6389610114502</v>
      </c>
      <c r="D84" s="3">
        <v>112500</v>
      </c>
    </row>
    <row r="85" spans="1:4" hidden="1">
      <c r="A85" s="3">
        <v>22075</v>
      </c>
      <c r="B85" s="3">
        <v>386</v>
      </c>
      <c r="C85" s="4">
        <v>2599.6389610114502</v>
      </c>
      <c r="D85" s="3">
        <v>137500</v>
      </c>
    </row>
    <row r="86" spans="1:4" hidden="1">
      <c r="A86" s="3">
        <v>18088</v>
      </c>
      <c r="B86" s="3">
        <v>948</v>
      </c>
      <c r="C86" s="4">
        <v>2599.6389610114502</v>
      </c>
      <c r="D86" s="3">
        <v>118800</v>
      </c>
    </row>
    <row r="87" spans="1:4" hidden="1">
      <c r="A87" s="3">
        <v>24083</v>
      </c>
      <c r="B87" s="3">
        <v>773</v>
      </c>
      <c r="C87" s="4">
        <v>2599.6389610114502</v>
      </c>
      <c r="D87" s="3">
        <v>98200</v>
      </c>
    </row>
    <row r="88" spans="1:4" hidden="1">
      <c r="A88" s="3">
        <v>9770</v>
      </c>
      <c r="B88" s="3">
        <v>880</v>
      </c>
      <c r="C88" s="4">
        <v>3162.2730120344499</v>
      </c>
      <c r="D88" s="3">
        <v>118800</v>
      </c>
    </row>
    <row r="89" spans="1:4" hidden="1">
      <c r="A89" s="3">
        <v>7600</v>
      </c>
      <c r="B89" s="3">
        <v>875</v>
      </c>
      <c r="C89" s="4">
        <v>3162.2730120344499</v>
      </c>
      <c r="D89" s="3">
        <v>162500</v>
      </c>
    </row>
    <row r="90" spans="1:4" hidden="1">
      <c r="A90" s="3">
        <v>9722</v>
      </c>
      <c r="B90" s="3">
        <v>105</v>
      </c>
      <c r="C90" s="4">
        <v>2524.6146156691798</v>
      </c>
      <c r="D90" s="3">
        <v>137500</v>
      </c>
    </row>
    <row r="91" spans="1:4" hidden="1">
      <c r="A91" s="3">
        <v>86576</v>
      </c>
      <c r="B91" s="3">
        <v>249</v>
      </c>
      <c r="C91" s="4">
        <v>2524.6146156691798</v>
      </c>
      <c r="D91" s="3">
        <v>500001</v>
      </c>
    </row>
    <row r="92" spans="1:4" hidden="1">
      <c r="A92" s="3">
        <v>20938</v>
      </c>
      <c r="B92" s="3">
        <v>994</v>
      </c>
      <c r="C92" s="4">
        <v>2524.6146156691798</v>
      </c>
      <c r="D92" s="3">
        <v>162500</v>
      </c>
    </row>
    <row r="93" spans="1:4" hidden="1">
      <c r="A93" s="3">
        <v>13876</v>
      </c>
      <c r="B93" s="3">
        <v>215</v>
      </c>
      <c r="C93" s="4">
        <v>1769.57399830806</v>
      </c>
      <c r="D93" s="3">
        <v>137500</v>
      </c>
    </row>
    <row r="94" spans="1:4" hidden="1">
      <c r="A94" s="3">
        <v>7500</v>
      </c>
      <c r="B94" s="3">
        <v>96</v>
      </c>
      <c r="C94" s="4">
        <v>1769.57399830806</v>
      </c>
      <c r="D94" s="3">
        <v>162500</v>
      </c>
    </row>
    <row r="95" spans="1:4" hidden="1">
      <c r="A95" s="3">
        <v>26354.000000000004</v>
      </c>
      <c r="B95" s="3">
        <v>1055</v>
      </c>
      <c r="C95" s="4">
        <v>2284.78654341632</v>
      </c>
      <c r="D95" s="3">
        <v>187500</v>
      </c>
    </row>
    <row r="96" spans="1:4" hidden="1">
      <c r="A96" s="3">
        <v>18477</v>
      </c>
      <c r="B96" s="3">
        <v>1715</v>
      </c>
      <c r="C96" s="4">
        <v>2524.6146156691798</v>
      </c>
      <c r="D96" s="3">
        <v>179200</v>
      </c>
    </row>
    <row r="97" spans="1:4" hidden="1">
      <c r="A97" s="3">
        <v>20096</v>
      </c>
      <c r="B97" s="3">
        <v>5329</v>
      </c>
      <c r="C97" s="4">
        <v>3340.6716189762201</v>
      </c>
      <c r="D97" s="3">
        <v>130000</v>
      </c>
    </row>
    <row r="98" spans="1:4" hidden="1">
      <c r="A98" s="3">
        <v>28344.999999999996</v>
      </c>
      <c r="B98" s="3">
        <v>4596</v>
      </c>
      <c r="C98" s="4">
        <v>4569.9273854590601</v>
      </c>
      <c r="D98" s="3">
        <v>183800</v>
      </c>
    </row>
    <row r="99" spans="1:4" hidden="1">
      <c r="A99" s="3">
        <v>20062.000000000004</v>
      </c>
      <c r="B99" s="3">
        <v>335</v>
      </c>
      <c r="C99" s="4">
        <v>3845.2217774208998</v>
      </c>
      <c r="D99" s="3">
        <v>125000</v>
      </c>
    </row>
    <row r="100" spans="1:4" hidden="1">
      <c r="A100" s="3">
        <v>12185</v>
      </c>
      <c r="B100" s="3">
        <v>3682</v>
      </c>
      <c r="C100" s="4">
        <v>4569.9273854590601</v>
      </c>
      <c r="D100" s="3">
        <v>170000</v>
      </c>
    </row>
    <row r="101" spans="1:4" hidden="1">
      <c r="A101" s="3">
        <v>26104</v>
      </c>
      <c r="B101" s="3">
        <v>3633</v>
      </c>
      <c r="C101" s="4">
        <v>4569.9273854590601</v>
      </c>
      <c r="D101" s="3">
        <v>193100</v>
      </c>
    </row>
    <row r="102" spans="1:4" hidden="1">
      <c r="A102" s="3">
        <v>43266</v>
      </c>
      <c r="B102" s="3">
        <v>4656</v>
      </c>
      <c r="C102" s="4">
        <v>4595.14987977277</v>
      </c>
      <c r="D102" s="3">
        <v>257800</v>
      </c>
    </row>
    <row r="103" spans="1:4" hidden="1">
      <c r="A103" s="3">
        <v>32176.999999999996</v>
      </c>
      <c r="B103" s="3">
        <v>5806</v>
      </c>
      <c r="C103" s="4">
        <v>4595.14987977277</v>
      </c>
      <c r="D103" s="3">
        <v>273400</v>
      </c>
    </row>
    <row r="104" spans="1:4" hidden="1">
      <c r="A104" s="3">
        <v>51250</v>
      </c>
      <c r="B104" s="3">
        <v>854</v>
      </c>
      <c r="C104" s="4">
        <v>4595.14987977277</v>
      </c>
      <c r="D104" s="3">
        <v>237500</v>
      </c>
    </row>
    <row r="105" spans="1:4" hidden="1">
      <c r="A105" s="3">
        <v>43954</v>
      </c>
      <c r="B105" s="3">
        <v>2155</v>
      </c>
      <c r="C105" s="4">
        <v>4595.14987977277</v>
      </c>
      <c r="D105" s="3">
        <v>350000</v>
      </c>
    </row>
    <row r="106" spans="1:4" hidden="1">
      <c r="A106" s="3">
        <v>28405.999999999996</v>
      </c>
      <c r="B106" s="3">
        <v>5871</v>
      </c>
      <c r="C106" s="4">
        <v>3845.2217774208998</v>
      </c>
      <c r="D106" s="3">
        <v>335700</v>
      </c>
    </row>
    <row r="107" spans="1:4" hidden="1">
      <c r="A107" s="3">
        <v>59306</v>
      </c>
      <c r="B107" s="3">
        <v>1509</v>
      </c>
      <c r="C107" s="4">
        <v>5923.3072356235598</v>
      </c>
      <c r="D107" s="3">
        <v>313400</v>
      </c>
    </row>
    <row r="108" spans="1:4" hidden="1">
      <c r="A108" s="3">
        <v>32727</v>
      </c>
      <c r="B108" s="3">
        <v>2026</v>
      </c>
      <c r="C108" s="4">
        <v>5384.1421071774403</v>
      </c>
      <c r="D108" s="3">
        <v>268500</v>
      </c>
    </row>
    <row r="109" spans="1:4" hidden="1">
      <c r="A109" s="3">
        <v>31690.999999999996</v>
      </c>
      <c r="B109" s="3">
        <v>1758</v>
      </c>
      <c r="C109" s="4">
        <v>4595.14987977277</v>
      </c>
      <c r="D109" s="3">
        <v>259400</v>
      </c>
    </row>
    <row r="110" spans="1:4" hidden="1">
      <c r="A110" s="3">
        <v>39000</v>
      </c>
      <c r="B110" s="3">
        <v>3481</v>
      </c>
      <c r="C110" s="4">
        <v>5923.3072356235598</v>
      </c>
      <c r="D110" s="3">
        <v>275700</v>
      </c>
    </row>
    <row r="111" spans="1:4" hidden="1">
      <c r="A111" s="3">
        <v>39063</v>
      </c>
      <c r="B111" s="3">
        <v>3337</v>
      </c>
      <c r="C111" s="4">
        <v>5216.6129854913097</v>
      </c>
      <c r="D111" s="3">
        <v>225000</v>
      </c>
    </row>
    <row r="112" spans="1:4" hidden="1">
      <c r="A112" s="3">
        <v>50917</v>
      </c>
      <c r="B112" s="3">
        <v>1424</v>
      </c>
      <c r="C112" s="4">
        <v>5216.6129854913097</v>
      </c>
      <c r="D112" s="3">
        <v>262500</v>
      </c>
    </row>
    <row r="113" spans="1:4" hidden="1">
      <c r="A113" s="3">
        <v>26429</v>
      </c>
      <c r="B113" s="3">
        <v>3809</v>
      </c>
      <c r="C113" s="4">
        <v>5216.6129854913097</v>
      </c>
      <c r="D113" s="3">
        <v>218500</v>
      </c>
    </row>
    <row r="114" spans="1:4" hidden="1">
      <c r="A114" s="3">
        <v>44233</v>
      </c>
      <c r="B114" s="3">
        <v>3959</v>
      </c>
      <c r="C114" s="4">
        <v>5216.6129854913097</v>
      </c>
      <c r="D114" s="3">
        <v>255000</v>
      </c>
    </row>
    <row r="115" spans="1:4" hidden="1">
      <c r="A115" s="3">
        <v>31484</v>
      </c>
      <c r="B115" s="3">
        <v>2376</v>
      </c>
      <c r="C115" s="4">
        <v>5981.9362813173502</v>
      </c>
      <c r="D115" s="3">
        <v>224100</v>
      </c>
    </row>
    <row r="116" spans="1:4" hidden="1">
      <c r="A116" s="3">
        <v>34722</v>
      </c>
      <c r="B116" s="3">
        <v>1613</v>
      </c>
      <c r="C116" s="4">
        <v>5981.9362813173502</v>
      </c>
      <c r="D116" s="3">
        <v>243100</v>
      </c>
    </row>
    <row r="117" spans="1:4" hidden="1">
      <c r="A117" s="3">
        <v>31429</v>
      </c>
      <c r="B117" s="3">
        <v>1279</v>
      </c>
      <c r="C117" s="4">
        <v>5981.9362813173502</v>
      </c>
      <c r="D117" s="3">
        <v>231600</v>
      </c>
    </row>
    <row r="118" spans="1:4" hidden="1">
      <c r="A118" s="3">
        <v>24234</v>
      </c>
      <c r="B118" s="3">
        <v>5022</v>
      </c>
      <c r="C118" s="4">
        <v>5981.9362813173502</v>
      </c>
      <c r="D118" s="3">
        <v>218500</v>
      </c>
    </row>
    <row r="119" spans="1:4" hidden="1">
      <c r="A119" s="3">
        <v>30897</v>
      </c>
      <c r="B119" s="3">
        <v>4190</v>
      </c>
      <c r="C119" s="4">
        <v>5981.9362813173502</v>
      </c>
      <c r="D119" s="3">
        <v>234100</v>
      </c>
    </row>
    <row r="120" spans="1:4" hidden="1">
      <c r="A120" s="3">
        <v>58596</v>
      </c>
      <c r="B120" s="3">
        <v>2515</v>
      </c>
      <c r="C120" s="4">
        <v>8006.9337455886998</v>
      </c>
      <c r="D120" s="3">
        <v>327600</v>
      </c>
    </row>
    <row r="121" spans="1:4" hidden="1">
      <c r="A121" s="3">
        <v>52868.000000000007</v>
      </c>
      <c r="B121" s="3">
        <v>3175</v>
      </c>
      <c r="C121" s="4">
        <v>8006.9337455886998</v>
      </c>
      <c r="D121" s="3">
        <v>347600</v>
      </c>
    </row>
    <row r="122" spans="1:4" hidden="1">
      <c r="A122" s="3">
        <v>59560.000000000007</v>
      </c>
      <c r="B122" s="3">
        <v>2576</v>
      </c>
      <c r="C122" s="4">
        <v>6607.1940213289499</v>
      </c>
      <c r="D122" s="3">
        <v>366100</v>
      </c>
    </row>
    <row r="123" spans="1:4" hidden="1">
      <c r="A123" s="3">
        <v>49643</v>
      </c>
      <c r="B123" s="3">
        <v>334</v>
      </c>
      <c r="C123" s="4">
        <v>8259.0851093229303</v>
      </c>
      <c r="D123" s="3">
        <v>335000</v>
      </c>
    </row>
    <row r="124" spans="1:4" hidden="1">
      <c r="A124" s="3">
        <v>63434</v>
      </c>
      <c r="B124" s="3">
        <v>2800</v>
      </c>
      <c r="C124" s="4">
        <v>8810.4982854766404</v>
      </c>
      <c r="D124" s="3">
        <v>373600</v>
      </c>
    </row>
    <row r="125" spans="1:4" hidden="1">
      <c r="A125" s="3">
        <v>51773</v>
      </c>
      <c r="B125" s="3">
        <v>3529</v>
      </c>
      <c r="C125" s="4">
        <v>7395.76357883113</v>
      </c>
      <c r="D125" s="3">
        <v>389500</v>
      </c>
    </row>
    <row r="126" spans="1:4" hidden="1">
      <c r="A126" s="3">
        <v>72354</v>
      </c>
      <c r="B126" s="3">
        <v>2612</v>
      </c>
      <c r="C126" s="4">
        <v>8259.0851093229303</v>
      </c>
      <c r="D126" s="3">
        <v>391100</v>
      </c>
    </row>
    <row r="127" spans="1:4" hidden="1">
      <c r="A127" s="3">
        <v>54570</v>
      </c>
      <c r="B127" s="3">
        <v>5287</v>
      </c>
      <c r="C127" s="4">
        <v>9411.7133642204099</v>
      </c>
      <c r="D127" s="3">
        <v>337300</v>
      </c>
    </row>
    <row r="128" spans="1:4" hidden="1">
      <c r="A128" s="3">
        <v>75000</v>
      </c>
      <c r="B128" s="3">
        <v>2935</v>
      </c>
      <c r="C128" s="4">
        <v>8664.1757534493408</v>
      </c>
      <c r="D128" s="3">
        <v>295200</v>
      </c>
    </row>
    <row r="129" spans="1:4" hidden="1">
      <c r="A129" s="3">
        <v>60194</v>
      </c>
      <c r="B129" s="3">
        <v>3424</v>
      </c>
      <c r="C129" s="4">
        <v>9357.7870904273404</v>
      </c>
      <c r="D129" s="3">
        <v>292300</v>
      </c>
    </row>
    <row r="130" spans="1:4" hidden="1">
      <c r="A130" s="3">
        <v>75544</v>
      </c>
      <c r="B130" s="3">
        <v>4991</v>
      </c>
      <c r="C130" s="4">
        <v>8748.1613890563804</v>
      </c>
      <c r="D130" s="3">
        <v>411500</v>
      </c>
    </row>
    <row r="131" spans="1:4" hidden="1">
      <c r="A131" s="3">
        <v>60666</v>
      </c>
      <c r="B131" s="3">
        <v>2211</v>
      </c>
      <c r="C131" s="4">
        <v>10080.262947580901</v>
      </c>
      <c r="D131" s="3">
        <v>311500</v>
      </c>
    </row>
    <row r="132" spans="1:4" hidden="1">
      <c r="A132" s="3">
        <v>70548</v>
      </c>
      <c r="B132" s="3">
        <v>3038</v>
      </c>
      <c r="C132" s="4">
        <v>9357.7870904273404</v>
      </c>
      <c r="D132" s="3">
        <v>325900</v>
      </c>
    </row>
    <row r="133" spans="1:4" hidden="1">
      <c r="A133" s="3">
        <v>116016.99999999999</v>
      </c>
      <c r="B133" s="3">
        <v>1617</v>
      </c>
      <c r="C133" s="4">
        <v>10825.8259229329</v>
      </c>
      <c r="D133" s="3">
        <v>392600</v>
      </c>
    </row>
    <row r="134" spans="1:4" hidden="1">
      <c r="A134" s="3">
        <v>74882</v>
      </c>
      <c r="B134" s="3">
        <v>2865</v>
      </c>
      <c r="C134" s="4">
        <v>10080.262947580901</v>
      </c>
      <c r="D134" s="3">
        <v>319300</v>
      </c>
    </row>
    <row r="135" spans="1:4" hidden="1">
      <c r="A135" s="3">
        <v>68976</v>
      </c>
      <c r="B135" s="3">
        <v>5065</v>
      </c>
      <c r="C135" s="4">
        <v>8748.1613890563804</v>
      </c>
      <c r="D135" s="3">
        <v>333300</v>
      </c>
    </row>
    <row r="136" spans="1:4" hidden="1">
      <c r="A136" s="3">
        <v>82049</v>
      </c>
      <c r="B136" s="3">
        <v>1326</v>
      </c>
      <c r="C136" s="4">
        <v>10303.624156869901</v>
      </c>
      <c r="D136" s="3">
        <v>335200</v>
      </c>
    </row>
    <row r="137" spans="1:4" hidden="1">
      <c r="A137" s="3">
        <v>84010</v>
      </c>
      <c r="B137" s="3">
        <v>1589</v>
      </c>
      <c r="C137" s="4">
        <v>9517.1294347624607</v>
      </c>
      <c r="D137" s="3">
        <v>351200</v>
      </c>
    </row>
    <row r="138" spans="1:4" hidden="1">
      <c r="A138" s="3">
        <v>68538</v>
      </c>
      <c r="B138" s="3">
        <v>1791</v>
      </c>
      <c r="C138" s="4">
        <v>10303.624156869901</v>
      </c>
      <c r="D138" s="3">
        <v>368900</v>
      </c>
    </row>
    <row r="139" spans="1:4" hidden="1">
      <c r="A139" s="3">
        <v>83170</v>
      </c>
      <c r="B139" s="3">
        <v>1835</v>
      </c>
      <c r="C139" s="4">
        <v>9879.4582441998991</v>
      </c>
      <c r="D139" s="3">
        <v>365900</v>
      </c>
    </row>
    <row r="140" spans="1:4" hidden="1">
      <c r="A140" s="3">
        <v>70175</v>
      </c>
      <c r="B140" s="3">
        <v>1229</v>
      </c>
      <c r="C140" s="4">
        <v>9056.0844276589796</v>
      </c>
      <c r="D140" s="3">
        <v>366700</v>
      </c>
    </row>
    <row r="141" spans="1:4" hidden="1">
      <c r="A141" s="3">
        <v>63301.999999999993</v>
      </c>
      <c r="B141" s="3">
        <v>3770</v>
      </c>
      <c r="C141" s="4">
        <v>9056.0844276589796</v>
      </c>
      <c r="D141" s="3">
        <v>362800</v>
      </c>
    </row>
    <row r="142" spans="1:4" hidden="1">
      <c r="A142" s="3">
        <v>63624</v>
      </c>
      <c r="B142" s="3">
        <v>292</v>
      </c>
      <c r="C142" s="4">
        <v>9430.4481651929691</v>
      </c>
      <c r="D142" s="3">
        <v>483300</v>
      </c>
    </row>
    <row r="143" spans="1:4" hidden="1">
      <c r="A143" s="3">
        <v>70549</v>
      </c>
      <c r="B143" s="3">
        <v>2375</v>
      </c>
      <c r="C143" s="4">
        <v>8244.1092502941501</v>
      </c>
      <c r="D143" s="3">
        <v>331400</v>
      </c>
    </row>
    <row r="144" spans="1:4" hidden="1">
      <c r="A144" s="3">
        <v>67851</v>
      </c>
      <c r="B144" s="3">
        <v>2964</v>
      </c>
      <c r="C144" s="4">
        <v>8713.3482967782402</v>
      </c>
      <c r="D144" s="3">
        <v>323500</v>
      </c>
    </row>
    <row r="145" spans="1:4" hidden="1">
      <c r="A145" s="3">
        <v>28929</v>
      </c>
      <c r="B145" s="3">
        <v>2833</v>
      </c>
      <c r="C145" s="4">
        <v>7632.4268854803504</v>
      </c>
      <c r="D145" s="3">
        <v>216700</v>
      </c>
    </row>
    <row r="146" spans="1:4" hidden="1">
      <c r="A146" s="3">
        <v>30812</v>
      </c>
      <c r="B146" s="3">
        <v>2254</v>
      </c>
      <c r="C146" s="4">
        <v>7632.4268854803504</v>
      </c>
      <c r="D146" s="3">
        <v>233100</v>
      </c>
    </row>
    <row r="147" spans="1:4" hidden="1">
      <c r="A147" s="3">
        <v>52402</v>
      </c>
      <c r="B147" s="3">
        <v>1389</v>
      </c>
      <c r="C147" s="4">
        <v>7865.9524633190404</v>
      </c>
      <c r="D147" s="3">
        <v>296400</v>
      </c>
    </row>
    <row r="148" spans="1:4" hidden="1">
      <c r="A148" s="3">
        <v>65217</v>
      </c>
      <c r="B148" s="3">
        <v>1971</v>
      </c>
      <c r="C148" s="4">
        <v>7026.22866235321</v>
      </c>
      <c r="D148" s="3">
        <v>273700</v>
      </c>
    </row>
    <row r="149" spans="1:4" hidden="1">
      <c r="A149" s="3">
        <v>32632</v>
      </c>
      <c r="B149" s="3">
        <v>2183</v>
      </c>
      <c r="C149" s="4">
        <v>6763.6475365435599</v>
      </c>
      <c r="D149" s="3">
        <v>227700</v>
      </c>
    </row>
    <row r="150" spans="1:4" hidden="1">
      <c r="A150" s="3">
        <v>30298</v>
      </c>
      <c r="B150" s="3">
        <v>2286</v>
      </c>
      <c r="C150" s="4">
        <v>6763.6475365435599</v>
      </c>
      <c r="D150" s="3">
        <v>199600</v>
      </c>
    </row>
    <row r="151" spans="1:4" hidden="1">
      <c r="A151" s="3">
        <v>45428</v>
      </c>
      <c r="B151" s="3">
        <v>2721</v>
      </c>
      <c r="C151" s="4">
        <v>6763.6475365435599</v>
      </c>
      <c r="D151" s="3">
        <v>239800</v>
      </c>
    </row>
    <row r="152" spans="1:4" hidden="1">
      <c r="A152" s="3">
        <v>40720</v>
      </c>
      <c r="B152" s="3">
        <v>2024</v>
      </c>
      <c r="C152" s="4">
        <v>7026.22866235321</v>
      </c>
      <c r="D152" s="3">
        <v>270100</v>
      </c>
    </row>
    <row r="153" spans="1:4" hidden="1">
      <c r="A153" s="3">
        <v>53509</v>
      </c>
      <c r="B153" s="3">
        <v>2944</v>
      </c>
      <c r="C153" s="4">
        <v>7026.22866235321</v>
      </c>
      <c r="D153" s="3">
        <v>302100</v>
      </c>
    </row>
    <row r="154" spans="1:4" hidden="1">
      <c r="A154" s="3">
        <v>48652</v>
      </c>
      <c r="B154" s="3">
        <v>2033</v>
      </c>
      <c r="C154" s="4">
        <v>5897.7992904624798</v>
      </c>
      <c r="D154" s="3">
        <v>269500</v>
      </c>
    </row>
    <row r="155" spans="1:4" hidden="1">
      <c r="A155" s="3">
        <v>47708.000000000007</v>
      </c>
      <c r="B155" s="3">
        <v>1433</v>
      </c>
      <c r="C155" s="4">
        <v>6197.2963351423896</v>
      </c>
      <c r="D155" s="3">
        <v>314700</v>
      </c>
    </row>
    <row r="156" spans="1:4" hidden="1">
      <c r="A156" s="3">
        <v>81564</v>
      </c>
      <c r="B156" s="3">
        <v>2927</v>
      </c>
      <c r="C156" s="4">
        <v>7026.22866235321</v>
      </c>
      <c r="D156" s="3">
        <v>390100</v>
      </c>
    </row>
    <row r="157" spans="1:4" hidden="1">
      <c r="A157" s="3">
        <v>88793</v>
      </c>
      <c r="B157" s="3">
        <v>2315</v>
      </c>
      <c r="C157" s="4">
        <v>6197.2963351423896</v>
      </c>
      <c r="D157" s="3">
        <v>410300</v>
      </c>
    </row>
    <row r="158" spans="1:4" hidden="1">
      <c r="A158" s="3">
        <v>68591</v>
      </c>
      <c r="B158" s="3">
        <v>2485</v>
      </c>
      <c r="C158" s="4">
        <v>5384.1421071774403</v>
      </c>
      <c r="D158" s="3">
        <v>352400</v>
      </c>
    </row>
    <row r="159" spans="1:4" hidden="1">
      <c r="A159" s="3">
        <v>60302</v>
      </c>
      <c r="B159" s="3">
        <v>1490</v>
      </c>
      <c r="C159" s="4">
        <v>5384.1421071774403</v>
      </c>
      <c r="D159" s="3">
        <v>287300</v>
      </c>
    </row>
    <row r="160" spans="1:4" hidden="1">
      <c r="A160" s="3">
        <v>75080</v>
      </c>
      <c r="B160" s="3">
        <v>2814</v>
      </c>
      <c r="C160" s="4">
        <v>6197.2963351423896</v>
      </c>
      <c r="D160" s="3">
        <v>348700</v>
      </c>
    </row>
    <row r="161" spans="1:4" hidden="1">
      <c r="A161" s="3">
        <v>34668</v>
      </c>
      <c r="B161" s="3">
        <v>2093</v>
      </c>
      <c r="C161" s="4">
        <v>5384.1421071774403</v>
      </c>
      <c r="D161" s="3">
        <v>243800</v>
      </c>
    </row>
    <row r="162" spans="1:4" hidden="1">
      <c r="A162" s="3">
        <v>41944</v>
      </c>
      <c r="B162" s="3">
        <v>888</v>
      </c>
      <c r="C162" s="4">
        <v>5036.3941171790602</v>
      </c>
      <c r="D162" s="3">
        <v>211500</v>
      </c>
    </row>
    <row r="163" spans="1:4" hidden="1">
      <c r="A163" s="3">
        <v>30149</v>
      </c>
      <c r="B163" s="3">
        <v>2087</v>
      </c>
      <c r="C163" s="4">
        <v>4182.1783564641</v>
      </c>
      <c r="D163" s="3">
        <v>218400</v>
      </c>
    </row>
    <row r="164" spans="1:4" hidden="1">
      <c r="A164" s="3">
        <v>36750</v>
      </c>
      <c r="B164" s="3">
        <v>2513</v>
      </c>
      <c r="C164" s="4">
        <v>5384.1421071774403</v>
      </c>
      <c r="D164" s="3">
        <v>269900</v>
      </c>
    </row>
    <row r="165" spans="1:4" hidden="1">
      <c r="A165" s="3">
        <v>32250</v>
      </c>
      <c r="B165" s="3">
        <v>3232</v>
      </c>
      <c r="C165" s="4">
        <v>4595.14987977277</v>
      </c>
      <c r="D165" s="3">
        <v>218800</v>
      </c>
    </row>
    <row r="166" spans="1:4" hidden="1">
      <c r="A166" s="3">
        <v>29345</v>
      </c>
      <c r="B166" s="3">
        <v>4120</v>
      </c>
      <c r="C166" s="4">
        <v>4182.1783564641</v>
      </c>
      <c r="D166" s="3">
        <v>225000</v>
      </c>
    </row>
    <row r="167" spans="1:4" hidden="1">
      <c r="A167" s="3">
        <v>58743</v>
      </c>
      <c r="B167" s="3">
        <v>2364</v>
      </c>
      <c r="C167" s="4">
        <v>4182.1783564641</v>
      </c>
      <c r="D167" s="3">
        <v>250000</v>
      </c>
    </row>
    <row r="168" spans="1:4" hidden="1">
      <c r="A168" s="3">
        <v>16121</v>
      </c>
      <c r="B168" s="3">
        <v>1471</v>
      </c>
      <c r="C168" s="4">
        <v>4182.1783564641</v>
      </c>
      <c r="D168" s="3">
        <v>171400</v>
      </c>
    </row>
    <row r="169" spans="1:4" hidden="1">
      <c r="A169" s="3">
        <v>13929</v>
      </c>
      <c r="B169" s="3">
        <v>2468</v>
      </c>
      <c r="C169" s="4">
        <v>4182.1783564641</v>
      </c>
      <c r="D169" s="3">
        <v>193800</v>
      </c>
    </row>
    <row r="170" spans="1:4" hidden="1">
      <c r="A170" s="3">
        <v>23173</v>
      </c>
      <c r="B170" s="3">
        <v>1632</v>
      </c>
      <c r="C170" s="4">
        <v>4920.8136550187701</v>
      </c>
      <c r="D170" s="3">
        <v>125000</v>
      </c>
    </row>
    <row r="171" spans="1:4" hidden="1">
      <c r="A171" s="3">
        <v>17772</v>
      </c>
      <c r="B171" s="3">
        <v>1786</v>
      </c>
      <c r="C171" s="4">
        <v>4042.1146945014102</v>
      </c>
      <c r="D171" s="3">
        <v>97500</v>
      </c>
    </row>
    <row r="172" spans="1:4" hidden="1">
      <c r="A172" s="3">
        <v>26458</v>
      </c>
      <c r="B172" s="3">
        <v>629</v>
      </c>
      <c r="C172" s="4">
        <v>4042.1146945014102</v>
      </c>
      <c r="D172" s="3">
        <v>125000</v>
      </c>
    </row>
    <row r="173" spans="1:4" hidden="1">
      <c r="A173" s="3">
        <v>21810</v>
      </c>
      <c r="B173" s="3">
        <v>1339</v>
      </c>
      <c r="C173" s="4">
        <v>4042.1146945014102</v>
      </c>
      <c r="D173" s="3">
        <v>138800</v>
      </c>
    </row>
    <row r="174" spans="1:4" hidden="1">
      <c r="A174" s="3">
        <v>22303</v>
      </c>
      <c r="B174" s="3">
        <v>1678</v>
      </c>
      <c r="C174" s="4">
        <v>4182.1783564641</v>
      </c>
      <c r="D174" s="3">
        <v>116700</v>
      </c>
    </row>
    <row r="175" spans="1:4" hidden="1">
      <c r="A175" s="3">
        <v>16504</v>
      </c>
      <c r="B175" s="3">
        <v>2344</v>
      </c>
      <c r="C175" s="4">
        <v>4182.1783564641</v>
      </c>
      <c r="D175" s="3">
        <v>151800</v>
      </c>
    </row>
    <row r="176" spans="1:4" hidden="1">
      <c r="A176" s="3">
        <v>22697</v>
      </c>
      <c r="B176" s="3">
        <v>996</v>
      </c>
      <c r="C176" s="4">
        <v>5036.3941171790602</v>
      </c>
      <c r="D176" s="3">
        <v>127000</v>
      </c>
    </row>
    <row r="177" spans="1:4" hidden="1">
      <c r="A177" s="3">
        <v>21563</v>
      </c>
      <c r="B177" s="3">
        <v>1591</v>
      </c>
      <c r="C177" s="4">
        <v>5036.3941171790602</v>
      </c>
      <c r="D177" s="3">
        <v>128600</v>
      </c>
    </row>
    <row r="178" spans="1:4" hidden="1">
      <c r="A178" s="3">
        <v>21347.999999999996</v>
      </c>
      <c r="B178" s="3">
        <v>1586</v>
      </c>
      <c r="C178" s="4">
        <v>5036.3941171790602</v>
      </c>
      <c r="D178" s="3">
        <v>140600</v>
      </c>
    </row>
    <row r="179" spans="1:4" hidden="1">
      <c r="A179" s="3">
        <v>36292</v>
      </c>
      <c r="B179" s="3">
        <v>2046</v>
      </c>
      <c r="C179" s="4">
        <v>5036.3941171790602</v>
      </c>
      <c r="D179" s="3">
        <v>182700</v>
      </c>
    </row>
    <row r="180" spans="1:4" hidden="1">
      <c r="A180" s="3">
        <v>23833.000000000004</v>
      </c>
      <c r="B180" s="3">
        <v>1192</v>
      </c>
      <c r="C180" s="4">
        <v>5897.7992904624798</v>
      </c>
      <c r="D180" s="3">
        <v>146900</v>
      </c>
    </row>
    <row r="181" spans="1:4" hidden="1">
      <c r="A181" s="3">
        <v>20570</v>
      </c>
      <c r="B181" s="3">
        <v>1803</v>
      </c>
      <c r="C181" s="4">
        <v>5036.3941171790602</v>
      </c>
      <c r="D181" s="3">
        <v>122800</v>
      </c>
    </row>
    <row r="182" spans="1:4" hidden="1">
      <c r="A182" s="3">
        <v>25238</v>
      </c>
      <c r="B182" s="3">
        <v>2838</v>
      </c>
      <c r="C182" s="4">
        <v>5036.3941171790602</v>
      </c>
      <c r="D182" s="3">
        <v>169300</v>
      </c>
    </row>
    <row r="183" spans="1:4" hidden="1">
      <c r="A183" s="3">
        <v>19375</v>
      </c>
      <c r="B183" s="3">
        <v>783</v>
      </c>
      <c r="C183" s="4">
        <v>5897.7992904624798</v>
      </c>
      <c r="D183" s="3">
        <v>126600</v>
      </c>
    </row>
    <row r="184" spans="1:4" hidden="1">
      <c r="A184" s="3">
        <v>19028</v>
      </c>
      <c r="B184" s="3">
        <v>1590</v>
      </c>
      <c r="C184" s="4">
        <v>5897.7992904624798</v>
      </c>
      <c r="D184" s="3">
        <v>127900</v>
      </c>
    </row>
    <row r="185" spans="1:4" hidden="1">
      <c r="A185" s="3">
        <v>22500</v>
      </c>
      <c r="B185" s="3">
        <v>1346</v>
      </c>
      <c r="C185" s="4">
        <v>5897.7992904624798</v>
      </c>
      <c r="D185" s="3">
        <v>123500</v>
      </c>
    </row>
    <row r="186" spans="1:4" hidden="1">
      <c r="A186" s="3">
        <v>23929</v>
      </c>
      <c r="B186" s="3">
        <v>1252</v>
      </c>
      <c r="C186" s="4">
        <v>5897.7992904624798</v>
      </c>
      <c r="D186" s="3">
        <v>111900</v>
      </c>
    </row>
    <row r="187" spans="1:4" hidden="1">
      <c r="A187" s="3">
        <v>11300</v>
      </c>
      <c r="B187" s="3">
        <v>5963</v>
      </c>
      <c r="C187" s="4">
        <v>5799.52176777353</v>
      </c>
      <c r="D187" s="3">
        <v>112800</v>
      </c>
    </row>
    <row r="188" spans="1:4" hidden="1">
      <c r="A188" s="3">
        <v>13683</v>
      </c>
      <c r="B188" s="3">
        <v>1783</v>
      </c>
      <c r="C188" s="4">
        <v>5799.52176777353</v>
      </c>
      <c r="D188" s="3">
        <v>107900</v>
      </c>
    </row>
    <row r="189" spans="1:4" hidden="1">
      <c r="A189" s="3">
        <v>18854</v>
      </c>
      <c r="B189" s="3">
        <v>999</v>
      </c>
      <c r="C189" s="4">
        <v>5799.52176777353</v>
      </c>
      <c r="D189" s="3">
        <v>137500</v>
      </c>
    </row>
    <row r="190" spans="1:4" hidden="1">
      <c r="A190" s="3">
        <v>15732</v>
      </c>
      <c r="B190" s="3">
        <v>1469</v>
      </c>
      <c r="C190" s="4">
        <v>4920.8136550187701</v>
      </c>
      <c r="D190" s="3">
        <v>105500</v>
      </c>
    </row>
    <row r="191" spans="1:4" hidden="1">
      <c r="A191" s="3">
        <v>12338</v>
      </c>
      <c r="B191" s="3">
        <v>1372</v>
      </c>
      <c r="C191" s="4">
        <v>4920.8136550187701</v>
      </c>
      <c r="D191" s="3">
        <v>95500</v>
      </c>
    </row>
    <row r="192" spans="1:4" hidden="1">
      <c r="A192" s="3">
        <v>12694</v>
      </c>
      <c r="B192" s="3">
        <v>674</v>
      </c>
      <c r="C192" s="4">
        <v>4920.8136550187701</v>
      </c>
      <c r="D192" s="3">
        <v>116100</v>
      </c>
    </row>
    <row r="193" spans="1:4" hidden="1">
      <c r="A193" s="3">
        <v>9754</v>
      </c>
      <c r="B193" s="3">
        <v>1626</v>
      </c>
      <c r="C193" s="4">
        <v>4920.8136550187701</v>
      </c>
      <c r="D193" s="3">
        <v>112200</v>
      </c>
    </row>
    <row r="194" spans="1:4" hidden="1">
      <c r="A194" s="3">
        <v>21000</v>
      </c>
      <c r="B194" s="3">
        <v>175</v>
      </c>
      <c r="C194" s="4">
        <v>4042.1146945014102</v>
      </c>
      <c r="D194" s="3">
        <v>75000</v>
      </c>
    </row>
    <row r="195" spans="1:4" hidden="1">
      <c r="A195" s="3">
        <v>16000</v>
      </c>
      <c r="B195" s="3">
        <v>461</v>
      </c>
      <c r="C195" s="4">
        <v>4042.1146945014102</v>
      </c>
      <c r="D195" s="3">
        <v>112500</v>
      </c>
    </row>
    <row r="196" spans="1:4" hidden="1">
      <c r="A196" s="3">
        <v>12984</v>
      </c>
      <c r="B196" s="3">
        <v>1102</v>
      </c>
      <c r="C196" s="4">
        <v>4042.1146945014102</v>
      </c>
      <c r="D196" s="3">
        <v>125000</v>
      </c>
    </row>
    <row r="197" spans="1:4" hidden="1">
      <c r="A197" s="3">
        <v>15437</v>
      </c>
      <c r="B197" s="3">
        <v>2373</v>
      </c>
      <c r="C197" s="4">
        <v>3340.6716189762201</v>
      </c>
      <c r="D197" s="3">
        <v>115000</v>
      </c>
    </row>
    <row r="198" spans="1:4" hidden="1">
      <c r="A198" s="3">
        <v>16471</v>
      </c>
      <c r="B198" s="3">
        <v>391</v>
      </c>
      <c r="C198" s="4">
        <v>4226.27769924116</v>
      </c>
      <c r="D198" s="3">
        <v>95000</v>
      </c>
    </row>
    <row r="199" spans="1:4" hidden="1">
      <c r="A199" s="3">
        <v>12763</v>
      </c>
      <c r="B199" s="3">
        <v>1137</v>
      </c>
      <c r="C199" s="4">
        <v>4226.27769924116</v>
      </c>
      <c r="D199" s="3">
        <v>96400</v>
      </c>
    </row>
    <row r="200" spans="1:4" hidden="1">
      <c r="A200" s="3">
        <v>18342</v>
      </c>
      <c r="B200" s="3">
        <v>769</v>
      </c>
      <c r="C200" s="4">
        <v>4276.7966160791302</v>
      </c>
      <c r="D200" s="3">
        <v>72000</v>
      </c>
    </row>
    <row r="201" spans="1:4" hidden="1">
      <c r="A201" s="3">
        <v>12897</v>
      </c>
      <c r="B201" s="3">
        <v>472</v>
      </c>
      <c r="C201" s="4">
        <v>5377.3719516156698</v>
      </c>
      <c r="D201" s="3">
        <v>71300</v>
      </c>
    </row>
    <row r="202" spans="1:4" hidden="1">
      <c r="A202" s="3">
        <v>36923</v>
      </c>
      <c r="B202" s="3">
        <v>1165</v>
      </c>
      <c r="C202" s="4">
        <v>10451.3385118023</v>
      </c>
      <c r="D202" s="3">
        <v>213200</v>
      </c>
    </row>
    <row r="203" spans="1:4" hidden="1">
      <c r="A203" s="3">
        <v>46786</v>
      </c>
      <c r="B203" s="3">
        <v>4371</v>
      </c>
      <c r="C203" s="4">
        <v>9757.7875295580707</v>
      </c>
      <c r="D203" s="3">
        <v>256000</v>
      </c>
    </row>
    <row r="204" spans="1:4" hidden="1">
      <c r="A204" s="3">
        <v>38750</v>
      </c>
      <c r="B204" s="3">
        <v>838</v>
      </c>
      <c r="C204" s="4">
        <v>11040.8924339472</v>
      </c>
      <c r="D204" s="3">
        <v>237500</v>
      </c>
    </row>
    <row r="205" spans="1:4" hidden="1">
      <c r="A205" s="3">
        <v>23617</v>
      </c>
      <c r="B205" s="3">
        <v>3052</v>
      </c>
      <c r="C205" s="4">
        <v>9629.1576725103496</v>
      </c>
      <c r="D205" s="3">
        <v>178100</v>
      </c>
    </row>
    <row r="206" spans="1:4" hidden="1">
      <c r="A206" s="3">
        <v>37579</v>
      </c>
      <c r="B206" s="3">
        <v>4313</v>
      </c>
      <c r="C206" s="4">
        <v>10266.1194193027</v>
      </c>
      <c r="D206" s="3">
        <v>231800</v>
      </c>
    </row>
    <row r="207" spans="1:4" hidden="1">
      <c r="A207" s="3">
        <v>28750</v>
      </c>
      <c r="B207" s="3">
        <v>1026</v>
      </c>
      <c r="C207" s="4">
        <v>6039.2582231923598</v>
      </c>
      <c r="D207" s="3">
        <v>160000</v>
      </c>
    </row>
    <row r="208" spans="1:4" hidden="1">
      <c r="A208" s="3">
        <v>13715</v>
      </c>
      <c r="B208" s="3">
        <v>2170</v>
      </c>
      <c r="C208" s="4">
        <v>5084.1441665572802</v>
      </c>
      <c r="D208" s="3">
        <v>143900</v>
      </c>
    </row>
    <row r="209" spans="1:11" hidden="1">
      <c r="A209" s="3">
        <v>15114</v>
      </c>
      <c r="B209" s="3">
        <v>2329</v>
      </c>
      <c r="C209" s="4">
        <v>5084.1441665572802</v>
      </c>
      <c r="D209" s="3">
        <v>151200</v>
      </c>
    </row>
    <row r="210" spans="1:11" hidden="1">
      <c r="A210" s="3">
        <v>23125</v>
      </c>
      <c r="B210" s="3">
        <v>2492</v>
      </c>
      <c r="C210" s="4">
        <v>5339.2582231923598</v>
      </c>
      <c r="D210" s="3">
        <v>164400</v>
      </c>
    </row>
    <row r="211" spans="1:11" hidden="1">
      <c r="A211" s="3">
        <v>32200.000000000004</v>
      </c>
      <c r="B211" s="3">
        <v>2198</v>
      </c>
      <c r="C211" s="4">
        <v>4739.2582231923598</v>
      </c>
      <c r="D211" s="3">
        <v>156500</v>
      </c>
    </row>
    <row r="212" spans="1:11" hidden="1">
      <c r="A212" s="3">
        <v>38750</v>
      </c>
      <c r="B212" s="3">
        <v>142</v>
      </c>
      <c r="C212" s="4">
        <v>6498.1659216378503</v>
      </c>
      <c r="D212" s="3">
        <v>225000</v>
      </c>
    </row>
    <row r="213" spans="1:11">
      <c r="A213" s="3">
        <v>32328</v>
      </c>
      <c r="B213" s="3">
        <v>1183</v>
      </c>
      <c r="C213" s="4">
        <v>6039.2582231923598</v>
      </c>
      <c r="D213" s="3">
        <v>174200</v>
      </c>
    </row>
    <row r="214" spans="1:11">
      <c r="A214" s="3">
        <v>27262</v>
      </c>
      <c r="B214" s="3">
        <v>1070</v>
      </c>
      <c r="C214" s="4">
        <v>6039.2582231923598</v>
      </c>
      <c r="D214" s="3">
        <v>166900</v>
      </c>
    </row>
    <row r="215" spans="1:11">
      <c r="A215" s="3">
        <v>25893</v>
      </c>
      <c r="B215" s="3">
        <v>1766</v>
      </c>
      <c r="C215" s="4">
        <v>5680.2179970399602</v>
      </c>
      <c r="D215" s="3">
        <v>163500</v>
      </c>
    </row>
    <row r="216" spans="1:11">
      <c r="A216" s="3">
        <v>52577.999999999993</v>
      </c>
      <c r="B216" s="3">
        <v>617</v>
      </c>
      <c r="C216" s="4">
        <v>7437.9004004202197</v>
      </c>
      <c r="D216" s="3">
        <v>253000</v>
      </c>
    </row>
    <row r="217" spans="1:11">
      <c r="A217" s="3">
        <v>50875</v>
      </c>
      <c r="B217" s="3">
        <v>1411</v>
      </c>
      <c r="C217" s="4">
        <v>7437.9004004202197</v>
      </c>
      <c r="D217" s="3">
        <v>240700</v>
      </c>
    </row>
    <row r="218" spans="1:11">
      <c r="A218" s="3">
        <v>39712</v>
      </c>
      <c r="B218" s="3">
        <v>2109</v>
      </c>
      <c r="C218" s="4">
        <v>7437.9004004202197</v>
      </c>
      <c r="D218" s="3">
        <v>208100</v>
      </c>
    </row>
    <row r="219" spans="1:11">
      <c r="A219" s="3">
        <v>29514</v>
      </c>
      <c r="B219" s="3">
        <v>1229</v>
      </c>
      <c r="C219" s="4">
        <v>7040.5695824775703</v>
      </c>
      <c r="D219" s="3">
        <v>198100</v>
      </c>
    </row>
    <row r="221" spans="1:11">
      <c r="A221" s="17">
        <v>19167</v>
      </c>
      <c r="B221" s="17">
        <v>2643</v>
      </c>
      <c r="C221" s="18">
        <v>7349.62</v>
      </c>
      <c r="D221" s="17">
        <v>159200</v>
      </c>
      <c r="I221" s="26"/>
      <c r="J221" s="26"/>
      <c r="K221" s="26"/>
    </row>
    <row r="222" spans="1:11">
      <c r="I222" s="26"/>
      <c r="J222" s="26"/>
      <c r="K222" s="26"/>
    </row>
    <row r="223" spans="1:11">
      <c r="I223" s="26"/>
      <c r="J223" s="26"/>
      <c r="K223" s="26"/>
    </row>
    <row r="224" spans="1:11">
      <c r="I224" s="26"/>
      <c r="J224" s="26"/>
      <c r="K224" s="26"/>
    </row>
    <row r="225" spans="1:11">
      <c r="I225" s="26"/>
      <c r="J225" s="26"/>
      <c r="K225" s="26"/>
    </row>
    <row r="226" spans="1:11">
      <c r="I226" s="26"/>
      <c r="J226" s="26"/>
      <c r="K226" s="26"/>
    </row>
    <row r="228" spans="1:11">
      <c r="A228">
        <f>RSQ($D$2:$D$219,A2:A219)</f>
        <v>0.76448892010356684</v>
      </c>
      <c r="B228">
        <f>RSQ($D$2:$D$219,B2:B219)</f>
        <v>0.14637225445629415</v>
      </c>
      <c r="C228">
        <f>RSQ($D$2:$D$219,C2:C219)</f>
        <v>0.42470296808802616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D21"/>
  <sheetViews>
    <sheetView workbookViewId="0">
      <selection activeCell="B16" sqref="B16"/>
    </sheetView>
  </sheetViews>
  <sheetFormatPr defaultRowHeight="14.4"/>
  <cols>
    <col min="2" max="2" width="21.77734375" bestFit="1" customWidth="1"/>
  </cols>
  <sheetData>
    <row r="2" spans="2:4">
      <c r="B2" s="29" t="s">
        <v>10</v>
      </c>
      <c r="C2" s="29"/>
      <c r="D2" s="29"/>
    </row>
    <row r="3" spans="2:4">
      <c r="B3" s="5" t="s">
        <v>11</v>
      </c>
      <c r="C3" s="6" t="s">
        <v>12</v>
      </c>
      <c r="D3" s="6" t="s">
        <v>13</v>
      </c>
    </row>
    <row r="4" spans="2:4">
      <c r="B4" s="5" t="s">
        <v>14</v>
      </c>
      <c r="C4" s="13">
        <v>0.76448892010356617</v>
      </c>
      <c r="D4" s="13">
        <v>0.76339859102997154</v>
      </c>
    </row>
    <row r="5" spans="2:4">
      <c r="B5" s="5" t="s">
        <v>15</v>
      </c>
      <c r="C5" s="13">
        <v>0.14637225445629404</v>
      </c>
      <c r="D5" s="13">
        <v>0.14242027415285094</v>
      </c>
    </row>
    <row r="6" spans="2:4">
      <c r="B6" s="5" t="s">
        <v>16</v>
      </c>
      <c r="C6" s="13">
        <v>0.42470296808802577</v>
      </c>
      <c r="D6" s="13">
        <v>0.42203955590324799</v>
      </c>
    </row>
    <row r="7" spans="2:4">
      <c r="B7" s="5" t="s">
        <v>17</v>
      </c>
      <c r="C7" s="13">
        <v>0.78673470683832525</v>
      </c>
      <c r="D7" s="13">
        <v>0.78475084364612369</v>
      </c>
    </row>
    <row r="8" spans="2:4">
      <c r="B8" s="5" t="s">
        <v>18</v>
      </c>
      <c r="C8" s="13">
        <v>0.77628341202958906</v>
      </c>
      <c r="D8" s="13">
        <v>0.77420232749032936</v>
      </c>
    </row>
    <row r="9" spans="2:4">
      <c r="B9" s="5" t="s">
        <v>19</v>
      </c>
      <c r="C9" s="13">
        <v>0.79320400820576975</v>
      </c>
      <c r="D9" s="13">
        <v>0.79030499897500961</v>
      </c>
    </row>
    <row r="10" spans="2:4">
      <c r="B10" s="5" t="s">
        <v>20</v>
      </c>
      <c r="C10" s="13">
        <v>0.79846461050128603</v>
      </c>
      <c r="D10" s="13">
        <v>0.79467990835107538</v>
      </c>
    </row>
    <row r="11" spans="2:4">
      <c r="B11" s="5" t="s">
        <v>21</v>
      </c>
      <c r="C11" s="13">
        <v>0.79332753218393914</v>
      </c>
      <c r="D11" s="13">
        <v>0.78944635907941219</v>
      </c>
    </row>
    <row r="12" spans="2:4">
      <c r="B12" s="5" t="s">
        <v>22</v>
      </c>
      <c r="C12" s="13">
        <v>0.79397864386221673</v>
      </c>
      <c r="D12" s="13">
        <v>0.79010969820704713</v>
      </c>
    </row>
    <row r="13" spans="2:4">
      <c r="B13" s="5" t="s">
        <v>23</v>
      </c>
      <c r="C13" s="13">
        <v>0.79846777758367204</v>
      </c>
      <c r="D13" s="13">
        <v>0.7937146591304568</v>
      </c>
    </row>
    <row r="14" spans="2:4">
      <c r="B14" s="5" t="s">
        <v>24</v>
      </c>
      <c r="C14" s="13">
        <v>0.79850069890087783</v>
      </c>
      <c r="D14" s="13">
        <v>0.79374835689382306</v>
      </c>
    </row>
    <row r="15" spans="2:4">
      <c r="B15" s="5" t="s">
        <v>25</v>
      </c>
      <c r="C15" s="13">
        <v>0.79850119740711123</v>
      </c>
      <c r="D15" s="13">
        <v>0.79277137363669736</v>
      </c>
    </row>
    <row r="16" spans="2:4">
      <c r="B16" s="5" t="s">
        <v>26</v>
      </c>
      <c r="C16" s="14">
        <v>0.80289737399679673</v>
      </c>
      <c r="D16" s="14">
        <v>0.79824872715709849</v>
      </c>
    </row>
    <row r="17" spans="2:4">
      <c r="B17" s="5" t="s">
        <v>27</v>
      </c>
      <c r="C17" s="13">
        <v>0.79867821530621663</v>
      </c>
      <c r="D17" s="13">
        <v>0.79393006000683497</v>
      </c>
    </row>
    <row r="18" spans="2:4">
      <c r="B18" s="5" t="s">
        <v>28</v>
      </c>
      <c r="C18" s="13">
        <v>0.79869030281041498</v>
      </c>
      <c r="D18" s="13">
        <v>0.79394243259367947</v>
      </c>
    </row>
    <row r="19" spans="2:4">
      <c r="B19" s="5" t="s">
        <v>29</v>
      </c>
      <c r="C19" s="13">
        <v>0.80329170903156399</v>
      </c>
      <c r="D19" s="13">
        <v>0.79769810834051846</v>
      </c>
    </row>
    <row r="20" spans="2:4">
      <c r="B20" s="5" t="s">
        <v>30</v>
      </c>
      <c r="C20" s="13">
        <v>0.80322662271619971</v>
      </c>
      <c r="D20" s="13">
        <v>0.79763117122945659</v>
      </c>
    </row>
    <row r="21" spans="2:4">
      <c r="B21" s="5" t="s">
        <v>31</v>
      </c>
      <c r="C21" s="13">
        <v>0.80354241074157029</v>
      </c>
      <c r="D21" s="13">
        <v>0.79699382443295597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U221"/>
  <sheetViews>
    <sheetView workbookViewId="0">
      <selection activeCell="J11" sqref="J11"/>
    </sheetView>
  </sheetViews>
  <sheetFormatPr defaultRowHeight="14.4"/>
  <cols>
    <col min="2" max="2" width="10.109375" bestFit="1" customWidth="1"/>
    <col min="3" max="3" width="12.44140625" bestFit="1" customWidth="1"/>
    <col min="6" max="6" width="14" bestFit="1" customWidth="1"/>
    <col min="7" max="7" width="9.44140625" bestFit="1" customWidth="1"/>
    <col min="10" max="10" width="11.10937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s="3" t="s">
        <v>77</v>
      </c>
      <c r="M1" s="20" t="s">
        <v>36</v>
      </c>
      <c r="N1" s="20"/>
      <c r="O1" s="20"/>
      <c r="P1" s="20"/>
      <c r="Q1" s="20"/>
      <c r="R1" s="20"/>
      <c r="S1" s="20"/>
      <c r="T1" s="20"/>
      <c r="U1" s="20"/>
    </row>
    <row r="2" spans="1:21" ht="15" thickBot="1">
      <c r="A2" s="3">
        <v>83252</v>
      </c>
      <c r="B2" s="3">
        <v>6930895504</v>
      </c>
      <c r="C2" s="3">
        <v>577010912499008</v>
      </c>
      <c r="D2" s="3">
        <v>880</v>
      </c>
      <c r="E2" s="4">
        <v>9263.0407728503797</v>
      </c>
      <c r="F2" s="3">
        <v>452600</v>
      </c>
      <c r="G2" s="1">
        <f>$J$3+$J$4*A2+$J$5*B2+$J$6*C2+$J$7*D2+$J$8*E2</f>
        <v>376975.99049261049</v>
      </c>
      <c r="M2" s="20"/>
      <c r="N2" s="20"/>
      <c r="O2" s="20"/>
      <c r="P2" s="20"/>
      <c r="Q2" s="20"/>
      <c r="R2" s="20"/>
      <c r="S2" s="20"/>
      <c r="T2" s="20"/>
      <c r="U2" s="20"/>
    </row>
    <row r="3" spans="1:21">
      <c r="A3" s="3">
        <v>83014</v>
      </c>
      <c r="B3" s="3">
        <v>6891324196</v>
      </c>
      <c r="C3" s="3">
        <v>572076386806744</v>
      </c>
      <c r="D3" s="3">
        <v>7099</v>
      </c>
      <c r="E3" s="4">
        <v>8225.7330715423996</v>
      </c>
      <c r="F3" s="3">
        <v>358500</v>
      </c>
      <c r="G3" s="1">
        <f t="shared" ref="G3:G66" si="0">$J$3+$J$4*A3+$J$5*B3+$J$6*C3+$J$7*D3+$J$8*E3</f>
        <v>433388.65381515963</v>
      </c>
      <c r="I3" s="16" t="s">
        <v>70</v>
      </c>
      <c r="J3" s="15">
        <f>N17</f>
        <v>43097.681693861057</v>
      </c>
      <c r="M3" s="21" t="s">
        <v>37</v>
      </c>
      <c r="N3" s="21"/>
      <c r="O3" s="20"/>
      <c r="P3" s="20"/>
      <c r="Q3" s="20"/>
      <c r="R3" s="20"/>
      <c r="S3" s="20"/>
      <c r="T3" s="20"/>
      <c r="U3" s="20"/>
    </row>
    <row r="4" spans="1:21">
      <c r="A4" s="3">
        <v>72574</v>
      </c>
      <c r="B4" s="3">
        <v>5266985476</v>
      </c>
      <c r="C4" s="3">
        <v>382246203935224</v>
      </c>
      <c r="D4" s="3">
        <v>1467</v>
      </c>
      <c r="E4" s="4">
        <v>8259.0851093229303</v>
      </c>
      <c r="F4" s="3">
        <v>352100</v>
      </c>
      <c r="G4" s="1">
        <f t="shared" si="0"/>
        <v>352721.62046064605</v>
      </c>
      <c r="I4" s="16" t="s">
        <v>71</v>
      </c>
      <c r="J4" s="15">
        <f t="shared" ref="J4:J8" si="1">N18</f>
        <v>2.4108914273536324</v>
      </c>
      <c r="M4" s="22" t="s">
        <v>38</v>
      </c>
      <c r="N4" s="22">
        <v>0.89604540844579783</v>
      </c>
      <c r="O4" s="20"/>
      <c r="P4" s="20"/>
      <c r="Q4" s="20"/>
      <c r="R4" s="20"/>
      <c r="S4" s="20"/>
      <c r="T4" s="20"/>
      <c r="U4" s="20"/>
    </row>
    <row r="5" spans="1:21">
      <c r="A5" s="3">
        <v>56430.999999999993</v>
      </c>
      <c r="B5" s="3">
        <v>3184457760.999999</v>
      </c>
      <c r="C5" s="3">
        <v>179702135910990.94</v>
      </c>
      <c r="D5" s="3">
        <v>1274</v>
      </c>
      <c r="E5" s="4">
        <v>7768.0865708363999</v>
      </c>
      <c r="F5" s="3">
        <v>341300</v>
      </c>
      <c r="G5" s="1">
        <f t="shared" si="0"/>
        <v>295237.46232311585</v>
      </c>
      <c r="I5" s="16" t="s">
        <v>72</v>
      </c>
      <c r="J5" s="15">
        <f t="shared" si="1"/>
        <v>4.1617980600295786E-5</v>
      </c>
      <c r="M5" s="22" t="s">
        <v>39</v>
      </c>
      <c r="N5" s="22">
        <v>0.80289737399679673</v>
      </c>
      <c r="O5" s="20"/>
      <c r="P5" s="20"/>
      <c r="Q5" s="20"/>
      <c r="R5" s="20"/>
      <c r="S5" s="20"/>
      <c r="T5" s="20"/>
      <c r="U5" s="20"/>
    </row>
    <row r="6" spans="1:21">
      <c r="A6" s="3">
        <v>38462</v>
      </c>
      <c r="B6" s="3">
        <v>1479325444</v>
      </c>
      <c r="C6" s="3">
        <v>56897815227128</v>
      </c>
      <c r="D6" s="3">
        <v>1627</v>
      </c>
      <c r="E6" s="4">
        <v>7768.0865708363999</v>
      </c>
      <c r="F6" s="3">
        <v>342200</v>
      </c>
      <c r="G6" s="1">
        <f t="shared" si="0"/>
        <v>228239.56641528715</v>
      </c>
      <c r="I6" s="16" t="s">
        <v>73</v>
      </c>
      <c r="J6" s="15">
        <f t="shared" si="1"/>
        <v>-3.5661440004824756E-10</v>
      </c>
      <c r="M6" s="22" t="s">
        <v>40</v>
      </c>
      <c r="N6" s="22">
        <v>0.79824872715709849</v>
      </c>
      <c r="O6" s="20"/>
      <c r="P6" s="20"/>
      <c r="Q6" s="20"/>
      <c r="R6" s="20"/>
      <c r="S6" s="20"/>
      <c r="T6" s="20"/>
      <c r="U6" s="20"/>
    </row>
    <row r="7" spans="1:21">
      <c r="A7" s="3">
        <v>40368.000000000007</v>
      </c>
      <c r="B7" s="3">
        <v>1629575424.0000005</v>
      </c>
      <c r="C7" s="3">
        <v>65782700716032.031</v>
      </c>
      <c r="D7" s="3">
        <v>919</v>
      </c>
      <c r="E7" s="4">
        <v>7768.0865708363999</v>
      </c>
      <c r="F7" s="3">
        <v>269700</v>
      </c>
      <c r="G7" s="1">
        <f t="shared" si="0"/>
        <v>228911.97990281397</v>
      </c>
      <c r="I7" s="16" t="s">
        <v>74</v>
      </c>
      <c r="J7" s="15">
        <f t="shared" si="1"/>
        <v>9.8974127368943261</v>
      </c>
      <c r="M7" s="22" t="s">
        <v>41</v>
      </c>
      <c r="N7" s="22">
        <v>43422.158399724212</v>
      </c>
      <c r="O7" s="20"/>
      <c r="P7" s="20"/>
      <c r="Q7" s="20"/>
      <c r="R7" s="20"/>
      <c r="S7" s="20"/>
      <c r="T7" s="20"/>
      <c r="U7" s="20"/>
    </row>
    <row r="8" spans="1:21" ht="15" thickBot="1">
      <c r="A8" s="3">
        <v>36591</v>
      </c>
      <c r="B8" s="3">
        <v>1338901281</v>
      </c>
      <c r="C8" s="3">
        <v>48991736773071</v>
      </c>
      <c r="D8" s="3">
        <v>2535</v>
      </c>
      <c r="E8" s="4">
        <v>6843.0208473749799</v>
      </c>
      <c r="F8" s="3">
        <v>299200</v>
      </c>
      <c r="G8" s="1">
        <f t="shared" si="0"/>
        <v>225518.71797424057</v>
      </c>
      <c r="I8" s="16" t="s">
        <v>75</v>
      </c>
      <c r="J8" s="15">
        <f t="shared" si="1"/>
        <v>4.5101364939105864</v>
      </c>
      <c r="M8" s="23" t="s">
        <v>42</v>
      </c>
      <c r="N8" s="23">
        <v>218</v>
      </c>
      <c r="O8" s="20"/>
      <c r="P8" s="20"/>
      <c r="Q8" s="20"/>
      <c r="R8" s="20"/>
      <c r="S8" s="20"/>
      <c r="T8" s="20"/>
      <c r="U8" s="20"/>
    </row>
    <row r="9" spans="1:21">
      <c r="A9" s="3">
        <v>31200</v>
      </c>
      <c r="B9" s="3">
        <v>973440000</v>
      </c>
      <c r="C9" s="3">
        <v>30371328000000</v>
      </c>
      <c r="D9" s="3">
        <v>3104</v>
      </c>
      <c r="E9" s="4">
        <v>6843.0208473749799</v>
      </c>
      <c r="F9" s="3">
        <v>241400</v>
      </c>
      <c r="G9" s="1">
        <f t="shared" si="0"/>
        <v>209583.77553711462</v>
      </c>
      <c r="M9" s="20"/>
      <c r="N9" s="20"/>
      <c r="O9" s="20"/>
      <c r="P9" s="20"/>
      <c r="Q9" s="20"/>
      <c r="R9" s="20"/>
      <c r="S9" s="20"/>
      <c r="T9" s="20"/>
      <c r="U9" s="20"/>
    </row>
    <row r="10" spans="1:21" ht="15" thickBot="1">
      <c r="A10" s="3">
        <v>34982</v>
      </c>
      <c r="B10" s="3">
        <v>1223740324</v>
      </c>
      <c r="C10" s="3">
        <v>42808884014168</v>
      </c>
      <c r="D10" s="3">
        <v>2555</v>
      </c>
      <c r="E10" s="4">
        <v>6363.9480126176904</v>
      </c>
      <c r="F10" s="3">
        <v>226700</v>
      </c>
      <c r="G10" s="1">
        <f t="shared" si="0"/>
        <v>217088.9858999518</v>
      </c>
      <c r="I10" s="16" t="s">
        <v>76</v>
      </c>
      <c r="J10" s="15">
        <f>SUMXMY2(G2:G219,F2:F219)/COUNT(G2:G219)</f>
        <v>1833589789.4460402</v>
      </c>
      <c r="M10" s="20" t="s">
        <v>43</v>
      </c>
      <c r="N10" s="20"/>
      <c r="O10" s="20"/>
      <c r="P10" s="20"/>
      <c r="Q10" s="20"/>
      <c r="R10" s="20"/>
      <c r="S10" s="20"/>
      <c r="T10" s="20"/>
      <c r="U10" s="20"/>
    </row>
    <row r="11" spans="1:21">
      <c r="A11" s="3">
        <v>42912</v>
      </c>
      <c r="B11" s="3">
        <v>1841439744</v>
      </c>
      <c r="C11" s="3">
        <v>79019862294528</v>
      </c>
      <c r="D11" s="3">
        <v>3549</v>
      </c>
      <c r="E11" s="4">
        <v>6843.0208473749799</v>
      </c>
      <c r="F11" s="3">
        <v>261100</v>
      </c>
      <c r="G11" s="1">
        <f t="shared" si="0"/>
        <v>261000.11323838236</v>
      </c>
      <c r="M11" s="24"/>
      <c r="N11" s="24" t="s">
        <v>48</v>
      </c>
      <c r="O11" s="24" t="s">
        <v>49</v>
      </c>
      <c r="P11" s="24" t="s">
        <v>50</v>
      </c>
      <c r="Q11" s="24" t="s">
        <v>51</v>
      </c>
      <c r="R11" s="24" t="s">
        <v>52</v>
      </c>
      <c r="S11" s="20"/>
      <c r="T11" s="20"/>
      <c r="U11" s="20"/>
    </row>
    <row r="12" spans="1:21">
      <c r="A12" s="3">
        <v>39765</v>
      </c>
      <c r="B12" s="3">
        <v>1581255225</v>
      </c>
      <c r="C12" s="3">
        <v>62878614022125</v>
      </c>
      <c r="D12" s="3">
        <v>2202</v>
      </c>
      <c r="E12" s="4">
        <v>7349.6208416098098</v>
      </c>
      <c r="F12" s="3">
        <v>281500</v>
      </c>
      <c r="G12" s="1">
        <f t="shared" si="0"/>
        <v>237293.90538617072</v>
      </c>
      <c r="M12" s="22" t="s">
        <v>44</v>
      </c>
      <c r="N12" s="22">
        <v>5</v>
      </c>
      <c r="O12" s="22">
        <v>1628269554695.3367</v>
      </c>
      <c r="P12" s="22">
        <v>325653910939.06732</v>
      </c>
      <c r="Q12" s="22">
        <v>172.71636277900694</v>
      </c>
      <c r="R12" s="22">
        <v>1.0419241067609332E-72</v>
      </c>
      <c r="S12" s="20"/>
      <c r="T12" s="20"/>
      <c r="U12" s="20"/>
    </row>
    <row r="13" spans="1:21">
      <c r="A13" s="3">
        <v>32705.000000000004</v>
      </c>
      <c r="B13" s="3">
        <v>1069617025.0000002</v>
      </c>
      <c r="C13" s="3">
        <v>34981824802625.012</v>
      </c>
      <c r="D13" s="3">
        <v>3503</v>
      </c>
      <c r="E13" s="4">
        <v>7349.6208416098098</v>
      </c>
      <c r="F13" s="3">
        <v>241800</v>
      </c>
      <c r="G13" s="1">
        <f t="shared" si="0"/>
        <v>221804.59394856775</v>
      </c>
      <c r="M13" s="22" t="s">
        <v>45</v>
      </c>
      <c r="N13" s="22">
        <v>212</v>
      </c>
      <c r="O13" s="22">
        <v>399722574099.23682</v>
      </c>
      <c r="P13" s="22">
        <v>1885483840.0907397</v>
      </c>
      <c r="Q13" s="22"/>
      <c r="R13" s="22"/>
      <c r="S13" s="20"/>
      <c r="T13" s="20"/>
      <c r="U13" s="20"/>
    </row>
    <row r="14" spans="1:21" ht="15" thickBot="1">
      <c r="A14" s="3">
        <v>30750</v>
      </c>
      <c r="B14" s="3">
        <v>945562500</v>
      </c>
      <c r="C14" s="3">
        <v>29076046875000</v>
      </c>
      <c r="D14" s="3">
        <v>2491</v>
      </c>
      <c r="E14" s="4">
        <v>7349.6208416098098</v>
      </c>
      <c r="F14" s="3">
        <v>213500</v>
      </c>
      <c r="G14" s="1">
        <f t="shared" si="0"/>
        <v>204018.30615600361</v>
      </c>
      <c r="M14" s="23" t="s">
        <v>46</v>
      </c>
      <c r="N14" s="23">
        <v>217</v>
      </c>
      <c r="O14" s="23">
        <v>2027992128794.5735</v>
      </c>
      <c r="P14" s="23"/>
      <c r="Q14" s="23"/>
      <c r="R14" s="23"/>
      <c r="S14" s="20"/>
      <c r="T14" s="20"/>
      <c r="U14" s="20"/>
    </row>
    <row r="15" spans="1:21" ht="15" thickBot="1">
      <c r="A15" s="3">
        <v>26736</v>
      </c>
      <c r="B15" s="3">
        <v>714813696</v>
      </c>
      <c r="C15" s="3">
        <v>19111258976256</v>
      </c>
      <c r="D15" s="3">
        <v>696</v>
      </c>
      <c r="E15" s="4">
        <v>6363.9480126176904</v>
      </c>
      <c r="F15" s="3">
        <v>191300</v>
      </c>
      <c r="G15" s="1">
        <f t="shared" si="0"/>
        <v>166079.90071649253</v>
      </c>
      <c r="M15" s="20"/>
      <c r="N15" s="20"/>
      <c r="O15" s="20"/>
      <c r="P15" s="20"/>
      <c r="Q15" s="20"/>
      <c r="R15" s="20"/>
      <c r="S15" s="20"/>
      <c r="T15" s="20"/>
      <c r="U15" s="20"/>
    </row>
    <row r="16" spans="1:21">
      <c r="A16" s="3">
        <v>19167</v>
      </c>
      <c r="B16" s="3">
        <v>367373889</v>
      </c>
      <c r="C16" s="3">
        <v>7041455330463</v>
      </c>
      <c r="D16" s="3">
        <v>2643</v>
      </c>
      <c r="E16" s="4">
        <v>7349.6208416098098</v>
      </c>
      <c r="F16" s="3">
        <v>159200</v>
      </c>
      <c r="G16" s="1">
        <f t="shared" si="0"/>
        <v>161392.16773702769</v>
      </c>
      <c r="M16" s="24"/>
      <c r="N16" s="24" t="s">
        <v>53</v>
      </c>
      <c r="O16" s="24" t="s">
        <v>41</v>
      </c>
      <c r="P16" s="24" t="s">
        <v>54</v>
      </c>
      <c r="Q16" s="24" t="s">
        <v>55</v>
      </c>
      <c r="R16" s="24" t="s">
        <v>56</v>
      </c>
      <c r="S16" s="24" t="s">
        <v>57</v>
      </c>
      <c r="T16" s="24" t="s">
        <v>58</v>
      </c>
      <c r="U16" s="24" t="s">
        <v>59</v>
      </c>
    </row>
    <row r="17" spans="1:21">
      <c r="A17" s="3">
        <v>16250</v>
      </c>
      <c r="B17" s="3">
        <v>264062500</v>
      </c>
      <c r="C17" s="3">
        <v>4291015625000</v>
      </c>
      <c r="D17" s="3">
        <v>1120</v>
      </c>
      <c r="E17" s="4">
        <v>7349.6208416098098</v>
      </c>
      <c r="F17" s="3">
        <v>140000</v>
      </c>
      <c r="G17" s="1">
        <f t="shared" si="0"/>
        <v>135967.07286738805</v>
      </c>
      <c r="M17" s="22" t="s">
        <v>47</v>
      </c>
      <c r="N17" s="22">
        <v>43097.681693861057</v>
      </c>
      <c r="O17" s="22">
        <v>15431.09484713492</v>
      </c>
      <c r="P17" s="22">
        <v>2.7929114635610559</v>
      </c>
      <c r="Q17" s="22">
        <v>5.7015627347048684E-3</v>
      </c>
      <c r="R17" s="22">
        <v>12679.645008950698</v>
      </c>
      <c r="S17" s="22">
        <v>73515.718378771417</v>
      </c>
      <c r="T17" s="22">
        <v>12679.645008950698</v>
      </c>
      <c r="U17" s="22">
        <v>73515.718378771417</v>
      </c>
    </row>
    <row r="18" spans="1:21">
      <c r="A18" s="3">
        <v>19750</v>
      </c>
      <c r="B18" s="3">
        <v>390062500</v>
      </c>
      <c r="C18" s="3">
        <v>7703734375000</v>
      </c>
      <c r="D18" s="3">
        <v>1966</v>
      </c>
      <c r="E18" s="4">
        <v>7016.6772439486404</v>
      </c>
      <c r="F18" s="3">
        <v>152500</v>
      </c>
      <c r="G18" s="1">
        <f t="shared" si="0"/>
        <v>155303.62387438543</v>
      </c>
      <c r="M18" s="22" t="s">
        <v>0</v>
      </c>
      <c r="N18" s="22">
        <v>2.4108914273536324</v>
      </c>
      <c r="O18" s="22">
        <v>1.2181659266670983</v>
      </c>
      <c r="P18" s="22">
        <v>1.9791157957847587</v>
      </c>
      <c r="Q18" s="22">
        <v>4.9097225255369775E-2</v>
      </c>
      <c r="R18" s="22">
        <v>9.622028601446786E-3</v>
      </c>
      <c r="S18" s="22">
        <v>4.812160826105818</v>
      </c>
      <c r="T18" s="22">
        <v>9.622028601446786E-3</v>
      </c>
      <c r="U18" s="22">
        <v>4.812160826105818</v>
      </c>
    </row>
    <row r="19" spans="1:21">
      <c r="A19" s="3">
        <v>21202</v>
      </c>
      <c r="B19" s="3">
        <v>449524804</v>
      </c>
      <c r="C19" s="3">
        <v>9530824894408</v>
      </c>
      <c r="D19" s="3">
        <v>1228</v>
      </c>
      <c r="E19" s="4">
        <v>7016.6772439486404</v>
      </c>
      <c r="F19" s="3">
        <v>155500</v>
      </c>
      <c r="G19" s="1">
        <f t="shared" si="0"/>
        <v>153323.08185198327</v>
      </c>
      <c r="M19" s="22" t="s">
        <v>1</v>
      </c>
      <c r="N19" s="22">
        <v>4.1617980600295786E-5</v>
      </c>
      <c r="O19" s="22">
        <v>2.586279754674174E-5</v>
      </c>
      <c r="P19" s="22">
        <v>1.6091832496109426</v>
      </c>
      <c r="Q19" s="22">
        <v>0.10906434896186937</v>
      </c>
      <c r="R19" s="22">
        <v>-9.3632059159198794E-6</v>
      </c>
      <c r="S19" s="22">
        <v>9.2599167116511451E-5</v>
      </c>
      <c r="T19" s="22">
        <v>-9.3632059159198794E-6</v>
      </c>
      <c r="U19" s="22">
        <v>9.2599167116511451E-5</v>
      </c>
    </row>
    <row r="20" spans="1:21">
      <c r="A20" s="3">
        <v>19911</v>
      </c>
      <c r="B20" s="3">
        <v>396447921</v>
      </c>
      <c r="C20" s="3">
        <v>7893674555031</v>
      </c>
      <c r="D20" s="3">
        <v>2239</v>
      </c>
      <c r="E20" s="4">
        <v>6363.9480126176904</v>
      </c>
      <c r="F20" s="3">
        <v>158700</v>
      </c>
      <c r="G20" s="1">
        <f t="shared" si="0"/>
        <v>155647.88606844953</v>
      </c>
      <c r="M20" s="22" t="s">
        <v>2</v>
      </c>
      <c r="N20" s="22">
        <v>-3.5661440004824756E-10</v>
      </c>
      <c r="O20" s="22">
        <v>1.6332018769594052E-10</v>
      </c>
      <c r="P20" s="22">
        <v>-2.1835292077435664</v>
      </c>
      <c r="Q20" s="22">
        <v>3.0094415184627906E-2</v>
      </c>
      <c r="R20" s="22">
        <v>-6.7855393252697807E-10</v>
      </c>
      <c r="S20" s="22">
        <v>-3.4674867569517051E-11</v>
      </c>
      <c r="T20" s="22">
        <v>-6.7855393252697807E-10</v>
      </c>
      <c r="U20" s="22">
        <v>-3.4674867569517051E-11</v>
      </c>
    </row>
    <row r="21" spans="1:21">
      <c r="A21" s="3">
        <v>26033</v>
      </c>
      <c r="B21" s="3">
        <v>677717089</v>
      </c>
      <c r="C21" s="3">
        <v>17643008977937</v>
      </c>
      <c r="D21" s="3">
        <v>1503</v>
      </c>
      <c r="E21" s="4">
        <v>5976.2880582760299</v>
      </c>
      <c r="F21" s="3">
        <v>162900</v>
      </c>
      <c r="G21" s="1">
        <f t="shared" si="0"/>
        <v>169603.5700362412</v>
      </c>
      <c r="M21" s="22" t="s">
        <v>3</v>
      </c>
      <c r="N21" s="22">
        <v>9.8974127368943261</v>
      </c>
      <c r="O21" s="22">
        <v>2.5283764150132888</v>
      </c>
      <c r="P21" s="22">
        <v>3.9145329303517911</v>
      </c>
      <c r="Q21" s="22">
        <v>1.2207005832738717E-4</v>
      </c>
      <c r="R21" s="22">
        <v>4.9134341334956275</v>
      </c>
      <c r="S21" s="22">
        <v>14.881391340293025</v>
      </c>
      <c r="T21" s="22">
        <v>4.9134341334956275</v>
      </c>
      <c r="U21" s="22">
        <v>14.881391340293025</v>
      </c>
    </row>
    <row r="22" spans="1:21" ht="15" thickBot="1">
      <c r="A22" s="3">
        <v>43578</v>
      </c>
      <c r="B22" s="3">
        <v>1899042084</v>
      </c>
      <c r="C22" s="3">
        <v>82756455936552</v>
      </c>
      <c r="D22" s="3">
        <v>751</v>
      </c>
      <c r="E22" s="4">
        <v>7016.6772439486404</v>
      </c>
      <c r="F22" s="3">
        <v>147500</v>
      </c>
      <c r="G22" s="1">
        <f t="shared" si="0"/>
        <v>236760.79011153453</v>
      </c>
      <c r="M22" s="23" t="s">
        <v>4</v>
      </c>
      <c r="N22" s="23">
        <v>4.5101364939105864</v>
      </c>
      <c r="O22" s="23">
        <v>1.8586677993898568</v>
      </c>
      <c r="P22" s="23">
        <v>2.4265425458982635</v>
      </c>
      <c r="Q22" s="23">
        <v>1.6079374721399402E-2</v>
      </c>
      <c r="R22" s="23">
        <v>0.84629890707860245</v>
      </c>
      <c r="S22" s="23">
        <v>8.1739740807425711</v>
      </c>
      <c r="T22" s="23">
        <v>0.84629890707860245</v>
      </c>
      <c r="U22" s="23">
        <v>8.1739740807425711</v>
      </c>
    </row>
    <row r="23" spans="1:21">
      <c r="A23" s="3">
        <v>17135</v>
      </c>
      <c r="B23" s="3">
        <v>293608225</v>
      </c>
      <c r="C23" s="3">
        <v>5030976935375</v>
      </c>
      <c r="D23" s="3">
        <v>1639</v>
      </c>
      <c r="E23" s="4">
        <v>7016.6772439486404</v>
      </c>
      <c r="F23" s="3">
        <v>159800</v>
      </c>
      <c r="G23" s="1">
        <f t="shared" si="0"/>
        <v>142701.60047193203</v>
      </c>
      <c r="M23" s="20"/>
      <c r="N23" s="20"/>
      <c r="O23" s="20"/>
      <c r="P23" s="20"/>
      <c r="Q23" s="20"/>
      <c r="R23" s="20"/>
      <c r="S23" s="20"/>
      <c r="T23" s="20"/>
      <c r="U23" s="20"/>
    </row>
    <row r="24" spans="1:21">
      <c r="A24" s="3">
        <v>17250</v>
      </c>
      <c r="B24" s="3">
        <v>297562500</v>
      </c>
      <c r="C24" s="3">
        <v>5132953125000</v>
      </c>
      <c r="D24" s="3">
        <v>2436</v>
      </c>
      <c r="E24" s="4">
        <v>5976.2880582760299</v>
      </c>
      <c r="F24" s="3">
        <v>113900</v>
      </c>
      <c r="G24" s="1">
        <f t="shared" si="0"/>
        <v>146302.99646576639</v>
      </c>
      <c r="M24" s="20"/>
      <c r="N24" s="20"/>
      <c r="O24" s="20"/>
      <c r="P24" s="20"/>
      <c r="Q24" s="20"/>
      <c r="R24" s="20"/>
      <c r="S24" s="20"/>
      <c r="T24" s="20"/>
      <c r="U24" s="20"/>
    </row>
    <row r="25" spans="1:21">
      <c r="A25" s="3">
        <v>11806</v>
      </c>
      <c r="B25" s="3">
        <v>139381636</v>
      </c>
      <c r="C25" s="3">
        <v>1645539594616</v>
      </c>
      <c r="D25" s="3">
        <v>1688</v>
      </c>
      <c r="E25" s="4">
        <v>5976.2880582760299</v>
      </c>
      <c r="F25" s="3">
        <v>99700</v>
      </c>
      <c r="G25" s="1">
        <f t="shared" si="0"/>
        <v>120435.3325626243</v>
      </c>
      <c r="M25" s="20"/>
      <c r="N25" s="20"/>
      <c r="O25" s="20"/>
      <c r="P25" s="20"/>
      <c r="Q25" s="20"/>
      <c r="R25" s="20"/>
      <c r="S25" s="20"/>
      <c r="T25" s="20"/>
      <c r="U25" s="20"/>
    </row>
    <row r="26" spans="1:21" hidden="1">
      <c r="A26" s="3">
        <v>16000</v>
      </c>
      <c r="B26" s="3">
        <v>256000000</v>
      </c>
      <c r="C26" s="3">
        <v>4096000000000</v>
      </c>
      <c r="D26" s="3">
        <v>2224</v>
      </c>
      <c r="E26" s="4">
        <v>5976.2880582760299</v>
      </c>
      <c r="F26" s="3">
        <v>132600</v>
      </c>
      <c r="G26" s="1">
        <f t="shared" si="0"/>
        <v>139831.17577920301</v>
      </c>
    </row>
    <row r="27" spans="1:21" hidden="1">
      <c r="A27" s="3">
        <v>14038</v>
      </c>
      <c r="B27" s="3">
        <v>197065444</v>
      </c>
      <c r="C27" s="3">
        <v>2766404702872</v>
      </c>
      <c r="D27" s="3">
        <v>535</v>
      </c>
      <c r="E27" s="4">
        <v>6781.8631745086795</v>
      </c>
      <c r="F27" s="3">
        <v>107500</v>
      </c>
      <c r="G27" s="1">
        <f t="shared" si="0"/>
        <v>120038.94603732502</v>
      </c>
    </row>
    <row r="28" spans="1:21" hidden="1">
      <c r="A28" s="3">
        <v>14597</v>
      </c>
      <c r="B28" s="3">
        <v>213072409</v>
      </c>
      <c r="C28" s="3">
        <v>3110217954173</v>
      </c>
      <c r="D28" s="3">
        <v>1130</v>
      </c>
      <c r="E28" s="4">
        <v>6781.8631745086795</v>
      </c>
      <c r="F28" s="3">
        <v>93800</v>
      </c>
      <c r="G28" s="1">
        <f t="shared" si="0"/>
        <v>127819.16372616611</v>
      </c>
    </row>
    <row r="29" spans="1:21" hidden="1">
      <c r="A29" s="3">
        <v>18080</v>
      </c>
      <c r="B29" s="3">
        <v>326886400</v>
      </c>
      <c r="C29" s="3">
        <v>5910106112000</v>
      </c>
      <c r="D29" s="3">
        <v>1898</v>
      </c>
      <c r="E29" s="4">
        <v>6781.8631745086795</v>
      </c>
      <c r="F29" s="3">
        <v>105500</v>
      </c>
      <c r="G29" s="1">
        <f t="shared" si="0"/>
        <v>147555.73958344822</v>
      </c>
    </row>
    <row r="30" spans="1:21" hidden="1">
      <c r="A30" s="3">
        <v>16424</v>
      </c>
      <c r="B30" s="3">
        <v>269747776</v>
      </c>
      <c r="C30" s="3">
        <v>4430337473024</v>
      </c>
      <c r="D30" s="3">
        <v>2082</v>
      </c>
      <c r="E30" s="4">
        <v>5698.7269031743899</v>
      </c>
      <c r="F30" s="3">
        <v>108900</v>
      </c>
      <c r="G30" s="1">
        <f t="shared" si="0"/>
        <v>138649.0475583552</v>
      </c>
    </row>
    <row r="31" spans="1:21" hidden="1">
      <c r="A31" s="3">
        <v>16875</v>
      </c>
      <c r="B31" s="3">
        <v>284765625</v>
      </c>
      <c r="C31" s="3">
        <v>4805419921875</v>
      </c>
      <c r="D31" s="3">
        <v>729</v>
      </c>
      <c r="E31" s="4">
        <v>5698.7269031743899</v>
      </c>
      <c r="F31" s="3">
        <v>132000</v>
      </c>
      <c r="G31" s="1">
        <f t="shared" si="0"/>
        <v>126836.41290494819</v>
      </c>
    </row>
    <row r="32" spans="1:21" hidden="1">
      <c r="A32" s="3">
        <v>19274</v>
      </c>
      <c r="B32" s="3">
        <v>371487076</v>
      </c>
      <c r="C32" s="3">
        <v>7160041902824</v>
      </c>
      <c r="D32" s="3">
        <v>1916</v>
      </c>
      <c r="E32" s="4">
        <v>5698.7269031743899</v>
      </c>
      <c r="F32" s="3">
        <v>122300</v>
      </c>
      <c r="G32" s="1">
        <f t="shared" si="0"/>
        <v>147137.8499181341</v>
      </c>
    </row>
    <row r="33" spans="1:7" hidden="1">
      <c r="A33" s="3">
        <v>19615</v>
      </c>
      <c r="B33" s="3">
        <v>384748225</v>
      </c>
      <c r="C33" s="3">
        <v>7546836433375</v>
      </c>
      <c r="D33" s="3">
        <v>2153</v>
      </c>
      <c r="E33" s="4">
        <v>5698.7269031743899</v>
      </c>
      <c r="F33" s="3">
        <v>115200</v>
      </c>
      <c r="G33" s="1">
        <f t="shared" si="0"/>
        <v>150719.61645587088</v>
      </c>
    </row>
    <row r="34" spans="1:7" hidden="1">
      <c r="A34" s="3">
        <v>17969</v>
      </c>
      <c r="B34" s="3">
        <v>322884961</v>
      </c>
      <c r="C34" s="3">
        <v>5801919864209</v>
      </c>
      <c r="D34" s="3">
        <v>1922</v>
      </c>
      <c r="E34" s="4">
        <v>5976.2880582760299</v>
      </c>
      <c r="F34" s="3">
        <v>110400</v>
      </c>
      <c r="G34" s="1">
        <f t="shared" si="0"/>
        <v>143764.46377356449</v>
      </c>
    </row>
    <row r="35" spans="1:7" hidden="1">
      <c r="A35" s="3">
        <v>13750</v>
      </c>
      <c r="B35" s="3">
        <v>189062500</v>
      </c>
      <c r="C35" s="3">
        <v>2599609375000</v>
      </c>
      <c r="D35" s="3">
        <v>1655</v>
      </c>
      <c r="E35" s="4">
        <v>4967.0051944367697</v>
      </c>
      <c r="F35" s="3">
        <v>104900</v>
      </c>
      <c r="G35" s="1">
        <f t="shared" si="0"/>
        <v>121970.86961202433</v>
      </c>
    </row>
    <row r="36" spans="1:7" hidden="1">
      <c r="A36" s="3">
        <v>12303</v>
      </c>
      <c r="B36" s="3">
        <v>151363809</v>
      </c>
      <c r="C36" s="3">
        <v>1862228942127</v>
      </c>
      <c r="D36" s="3">
        <v>2665</v>
      </c>
      <c r="E36" s="4">
        <v>4967.0051944367697</v>
      </c>
      <c r="F36" s="3">
        <v>109700</v>
      </c>
      <c r="G36" s="1">
        <f t="shared" si="0"/>
        <v>127172.71367088867</v>
      </c>
    </row>
    <row r="37" spans="1:7" hidden="1">
      <c r="A37" s="3">
        <v>44861</v>
      </c>
      <c r="B37" s="3">
        <v>2012509321</v>
      </c>
      <c r="C37" s="3">
        <v>90283180649381</v>
      </c>
      <c r="D37" s="3">
        <v>1215</v>
      </c>
      <c r="E37" s="4">
        <v>4967.0051944367697</v>
      </c>
      <c r="F37" s="3">
        <v>97200</v>
      </c>
      <c r="G37" s="1">
        <f t="shared" si="0"/>
        <v>237240.20146213757</v>
      </c>
    </row>
    <row r="38" spans="1:7" hidden="1">
      <c r="A38" s="3">
        <v>10972</v>
      </c>
      <c r="B38" s="3">
        <v>120384784</v>
      </c>
      <c r="C38" s="3">
        <v>1320861850048</v>
      </c>
      <c r="D38" s="3">
        <v>1798</v>
      </c>
      <c r="E38" s="4">
        <v>4967.0051944367697</v>
      </c>
      <c r="F38" s="3">
        <v>104500</v>
      </c>
      <c r="G38" s="1">
        <f t="shared" si="0"/>
        <v>114286.53517747513</v>
      </c>
    </row>
    <row r="39" spans="1:7" hidden="1">
      <c r="A39" s="3">
        <v>14103.000000000002</v>
      </c>
      <c r="B39" s="3">
        <v>198894609.00000006</v>
      </c>
      <c r="C39" s="3">
        <v>2805010670727.001</v>
      </c>
      <c r="D39" s="3">
        <v>1511</v>
      </c>
      <c r="E39" s="4">
        <v>4629.27324947942</v>
      </c>
      <c r="F39" s="3">
        <v>103900</v>
      </c>
      <c r="G39" s="1">
        <f t="shared" si="0"/>
        <v>120209.41314343302</v>
      </c>
    </row>
    <row r="40" spans="1:7" hidden="1">
      <c r="A40" s="3">
        <v>34800</v>
      </c>
      <c r="B40" s="3">
        <v>1211040000</v>
      </c>
      <c r="C40" s="3">
        <v>42144192000000</v>
      </c>
      <c r="D40" s="3">
        <v>1470</v>
      </c>
      <c r="E40" s="4">
        <v>5427.3017456453399</v>
      </c>
      <c r="F40" s="3">
        <v>191400</v>
      </c>
      <c r="G40" s="1">
        <f t="shared" si="0"/>
        <v>201395.58523608587</v>
      </c>
    </row>
    <row r="41" spans="1:7" hidden="1">
      <c r="A41" s="3">
        <v>25898</v>
      </c>
      <c r="B41" s="3">
        <v>670706404</v>
      </c>
      <c r="C41" s="3">
        <v>17369954450792</v>
      </c>
      <c r="D41" s="3">
        <v>2432</v>
      </c>
      <c r="E41" s="4">
        <v>5427.3017456453399</v>
      </c>
      <c r="F41" s="3">
        <v>176000</v>
      </c>
      <c r="G41" s="1">
        <f t="shared" si="0"/>
        <v>175802.39754692369</v>
      </c>
    </row>
    <row r="42" spans="1:7" hidden="1">
      <c r="A42" s="3">
        <v>20978</v>
      </c>
      <c r="B42" s="3">
        <v>440076484</v>
      </c>
      <c r="C42" s="3">
        <v>9231924481352</v>
      </c>
      <c r="D42" s="3">
        <v>1665</v>
      </c>
      <c r="E42" s="4">
        <v>5427.3017456453399</v>
      </c>
      <c r="F42" s="3">
        <v>155400</v>
      </c>
      <c r="G42" s="1">
        <f t="shared" si="0"/>
        <v>149653.2832938646</v>
      </c>
    </row>
    <row r="43" spans="1:7" hidden="1">
      <c r="A43" s="3">
        <v>22852</v>
      </c>
      <c r="B43" s="3">
        <v>522213904</v>
      </c>
      <c r="C43" s="3">
        <v>11933632134208</v>
      </c>
      <c r="D43" s="3">
        <v>936</v>
      </c>
      <c r="E43" s="4">
        <v>5427.3017456453399</v>
      </c>
      <c r="F43" s="3">
        <v>150000</v>
      </c>
      <c r="G43" s="1">
        <f t="shared" si="0"/>
        <v>149411.00564191869</v>
      </c>
    </row>
    <row r="44" spans="1:7" hidden="1">
      <c r="A44" s="3">
        <v>10250</v>
      </c>
      <c r="B44" s="3">
        <v>105062500</v>
      </c>
      <c r="C44" s="3">
        <v>1076890625000</v>
      </c>
      <c r="D44" s="3">
        <v>713</v>
      </c>
      <c r="E44" s="4">
        <v>6363.9480126176904</v>
      </c>
      <c r="F44" s="3">
        <v>118800</v>
      </c>
      <c r="G44" s="1">
        <f t="shared" si="0"/>
        <v>107556.90266536486</v>
      </c>
    </row>
    <row r="45" spans="1:7" hidden="1">
      <c r="A45" s="3">
        <v>39643</v>
      </c>
      <c r="B45" s="3">
        <v>1571567449</v>
      </c>
      <c r="C45" s="3">
        <v>62301648380707</v>
      </c>
      <c r="D45" s="3">
        <v>950</v>
      </c>
      <c r="E45" s="4">
        <v>6363.9480126176904</v>
      </c>
      <c r="F45" s="3">
        <v>188800</v>
      </c>
      <c r="G45" s="1">
        <f t="shared" si="0"/>
        <v>219965.26547078317</v>
      </c>
    </row>
    <row r="46" spans="1:7" hidden="1">
      <c r="A46" s="3">
        <v>30125</v>
      </c>
      <c r="B46" s="3">
        <v>907515625</v>
      </c>
      <c r="C46" s="3">
        <v>27338908203125</v>
      </c>
      <c r="D46" s="3">
        <v>1443</v>
      </c>
      <c r="E46" s="4">
        <v>5427.3017456453399</v>
      </c>
      <c r="F46" s="3">
        <v>184400</v>
      </c>
      <c r="G46" s="1">
        <f t="shared" si="0"/>
        <v>182505.14351761117</v>
      </c>
    </row>
    <row r="47" spans="1:7" hidden="1">
      <c r="A47" s="3">
        <v>26768</v>
      </c>
      <c r="B47" s="3">
        <v>716525824</v>
      </c>
      <c r="C47" s="3">
        <v>19179963256832</v>
      </c>
      <c r="D47" s="3">
        <v>1656</v>
      </c>
      <c r="E47" s="4">
        <v>5427.3017456453399</v>
      </c>
      <c r="F47" s="3">
        <v>182300</v>
      </c>
      <c r="G47" s="1">
        <f t="shared" si="0"/>
        <v>171480.91733312016</v>
      </c>
    </row>
    <row r="48" spans="1:7" hidden="1">
      <c r="A48" s="3">
        <v>20259.999999999996</v>
      </c>
      <c r="B48" s="3">
        <v>410467599.99999988</v>
      </c>
      <c r="C48" s="3">
        <v>8316073575999.9961</v>
      </c>
      <c r="D48" s="3">
        <v>1125</v>
      </c>
      <c r="E48" s="4">
        <v>5427.3017456453399</v>
      </c>
      <c r="F48" s="3">
        <v>142500</v>
      </c>
      <c r="G48" s="1">
        <f t="shared" si="0"/>
        <v>141672.00403233909</v>
      </c>
    </row>
    <row r="49" spans="1:7" hidden="1">
      <c r="A49" s="3">
        <v>17348</v>
      </c>
      <c r="B49" s="3">
        <v>300953104</v>
      </c>
      <c r="C49" s="3">
        <v>5220934448192</v>
      </c>
      <c r="D49" s="3">
        <v>1007</v>
      </c>
      <c r="E49" s="4">
        <v>4012.3714289612699</v>
      </c>
      <c r="F49" s="3">
        <v>137500</v>
      </c>
      <c r="G49" s="1">
        <f t="shared" si="0"/>
        <v>123648.06364846443</v>
      </c>
    </row>
    <row r="50" spans="1:7" hidden="1">
      <c r="A50" s="3">
        <v>9506</v>
      </c>
      <c r="B50" s="3">
        <v>90364036</v>
      </c>
      <c r="C50" s="3">
        <v>859000526216</v>
      </c>
      <c r="D50" s="3">
        <v>624</v>
      </c>
      <c r="E50" s="4">
        <v>4569.9273854590601</v>
      </c>
      <c r="F50" s="3">
        <v>187500</v>
      </c>
      <c r="G50" s="1">
        <f t="shared" si="0"/>
        <v>96257.034165701829</v>
      </c>
    </row>
    <row r="51" spans="1:7" hidden="1">
      <c r="A51" s="3">
        <v>17750</v>
      </c>
      <c r="B51" s="3">
        <v>315062500</v>
      </c>
      <c r="C51" s="3">
        <v>5592359375000</v>
      </c>
      <c r="D51" s="3">
        <v>946</v>
      </c>
      <c r="E51" s="4">
        <v>4012.3714289612699</v>
      </c>
      <c r="F51" s="3">
        <v>112500</v>
      </c>
      <c r="G51" s="1">
        <f t="shared" si="0"/>
        <v>124468.24891688333</v>
      </c>
    </row>
    <row r="52" spans="1:7" hidden="1">
      <c r="A52" s="3">
        <v>9218</v>
      </c>
      <c r="B52" s="3">
        <v>84971524</v>
      </c>
      <c r="C52" s="3">
        <v>783267508232</v>
      </c>
      <c r="D52" s="3">
        <v>896</v>
      </c>
      <c r="E52" s="4">
        <v>4012.3714289612699</v>
      </c>
      <c r="F52" s="3">
        <v>171900</v>
      </c>
      <c r="G52" s="1">
        <f t="shared" si="0"/>
        <v>95542.722257230678</v>
      </c>
    </row>
    <row r="53" spans="1:7" hidden="1">
      <c r="A53" s="3">
        <v>15045</v>
      </c>
      <c r="B53" s="3">
        <v>226352025</v>
      </c>
      <c r="C53" s="3">
        <v>3405466216125</v>
      </c>
      <c r="D53" s="3">
        <v>1868</v>
      </c>
      <c r="E53" s="4">
        <v>4012.3714289612699</v>
      </c>
      <c r="F53" s="3">
        <v>93800</v>
      </c>
      <c r="G53" s="1">
        <f t="shared" si="0"/>
        <v>124160.12891353712</v>
      </c>
    </row>
    <row r="54" spans="1:7" hidden="1">
      <c r="A54" s="3">
        <v>11108</v>
      </c>
      <c r="B54" s="3">
        <v>123387664</v>
      </c>
      <c r="C54" s="3">
        <v>1370590171712</v>
      </c>
      <c r="D54" s="3">
        <v>3221</v>
      </c>
      <c r="E54" s="4">
        <v>4012.3714289612699</v>
      </c>
      <c r="F54" s="3">
        <v>97500</v>
      </c>
      <c r="G54" s="1">
        <f t="shared" si="0"/>
        <v>124500.14611819493</v>
      </c>
    </row>
    <row r="55" spans="1:7" hidden="1">
      <c r="A55" s="3">
        <v>12475</v>
      </c>
      <c r="B55" s="3">
        <v>155625625</v>
      </c>
      <c r="C55" s="3">
        <v>1941429671875</v>
      </c>
      <c r="D55" s="3">
        <v>1630</v>
      </c>
      <c r="E55" s="4">
        <v>4012.3714289612699</v>
      </c>
      <c r="F55" s="3">
        <v>104200</v>
      </c>
      <c r="G55" s="1">
        <f t="shared" si="0"/>
        <v>113187.16028460511</v>
      </c>
    </row>
    <row r="56" spans="1:7" hidden="1">
      <c r="A56" s="3">
        <v>16097.999999999998</v>
      </c>
      <c r="B56" s="3">
        <v>259145603.99999994</v>
      </c>
      <c r="C56" s="3">
        <v>4171725933191.9985</v>
      </c>
      <c r="D56" s="3">
        <v>1170</v>
      </c>
      <c r="E56" s="4">
        <v>3585.7656953423598</v>
      </c>
      <c r="F56" s="3">
        <v>87500</v>
      </c>
      <c r="G56" s="1">
        <f t="shared" si="0"/>
        <v>118957.89669383538</v>
      </c>
    </row>
    <row r="57" spans="1:7" hidden="1">
      <c r="A57" s="3">
        <v>14113</v>
      </c>
      <c r="B57" s="3">
        <v>199176769</v>
      </c>
      <c r="C57" s="3">
        <v>2810981740897</v>
      </c>
      <c r="D57" s="3">
        <v>945</v>
      </c>
      <c r="E57" s="4">
        <v>3585.7656953423598</v>
      </c>
      <c r="F57" s="3">
        <v>83100</v>
      </c>
      <c r="G57" s="1">
        <f t="shared" si="0"/>
        <v>109934.8385068393</v>
      </c>
    </row>
    <row r="58" spans="1:7" hidden="1">
      <c r="A58" s="3">
        <v>15057</v>
      </c>
      <c r="B58" s="3">
        <v>226713249</v>
      </c>
      <c r="C58" s="3">
        <v>3413621390193</v>
      </c>
      <c r="D58" s="3">
        <v>1238</v>
      </c>
      <c r="E58" s="4">
        <v>3585.7656953423598</v>
      </c>
      <c r="F58" s="3">
        <v>87500</v>
      </c>
      <c r="G58" s="1">
        <f t="shared" si="0"/>
        <v>116041.76465963259</v>
      </c>
    </row>
    <row r="59" spans="1:7" hidden="1">
      <c r="A59" s="3">
        <v>8172</v>
      </c>
      <c r="B59" s="3">
        <v>66781584</v>
      </c>
      <c r="C59" s="3">
        <v>545739104448</v>
      </c>
      <c r="D59" s="3">
        <v>1489</v>
      </c>
      <c r="E59" s="4">
        <v>3585.7656953423598</v>
      </c>
      <c r="F59" s="3">
        <v>85300</v>
      </c>
      <c r="G59" s="1">
        <f t="shared" si="0"/>
        <v>96293.722968660266</v>
      </c>
    </row>
    <row r="60" spans="1:7" hidden="1">
      <c r="A60" s="3">
        <v>12171</v>
      </c>
      <c r="B60" s="3">
        <v>148133241</v>
      </c>
      <c r="C60" s="3">
        <v>1802929676211</v>
      </c>
      <c r="D60" s="3">
        <v>1387</v>
      </c>
      <c r="E60" s="4">
        <v>3585.7656953423598</v>
      </c>
      <c r="F60" s="3">
        <v>80300</v>
      </c>
      <c r="G60" s="1">
        <f t="shared" si="0"/>
        <v>107862.70110881657</v>
      </c>
    </row>
    <row r="61" spans="1:7" hidden="1">
      <c r="A61" s="3">
        <v>11625</v>
      </c>
      <c r="B61" s="3">
        <v>135140625</v>
      </c>
      <c r="C61" s="3">
        <v>1571009765625</v>
      </c>
      <c r="D61" s="3">
        <v>158</v>
      </c>
      <c r="E61" s="4">
        <v>3340.66007838528</v>
      </c>
      <c r="F61" s="3">
        <v>60000</v>
      </c>
      <c r="G61" s="1">
        <f t="shared" si="0"/>
        <v>92818.953887075564</v>
      </c>
    </row>
    <row r="62" spans="1:7" hidden="1">
      <c r="A62" s="3">
        <v>33929</v>
      </c>
      <c r="B62" s="3">
        <v>1151177041</v>
      </c>
      <c r="C62" s="3">
        <v>39058285824089</v>
      </c>
      <c r="D62" s="3">
        <v>1121</v>
      </c>
      <c r="E62" s="4">
        <v>4442.1498090159403</v>
      </c>
      <c r="F62" s="3">
        <v>75700</v>
      </c>
      <c r="G62" s="1">
        <f t="shared" si="0"/>
        <v>190007.43516943516</v>
      </c>
    </row>
    <row r="63" spans="1:7" hidden="1">
      <c r="A63" s="3">
        <v>61182.999999999993</v>
      </c>
      <c r="B63" s="3">
        <v>3743359488.999999</v>
      </c>
      <c r="C63" s="3">
        <v>229029963615486.91</v>
      </c>
      <c r="D63" s="3">
        <v>135</v>
      </c>
      <c r="E63" s="4">
        <v>3340.66007838528</v>
      </c>
      <c r="F63" s="3">
        <v>75000</v>
      </c>
      <c r="G63" s="1">
        <f t="shared" si="0"/>
        <v>281121.91507172101</v>
      </c>
    </row>
    <row r="64" spans="1:7" hidden="1">
      <c r="A64" s="3">
        <v>9011</v>
      </c>
      <c r="B64" s="3">
        <v>81198121</v>
      </c>
      <c r="C64" s="3">
        <v>731676268331</v>
      </c>
      <c r="D64" s="3">
        <v>760</v>
      </c>
      <c r="E64" s="4">
        <v>2249.48592561738</v>
      </c>
      <c r="F64" s="3">
        <v>86100</v>
      </c>
      <c r="G64" s="1">
        <f t="shared" si="0"/>
        <v>85608.122122547575</v>
      </c>
    </row>
    <row r="65" spans="1:7" hidden="1">
      <c r="A65" s="3">
        <v>11910</v>
      </c>
      <c r="B65" s="3">
        <v>141848100</v>
      </c>
      <c r="C65" s="3">
        <v>1689410871000</v>
      </c>
      <c r="D65" s="3">
        <v>1224</v>
      </c>
      <c r="E65" s="4">
        <v>2214.9860559148601</v>
      </c>
      <c r="F65" s="3">
        <v>76100</v>
      </c>
      <c r="G65" s="1">
        <f t="shared" si="0"/>
        <v>99216.684457678319</v>
      </c>
    </row>
    <row r="66" spans="1:7" hidden="1">
      <c r="A66" s="3">
        <v>25938</v>
      </c>
      <c r="B66" s="3">
        <v>672779844</v>
      </c>
      <c r="C66" s="3">
        <v>17450563593672</v>
      </c>
      <c r="D66" s="3">
        <v>828</v>
      </c>
      <c r="E66" s="4">
        <v>2214.9860559148601</v>
      </c>
      <c r="F66" s="3">
        <v>73500</v>
      </c>
      <c r="G66" s="1">
        <f t="shared" si="0"/>
        <v>145592.94695639366</v>
      </c>
    </row>
    <row r="67" spans="1:7" hidden="1">
      <c r="A67" s="3">
        <v>11667</v>
      </c>
      <c r="B67" s="3">
        <v>136118889</v>
      </c>
      <c r="C67" s="3">
        <v>1588099077963</v>
      </c>
      <c r="D67" s="3">
        <v>1010</v>
      </c>
      <c r="E67" s="4">
        <v>2214.9860559148601</v>
      </c>
      <c r="F67" s="3">
        <v>78400</v>
      </c>
      <c r="G67" s="1">
        <f t="shared" ref="G67:G130" si="2">$J$3+$J$4*A67+$J$5*B67+$J$6*C67+$J$7*D67+$J$8*E67</f>
        <v>96310.482567174709</v>
      </c>
    </row>
    <row r="68" spans="1:7" hidden="1">
      <c r="A68" s="3">
        <v>8056</v>
      </c>
      <c r="B68" s="3">
        <v>64899136</v>
      </c>
      <c r="C68" s="3">
        <v>522827439616</v>
      </c>
      <c r="D68" s="3">
        <v>1455</v>
      </c>
      <c r="E68" s="4">
        <v>2214.9860559148601</v>
      </c>
      <c r="F68" s="3">
        <v>84400</v>
      </c>
      <c r="G68" s="1">
        <f t="shared" si="2"/>
        <v>89424.971198404382</v>
      </c>
    </row>
    <row r="69" spans="1:7" hidden="1">
      <c r="A69" s="3">
        <v>26094</v>
      </c>
      <c r="B69" s="3">
        <v>680896836</v>
      </c>
      <c r="C69" s="3">
        <v>17767322038584</v>
      </c>
      <c r="D69" s="3">
        <v>1027</v>
      </c>
      <c r="E69" s="4">
        <v>1197.17435507093</v>
      </c>
      <c r="F69" s="3">
        <v>81300</v>
      </c>
      <c r="G69" s="1">
        <f t="shared" si="2"/>
        <v>143573.01365059364</v>
      </c>
    </row>
    <row r="70" spans="1:7" hidden="1">
      <c r="A70" s="3">
        <v>18516</v>
      </c>
      <c r="B70" s="3">
        <v>342842256</v>
      </c>
      <c r="C70" s="3">
        <v>6348067212096</v>
      </c>
      <c r="D70" s="3">
        <v>572</v>
      </c>
      <c r="E70" s="4">
        <v>2214.9860559148601</v>
      </c>
      <c r="F70" s="3">
        <v>85000</v>
      </c>
      <c r="G70" s="1">
        <f t="shared" si="2"/>
        <v>115393.54707139124</v>
      </c>
    </row>
    <row r="71" spans="1:7" hidden="1">
      <c r="A71" s="3">
        <v>9802</v>
      </c>
      <c r="B71" s="3">
        <v>96079204</v>
      </c>
      <c r="C71" s="3">
        <v>941768357608</v>
      </c>
      <c r="D71" s="3">
        <v>2801</v>
      </c>
      <c r="E71" s="4">
        <v>2249.48592561738</v>
      </c>
      <c r="F71" s="3">
        <v>129200</v>
      </c>
      <c r="G71" s="1">
        <f t="shared" si="2"/>
        <v>108260.15539681861</v>
      </c>
    </row>
    <row r="72" spans="1:7" hidden="1">
      <c r="A72" s="3">
        <v>17719</v>
      </c>
      <c r="B72" s="3">
        <v>313962961</v>
      </c>
      <c r="C72" s="3">
        <v>5563109705959</v>
      </c>
      <c r="D72" s="3">
        <v>768</v>
      </c>
      <c r="E72" s="4">
        <v>2249.48592561738</v>
      </c>
      <c r="F72" s="3">
        <v>82500</v>
      </c>
      <c r="G72" s="1">
        <f t="shared" si="2"/>
        <v>114645.58783265637</v>
      </c>
    </row>
    <row r="73" spans="1:7" hidden="1">
      <c r="A73" s="3">
        <v>7286</v>
      </c>
      <c r="B73" s="3">
        <v>53085796</v>
      </c>
      <c r="C73" s="3">
        <v>386783109656</v>
      </c>
      <c r="D73" s="3">
        <v>935</v>
      </c>
      <c r="E73" s="4">
        <v>2249.48592561738</v>
      </c>
      <c r="F73" s="3">
        <v>95200</v>
      </c>
      <c r="G73" s="1">
        <f t="shared" si="2"/>
        <v>82134.397309701497</v>
      </c>
    </row>
    <row r="74" spans="1:7" hidden="1">
      <c r="A74" s="3">
        <v>17500</v>
      </c>
      <c r="B74" s="3">
        <v>306250000</v>
      </c>
      <c r="C74" s="3">
        <v>5359375000000</v>
      </c>
      <c r="D74" s="3">
        <v>844</v>
      </c>
      <c r="E74" s="4">
        <v>2249.48592561738</v>
      </c>
      <c r="F74" s="3">
        <v>75000</v>
      </c>
      <c r="G74" s="1">
        <f t="shared" si="2"/>
        <v>114621.46284673561</v>
      </c>
    </row>
    <row r="75" spans="1:7" hidden="1">
      <c r="A75" s="3">
        <v>4999</v>
      </c>
      <c r="B75" s="3">
        <v>24990001</v>
      </c>
      <c r="C75" s="3">
        <v>124925014999</v>
      </c>
      <c r="D75" s="3">
        <v>12</v>
      </c>
      <c r="E75" s="4">
        <v>2249.48592561738</v>
      </c>
      <c r="F75" s="3">
        <v>67500</v>
      </c>
      <c r="G75" s="1">
        <f t="shared" si="2"/>
        <v>66409.468775254267</v>
      </c>
    </row>
    <row r="76" spans="1:7" hidden="1">
      <c r="A76" s="3">
        <v>24830</v>
      </c>
      <c r="B76" s="3">
        <v>616528900</v>
      </c>
      <c r="C76" s="3">
        <v>15308412587000</v>
      </c>
      <c r="D76" s="3">
        <v>835</v>
      </c>
      <c r="E76" s="4">
        <v>2249.48592561738</v>
      </c>
      <c r="F76" s="3">
        <v>137500</v>
      </c>
      <c r="G76" s="1">
        <f t="shared" si="2"/>
        <v>141569.43146534133</v>
      </c>
    </row>
    <row r="77" spans="1:7" hidden="1">
      <c r="A77" s="3">
        <v>32241</v>
      </c>
      <c r="B77" s="3">
        <v>1039482081</v>
      </c>
      <c r="C77" s="3">
        <v>33513941773521</v>
      </c>
      <c r="D77" s="3">
        <v>1237</v>
      </c>
      <c r="E77" s="4">
        <v>2599.6389610114502</v>
      </c>
      <c r="F77" s="3">
        <v>177500</v>
      </c>
      <c r="G77" s="1">
        <f t="shared" si="2"/>
        <v>176104.64915035435</v>
      </c>
    </row>
    <row r="78" spans="1:7" hidden="1">
      <c r="A78" s="3">
        <v>24464</v>
      </c>
      <c r="B78" s="3">
        <v>598487296</v>
      </c>
      <c r="C78" s="3">
        <v>14641393209344</v>
      </c>
      <c r="D78" s="3">
        <v>2914</v>
      </c>
      <c r="E78" s="4">
        <v>2599.6389610114502</v>
      </c>
      <c r="F78" s="3">
        <v>102100</v>
      </c>
      <c r="G78" s="1">
        <f t="shared" si="2"/>
        <v>162330.01785623073</v>
      </c>
    </row>
    <row r="79" spans="1:7" hidden="1">
      <c r="A79" s="3">
        <v>11111</v>
      </c>
      <c r="B79" s="3">
        <v>123454321</v>
      </c>
      <c r="C79" s="3">
        <v>1371700960631</v>
      </c>
      <c r="D79" s="3">
        <v>1207</v>
      </c>
      <c r="E79" s="4">
        <v>2599.6389610114502</v>
      </c>
      <c r="F79" s="3">
        <v>108300</v>
      </c>
      <c r="G79" s="1">
        <f t="shared" si="2"/>
        <v>98204.751286947925</v>
      </c>
    </row>
    <row r="80" spans="1:7" hidden="1">
      <c r="A80" s="3">
        <v>8026</v>
      </c>
      <c r="B80" s="3">
        <v>64416676</v>
      </c>
      <c r="C80" s="3">
        <v>517008241576</v>
      </c>
      <c r="D80" s="3">
        <v>1745</v>
      </c>
      <c r="E80" s="4">
        <v>2249.48592561738</v>
      </c>
      <c r="F80" s="3">
        <v>112500</v>
      </c>
      <c r="G80" s="1">
        <f t="shared" si="2"/>
        <v>92360.489469560998</v>
      </c>
    </row>
    <row r="81" spans="1:7" hidden="1">
      <c r="A81" s="3">
        <v>20114</v>
      </c>
      <c r="B81" s="3">
        <v>404572996</v>
      </c>
      <c r="C81" s="3">
        <v>8137581241544</v>
      </c>
      <c r="D81" s="3">
        <v>684</v>
      </c>
      <c r="E81" s="4">
        <v>1769.57399830806</v>
      </c>
      <c r="F81" s="3">
        <v>131300</v>
      </c>
      <c r="G81" s="1">
        <f t="shared" si="2"/>
        <v>120276.73489076665</v>
      </c>
    </row>
    <row r="82" spans="1:7" hidden="1">
      <c r="A82" s="3">
        <v>25000</v>
      </c>
      <c r="B82" s="3">
        <v>625000000</v>
      </c>
      <c r="C82" s="3">
        <v>15625000000000</v>
      </c>
      <c r="D82" s="3">
        <v>924</v>
      </c>
      <c r="E82" s="4">
        <v>2599.6389610114502</v>
      </c>
      <c r="F82" s="3">
        <v>162500</v>
      </c>
      <c r="G82" s="1">
        <f t="shared" si="2"/>
        <v>144679.04117007277</v>
      </c>
    </row>
    <row r="83" spans="1:7" hidden="1">
      <c r="A83" s="3">
        <v>11667</v>
      </c>
      <c r="B83" s="3">
        <v>136118889</v>
      </c>
      <c r="C83" s="3">
        <v>1588099077963</v>
      </c>
      <c r="D83" s="3">
        <v>210</v>
      </c>
      <c r="E83" s="4">
        <v>3162.2730120344499</v>
      </c>
      <c r="F83" s="3">
        <v>112500</v>
      </c>
      <c r="G83" s="1">
        <f t="shared" si="2"/>
        <v>92664.945848659685</v>
      </c>
    </row>
    <row r="84" spans="1:7" hidden="1">
      <c r="A84" s="3">
        <v>15208</v>
      </c>
      <c r="B84" s="3">
        <v>231283264</v>
      </c>
      <c r="C84" s="3">
        <v>3517355878912</v>
      </c>
      <c r="D84" s="3">
        <v>340</v>
      </c>
      <c r="E84" s="4">
        <v>2599.6389610114502</v>
      </c>
      <c r="F84" s="3">
        <v>112500</v>
      </c>
      <c r="G84" s="1">
        <f t="shared" si="2"/>
        <v>103223.56803845943</v>
      </c>
    </row>
    <row r="85" spans="1:7" hidden="1">
      <c r="A85" s="3">
        <v>22075</v>
      </c>
      <c r="B85" s="3">
        <v>487305625</v>
      </c>
      <c r="C85" s="3">
        <v>10757271671875</v>
      </c>
      <c r="D85" s="3">
        <v>386</v>
      </c>
      <c r="E85" s="4">
        <v>2599.6389610114502</v>
      </c>
      <c r="F85" s="3">
        <v>137500</v>
      </c>
      <c r="G85" s="1">
        <f t="shared" si="2"/>
        <v>128307.71588242656</v>
      </c>
    </row>
    <row r="86" spans="1:7" hidden="1">
      <c r="A86" s="3">
        <v>18088</v>
      </c>
      <c r="B86" s="3">
        <v>327175744</v>
      </c>
      <c r="C86" s="3">
        <v>5917954857472</v>
      </c>
      <c r="D86" s="3">
        <v>948</v>
      </c>
      <c r="E86" s="4">
        <v>2599.6389610114502</v>
      </c>
      <c r="F86" s="3">
        <v>118800</v>
      </c>
      <c r="G86" s="1">
        <f t="shared" si="2"/>
        <v>119319.32550112827</v>
      </c>
    </row>
    <row r="87" spans="1:7" hidden="1">
      <c r="A87" s="3">
        <v>24083</v>
      </c>
      <c r="B87" s="3">
        <v>579990889</v>
      </c>
      <c r="C87" s="3">
        <v>13967920579787</v>
      </c>
      <c r="D87" s="3">
        <v>773</v>
      </c>
      <c r="E87" s="4">
        <v>2599.6389610114502</v>
      </c>
      <c r="F87" s="3">
        <v>98200</v>
      </c>
      <c r="G87" s="1">
        <f t="shared" si="2"/>
        <v>139691.49448275543</v>
      </c>
    </row>
    <row r="88" spans="1:7" hidden="1">
      <c r="A88" s="3">
        <v>9770</v>
      </c>
      <c r="B88" s="3">
        <v>95452900</v>
      </c>
      <c r="C88" s="3">
        <v>932574833000</v>
      </c>
      <c r="D88" s="3">
        <v>880</v>
      </c>
      <c r="E88" s="4">
        <v>3162.2730120344499</v>
      </c>
      <c r="F88" s="3">
        <v>118800</v>
      </c>
      <c r="G88" s="1">
        <f t="shared" si="2"/>
        <v>93264.084388729767</v>
      </c>
    </row>
    <row r="89" spans="1:7" hidden="1">
      <c r="A89" s="3">
        <v>7600</v>
      </c>
      <c r="B89" s="3">
        <v>57760000</v>
      </c>
      <c r="C89" s="3">
        <v>438976000000</v>
      </c>
      <c r="D89" s="3">
        <v>875</v>
      </c>
      <c r="E89" s="4">
        <v>3162.2730120344499</v>
      </c>
      <c r="F89" s="3">
        <v>162500</v>
      </c>
      <c r="G89" s="1">
        <f t="shared" si="2"/>
        <v>86590.284998413816</v>
      </c>
    </row>
    <row r="90" spans="1:7" hidden="1">
      <c r="A90" s="3">
        <v>9722</v>
      </c>
      <c r="B90" s="3">
        <v>94517284</v>
      </c>
      <c r="C90" s="3">
        <v>918897035048</v>
      </c>
      <c r="D90" s="3">
        <v>105</v>
      </c>
      <c r="E90" s="4">
        <v>2524.6146156691798</v>
      </c>
      <c r="F90" s="3">
        <v>137500</v>
      </c>
      <c r="G90" s="1">
        <f t="shared" si="2"/>
        <v>82567.879576201492</v>
      </c>
    </row>
    <row r="91" spans="1:7" hidden="1">
      <c r="A91" s="3">
        <v>86576</v>
      </c>
      <c r="B91" s="3">
        <v>7495403776</v>
      </c>
      <c r="C91" s="3">
        <v>648922077310976</v>
      </c>
      <c r="D91" s="3">
        <v>249</v>
      </c>
      <c r="E91" s="4">
        <v>2524.6146156691798</v>
      </c>
      <c r="F91" s="3">
        <v>500001</v>
      </c>
      <c r="G91" s="1">
        <f t="shared" si="2"/>
        <v>346202.44185374101</v>
      </c>
    </row>
    <row r="92" spans="1:7" hidden="1">
      <c r="A92" s="3">
        <v>20938</v>
      </c>
      <c r="B92" s="3">
        <v>438399844</v>
      </c>
      <c r="C92" s="3">
        <v>9179215933672</v>
      </c>
      <c r="D92" s="3">
        <v>994</v>
      </c>
      <c r="E92" s="4">
        <v>2524.6146156691798</v>
      </c>
      <c r="F92" s="3">
        <v>162500</v>
      </c>
      <c r="G92" s="1">
        <f t="shared" si="2"/>
        <v>129773.18679111892</v>
      </c>
    </row>
    <row r="93" spans="1:7" hidden="1">
      <c r="A93" s="3">
        <v>13876</v>
      </c>
      <c r="B93" s="3">
        <v>192543376</v>
      </c>
      <c r="C93" s="3">
        <v>2671731885376</v>
      </c>
      <c r="D93" s="3">
        <v>215</v>
      </c>
      <c r="E93" s="4">
        <v>1769.57399830806</v>
      </c>
      <c r="F93" s="3">
        <v>137500</v>
      </c>
      <c r="G93" s="1">
        <f t="shared" si="2"/>
        <v>93720.6635703871</v>
      </c>
    </row>
    <row r="94" spans="1:7" hidden="1">
      <c r="A94" s="3">
        <v>7500</v>
      </c>
      <c r="B94" s="3">
        <v>56250000</v>
      </c>
      <c r="C94" s="3">
        <v>421875000000</v>
      </c>
      <c r="D94" s="3">
        <v>96</v>
      </c>
      <c r="E94" s="4">
        <v>1769.57399830806</v>
      </c>
      <c r="F94" s="3">
        <v>162500</v>
      </c>
      <c r="G94" s="1">
        <f t="shared" si="2"/>
        <v>72301.10399894588</v>
      </c>
    </row>
    <row r="95" spans="1:7" hidden="1">
      <c r="A95" s="3">
        <v>26354.000000000004</v>
      </c>
      <c r="B95" s="3">
        <v>694533316.00000024</v>
      </c>
      <c r="C95" s="3">
        <v>18303731009864.008</v>
      </c>
      <c r="D95" s="3">
        <v>1055</v>
      </c>
      <c r="E95" s="4">
        <v>2284.78654341632</v>
      </c>
      <c r="F95" s="3">
        <v>187500</v>
      </c>
      <c r="G95" s="1">
        <f t="shared" si="2"/>
        <v>149758.48399683993</v>
      </c>
    </row>
    <row r="96" spans="1:7" hidden="1">
      <c r="A96" s="3">
        <v>18477</v>
      </c>
      <c r="B96" s="3">
        <v>341399529</v>
      </c>
      <c r="C96" s="3">
        <v>6308039097333</v>
      </c>
      <c r="D96" s="3">
        <v>1715</v>
      </c>
      <c r="E96" s="4">
        <v>2524.6146156691798</v>
      </c>
      <c r="F96" s="3">
        <v>179200</v>
      </c>
      <c r="G96" s="1">
        <f t="shared" si="2"/>
        <v>127962.9633487333</v>
      </c>
    </row>
    <row r="97" spans="1:7" hidden="1">
      <c r="A97" s="3">
        <v>20096</v>
      </c>
      <c r="B97" s="3">
        <v>403849216</v>
      </c>
      <c r="C97" s="3">
        <v>8115753844736</v>
      </c>
      <c r="D97" s="3">
        <v>5329</v>
      </c>
      <c r="E97" s="4">
        <v>3340.6716189762201</v>
      </c>
      <c r="F97" s="3">
        <v>130000</v>
      </c>
      <c r="G97" s="1">
        <f t="shared" si="2"/>
        <v>173270.3474244384</v>
      </c>
    </row>
    <row r="98" spans="1:7" hidden="1">
      <c r="A98" s="3">
        <v>28344.999999999996</v>
      </c>
      <c r="B98" s="3">
        <v>803439024.99999976</v>
      </c>
      <c r="C98" s="3">
        <v>22773479163624.992</v>
      </c>
      <c r="D98" s="3">
        <v>4596</v>
      </c>
      <c r="E98" s="4">
        <v>4569.9273854590601</v>
      </c>
      <c r="F98" s="3">
        <v>183800</v>
      </c>
      <c r="G98" s="1">
        <f t="shared" si="2"/>
        <v>202850.06356366951</v>
      </c>
    </row>
    <row r="99" spans="1:7" hidden="1">
      <c r="A99" s="3">
        <v>20062.000000000004</v>
      </c>
      <c r="B99" s="3">
        <v>402483844.00000012</v>
      </c>
      <c r="C99" s="3">
        <v>8074630878328.0039</v>
      </c>
      <c r="D99" s="3">
        <v>335</v>
      </c>
      <c r="E99" s="4">
        <v>3845.2217774208998</v>
      </c>
      <c r="F99" s="3">
        <v>125000</v>
      </c>
      <c r="G99" s="1">
        <f t="shared" si="2"/>
        <v>125994.12900705345</v>
      </c>
    </row>
    <row r="100" spans="1:7" hidden="1">
      <c r="A100" s="3">
        <v>12185</v>
      </c>
      <c r="B100" s="3">
        <v>148474225</v>
      </c>
      <c r="C100" s="3">
        <v>1809158431625</v>
      </c>
      <c r="D100" s="3">
        <v>3682</v>
      </c>
      <c r="E100" s="4">
        <v>4569.9273854590601</v>
      </c>
      <c r="F100" s="3">
        <v>170000</v>
      </c>
      <c r="G100" s="1">
        <f t="shared" si="2"/>
        <v>135061.68917609804</v>
      </c>
    </row>
    <row r="101" spans="1:7" hidden="1">
      <c r="A101" s="3">
        <v>26104</v>
      </c>
      <c r="B101" s="3">
        <v>681418816</v>
      </c>
      <c r="C101" s="3">
        <v>17787756772864</v>
      </c>
      <c r="D101" s="3">
        <v>3633</v>
      </c>
      <c r="E101" s="4">
        <v>4569.9273854590601</v>
      </c>
      <c r="F101" s="3">
        <v>193100</v>
      </c>
      <c r="G101" s="1">
        <f t="shared" si="2"/>
        <v>184615.79311752314</v>
      </c>
    </row>
    <row r="102" spans="1:7" hidden="1">
      <c r="A102" s="3">
        <v>43266</v>
      </c>
      <c r="B102" s="3">
        <v>1871946756</v>
      </c>
      <c r="C102" s="3">
        <v>80991648345096</v>
      </c>
      <c r="D102" s="3">
        <v>4656</v>
      </c>
      <c r="E102" s="4">
        <v>4595.14987977277</v>
      </c>
      <c r="F102" s="3">
        <v>257800</v>
      </c>
      <c r="G102" s="1">
        <f t="shared" si="2"/>
        <v>263238.27275296487</v>
      </c>
    </row>
    <row r="103" spans="1:7" hidden="1">
      <c r="A103" s="3">
        <v>32176.999999999996</v>
      </c>
      <c r="B103" s="3">
        <v>1035359328.9999998</v>
      </c>
      <c r="C103" s="3">
        <v>33314757129232.988</v>
      </c>
      <c r="D103" s="3">
        <v>5806</v>
      </c>
      <c r="E103" s="4">
        <v>4595.14987977277</v>
      </c>
      <c r="F103" s="3">
        <v>273400</v>
      </c>
      <c r="G103" s="1">
        <f t="shared" si="2"/>
        <v>230071.10901224209</v>
      </c>
    </row>
    <row r="104" spans="1:7" hidden="1">
      <c r="A104" s="3">
        <v>51250</v>
      </c>
      <c r="B104" s="3">
        <v>2626562500</v>
      </c>
      <c r="C104" s="3">
        <v>134611328125000</v>
      </c>
      <c r="D104" s="3">
        <v>854</v>
      </c>
      <c r="E104" s="4">
        <v>4595.14987977277</v>
      </c>
      <c r="F104" s="3">
        <v>237500</v>
      </c>
      <c r="G104" s="1">
        <f t="shared" si="2"/>
        <v>257140.90014226423</v>
      </c>
    </row>
    <row r="105" spans="1:7" hidden="1">
      <c r="A105" s="3">
        <v>43954</v>
      </c>
      <c r="B105" s="3">
        <v>1931954116</v>
      </c>
      <c r="C105" s="3">
        <v>84917111214664</v>
      </c>
      <c r="D105" s="3">
        <v>2155</v>
      </c>
      <c r="E105" s="4">
        <v>4595.14987977277</v>
      </c>
      <c r="F105" s="3">
        <v>350000</v>
      </c>
      <c r="G105" s="1">
        <f t="shared" si="2"/>
        <v>241241.04535822378</v>
      </c>
    </row>
    <row r="106" spans="1:7" hidden="1">
      <c r="A106" s="3">
        <v>28405.999999999996</v>
      </c>
      <c r="B106" s="3">
        <v>806900835.99999976</v>
      </c>
      <c r="C106" s="3">
        <v>22920825147415.992</v>
      </c>
      <c r="D106" s="3">
        <v>5871</v>
      </c>
      <c r="E106" s="4">
        <v>3845.2217774208998</v>
      </c>
      <c r="F106" s="3">
        <v>335700</v>
      </c>
      <c r="G106" s="1">
        <f t="shared" si="2"/>
        <v>212439.33585355454</v>
      </c>
    </row>
    <row r="107" spans="1:7" hidden="1">
      <c r="A107" s="3">
        <v>59306</v>
      </c>
      <c r="B107" s="3">
        <v>3517201636</v>
      </c>
      <c r="C107" s="3">
        <v>208591160224616</v>
      </c>
      <c r="D107" s="3">
        <v>1509</v>
      </c>
      <c r="E107" s="4">
        <v>5923.3072356235598</v>
      </c>
      <c r="F107" s="3">
        <v>313400</v>
      </c>
      <c r="G107" s="1">
        <f t="shared" si="2"/>
        <v>299720.34662800684</v>
      </c>
    </row>
    <row r="108" spans="1:7" hidden="1">
      <c r="A108" s="3">
        <v>32727</v>
      </c>
      <c r="B108" s="3">
        <v>1071056529</v>
      </c>
      <c r="C108" s="3">
        <v>35052467024583</v>
      </c>
      <c r="D108" s="3">
        <v>2026</v>
      </c>
      <c r="E108" s="4">
        <v>5384.1421071774403</v>
      </c>
      <c r="F108" s="3">
        <v>268500</v>
      </c>
      <c r="G108" s="1">
        <f t="shared" si="2"/>
        <v>198409.29479535241</v>
      </c>
    </row>
    <row r="109" spans="1:7" hidden="1">
      <c r="A109" s="3">
        <v>31690.999999999996</v>
      </c>
      <c r="B109" s="3">
        <v>1004319480.9999998</v>
      </c>
      <c r="C109" s="3">
        <v>31827888672370.988</v>
      </c>
      <c r="D109" s="3">
        <v>1758</v>
      </c>
      <c r="E109" s="4">
        <v>4595.14987977277</v>
      </c>
      <c r="F109" s="3">
        <v>259400</v>
      </c>
      <c r="G109" s="1">
        <f t="shared" si="2"/>
        <v>188073.11193039437</v>
      </c>
    </row>
    <row r="110" spans="1:7" hidden="1">
      <c r="A110" s="3">
        <v>39000</v>
      </c>
      <c r="B110" s="3">
        <v>1521000000</v>
      </c>
      <c r="C110" s="3">
        <v>59319000000000</v>
      </c>
      <c r="D110" s="3">
        <v>3481</v>
      </c>
      <c r="E110" s="4">
        <v>5923.3072356235598</v>
      </c>
      <c r="F110" s="3">
        <v>275700</v>
      </c>
      <c r="G110" s="1">
        <f t="shared" si="2"/>
        <v>240437.2041224002</v>
      </c>
    </row>
    <row r="111" spans="1:7" hidden="1">
      <c r="A111" s="3">
        <v>39063</v>
      </c>
      <c r="B111" s="3">
        <v>1525917969</v>
      </c>
      <c r="C111" s="3">
        <v>59606933623047</v>
      </c>
      <c r="D111" s="3">
        <v>3337</v>
      </c>
      <c r="E111" s="4">
        <v>5216.6129854913097</v>
      </c>
      <c r="F111" s="3">
        <v>225000</v>
      </c>
      <c r="G111" s="1">
        <f t="shared" si="2"/>
        <v>236078.56998285072</v>
      </c>
    </row>
    <row r="112" spans="1:7" hidden="1">
      <c r="A112" s="3">
        <v>50917</v>
      </c>
      <c r="B112" s="3">
        <v>2592540889</v>
      </c>
      <c r="C112" s="3">
        <v>132004404445213</v>
      </c>
      <c r="D112" s="3">
        <v>1424</v>
      </c>
      <c r="E112" s="4">
        <v>5216.6129854913097</v>
      </c>
      <c r="F112" s="3">
        <v>262500</v>
      </c>
      <c r="G112" s="1">
        <f t="shared" si="2"/>
        <v>264296.2377671554</v>
      </c>
    </row>
    <row r="113" spans="1:7" hidden="1">
      <c r="A113" s="3">
        <v>26429</v>
      </c>
      <c r="B113" s="3">
        <v>698492041</v>
      </c>
      <c r="C113" s="3">
        <v>18460446151589</v>
      </c>
      <c r="D113" s="3">
        <v>3809</v>
      </c>
      <c r="E113" s="4">
        <v>5216.6129854913097</v>
      </c>
      <c r="F113" s="3">
        <v>218500</v>
      </c>
      <c r="G113" s="1">
        <f t="shared" si="2"/>
        <v>190528.58022552001</v>
      </c>
    </row>
    <row r="114" spans="1:7" hidden="1">
      <c r="A114" s="3">
        <v>44233</v>
      </c>
      <c r="B114" s="3">
        <v>1956558289</v>
      </c>
      <c r="C114" s="3">
        <v>86544442797337</v>
      </c>
      <c r="D114" s="3">
        <v>3959</v>
      </c>
      <c r="E114" s="4">
        <v>5216.6129854913097</v>
      </c>
      <c r="F114" s="3">
        <v>255000</v>
      </c>
      <c r="G114" s="1">
        <f t="shared" si="2"/>
        <v>263015.14619509887</v>
      </c>
    </row>
    <row r="115" spans="1:7" hidden="1">
      <c r="A115" s="3">
        <v>31484</v>
      </c>
      <c r="B115" s="3">
        <v>991242256</v>
      </c>
      <c r="C115" s="3">
        <v>31208271187904</v>
      </c>
      <c r="D115" s="3">
        <v>2376</v>
      </c>
      <c r="E115" s="4">
        <v>5981.9362813173502</v>
      </c>
      <c r="F115" s="3">
        <v>224100</v>
      </c>
      <c r="G115" s="1">
        <f t="shared" si="2"/>
        <v>199621.97125632493</v>
      </c>
    </row>
    <row r="116" spans="1:7" hidden="1">
      <c r="A116" s="3">
        <v>34722</v>
      </c>
      <c r="B116" s="3">
        <v>1205617284</v>
      </c>
      <c r="C116" s="3">
        <v>41861443335048</v>
      </c>
      <c r="D116" s="3">
        <v>1613</v>
      </c>
      <c r="E116" s="4">
        <v>5981.9362813173502</v>
      </c>
      <c r="F116" s="3">
        <v>243100</v>
      </c>
      <c r="G116" s="1">
        <f t="shared" si="2"/>
        <v>204999.49294247304</v>
      </c>
    </row>
    <row r="117" spans="1:7" hidden="1">
      <c r="A117" s="3">
        <v>31429</v>
      </c>
      <c r="B117" s="3">
        <v>987782041</v>
      </c>
      <c r="C117" s="3">
        <v>31045001766589</v>
      </c>
      <c r="D117" s="3">
        <v>1279</v>
      </c>
      <c r="E117" s="4">
        <v>5981.9362813173502</v>
      </c>
      <c r="F117" s="3">
        <v>231600</v>
      </c>
      <c r="G117" s="1">
        <f t="shared" si="2"/>
        <v>188546.12752143302</v>
      </c>
    </row>
    <row r="118" spans="1:7" hidden="1">
      <c r="A118" s="3">
        <v>24234</v>
      </c>
      <c r="B118" s="3">
        <v>587286756</v>
      </c>
      <c r="C118" s="3">
        <v>14232307244904</v>
      </c>
      <c r="D118" s="3">
        <v>5022</v>
      </c>
      <c r="E118" s="4">
        <v>5981.9362813173502</v>
      </c>
      <c r="F118" s="3">
        <v>218500</v>
      </c>
      <c r="G118" s="1">
        <f t="shared" si="2"/>
        <v>197573.62354422433</v>
      </c>
    </row>
    <row r="119" spans="1:7" hidden="1">
      <c r="A119" s="3">
        <v>30897</v>
      </c>
      <c r="B119" s="3">
        <v>954624609</v>
      </c>
      <c r="C119" s="3">
        <v>29495036544273</v>
      </c>
      <c r="D119" s="3">
        <v>4190</v>
      </c>
      <c r="E119" s="4">
        <v>5981.9362813173502</v>
      </c>
      <c r="F119" s="3">
        <v>234100</v>
      </c>
      <c r="G119" s="1">
        <f t="shared" si="2"/>
        <v>215247.69631530051</v>
      </c>
    </row>
    <row r="120" spans="1:7" hidden="1">
      <c r="A120" s="3">
        <v>58596</v>
      </c>
      <c r="B120" s="3">
        <v>3433491216</v>
      </c>
      <c r="C120" s="3">
        <v>201188851292736</v>
      </c>
      <c r="D120" s="3">
        <v>2515</v>
      </c>
      <c r="E120" s="4">
        <v>8006.9337455886998</v>
      </c>
      <c r="F120" s="3">
        <v>327600</v>
      </c>
      <c r="G120" s="1">
        <f t="shared" si="2"/>
        <v>316518.7622132863</v>
      </c>
    </row>
    <row r="121" spans="1:7" hidden="1">
      <c r="A121" s="3">
        <v>52868.000000000007</v>
      </c>
      <c r="B121" s="3">
        <v>2795025424.000001</v>
      </c>
      <c r="C121" s="3">
        <v>147767404116032.06</v>
      </c>
      <c r="D121" s="3">
        <v>3175</v>
      </c>
      <c r="E121" s="4">
        <v>8006.9337455886998</v>
      </c>
      <c r="F121" s="3">
        <v>347600</v>
      </c>
      <c r="G121" s="1">
        <f t="shared" si="2"/>
        <v>301720.66891297599</v>
      </c>
    </row>
    <row r="122" spans="1:7" hidden="1">
      <c r="A122" s="3">
        <v>59560.000000000007</v>
      </c>
      <c r="B122" s="3">
        <v>3547393600.000001</v>
      </c>
      <c r="C122" s="3">
        <v>211282762816000.09</v>
      </c>
      <c r="D122" s="3">
        <v>2576</v>
      </c>
      <c r="E122" s="4">
        <v>6607.1940213289499</v>
      </c>
      <c r="F122" s="3">
        <v>366100</v>
      </c>
      <c r="G122" s="1">
        <f t="shared" si="2"/>
        <v>314274.33951947617</v>
      </c>
    </row>
    <row r="123" spans="1:7" hidden="1">
      <c r="A123" s="3">
        <v>49643</v>
      </c>
      <c r="B123" s="3">
        <v>2464427449</v>
      </c>
      <c r="C123" s="3">
        <v>122341571850707</v>
      </c>
      <c r="D123" s="3">
        <v>334</v>
      </c>
      <c r="E123" s="4">
        <v>8259.0851093229303</v>
      </c>
      <c r="F123" s="3">
        <v>335000</v>
      </c>
      <c r="G123" s="1">
        <f t="shared" si="2"/>
        <v>262272.62935079</v>
      </c>
    </row>
    <row r="124" spans="1:7" hidden="1">
      <c r="A124" s="3">
        <v>63434</v>
      </c>
      <c r="B124" s="3">
        <v>4023872356</v>
      </c>
      <c r="C124" s="3">
        <v>255250319030504</v>
      </c>
      <c r="D124" s="3">
        <v>2800</v>
      </c>
      <c r="E124" s="4">
        <v>8810.4982854766404</v>
      </c>
      <c r="F124" s="3">
        <v>373600</v>
      </c>
      <c r="G124" s="1">
        <f t="shared" si="2"/>
        <v>339918.97627366782</v>
      </c>
    </row>
    <row r="125" spans="1:7" hidden="1">
      <c r="A125" s="3">
        <v>51773</v>
      </c>
      <c r="B125" s="3">
        <v>2680443529</v>
      </c>
      <c r="C125" s="3">
        <v>138774602826917</v>
      </c>
      <c r="D125" s="3">
        <v>3529</v>
      </c>
      <c r="E125" s="4">
        <v>7395.76357883113</v>
      </c>
      <c r="F125" s="3">
        <v>389500</v>
      </c>
      <c r="G125" s="1">
        <f t="shared" si="2"/>
        <v>298266.26138901728</v>
      </c>
    </row>
    <row r="126" spans="1:7" hidden="1">
      <c r="A126" s="3">
        <v>72354</v>
      </c>
      <c r="B126" s="3">
        <v>5235101316</v>
      </c>
      <c r="C126" s="3">
        <v>378780520617864</v>
      </c>
      <c r="D126" s="3">
        <v>2612</v>
      </c>
      <c r="E126" s="4">
        <v>8259.0851093229303</v>
      </c>
      <c r="F126" s="3">
        <v>391100</v>
      </c>
      <c r="G126" s="1">
        <f t="shared" si="2"/>
        <v>363432.72015501308</v>
      </c>
    </row>
    <row r="127" spans="1:7" hidden="1">
      <c r="A127" s="3">
        <v>54570</v>
      </c>
      <c r="B127" s="3">
        <v>2977884900</v>
      </c>
      <c r="C127" s="3">
        <v>162503178993000</v>
      </c>
      <c r="D127" s="3">
        <v>5287</v>
      </c>
      <c r="E127" s="4">
        <v>9411.7133642204099</v>
      </c>
      <c r="F127" s="3">
        <v>337300</v>
      </c>
      <c r="G127" s="1">
        <f t="shared" si="2"/>
        <v>335418.34225429763</v>
      </c>
    </row>
    <row r="128" spans="1:7" hidden="1">
      <c r="A128" s="3">
        <v>75000</v>
      </c>
      <c r="B128" s="3">
        <v>5625000000</v>
      </c>
      <c r="C128" s="3">
        <v>421875000000000</v>
      </c>
      <c r="D128" s="3">
        <v>2935</v>
      </c>
      <c r="E128" s="4">
        <v>8664.1757534493408</v>
      </c>
      <c r="F128" s="3">
        <v>295200</v>
      </c>
      <c r="G128" s="1">
        <f t="shared" si="2"/>
        <v>375694.50123976485</v>
      </c>
    </row>
    <row r="129" spans="1:7" hidden="1">
      <c r="A129" s="3">
        <v>60194</v>
      </c>
      <c r="B129" s="3">
        <v>3623317636</v>
      </c>
      <c r="C129" s="3">
        <v>218101981781384</v>
      </c>
      <c r="D129" s="3">
        <v>3424</v>
      </c>
      <c r="E129" s="4">
        <v>9357.7870904273404</v>
      </c>
      <c r="F129" s="3">
        <v>292300</v>
      </c>
      <c r="G129" s="1">
        <f t="shared" si="2"/>
        <v>337329.37424334895</v>
      </c>
    </row>
    <row r="130" spans="1:7" hidden="1">
      <c r="A130" s="3">
        <v>75544</v>
      </c>
      <c r="B130" s="3">
        <v>5706895936</v>
      </c>
      <c r="C130" s="3">
        <v>431121746589184</v>
      </c>
      <c r="D130" s="3">
        <v>4991</v>
      </c>
      <c r="E130" s="4">
        <v>8748.1613890563804</v>
      </c>
      <c r="F130" s="3">
        <v>411500</v>
      </c>
      <c r="G130" s="1">
        <f t="shared" si="2"/>
        <v>397844.71393180656</v>
      </c>
    </row>
    <row r="131" spans="1:7" hidden="1">
      <c r="A131" s="3">
        <v>60666</v>
      </c>
      <c r="B131" s="3">
        <v>3680363556</v>
      </c>
      <c r="C131" s="3">
        <v>223272935488296</v>
      </c>
      <c r="D131" s="3">
        <v>2211</v>
      </c>
      <c r="E131" s="4">
        <v>10080.262947580901</v>
      </c>
      <c r="F131" s="3">
        <v>311500</v>
      </c>
      <c r="G131" s="1">
        <f t="shared" ref="G131:G194" si="3">$J$3+$J$4*A131+$J$5*B131+$J$6*C131+$J$7*D131+$J$8*E131</f>
        <v>330250.31751454307</v>
      </c>
    </row>
    <row r="132" spans="1:7" hidden="1">
      <c r="A132" s="3">
        <v>70548</v>
      </c>
      <c r="B132" s="3">
        <v>4977020304</v>
      </c>
      <c r="C132" s="3">
        <v>351118828406592</v>
      </c>
      <c r="D132" s="3">
        <v>3038</v>
      </c>
      <c r="E132" s="4">
        <v>9357.7870904273404</v>
      </c>
      <c r="F132" s="3">
        <v>325900</v>
      </c>
      <c r="G132" s="1">
        <f t="shared" si="3"/>
        <v>367373.99118556158</v>
      </c>
    </row>
    <row r="133" spans="1:7" hidden="1">
      <c r="A133" s="3">
        <v>116016.99999999999</v>
      </c>
      <c r="B133" s="3">
        <v>13459944288.999996</v>
      </c>
      <c r="C133" s="3">
        <v>1561582356576912.3</v>
      </c>
      <c r="D133" s="3">
        <v>1617</v>
      </c>
      <c r="E133" s="4">
        <v>10825.8259229329</v>
      </c>
      <c r="F133" s="3">
        <v>392600</v>
      </c>
      <c r="G133" s="1">
        <f t="shared" si="3"/>
        <v>390925.08647250815</v>
      </c>
    </row>
    <row r="134" spans="1:7" hidden="1">
      <c r="A134" s="3">
        <v>74882</v>
      </c>
      <c r="B134" s="3">
        <v>5607313924</v>
      </c>
      <c r="C134" s="3">
        <v>419886881256968</v>
      </c>
      <c r="D134" s="3">
        <v>2865</v>
      </c>
      <c r="E134" s="4">
        <v>10080.262947580901</v>
      </c>
      <c r="F134" s="3">
        <v>319300</v>
      </c>
      <c r="G134" s="1">
        <f t="shared" si="3"/>
        <v>381076.87669747433</v>
      </c>
    </row>
    <row r="135" spans="1:7" hidden="1">
      <c r="A135" s="3">
        <v>68976</v>
      </c>
      <c r="B135" s="3">
        <v>4757688576</v>
      </c>
      <c r="C135" s="3">
        <v>328166327218176</v>
      </c>
      <c r="D135" s="3">
        <v>5065</v>
      </c>
      <c r="E135" s="4">
        <v>8748.1613890563804</v>
      </c>
      <c r="F135" s="3">
        <v>333300</v>
      </c>
      <c r="G135" s="1">
        <f t="shared" si="3"/>
        <v>379953.67919604783</v>
      </c>
    </row>
    <row r="136" spans="1:7" hidden="1">
      <c r="A136" s="3">
        <v>82049</v>
      </c>
      <c r="B136" s="3">
        <v>6732038401</v>
      </c>
      <c r="C136" s="3">
        <v>552357018763649</v>
      </c>
      <c r="D136" s="3">
        <v>1326</v>
      </c>
      <c r="E136" s="4">
        <v>10303.624156869901</v>
      </c>
      <c r="F136" s="3">
        <v>335200</v>
      </c>
      <c r="G136" s="1">
        <f t="shared" si="3"/>
        <v>383699.00974978565</v>
      </c>
    </row>
    <row r="137" spans="1:7" hidden="1">
      <c r="A137" s="3">
        <v>84010</v>
      </c>
      <c r="B137" s="3">
        <v>7057680100</v>
      </c>
      <c r="C137" s="3">
        <v>592915705201000</v>
      </c>
      <c r="D137" s="3">
        <v>1589</v>
      </c>
      <c r="E137" s="4">
        <v>9517.1294347624607</v>
      </c>
      <c r="F137" s="3">
        <v>351200</v>
      </c>
      <c r="G137" s="1">
        <f t="shared" si="3"/>
        <v>386571.32712121302</v>
      </c>
    </row>
    <row r="138" spans="1:7" hidden="1">
      <c r="A138" s="3">
        <v>68538</v>
      </c>
      <c r="B138" s="3">
        <v>4697457444</v>
      </c>
      <c r="C138" s="3">
        <v>321954338296872</v>
      </c>
      <c r="D138" s="3">
        <v>1791</v>
      </c>
      <c r="E138" s="4">
        <v>10303.624156869901</v>
      </c>
      <c r="F138" s="3">
        <v>368900</v>
      </c>
      <c r="G138" s="1">
        <f t="shared" si="3"/>
        <v>353217.51546347723</v>
      </c>
    </row>
    <row r="139" spans="1:7" hidden="1">
      <c r="A139" s="3">
        <v>83170</v>
      </c>
      <c r="B139" s="3">
        <v>6917248900</v>
      </c>
      <c r="C139" s="3">
        <v>575307591013000</v>
      </c>
      <c r="D139" s="3">
        <v>1835</v>
      </c>
      <c r="E139" s="4">
        <v>9879.4582441998991</v>
      </c>
      <c r="F139" s="3">
        <v>365900</v>
      </c>
      <c r="G139" s="1">
        <f t="shared" si="3"/>
        <v>389049.93836160935</v>
      </c>
    </row>
    <row r="140" spans="1:7" hidden="1">
      <c r="A140" s="3">
        <v>70175</v>
      </c>
      <c r="B140" s="3">
        <v>4924530625</v>
      </c>
      <c r="C140" s="3">
        <v>345578936609375</v>
      </c>
      <c r="D140" s="3">
        <v>1229</v>
      </c>
      <c r="E140" s="4">
        <v>9056.0844276589796</v>
      </c>
      <c r="F140" s="3">
        <v>366700</v>
      </c>
      <c r="G140" s="1">
        <f t="shared" si="3"/>
        <v>347000.67959971435</v>
      </c>
    </row>
    <row r="141" spans="1:7" hidden="1">
      <c r="A141" s="3">
        <v>63301.999999999993</v>
      </c>
      <c r="B141" s="3">
        <v>4007143203.999999</v>
      </c>
      <c r="C141" s="3">
        <v>253660179099607.91</v>
      </c>
      <c r="D141" s="3">
        <v>3770</v>
      </c>
      <c r="E141" s="4">
        <v>9056.0844276589796</v>
      </c>
      <c r="F141" s="3">
        <v>362800</v>
      </c>
      <c r="G141" s="1">
        <f t="shared" si="3"/>
        <v>350179.68925635377</v>
      </c>
    </row>
    <row r="142" spans="1:7" hidden="1">
      <c r="A142" s="3">
        <v>63624</v>
      </c>
      <c r="B142" s="3">
        <v>4048013376</v>
      </c>
      <c r="C142" s="3">
        <v>257550803034624</v>
      </c>
      <c r="D142" s="3">
        <v>292</v>
      </c>
      <c r="E142" s="4">
        <v>9430.4481651929691</v>
      </c>
      <c r="F142" s="3">
        <v>483300</v>
      </c>
      <c r="G142" s="1">
        <f t="shared" si="3"/>
        <v>318534.70785671961</v>
      </c>
    </row>
    <row r="143" spans="1:7" hidden="1">
      <c r="A143" s="3">
        <v>70549</v>
      </c>
      <c r="B143" s="3">
        <v>4977161401</v>
      </c>
      <c r="C143" s="3">
        <v>351133759679149</v>
      </c>
      <c r="D143" s="3">
        <v>2375</v>
      </c>
      <c r="E143" s="4">
        <v>8244.1092502941501</v>
      </c>
      <c r="F143" s="3">
        <v>331400</v>
      </c>
      <c r="G143" s="1">
        <f t="shared" si="3"/>
        <v>355792.12582858768</v>
      </c>
    </row>
    <row r="144" spans="1:7" hidden="1">
      <c r="A144" s="3">
        <v>67851</v>
      </c>
      <c r="B144" s="3">
        <v>4603758201</v>
      </c>
      <c r="C144" s="3">
        <v>312369597696051</v>
      </c>
      <c r="D144" s="3">
        <v>2964</v>
      </c>
      <c r="E144" s="4">
        <v>8713.3482967782402</v>
      </c>
      <c r="F144" s="3">
        <v>323500</v>
      </c>
      <c r="G144" s="1">
        <f t="shared" si="3"/>
        <v>355517.02024282125</v>
      </c>
    </row>
    <row r="145" spans="1:7" hidden="1">
      <c r="A145" s="3">
        <v>28929</v>
      </c>
      <c r="B145" s="3">
        <v>836887041</v>
      </c>
      <c r="C145" s="3">
        <v>24210305209089</v>
      </c>
      <c r="D145" s="3">
        <v>2833</v>
      </c>
      <c r="E145" s="4">
        <v>7632.4268854803504</v>
      </c>
      <c r="F145" s="3">
        <v>216700</v>
      </c>
      <c r="G145" s="1">
        <f t="shared" si="3"/>
        <v>201500.82228255784</v>
      </c>
    </row>
    <row r="146" spans="1:7" hidden="1">
      <c r="A146" s="3">
        <v>30812</v>
      </c>
      <c r="B146" s="3">
        <v>949379344</v>
      </c>
      <c r="C146" s="3">
        <v>29252276347328</v>
      </c>
      <c r="D146" s="3">
        <v>2254</v>
      </c>
      <c r="E146" s="4">
        <v>7632.4268854803504</v>
      </c>
      <c r="F146" s="3">
        <v>233100</v>
      </c>
      <c r="G146" s="1">
        <f t="shared" si="3"/>
        <v>203193.59183701588</v>
      </c>
    </row>
    <row r="147" spans="1:7" hidden="1">
      <c r="A147" s="3">
        <v>52402</v>
      </c>
      <c r="B147" s="3">
        <v>2745969604</v>
      </c>
      <c r="C147" s="3">
        <v>143894299188808</v>
      </c>
      <c r="D147" s="3">
        <v>1389</v>
      </c>
      <c r="E147" s="4">
        <v>7865.9524633190404</v>
      </c>
      <c r="F147" s="3">
        <v>296400</v>
      </c>
      <c r="G147" s="1">
        <f t="shared" si="3"/>
        <v>281624.17035846744</v>
      </c>
    </row>
    <row r="148" spans="1:7" hidden="1">
      <c r="A148" s="3">
        <v>65217</v>
      </c>
      <c r="B148" s="3">
        <v>4253257089</v>
      </c>
      <c r="C148" s="3">
        <v>277384667573313</v>
      </c>
      <c r="D148" s="3">
        <v>1971</v>
      </c>
      <c r="E148" s="4">
        <v>7026.22866235321</v>
      </c>
      <c r="F148" s="3">
        <v>273700</v>
      </c>
      <c r="G148" s="1">
        <f t="shared" si="3"/>
        <v>329618.44292947429</v>
      </c>
    </row>
    <row r="149" spans="1:7" hidden="1">
      <c r="A149" s="3">
        <v>32632</v>
      </c>
      <c r="B149" s="3">
        <v>1064847424</v>
      </c>
      <c r="C149" s="3">
        <v>34748101139968</v>
      </c>
      <c r="D149" s="3">
        <v>2183</v>
      </c>
      <c r="E149" s="4">
        <v>6763.6475365435599</v>
      </c>
      <c r="F149" s="3">
        <v>227700</v>
      </c>
      <c r="G149" s="1">
        <f t="shared" si="3"/>
        <v>205806.04253588006</v>
      </c>
    </row>
    <row r="150" spans="1:7" hidden="1">
      <c r="A150" s="3">
        <v>30298</v>
      </c>
      <c r="B150" s="3">
        <v>917968804</v>
      </c>
      <c r="C150" s="3">
        <v>27812618823592</v>
      </c>
      <c r="D150" s="3">
        <v>2286</v>
      </c>
      <c r="E150" s="4">
        <v>6763.6475365435599</v>
      </c>
      <c r="F150" s="3">
        <v>199600</v>
      </c>
      <c r="G150" s="1">
        <f t="shared" si="3"/>
        <v>197558.95676387829</v>
      </c>
    </row>
    <row r="151" spans="1:7" hidden="1">
      <c r="A151" s="3">
        <v>45428</v>
      </c>
      <c r="B151" s="3">
        <v>2063703184</v>
      </c>
      <c r="C151" s="3">
        <v>93749908242752</v>
      </c>
      <c r="D151" s="3">
        <v>2721</v>
      </c>
      <c r="E151" s="4">
        <v>6763.6475365435599</v>
      </c>
      <c r="F151" s="3">
        <v>239800</v>
      </c>
      <c r="G151" s="1">
        <f t="shared" si="3"/>
        <v>262510.08289319824</v>
      </c>
    </row>
    <row r="152" spans="1:7" hidden="1">
      <c r="A152" s="3">
        <v>40720</v>
      </c>
      <c r="B152" s="3">
        <v>1658118400</v>
      </c>
      <c r="C152" s="3">
        <v>67518581248000</v>
      </c>
      <c r="D152" s="3">
        <v>2024</v>
      </c>
      <c r="E152" s="4">
        <v>7026.22866235321</v>
      </c>
      <c r="F152" s="3">
        <v>270100</v>
      </c>
      <c r="G152" s="1">
        <f t="shared" si="3"/>
        <v>237920.23536014397</v>
      </c>
    </row>
    <row r="153" spans="1:7" hidden="1">
      <c r="A153" s="3">
        <v>53509</v>
      </c>
      <c r="B153" s="3">
        <v>2863213081</v>
      </c>
      <c r="C153" s="3">
        <v>153207668751229</v>
      </c>
      <c r="D153" s="3">
        <v>2944</v>
      </c>
      <c r="E153" s="4">
        <v>7026.22866235321</v>
      </c>
      <c r="F153" s="3">
        <v>302100</v>
      </c>
      <c r="G153" s="1">
        <f t="shared" si="3"/>
        <v>297454.39006724418</v>
      </c>
    </row>
    <row r="154" spans="1:7" hidden="1">
      <c r="A154" s="3">
        <v>48652</v>
      </c>
      <c r="B154" s="3">
        <v>2367017104</v>
      </c>
      <c r="C154" s="3">
        <v>115160116143808</v>
      </c>
      <c r="D154" s="3">
        <v>2033</v>
      </c>
      <c r="E154" s="4">
        <v>5897.7992904624798</v>
      </c>
      <c r="F154" s="3">
        <v>269500</v>
      </c>
      <c r="G154" s="1">
        <f t="shared" si="3"/>
        <v>264556.40751198068</v>
      </c>
    </row>
    <row r="155" spans="1:7" hidden="1">
      <c r="A155" s="3">
        <v>47708.000000000007</v>
      </c>
      <c r="B155" s="3">
        <v>2276053264.0000005</v>
      </c>
      <c r="C155" s="3">
        <v>108585949118912.05</v>
      </c>
      <c r="D155" s="3">
        <v>1433</v>
      </c>
      <c r="E155" s="4">
        <v>6197.2963351423896</v>
      </c>
      <c r="F155" s="3">
        <v>314700</v>
      </c>
      <c r="G155" s="1">
        <f t="shared" si="3"/>
        <v>256251.56221440333</v>
      </c>
    </row>
    <row r="156" spans="1:7" hidden="1">
      <c r="A156" s="3">
        <v>81564</v>
      </c>
      <c r="B156" s="3">
        <v>6652686096</v>
      </c>
      <c r="C156" s="3">
        <v>542619688734144</v>
      </c>
      <c r="D156" s="3">
        <v>2927</v>
      </c>
      <c r="E156" s="4">
        <v>7026.22866235321</v>
      </c>
      <c r="F156" s="3">
        <v>390100</v>
      </c>
      <c r="G156" s="1">
        <f t="shared" si="3"/>
        <v>383763.97359095409</v>
      </c>
    </row>
    <row r="157" spans="1:7" hidden="1">
      <c r="A157" s="3">
        <v>88793</v>
      </c>
      <c r="B157" s="3">
        <v>7884196849</v>
      </c>
      <c r="C157" s="3">
        <v>700061490813257</v>
      </c>
      <c r="D157" s="3">
        <v>2315</v>
      </c>
      <c r="E157" s="4">
        <v>6197.2963351423896</v>
      </c>
      <c r="F157" s="3">
        <v>410300</v>
      </c>
      <c r="G157" s="1">
        <f t="shared" si="3"/>
        <v>386503.47002083022</v>
      </c>
    </row>
    <row r="158" spans="1:7" hidden="1">
      <c r="A158" s="3">
        <v>68591</v>
      </c>
      <c r="B158" s="3">
        <v>4704725281</v>
      </c>
      <c r="C158" s="3">
        <v>322701811749071</v>
      </c>
      <c r="D158" s="3">
        <v>2485</v>
      </c>
      <c r="E158" s="4">
        <v>5384.1421071774403</v>
      </c>
      <c r="F158" s="3">
        <v>352400</v>
      </c>
      <c r="G158" s="1">
        <f t="shared" si="3"/>
        <v>338062.47452763969</v>
      </c>
    </row>
    <row r="159" spans="1:7" hidden="1">
      <c r="A159" s="3">
        <v>60302</v>
      </c>
      <c r="B159" s="3">
        <v>3636331204</v>
      </c>
      <c r="C159" s="3">
        <v>219278044263608</v>
      </c>
      <c r="D159" s="3">
        <v>1490</v>
      </c>
      <c r="E159" s="4">
        <v>5384.1421071774403</v>
      </c>
      <c r="F159" s="3">
        <v>287300</v>
      </c>
      <c r="G159" s="1">
        <f t="shared" si="3"/>
        <v>300648.6706355965</v>
      </c>
    </row>
    <row r="160" spans="1:7" hidden="1">
      <c r="A160" s="3">
        <v>75080</v>
      </c>
      <c r="B160" s="3">
        <v>5637006400</v>
      </c>
      <c r="C160" s="3">
        <v>423226440512000</v>
      </c>
      <c r="D160" s="3">
        <v>2814</v>
      </c>
      <c r="E160" s="4">
        <v>6197.2963351423896</v>
      </c>
      <c r="F160" s="3">
        <v>348700</v>
      </c>
      <c r="G160" s="1">
        <f t="shared" si="3"/>
        <v>363581.56169709744</v>
      </c>
    </row>
    <row r="161" spans="1:7" hidden="1">
      <c r="A161" s="3">
        <v>34668</v>
      </c>
      <c r="B161" s="3">
        <v>1201870224</v>
      </c>
      <c r="C161" s="3">
        <v>41666436925632</v>
      </c>
      <c r="D161" s="3">
        <v>2093</v>
      </c>
      <c r="E161" s="4">
        <v>5384.1421071774403</v>
      </c>
      <c r="F161" s="3">
        <v>243800</v>
      </c>
      <c r="G161" s="1">
        <f t="shared" si="3"/>
        <v>206837.526621781</v>
      </c>
    </row>
    <row r="162" spans="1:7" hidden="1">
      <c r="A162" s="3">
        <v>41944</v>
      </c>
      <c r="B162" s="3">
        <v>1759299136</v>
      </c>
      <c r="C162" s="3">
        <v>73792042960384</v>
      </c>
      <c r="D162" s="3">
        <v>888</v>
      </c>
      <c r="E162" s="4">
        <v>5036.3941171790602</v>
      </c>
      <c r="F162" s="3">
        <v>211500</v>
      </c>
      <c r="G162" s="1">
        <f t="shared" si="3"/>
        <v>222627.01132226313</v>
      </c>
    </row>
    <row r="163" spans="1:7" hidden="1">
      <c r="A163" s="3">
        <v>30149</v>
      </c>
      <c r="B163" s="3">
        <v>908962201</v>
      </c>
      <c r="C163" s="3">
        <v>27404301397949</v>
      </c>
      <c r="D163" s="3">
        <v>2087</v>
      </c>
      <c r="E163" s="4">
        <v>4182.1783564641</v>
      </c>
      <c r="F163" s="3">
        <v>218400</v>
      </c>
      <c r="G163" s="1">
        <f t="shared" si="3"/>
        <v>183358.14569442513</v>
      </c>
    </row>
    <row r="164" spans="1:7" hidden="1">
      <c r="A164" s="3">
        <v>36750</v>
      </c>
      <c r="B164" s="3">
        <v>1350562500</v>
      </c>
      <c r="C164" s="3">
        <v>49633171875000</v>
      </c>
      <c r="D164" s="3">
        <v>2513</v>
      </c>
      <c r="E164" s="4">
        <v>5384.1421071774403</v>
      </c>
      <c r="F164" s="3">
        <v>269900</v>
      </c>
      <c r="G164" s="1">
        <f t="shared" si="3"/>
        <v>219361.13577669641</v>
      </c>
    </row>
    <row r="165" spans="1:7" hidden="1">
      <c r="A165" s="3">
        <v>32250</v>
      </c>
      <c r="B165" s="3">
        <v>1040062500</v>
      </c>
      <c r="C165" s="3">
        <v>33542015625000</v>
      </c>
      <c r="D165" s="3">
        <v>3232</v>
      </c>
      <c r="E165" s="4">
        <v>4595.14987977277</v>
      </c>
      <c r="F165" s="3">
        <v>218800</v>
      </c>
      <c r="G165" s="1">
        <f t="shared" si="3"/>
        <v>204885.85652898697</v>
      </c>
    </row>
    <row r="166" spans="1:7" hidden="1">
      <c r="A166" s="3">
        <v>29345</v>
      </c>
      <c r="B166" s="3">
        <v>861129025</v>
      </c>
      <c r="C166" s="3">
        <v>25269831238625</v>
      </c>
      <c r="D166" s="3">
        <v>4120</v>
      </c>
      <c r="E166" s="4">
        <v>4182.1783564641</v>
      </c>
      <c r="F166" s="3">
        <v>225000</v>
      </c>
      <c r="G166" s="1">
        <f t="shared" si="3"/>
        <v>200311.69168540864</v>
      </c>
    </row>
    <row r="167" spans="1:7" hidden="1">
      <c r="A167" s="3">
        <v>58743</v>
      </c>
      <c r="B167" s="3">
        <v>3450740049</v>
      </c>
      <c r="C167" s="3">
        <v>202706822698407</v>
      </c>
      <c r="D167" s="3">
        <v>2364</v>
      </c>
      <c r="E167" s="4">
        <v>4182.1783564641</v>
      </c>
      <c r="F167" s="3">
        <v>250000</v>
      </c>
      <c r="G167" s="1">
        <f t="shared" si="3"/>
        <v>298305.01620411221</v>
      </c>
    </row>
    <row r="168" spans="1:7" hidden="1">
      <c r="A168" s="3">
        <v>16121</v>
      </c>
      <c r="B168" s="3">
        <v>259886641</v>
      </c>
      <c r="C168" s="3">
        <v>4189632539561</v>
      </c>
      <c r="D168" s="3">
        <v>1471</v>
      </c>
      <c r="E168" s="4">
        <v>4182.1783564641</v>
      </c>
      <c r="F168" s="3">
        <v>171400</v>
      </c>
      <c r="G168" s="1">
        <f t="shared" si="3"/>
        <v>124706.82564862813</v>
      </c>
    </row>
    <row r="169" spans="1:7" hidden="1">
      <c r="A169" s="3">
        <v>13929</v>
      </c>
      <c r="B169" s="3">
        <v>194017041</v>
      </c>
      <c r="C169" s="3">
        <v>2702463364089</v>
      </c>
      <c r="D169" s="3">
        <v>2468</v>
      </c>
      <c r="E169" s="4">
        <v>4182.1783564641</v>
      </c>
      <c r="F169" s="3">
        <v>193800</v>
      </c>
      <c r="G169" s="1">
        <f t="shared" si="3"/>
        <v>127078.85834688455</v>
      </c>
    </row>
    <row r="170" spans="1:7" hidden="1">
      <c r="A170" s="3">
        <v>23173</v>
      </c>
      <c r="B170" s="3">
        <v>536987929</v>
      </c>
      <c r="C170" s="3">
        <v>12443621278717</v>
      </c>
      <c r="D170" s="3">
        <v>1632</v>
      </c>
      <c r="E170" s="4">
        <v>4920.8136550187701</v>
      </c>
      <c r="F170" s="3">
        <v>125000</v>
      </c>
      <c r="G170" s="1">
        <f t="shared" si="3"/>
        <v>155222.16624674975</v>
      </c>
    </row>
    <row r="171" spans="1:7" hidden="1">
      <c r="A171" s="3">
        <v>17772</v>
      </c>
      <c r="B171" s="3">
        <v>315843984</v>
      </c>
      <c r="C171" s="3">
        <v>5613179283648</v>
      </c>
      <c r="D171" s="3">
        <v>1786</v>
      </c>
      <c r="E171" s="4">
        <v>4042.1146945014102</v>
      </c>
      <c r="F171" s="3">
        <v>97500</v>
      </c>
      <c r="G171" s="1">
        <f t="shared" si="3"/>
        <v>132994.36052135687</v>
      </c>
    </row>
    <row r="172" spans="1:7" hidden="1">
      <c r="A172" s="3">
        <v>26458</v>
      </c>
      <c r="B172" s="3">
        <v>700025764</v>
      </c>
      <c r="C172" s="3">
        <v>18521281663912</v>
      </c>
      <c r="D172" s="3">
        <v>629</v>
      </c>
      <c r="E172" s="4">
        <v>4042.1146945014102</v>
      </c>
      <c r="F172" s="3">
        <v>125000</v>
      </c>
      <c r="G172" s="1">
        <f t="shared" si="3"/>
        <v>153869.71160369171</v>
      </c>
    </row>
    <row r="173" spans="1:7" hidden="1">
      <c r="A173" s="3">
        <v>21810</v>
      </c>
      <c r="B173" s="3">
        <v>475676100</v>
      </c>
      <c r="C173" s="3">
        <v>10374495741000</v>
      </c>
      <c r="D173" s="3">
        <v>1339</v>
      </c>
      <c r="E173" s="4">
        <v>4042.1146945014102</v>
      </c>
      <c r="F173" s="3">
        <v>138800</v>
      </c>
      <c r="G173" s="1">
        <f t="shared" si="3"/>
        <v>143259.3325027329</v>
      </c>
    </row>
    <row r="174" spans="1:7" hidden="1">
      <c r="A174" s="3">
        <v>22303</v>
      </c>
      <c r="B174" s="3">
        <v>497423809</v>
      </c>
      <c r="C174" s="3">
        <v>11094043212127</v>
      </c>
      <c r="D174" s="3">
        <v>1678</v>
      </c>
      <c r="E174" s="4">
        <v>4182.1783564641</v>
      </c>
      <c r="F174" s="3">
        <v>116700</v>
      </c>
      <c r="G174" s="1">
        <f t="shared" si="3"/>
        <v>149083.32586905477</v>
      </c>
    </row>
    <row r="175" spans="1:7" hidden="1">
      <c r="A175" s="3">
        <v>16504</v>
      </c>
      <c r="B175" s="3">
        <v>272382016</v>
      </c>
      <c r="C175" s="3">
        <v>4495392792064</v>
      </c>
      <c r="D175" s="3">
        <v>2344</v>
      </c>
      <c r="E175" s="4">
        <v>4182.1783564641</v>
      </c>
      <c r="F175" s="3">
        <v>151800</v>
      </c>
      <c r="G175" s="1">
        <f t="shared" si="3"/>
        <v>134681.63214995179</v>
      </c>
    </row>
    <row r="176" spans="1:7" hidden="1">
      <c r="A176" s="3">
        <v>22697</v>
      </c>
      <c r="B176" s="3">
        <v>515153809</v>
      </c>
      <c r="C176" s="3">
        <v>11692446002873</v>
      </c>
      <c r="D176" s="3">
        <v>996</v>
      </c>
      <c r="E176" s="4">
        <v>5036.3941171790602</v>
      </c>
      <c r="F176" s="3">
        <v>127000</v>
      </c>
      <c r="G176" s="1">
        <f t="shared" si="3"/>
        <v>147660.29902477845</v>
      </c>
    </row>
    <row r="177" spans="1:7" hidden="1">
      <c r="A177" s="3">
        <v>21563</v>
      </c>
      <c r="B177" s="3">
        <v>464962969</v>
      </c>
      <c r="C177" s="3">
        <v>10025996500547</v>
      </c>
      <c r="D177" s="3">
        <v>1591</v>
      </c>
      <c r="E177" s="4">
        <v>5036.3941171790602</v>
      </c>
      <c r="F177" s="3">
        <v>128600</v>
      </c>
      <c r="G177" s="1">
        <f t="shared" si="3"/>
        <v>149320.74720866169</v>
      </c>
    </row>
    <row r="178" spans="1:7" hidden="1">
      <c r="A178" s="3">
        <v>21347.999999999996</v>
      </c>
      <c r="B178" s="3">
        <v>455737103.99999982</v>
      </c>
      <c r="C178" s="3">
        <v>9729075696191.9941</v>
      </c>
      <c r="D178" s="3">
        <v>1586</v>
      </c>
      <c r="E178" s="4">
        <v>5036.3941171790602</v>
      </c>
      <c r="F178" s="3">
        <v>140600</v>
      </c>
      <c r="G178" s="1">
        <f t="shared" si="3"/>
        <v>148474.84285201214</v>
      </c>
    </row>
    <row r="179" spans="1:7" hidden="1">
      <c r="A179" s="3">
        <v>36292</v>
      </c>
      <c r="B179" s="3">
        <v>1317109264</v>
      </c>
      <c r="C179" s="3">
        <v>47800529409088</v>
      </c>
      <c r="D179" s="3">
        <v>2046</v>
      </c>
      <c r="E179" s="4">
        <v>5036.3941171790602</v>
      </c>
      <c r="F179" s="3">
        <v>182700</v>
      </c>
      <c r="G179" s="1">
        <f t="shared" si="3"/>
        <v>211327.75542108208</v>
      </c>
    </row>
    <row r="180" spans="1:7" hidden="1">
      <c r="A180" s="3">
        <v>23833.000000000004</v>
      </c>
      <c r="B180" s="3">
        <v>568011889.00000012</v>
      </c>
      <c r="C180" s="3">
        <v>13537427350537.006</v>
      </c>
      <c r="D180" s="3">
        <v>1192</v>
      </c>
      <c r="E180" s="4">
        <v>5897.7992904624798</v>
      </c>
      <c r="F180" s="3">
        <v>146900</v>
      </c>
      <c r="G180" s="1">
        <f t="shared" si="3"/>
        <v>157765.91912236391</v>
      </c>
    </row>
    <row r="181" spans="1:7" hidden="1">
      <c r="A181" s="3">
        <v>20570</v>
      </c>
      <c r="B181" s="3">
        <v>423124900</v>
      </c>
      <c r="C181" s="3">
        <v>8703679193000</v>
      </c>
      <c r="D181" s="3">
        <v>1803</v>
      </c>
      <c r="E181" s="4">
        <v>5036.3941171790602</v>
      </c>
      <c r="F181" s="3">
        <v>122800</v>
      </c>
      <c r="G181" s="1">
        <f t="shared" si="3"/>
        <v>147755.32497082959</v>
      </c>
    </row>
    <row r="182" spans="1:7" hidden="1">
      <c r="A182" s="3">
        <v>25238</v>
      </c>
      <c r="B182" s="3">
        <v>636956644</v>
      </c>
      <c r="C182" s="3">
        <v>16075511781272</v>
      </c>
      <c r="D182" s="3">
        <v>2838</v>
      </c>
      <c r="E182" s="4">
        <v>5036.3941171790602</v>
      </c>
      <c r="F182" s="3">
        <v>169300</v>
      </c>
      <c r="G182" s="1">
        <f t="shared" si="3"/>
        <v>175523.53205419864</v>
      </c>
    </row>
    <row r="183" spans="1:7" hidden="1">
      <c r="A183" s="3">
        <v>19375</v>
      </c>
      <c r="B183" s="3">
        <v>375390625</v>
      </c>
      <c r="C183" s="3">
        <v>7273193359375</v>
      </c>
      <c r="D183" s="3">
        <v>783</v>
      </c>
      <c r="E183" s="4">
        <v>5897.7992904624798</v>
      </c>
      <c r="F183" s="3">
        <v>126600</v>
      </c>
      <c r="G183" s="1">
        <f t="shared" si="3"/>
        <v>137187.53134799525</v>
      </c>
    </row>
    <row r="184" spans="1:7" hidden="1">
      <c r="A184" s="3">
        <v>19028</v>
      </c>
      <c r="B184" s="3">
        <v>362064784</v>
      </c>
      <c r="C184" s="3">
        <v>6889368709952</v>
      </c>
      <c r="D184" s="3">
        <v>1590</v>
      </c>
      <c r="E184" s="4">
        <v>5897.7992904624798</v>
      </c>
      <c r="F184" s="3">
        <v>127900</v>
      </c>
      <c r="G184" s="1">
        <f t="shared" si="3"/>
        <v>143920.44690623431</v>
      </c>
    </row>
    <row r="185" spans="1:7" hidden="1">
      <c r="A185" s="3">
        <v>22500</v>
      </c>
      <c r="B185" s="3">
        <v>506250000</v>
      </c>
      <c r="C185" s="3">
        <v>11390625000000</v>
      </c>
      <c r="D185" s="3">
        <v>1346</v>
      </c>
      <c r="E185" s="4">
        <v>5897.7992904624798</v>
      </c>
      <c r="F185" s="3">
        <v>123500</v>
      </c>
      <c r="G185" s="1">
        <f t="shared" si="3"/>
        <v>154271.57794520253</v>
      </c>
    </row>
    <row r="186" spans="1:7" hidden="1">
      <c r="A186" s="3">
        <v>23929</v>
      </c>
      <c r="B186" s="3">
        <v>572597041</v>
      </c>
      <c r="C186" s="3">
        <v>13701674594089</v>
      </c>
      <c r="D186" s="3">
        <v>1252</v>
      </c>
      <c r="E186" s="4">
        <v>5897.7992904624798</v>
      </c>
      <c r="F186" s="3">
        <v>111900</v>
      </c>
      <c r="G186" s="1">
        <f t="shared" si="3"/>
        <v>158723.46129837004</v>
      </c>
    </row>
    <row r="187" spans="1:7" hidden="1">
      <c r="A187" s="3">
        <v>11300</v>
      </c>
      <c r="B187" s="3">
        <v>127690000</v>
      </c>
      <c r="C187" s="3">
        <v>1442897000000</v>
      </c>
      <c r="D187" s="3">
        <v>5963</v>
      </c>
      <c r="E187" s="4">
        <v>5799.52176777353</v>
      </c>
      <c r="F187" s="3">
        <v>112800</v>
      </c>
      <c r="G187" s="1">
        <f t="shared" si="3"/>
        <v>160315.30383998755</v>
      </c>
    </row>
    <row r="188" spans="1:7" hidden="1">
      <c r="A188" s="3">
        <v>13683</v>
      </c>
      <c r="B188" s="3">
        <v>187224489</v>
      </c>
      <c r="C188" s="3">
        <v>2561792682987</v>
      </c>
      <c r="D188" s="3">
        <v>1783</v>
      </c>
      <c r="E188" s="4">
        <v>5799.52176777353</v>
      </c>
      <c r="F188" s="3">
        <v>107900</v>
      </c>
      <c r="G188" s="1">
        <f t="shared" si="3"/>
        <v>126767.96376669851</v>
      </c>
    </row>
    <row r="189" spans="1:7" hidden="1">
      <c r="A189" s="3">
        <v>18854</v>
      </c>
      <c r="B189" s="3">
        <v>355473316</v>
      </c>
      <c r="C189" s="3">
        <v>6702093899864</v>
      </c>
      <c r="D189" s="3">
        <v>999</v>
      </c>
      <c r="E189" s="4">
        <v>5799.52176777353</v>
      </c>
      <c r="F189" s="3">
        <v>137500</v>
      </c>
      <c r="G189" s="1">
        <f t="shared" si="3"/>
        <v>137000.7971354519</v>
      </c>
    </row>
    <row r="190" spans="1:7" hidden="1">
      <c r="A190" s="3">
        <v>15732</v>
      </c>
      <c r="B190" s="3">
        <v>247495824</v>
      </c>
      <c r="C190" s="3">
        <v>3893604303168</v>
      </c>
      <c r="D190" s="3">
        <v>1469</v>
      </c>
      <c r="E190" s="4">
        <v>4920.8136550187701</v>
      </c>
      <c r="F190" s="3">
        <v>105500</v>
      </c>
      <c r="G190" s="1">
        <f t="shared" si="3"/>
        <v>126670.42722400655</v>
      </c>
    </row>
    <row r="191" spans="1:7" hidden="1">
      <c r="A191" s="3">
        <v>12338</v>
      </c>
      <c r="B191" s="3">
        <v>152226244</v>
      </c>
      <c r="C191" s="3">
        <v>1878167398472</v>
      </c>
      <c r="D191" s="3">
        <v>1372</v>
      </c>
      <c r="E191" s="4">
        <v>4920.8136550187701</v>
      </c>
      <c r="F191" s="3">
        <v>95500</v>
      </c>
      <c r="G191" s="1">
        <f t="shared" si="3"/>
        <v>114281.6189744545</v>
      </c>
    </row>
    <row r="192" spans="1:7" hidden="1">
      <c r="A192" s="3">
        <v>12694</v>
      </c>
      <c r="B192" s="3">
        <v>161137636</v>
      </c>
      <c r="C192" s="3">
        <v>2045481151384</v>
      </c>
      <c r="D192" s="3">
        <v>674</v>
      </c>
      <c r="E192" s="4">
        <v>4920.8136550187701</v>
      </c>
      <c r="F192" s="3">
        <v>116100</v>
      </c>
      <c r="G192" s="1">
        <f t="shared" si="3"/>
        <v>108542.70987800324</v>
      </c>
    </row>
    <row r="193" spans="1:7" hidden="1">
      <c r="A193" s="3">
        <v>9754</v>
      </c>
      <c r="B193" s="3">
        <v>95140516</v>
      </c>
      <c r="C193" s="3">
        <v>928000593064</v>
      </c>
      <c r="D193" s="3">
        <v>1626</v>
      </c>
      <c r="E193" s="4">
        <v>4920.8136550187701</v>
      </c>
      <c r="F193" s="3">
        <v>112200</v>
      </c>
      <c r="G193" s="1">
        <f t="shared" si="3"/>
        <v>108528.86880614245</v>
      </c>
    </row>
    <row r="194" spans="1:7" hidden="1">
      <c r="A194" s="3">
        <v>21000</v>
      </c>
      <c r="B194" s="3">
        <v>441000000</v>
      </c>
      <c r="C194" s="3">
        <v>9261000000000</v>
      </c>
      <c r="D194" s="3">
        <v>175</v>
      </c>
      <c r="E194" s="4">
        <v>4042.1146945014102</v>
      </c>
      <c r="F194" s="3">
        <v>75000</v>
      </c>
      <c r="G194" s="1">
        <f t="shared" si="3"/>
        <v>128739.86137937052</v>
      </c>
    </row>
    <row r="195" spans="1:7" hidden="1">
      <c r="A195" s="3">
        <v>16000</v>
      </c>
      <c r="B195" s="3">
        <v>256000000</v>
      </c>
      <c r="C195" s="3">
        <v>4096000000000</v>
      </c>
      <c r="D195" s="3">
        <v>461</v>
      </c>
      <c r="E195" s="4">
        <v>4042.1146945014102</v>
      </c>
      <c r="F195" s="3">
        <v>112500</v>
      </c>
      <c r="G195" s="1">
        <f t="shared" ref="G195:G221" si="4">$J$3+$J$4*A195+$J$5*B195+$J$6*C195+$J$7*D195+$J$8*E195</f>
        <v>113658.6512505486</v>
      </c>
    </row>
    <row r="196" spans="1:7" hidden="1">
      <c r="A196" s="3">
        <v>12984</v>
      </c>
      <c r="B196" s="3">
        <v>168584256</v>
      </c>
      <c r="C196" s="3">
        <v>2188897979904</v>
      </c>
      <c r="D196" s="3">
        <v>1102</v>
      </c>
      <c r="E196" s="4">
        <v>4042.1146945014102</v>
      </c>
      <c r="F196" s="3">
        <v>125000</v>
      </c>
      <c r="G196" s="1">
        <f t="shared" si="4"/>
        <v>109773.67757477422</v>
      </c>
    </row>
    <row r="197" spans="1:7" hidden="1">
      <c r="A197" s="3">
        <v>15437</v>
      </c>
      <c r="B197" s="3">
        <v>238300969</v>
      </c>
      <c r="C197" s="3">
        <v>3678652058453</v>
      </c>
      <c r="D197" s="3">
        <v>2373</v>
      </c>
      <c r="E197" s="4">
        <v>3340.6716189762201</v>
      </c>
      <c r="F197" s="3">
        <v>115000</v>
      </c>
      <c r="G197" s="1">
        <f t="shared" si="4"/>
        <v>127473.80287354755</v>
      </c>
    </row>
    <row r="198" spans="1:7" hidden="1">
      <c r="A198" s="3">
        <v>16471</v>
      </c>
      <c r="B198" s="3">
        <v>271293841</v>
      </c>
      <c r="C198" s="3">
        <v>4468480855111</v>
      </c>
      <c r="D198" s="3">
        <v>391</v>
      </c>
      <c r="E198" s="4">
        <v>4226.27769924116</v>
      </c>
      <c r="F198" s="3">
        <v>95000</v>
      </c>
      <c r="G198" s="1">
        <f t="shared" si="4"/>
        <v>115435.6292511217</v>
      </c>
    </row>
    <row r="199" spans="1:7" hidden="1">
      <c r="A199" s="3">
        <v>12763</v>
      </c>
      <c r="B199" s="3">
        <v>162894169</v>
      </c>
      <c r="C199" s="3">
        <v>2079018278947</v>
      </c>
      <c r="D199" s="3">
        <v>1137</v>
      </c>
      <c r="E199" s="4">
        <v>4226.27769924116</v>
      </c>
      <c r="F199" s="3">
        <v>96400</v>
      </c>
      <c r="G199" s="1">
        <f t="shared" si="4"/>
        <v>110220.25505687963</v>
      </c>
    </row>
    <row r="200" spans="1:7" hidden="1">
      <c r="A200" s="3">
        <v>18342</v>
      </c>
      <c r="B200" s="3">
        <v>336428964</v>
      </c>
      <c r="C200" s="3">
        <v>6170780057688</v>
      </c>
      <c r="D200" s="3">
        <v>769</v>
      </c>
      <c r="E200" s="4">
        <v>4276.7966160791302</v>
      </c>
      <c r="F200" s="3">
        <v>72000</v>
      </c>
      <c r="G200" s="1">
        <f t="shared" si="4"/>
        <v>126019.20421329241</v>
      </c>
    </row>
    <row r="201" spans="1:7" hidden="1">
      <c r="A201" s="3">
        <v>12897</v>
      </c>
      <c r="B201" s="3">
        <v>166332609</v>
      </c>
      <c r="C201" s="3">
        <v>2145191658273</v>
      </c>
      <c r="D201" s="3">
        <v>472</v>
      </c>
      <c r="E201" s="4">
        <v>5377.3719516156698</v>
      </c>
      <c r="F201" s="3">
        <v>71300</v>
      </c>
      <c r="G201" s="1">
        <f t="shared" si="4"/>
        <v>109272.62978292306</v>
      </c>
    </row>
    <row r="202" spans="1:7" hidden="1">
      <c r="A202" s="3">
        <v>36923</v>
      </c>
      <c r="B202" s="3">
        <v>1363307929</v>
      </c>
      <c r="C202" s="3">
        <v>50337418662467</v>
      </c>
      <c r="D202" s="3">
        <v>1165</v>
      </c>
      <c r="E202" s="4">
        <v>10451.3385118023</v>
      </c>
      <c r="F202" s="3">
        <v>213200</v>
      </c>
      <c r="G202" s="1">
        <f t="shared" si="4"/>
        <v>229569.54952187213</v>
      </c>
    </row>
    <row r="203" spans="1:7" hidden="1">
      <c r="A203" s="3">
        <v>46786</v>
      </c>
      <c r="B203" s="3">
        <v>2188929796</v>
      </c>
      <c r="C203" s="3">
        <v>102411269435656</v>
      </c>
      <c r="D203" s="3">
        <v>4371</v>
      </c>
      <c r="E203" s="4">
        <v>9757.7875295580707</v>
      </c>
      <c r="F203" s="3">
        <v>256000</v>
      </c>
      <c r="G203" s="1">
        <f t="shared" si="4"/>
        <v>297741.69710124016</v>
      </c>
    </row>
    <row r="204" spans="1:7" hidden="1">
      <c r="A204" s="3">
        <v>38750</v>
      </c>
      <c r="B204" s="3">
        <v>1501562500</v>
      </c>
      <c r="C204" s="3">
        <v>58185546875000</v>
      </c>
      <c r="D204" s="3">
        <v>838</v>
      </c>
      <c r="E204" s="4">
        <v>11040.8924339472</v>
      </c>
      <c r="F204" s="3">
        <v>237500</v>
      </c>
      <c r="G204" s="1">
        <f t="shared" si="4"/>
        <v>236351.8833738426</v>
      </c>
    </row>
    <row r="205" spans="1:7" hidden="1">
      <c r="A205" s="3">
        <v>23617</v>
      </c>
      <c r="B205" s="3">
        <v>557762689</v>
      </c>
      <c r="C205" s="3">
        <v>13172681426113</v>
      </c>
      <c r="D205" s="3">
        <v>3052</v>
      </c>
      <c r="E205" s="4">
        <v>9629.1576725103496</v>
      </c>
      <c r="F205" s="3">
        <v>178100</v>
      </c>
      <c r="G205" s="1">
        <f t="shared" si="4"/>
        <v>192186.81251765217</v>
      </c>
    </row>
    <row r="206" spans="1:7" hidden="1">
      <c r="A206" s="3">
        <v>37579</v>
      </c>
      <c r="B206" s="3">
        <v>1412181241</v>
      </c>
      <c r="C206" s="3">
        <v>53068358855539</v>
      </c>
      <c r="D206" s="3">
        <v>4313</v>
      </c>
      <c r="E206" s="4">
        <v>10266.1194193027</v>
      </c>
      <c r="F206" s="3">
        <v>231800</v>
      </c>
      <c r="G206" s="1">
        <f t="shared" si="4"/>
        <v>262532.90215767617</v>
      </c>
    </row>
    <row r="207" spans="1:7" hidden="1">
      <c r="A207" s="3">
        <v>28750</v>
      </c>
      <c r="B207" s="3">
        <v>826562500</v>
      </c>
      <c r="C207" s="3">
        <v>23763671875000</v>
      </c>
      <c r="D207" s="3">
        <v>1026</v>
      </c>
      <c r="E207" s="4">
        <v>6039.2582231923598</v>
      </c>
      <c r="F207" s="3">
        <v>160000</v>
      </c>
      <c r="G207" s="1">
        <f t="shared" si="4"/>
        <v>175728.82910818647</v>
      </c>
    </row>
    <row r="208" spans="1:7" hidden="1">
      <c r="A208" s="3">
        <v>13715</v>
      </c>
      <c r="B208" s="3">
        <v>188101225</v>
      </c>
      <c r="C208" s="3">
        <v>2579808300875</v>
      </c>
      <c r="D208" s="3">
        <v>2170</v>
      </c>
      <c r="E208" s="4">
        <v>5084.1441665572802</v>
      </c>
      <c r="F208" s="3">
        <v>143900</v>
      </c>
      <c r="G208" s="1">
        <f t="shared" si="4"/>
        <v>127479.02374845526</v>
      </c>
    </row>
    <row r="209" spans="1:7" hidden="1">
      <c r="A209" s="3">
        <v>15114</v>
      </c>
      <c r="B209" s="3">
        <v>228432996</v>
      </c>
      <c r="C209" s="3">
        <v>3452536301544</v>
      </c>
      <c r="D209" s="3">
        <v>2329</v>
      </c>
      <c r="E209" s="4">
        <v>5084.1441665572802</v>
      </c>
      <c r="F209" s="3">
        <v>151200</v>
      </c>
      <c r="G209" s="1">
        <f t="shared" si="4"/>
        <v>133792.8489711789</v>
      </c>
    </row>
    <row r="210" spans="1:7" hidden="1">
      <c r="A210" s="3">
        <v>23125</v>
      </c>
      <c r="B210" s="3">
        <v>534765625</v>
      </c>
      <c r="C210" s="3">
        <v>12366455078125</v>
      </c>
      <c r="D210" s="3">
        <v>2492</v>
      </c>
      <c r="E210" s="4">
        <v>5339.2582231923598</v>
      </c>
      <c r="F210" s="3">
        <v>164400</v>
      </c>
      <c r="G210" s="1">
        <f t="shared" si="4"/>
        <v>165440.49130313244</v>
      </c>
    </row>
    <row r="211" spans="1:7" hidden="1">
      <c r="A211" s="3">
        <v>32200.000000000004</v>
      </c>
      <c r="B211" s="3">
        <v>1036840000.0000002</v>
      </c>
      <c r="C211" s="3">
        <v>33386248000000.012</v>
      </c>
      <c r="D211" s="3">
        <v>2198</v>
      </c>
      <c r="E211" s="4">
        <v>4739.2582231923598</v>
      </c>
      <c r="F211" s="3">
        <v>156500</v>
      </c>
      <c r="G211" s="1">
        <f t="shared" si="4"/>
        <v>195102.77052205615</v>
      </c>
    </row>
    <row r="212" spans="1:7" hidden="1">
      <c r="A212" s="3">
        <v>38750</v>
      </c>
      <c r="B212" s="3">
        <v>1501562500</v>
      </c>
      <c r="C212" s="3">
        <v>58185546875000</v>
      </c>
      <c r="D212" s="3">
        <v>142</v>
      </c>
      <c r="E212" s="4">
        <v>6498.1659216378503</v>
      </c>
      <c r="F212" s="3">
        <v>225000</v>
      </c>
      <c r="G212" s="1">
        <f t="shared" si="4"/>
        <v>208974.96748394263</v>
      </c>
    </row>
    <row r="213" spans="1:7" hidden="1">
      <c r="A213" s="3">
        <v>32328</v>
      </c>
      <c r="B213" s="3">
        <v>1045099584</v>
      </c>
      <c r="C213" s="3">
        <v>33785979351552</v>
      </c>
      <c r="D213" s="3">
        <v>1183</v>
      </c>
      <c r="E213" s="4">
        <v>6039.2582231923598</v>
      </c>
      <c r="F213" s="3">
        <v>174200</v>
      </c>
      <c r="G213" s="1">
        <f t="shared" si="4"/>
        <v>191429.8653894577</v>
      </c>
    </row>
    <row r="214" spans="1:7" hidden="1">
      <c r="A214" s="3">
        <v>27262</v>
      </c>
      <c r="B214" s="3">
        <v>743216644</v>
      </c>
      <c r="C214" s="3">
        <v>20261572148728</v>
      </c>
      <c r="D214" s="3">
        <v>1070</v>
      </c>
      <c r="E214" s="4">
        <v>6039.2582231923598</v>
      </c>
      <c r="F214" s="3">
        <v>166900</v>
      </c>
      <c r="G214" s="1">
        <f t="shared" si="4"/>
        <v>170357.12179937819</v>
      </c>
    </row>
    <row r="215" spans="1:7">
      <c r="A215" s="3">
        <v>25893</v>
      </c>
      <c r="B215" s="3">
        <v>670447449</v>
      </c>
      <c r="C215" s="3">
        <v>17359895796957</v>
      </c>
      <c r="D215" s="3">
        <v>1766</v>
      </c>
      <c r="E215" s="4">
        <v>5680.2179970399602</v>
      </c>
      <c r="F215" s="3">
        <v>163500</v>
      </c>
      <c r="G215" s="1">
        <f t="shared" si="4"/>
        <v>170332.16289896957</v>
      </c>
    </row>
    <row r="216" spans="1:7">
      <c r="A216" s="3">
        <v>52577.999999999993</v>
      </c>
      <c r="B216" s="3">
        <v>2764446083.999999</v>
      </c>
      <c r="C216" s="3">
        <v>145349046204551.94</v>
      </c>
      <c r="D216" s="3">
        <v>617</v>
      </c>
      <c r="E216" s="4">
        <v>7437.9004004202197</v>
      </c>
      <c r="F216" s="3">
        <v>253000</v>
      </c>
      <c r="G216" s="1">
        <f t="shared" si="4"/>
        <v>272727.28143858584</v>
      </c>
    </row>
    <row r="217" spans="1:7">
      <c r="A217" s="3">
        <v>50875</v>
      </c>
      <c r="B217" s="3">
        <v>2588265625</v>
      </c>
      <c r="C217" s="3">
        <v>131678013671875</v>
      </c>
      <c r="D217" s="3">
        <v>1411</v>
      </c>
      <c r="E217" s="4">
        <v>7437.9004004202197</v>
      </c>
      <c r="F217" s="3">
        <v>240700</v>
      </c>
      <c r="G217" s="1">
        <f t="shared" si="4"/>
        <v>274023.09119076427</v>
      </c>
    </row>
    <row r="218" spans="1:7">
      <c r="A218" s="3">
        <v>39712</v>
      </c>
      <c r="B218" s="3">
        <v>1577042944</v>
      </c>
      <c r="C218" s="3">
        <v>62627529392128</v>
      </c>
      <c r="D218" s="3">
        <v>2109</v>
      </c>
      <c r="E218" s="4">
        <v>7437.9004004202197</v>
      </c>
      <c r="F218" s="3">
        <v>208100</v>
      </c>
      <c r="G218" s="1">
        <f t="shared" si="4"/>
        <v>236558.05538159367</v>
      </c>
    </row>
    <row r="219" spans="1:7">
      <c r="A219" s="3">
        <v>29514</v>
      </c>
      <c r="B219" s="3">
        <v>871076196</v>
      </c>
      <c r="C219" s="3">
        <v>25708942848744</v>
      </c>
      <c r="D219" s="3">
        <v>1229</v>
      </c>
      <c r="E219" s="4">
        <v>7040.5695824775703</v>
      </c>
      <c r="F219" s="3">
        <v>198100</v>
      </c>
      <c r="G219" s="1">
        <f t="shared" si="4"/>
        <v>185254.83434289612</v>
      </c>
    </row>
    <row r="220" spans="1:7">
      <c r="G220" s="1"/>
    </row>
    <row r="221" spans="1:7">
      <c r="A221" s="17">
        <v>19167</v>
      </c>
      <c r="B221" s="17">
        <v>367373889</v>
      </c>
      <c r="C221" s="17">
        <v>7041455330463</v>
      </c>
      <c r="D221" s="17">
        <v>2643</v>
      </c>
      <c r="E221" s="18">
        <v>7349.62</v>
      </c>
      <c r="F221" s="17">
        <v>159200</v>
      </c>
      <c r="G221" s="19">
        <f t="shared" si="4"/>
        <v>161392.16394125257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8"/>
  <sheetViews>
    <sheetView workbookViewId="0">
      <selection activeCell="D14" sqref="D14"/>
    </sheetView>
  </sheetViews>
  <sheetFormatPr defaultRowHeight="14.4"/>
  <cols>
    <col min="1" max="1" width="14" bestFit="1" customWidth="1"/>
    <col min="2" max="2" width="11.88671875" bestFit="1" customWidth="1"/>
    <col min="3" max="3" width="20.109375" bestFit="1" customWidth="1"/>
    <col min="4" max="4" width="14" bestFit="1" customWidth="1"/>
    <col min="5" max="5" width="12.5546875" bestFit="1" customWidth="1"/>
    <col min="8" max="8" width="12.44140625" bestFit="1" customWidth="1"/>
  </cols>
  <sheetData>
    <row r="1" spans="1:8">
      <c r="A1" s="2" t="s">
        <v>6</v>
      </c>
      <c r="B1" s="2" t="s">
        <v>7</v>
      </c>
      <c r="C1" s="2" t="s">
        <v>8</v>
      </c>
      <c r="D1" s="2" t="s">
        <v>9</v>
      </c>
      <c r="E1" s="2" t="s">
        <v>77</v>
      </c>
    </row>
    <row r="2" spans="1:8">
      <c r="A2" s="27">
        <v>83252</v>
      </c>
      <c r="B2" s="27">
        <v>880</v>
      </c>
      <c r="C2" s="4">
        <v>9263.0407728503797</v>
      </c>
      <c r="D2" s="27">
        <v>452600</v>
      </c>
      <c r="E2" s="19">
        <f>$H$3+$H$4*A2+$H$5*A2^2+$H$6*A2^3+$H$7*B2+$H$8*C2</f>
        <v>342906.80571892078</v>
      </c>
    </row>
    <row r="3" spans="1:8">
      <c r="A3" s="27">
        <v>83014</v>
      </c>
      <c r="B3" s="27">
        <v>7099</v>
      </c>
      <c r="C3" s="4">
        <v>8225.7330715423996</v>
      </c>
      <c r="D3" s="27">
        <v>358500</v>
      </c>
      <c r="E3" s="1">
        <f t="shared" ref="E3:E66" si="0">$H$3+$H$4*A3+$H$5*A3^2+$H$6*A3^3+$H$7*B3+$H$8*C3</f>
        <v>398347.39437022066</v>
      </c>
      <c r="G3" s="16" t="s">
        <v>70</v>
      </c>
      <c r="H3" s="15">
        <v>34097.826430000001</v>
      </c>
    </row>
    <row r="4" spans="1:8">
      <c r="A4" s="27">
        <v>72574</v>
      </c>
      <c r="B4" s="27">
        <v>1467</v>
      </c>
      <c r="C4" s="4">
        <v>8259.0851093229303</v>
      </c>
      <c r="D4" s="27">
        <v>352100</v>
      </c>
      <c r="E4" s="1">
        <f t="shared" si="0"/>
        <v>329151.78203893424</v>
      </c>
      <c r="G4" s="16" t="s">
        <v>71</v>
      </c>
      <c r="H4" s="15">
        <v>2.3829636920000001</v>
      </c>
    </row>
    <row r="5" spans="1:8">
      <c r="A5" s="27">
        <v>56430.999999999993</v>
      </c>
      <c r="B5" s="27">
        <v>1274</v>
      </c>
      <c r="C5" s="4">
        <v>7768.0865708363999</v>
      </c>
      <c r="D5" s="27">
        <v>341300</v>
      </c>
      <c r="E5" s="1">
        <f t="shared" si="0"/>
        <v>281166.73332659825</v>
      </c>
      <c r="G5" s="16" t="s">
        <v>72</v>
      </c>
      <c r="H5" s="15">
        <v>4.6273799999999997E-5</v>
      </c>
    </row>
    <row r="6" spans="1:8">
      <c r="A6" s="27">
        <v>38462</v>
      </c>
      <c r="B6" s="27">
        <v>1627</v>
      </c>
      <c r="C6" s="4">
        <v>7768.0865708363999</v>
      </c>
      <c r="D6" s="27">
        <v>342200</v>
      </c>
      <c r="E6" s="1">
        <f t="shared" si="0"/>
        <v>217928.79545482181</v>
      </c>
      <c r="G6" s="16" t="s">
        <v>73</v>
      </c>
      <c r="H6" s="25">
        <v>-4.4846171151999999E-10</v>
      </c>
    </row>
    <row r="7" spans="1:8">
      <c r="A7" s="27">
        <v>40368.000000000007</v>
      </c>
      <c r="B7" s="27">
        <v>919</v>
      </c>
      <c r="C7" s="4">
        <v>7768.0865708363999</v>
      </c>
      <c r="D7" s="27">
        <v>269700</v>
      </c>
      <c r="E7" s="1">
        <f t="shared" si="0"/>
        <v>218596.59711100472</v>
      </c>
      <c r="G7" s="16" t="s">
        <v>74</v>
      </c>
      <c r="H7" s="15">
        <v>9.6641719100000003</v>
      </c>
    </row>
    <row r="8" spans="1:8">
      <c r="A8" s="27">
        <v>36591</v>
      </c>
      <c r="B8" s="27">
        <v>2535</v>
      </c>
      <c r="C8" s="4">
        <v>6843.0208473749799</v>
      </c>
      <c r="D8" s="27">
        <v>299200</v>
      </c>
      <c r="E8" s="1">
        <f t="shared" si="0"/>
        <v>215301.65096760323</v>
      </c>
      <c r="G8" s="16" t="s">
        <v>75</v>
      </c>
      <c r="H8" s="15">
        <v>4.3146138199999999</v>
      </c>
    </row>
    <row r="9" spans="1:8">
      <c r="A9" s="27">
        <v>31200</v>
      </c>
      <c r="B9" s="27">
        <v>3104</v>
      </c>
      <c r="C9" s="4">
        <v>6843.0208473749799</v>
      </c>
      <c r="D9" s="27">
        <v>241400</v>
      </c>
      <c r="E9" s="1">
        <f t="shared" si="0"/>
        <v>199393.26568365691</v>
      </c>
      <c r="G9" s="27"/>
    </row>
    <row r="10" spans="1:8">
      <c r="A10" s="27">
        <v>34982</v>
      </c>
      <c r="B10" s="27">
        <v>2555</v>
      </c>
      <c r="C10" s="4">
        <v>6363.9480126176904</v>
      </c>
      <c r="D10" s="27">
        <v>226700</v>
      </c>
      <c r="E10" s="1">
        <f t="shared" si="0"/>
        <v>207037.56919005211</v>
      </c>
      <c r="G10" s="16" t="s">
        <v>76</v>
      </c>
      <c r="H10" s="15">
        <f>SUMXMY2(D2:D219,E2:E219)/COUNT(E2:E219)</f>
        <v>2054887462.1392601</v>
      </c>
    </row>
    <row r="11" spans="1:8">
      <c r="A11" s="27">
        <v>42912</v>
      </c>
      <c r="B11" s="27">
        <v>3549</v>
      </c>
      <c r="C11" s="4">
        <v>6843.0208473749799</v>
      </c>
      <c r="D11" s="27">
        <v>261100</v>
      </c>
      <c r="E11" s="1">
        <f t="shared" si="0"/>
        <v>249951.73454555467</v>
      </c>
    </row>
    <row r="12" spans="1:8">
      <c r="A12" s="27">
        <v>39765</v>
      </c>
      <c r="B12" s="27">
        <v>2202</v>
      </c>
      <c r="C12" s="4">
        <v>7349.6208416098098</v>
      </c>
      <c r="D12" s="27">
        <v>281500</v>
      </c>
      <c r="E12" s="1">
        <f t="shared" si="0"/>
        <v>226819.69701140706</v>
      </c>
    </row>
    <row r="13" spans="1:8">
      <c r="A13" s="27">
        <v>32705.000000000004</v>
      </c>
      <c r="B13" s="27">
        <v>3503</v>
      </c>
      <c r="C13" s="4">
        <v>7349.6208416098098</v>
      </c>
      <c r="D13" s="27">
        <v>241800</v>
      </c>
      <c r="E13" s="1">
        <f t="shared" si="0"/>
        <v>211404.25910092675</v>
      </c>
    </row>
    <row r="14" spans="1:8">
      <c r="A14" s="27">
        <v>30750</v>
      </c>
      <c r="B14" s="27">
        <v>2491</v>
      </c>
      <c r="C14" s="4">
        <v>7349.6208416098098</v>
      </c>
      <c r="D14" s="27">
        <v>213500</v>
      </c>
      <c r="E14" s="1">
        <f t="shared" si="0"/>
        <v>193873.46410848145</v>
      </c>
    </row>
    <row r="15" spans="1:8">
      <c r="A15" s="27">
        <v>26736</v>
      </c>
      <c r="B15" s="27">
        <v>696</v>
      </c>
      <c r="C15" s="4">
        <v>6363.9480126176904</v>
      </c>
      <c r="D15" s="27">
        <v>191300</v>
      </c>
      <c r="E15" s="1">
        <f t="shared" si="0"/>
        <v>156499.4634898449</v>
      </c>
    </row>
    <row r="16" spans="1:8">
      <c r="A16" s="27">
        <v>19167</v>
      </c>
      <c r="B16" s="27">
        <v>2643</v>
      </c>
      <c r="C16" s="4">
        <v>7349.6208416098098</v>
      </c>
      <c r="D16" s="27">
        <v>159200</v>
      </c>
      <c r="E16" s="1">
        <f t="shared" si="0"/>
        <v>150867.23628338086</v>
      </c>
    </row>
    <row r="17" spans="1:5">
      <c r="A17" s="27">
        <v>16250</v>
      </c>
      <c r="B17" s="27">
        <v>1120</v>
      </c>
      <c r="C17" s="4">
        <v>7349.6208416098098</v>
      </c>
      <c r="D17" s="27">
        <v>140000</v>
      </c>
      <c r="E17" s="1">
        <f t="shared" si="0"/>
        <v>125650.45372032316</v>
      </c>
    </row>
    <row r="18" spans="1:5">
      <c r="A18" s="27">
        <v>19750</v>
      </c>
      <c r="B18" s="27">
        <v>1966</v>
      </c>
      <c r="C18" s="4">
        <v>7016.6772439486404</v>
      </c>
      <c r="D18" s="27">
        <v>152500</v>
      </c>
      <c r="E18" s="1">
        <f t="shared" si="0"/>
        <v>145030.21813887235</v>
      </c>
    </row>
    <row r="19" spans="1:5">
      <c r="A19" s="27">
        <v>21202</v>
      </c>
      <c r="B19" s="27">
        <v>1228</v>
      </c>
      <c r="C19" s="4">
        <v>7016.6772439486404</v>
      </c>
      <c r="D19" s="27">
        <v>155500</v>
      </c>
      <c r="E19" s="1">
        <f t="shared" si="0"/>
        <v>143290.28917147589</v>
      </c>
    </row>
    <row r="20" spans="1:5">
      <c r="A20" s="27">
        <v>19911</v>
      </c>
      <c r="B20" s="27">
        <v>2239</v>
      </c>
      <c r="C20" s="4">
        <v>6363.9480126176904</v>
      </c>
      <c r="D20" s="27">
        <v>158700</v>
      </c>
      <c r="E20" s="1">
        <f t="shared" si="0"/>
        <v>145446.21645854256</v>
      </c>
    </row>
    <row r="21" spans="1:5" hidden="1">
      <c r="A21" s="27">
        <v>26033</v>
      </c>
      <c r="B21" s="27">
        <v>1503</v>
      </c>
      <c r="C21" s="4">
        <v>5976.2880582760299</v>
      </c>
      <c r="D21" s="27">
        <v>162900</v>
      </c>
      <c r="E21" s="1">
        <f t="shared" si="0"/>
        <v>159892.47668346457</v>
      </c>
    </row>
    <row r="22" spans="1:5" hidden="1">
      <c r="A22" s="27">
        <v>43578</v>
      </c>
      <c r="B22" s="27">
        <v>751</v>
      </c>
      <c r="C22" s="4">
        <v>7016.6772439486404</v>
      </c>
      <c r="D22" s="27">
        <v>147500</v>
      </c>
      <c r="E22" s="1">
        <f t="shared" si="0"/>
        <v>226237.45562956994</v>
      </c>
    </row>
    <row r="23" spans="1:5" hidden="1">
      <c r="A23" s="27">
        <v>17135</v>
      </c>
      <c r="B23" s="27">
        <v>1639</v>
      </c>
      <c r="C23" s="4">
        <v>7016.6772439486404</v>
      </c>
      <c r="D23" s="27">
        <v>159800</v>
      </c>
      <c r="E23" s="1">
        <f t="shared" si="0"/>
        <v>132373.90741507939</v>
      </c>
    </row>
    <row r="24" spans="1:5" hidden="1">
      <c r="A24" s="27">
        <v>17250</v>
      </c>
      <c r="B24" s="27">
        <v>2436</v>
      </c>
      <c r="C24" s="4">
        <v>5976.2880582760299</v>
      </c>
      <c r="D24" s="27">
        <v>113900</v>
      </c>
      <c r="E24" s="1">
        <f t="shared" si="0"/>
        <v>135998.66260720929</v>
      </c>
    </row>
    <row r="25" spans="1:5" hidden="1">
      <c r="A25" s="27">
        <v>11806</v>
      </c>
      <c r="B25" s="27">
        <v>1688</v>
      </c>
      <c r="C25" s="4">
        <v>5976.2880582760299</v>
      </c>
      <c r="D25" s="27">
        <v>99700</v>
      </c>
      <c r="E25" s="1">
        <f t="shared" si="0"/>
        <v>110041.34945533211</v>
      </c>
    </row>
    <row r="26" spans="1:5" hidden="1">
      <c r="A26" s="27">
        <v>16000</v>
      </c>
      <c r="B26" s="27">
        <v>2224</v>
      </c>
      <c r="C26" s="4">
        <v>5976.2880582760299</v>
      </c>
      <c r="D26" s="27">
        <v>132600</v>
      </c>
      <c r="E26" s="1">
        <f t="shared" si="0"/>
        <v>129512.93250799281</v>
      </c>
    </row>
    <row r="27" spans="1:5" hidden="1">
      <c r="A27" s="27">
        <v>14038</v>
      </c>
      <c r="B27" s="27">
        <v>535</v>
      </c>
      <c r="C27" s="4">
        <v>6781.8631745086795</v>
      </c>
      <c r="D27" s="27">
        <v>107500</v>
      </c>
      <c r="E27" s="1">
        <f t="shared" si="0"/>
        <v>109859.66364299049</v>
      </c>
    </row>
    <row r="28" spans="1:5" hidden="1">
      <c r="A28" s="27">
        <v>14597</v>
      </c>
      <c r="B28" s="27">
        <v>1130</v>
      </c>
      <c r="C28" s="4">
        <v>6781.8631745086795</v>
      </c>
      <c r="D28" s="27">
        <v>93800</v>
      </c>
      <c r="E28" s="1">
        <f t="shared" si="0"/>
        <v>117528.43865116377</v>
      </c>
    </row>
    <row r="29" spans="1:5" hidden="1">
      <c r="A29" s="27">
        <v>18080</v>
      </c>
      <c r="B29" s="27">
        <v>1898</v>
      </c>
      <c r="C29" s="4">
        <v>6781.8631745086795</v>
      </c>
      <c r="D29" s="27">
        <v>105500</v>
      </c>
      <c r="E29" s="1">
        <f t="shared" si="0"/>
        <v>137261.3484386919</v>
      </c>
    </row>
    <row r="30" spans="1:5" hidden="1">
      <c r="A30" s="27">
        <v>16424</v>
      </c>
      <c r="B30" s="27">
        <v>2082</v>
      </c>
      <c r="C30" s="4">
        <v>5698.7269031743899</v>
      </c>
      <c r="D30" s="27">
        <v>108900</v>
      </c>
      <c r="E30" s="1">
        <f t="shared" si="0"/>
        <v>128439.6517881753</v>
      </c>
    </row>
    <row r="31" spans="1:5" hidden="1">
      <c r="A31" s="27">
        <v>16875</v>
      </c>
      <c r="B31" s="27">
        <v>729</v>
      </c>
      <c r="C31" s="4">
        <v>5698.7269031743899</v>
      </c>
      <c r="D31" s="27">
        <v>132000</v>
      </c>
      <c r="E31" s="1">
        <f t="shared" si="0"/>
        <v>116965.46664312066</v>
      </c>
    </row>
    <row r="32" spans="1:5" hidden="1">
      <c r="A32" s="27">
        <v>19274</v>
      </c>
      <c r="B32" s="27">
        <v>1916</v>
      </c>
      <c r="C32" s="4">
        <v>5698.7269031743899</v>
      </c>
      <c r="D32" s="27">
        <v>122300</v>
      </c>
      <c r="E32" s="1">
        <f t="shared" si="0"/>
        <v>137110.54187312347</v>
      </c>
    </row>
    <row r="33" spans="1:5" hidden="1">
      <c r="A33" s="27">
        <v>19615</v>
      </c>
      <c r="B33" s="27">
        <v>2153</v>
      </c>
      <c r="C33" s="4">
        <v>5698.7269031743899</v>
      </c>
      <c r="D33" s="27">
        <v>115200</v>
      </c>
      <c r="E33" s="1">
        <f t="shared" si="0"/>
        <v>140653.7224541842</v>
      </c>
    </row>
    <row r="34" spans="1:5" hidden="1">
      <c r="A34" s="27">
        <v>17969</v>
      </c>
      <c r="B34" s="27">
        <v>1922</v>
      </c>
      <c r="C34" s="4">
        <v>5976.2880582760299</v>
      </c>
      <c r="D34" s="27">
        <v>110400</v>
      </c>
      <c r="E34" s="1">
        <f t="shared" si="0"/>
        <v>133616.38966702347</v>
      </c>
    </row>
    <row r="35" spans="1:5" hidden="1">
      <c r="A35" s="27">
        <v>13750</v>
      </c>
      <c r="B35" s="27">
        <v>1655</v>
      </c>
      <c r="C35" s="4">
        <v>4967.0051944367697</v>
      </c>
      <c r="D35" s="27">
        <v>104900</v>
      </c>
      <c r="E35" s="1">
        <f t="shared" si="0"/>
        <v>111871.30600488273</v>
      </c>
    </row>
    <row r="36" spans="1:5" hidden="1">
      <c r="A36" s="27">
        <v>12303</v>
      </c>
      <c r="B36" s="27">
        <v>2665</v>
      </c>
      <c r="C36" s="4">
        <v>4967.0051944367697</v>
      </c>
      <c r="D36" s="27">
        <v>109700</v>
      </c>
      <c r="E36" s="1">
        <f t="shared" si="0"/>
        <v>116770.19637503051</v>
      </c>
    </row>
    <row r="37" spans="1:5" hidden="1">
      <c r="A37" s="27">
        <v>44861</v>
      </c>
      <c r="B37" s="27">
        <v>1215</v>
      </c>
      <c r="C37" s="4">
        <v>4967.0051944367697</v>
      </c>
      <c r="D37" s="27">
        <v>97200</v>
      </c>
      <c r="E37" s="1">
        <f t="shared" si="0"/>
        <v>226810.54284598969</v>
      </c>
    </row>
    <row r="38" spans="1:5" hidden="1">
      <c r="A38" s="27">
        <v>10972</v>
      </c>
      <c r="B38" s="27">
        <v>1798</v>
      </c>
      <c r="C38" s="4">
        <v>4967.0051944367697</v>
      </c>
      <c r="D38" s="27">
        <v>104500</v>
      </c>
      <c r="E38" s="1">
        <f t="shared" si="0"/>
        <v>104028.89986063787</v>
      </c>
    </row>
    <row r="39" spans="1:5" hidden="1">
      <c r="A39" s="27">
        <v>14103.000000000002</v>
      </c>
      <c r="B39" s="27">
        <v>1511</v>
      </c>
      <c r="C39" s="4">
        <v>4629.27324947942</v>
      </c>
      <c r="D39" s="27">
        <v>103900</v>
      </c>
      <c r="E39" s="1">
        <f t="shared" si="0"/>
        <v>110226.52294476434</v>
      </c>
    </row>
    <row r="40" spans="1:5" hidden="1">
      <c r="A40" s="27">
        <v>34800</v>
      </c>
      <c r="B40" s="27">
        <v>1470</v>
      </c>
      <c r="C40" s="4">
        <v>5427.3017456453399</v>
      </c>
      <c r="D40" s="27">
        <v>191400</v>
      </c>
      <c r="E40" s="1">
        <f t="shared" si="0"/>
        <v>191787.37301342402</v>
      </c>
    </row>
    <row r="41" spans="1:5" hidden="1">
      <c r="A41" s="27">
        <v>25898</v>
      </c>
      <c r="B41" s="27">
        <v>2432</v>
      </c>
      <c r="C41" s="4">
        <v>5427.3017456453399</v>
      </c>
      <c r="D41" s="27">
        <v>176000</v>
      </c>
      <c r="E41" s="1">
        <f t="shared" si="0"/>
        <v>165978.17182299608</v>
      </c>
    </row>
    <row r="42" spans="1:5" hidden="1">
      <c r="A42" s="27">
        <v>20978</v>
      </c>
      <c r="B42" s="27">
        <v>1665</v>
      </c>
      <c r="C42" s="4">
        <v>5427.3017456453399</v>
      </c>
      <c r="D42" s="27">
        <v>155400</v>
      </c>
      <c r="E42" s="1">
        <f t="shared" si="0"/>
        <v>139819.04265978618</v>
      </c>
    </row>
    <row r="43" spans="1:5" hidden="1">
      <c r="A43" s="27">
        <v>22852</v>
      </c>
      <c r="B43" s="27">
        <v>936</v>
      </c>
      <c r="C43" s="4">
        <v>5427.3017456453399</v>
      </c>
      <c r="D43" s="27">
        <v>150000</v>
      </c>
      <c r="E43" s="1">
        <f t="shared" si="0"/>
        <v>139828.73340377375</v>
      </c>
    </row>
    <row r="44" spans="1:5" hidden="1">
      <c r="A44" s="27">
        <v>10250</v>
      </c>
      <c r="B44" s="27">
        <v>713</v>
      </c>
      <c r="C44" s="4">
        <v>6363.9480126176904</v>
      </c>
      <c r="D44" s="27">
        <v>118800</v>
      </c>
      <c r="E44" s="1">
        <f t="shared" si="0"/>
        <v>97250.433789524483</v>
      </c>
    </row>
    <row r="45" spans="1:5" hidden="1">
      <c r="A45" s="27">
        <v>39643</v>
      </c>
      <c r="B45" s="27">
        <v>950</v>
      </c>
      <c r="C45" s="4">
        <v>6363.9480126176904</v>
      </c>
      <c r="D45" s="27">
        <v>188800</v>
      </c>
      <c r="E45" s="1">
        <f t="shared" si="0"/>
        <v>209987.09138966494</v>
      </c>
    </row>
    <row r="46" spans="1:5" hidden="1">
      <c r="A46" s="27">
        <v>30125</v>
      </c>
      <c r="B46" s="27">
        <v>1443</v>
      </c>
      <c r="C46" s="4">
        <v>5427.3017456453399</v>
      </c>
      <c r="D46" s="27">
        <v>184400</v>
      </c>
      <c r="E46" s="1">
        <f t="shared" si="0"/>
        <v>172980.46179896491</v>
      </c>
    </row>
    <row r="47" spans="1:5" hidden="1">
      <c r="A47" s="27">
        <v>26768</v>
      </c>
      <c r="B47" s="27">
        <v>1656</v>
      </c>
      <c r="C47" s="4">
        <v>5427.3017456453399</v>
      </c>
      <c r="D47" s="27">
        <v>182300</v>
      </c>
      <c r="E47" s="1">
        <f t="shared" si="0"/>
        <v>161860.47186304911</v>
      </c>
    </row>
    <row r="48" spans="1:5" hidden="1">
      <c r="A48" s="27">
        <v>20259.999999999996</v>
      </c>
      <c r="B48" s="27">
        <v>1125</v>
      </c>
      <c r="C48" s="4">
        <v>5427.3017456453399</v>
      </c>
      <c r="D48" s="27">
        <v>142500</v>
      </c>
      <c r="E48" s="1">
        <f t="shared" si="0"/>
        <v>131930.03038560229</v>
      </c>
    </row>
    <row r="49" spans="1:5" hidden="1">
      <c r="A49" s="27">
        <v>17348</v>
      </c>
      <c r="B49" s="27">
        <v>1007</v>
      </c>
      <c r="C49" s="4">
        <v>4012.3714289612699</v>
      </c>
      <c r="D49" s="27">
        <v>137500</v>
      </c>
      <c r="E49" s="1">
        <f t="shared" si="0"/>
        <v>114065.98943606071</v>
      </c>
    </row>
    <row r="50" spans="1:5" hidden="1">
      <c r="A50" s="27">
        <v>9506</v>
      </c>
      <c r="B50" s="27">
        <v>624</v>
      </c>
      <c r="C50" s="4">
        <v>4569.9273854590601</v>
      </c>
      <c r="D50" s="27">
        <v>187500</v>
      </c>
      <c r="E50" s="1">
        <f t="shared" si="0"/>
        <v>86294.45289456351</v>
      </c>
    </row>
    <row r="51" spans="1:5" hidden="1">
      <c r="A51" s="27">
        <v>17750</v>
      </c>
      <c r="B51" s="27">
        <v>946</v>
      </c>
      <c r="C51" s="4">
        <v>4012.3714289612699</v>
      </c>
      <c r="D51" s="27">
        <v>112500</v>
      </c>
      <c r="E51" s="1">
        <f t="shared" si="0"/>
        <v>114920.75186398202</v>
      </c>
    </row>
    <row r="52" spans="1:5" hidden="1">
      <c r="A52" s="27">
        <v>9218</v>
      </c>
      <c r="B52" s="27">
        <v>896</v>
      </c>
      <c r="C52" s="4">
        <v>4012.3714289612699</v>
      </c>
      <c r="D52" s="27">
        <v>171900</v>
      </c>
      <c r="E52" s="1">
        <f t="shared" si="0"/>
        <v>85615.60681253692</v>
      </c>
    </row>
    <row r="53" spans="1:5" hidden="1">
      <c r="A53" s="27">
        <v>15045</v>
      </c>
      <c r="B53" s="27">
        <v>1868</v>
      </c>
      <c r="C53" s="4">
        <v>4012.3714289612699</v>
      </c>
      <c r="D53" s="27">
        <v>93800</v>
      </c>
      <c r="E53" s="1">
        <f t="shared" si="0"/>
        <v>114260.96864902749</v>
      </c>
    </row>
    <row r="54" spans="1:5" hidden="1">
      <c r="A54" s="27">
        <v>11108</v>
      </c>
      <c r="B54" s="27">
        <v>3221</v>
      </c>
      <c r="C54" s="4">
        <v>4012.3714289612699</v>
      </c>
      <c r="D54" s="27">
        <v>97500</v>
      </c>
      <c r="E54" s="1">
        <f t="shared" si="0"/>
        <v>114102.87693342019</v>
      </c>
    </row>
    <row r="55" spans="1:5" hidden="1">
      <c r="A55" s="27">
        <v>12475</v>
      </c>
      <c r="B55" s="27">
        <v>1630</v>
      </c>
      <c r="C55" s="4">
        <v>4012.3714289612699</v>
      </c>
      <c r="D55" s="27">
        <v>104200</v>
      </c>
      <c r="E55" s="1">
        <f t="shared" si="0"/>
        <v>103220.46409204966</v>
      </c>
    </row>
    <row r="56" spans="1:5" hidden="1">
      <c r="A56" s="27">
        <v>16097.999999999998</v>
      </c>
      <c r="B56" s="27">
        <v>1170</v>
      </c>
      <c r="C56" s="4">
        <v>3585.7656953423598</v>
      </c>
      <c r="D56" s="27">
        <v>87500</v>
      </c>
      <c r="E56" s="1">
        <f t="shared" si="0"/>
        <v>109357.8438013056</v>
      </c>
    </row>
    <row r="57" spans="1:5" hidden="1">
      <c r="A57" s="27">
        <v>14113</v>
      </c>
      <c r="B57" s="27">
        <v>945</v>
      </c>
      <c r="C57" s="4">
        <v>3585.7656953423598</v>
      </c>
      <c r="D57" s="27">
        <v>83100</v>
      </c>
      <c r="E57" s="1">
        <f t="shared" si="0"/>
        <v>100288.47798533013</v>
      </c>
    </row>
    <row r="58" spans="1:5" hidden="1">
      <c r="A58" s="27">
        <v>15057</v>
      </c>
      <c r="B58" s="27">
        <v>1238</v>
      </c>
      <c r="C58" s="4">
        <v>3585.7656953423598</v>
      </c>
      <c r="D58" s="27">
        <v>87500</v>
      </c>
      <c r="E58" s="1">
        <f t="shared" si="0"/>
        <v>106373.55483987904</v>
      </c>
    </row>
    <row r="59" spans="1:5" hidden="1">
      <c r="A59" s="27">
        <v>8172</v>
      </c>
      <c r="B59" s="27">
        <v>1489</v>
      </c>
      <c r="C59" s="4">
        <v>3585.7656953423598</v>
      </c>
      <c r="D59" s="27">
        <v>85300</v>
      </c>
      <c r="E59" s="1">
        <f t="shared" si="0"/>
        <v>86278.046488295106</v>
      </c>
    </row>
    <row r="60" spans="1:5" hidden="1">
      <c r="A60" s="27">
        <v>12171</v>
      </c>
      <c r="B60" s="27">
        <v>1387</v>
      </c>
      <c r="C60" s="4">
        <v>3585.7656953423598</v>
      </c>
      <c r="D60" s="27">
        <v>80300</v>
      </c>
      <c r="E60" s="1">
        <f t="shared" si="0"/>
        <v>98022.421227950079</v>
      </c>
    </row>
    <row r="61" spans="1:5" hidden="1">
      <c r="A61" s="27">
        <v>11625</v>
      </c>
      <c r="B61" s="27">
        <v>158</v>
      </c>
      <c r="C61" s="4">
        <v>3340.66007838528</v>
      </c>
      <c r="D61" s="27">
        <v>60000</v>
      </c>
      <c r="E61" s="1">
        <f t="shared" si="0"/>
        <v>83289.309178221592</v>
      </c>
    </row>
    <row r="62" spans="1:5" hidden="1">
      <c r="A62" s="27">
        <v>33929</v>
      </c>
      <c r="B62" s="27">
        <v>1121</v>
      </c>
      <c r="C62" s="4">
        <v>4442.1498090159403</v>
      </c>
      <c r="D62" s="27">
        <v>75700</v>
      </c>
      <c r="E62" s="1">
        <f t="shared" si="0"/>
        <v>180702.28965358605</v>
      </c>
    </row>
    <row r="63" spans="1:5" hidden="1">
      <c r="A63" s="27">
        <v>61182.999999999993</v>
      </c>
      <c r="B63" s="27">
        <v>135</v>
      </c>
      <c r="C63" s="4">
        <v>3340.66007838528</v>
      </c>
      <c r="D63" s="27">
        <v>75000</v>
      </c>
      <c r="E63" s="1">
        <f t="shared" si="0"/>
        <v>266121.31419733295</v>
      </c>
    </row>
    <row r="64" spans="1:5" hidden="1">
      <c r="A64" s="27">
        <v>9011</v>
      </c>
      <c r="B64" s="27">
        <v>760</v>
      </c>
      <c r="C64" s="4">
        <v>2249.48592561738</v>
      </c>
      <c r="D64" s="27">
        <v>86100</v>
      </c>
      <c r="E64" s="1">
        <f t="shared" si="0"/>
        <v>76050.362792731758</v>
      </c>
    </row>
    <row r="65" spans="1:5" hidden="1">
      <c r="A65" s="27">
        <v>11910</v>
      </c>
      <c r="B65" s="27">
        <v>1224</v>
      </c>
      <c r="C65" s="4">
        <v>2214.9860559148601</v>
      </c>
      <c r="D65" s="27">
        <v>76100</v>
      </c>
      <c r="E65" s="1">
        <f t="shared" si="0"/>
        <v>89670.89438662841</v>
      </c>
    </row>
    <row r="66" spans="1:5" hidden="1">
      <c r="A66" s="27">
        <v>25938</v>
      </c>
      <c r="B66" s="27">
        <v>828</v>
      </c>
      <c r="C66" s="4">
        <v>2214.9860559148601</v>
      </c>
      <c r="D66" s="27">
        <v>73500</v>
      </c>
      <c r="E66" s="1">
        <f t="shared" si="0"/>
        <v>136772.052791614</v>
      </c>
    </row>
    <row r="67" spans="1:5" hidden="1">
      <c r="A67" s="27">
        <v>11667</v>
      </c>
      <c r="B67" s="27">
        <v>1010</v>
      </c>
      <c r="C67" s="4">
        <v>2214.9860559148601</v>
      </c>
      <c r="D67" s="27">
        <v>78400</v>
      </c>
      <c r="E67" s="1">
        <f t="shared" ref="E67:E130" si="1">$H$3+$H$4*A67+$H$5*A67^2+$H$6*A67^3+$H$7*B67+$H$8*C67</f>
        <v>86804.023516863133</v>
      </c>
    </row>
    <row r="68" spans="1:5" hidden="1">
      <c r="A68" s="27">
        <v>8056</v>
      </c>
      <c r="B68" s="27">
        <v>1455</v>
      </c>
      <c r="C68" s="4">
        <v>2214.9860559148601</v>
      </c>
      <c r="D68" s="27">
        <v>84400</v>
      </c>
      <c r="E68" s="1">
        <f t="shared" si="1"/>
        <v>79681.823060796538</v>
      </c>
    </row>
    <row r="69" spans="1:5" hidden="1">
      <c r="A69" s="27">
        <v>26094</v>
      </c>
      <c r="B69" s="27">
        <v>1027</v>
      </c>
      <c r="C69" s="4">
        <v>1197.17435507093</v>
      </c>
      <c r="D69" s="27">
        <v>81300</v>
      </c>
      <c r="E69" s="1">
        <f t="shared" si="1"/>
        <v>134909.05093710299</v>
      </c>
    </row>
    <row r="70" spans="1:5" hidden="1">
      <c r="A70" s="27">
        <v>18516</v>
      </c>
      <c r="B70" s="27">
        <v>572</v>
      </c>
      <c r="C70" s="4">
        <v>2214.9860559148601</v>
      </c>
      <c r="D70" s="27">
        <v>85000</v>
      </c>
      <c r="E70" s="1">
        <f t="shared" si="1"/>
        <v>106323.24683046177</v>
      </c>
    </row>
    <row r="71" spans="1:5" hidden="1">
      <c r="A71" s="27">
        <v>9802</v>
      </c>
      <c r="B71" s="27">
        <v>2801</v>
      </c>
      <c r="C71" s="4">
        <v>2249.48592561738</v>
      </c>
      <c r="D71" s="27">
        <v>129200</v>
      </c>
      <c r="E71" s="1">
        <f t="shared" si="1"/>
        <v>98254.247942005182</v>
      </c>
    </row>
    <row r="72" spans="1:5" hidden="1">
      <c r="A72" s="27">
        <v>17719</v>
      </c>
      <c r="B72" s="27">
        <v>768</v>
      </c>
      <c r="C72" s="4">
        <v>2249.48592561738</v>
      </c>
      <c r="D72" s="27">
        <v>82500</v>
      </c>
      <c r="E72" s="1">
        <f t="shared" si="1"/>
        <v>105482.72474260614</v>
      </c>
    </row>
    <row r="73" spans="1:5" hidden="1">
      <c r="A73" s="27">
        <v>7286</v>
      </c>
      <c r="B73" s="27">
        <v>935</v>
      </c>
      <c r="C73" s="4">
        <v>2249.48592561738</v>
      </c>
      <c r="D73" s="27">
        <v>95200</v>
      </c>
      <c r="E73" s="1">
        <f t="shared" si="1"/>
        <v>72484.78777992769</v>
      </c>
    </row>
    <row r="74" spans="1:5" hidden="1">
      <c r="A74" s="27">
        <v>17500</v>
      </c>
      <c r="B74" s="27">
        <v>844</v>
      </c>
      <c r="C74" s="4">
        <v>2249.48592561738</v>
      </c>
      <c r="D74" s="27">
        <v>75000</v>
      </c>
      <c r="E74" s="1">
        <f t="shared" si="1"/>
        <v>105429.79195942676</v>
      </c>
    </row>
    <row r="75" spans="1:5" hidden="1">
      <c r="A75" s="27">
        <v>4999</v>
      </c>
      <c r="B75" s="27">
        <v>12</v>
      </c>
      <c r="C75" s="4">
        <v>2249.48592561738</v>
      </c>
      <c r="D75" s="27">
        <v>67500</v>
      </c>
      <c r="E75" s="1">
        <f t="shared" si="1"/>
        <v>56932.253274027928</v>
      </c>
    </row>
    <row r="76" spans="1:5" hidden="1">
      <c r="A76" s="27">
        <v>24830</v>
      </c>
      <c r="B76" s="27">
        <v>835</v>
      </c>
      <c r="C76" s="4">
        <v>2249.48592561738</v>
      </c>
      <c r="D76" s="27">
        <v>137500</v>
      </c>
      <c r="E76" s="1">
        <f t="shared" si="1"/>
        <v>132705.95961317391</v>
      </c>
    </row>
    <row r="77" spans="1:5" hidden="1">
      <c r="A77" s="27">
        <v>32241</v>
      </c>
      <c r="B77" s="27">
        <v>1237</v>
      </c>
      <c r="C77" s="4">
        <v>2599.6389610114502</v>
      </c>
      <c r="D77" s="27">
        <v>177500</v>
      </c>
      <c r="E77" s="1">
        <f t="shared" si="1"/>
        <v>167169.0438968754</v>
      </c>
    </row>
    <row r="78" spans="1:5" hidden="1">
      <c r="A78" s="27">
        <v>24464</v>
      </c>
      <c r="B78" s="27">
        <v>2914</v>
      </c>
      <c r="C78" s="4">
        <v>2599.6389610114502</v>
      </c>
      <c r="D78" s="27">
        <v>102100</v>
      </c>
      <c r="E78" s="1">
        <f t="shared" si="1"/>
        <v>152900.66250496355</v>
      </c>
    </row>
    <row r="79" spans="1:5" hidden="1">
      <c r="A79" s="27">
        <v>11111</v>
      </c>
      <c r="B79" s="27">
        <v>1207</v>
      </c>
      <c r="C79" s="4">
        <v>2599.6389610114502</v>
      </c>
      <c r="D79" s="27">
        <v>108300</v>
      </c>
      <c r="E79" s="1">
        <f t="shared" si="1"/>
        <v>88553.574893964033</v>
      </c>
    </row>
    <row r="80" spans="1:5" hidden="1">
      <c r="A80" s="27">
        <v>8026</v>
      </c>
      <c r="B80" s="27">
        <v>1745</v>
      </c>
      <c r="C80" s="4">
        <v>2249.48592561738</v>
      </c>
      <c r="D80" s="27">
        <v>112500</v>
      </c>
      <c r="E80" s="1">
        <f t="shared" si="1"/>
        <v>82542.082048507931</v>
      </c>
    </row>
    <row r="81" spans="1:5" hidden="1">
      <c r="A81" s="27">
        <v>20114</v>
      </c>
      <c r="B81" s="27">
        <v>684</v>
      </c>
      <c r="C81" s="4">
        <v>1769.57399830806</v>
      </c>
      <c r="D81" s="27">
        <v>131300</v>
      </c>
      <c r="E81" s="1">
        <f t="shared" si="1"/>
        <v>111345.81643702956</v>
      </c>
    </row>
    <row r="82" spans="1:5" hidden="1">
      <c r="A82" s="27">
        <v>25000</v>
      </c>
      <c r="B82" s="27">
        <v>924</v>
      </c>
      <c r="C82" s="4">
        <v>2599.6389610114502</v>
      </c>
      <c r="D82" s="27">
        <v>162500</v>
      </c>
      <c r="E82" s="1">
        <f t="shared" si="1"/>
        <v>135731.96252053045</v>
      </c>
    </row>
    <row r="83" spans="1:5" hidden="1">
      <c r="A83" s="27">
        <v>11667</v>
      </c>
      <c r="B83" s="27">
        <v>210</v>
      </c>
      <c r="C83" s="4">
        <v>3162.2730120344499</v>
      </c>
      <c r="D83" s="27">
        <v>112500</v>
      </c>
      <c r="E83" s="1">
        <f t="shared" si="1"/>
        <v>83159.863381242438</v>
      </c>
    </row>
    <row r="84" spans="1:5" hidden="1">
      <c r="A84" s="27">
        <v>15208</v>
      </c>
      <c r="B84" s="27">
        <v>340</v>
      </c>
      <c r="C84" s="4">
        <v>2599.6389610114502</v>
      </c>
      <c r="D84" s="27">
        <v>112500</v>
      </c>
      <c r="E84" s="1">
        <f t="shared" si="1"/>
        <v>93965.150959727835</v>
      </c>
    </row>
    <row r="85" spans="1:5" hidden="1">
      <c r="A85" s="27">
        <v>22075</v>
      </c>
      <c r="B85" s="27">
        <v>386</v>
      </c>
      <c r="C85" s="4">
        <v>2599.6389610114502</v>
      </c>
      <c r="D85" s="27">
        <v>137500</v>
      </c>
      <c r="E85" s="1">
        <f t="shared" si="1"/>
        <v>119373.81704122077</v>
      </c>
    </row>
    <row r="86" spans="1:5" hidden="1">
      <c r="A86" s="27">
        <v>18088</v>
      </c>
      <c r="B86" s="27">
        <v>948</v>
      </c>
      <c r="C86" s="4">
        <v>2599.6389610114502</v>
      </c>
      <c r="D86" s="27">
        <v>118800</v>
      </c>
      <c r="E86" s="1">
        <f t="shared" si="1"/>
        <v>110064.63562839365</v>
      </c>
    </row>
    <row r="87" spans="1:5" hidden="1">
      <c r="A87" s="27">
        <v>24083</v>
      </c>
      <c r="B87" s="27">
        <v>773</v>
      </c>
      <c r="C87" s="4">
        <v>2599.6389610114502</v>
      </c>
      <c r="D87" s="27">
        <v>98200</v>
      </c>
      <c r="E87" s="1">
        <f t="shared" si="1"/>
        <v>130747.88892887793</v>
      </c>
    </row>
    <row r="88" spans="1:5" hidden="1">
      <c r="A88" s="27">
        <v>9770</v>
      </c>
      <c r="B88" s="27">
        <v>880</v>
      </c>
      <c r="C88" s="4">
        <v>3162.2730120344499</v>
      </c>
      <c r="D88" s="27">
        <v>118800</v>
      </c>
      <c r="E88" s="1">
        <f t="shared" si="1"/>
        <v>83526.58412026921</v>
      </c>
    </row>
    <row r="89" spans="1:5" hidden="1">
      <c r="A89" s="27">
        <v>7600</v>
      </c>
      <c r="B89" s="27">
        <v>875</v>
      </c>
      <c r="C89" s="4">
        <v>3162.2730120344499</v>
      </c>
      <c r="D89" s="27">
        <v>162500</v>
      </c>
      <c r="E89" s="1">
        <f t="shared" si="1"/>
        <v>76784.398510510669</v>
      </c>
    </row>
    <row r="90" spans="1:5" hidden="1">
      <c r="A90" s="27">
        <v>9722</v>
      </c>
      <c r="B90" s="27">
        <v>105</v>
      </c>
      <c r="C90" s="4">
        <v>2524.6146156691798</v>
      </c>
      <c r="D90" s="27">
        <v>137500</v>
      </c>
      <c r="E90" s="1">
        <f t="shared" si="1"/>
        <v>73134.058364425146</v>
      </c>
    </row>
    <row r="91" spans="1:5" hidden="1">
      <c r="A91" s="27">
        <v>86576</v>
      </c>
      <c r="B91" s="27">
        <v>249</v>
      </c>
      <c r="C91" s="4">
        <v>2524.6146156691798</v>
      </c>
      <c r="D91" s="27">
        <v>500001</v>
      </c>
      <c r="E91" s="1">
        <f t="shared" si="1"/>
        <v>309528.51676099695</v>
      </c>
    </row>
    <row r="92" spans="1:5" hidden="1">
      <c r="A92" s="27">
        <v>20938</v>
      </c>
      <c r="B92" s="27">
        <v>994</v>
      </c>
      <c r="C92" s="4">
        <v>2524.6146156691798</v>
      </c>
      <c r="D92" s="27">
        <v>162500</v>
      </c>
      <c r="E92" s="1">
        <f t="shared" si="1"/>
        <v>120661.14401583724</v>
      </c>
    </row>
    <row r="93" spans="1:5" hidden="1">
      <c r="A93" s="27">
        <v>13876</v>
      </c>
      <c r="B93" s="27">
        <v>215</v>
      </c>
      <c r="C93" s="4">
        <v>1769.57399830806</v>
      </c>
      <c r="D93" s="27">
        <v>137500</v>
      </c>
      <c r="E93" s="1">
        <f t="shared" si="1"/>
        <v>84588.200227765148</v>
      </c>
    </row>
    <row r="94" spans="1:5" hidden="1">
      <c r="A94" s="27">
        <v>7500</v>
      </c>
      <c r="B94" s="27">
        <v>96</v>
      </c>
      <c r="C94" s="4">
        <v>1769.57399830806</v>
      </c>
      <c r="D94" s="27">
        <v>162500</v>
      </c>
      <c r="E94" s="1">
        <f t="shared" si="1"/>
        <v>62946.549517425112</v>
      </c>
    </row>
    <row r="95" spans="1:5" hidden="1">
      <c r="A95" s="27">
        <v>26354.000000000004</v>
      </c>
      <c r="B95" s="27">
        <v>1055</v>
      </c>
      <c r="C95" s="4">
        <v>2284.78654341632</v>
      </c>
      <c r="D95" s="27">
        <v>187500</v>
      </c>
      <c r="E95" s="1">
        <f t="shared" si="1"/>
        <v>140882.2977520276</v>
      </c>
    </row>
    <row r="96" spans="1:5" hidden="1">
      <c r="A96" s="27">
        <v>18477</v>
      </c>
      <c r="B96" s="27">
        <v>1715</v>
      </c>
      <c r="C96" s="4">
        <v>2524.6146156691798</v>
      </c>
      <c r="D96" s="27">
        <v>179200</v>
      </c>
      <c r="E96" s="1">
        <f t="shared" si="1"/>
        <v>118563.5780187894</v>
      </c>
    </row>
    <row r="97" spans="1:5" hidden="1">
      <c r="A97" s="27">
        <v>20096</v>
      </c>
      <c r="B97" s="27">
        <v>5329</v>
      </c>
      <c r="C97" s="4">
        <v>3340.6716189762201</v>
      </c>
      <c r="D97" s="27">
        <v>130000</v>
      </c>
      <c r="E97" s="1">
        <f t="shared" si="1"/>
        <v>162947.97781999406</v>
      </c>
    </row>
    <row r="98" spans="1:5" hidden="1">
      <c r="A98" s="27">
        <v>28344.999999999996</v>
      </c>
      <c r="B98" s="27">
        <v>4596</v>
      </c>
      <c r="C98" s="4">
        <v>4569.9273854590601</v>
      </c>
      <c r="D98" s="27">
        <v>183800</v>
      </c>
      <c r="E98" s="1">
        <f t="shared" si="1"/>
        <v>192742.0815438588</v>
      </c>
    </row>
    <row r="99" spans="1:5" hidden="1">
      <c r="A99" s="27">
        <v>20062.000000000004</v>
      </c>
      <c r="B99" s="27">
        <v>335</v>
      </c>
      <c r="C99" s="4">
        <v>3845.2217774208998</v>
      </c>
      <c r="D99" s="27">
        <v>125000</v>
      </c>
      <c r="E99" s="1">
        <f t="shared" si="1"/>
        <v>116736.28274747917</v>
      </c>
    </row>
    <row r="100" spans="1:5" hidden="1">
      <c r="A100" s="27">
        <v>12185</v>
      </c>
      <c r="B100" s="27">
        <v>3682</v>
      </c>
      <c r="C100" s="4">
        <v>4569.9273854590601</v>
      </c>
      <c r="D100" s="27">
        <v>170000</v>
      </c>
      <c r="E100" s="1">
        <f t="shared" si="1"/>
        <v>124494.32014948575</v>
      </c>
    </row>
    <row r="101" spans="1:5" hidden="1">
      <c r="A101" s="27">
        <v>26104</v>
      </c>
      <c r="B101" s="27">
        <v>3633</v>
      </c>
      <c r="C101" s="4">
        <v>4569.9273854590601</v>
      </c>
      <c r="D101" s="27">
        <v>193100</v>
      </c>
      <c r="E101" s="1">
        <f t="shared" si="1"/>
        <v>174684.82921005689</v>
      </c>
    </row>
    <row r="102" spans="1:5" hidden="1">
      <c r="A102" s="27">
        <v>43266</v>
      </c>
      <c r="B102" s="27">
        <v>4656</v>
      </c>
      <c r="C102" s="4">
        <v>4595.14987977277</v>
      </c>
      <c r="D102" s="27">
        <v>257800</v>
      </c>
      <c r="E102" s="1">
        <f t="shared" si="1"/>
        <v>252322.25167939602</v>
      </c>
    </row>
    <row r="103" spans="1:5" hidden="1">
      <c r="A103" s="27">
        <v>32176.999999999996</v>
      </c>
      <c r="B103" s="27">
        <v>5806</v>
      </c>
      <c r="C103" s="4">
        <v>4595.14987977277</v>
      </c>
      <c r="D103" s="27">
        <v>273400</v>
      </c>
      <c r="E103" s="1">
        <f t="shared" si="1"/>
        <v>219680.54595041418</v>
      </c>
    </row>
    <row r="104" spans="1:5" hidden="1">
      <c r="A104" s="27">
        <v>51250</v>
      </c>
      <c r="B104" s="27">
        <v>854</v>
      </c>
      <c r="C104" s="4">
        <v>4595.14987977277</v>
      </c>
      <c r="D104" s="27">
        <v>237500</v>
      </c>
      <c r="E104" s="1">
        <f t="shared" si="1"/>
        <v>245477.21684396113</v>
      </c>
    </row>
    <row r="105" spans="1:5" hidden="1">
      <c r="A105" s="27">
        <v>43954</v>
      </c>
      <c r="B105" s="27">
        <v>2155</v>
      </c>
      <c r="C105" s="4">
        <v>4595.14987977277</v>
      </c>
      <c r="D105" s="27">
        <v>350000</v>
      </c>
      <c r="E105" s="1">
        <f t="shared" si="1"/>
        <v>230807.98553075531</v>
      </c>
    </row>
    <row r="106" spans="1:5" hidden="1">
      <c r="A106" s="27">
        <v>28405.999999999996</v>
      </c>
      <c r="B106" s="27">
        <v>5871</v>
      </c>
      <c r="C106" s="4">
        <v>3845.2217774208998</v>
      </c>
      <c r="D106" s="27">
        <v>335700</v>
      </c>
      <c r="E106" s="1">
        <f t="shared" si="1"/>
        <v>202176.54880022316</v>
      </c>
    </row>
    <row r="107" spans="1:5" hidden="1">
      <c r="A107" s="27">
        <v>59306</v>
      </c>
      <c r="B107" s="27">
        <v>1509</v>
      </c>
      <c r="C107" s="4">
        <v>5923.3072356235598</v>
      </c>
      <c r="D107" s="27">
        <v>313400</v>
      </c>
      <c r="E107" s="1">
        <f t="shared" si="1"/>
        <v>284771.02616053238</v>
      </c>
    </row>
    <row r="108" spans="1:5" hidden="1">
      <c r="A108" s="27">
        <v>32727</v>
      </c>
      <c r="B108" s="27">
        <v>2026</v>
      </c>
      <c r="C108" s="4">
        <v>5384.1421071774403</v>
      </c>
      <c r="D108" s="27">
        <v>268500</v>
      </c>
      <c r="E108" s="1">
        <f t="shared" si="1"/>
        <v>188737.35166901306</v>
      </c>
    </row>
    <row r="109" spans="1:5" hidden="1">
      <c r="A109" s="27">
        <v>31690.999999999996</v>
      </c>
      <c r="B109" s="27">
        <v>1758</v>
      </c>
      <c r="C109" s="4">
        <v>4595.14987977277</v>
      </c>
      <c r="D109" s="27">
        <v>259400</v>
      </c>
      <c r="E109" s="1">
        <f t="shared" si="1"/>
        <v>178632.3295590092</v>
      </c>
    </row>
    <row r="110" spans="1:5" hidden="1">
      <c r="A110" s="27">
        <v>39000</v>
      </c>
      <c r="B110" s="27">
        <v>3481</v>
      </c>
      <c r="C110" s="4">
        <v>5923.3072356235598</v>
      </c>
      <c r="D110" s="27">
        <v>275700</v>
      </c>
      <c r="E110" s="1">
        <f t="shared" si="1"/>
        <v>230011.32562998257</v>
      </c>
    </row>
    <row r="111" spans="1:5" hidden="1">
      <c r="A111" s="27">
        <v>39063</v>
      </c>
      <c r="B111" s="27">
        <v>3337</v>
      </c>
      <c r="C111" s="4">
        <v>5216.6129854913097</v>
      </c>
      <c r="D111" s="27">
        <v>225000</v>
      </c>
      <c r="E111" s="1">
        <f t="shared" si="1"/>
        <v>225819.14471791976</v>
      </c>
    </row>
    <row r="112" spans="1:5" hidden="1">
      <c r="A112" s="27">
        <v>50917</v>
      </c>
      <c r="B112" s="27">
        <v>1424</v>
      </c>
      <c r="C112" s="4">
        <v>5216.6129854913097</v>
      </c>
      <c r="D112" s="27">
        <v>262500</v>
      </c>
      <c r="E112" s="1">
        <f t="shared" si="1"/>
        <v>252468.43745992595</v>
      </c>
    </row>
    <row r="113" spans="1:5" hidden="1">
      <c r="A113" s="27">
        <v>26429</v>
      </c>
      <c r="B113" s="27">
        <v>3809</v>
      </c>
      <c r="C113" s="4">
        <v>5216.6129854913097</v>
      </c>
      <c r="D113" s="27">
        <v>218500</v>
      </c>
      <c r="E113" s="1">
        <f t="shared" si="1"/>
        <v>180438.75286211167</v>
      </c>
    </row>
    <row r="114" spans="1:5" hidden="1">
      <c r="A114" s="27">
        <v>44233</v>
      </c>
      <c r="B114" s="27">
        <v>3959</v>
      </c>
      <c r="C114" s="4">
        <v>5216.6129854913097</v>
      </c>
      <c r="D114" s="27">
        <v>255000</v>
      </c>
      <c r="E114" s="1">
        <f t="shared" si="1"/>
        <v>251997.104504808</v>
      </c>
    </row>
    <row r="115" spans="1:5" hidden="1">
      <c r="A115" s="27">
        <v>31484</v>
      </c>
      <c r="B115" s="27">
        <v>2376</v>
      </c>
      <c r="C115" s="4">
        <v>5981.9362813173502</v>
      </c>
      <c r="D115" s="27">
        <v>224100</v>
      </c>
      <c r="E115" s="1">
        <f t="shared" si="1"/>
        <v>189767.70391200433</v>
      </c>
    </row>
    <row r="116" spans="1:5" hidden="1">
      <c r="A116" s="27">
        <v>34722</v>
      </c>
      <c r="B116" s="27">
        <v>1613</v>
      </c>
      <c r="C116" s="4">
        <v>5981.9362813173502</v>
      </c>
      <c r="D116" s="27">
        <v>243100</v>
      </c>
      <c r="E116" s="1">
        <f t="shared" si="1"/>
        <v>195252.38453581135</v>
      </c>
    </row>
    <row r="117" spans="1:5" hidden="1">
      <c r="A117" s="27">
        <v>31429</v>
      </c>
      <c r="B117" s="27">
        <v>1279</v>
      </c>
      <c r="C117" s="4">
        <v>5981.9362813173502</v>
      </c>
      <c r="D117" s="27">
        <v>231600</v>
      </c>
      <c r="E117" s="1">
        <f t="shared" si="1"/>
        <v>178948.14711092913</v>
      </c>
    </row>
    <row r="118" spans="1:5" hidden="1">
      <c r="A118" s="27">
        <v>24234</v>
      </c>
      <c r="B118" s="27">
        <v>5022</v>
      </c>
      <c r="C118" s="4">
        <v>5981.9362813173502</v>
      </c>
      <c r="D118" s="27">
        <v>218500</v>
      </c>
      <c r="E118" s="1">
        <f t="shared" si="1"/>
        <v>186983.1298475439</v>
      </c>
    </row>
    <row r="119" spans="1:5" hidden="1">
      <c r="A119" s="27">
        <v>30897</v>
      </c>
      <c r="B119" s="27">
        <v>4190</v>
      </c>
      <c r="C119" s="4">
        <v>5981.9362813173502</v>
      </c>
      <c r="D119" s="27">
        <v>234100</v>
      </c>
      <c r="E119" s="1">
        <f t="shared" si="1"/>
        <v>204973.59453630986</v>
      </c>
    </row>
    <row r="120" spans="1:5" hidden="1">
      <c r="A120" s="27">
        <v>58596</v>
      </c>
      <c r="B120" s="27">
        <v>2515</v>
      </c>
      <c r="C120" s="4">
        <v>8006.9337455886998</v>
      </c>
      <c r="D120" s="27">
        <v>327600</v>
      </c>
      <c r="E120" s="1">
        <f t="shared" si="1"/>
        <v>301237.375516081</v>
      </c>
    </row>
    <row r="121" spans="1:5" hidden="1">
      <c r="A121" s="27">
        <v>52868.000000000007</v>
      </c>
      <c r="B121" s="27">
        <v>3175</v>
      </c>
      <c r="C121" s="4">
        <v>8006.9337455886998</v>
      </c>
      <c r="D121" s="27">
        <v>347600</v>
      </c>
      <c r="E121" s="1">
        <f t="shared" si="1"/>
        <v>288379.34821579541</v>
      </c>
    </row>
    <row r="122" spans="1:5" hidden="1">
      <c r="A122" s="27">
        <v>59560.000000000007</v>
      </c>
      <c r="B122" s="27">
        <v>2576</v>
      </c>
      <c r="C122" s="4">
        <v>6607.1940213289499</v>
      </c>
      <c r="D122" s="27">
        <v>366100</v>
      </c>
      <c r="E122" s="1">
        <f t="shared" si="1"/>
        <v>298828.69394206972</v>
      </c>
    </row>
    <row r="123" spans="1:5" hidden="1">
      <c r="A123" s="27">
        <v>49643</v>
      </c>
      <c r="B123" s="27">
        <v>334</v>
      </c>
      <c r="C123" s="4">
        <v>8259.0851093229303</v>
      </c>
      <c r="D123" s="27">
        <v>335000</v>
      </c>
      <c r="E123" s="1">
        <f t="shared" si="1"/>
        <v>250430.801350458</v>
      </c>
    </row>
    <row r="124" spans="1:5" hidden="1">
      <c r="A124" s="27">
        <v>63434</v>
      </c>
      <c r="B124" s="27">
        <v>2800</v>
      </c>
      <c r="C124" s="4">
        <v>8810.4982854766404</v>
      </c>
      <c r="D124" s="27">
        <v>373600</v>
      </c>
      <c r="E124" s="1">
        <f t="shared" si="1"/>
        <v>322062.1939685588</v>
      </c>
    </row>
    <row r="125" spans="1:5" hidden="1">
      <c r="A125" s="27">
        <v>51773</v>
      </c>
      <c r="B125" s="27">
        <v>3529</v>
      </c>
      <c r="C125" s="4">
        <v>7395.76357883113</v>
      </c>
      <c r="D125" s="27">
        <v>389500</v>
      </c>
      <c r="E125" s="1">
        <f t="shared" si="1"/>
        <v>285284.94394595624</v>
      </c>
    </row>
    <row r="126" spans="1:5" hidden="1">
      <c r="A126" s="27">
        <v>72354</v>
      </c>
      <c r="B126" s="27">
        <v>2612</v>
      </c>
      <c r="C126" s="4">
        <v>8259.0851093229303</v>
      </c>
      <c r="D126" s="27">
        <v>391100</v>
      </c>
      <c r="E126" s="1">
        <f t="shared" si="1"/>
        <v>339771.83189272578</v>
      </c>
    </row>
    <row r="127" spans="1:5" hidden="1">
      <c r="A127" s="27">
        <v>54570</v>
      </c>
      <c r="B127" s="27">
        <v>5287</v>
      </c>
      <c r="C127" s="4">
        <v>9411.7133642204099</v>
      </c>
      <c r="D127" s="27">
        <v>337300</v>
      </c>
      <c r="E127" s="1">
        <f t="shared" si="1"/>
        <v>320760.13704873237</v>
      </c>
    </row>
    <row r="128" spans="1:5" hidden="1">
      <c r="A128" s="27">
        <v>75000</v>
      </c>
      <c r="B128" s="27">
        <v>2935</v>
      </c>
      <c r="C128" s="4">
        <v>8664.1757534493408</v>
      </c>
      <c r="D128" s="27">
        <v>295200</v>
      </c>
      <c r="E128" s="1">
        <f t="shared" si="1"/>
        <v>349662.36078309146</v>
      </c>
    </row>
    <row r="129" spans="1:5" hidden="1">
      <c r="A129" s="27">
        <v>60194</v>
      </c>
      <c r="B129" s="27">
        <v>3424</v>
      </c>
      <c r="C129" s="4">
        <v>9357.7870904273404</v>
      </c>
      <c r="D129" s="27">
        <v>292300</v>
      </c>
      <c r="E129" s="1">
        <f t="shared" si="1"/>
        <v>320857.59262021695</v>
      </c>
    </row>
    <row r="130" spans="1:5" hidden="1">
      <c r="A130" s="27">
        <v>75544</v>
      </c>
      <c r="B130" s="27">
        <v>4991</v>
      </c>
      <c r="C130" s="4">
        <v>8748.1613890563804</v>
      </c>
      <c r="D130" s="27">
        <v>411500</v>
      </c>
      <c r="E130" s="1">
        <f t="shared" si="1"/>
        <v>370833.42042447068</v>
      </c>
    </row>
    <row r="131" spans="1:5" hidden="1">
      <c r="A131" s="27">
        <v>60666</v>
      </c>
      <c r="B131" s="27">
        <v>2211</v>
      </c>
      <c r="C131" s="4">
        <v>10080.262947580901</v>
      </c>
      <c r="D131" s="27">
        <v>311500</v>
      </c>
      <c r="E131" s="1">
        <f t="shared" ref="E131:E194" si="2">$H$3+$H$4*A131+$H$5*A131^2+$H$6*A131^3+$H$7*B131+$H$8*C131</f>
        <v>313697.67201720556</v>
      </c>
    </row>
    <row r="132" spans="1:5" hidden="1">
      <c r="A132" s="27">
        <v>70548</v>
      </c>
      <c r="B132" s="27">
        <v>3038</v>
      </c>
      <c r="C132" s="4">
        <v>9357.7870904273404</v>
      </c>
      <c r="D132" s="27">
        <v>325900</v>
      </c>
      <c r="E132" s="1">
        <f t="shared" si="2"/>
        <v>344788.43214988918</v>
      </c>
    </row>
    <row r="133" spans="1:5" hidden="1">
      <c r="A133" s="27">
        <v>116016.99999999999</v>
      </c>
      <c r="B133" s="27">
        <v>1617</v>
      </c>
      <c r="C133" s="4">
        <v>10825.8259229329</v>
      </c>
      <c r="D133" s="27">
        <v>392600</v>
      </c>
      <c r="E133" s="1">
        <f t="shared" si="2"/>
        <v>295431.22293364559</v>
      </c>
    </row>
    <row r="134" spans="1:5" hidden="1">
      <c r="A134" s="27">
        <v>74882</v>
      </c>
      <c r="B134" s="27">
        <v>2865</v>
      </c>
      <c r="C134" s="4">
        <v>10080.262947580901</v>
      </c>
      <c r="D134" s="27">
        <v>319300</v>
      </c>
      <c r="E134" s="1">
        <f t="shared" si="2"/>
        <v>354887.74160245684</v>
      </c>
    </row>
    <row r="135" spans="1:5" hidden="1">
      <c r="A135" s="27">
        <v>68976</v>
      </c>
      <c r="B135" s="27">
        <v>5065</v>
      </c>
      <c r="C135" s="4">
        <v>8748.1613890563804</v>
      </c>
      <c r="D135" s="27">
        <v>333300</v>
      </c>
      <c r="E135" s="1">
        <f t="shared" si="2"/>
        <v>358145.39566296822</v>
      </c>
    </row>
    <row r="136" spans="1:5" hidden="1">
      <c r="A136" s="27">
        <v>82049</v>
      </c>
      <c r="B136" s="27">
        <v>1326</v>
      </c>
      <c r="C136" s="4">
        <v>10303.624156869901</v>
      </c>
      <c r="D136" s="27">
        <v>335200</v>
      </c>
      <c r="E136" s="1">
        <f t="shared" si="2"/>
        <v>350694.49008624768</v>
      </c>
    </row>
    <row r="137" spans="1:5" hidden="1">
      <c r="A137" s="27">
        <v>84010</v>
      </c>
      <c r="B137" s="27">
        <v>1589</v>
      </c>
      <c r="C137" s="4">
        <v>9517.1294347624607</v>
      </c>
      <c r="D137" s="27">
        <v>351200</v>
      </c>
      <c r="E137" s="1">
        <f t="shared" si="2"/>
        <v>351395.39901571674</v>
      </c>
    </row>
    <row r="138" spans="1:5" hidden="1">
      <c r="A138" s="27">
        <v>68538</v>
      </c>
      <c r="B138" s="27">
        <v>1791</v>
      </c>
      <c r="C138" s="4">
        <v>10303.624156869901</v>
      </c>
      <c r="D138" s="27">
        <v>368900</v>
      </c>
      <c r="E138" s="1">
        <f t="shared" si="2"/>
        <v>332171.09571468562</v>
      </c>
    </row>
    <row r="139" spans="1:5" hidden="1">
      <c r="A139" s="27">
        <v>83170</v>
      </c>
      <c r="B139" s="27">
        <v>1835</v>
      </c>
      <c r="C139" s="4">
        <v>9879.4582441998991</v>
      </c>
      <c r="D139" s="27">
        <v>365900</v>
      </c>
      <c r="E139" s="1">
        <f t="shared" si="2"/>
        <v>354732.68445570959</v>
      </c>
    </row>
    <row r="140" spans="1:5" hidden="1">
      <c r="A140" s="27">
        <v>70175</v>
      </c>
      <c r="B140" s="27">
        <v>1229</v>
      </c>
      <c r="C140" s="4">
        <v>9056.0844276589796</v>
      </c>
      <c r="D140" s="27">
        <v>366700</v>
      </c>
      <c r="E140" s="1">
        <f t="shared" si="2"/>
        <v>325170.9016781773</v>
      </c>
    </row>
    <row r="141" spans="1:5" hidden="1">
      <c r="A141" s="27">
        <v>63301.999999999993</v>
      </c>
      <c r="B141" s="27">
        <v>3770</v>
      </c>
      <c r="C141" s="4">
        <v>9056.0844276589796</v>
      </c>
      <c r="D141" s="27">
        <v>362800</v>
      </c>
      <c r="E141" s="1">
        <f t="shared" si="2"/>
        <v>332120.4943181235</v>
      </c>
    </row>
    <row r="142" spans="1:5" hidden="1">
      <c r="A142" s="27">
        <v>63624</v>
      </c>
      <c r="B142" s="27">
        <v>292</v>
      </c>
      <c r="C142" s="4">
        <v>9430.4481651929691</v>
      </c>
      <c r="D142" s="27">
        <v>483300</v>
      </c>
      <c r="E142" s="1">
        <f t="shared" si="2"/>
        <v>301037.47597595421</v>
      </c>
    </row>
    <row r="143" spans="1:5" hidden="1">
      <c r="A143" s="27">
        <v>70549</v>
      </c>
      <c r="B143" s="27">
        <v>2375</v>
      </c>
      <c r="C143" s="4">
        <v>8244.1092502941501</v>
      </c>
      <c r="D143" s="27">
        <v>331400</v>
      </c>
      <c r="E143" s="1">
        <f t="shared" si="2"/>
        <v>333578.21232749725</v>
      </c>
    </row>
    <row r="144" spans="1:5" hidden="1">
      <c r="A144" s="27">
        <v>67851</v>
      </c>
      <c r="B144" s="27">
        <v>2964</v>
      </c>
      <c r="C144" s="4">
        <v>8713.3482967782402</v>
      </c>
      <c r="D144" s="27">
        <v>323500</v>
      </c>
      <c r="E144" s="1">
        <f t="shared" si="2"/>
        <v>334971.21624873381</v>
      </c>
    </row>
    <row r="145" spans="1:5" hidden="1">
      <c r="A145" s="27">
        <v>28929</v>
      </c>
      <c r="B145" s="27">
        <v>2833</v>
      </c>
      <c r="C145" s="4">
        <v>7632.4268854803504</v>
      </c>
      <c r="D145" s="27">
        <v>216700</v>
      </c>
      <c r="E145" s="1">
        <f t="shared" si="2"/>
        <v>191212.70526446728</v>
      </c>
    </row>
    <row r="146" spans="1:5" hidden="1">
      <c r="A146" s="27">
        <v>30812</v>
      </c>
      <c r="B146" s="27">
        <v>2254</v>
      </c>
      <c r="C146" s="4">
        <v>7632.4268854803504</v>
      </c>
      <c r="D146" s="27">
        <v>233100</v>
      </c>
      <c r="E146" s="1">
        <f t="shared" si="2"/>
        <v>193048.58568508556</v>
      </c>
    </row>
    <row r="147" spans="1:5" hidden="1">
      <c r="A147" s="27">
        <v>52402</v>
      </c>
      <c r="B147" s="27">
        <v>1389</v>
      </c>
      <c r="C147" s="4">
        <v>7865.9524633190404</v>
      </c>
      <c r="D147" s="27">
        <v>296400</v>
      </c>
      <c r="E147" s="1">
        <f t="shared" si="2"/>
        <v>268867.33637626481</v>
      </c>
    </row>
    <row r="148" spans="1:5" hidden="1">
      <c r="A148" s="27">
        <v>65217</v>
      </c>
      <c r="B148" s="27">
        <v>1971</v>
      </c>
      <c r="C148" s="4">
        <v>7026.22866235321</v>
      </c>
      <c r="D148" s="27">
        <v>273700</v>
      </c>
      <c r="E148" s="1">
        <f t="shared" si="2"/>
        <v>311289.0807704773</v>
      </c>
    </row>
    <row r="149" spans="1:5" hidden="1">
      <c r="A149" s="27">
        <v>32632</v>
      </c>
      <c r="B149" s="27">
        <v>2183</v>
      </c>
      <c r="C149" s="4">
        <v>6763.6475365435599</v>
      </c>
      <c r="D149" s="27">
        <v>227700</v>
      </c>
      <c r="E149" s="1">
        <f t="shared" si="2"/>
        <v>195829.45586104487</v>
      </c>
    </row>
    <row r="150" spans="1:5" hidden="1">
      <c r="A150" s="27">
        <v>30298</v>
      </c>
      <c r="B150" s="27">
        <v>2286</v>
      </c>
      <c r="C150" s="4">
        <v>6763.6475365435599</v>
      </c>
      <c r="D150" s="27">
        <v>199600</v>
      </c>
      <c r="E150" s="1">
        <f t="shared" si="2"/>
        <v>187576.69469430955</v>
      </c>
    </row>
    <row r="151" spans="1:5" hidden="1">
      <c r="A151" s="27">
        <v>45428</v>
      </c>
      <c r="B151" s="27">
        <v>2721</v>
      </c>
      <c r="C151" s="4">
        <v>6763.6475365435599</v>
      </c>
      <c r="D151" s="27">
        <v>239800</v>
      </c>
      <c r="E151" s="1">
        <f t="shared" si="2"/>
        <v>251281.9840224575</v>
      </c>
    </row>
    <row r="152" spans="1:5" hidden="1">
      <c r="A152" s="27">
        <v>40720</v>
      </c>
      <c r="B152" s="27">
        <v>2024</v>
      </c>
      <c r="C152" s="4">
        <v>7026.22866235321</v>
      </c>
      <c r="D152" s="27">
        <v>270100</v>
      </c>
      <c r="E152" s="1">
        <f t="shared" si="2"/>
        <v>227455.79591518902</v>
      </c>
    </row>
    <row r="153" spans="1:5" hidden="1">
      <c r="A153" s="27">
        <v>53509</v>
      </c>
      <c r="B153" s="27">
        <v>2944</v>
      </c>
      <c r="C153" s="4">
        <v>7026.22866235321</v>
      </c>
      <c r="D153" s="27">
        <v>302100</v>
      </c>
      <c r="E153" s="1">
        <f t="shared" si="2"/>
        <v>284158.59213874966</v>
      </c>
    </row>
    <row r="154" spans="1:5" hidden="1">
      <c r="A154" s="27">
        <v>48652</v>
      </c>
      <c r="B154" s="27">
        <v>2033</v>
      </c>
      <c r="C154" s="4">
        <v>5897.7992904624798</v>
      </c>
      <c r="D154" s="27">
        <v>269500</v>
      </c>
      <c r="E154" s="1">
        <f t="shared" si="2"/>
        <v>253013.73707481072</v>
      </c>
    </row>
    <row r="155" spans="1:5" hidden="1">
      <c r="A155" s="27">
        <v>47708.000000000007</v>
      </c>
      <c r="B155" s="27">
        <v>1433</v>
      </c>
      <c r="C155" s="4">
        <v>6197.2963351423896</v>
      </c>
      <c r="D155" s="27">
        <v>314700</v>
      </c>
      <c r="E155" s="1">
        <f t="shared" si="2"/>
        <v>244996.949947999</v>
      </c>
    </row>
    <row r="156" spans="1:5" hidden="1">
      <c r="A156" s="27">
        <v>81564</v>
      </c>
      <c r="B156" s="27">
        <v>2927</v>
      </c>
      <c r="C156" s="4">
        <v>7026.22866235321</v>
      </c>
      <c r="D156" s="27">
        <v>390100</v>
      </c>
      <c r="E156" s="1">
        <f t="shared" si="2"/>
        <v>351565.28302884824</v>
      </c>
    </row>
    <row r="157" spans="1:5" hidden="1">
      <c r="A157" s="27">
        <v>88793</v>
      </c>
      <c r="B157" s="27">
        <v>2315</v>
      </c>
      <c r="C157" s="4">
        <v>6197.2963351423896</v>
      </c>
      <c r="D157" s="27">
        <v>410300</v>
      </c>
      <c r="E157" s="1">
        <f t="shared" si="2"/>
        <v>345680.7937315469</v>
      </c>
    </row>
    <row r="158" spans="1:5" hidden="1">
      <c r="A158" s="27">
        <v>68591</v>
      </c>
      <c r="B158" s="27">
        <v>2485</v>
      </c>
      <c r="C158" s="4">
        <v>5384.1421071774403</v>
      </c>
      <c r="D158" s="27">
        <v>352400</v>
      </c>
      <c r="E158" s="1">
        <f t="shared" si="2"/>
        <v>317779.76006913825</v>
      </c>
    </row>
    <row r="159" spans="1:5" hidden="1">
      <c r="A159" s="27">
        <v>60302</v>
      </c>
      <c r="B159" s="27">
        <v>1490</v>
      </c>
      <c r="C159" s="4">
        <v>5384.1421071774403</v>
      </c>
      <c r="D159" s="27">
        <v>287300</v>
      </c>
      <c r="E159" s="1">
        <f t="shared" si="2"/>
        <v>285354.46891379502</v>
      </c>
    </row>
    <row r="160" spans="1:5" hidden="1">
      <c r="A160" s="27">
        <v>75080</v>
      </c>
      <c r="B160" s="27">
        <v>2814</v>
      </c>
      <c r="C160" s="4">
        <v>6197.2963351423896</v>
      </c>
      <c r="D160" s="27">
        <v>348700</v>
      </c>
      <c r="E160" s="1">
        <f t="shared" si="2"/>
        <v>337989.51347413182</v>
      </c>
    </row>
    <row r="161" spans="1:5" hidden="1">
      <c r="A161" s="27">
        <v>34668</v>
      </c>
      <c r="B161" s="27">
        <v>2093</v>
      </c>
      <c r="C161" s="4">
        <v>5384.1421071774403</v>
      </c>
      <c r="D161" s="27">
        <v>243800</v>
      </c>
      <c r="E161" s="1">
        <f t="shared" si="2"/>
        <v>197097.31821107987</v>
      </c>
    </row>
    <row r="162" spans="1:5" hidden="1">
      <c r="A162" s="27">
        <v>41944</v>
      </c>
      <c r="B162" s="27">
        <v>888</v>
      </c>
      <c r="C162" s="4">
        <v>5036.3941171790602</v>
      </c>
      <c r="D162" s="27">
        <v>211500</v>
      </c>
      <c r="E162" s="1">
        <f t="shared" si="2"/>
        <v>212677.28632114109</v>
      </c>
    </row>
    <row r="163" spans="1:5" hidden="1">
      <c r="A163" s="27">
        <v>30149</v>
      </c>
      <c r="B163" s="27">
        <v>2087</v>
      </c>
      <c r="C163" s="4">
        <v>4182.1783564641</v>
      </c>
      <c r="D163" s="27">
        <v>218400</v>
      </c>
      <c r="E163" s="1">
        <f t="shared" si="2"/>
        <v>173926.76527948253</v>
      </c>
    </row>
    <row r="164" spans="1:5" hidden="1">
      <c r="A164" s="27">
        <v>36750</v>
      </c>
      <c r="B164" s="27">
        <v>2513</v>
      </c>
      <c r="C164" s="4">
        <v>5384.1421071774403</v>
      </c>
      <c r="D164" s="27">
        <v>269900</v>
      </c>
      <c r="E164" s="1">
        <f t="shared" si="2"/>
        <v>209425.38187057286</v>
      </c>
    </row>
    <row r="165" spans="1:5" hidden="1">
      <c r="A165" s="27">
        <v>32250</v>
      </c>
      <c r="B165" s="27">
        <v>3232</v>
      </c>
      <c r="C165" s="4">
        <v>4595.14987977277</v>
      </c>
      <c r="D165" s="27">
        <v>218800</v>
      </c>
      <c r="E165" s="1">
        <f t="shared" si="2"/>
        <v>195094.64066384084</v>
      </c>
    </row>
    <row r="166" spans="1:5" hidden="1">
      <c r="A166" s="27">
        <v>29345</v>
      </c>
      <c r="B166" s="27">
        <v>4120</v>
      </c>
      <c r="C166" s="4">
        <v>4182.1783564641</v>
      </c>
      <c r="D166" s="27">
        <v>225000</v>
      </c>
      <c r="E166" s="1">
        <f t="shared" si="2"/>
        <v>190401.92928539455</v>
      </c>
    </row>
    <row r="167" spans="1:5" hidden="1">
      <c r="A167" s="27">
        <v>58743</v>
      </c>
      <c r="B167" s="27">
        <v>2364</v>
      </c>
      <c r="C167" s="4">
        <v>4182.1783564641</v>
      </c>
      <c r="D167" s="27">
        <v>250000</v>
      </c>
      <c r="E167" s="1">
        <f t="shared" si="2"/>
        <v>283743.45575420832</v>
      </c>
    </row>
    <row r="168" spans="1:5" hidden="1">
      <c r="A168" s="27">
        <v>16121</v>
      </c>
      <c r="B168" s="27">
        <v>1471</v>
      </c>
      <c r="C168" s="4">
        <v>4182.1783564641</v>
      </c>
      <c r="D168" s="27">
        <v>171400</v>
      </c>
      <c r="E168" s="1">
        <f t="shared" si="2"/>
        <v>114921.11819182128</v>
      </c>
    </row>
    <row r="169" spans="1:5" hidden="1">
      <c r="A169" s="27">
        <v>13929</v>
      </c>
      <c r="B169" s="27">
        <v>2468</v>
      </c>
      <c r="C169" s="4">
        <v>4182.1783564641</v>
      </c>
      <c r="D169" s="27">
        <v>193800</v>
      </c>
      <c r="E169" s="1">
        <f t="shared" si="2"/>
        <v>116951.74291049925</v>
      </c>
    </row>
    <row r="170" spans="1:5" hidden="1">
      <c r="A170" s="27">
        <v>23173</v>
      </c>
      <c r="B170" s="27">
        <v>1632</v>
      </c>
      <c r="C170" s="4">
        <v>4920.8136550187701</v>
      </c>
      <c r="D170" s="27">
        <v>125000</v>
      </c>
      <c r="E170" s="1">
        <f t="shared" si="2"/>
        <v>145589.56755622479</v>
      </c>
    </row>
    <row r="171" spans="1:5" hidden="1">
      <c r="A171" s="27">
        <v>17772</v>
      </c>
      <c r="B171" s="27">
        <v>1786</v>
      </c>
      <c r="C171" s="4">
        <v>4042.1146945014102</v>
      </c>
      <c r="D171" s="27">
        <v>97500</v>
      </c>
      <c r="E171" s="1">
        <f t="shared" si="2"/>
        <v>123246.23747661067</v>
      </c>
    </row>
    <row r="172" spans="1:5" hidden="1">
      <c r="A172" s="27">
        <v>26458</v>
      </c>
      <c r="B172" s="27">
        <v>629</v>
      </c>
      <c r="C172" s="4">
        <v>4042.1146945014102</v>
      </c>
      <c r="D172" s="27">
        <v>125000</v>
      </c>
      <c r="E172" s="1">
        <f t="shared" si="2"/>
        <v>144751.97437088809</v>
      </c>
    </row>
    <row r="173" spans="1:5" hidden="1">
      <c r="A173" s="27">
        <v>21810</v>
      </c>
      <c r="B173" s="27">
        <v>1339</v>
      </c>
      <c r="C173" s="4">
        <v>4042.1146945014102</v>
      </c>
      <c r="D173" s="27">
        <v>138800</v>
      </c>
      <c r="E173" s="1">
        <f t="shared" si="2"/>
        <v>133809.53126294506</v>
      </c>
    </row>
    <row r="174" spans="1:5" hidden="1">
      <c r="A174" s="27">
        <v>22303</v>
      </c>
      <c r="B174" s="27">
        <v>1678</v>
      </c>
      <c r="C174" s="4">
        <v>4182.1783564641</v>
      </c>
      <c r="D174" s="27">
        <v>116700</v>
      </c>
      <c r="E174" s="1">
        <f t="shared" si="2"/>
        <v>139548.46689847778</v>
      </c>
    </row>
    <row r="175" spans="1:5" hidden="1">
      <c r="A175" s="27">
        <v>16504</v>
      </c>
      <c r="B175" s="27">
        <v>2344</v>
      </c>
      <c r="C175" s="4">
        <v>4182.1783564641</v>
      </c>
      <c r="D175" s="27">
        <v>151800</v>
      </c>
      <c r="E175" s="1">
        <f t="shared" si="2"/>
        <v>124711.70208081001</v>
      </c>
    </row>
    <row r="176" spans="1:5" hidden="1">
      <c r="A176" s="27">
        <v>22697</v>
      </c>
      <c r="B176" s="27">
        <v>996</v>
      </c>
      <c r="C176" s="4">
        <v>5036.3941171790602</v>
      </c>
      <c r="D176" s="27">
        <v>127000</v>
      </c>
      <c r="E176" s="1">
        <f t="shared" si="2"/>
        <v>138134.07421123207</v>
      </c>
    </row>
    <row r="177" spans="1:5" hidden="1">
      <c r="A177" s="27">
        <v>21563</v>
      </c>
      <c r="B177" s="27">
        <v>1591</v>
      </c>
      <c r="C177" s="4">
        <v>5036.3941171790602</v>
      </c>
      <c r="D177" s="27">
        <v>128600</v>
      </c>
      <c r="E177" s="1">
        <f t="shared" si="2"/>
        <v>139606.79357493683</v>
      </c>
    </row>
    <row r="178" spans="1:5" hidden="1">
      <c r="A178" s="27">
        <v>21347.999999999996</v>
      </c>
      <c r="B178" s="27">
        <v>1586</v>
      </c>
      <c r="C178" s="4">
        <v>5036.3941171790602</v>
      </c>
      <c r="D178" s="27">
        <v>140600</v>
      </c>
      <c r="E178" s="1">
        <f t="shared" si="2"/>
        <v>138752.37730187675</v>
      </c>
    </row>
    <row r="179" spans="1:5" hidden="1">
      <c r="A179" s="27">
        <v>36292</v>
      </c>
      <c r="B179" s="27">
        <v>2046</v>
      </c>
      <c r="C179" s="4">
        <v>5036.3941171790602</v>
      </c>
      <c r="D179" s="27">
        <v>182700</v>
      </c>
      <c r="E179" s="1">
        <f t="shared" si="2"/>
        <v>201594.27955899297</v>
      </c>
    </row>
    <row r="180" spans="1:5" hidden="1">
      <c r="A180" s="27">
        <v>23833.000000000004</v>
      </c>
      <c r="B180" s="27">
        <v>1192</v>
      </c>
      <c r="C180" s="4">
        <v>5897.7992904624798</v>
      </c>
      <c r="D180" s="27">
        <v>146900</v>
      </c>
      <c r="E180" s="1">
        <f t="shared" si="2"/>
        <v>148070.47005438033</v>
      </c>
    </row>
    <row r="181" spans="1:5" hidden="1">
      <c r="A181" s="27">
        <v>20570</v>
      </c>
      <c r="B181" s="27">
        <v>1803</v>
      </c>
      <c r="C181" s="4">
        <v>5036.3941171790602</v>
      </c>
      <c r="D181" s="27">
        <v>122800</v>
      </c>
      <c r="E181" s="1">
        <f t="shared" si="2"/>
        <v>137946.31731932369</v>
      </c>
    </row>
    <row r="182" spans="1:5" hidden="1">
      <c r="A182" s="27">
        <v>25238</v>
      </c>
      <c r="B182" s="27">
        <v>2838</v>
      </c>
      <c r="C182" s="4">
        <v>5036.3941171790602</v>
      </c>
      <c r="D182" s="27">
        <v>169300</v>
      </c>
      <c r="E182" s="1">
        <f t="shared" si="2"/>
        <v>165661.23245636153</v>
      </c>
    </row>
    <row r="183" spans="1:5" hidden="1">
      <c r="A183" s="27">
        <v>19375</v>
      </c>
      <c r="B183" s="27">
        <v>783</v>
      </c>
      <c r="C183" s="4">
        <v>5897.7992904624798</v>
      </c>
      <c r="D183" s="27">
        <v>126600</v>
      </c>
      <c r="E183" s="1">
        <f t="shared" si="2"/>
        <v>127390.52285520939</v>
      </c>
    </row>
    <row r="184" spans="1:5" hidden="1">
      <c r="A184" s="27">
        <v>19028</v>
      </c>
      <c r="B184" s="27">
        <v>1590</v>
      </c>
      <c r="C184" s="4">
        <v>5897.7992904624798</v>
      </c>
      <c r="D184" s="27">
        <v>127900</v>
      </c>
      <c r="E184" s="1">
        <f t="shared" si="2"/>
        <v>133918.1145433934</v>
      </c>
    </row>
    <row r="185" spans="1:5" hidden="1">
      <c r="A185" s="27">
        <v>22500</v>
      </c>
      <c r="B185" s="27">
        <v>1346</v>
      </c>
      <c r="C185" s="4">
        <v>5897.7992904624798</v>
      </c>
      <c r="D185" s="27">
        <v>123500</v>
      </c>
      <c r="E185" s="1">
        <f t="shared" si="2"/>
        <v>144487.06328429314</v>
      </c>
    </row>
    <row r="186" spans="1:5" hidden="1">
      <c r="A186" s="27">
        <v>23929</v>
      </c>
      <c r="B186" s="27">
        <v>1252</v>
      </c>
      <c r="C186" s="4">
        <v>5897.7992904624798</v>
      </c>
      <c r="D186" s="27">
        <v>111900</v>
      </c>
      <c r="E186" s="1">
        <f t="shared" si="2"/>
        <v>149017.59869007417</v>
      </c>
    </row>
    <row r="187" spans="1:5" hidden="1">
      <c r="A187" s="27">
        <v>11300</v>
      </c>
      <c r="B187" s="27">
        <v>5963</v>
      </c>
      <c r="C187" s="4">
        <v>5799.52176777353</v>
      </c>
      <c r="D187" s="27">
        <v>112800</v>
      </c>
      <c r="E187" s="1">
        <f t="shared" si="2"/>
        <v>148937.08748138943</v>
      </c>
    </row>
    <row r="188" spans="1:5" hidden="1">
      <c r="A188" s="27">
        <v>13683</v>
      </c>
      <c r="B188" s="27">
        <v>1783</v>
      </c>
      <c r="C188" s="4">
        <v>5799.52176777353</v>
      </c>
      <c r="D188" s="27">
        <v>107900</v>
      </c>
      <c r="E188" s="1">
        <f t="shared" si="2"/>
        <v>116472.55653970892</v>
      </c>
    </row>
    <row r="189" spans="1:5" hidden="1">
      <c r="A189" s="27">
        <v>18854</v>
      </c>
      <c r="B189" s="27">
        <v>999</v>
      </c>
      <c r="C189" s="4">
        <v>5799.52176777353</v>
      </c>
      <c r="D189" s="27">
        <v>137500</v>
      </c>
      <c r="E189" s="1">
        <f t="shared" si="2"/>
        <v>127146.89701450456</v>
      </c>
    </row>
    <row r="190" spans="1:5" hidden="1">
      <c r="A190" s="27">
        <v>15732</v>
      </c>
      <c r="B190" s="27">
        <v>1469</v>
      </c>
      <c r="C190" s="4">
        <v>4920.8136550187701</v>
      </c>
      <c r="D190" s="27">
        <v>105500</v>
      </c>
      <c r="E190" s="1">
        <f t="shared" si="2"/>
        <v>116721.13018075353</v>
      </c>
    </row>
    <row r="191" spans="1:5" hidden="1">
      <c r="A191" s="27">
        <v>12338</v>
      </c>
      <c r="B191" s="27">
        <v>1372</v>
      </c>
      <c r="C191" s="4">
        <v>4920.8136550187701</v>
      </c>
      <c r="D191" s="27">
        <v>95500</v>
      </c>
      <c r="E191" s="1">
        <f t="shared" si="2"/>
        <v>104191.28752757207</v>
      </c>
    </row>
    <row r="192" spans="1:5" hidden="1">
      <c r="A192" s="27">
        <v>12694</v>
      </c>
      <c r="B192" s="27">
        <v>674</v>
      </c>
      <c r="C192" s="4">
        <v>4920.8136550187701</v>
      </c>
      <c r="D192" s="27">
        <v>116100</v>
      </c>
      <c r="E192" s="1">
        <f t="shared" si="2"/>
        <v>98631.360767881924</v>
      </c>
    </row>
    <row r="193" spans="1:5" hidden="1">
      <c r="A193" s="27">
        <v>9754</v>
      </c>
      <c r="B193" s="27">
        <v>1626</v>
      </c>
      <c r="C193" s="4">
        <v>4920.8136550187701</v>
      </c>
      <c r="D193" s="27">
        <v>112200</v>
      </c>
      <c r="E193" s="1">
        <f t="shared" si="2"/>
        <v>98272.948884040437</v>
      </c>
    </row>
    <row r="194" spans="1:5" hidden="1">
      <c r="A194" s="27">
        <v>21000</v>
      </c>
      <c r="B194" s="27">
        <v>175</v>
      </c>
      <c r="C194" s="4">
        <v>4042.1146945014102</v>
      </c>
      <c r="D194" s="27">
        <v>75000</v>
      </c>
      <c r="E194" s="1">
        <f t="shared" si="2"/>
        <v>119524.99985878415</v>
      </c>
    </row>
    <row r="195" spans="1:5" hidden="1">
      <c r="A195" s="27">
        <v>16000</v>
      </c>
      <c r="B195" s="27">
        <v>461</v>
      </c>
      <c r="C195" s="4">
        <v>4042.1146945014102</v>
      </c>
      <c r="D195" s="27">
        <v>112500</v>
      </c>
      <c r="E195" s="1">
        <f t="shared" ref="E195:E221" si="3">$H$3+$H$4*A195+$H$5*A195^2+$H$6*A195^3+$H$7*B195+$H$8*C195</f>
        <v>104129.78630504495</v>
      </c>
    </row>
    <row r="196" spans="1:5" hidden="1">
      <c r="A196" s="27">
        <v>12984</v>
      </c>
      <c r="B196" s="27">
        <v>1102</v>
      </c>
      <c r="C196" s="4">
        <v>4042.1146945014102</v>
      </c>
      <c r="D196" s="27">
        <v>125000</v>
      </c>
      <c r="E196" s="1">
        <f t="shared" si="3"/>
        <v>99947.705585551259</v>
      </c>
    </row>
    <row r="197" spans="1:5" hidden="1">
      <c r="A197" s="27">
        <v>15437</v>
      </c>
      <c r="B197" s="27">
        <v>2373</v>
      </c>
      <c r="C197" s="4">
        <v>3340.6716189762201</v>
      </c>
      <c r="D197" s="27">
        <v>115000</v>
      </c>
      <c r="E197" s="1">
        <f t="shared" si="3"/>
        <v>117607.78160224239</v>
      </c>
    </row>
    <row r="198" spans="1:5" hidden="1">
      <c r="A198" s="27">
        <v>16471</v>
      </c>
      <c r="B198" s="27">
        <v>391</v>
      </c>
      <c r="C198" s="4">
        <v>4226.27769924116</v>
      </c>
      <c r="D198" s="27">
        <v>95000</v>
      </c>
      <c r="E198" s="1">
        <f t="shared" si="3"/>
        <v>105910.92315353407</v>
      </c>
    </row>
    <row r="199" spans="1:5" hidden="1">
      <c r="A199" s="27">
        <v>12763</v>
      </c>
      <c r="B199" s="27">
        <v>1137</v>
      </c>
      <c r="C199" s="4">
        <v>4226.27769924116</v>
      </c>
      <c r="D199" s="27">
        <v>96400</v>
      </c>
      <c r="E199" s="1">
        <f t="shared" si="3"/>
        <v>100339.88376278398</v>
      </c>
    </row>
    <row r="200" spans="1:5" hidden="1">
      <c r="A200" s="27">
        <v>18342</v>
      </c>
      <c r="B200" s="27">
        <v>769</v>
      </c>
      <c r="C200" s="4">
        <v>4276.7966160791302</v>
      </c>
      <c r="D200" s="27">
        <v>72000</v>
      </c>
      <c r="E200" s="1">
        <f t="shared" si="3"/>
        <v>116491.10846077719</v>
      </c>
    </row>
    <row r="201" spans="1:5" hidden="1">
      <c r="A201" s="27">
        <v>12897</v>
      </c>
      <c r="B201" s="27">
        <v>472</v>
      </c>
      <c r="C201" s="4">
        <v>5377.3719516156698</v>
      </c>
      <c r="D201" s="27">
        <v>71300</v>
      </c>
      <c r="E201" s="1">
        <f t="shared" si="3"/>
        <v>99328.487204702004</v>
      </c>
    </row>
    <row r="202" spans="1:5" hidden="1">
      <c r="A202" s="27">
        <v>36923</v>
      </c>
      <c r="B202" s="27">
        <v>1165</v>
      </c>
      <c r="C202" s="4">
        <v>10451.3385118023</v>
      </c>
      <c r="D202" s="27">
        <v>213200</v>
      </c>
      <c r="E202" s="1">
        <f t="shared" si="3"/>
        <v>218947.27820347791</v>
      </c>
    </row>
    <row r="203" spans="1:5" hidden="1">
      <c r="A203" s="27">
        <v>46786</v>
      </c>
      <c r="B203" s="27">
        <v>4371</v>
      </c>
      <c r="C203" s="4">
        <v>9757.7875295580707</v>
      </c>
      <c r="D203" s="27">
        <v>256000</v>
      </c>
      <c r="E203" s="1">
        <f t="shared" si="3"/>
        <v>285292.91249427153</v>
      </c>
    </row>
    <row r="204" spans="1:5" hidden="1">
      <c r="A204" s="27">
        <v>38750</v>
      </c>
      <c r="B204" s="27">
        <v>838</v>
      </c>
      <c r="C204" s="4">
        <v>11040.8924339472</v>
      </c>
      <c r="D204" s="27">
        <v>237500</v>
      </c>
      <c r="E204" s="1">
        <f t="shared" si="3"/>
        <v>225562.44551143236</v>
      </c>
    </row>
    <row r="205" spans="1:5" hidden="1">
      <c r="A205" s="27">
        <v>23617</v>
      </c>
      <c r="B205" s="27">
        <v>3052</v>
      </c>
      <c r="C205" s="4">
        <v>9629.1576725103496</v>
      </c>
      <c r="D205" s="27">
        <v>178100</v>
      </c>
      <c r="E205" s="1">
        <f t="shared" si="3"/>
        <v>181319.78524264204</v>
      </c>
    </row>
    <row r="206" spans="1:5" hidden="1">
      <c r="A206" s="27">
        <v>37579</v>
      </c>
      <c r="B206" s="27">
        <v>4313</v>
      </c>
      <c r="C206" s="4">
        <v>10266.1194193027</v>
      </c>
      <c r="D206" s="27">
        <v>231800</v>
      </c>
      <c r="E206" s="1">
        <f t="shared" si="3"/>
        <v>251170.99845366503</v>
      </c>
    </row>
    <row r="207" spans="1:5" hidden="1">
      <c r="A207" s="27">
        <v>28750</v>
      </c>
      <c r="B207" s="27">
        <v>1026</v>
      </c>
      <c r="C207" s="4">
        <v>6039.2582231923598</v>
      </c>
      <c r="D207" s="27">
        <v>160000</v>
      </c>
      <c r="E207" s="1">
        <f t="shared" si="3"/>
        <v>166171.63079843225</v>
      </c>
    </row>
    <row r="208" spans="1:5" hidden="1">
      <c r="A208" s="27">
        <v>13715</v>
      </c>
      <c r="B208" s="27">
        <v>2170</v>
      </c>
      <c r="C208" s="4">
        <v>5084.1441665572802</v>
      </c>
      <c r="D208" s="27">
        <v>143900</v>
      </c>
      <c r="E208" s="1">
        <f t="shared" si="3"/>
        <v>117234.75841378153</v>
      </c>
    </row>
    <row r="209" spans="1:12" hidden="1">
      <c r="A209" s="27">
        <v>15114</v>
      </c>
      <c r="B209" s="27">
        <v>2329</v>
      </c>
      <c r="C209" s="4">
        <v>5084.1441665572802</v>
      </c>
      <c r="D209" s="27">
        <v>151200</v>
      </c>
      <c r="E209" s="1">
        <f t="shared" si="3"/>
        <v>123580.04716460788</v>
      </c>
    </row>
    <row r="210" spans="1:12" hidden="1">
      <c r="A210" s="27">
        <v>23125</v>
      </c>
      <c r="B210" s="27">
        <v>2492</v>
      </c>
      <c r="C210" s="4">
        <v>5339.2582231923598</v>
      </c>
      <c r="D210" s="27">
        <v>164400</v>
      </c>
      <c r="E210" s="1">
        <f t="shared" si="3"/>
        <v>155523.57149390827</v>
      </c>
    </row>
    <row r="211" spans="1:12" hidden="1">
      <c r="A211" s="27">
        <v>32200.000000000004</v>
      </c>
      <c r="B211" s="27">
        <v>2198</v>
      </c>
      <c r="C211" s="4">
        <v>4739.2582231923598</v>
      </c>
      <c r="D211" s="27">
        <v>156500</v>
      </c>
      <c r="E211" s="1">
        <f t="shared" si="3"/>
        <v>185525.24906960328</v>
      </c>
    </row>
    <row r="212" spans="1:12" hidden="1">
      <c r="A212" s="27">
        <v>38750</v>
      </c>
      <c r="B212" s="27">
        <v>142</v>
      </c>
      <c r="C212" s="4">
        <v>6498.1659216378503</v>
      </c>
      <c r="D212" s="27">
        <v>225000</v>
      </c>
      <c r="E212" s="1">
        <f t="shared" si="3"/>
        <v>199236.07127158201</v>
      </c>
    </row>
    <row r="213" spans="1:12">
      <c r="A213" s="27">
        <v>32328</v>
      </c>
      <c r="B213" s="27">
        <v>1183</v>
      </c>
      <c r="C213" s="4">
        <v>6039.2582231923598</v>
      </c>
      <c r="D213" s="27">
        <v>174200</v>
      </c>
      <c r="E213" s="1">
        <f t="shared" si="3"/>
        <v>181833.07003156323</v>
      </c>
    </row>
    <row r="214" spans="1:12">
      <c r="A214" s="27">
        <v>27262</v>
      </c>
      <c r="B214" s="27">
        <v>1070</v>
      </c>
      <c r="C214" s="4">
        <v>6039.2582231923598</v>
      </c>
      <c r="D214" s="27">
        <v>166900</v>
      </c>
      <c r="E214" s="1">
        <f t="shared" si="3"/>
        <v>160764.83255456109</v>
      </c>
    </row>
    <row r="215" spans="1:12">
      <c r="A215" s="27">
        <v>25893</v>
      </c>
      <c r="B215" s="27">
        <v>1766</v>
      </c>
      <c r="C215" s="4">
        <v>5680.2179970399602</v>
      </c>
      <c r="D215" s="27">
        <v>163500</v>
      </c>
      <c r="E215" s="1">
        <f t="shared" si="3"/>
        <v>160613.68255528135</v>
      </c>
    </row>
    <row r="216" spans="1:12">
      <c r="A216" s="27">
        <v>52577.999999999993</v>
      </c>
      <c r="B216" s="27">
        <v>617</v>
      </c>
      <c r="C216" s="4">
        <v>7437.9004004202197</v>
      </c>
      <c r="D216" s="27">
        <v>253000</v>
      </c>
      <c r="E216" s="1">
        <f t="shared" si="3"/>
        <v>260181.69652898886</v>
      </c>
    </row>
    <row r="217" spans="1:12">
      <c r="A217" s="27">
        <v>50875</v>
      </c>
      <c r="B217" s="27">
        <v>1411</v>
      </c>
      <c r="C217" s="4">
        <v>7437.9004004202197</v>
      </c>
      <c r="D217" s="27">
        <v>240700</v>
      </c>
      <c r="E217" s="1">
        <f t="shared" si="3"/>
        <v>261775.25718222858</v>
      </c>
    </row>
    <row r="218" spans="1:12">
      <c r="A218" s="27">
        <v>39712</v>
      </c>
      <c r="B218" s="27">
        <v>2109</v>
      </c>
      <c r="C218" s="4">
        <v>7437.9004004202197</v>
      </c>
      <c r="D218" s="27">
        <v>208100</v>
      </c>
      <c r="E218" s="1">
        <f t="shared" si="3"/>
        <v>226093.20774693499</v>
      </c>
    </row>
    <row r="219" spans="1:12">
      <c r="A219" s="27">
        <v>29514</v>
      </c>
      <c r="B219" s="27">
        <v>1229</v>
      </c>
      <c r="C219" s="4">
        <v>7040.5695824775703</v>
      </c>
      <c r="D219" s="27">
        <v>198100</v>
      </c>
      <c r="E219" s="1">
        <f t="shared" si="3"/>
        <v>175461.75210145456</v>
      </c>
    </row>
    <row r="220" spans="1:12">
      <c r="E220" s="1"/>
    </row>
    <row r="221" spans="1:12">
      <c r="A221" s="17">
        <v>19167</v>
      </c>
      <c r="B221" s="17">
        <v>2643</v>
      </c>
      <c r="C221" s="18">
        <v>7349.62</v>
      </c>
      <c r="D221" s="17">
        <v>159200</v>
      </c>
      <c r="E221" s="19">
        <f t="shared" si="3"/>
        <v>150867.23265215952</v>
      </c>
      <c r="J221" s="26"/>
      <c r="K221" s="26"/>
      <c r="L221" s="26"/>
    </row>
    <row r="222" spans="1:12">
      <c r="J222" s="26"/>
      <c r="K222" s="26"/>
      <c r="L222" s="26"/>
    </row>
    <row r="223" spans="1:12">
      <c r="J223" s="26"/>
      <c r="K223" s="26"/>
      <c r="L223" s="26"/>
    </row>
    <row r="224" spans="1:12">
      <c r="J224" s="26"/>
      <c r="K224" s="26"/>
      <c r="L224" s="26"/>
    </row>
    <row r="225" spans="1:12">
      <c r="J225" s="26"/>
      <c r="K225" s="26"/>
      <c r="L225" s="26"/>
    </row>
    <row r="226" spans="1:12">
      <c r="J226" s="26"/>
      <c r="K226" s="26"/>
      <c r="L226" s="26"/>
    </row>
    <row r="228" spans="1:12">
      <c r="A228">
        <f>RSQ($D$2:$D$219,A2:A219)</f>
        <v>0.76448892010356684</v>
      </c>
      <c r="B228">
        <f>RSQ($D$2:$D$219,B2:B219)</f>
        <v>0.14637225445629415</v>
      </c>
      <c r="C228">
        <f>RSQ($D$2:$D$219,C2:C219)</f>
        <v>0.42470296808802616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tabSelected="1"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0.89604540844579783</v>
      </c>
    </row>
    <row r="5" spans="1:9">
      <c r="A5" s="7" t="s">
        <v>39</v>
      </c>
      <c r="B5" s="7">
        <v>0.80289737399679673</v>
      </c>
    </row>
    <row r="6" spans="1:9">
      <c r="A6" s="7" t="s">
        <v>40</v>
      </c>
    </row>
    <row r="7" spans="1:9">
      <c r="A7" s="7" t="s">
        <v>41</v>
      </c>
      <c r="B7" s="7">
        <v>43422.158399724212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5</v>
      </c>
      <c r="C12" s="7">
        <v>1628269554695.3367</v>
      </c>
      <c r="D12" s="7">
        <v>325653910939.06732</v>
      </c>
      <c r="E12" s="7">
        <v>172.71636277900694</v>
      </c>
      <c r="F12" s="7">
        <v>1.0419241067609332E-72</v>
      </c>
    </row>
    <row r="13" spans="1:9">
      <c r="A13" s="7" t="s">
        <v>45</v>
      </c>
      <c r="B13" s="7">
        <v>212</v>
      </c>
      <c r="C13" s="7">
        <v>399722574099.23682</v>
      </c>
      <c r="D13" s="7">
        <v>1885483840.0907397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43097.681693861057</v>
      </c>
      <c r="C17" s="7">
        <v>15431.094847134922</v>
      </c>
      <c r="D17" s="7">
        <v>2.7929114635610555</v>
      </c>
      <c r="E17" s="7">
        <v>5.7015627347048684E-3</v>
      </c>
      <c r="F17" s="7">
        <v>12679.645008950694</v>
      </c>
      <c r="G17" s="7">
        <v>73515.718378771417</v>
      </c>
      <c r="H17" s="7">
        <v>12679.645008950694</v>
      </c>
      <c r="I17" s="7">
        <v>73515.718378771417</v>
      </c>
    </row>
    <row r="18" spans="1:9">
      <c r="A18" s="7" t="s">
        <v>0</v>
      </c>
      <c r="B18" s="7">
        <v>2.4108914273536324</v>
      </c>
      <c r="C18" s="7">
        <v>1.2181659266670983</v>
      </c>
      <c r="D18" s="7">
        <v>1.9791157957847587</v>
      </c>
      <c r="E18" s="7">
        <v>4.9097225255369775E-2</v>
      </c>
      <c r="F18" s="7">
        <v>9.622028601446786E-3</v>
      </c>
      <c r="G18" s="7">
        <v>4.812160826105818</v>
      </c>
      <c r="H18" s="7">
        <v>9.622028601446786E-3</v>
      </c>
      <c r="I18" s="7">
        <v>4.812160826105818</v>
      </c>
    </row>
    <row r="19" spans="1:9">
      <c r="A19" s="7" t="s">
        <v>3</v>
      </c>
      <c r="B19" s="7">
        <v>9.8974127368943261</v>
      </c>
      <c r="C19" s="7">
        <v>2.5283764150132888</v>
      </c>
      <c r="D19" s="7">
        <v>3.9145329303517911</v>
      </c>
      <c r="E19" s="7">
        <v>1.2207005832738717E-4</v>
      </c>
      <c r="F19" s="7">
        <v>4.9134341334956275</v>
      </c>
      <c r="G19" s="7">
        <v>14.881391340293025</v>
      </c>
      <c r="H19" s="7">
        <v>4.9134341334956275</v>
      </c>
      <c r="I19" s="7">
        <v>14.881391340293025</v>
      </c>
    </row>
    <row r="20" spans="1:9">
      <c r="A20" s="7" t="s">
        <v>4</v>
      </c>
      <c r="B20" s="7">
        <v>4.5101364939105864</v>
      </c>
      <c r="C20" s="7">
        <v>1.8586677993898568</v>
      </c>
      <c r="D20" s="7">
        <v>2.4265425458982635</v>
      </c>
      <c r="E20" s="7">
        <v>1.6079374721399402E-2</v>
      </c>
      <c r="F20" s="7">
        <v>0.84629890707860245</v>
      </c>
      <c r="G20" s="7">
        <v>8.1739740807425711</v>
      </c>
      <c r="H20" s="7">
        <v>0.84629890707860245</v>
      </c>
      <c r="I20" s="7">
        <v>8.1739740807425711</v>
      </c>
    </row>
    <row r="21" spans="1:9">
      <c r="A21" s="7" t="s">
        <v>60</v>
      </c>
      <c r="B21" s="7">
        <v>4.1617980600295786E-5</v>
      </c>
      <c r="C21" s="7">
        <v>2.586279754674174E-5</v>
      </c>
      <c r="D21" s="7">
        <v>1.6091832496109426</v>
      </c>
      <c r="E21" s="7">
        <v>0.10906434896186937</v>
      </c>
      <c r="F21" s="7">
        <v>-9.3632059159198794E-6</v>
      </c>
      <c r="G21" s="7">
        <v>9.2599167116511451E-5</v>
      </c>
      <c r="H21" s="7">
        <v>-9.3632059159198794E-6</v>
      </c>
      <c r="I21" s="7">
        <v>9.2599167116511451E-5</v>
      </c>
    </row>
    <row r="22" spans="1:9" ht="15" thickBot="1">
      <c r="A22" s="8" t="s">
        <v>65</v>
      </c>
      <c r="B22" s="8">
        <v>-3.5661440004824756E-10</v>
      </c>
      <c r="C22" s="8">
        <v>1.6332018769594052E-10</v>
      </c>
      <c r="D22" s="8">
        <v>-2.1835292077435664</v>
      </c>
      <c r="E22" s="8">
        <v>3.0094415184627906E-2</v>
      </c>
      <c r="F22" s="8">
        <v>-6.7855393252697807E-10</v>
      </c>
      <c r="G22" s="8">
        <v>-3.4674867569517051E-11</v>
      </c>
      <c r="H22" s="8">
        <v>-6.7855393252697807E-10</v>
      </c>
      <c r="I22" s="8">
        <v>-3.4674867569517051E-11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0.87435057048278186</v>
      </c>
    </row>
    <row r="5" spans="1:9">
      <c r="A5" s="7" t="s">
        <v>39</v>
      </c>
      <c r="B5" s="7">
        <v>0.76448892010356617</v>
      </c>
    </row>
    <row r="6" spans="1:9">
      <c r="A6" s="7" t="s">
        <v>40</v>
      </c>
      <c r="B6" s="7">
        <v>0.79824872715709849</v>
      </c>
    </row>
    <row r="7" spans="1:9">
      <c r="A7" s="7" t="s">
        <v>41</v>
      </c>
      <c r="B7" s="7">
        <v>47023.172787953503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1</v>
      </c>
      <c r="C12" s="7">
        <v>1550377512520.6958</v>
      </c>
      <c r="D12" s="7">
        <v>1550377512520.6958</v>
      </c>
      <c r="E12" s="7">
        <v>701.15430159373454</v>
      </c>
      <c r="F12" s="7">
        <v>9.3140482299378046E-70</v>
      </c>
    </row>
    <row r="13" spans="1:9">
      <c r="A13" s="7" t="s">
        <v>45</v>
      </c>
      <c r="B13" s="7">
        <v>216</v>
      </c>
      <c r="C13" s="7">
        <v>477614616273.87781</v>
      </c>
      <c r="D13" s="7">
        <v>2211178779.0457306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2027992128794.5737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65622.291682472598</v>
      </c>
      <c r="C17" s="7">
        <v>5855.0488616894681</v>
      </c>
      <c r="D17" s="7">
        <v>11.207812818070549</v>
      </c>
      <c r="E17" s="7">
        <v>2.7996520778509866E-23</v>
      </c>
      <c r="F17" s="7">
        <v>54081.946627131365</v>
      </c>
      <c r="G17" s="7">
        <v>77162.636737813824</v>
      </c>
      <c r="H17" s="7">
        <v>54081.946627131365</v>
      </c>
      <c r="I17" s="7">
        <v>77162.636737813824</v>
      </c>
    </row>
    <row r="18" spans="1:9" ht="15" thickBot="1">
      <c r="A18" s="8" t="s">
        <v>0</v>
      </c>
      <c r="B18" s="8">
        <v>4.0195109739911592</v>
      </c>
      <c r="C18" s="8">
        <v>0.15179812852800961</v>
      </c>
      <c r="D18" s="8">
        <v>26.479318374794612</v>
      </c>
      <c r="E18" s="8">
        <v>9.314048229937008E-70</v>
      </c>
      <c r="F18" s="8">
        <v>3.720315728426157</v>
      </c>
      <c r="G18" s="8">
        <v>4.3187062195561614</v>
      </c>
      <c r="H18" s="8">
        <v>3.720315728426157</v>
      </c>
      <c r="I18" s="8">
        <v>4.3187062195561614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0.38258627060611317</v>
      </c>
    </row>
    <row r="5" spans="1:9">
      <c r="A5" s="7" t="s">
        <v>39</v>
      </c>
      <c r="B5" s="7">
        <v>0.14637225445629404</v>
      </c>
    </row>
    <row r="6" spans="1:9">
      <c r="A6" s="7" t="s">
        <v>40</v>
      </c>
      <c r="B6" s="7">
        <v>0.14242027415285094</v>
      </c>
    </row>
    <row r="7" spans="1:9">
      <c r="A7" s="7" t="s">
        <v>41</v>
      </c>
      <c r="B7" s="7">
        <v>89524.214313970733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1</v>
      </c>
      <c r="C12" s="7">
        <v>296841779911.28076</v>
      </c>
      <c r="D12" s="7">
        <v>296841779911.28076</v>
      </c>
      <c r="E12" s="7">
        <v>37.037698373337072</v>
      </c>
      <c r="F12" s="7">
        <v>5.2185228821506505E-9</v>
      </c>
    </row>
    <row r="13" spans="1:9">
      <c r="A13" s="7" t="s">
        <v>45</v>
      </c>
      <c r="B13" s="7">
        <v>216</v>
      </c>
      <c r="C13" s="7">
        <v>1731150348883.2927</v>
      </c>
      <c r="D13" s="7">
        <v>8014584948.5337629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139786.75863910015</v>
      </c>
      <c r="C17" s="7">
        <v>11010.291814657872</v>
      </c>
      <c r="D17" s="7">
        <v>12.696008515687447</v>
      </c>
      <c r="E17" s="7">
        <v>5.8731251769948268E-28</v>
      </c>
      <c r="F17" s="7">
        <v>118085.39120345979</v>
      </c>
      <c r="G17" s="7">
        <v>161488.12607474052</v>
      </c>
      <c r="H17" s="7">
        <v>118085.39120345979</v>
      </c>
      <c r="I17" s="7">
        <v>161488.12607474052</v>
      </c>
    </row>
    <row r="18" spans="1:9" ht="15" thickBot="1">
      <c r="A18" s="8" t="s">
        <v>3</v>
      </c>
      <c r="B18" s="8">
        <v>29.57625266018243</v>
      </c>
      <c r="C18" s="8">
        <v>4.8598308359655702</v>
      </c>
      <c r="D18" s="8">
        <v>6.0858605285807448</v>
      </c>
      <c r="E18" s="8">
        <v>5.2185228821505752E-9</v>
      </c>
      <c r="F18" s="8">
        <v>19.997489769816543</v>
      </c>
      <c r="G18" s="8">
        <v>39.155015550548313</v>
      </c>
      <c r="H18" s="8">
        <v>19.997489769816543</v>
      </c>
      <c r="I18" s="8">
        <v>39.155015550548313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0.65169238762473336</v>
      </c>
    </row>
    <row r="5" spans="1:9">
      <c r="A5" s="7" t="s">
        <v>39</v>
      </c>
      <c r="B5" s="7">
        <v>0.42470296808802577</v>
      </c>
    </row>
    <row r="6" spans="1:9">
      <c r="A6" s="7" t="s">
        <v>40</v>
      </c>
      <c r="B6" s="7">
        <v>0.42203955590324799</v>
      </c>
    </row>
    <row r="7" spans="1:9">
      <c r="A7" s="7" t="s">
        <v>41</v>
      </c>
      <c r="B7" s="7">
        <v>73494.074226869809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1</v>
      </c>
      <c r="C12" s="7">
        <v>861294276358.20923</v>
      </c>
      <c r="D12" s="7">
        <v>861294276358.20923</v>
      </c>
      <c r="E12" s="7">
        <v>159.45822074230693</v>
      </c>
      <c r="F12" s="7">
        <v>9.6796573567221164E-28</v>
      </c>
    </row>
    <row r="13" spans="1:9">
      <c r="A13" s="7" t="s">
        <v>45</v>
      </c>
      <c r="B13" s="7">
        <v>216</v>
      </c>
      <c r="C13" s="7">
        <v>1166697852436.3643</v>
      </c>
      <c r="D13" s="7">
        <v>5401378946.4646492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32904.352862083993</v>
      </c>
      <c r="C17" s="7">
        <v>13820.869468022926</v>
      </c>
      <c r="D17" s="7">
        <v>2.3807729997171414</v>
      </c>
      <c r="E17" s="7">
        <v>1.8145167339706329E-2</v>
      </c>
      <c r="F17" s="7">
        <v>5663.3158710123098</v>
      </c>
      <c r="G17" s="7">
        <v>60145.389853155677</v>
      </c>
      <c r="H17" s="7">
        <v>5663.3158710123098</v>
      </c>
      <c r="I17" s="7">
        <v>60145.389853155677</v>
      </c>
    </row>
    <row r="18" spans="1:9" ht="15" thickBot="1">
      <c r="A18" s="8" t="s">
        <v>4</v>
      </c>
      <c r="B18" s="8">
        <v>29.250533023915526</v>
      </c>
      <c r="C18" s="8">
        <v>2.3163827792180784</v>
      </c>
      <c r="D18" s="8">
        <v>12.627676775333901</v>
      </c>
      <c r="E18" s="8">
        <v>9.6796573567214204E-28</v>
      </c>
      <c r="F18" s="8">
        <v>24.684925258054204</v>
      </c>
      <c r="G18" s="8">
        <v>33.816140789776846</v>
      </c>
      <c r="H18" s="8">
        <v>24.684925258054204</v>
      </c>
      <c r="I18" s="8">
        <v>33.816140789776846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0.88698066880757065</v>
      </c>
    </row>
    <row r="5" spans="1:9">
      <c r="A5" s="7" t="s">
        <v>39</v>
      </c>
      <c r="B5" s="7">
        <v>0.78673470683832525</v>
      </c>
    </row>
    <row r="6" spans="1:9">
      <c r="A6" s="7" t="s">
        <v>40</v>
      </c>
      <c r="B6" s="7">
        <v>0.78475084364612369</v>
      </c>
    </row>
    <row r="7" spans="1:9">
      <c r="A7" s="7" t="s">
        <v>41</v>
      </c>
      <c r="B7" s="7">
        <v>44851.192505830724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2</v>
      </c>
      <c r="C12" s="7">
        <v>1595491792917.6299</v>
      </c>
      <c r="D12" s="7">
        <v>797745896458.81494</v>
      </c>
      <c r="E12" s="7">
        <v>396.567016279602</v>
      </c>
      <c r="F12" s="7">
        <v>7.2263631518420794E-73</v>
      </c>
    </row>
    <row r="13" spans="1:9">
      <c r="A13" s="7" t="s">
        <v>45</v>
      </c>
      <c r="B13" s="7">
        <v>215</v>
      </c>
      <c r="C13" s="7">
        <v>432500335876.94354</v>
      </c>
      <c r="D13" s="7">
        <v>2011629469.1950862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49263.274968914935</v>
      </c>
      <c r="C17" s="7">
        <v>6566.6426679769193</v>
      </c>
      <c r="D17" s="7">
        <v>7.5020489860295969</v>
      </c>
      <c r="E17" s="7">
        <v>1.6368304957300146E-12</v>
      </c>
      <c r="F17" s="7">
        <v>36320.034036406993</v>
      </c>
      <c r="G17" s="7">
        <v>62206.515901422878</v>
      </c>
      <c r="H17" s="7">
        <v>36320.034036406993</v>
      </c>
      <c r="I17" s="7">
        <v>62206.515901422878</v>
      </c>
    </row>
    <row r="18" spans="1:9">
      <c r="A18" s="7" t="s">
        <v>0</v>
      </c>
      <c r="B18" s="7">
        <v>3.8245594024004794</v>
      </c>
      <c r="C18" s="7">
        <v>0.15052524514576432</v>
      </c>
      <c r="D18" s="7">
        <v>25.408092833178156</v>
      </c>
      <c r="E18" s="7">
        <v>1.107966835362841E-66</v>
      </c>
      <c r="F18" s="7">
        <v>3.5278652448445169</v>
      </c>
      <c r="G18" s="7">
        <v>4.1212535599564415</v>
      </c>
      <c r="H18" s="7">
        <v>3.5278652448445169</v>
      </c>
      <c r="I18" s="7">
        <v>4.1212535599564415</v>
      </c>
    </row>
    <row r="19" spans="1:9" ht="15" thickBot="1">
      <c r="A19" s="8" t="s">
        <v>3</v>
      </c>
      <c r="B19" s="8">
        <v>11.987220980836319</v>
      </c>
      <c r="C19" s="8">
        <v>2.5312526127354498</v>
      </c>
      <c r="D19" s="8">
        <v>4.7356873512051747</v>
      </c>
      <c r="E19" s="8">
        <v>3.9615013416317593E-6</v>
      </c>
      <c r="F19" s="8">
        <v>6.9979724280794819</v>
      </c>
      <c r="G19" s="8">
        <v>16.976469533593157</v>
      </c>
      <c r="H19" s="8">
        <v>6.9979724280794819</v>
      </c>
      <c r="I19" s="8">
        <v>16.976469533593157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workbookViewId="0">
      <selection activeCell="Q14" sqref="Q13:Q14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0.88106947060353247</v>
      </c>
    </row>
    <row r="5" spans="1:9">
      <c r="A5" s="7" t="s">
        <v>39</v>
      </c>
      <c r="B5" s="7">
        <v>0.77628341202958906</v>
      </c>
    </row>
    <row r="6" spans="1:9">
      <c r="A6" s="7" t="s">
        <v>40</v>
      </c>
      <c r="B6" s="7">
        <v>0.77420232749032936</v>
      </c>
    </row>
    <row r="7" spans="1:9">
      <c r="A7" s="7" t="s">
        <v>41</v>
      </c>
      <c r="B7" s="7">
        <v>45937.038786662255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2</v>
      </c>
      <c r="C12" s="7">
        <v>1574296649309.8013</v>
      </c>
      <c r="D12" s="7">
        <v>787148324654.90063</v>
      </c>
      <c r="E12" s="7">
        <v>373.01868203093676</v>
      </c>
      <c r="F12" s="7">
        <v>1.237528205512232E-70</v>
      </c>
    </row>
    <row r="13" spans="1:9">
      <c r="A13" s="7" t="s">
        <v>45</v>
      </c>
      <c r="B13" s="7">
        <v>215</v>
      </c>
      <c r="C13" s="7">
        <v>453695479484.77222</v>
      </c>
      <c r="D13" s="7">
        <v>2110211532.4873126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43736.562818890714</v>
      </c>
      <c r="C17" s="7">
        <v>8658.7296983467968</v>
      </c>
      <c r="D17" s="7">
        <v>5.0511523448111904</v>
      </c>
      <c r="E17" s="7">
        <v>9.3632444033942375E-7</v>
      </c>
      <c r="F17" s="7">
        <v>26669.694660874731</v>
      </c>
      <c r="G17" s="7">
        <v>60803.430976906697</v>
      </c>
      <c r="H17" s="7">
        <v>26669.694660874731</v>
      </c>
      <c r="I17" s="7">
        <v>60803.430976906697</v>
      </c>
    </row>
    <row r="18" spans="1:9">
      <c r="A18" s="7" t="s">
        <v>0</v>
      </c>
      <c r="B18" s="7">
        <v>3.5912586408205902</v>
      </c>
      <c r="C18" s="7">
        <v>0.19537284126911358</v>
      </c>
      <c r="D18" s="7">
        <v>18.381565306069646</v>
      </c>
      <c r="E18" s="7">
        <v>5.5595024245427313E-46</v>
      </c>
      <c r="F18" s="7">
        <v>3.2061672198199345</v>
      </c>
      <c r="G18" s="7">
        <v>3.976350061821246</v>
      </c>
      <c r="H18" s="7">
        <v>3.2061672198199345</v>
      </c>
      <c r="I18" s="7">
        <v>3.976350061821246</v>
      </c>
    </row>
    <row r="19" spans="1:9" ht="15" thickBot="1">
      <c r="A19" s="8" t="s">
        <v>4</v>
      </c>
      <c r="B19" s="8">
        <v>6.4221059041072976</v>
      </c>
      <c r="C19" s="8">
        <v>1.9075138849111268</v>
      </c>
      <c r="D19" s="8">
        <v>3.3667413668165831</v>
      </c>
      <c r="E19" s="8">
        <v>9.0099625423260984E-4</v>
      </c>
      <c r="F19" s="8">
        <v>2.6622832606566278</v>
      </c>
      <c r="G19" s="8">
        <v>10.181928547557968</v>
      </c>
      <c r="H19" s="8">
        <v>2.6622832606566278</v>
      </c>
      <c r="I19" s="8">
        <v>10.181928547557968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0.89062001336471763</v>
      </c>
    </row>
    <row r="5" spans="1:9">
      <c r="A5" s="7" t="s">
        <v>39</v>
      </c>
      <c r="B5" s="7">
        <v>0.79320400820576975</v>
      </c>
    </row>
    <row r="6" spans="1:9">
      <c r="A6" s="7" t="s">
        <v>40</v>
      </c>
      <c r="B6" s="7">
        <v>0.79030499897500961</v>
      </c>
    </row>
    <row r="7" spans="1:9">
      <c r="A7" s="7" t="s">
        <v>41</v>
      </c>
      <c r="B7" s="7">
        <v>44268.754599169872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3</v>
      </c>
      <c r="C12" s="7">
        <v>1608611485169.6074</v>
      </c>
      <c r="D12" s="7">
        <v>536203828389.86914</v>
      </c>
      <c r="E12" s="7">
        <v>273.61210160678229</v>
      </c>
      <c r="F12" s="7">
        <v>6.0518266939231432E-73</v>
      </c>
    </row>
    <row r="13" spans="1:9">
      <c r="A13" s="7" t="s">
        <v>45</v>
      </c>
      <c r="B13" s="7">
        <v>214</v>
      </c>
      <c r="C13" s="7">
        <v>419380643624.96613</v>
      </c>
      <c r="D13" s="7">
        <v>1959722633.761524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34519.487007761745</v>
      </c>
      <c r="C17" s="7">
        <v>8630.1010420015973</v>
      </c>
      <c r="D17" s="7">
        <v>3.9998937254337834</v>
      </c>
      <c r="E17" s="7">
        <v>8.7286980298166743E-5</v>
      </c>
      <c r="F17" s="7">
        <v>17508.597689109178</v>
      </c>
      <c r="G17" s="7">
        <v>51530.376326414313</v>
      </c>
      <c r="H17" s="7">
        <v>17508.597689109178</v>
      </c>
      <c r="I17" s="7">
        <v>51530.376326414313</v>
      </c>
    </row>
    <row r="18" spans="1:9">
      <c r="A18" s="7" t="s">
        <v>0</v>
      </c>
      <c r="B18" s="7">
        <v>3.5222998589841277</v>
      </c>
      <c r="C18" s="7">
        <v>0.1889973702452572</v>
      </c>
      <c r="D18" s="7">
        <v>18.636766503223438</v>
      </c>
      <c r="E18" s="7">
        <v>1.0647111655988955E-46</v>
      </c>
      <c r="F18" s="7">
        <v>3.1497650148251299</v>
      </c>
      <c r="G18" s="7">
        <v>3.8948347031431254</v>
      </c>
      <c r="H18" s="7">
        <v>3.1497650148251299</v>
      </c>
      <c r="I18" s="7">
        <v>3.8948347031431254</v>
      </c>
    </row>
    <row r="19" spans="1:9">
      <c r="A19" s="7" t="s">
        <v>3</v>
      </c>
      <c r="B19" s="7">
        <v>10.669482074188016</v>
      </c>
      <c r="C19" s="7">
        <v>2.5497622057474429</v>
      </c>
      <c r="D19" s="7">
        <v>4.1845008331121374</v>
      </c>
      <c r="E19" s="7">
        <v>4.1719906119447966E-5</v>
      </c>
      <c r="F19" s="7">
        <v>5.6436170860773522</v>
      </c>
      <c r="G19" s="7">
        <v>15.69534706229868</v>
      </c>
      <c r="H19" s="7">
        <v>5.6436170860773522</v>
      </c>
      <c r="I19" s="7">
        <v>15.69534706229868</v>
      </c>
    </row>
    <row r="20" spans="1:9" ht="15" thickBot="1">
      <c r="A20" s="8" t="s">
        <v>4</v>
      </c>
      <c r="B20" s="8">
        <v>4.8540854436436707</v>
      </c>
      <c r="C20" s="8">
        <v>1.8760434689173804</v>
      </c>
      <c r="D20" s="8">
        <v>2.5874056353528134</v>
      </c>
      <c r="E20" s="8">
        <v>1.0331988864754215E-2</v>
      </c>
      <c r="F20" s="8">
        <v>1.156195042196773</v>
      </c>
      <c r="G20" s="8">
        <v>8.5519758450905687</v>
      </c>
      <c r="H20" s="8">
        <v>1.156195042196773</v>
      </c>
      <c r="I20" s="8">
        <v>8.5519758450905687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activeCell="I27" sqref="I27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0.89356846995699557</v>
      </c>
    </row>
    <row r="5" spans="1:9">
      <c r="A5" s="7" t="s">
        <v>39</v>
      </c>
      <c r="B5" s="7">
        <v>0.79846461050128603</v>
      </c>
    </row>
    <row r="6" spans="1:9">
      <c r="A6" s="7" t="s">
        <v>40</v>
      </c>
      <c r="B6" s="7">
        <v>0.79467990835107538</v>
      </c>
    </row>
    <row r="7" spans="1:9">
      <c r="A7" s="7" t="s">
        <v>41</v>
      </c>
      <c r="B7" s="7">
        <v>43804.526508281589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4</v>
      </c>
      <c r="C12" s="7">
        <v>1619279945217.6331</v>
      </c>
      <c r="D12" s="7">
        <v>404819986304.40826</v>
      </c>
      <c r="E12" s="7">
        <v>210.97158476707534</v>
      </c>
      <c r="F12" s="7">
        <v>7.0485229193259094E-73</v>
      </c>
    </row>
    <row r="13" spans="1:9">
      <c r="A13" s="7" t="s">
        <v>45</v>
      </c>
      <c r="B13" s="7">
        <v>213</v>
      </c>
      <c r="C13" s="7">
        <v>408712183576.94049</v>
      </c>
      <c r="D13" s="7">
        <v>1918836542.6147442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18865.886552747761</v>
      </c>
      <c r="C17" s="7">
        <v>10816.51428989709</v>
      </c>
      <c r="D17" s="7">
        <v>1.7441743289119489</v>
      </c>
      <c r="E17" s="7">
        <v>8.2571255130464788E-2</v>
      </c>
      <c r="F17" s="7">
        <v>-2455.2357821162113</v>
      </c>
      <c r="G17" s="7">
        <v>40187.008887611737</v>
      </c>
      <c r="H17" s="7">
        <v>-2455.2357821162113</v>
      </c>
      <c r="I17" s="7">
        <v>40187.008887611737</v>
      </c>
    </row>
    <row r="18" spans="1:9">
      <c r="A18" s="7" t="s">
        <v>0</v>
      </c>
      <c r="B18" s="7">
        <v>4.7749852186841766</v>
      </c>
      <c r="C18" s="7">
        <v>0.56321920037362128</v>
      </c>
      <c r="D18" s="7">
        <v>8.4780227938191857</v>
      </c>
      <c r="E18" s="7">
        <v>3.8187142352173912E-15</v>
      </c>
      <c r="F18" s="7">
        <v>3.6647878713070767</v>
      </c>
      <c r="G18" s="7">
        <v>5.8851825660612764</v>
      </c>
      <c r="H18" s="7">
        <v>3.6647878713070767</v>
      </c>
      <c r="I18" s="7">
        <v>5.8851825660612764</v>
      </c>
    </row>
    <row r="19" spans="1:9">
      <c r="A19" s="7" t="s">
        <v>3</v>
      </c>
      <c r="B19" s="7">
        <v>9.7940587632715026</v>
      </c>
      <c r="C19" s="7">
        <v>2.5501938629554819</v>
      </c>
      <c r="D19" s="7">
        <v>3.8405153841602178</v>
      </c>
      <c r="E19" s="7">
        <v>1.6193919109180283E-4</v>
      </c>
      <c r="F19" s="7">
        <v>4.7672087196785338</v>
      </c>
      <c r="G19" s="7">
        <v>14.820908806864471</v>
      </c>
      <c r="H19" s="7">
        <v>4.7672087196785338</v>
      </c>
      <c r="I19" s="7">
        <v>14.820908806864471</v>
      </c>
    </row>
    <row r="20" spans="1:9">
      <c r="A20" s="7" t="s">
        <v>4</v>
      </c>
      <c r="B20" s="7">
        <v>4.283085836810911</v>
      </c>
      <c r="C20" s="7">
        <v>1.8720983189324156</v>
      </c>
      <c r="D20" s="7">
        <v>2.287853043558838</v>
      </c>
      <c r="E20" s="7">
        <v>2.3127635509525669E-2</v>
      </c>
      <c r="F20" s="7">
        <v>0.59287324049112389</v>
      </c>
      <c r="G20" s="7">
        <v>7.9732984331306982</v>
      </c>
      <c r="H20" s="7">
        <v>0.59287324049112389</v>
      </c>
      <c r="I20" s="7">
        <v>7.9732984331306982</v>
      </c>
    </row>
    <row r="21" spans="1:9" ht="15" thickBot="1">
      <c r="A21" s="8" t="s">
        <v>60</v>
      </c>
      <c r="B21" s="8">
        <v>-1.3481531424114846E-5</v>
      </c>
      <c r="C21" s="8">
        <v>5.7175155057973753E-6</v>
      </c>
      <c r="D21" s="8">
        <v>-2.3579352623434096</v>
      </c>
      <c r="E21" s="8">
        <v>1.9282717079410854E-2</v>
      </c>
      <c r="F21" s="8">
        <v>-2.4751691503730227E-5</v>
      </c>
      <c r="G21" s="8">
        <v>-2.2113713444994648E-6</v>
      </c>
      <c r="H21" s="8">
        <v>-2.4751691503730227E-5</v>
      </c>
      <c r="I21" s="8">
        <v>-2.2113713444994648E-6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0.89068935784814407</v>
      </c>
    </row>
    <row r="5" spans="1:9">
      <c r="A5" s="7" t="s">
        <v>39</v>
      </c>
      <c r="B5" s="7">
        <v>0.79332753218393914</v>
      </c>
    </row>
    <row r="6" spans="1:9">
      <c r="A6" s="7" t="s">
        <v>40</v>
      </c>
      <c r="B6" s="7">
        <v>0.78944635907941219</v>
      </c>
    </row>
    <row r="7" spans="1:9">
      <c r="A7" s="7" t="s">
        <v>41</v>
      </c>
      <c r="B7" s="7">
        <v>44359.295830946976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4</v>
      </c>
      <c r="C12" s="7">
        <v>1608861990825.0522</v>
      </c>
      <c r="D12" s="7">
        <v>402215497706.26306</v>
      </c>
      <c r="E12" s="7">
        <v>204.40405795315067</v>
      </c>
      <c r="F12" s="7">
        <v>1.0221432655245122E-71</v>
      </c>
    </row>
    <row r="13" spans="1:9">
      <c r="A13" s="7" t="s">
        <v>45</v>
      </c>
      <c r="B13" s="7">
        <v>213</v>
      </c>
      <c r="C13" s="7">
        <v>419130137969.52112</v>
      </c>
      <c r="D13" s="7">
        <v>1967747126.61747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2027992128794.5732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32731.908043864139</v>
      </c>
      <c r="C17" s="7">
        <v>9994.2035023292628</v>
      </c>
      <c r="D17" s="7">
        <v>3.275089209083605</v>
      </c>
      <c r="E17" s="7">
        <v>1.2328610045905142E-3</v>
      </c>
      <c r="F17" s="7">
        <v>13031.695036082358</v>
      </c>
      <c r="G17" s="7">
        <v>52432.121051645925</v>
      </c>
      <c r="H17" s="7">
        <v>13031.695036082358</v>
      </c>
      <c r="I17" s="7">
        <v>52432.121051645925</v>
      </c>
    </row>
    <row r="18" spans="1:9">
      <c r="A18" s="7" t="s">
        <v>0</v>
      </c>
      <c r="B18" s="7">
        <v>3.5274564134043591</v>
      </c>
      <c r="C18" s="7">
        <v>0.18993455850823335</v>
      </c>
      <c r="D18" s="7">
        <v>18.571956789271972</v>
      </c>
      <c r="E18" s="7">
        <v>2.009773583696419E-46</v>
      </c>
      <c r="F18" s="7">
        <v>3.1530642710711425</v>
      </c>
      <c r="G18" s="7">
        <v>3.9018485557375757</v>
      </c>
      <c r="H18" s="7">
        <v>3.1530642710711425</v>
      </c>
      <c r="I18" s="7">
        <v>3.9018485557375757</v>
      </c>
    </row>
    <row r="19" spans="1:9">
      <c r="A19" s="7" t="s">
        <v>3</v>
      </c>
      <c r="B19" s="7">
        <v>13.211898032582077</v>
      </c>
      <c r="C19" s="7">
        <v>7.5698300713051907</v>
      </c>
      <c r="D19" s="7">
        <v>1.745336144686281</v>
      </c>
      <c r="E19" s="7">
        <v>8.2368425197015871E-2</v>
      </c>
      <c r="F19" s="7">
        <v>-1.7094776230835702</v>
      </c>
      <c r="G19" s="7">
        <v>28.133273688247726</v>
      </c>
      <c r="H19" s="7">
        <v>-1.7094776230835702</v>
      </c>
      <c r="I19" s="7">
        <v>28.133273688247726</v>
      </c>
    </row>
    <row r="20" spans="1:9">
      <c r="A20" s="7" t="s">
        <v>4</v>
      </c>
      <c r="B20" s="7">
        <v>4.7076951365623732</v>
      </c>
      <c r="C20" s="7">
        <v>1.9241326223075117</v>
      </c>
      <c r="D20" s="7">
        <v>2.4466583446398205</v>
      </c>
      <c r="E20" s="7">
        <v>1.5229229627332658E-2</v>
      </c>
      <c r="F20" s="7">
        <v>0.91491440062425378</v>
      </c>
      <c r="G20" s="7">
        <v>8.500475872500493</v>
      </c>
      <c r="H20" s="7">
        <v>0.91491440062425378</v>
      </c>
      <c r="I20" s="7">
        <v>8.500475872500493</v>
      </c>
    </row>
    <row r="21" spans="1:9" ht="15" thickBot="1">
      <c r="A21" s="8" t="s">
        <v>61</v>
      </c>
      <c r="B21" s="8">
        <v>-4.6220334774068261E-4</v>
      </c>
      <c r="C21" s="8">
        <v>1.2954151226727613E-3</v>
      </c>
      <c r="D21" s="8">
        <v>-0.3567994071174983</v>
      </c>
      <c r="E21" s="8">
        <v>0.72159519474809075</v>
      </c>
      <c r="F21" s="8">
        <v>-3.0156788542387691E-3</v>
      </c>
      <c r="G21" s="8">
        <v>2.0912721587574038E-3</v>
      </c>
      <c r="H21" s="8">
        <v>-3.0156788542387691E-3</v>
      </c>
      <c r="I21" s="8">
        <v>2.0912721587574038E-3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0.89105479285070721</v>
      </c>
    </row>
    <row r="5" spans="1:9">
      <c r="A5" s="7" t="s">
        <v>39</v>
      </c>
      <c r="B5" s="7">
        <v>0.79397864386221673</v>
      </c>
    </row>
    <row r="6" spans="1:9">
      <c r="A6" s="7" t="s">
        <v>40</v>
      </c>
      <c r="B6" s="7">
        <v>0.79010969820704713</v>
      </c>
    </row>
    <row r="7" spans="1:9">
      <c r="A7" s="7" t="s">
        <v>41</v>
      </c>
      <c r="B7" s="7">
        <v>44289.364793982968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4</v>
      </c>
      <c r="C12" s="7">
        <v>1610182440183.5654</v>
      </c>
      <c r="D12" s="7">
        <v>402545610045.89136</v>
      </c>
      <c r="E12" s="7">
        <v>205.21835006943348</v>
      </c>
      <c r="F12" s="7">
        <v>7.3100111030445239E-72</v>
      </c>
    </row>
    <row r="13" spans="1:9">
      <c r="A13" s="7" t="s">
        <v>45</v>
      </c>
      <c r="B13" s="7">
        <v>213</v>
      </c>
      <c r="C13" s="7">
        <v>417809688611.00812</v>
      </c>
      <c r="D13" s="7">
        <v>1961547833.8544981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20099.937649766682</v>
      </c>
      <c r="C17" s="7">
        <v>18280.26914996799</v>
      </c>
      <c r="D17" s="7">
        <v>1.0995427630124297</v>
      </c>
      <c r="E17" s="7">
        <v>0.27277258517963876</v>
      </c>
      <c r="F17" s="7">
        <v>-15933.468715234805</v>
      </c>
      <c r="G17" s="7">
        <v>56133.344014768169</v>
      </c>
      <c r="H17" s="7">
        <v>-15933.468715234805</v>
      </c>
      <c r="I17" s="7">
        <v>56133.344014768169</v>
      </c>
    </row>
    <row r="18" spans="1:9">
      <c r="A18" s="7" t="s">
        <v>0</v>
      </c>
      <c r="B18" s="7">
        <v>3.5669576667222751</v>
      </c>
      <c r="C18" s="7">
        <v>0.1955593247614956</v>
      </c>
      <c r="D18" s="7">
        <v>18.2397728723626</v>
      </c>
      <c r="E18" s="7">
        <v>2.1436176913643983E-45</v>
      </c>
      <c r="F18" s="7">
        <v>3.1814781882864445</v>
      </c>
      <c r="G18" s="7">
        <v>3.9524371451581057</v>
      </c>
      <c r="H18" s="7">
        <v>3.1814781882864445</v>
      </c>
      <c r="I18" s="7">
        <v>3.9524371451581057</v>
      </c>
    </row>
    <row r="19" spans="1:9">
      <c r="A19" s="7" t="s">
        <v>3</v>
      </c>
      <c r="B19" s="7">
        <v>10.28444009521602</v>
      </c>
      <c r="C19" s="7">
        <v>2.5869792147579447</v>
      </c>
      <c r="D19" s="7">
        <v>3.9754629788080078</v>
      </c>
      <c r="E19" s="7">
        <v>9.6196529982014856E-5</v>
      </c>
      <c r="F19" s="7">
        <v>5.1850800946359028</v>
      </c>
      <c r="G19" s="7">
        <v>15.383800095796136</v>
      </c>
      <c r="H19" s="7">
        <v>5.1850800946359028</v>
      </c>
      <c r="I19" s="7">
        <v>15.383800095796136</v>
      </c>
    </row>
    <row r="20" spans="1:9">
      <c r="A20" s="7" t="s">
        <v>4</v>
      </c>
      <c r="B20" s="7">
        <v>10.4538755802986</v>
      </c>
      <c r="C20" s="7">
        <v>6.5327669697211759</v>
      </c>
      <c r="D20" s="7">
        <v>1.6002217174975677</v>
      </c>
      <c r="E20" s="7">
        <v>0.11103155761247768</v>
      </c>
      <c r="F20" s="7">
        <v>-2.4232787425760538</v>
      </c>
      <c r="G20" s="7">
        <v>23.331029903173253</v>
      </c>
      <c r="H20" s="7">
        <v>-2.4232787425760538</v>
      </c>
      <c r="I20" s="7">
        <v>23.331029903173253</v>
      </c>
    </row>
    <row r="21" spans="1:9" ht="15" thickBot="1">
      <c r="A21" s="8" t="s">
        <v>63</v>
      </c>
      <c r="B21" s="8">
        <v>-4.9064889394724327E-4</v>
      </c>
      <c r="C21" s="8">
        <v>5.482623224261242E-4</v>
      </c>
      <c r="D21" s="8">
        <v>-0.89491630899614827</v>
      </c>
      <c r="E21" s="8">
        <v>0.37184198348511421</v>
      </c>
      <c r="F21" s="8">
        <v>-1.5713637836749252E-3</v>
      </c>
      <c r="G21" s="8">
        <v>5.9006599578043865E-4</v>
      </c>
      <c r="H21" s="8">
        <v>-1.5713637836749252E-3</v>
      </c>
      <c r="I21" s="8">
        <v>5.9006599578043865E-4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2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0.89358866314478147</v>
      </c>
    </row>
    <row r="5" spans="1:9">
      <c r="A5" s="7" t="s">
        <v>39</v>
      </c>
      <c r="B5" s="7">
        <v>0.79850069890087783</v>
      </c>
    </row>
    <row r="6" spans="1:9">
      <c r="A6" s="7" t="s">
        <v>40</v>
      </c>
      <c r="B6" s="7">
        <v>0.79374835689382306</v>
      </c>
    </row>
    <row r="7" spans="1:9">
      <c r="A7" s="7" t="s">
        <v>41</v>
      </c>
      <c r="B7" s="7">
        <v>43903.78613205671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5</v>
      </c>
      <c r="C12" s="7">
        <v>1619353132207.946</v>
      </c>
      <c r="D12" s="7">
        <v>323870626441.58923</v>
      </c>
      <c r="E12" s="7">
        <v>168.02256607700323</v>
      </c>
      <c r="F12" s="7">
        <v>1.0712747168672874E-71</v>
      </c>
    </row>
    <row r="13" spans="1:9">
      <c r="A13" s="7" t="s">
        <v>45</v>
      </c>
      <c r="B13" s="7">
        <v>212</v>
      </c>
      <c r="C13" s="7">
        <v>408638996586.6275</v>
      </c>
      <c r="D13" s="7">
        <v>1927542436.7293751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16012.997713647408</v>
      </c>
      <c r="C17" s="7">
        <v>18217.734116862084</v>
      </c>
      <c r="D17" s="7">
        <v>0.87897856072155522</v>
      </c>
      <c r="E17" s="7">
        <v>0.38040807538713373</v>
      </c>
      <c r="F17" s="7">
        <v>-19898.109707582789</v>
      </c>
      <c r="G17" s="7">
        <v>51924.105134877609</v>
      </c>
      <c r="H17" s="7">
        <v>-19898.109707582789</v>
      </c>
      <c r="I17" s="7">
        <v>51924.105134877609</v>
      </c>
    </row>
    <row r="18" spans="1:9">
      <c r="A18" s="7" t="s">
        <v>0</v>
      </c>
      <c r="B18" s="7">
        <v>4.7518953782852842</v>
      </c>
      <c r="C18" s="7">
        <v>0.57679853229225497</v>
      </c>
      <c r="D18" s="7">
        <v>8.2383971391202699</v>
      </c>
      <c r="E18" s="7">
        <v>1.7939258757824269E-14</v>
      </c>
      <c r="F18" s="7">
        <v>3.6149002986182155</v>
      </c>
      <c r="G18" s="7">
        <v>5.8888904579523533</v>
      </c>
      <c r="H18" s="7">
        <v>3.6149002986182155</v>
      </c>
      <c r="I18" s="7">
        <v>5.8888904579523533</v>
      </c>
    </row>
    <row r="19" spans="1:9">
      <c r="A19" s="7" t="s">
        <v>3</v>
      </c>
      <c r="B19" s="7">
        <v>9.7300058488619321</v>
      </c>
      <c r="C19" s="7">
        <v>2.5770237210715261</v>
      </c>
      <c r="D19" s="7">
        <v>3.7756757026730807</v>
      </c>
      <c r="E19" s="7">
        <v>2.0720909363025673E-4</v>
      </c>
      <c r="F19" s="7">
        <v>4.6501328481466189</v>
      </c>
      <c r="G19" s="7">
        <v>14.809878849577245</v>
      </c>
      <c r="H19" s="7">
        <v>4.6501328481466189</v>
      </c>
      <c r="I19" s="7">
        <v>14.809878849577245</v>
      </c>
    </row>
    <row r="20" spans="1:9">
      <c r="A20" s="7" t="s">
        <v>4</v>
      </c>
      <c r="B20" s="7">
        <v>5.5672993728108704</v>
      </c>
      <c r="C20" s="7">
        <v>6.8524539815055192</v>
      </c>
      <c r="D20" s="7">
        <v>0.81245337624109171</v>
      </c>
      <c r="E20" s="7">
        <v>0.41744290981790266</v>
      </c>
      <c r="F20" s="7">
        <v>-7.9403744932334099</v>
      </c>
      <c r="G20" s="7">
        <v>19.074973238855151</v>
      </c>
      <c r="H20" s="7">
        <v>-7.9403744932334099</v>
      </c>
      <c r="I20" s="7">
        <v>19.074973238855151</v>
      </c>
    </row>
    <row r="21" spans="1:9">
      <c r="A21" s="7" t="s">
        <v>60</v>
      </c>
      <c r="B21" s="7">
        <v>-1.312411546161786E-5</v>
      </c>
      <c r="C21" s="7">
        <v>6.0168746258675164E-6</v>
      </c>
      <c r="D21" s="7">
        <v>-2.1812180372173895</v>
      </c>
      <c r="E21" s="7">
        <v>3.0267262650696878E-2</v>
      </c>
      <c r="F21" s="7">
        <v>-2.4984681086494816E-5</v>
      </c>
      <c r="G21" s="7">
        <v>-1.263549836740902E-6</v>
      </c>
      <c r="H21" s="7">
        <v>-2.4984681086494816E-5</v>
      </c>
      <c r="I21" s="7">
        <v>-1.263549836740902E-6</v>
      </c>
    </row>
    <row r="22" spans="1:9" ht="15" thickBot="1">
      <c r="A22" s="8" t="s">
        <v>63</v>
      </c>
      <c r="B22" s="8">
        <v>-1.1119532308433619E-4</v>
      </c>
      <c r="C22" s="8">
        <v>5.7065227265395404E-4</v>
      </c>
      <c r="D22" s="8">
        <v>-0.19485653245048146</v>
      </c>
      <c r="E22" s="8">
        <v>0.8456918735461969</v>
      </c>
      <c r="F22" s="8">
        <v>-1.2360747911888505E-3</v>
      </c>
      <c r="G22" s="8">
        <v>1.0136841450201783E-3</v>
      </c>
      <c r="H22" s="8">
        <v>-1.2360747911888505E-3</v>
      </c>
      <c r="I22" s="8">
        <v>1.0136841450201783E-3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0.89357024210952329</v>
      </c>
    </row>
    <row r="5" spans="1:9">
      <c r="A5" s="7" t="s">
        <v>39</v>
      </c>
      <c r="B5" s="7">
        <v>0.79846777758367204</v>
      </c>
    </row>
    <row r="6" spans="1:9">
      <c r="A6" s="7" t="s">
        <v>40</v>
      </c>
      <c r="B6" s="7">
        <v>0.7937146591304568</v>
      </c>
    </row>
    <row r="7" spans="1:9">
      <c r="A7" s="7" t="s">
        <v>41</v>
      </c>
      <c r="B7" s="7">
        <v>43907.372525235049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5</v>
      </c>
      <c r="C12" s="7">
        <v>1619286368035.7832</v>
      </c>
      <c r="D12" s="7">
        <v>323857273607.15662</v>
      </c>
      <c r="E12" s="7">
        <v>167.98819247678179</v>
      </c>
      <c r="F12" s="7">
        <v>1.0899209791573323E-71</v>
      </c>
    </row>
    <row r="13" spans="1:9">
      <c r="A13" s="7" t="s">
        <v>45</v>
      </c>
      <c r="B13" s="7">
        <v>212</v>
      </c>
      <c r="C13" s="7">
        <v>408705760758.79034</v>
      </c>
      <c r="D13" s="7">
        <v>1927857362.0697658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18627.171937015108</v>
      </c>
      <c r="C17" s="7">
        <v>11603.93833860825</v>
      </c>
      <c r="D17" s="7">
        <v>1.6052456841346168</v>
      </c>
      <c r="E17" s="7">
        <v>0.10992831112303007</v>
      </c>
      <c r="F17" s="7">
        <v>-4246.708728604608</v>
      </c>
      <c r="G17" s="7">
        <v>41501.052602634823</v>
      </c>
      <c r="H17" s="7">
        <v>-4246.708728604608</v>
      </c>
      <c r="I17" s="7">
        <v>41501.052602634823</v>
      </c>
    </row>
    <row r="18" spans="1:9">
      <c r="A18" s="7" t="s">
        <v>0</v>
      </c>
      <c r="B18" s="7">
        <v>4.7718224867290013</v>
      </c>
      <c r="C18" s="7">
        <v>0.5671944978802087</v>
      </c>
      <c r="D18" s="7">
        <v>8.413026756364637</v>
      </c>
      <c r="E18" s="7">
        <v>5.9067671168892557E-15</v>
      </c>
      <c r="F18" s="7">
        <v>3.6537590430840523</v>
      </c>
      <c r="G18" s="7">
        <v>5.8898859303739499</v>
      </c>
      <c r="H18" s="7">
        <v>3.6537590430840523</v>
      </c>
      <c r="I18" s="7">
        <v>5.8898859303739499</v>
      </c>
    </row>
    <row r="19" spans="1:9">
      <c r="A19" s="7" t="s">
        <v>3</v>
      </c>
      <c r="B19" s="7">
        <v>10.207375381095574</v>
      </c>
      <c r="C19" s="7">
        <v>7.6032996311518737</v>
      </c>
      <c r="D19" s="7">
        <v>1.3424928486672294</v>
      </c>
      <c r="E19" s="7">
        <v>0.18087201062530112</v>
      </c>
      <c r="F19" s="7">
        <v>-4.7803782033290716</v>
      </c>
      <c r="G19" s="7">
        <v>25.195128965520219</v>
      </c>
      <c r="H19" s="7">
        <v>-4.7803782033290716</v>
      </c>
      <c r="I19" s="7">
        <v>25.195128965520219</v>
      </c>
    </row>
    <row r="20" spans="1:9">
      <c r="A20" s="7" t="s">
        <v>4</v>
      </c>
      <c r="B20" s="7">
        <v>4.26126932682432</v>
      </c>
      <c r="C20" s="7">
        <v>1.914181717928392</v>
      </c>
      <c r="D20" s="7">
        <v>2.2261571547324386</v>
      </c>
      <c r="E20" s="7">
        <v>2.7056198954415689E-2</v>
      </c>
      <c r="F20" s="7">
        <v>0.48800175933598533</v>
      </c>
      <c r="G20" s="7">
        <v>8.0345368943126552</v>
      </c>
      <c r="H20" s="7">
        <v>0.48800175933598533</v>
      </c>
      <c r="I20" s="7">
        <v>8.0345368943126552</v>
      </c>
    </row>
    <row r="21" spans="1:9">
      <c r="A21" s="7" t="s">
        <v>60</v>
      </c>
      <c r="B21" s="7">
        <v>-1.3438532918335196E-5</v>
      </c>
      <c r="C21" s="7">
        <v>5.7791537612359876E-6</v>
      </c>
      <c r="D21" s="7">
        <v>-2.3253461447028703</v>
      </c>
      <c r="E21" s="7">
        <v>2.0998996693180744E-2</v>
      </c>
      <c r="F21" s="7">
        <v>-2.4830499130612924E-5</v>
      </c>
      <c r="G21" s="7">
        <v>-2.0465667060574697E-6</v>
      </c>
      <c r="H21" s="7">
        <v>-2.4830499130612924E-5</v>
      </c>
      <c r="I21" s="7">
        <v>-2.0465667060574697E-6</v>
      </c>
    </row>
    <row r="22" spans="1:9" ht="15" thickBot="1">
      <c r="A22" s="8" t="s">
        <v>61</v>
      </c>
      <c r="B22" s="8">
        <v>-7.4632084516426152E-5</v>
      </c>
      <c r="C22" s="8">
        <v>1.2930050111681476E-3</v>
      </c>
      <c r="D22" s="8">
        <v>-5.7719872600494271E-2</v>
      </c>
      <c r="E22" s="8">
        <v>0.95402613066538122</v>
      </c>
      <c r="F22" s="8">
        <v>-2.6234255598405793E-3</v>
      </c>
      <c r="G22" s="8">
        <v>2.4741613908077268E-3</v>
      </c>
      <c r="H22" s="8">
        <v>-2.6234255598405793E-3</v>
      </c>
      <c r="I22" s="8">
        <v>2.4741613908077268E-3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workbookViewId="0">
      <selection activeCell="J11" sqref="J11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0.89358894207969652</v>
      </c>
    </row>
    <row r="5" spans="1:9">
      <c r="A5" s="7" t="s">
        <v>39</v>
      </c>
      <c r="B5" s="7">
        <v>0.79850119740711123</v>
      </c>
    </row>
    <row r="6" spans="1:9">
      <c r="A6" s="7" t="s">
        <v>40</v>
      </c>
      <c r="B6" s="7">
        <v>0.79277137363669736</v>
      </c>
    </row>
    <row r="7" spans="1:9">
      <c r="A7" s="7" t="s">
        <v>41</v>
      </c>
      <c r="B7" s="7">
        <v>44007.646126893727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6</v>
      </c>
      <c r="C12" s="7">
        <v>1619354143174.6636</v>
      </c>
      <c r="D12" s="7">
        <v>269892357195.77725</v>
      </c>
      <c r="E12" s="7">
        <v>139.35877077584729</v>
      </c>
      <c r="F12" s="7">
        <v>1.4624559577639466E-70</v>
      </c>
    </row>
    <row r="13" spans="1:9">
      <c r="A13" s="7" t="s">
        <v>45</v>
      </c>
      <c r="B13" s="7">
        <v>211</v>
      </c>
      <c r="C13" s="7">
        <v>408637985619.90991</v>
      </c>
      <c r="D13" s="7">
        <v>1936672917.6299047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15978.289576910644</v>
      </c>
      <c r="C17" s="7">
        <v>18323.909086941385</v>
      </c>
      <c r="D17" s="7">
        <v>0.87199131479524983</v>
      </c>
      <c r="E17" s="7">
        <v>0.38420425858401008</v>
      </c>
      <c r="F17" s="7">
        <v>-20143.094527040052</v>
      </c>
      <c r="G17" s="7">
        <v>52099.673680861335</v>
      </c>
      <c r="H17" s="7">
        <v>-20143.094527040052</v>
      </c>
      <c r="I17" s="7">
        <v>52099.673680861335</v>
      </c>
    </row>
    <row r="18" spans="1:9">
      <c r="A18" s="7" t="s">
        <v>0</v>
      </c>
      <c r="B18" s="7">
        <v>4.751118034982917</v>
      </c>
      <c r="C18" s="7">
        <v>0.57916322837583856</v>
      </c>
      <c r="D18" s="7">
        <v>8.2034179695879388</v>
      </c>
      <c r="E18" s="7">
        <v>2.2786154518322735E-14</v>
      </c>
      <c r="F18" s="7">
        <v>3.6094305636148869</v>
      </c>
      <c r="G18" s="7">
        <v>5.892805506350947</v>
      </c>
      <c r="H18" s="7">
        <v>3.6094305636148869</v>
      </c>
      <c r="I18" s="7">
        <v>5.892805506350947</v>
      </c>
    </row>
    <row r="19" spans="1:9">
      <c r="A19" s="7" t="s">
        <v>3</v>
      </c>
      <c r="B19" s="7">
        <v>9.8981104408251905</v>
      </c>
      <c r="C19" s="7">
        <v>7.7979204264994459</v>
      </c>
      <c r="D19" s="7">
        <v>1.2693269358313441</v>
      </c>
      <c r="E19" s="7">
        <v>0.20572276779091889</v>
      </c>
      <c r="F19" s="7">
        <v>-5.4737011961559201</v>
      </c>
      <c r="G19" s="7">
        <v>25.269922077806299</v>
      </c>
      <c r="H19" s="7">
        <v>-5.4737011961559201</v>
      </c>
      <c r="I19" s="7">
        <v>25.269922077806299</v>
      </c>
    </row>
    <row r="20" spans="1:9">
      <c r="A20" s="7" t="s">
        <v>4</v>
      </c>
      <c r="B20" s="7">
        <v>5.5307775904731447</v>
      </c>
      <c r="C20" s="7">
        <v>7.0522152979717116</v>
      </c>
      <c r="D20" s="7">
        <v>0.7842610239173855</v>
      </c>
      <c r="E20" s="7">
        <v>0.43376651633842711</v>
      </c>
      <c r="F20" s="7">
        <v>-8.371047416033349</v>
      </c>
      <c r="G20" s="7">
        <v>19.432602596979638</v>
      </c>
      <c r="H20" s="7">
        <v>-8.371047416033349</v>
      </c>
      <c r="I20" s="7">
        <v>19.432602596979638</v>
      </c>
    </row>
    <row r="21" spans="1:9">
      <c r="A21" s="7" t="s">
        <v>60</v>
      </c>
      <c r="B21" s="7">
        <v>-1.3114486224225011E-5</v>
      </c>
      <c r="C21" s="7">
        <v>6.0458160797754284E-6</v>
      </c>
      <c r="D21" s="7">
        <v>-2.1691837877926563</v>
      </c>
      <c r="E21" s="7">
        <v>3.1186521953991554E-2</v>
      </c>
      <c r="F21" s="7">
        <v>-2.5032425993694916E-5</v>
      </c>
      <c r="G21" s="7">
        <v>-1.1965464547551083E-6</v>
      </c>
      <c r="H21" s="7">
        <v>-2.5032425993694916E-5</v>
      </c>
      <c r="I21" s="7">
        <v>-1.1965464547551083E-6</v>
      </c>
    </row>
    <row r="22" spans="1:9">
      <c r="A22" s="7" t="s">
        <v>61</v>
      </c>
      <c r="B22" s="7">
        <v>-3.0104776726281067E-5</v>
      </c>
      <c r="C22" s="7">
        <v>1.3176349961973707E-3</v>
      </c>
      <c r="D22" s="7">
        <v>-2.2847584356185103E-2</v>
      </c>
      <c r="E22" s="7">
        <v>0.98179344305804483</v>
      </c>
      <c r="F22" s="7">
        <v>-2.6275199669365122E-3</v>
      </c>
      <c r="G22" s="7">
        <v>2.5673104134839504E-3</v>
      </c>
      <c r="H22" s="7">
        <v>-2.6275199669365122E-3</v>
      </c>
      <c r="I22" s="7">
        <v>2.5673104134839504E-3</v>
      </c>
    </row>
    <row r="23" spans="1:9" ht="15" thickBot="1">
      <c r="A23" s="8" t="s">
        <v>63</v>
      </c>
      <c r="B23" s="8">
        <v>-1.0879501782403441E-4</v>
      </c>
      <c r="C23" s="8">
        <v>5.8156992464965067E-4</v>
      </c>
      <c r="D23" s="8">
        <v>-0.18707125869614852</v>
      </c>
      <c r="E23" s="8">
        <v>0.85178451660464627</v>
      </c>
      <c r="F23" s="8">
        <v>-1.255226738910585E-3</v>
      </c>
      <c r="G23" s="8">
        <v>1.0376367032625161E-3</v>
      </c>
      <c r="H23" s="8">
        <v>-1.255226738910585E-3</v>
      </c>
      <c r="I23" s="8">
        <v>1.0376367032625161E-3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0.89368798543239725</v>
      </c>
    </row>
    <row r="5" spans="1:9">
      <c r="A5" s="7" t="s">
        <v>39</v>
      </c>
      <c r="B5" s="7">
        <v>0.79867821530621663</v>
      </c>
    </row>
    <row r="6" spans="1:9">
      <c r="A6" s="7" t="s">
        <v>40</v>
      </c>
      <c r="B6" s="7">
        <v>0.79393006000683497</v>
      </c>
    </row>
    <row r="7" spans="1:9">
      <c r="A7" s="7" t="s">
        <v>41</v>
      </c>
      <c r="B7" s="7">
        <v>43884.442740999431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5</v>
      </c>
      <c r="C12" s="7">
        <v>1619713134080.7051</v>
      </c>
      <c r="D12" s="7">
        <v>323942626816.14099</v>
      </c>
      <c r="E12" s="7">
        <v>168.20810713799168</v>
      </c>
      <c r="F12" s="7">
        <v>9.7604556801192668E-72</v>
      </c>
    </row>
    <row r="13" spans="1:9">
      <c r="A13" s="7" t="s">
        <v>45</v>
      </c>
      <c r="B13" s="7">
        <v>212</v>
      </c>
      <c r="C13" s="7">
        <v>408278994713.86829</v>
      </c>
      <c r="D13" s="7">
        <v>1925844314.6880579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2027992128794.5732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17761.471535916229</v>
      </c>
      <c r="C17" s="7">
        <v>11083.631038810137</v>
      </c>
      <c r="D17" s="7">
        <v>1.6024957411269962</v>
      </c>
      <c r="E17" s="7">
        <v>0.11053491444246114</v>
      </c>
      <c r="F17" s="7">
        <v>-4086.7705285886623</v>
      </c>
      <c r="G17" s="7">
        <v>39609.713600421121</v>
      </c>
      <c r="H17" s="7">
        <v>-4086.7705285886623</v>
      </c>
      <c r="I17" s="7">
        <v>39609.713600421121</v>
      </c>
    </row>
    <row r="18" spans="1:9">
      <c r="A18" s="7" t="s">
        <v>0</v>
      </c>
      <c r="B18" s="7">
        <v>4.742743657163885</v>
      </c>
      <c r="C18" s="7">
        <v>0.56832719115308195</v>
      </c>
      <c r="D18" s="7">
        <v>8.3450936907335151</v>
      </c>
      <c r="E18" s="7">
        <v>9.1118707059751947E-15</v>
      </c>
      <c r="F18" s="7">
        <v>3.6224474292694495</v>
      </c>
      <c r="G18" s="7">
        <v>5.8630398850583205</v>
      </c>
      <c r="H18" s="7">
        <v>3.6224474292694495</v>
      </c>
      <c r="I18" s="7">
        <v>5.8630398850583205</v>
      </c>
    </row>
    <row r="19" spans="1:9">
      <c r="A19" s="7" t="s">
        <v>3</v>
      </c>
      <c r="B19" s="7">
        <v>11.705272201691395</v>
      </c>
      <c r="C19" s="7">
        <v>4.7714098518586452</v>
      </c>
      <c r="D19" s="7">
        <v>2.4532103854234504</v>
      </c>
      <c r="E19" s="7">
        <v>1.4966097902004764E-2</v>
      </c>
      <c r="F19" s="7">
        <v>2.2997879278696693</v>
      </c>
      <c r="G19" s="7">
        <v>21.110756475513121</v>
      </c>
      <c r="H19" s="7">
        <v>2.2997879278696693</v>
      </c>
      <c r="I19" s="7">
        <v>21.110756475513121</v>
      </c>
    </row>
    <row r="20" spans="1:9">
      <c r="A20" s="7" t="s">
        <v>4</v>
      </c>
      <c r="B20" s="7">
        <v>4.1226470535378974</v>
      </c>
      <c r="C20" s="7">
        <v>1.9057774755267405</v>
      </c>
      <c r="D20" s="7">
        <v>2.1632363203361051</v>
      </c>
      <c r="E20" s="7">
        <v>3.1641658332135919E-2</v>
      </c>
      <c r="F20" s="7">
        <v>0.36594607164927329</v>
      </c>
      <c r="G20" s="7">
        <v>7.8793480354265215</v>
      </c>
      <c r="H20" s="7">
        <v>0.36594607164927329</v>
      </c>
      <c r="I20" s="7">
        <v>7.8793480354265215</v>
      </c>
    </row>
    <row r="21" spans="1:9">
      <c r="A21" s="7" t="s">
        <v>60</v>
      </c>
      <c r="B21" s="7">
        <v>-1.3065340858737038E-5</v>
      </c>
      <c r="C21" s="7">
        <v>5.7947767155567161E-6</v>
      </c>
      <c r="D21" s="7">
        <v>-2.2546754603437424</v>
      </c>
      <c r="E21" s="7">
        <v>2.5175722779724921E-2</v>
      </c>
      <c r="F21" s="7">
        <v>-2.4488103304358042E-5</v>
      </c>
      <c r="G21" s="7">
        <v>-1.6425784131160339E-6</v>
      </c>
      <c r="H21" s="7">
        <v>-2.4488103304358042E-5</v>
      </c>
      <c r="I21" s="7">
        <v>-1.6425784131160339E-6</v>
      </c>
    </row>
    <row r="22" spans="1:9" ht="15" thickBot="1">
      <c r="A22" s="8" t="s">
        <v>66</v>
      </c>
      <c r="B22" s="8">
        <v>-6.597781978887478E-8</v>
      </c>
      <c r="C22" s="8">
        <v>1.3911370167226179E-7</v>
      </c>
      <c r="D22" s="8">
        <v>-0.47427262013566457</v>
      </c>
      <c r="E22" s="8">
        <v>0.63579363752253149</v>
      </c>
      <c r="F22" s="8">
        <v>-3.4020111520373033E-7</v>
      </c>
      <c r="G22" s="8">
        <v>2.082454756259808E-7</v>
      </c>
      <c r="H22" s="8">
        <v>-3.4020111520373033E-7</v>
      </c>
      <c r="I22" s="8">
        <v>2.082454756259808E-7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2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0.89369474811616467</v>
      </c>
    </row>
    <row r="5" spans="1:9">
      <c r="A5" s="7" t="s">
        <v>39</v>
      </c>
      <c r="B5" s="7">
        <v>0.79869030281041498</v>
      </c>
    </row>
    <row r="6" spans="1:9">
      <c r="A6" s="7" t="s">
        <v>40</v>
      </c>
      <c r="B6" s="7">
        <v>0.79394243259367947</v>
      </c>
    </row>
    <row r="7" spans="1:9">
      <c r="A7" s="7" t="s">
        <v>41</v>
      </c>
      <c r="B7" s="7">
        <v>43883.125294531543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5</v>
      </c>
      <c r="C12" s="7">
        <v>1619737647444.0759</v>
      </c>
      <c r="D12" s="7">
        <v>323947529488.81519</v>
      </c>
      <c r="E12" s="7">
        <v>168.22075295890718</v>
      </c>
      <c r="F12" s="7">
        <v>9.6987500554525383E-72</v>
      </c>
    </row>
    <row r="13" spans="1:9">
      <c r="A13" s="7" t="s">
        <v>45</v>
      </c>
      <c r="B13" s="7">
        <v>212</v>
      </c>
      <c r="C13" s="7">
        <v>408254481350.4975</v>
      </c>
      <c r="D13" s="7">
        <v>1925728685.6155543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14152.861928410606</v>
      </c>
      <c r="C17" s="7">
        <v>14521.506162589578</v>
      </c>
      <c r="D17" s="7">
        <v>0.97461391194195302</v>
      </c>
      <c r="E17" s="7">
        <v>0.33086256172454953</v>
      </c>
      <c r="F17" s="7">
        <v>-14472.178067103039</v>
      </c>
      <c r="G17" s="7">
        <v>42777.901923924248</v>
      </c>
      <c r="H17" s="7">
        <v>-14472.178067103039</v>
      </c>
      <c r="I17" s="7">
        <v>42777.901923924248</v>
      </c>
    </row>
    <row r="18" spans="1:9">
      <c r="A18" s="7" t="s">
        <v>0</v>
      </c>
      <c r="B18" s="7">
        <v>4.7086917233800749</v>
      </c>
      <c r="C18" s="7">
        <v>0.5803843366730087</v>
      </c>
      <c r="D18" s="7">
        <v>8.1130578925891559</v>
      </c>
      <c r="E18" s="7">
        <v>3.9539913936635831E-14</v>
      </c>
      <c r="F18" s="7">
        <v>3.5646282451139961</v>
      </c>
      <c r="G18" s="7">
        <v>5.8527552016461541</v>
      </c>
      <c r="H18" s="7">
        <v>3.5646282451139961</v>
      </c>
      <c r="I18" s="7">
        <v>5.8527552016461541</v>
      </c>
    </row>
    <row r="19" spans="1:9">
      <c r="A19" s="7" t="s">
        <v>3</v>
      </c>
      <c r="B19" s="7">
        <v>9.6419475316644796</v>
      </c>
      <c r="C19" s="7">
        <v>2.5737517164554009</v>
      </c>
      <c r="D19" s="7">
        <v>3.7462617198147905</v>
      </c>
      <c r="E19" s="7">
        <v>2.3134943606303355E-4</v>
      </c>
      <c r="F19" s="7">
        <v>4.5685243621136067</v>
      </c>
      <c r="G19" s="7">
        <v>14.715370701215353</v>
      </c>
      <c r="H19" s="7">
        <v>4.5685243621136067</v>
      </c>
      <c r="I19" s="7">
        <v>14.715370701215353</v>
      </c>
    </row>
    <row r="20" spans="1:9">
      <c r="A20" s="7" t="s">
        <v>4</v>
      </c>
      <c r="B20" s="7">
        <v>6.0023794505806407</v>
      </c>
      <c r="C20" s="7">
        <v>3.994276096029584</v>
      </c>
      <c r="D20" s="7">
        <v>1.5027452550281051</v>
      </c>
      <c r="E20" s="7">
        <v>0.13439285899351147</v>
      </c>
      <c r="F20" s="7">
        <v>-1.8712055427257068</v>
      </c>
      <c r="G20" s="7">
        <v>13.875964443886989</v>
      </c>
      <c r="H20" s="7">
        <v>-1.8712055427257068</v>
      </c>
      <c r="I20" s="7">
        <v>13.875964443886989</v>
      </c>
    </row>
    <row r="21" spans="1:9">
      <c r="A21" s="7" t="s">
        <v>60</v>
      </c>
      <c r="B21" s="7">
        <v>-1.2513802849747421E-5</v>
      </c>
      <c r="C21" s="7">
        <v>6.0619806227626489E-6</v>
      </c>
      <c r="D21" s="7">
        <v>-2.0643092791749074</v>
      </c>
      <c r="E21" s="7">
        <v>4.0205597521164475E-2</v>
      </c>
      <c r="F21" s="7">
        <v>-2.4463282183071993E-5</v>
      </c>
      <c r="G21" s="7">
        <v>-5.6432351642285071E-7</v>
      </c>
      <c r="H21" s="7">
        <v>-2.4463282183071993E-5</v>
      </c>
      <c r="I21" s="7">
        <v>-5.6432351642285071E-7</v>
      </c>
    </row>
    <row r="22" spans="1:9" ht="15" thickBot="1">
      <c r="A22" s="8" t="s">
        <v>68</v>
      </c>
      <c r="B22" s="8">
        <v>-1.5279058075129244E-8</v>
      </c>
      <c r="C22" s="8">
        <v>3.1340261725163582E-8</v>
      </c>
      <c r="D22" s="8">
        <v>-0.4875217127769374</v>
      </c>
      <c r="E22" s="8">
        <v>0.62639241530450218</v>
      </c>
      <c r="F22" s="8">
        <v>-7.7057515165470959E-8</v>
      </c>
      <c r="G22" s="8">
        <v>4.6499399015212477E-8</v>
      </c>
      <c r="H22" s="8">
        <v>-7.7057515165470959E-8</v>
      </c>
      <c r="I22" s="8">
        <v>4.6499399015212477E-8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3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0.89622911284793672</v>
      </c>
    </row>
    <row r="5" spans="1:9">
      <c r="A5" s="7" t="s">
        <v>39</v>
      </c>
      <c r="B5" s="7">
        <v>0.80322662271619971</v>
      </c>
    </row>
    <row r="6" spans="1:9">
      <c r="A6" s="7" t="s">
        <v>40</v>
      </c>
      <c r="B6" s="7">
        <v>0.79763117122945659</v>
      </c>
    </row>
    <row r="7" spans="1:9">
      <c r="A7" s="7" t="s">
        <v>41</v>
      </c>
      <c r="B7" s="7">
        <v>43488.5647271536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6</v>
      </c>
      <c r="C12" s="7">
        <v>1628937268506.7017</v>
      </c>
      <c r="D12" s="7">
        <v>271489544751.11694</v>
      </c>
      <c r="E12" s="7">
        <v>143.5499216853585</v>
      </c>
      <c r="F12" s="7">
        <v>1.2101829616966278E-71</v>
      </c>
    </row>
    <row r="13" spans="1:9">
      <c r="A13" s="7" t="s">
        <v>45</v>
      </c>
      <c r="B13" s="7">
        <v>211</v>
      </c>
      <c r="C13" s="7">
        <v>399054860287.87183</v>
      </c>
      <c r="D13" s="7">
        <v>1891255262.0278285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37707.056500733786</v>
      </c>
      <c r="C17" s="7">
        <v>17920.792631323297</v>
      </c>
      <c r="D17" s="7">
        <v>2.104095353172414</v>
      </c>
      <c r="E17" s="7">
        <v>3.6554276189547701E-2</v>
      </c>
      <c r="F17" s="7">
        <v>2380.3240326821833</v>
      </c>
      <c r="G17" s="7">
        <v>73033.788968785389</v>
      </c>
      <c r="H17" s="7">
        <v>2380.3240326821833</v>
      </c>
      <c r="I17" s="7">
        <v>73033.788968785389</v>
      </c>
    </row>
    <row r="18" spans="1:9">
      <c r="A18" s="7" t="s">
        <v>0</v>
      </c>
      <c r="B18" s="7">
        <v>2.3006777043677635</v>
      </c>
      <c r="C18" s="7">
        <v>1.2340487238831397</v>
      </c>
      <c r="D18" s="7">
        <v>1.8643329552890733</v>
      </c>
      <c r="E18" s="7">
        <v>6.3663734299294616E-2</v>
      </c>
      <c r="F18" s="7">
        <v>-0.1319663208167996</v>
      </c>
      <c r="G18" s="7">
        <v>4.7333217295523262</v>
      </c>
      <c r="H18" s="7">
        <v>-0.1319663208167996</v>
      </c>
      <c r="I18" s="7">
        <v>4.7333217295523262</v>
      </c>
    </row>
    <row r="19" spans="1:9">
      <c r="A19" s="7" t="s">
        <v>3</v>
      </c>
      <c r="B19" s="7">
        <v>9.7148033294805778</v>
      </c>
      <c r="C19" s="7">
        <v>2.5508245840757731</v>
      </c>
      <c r="D19" s="7">
        <v>3.8084952568388748</v>
      </c>
      <c r="E19" s="7">
        <v>1.8331616702561523E-4</v>
      </c>
      <c r="F19" s="7">
        <v>4.6864377036728859</v>
      </c>
      <c r="G19" s="7">
        <v>14.743168955288269</v>
      </c>
      <c r="H19" s="7">
        <v>4.6864377036728859</v>
      </c>
      <c r="I19" s="7">
        <v>14.743168955288269</v>
      </c>
    </row>
    <row r="20" spans="1:9">
      <c r="A20" s="7" t="s">
        <v>4</v>
      </c>
      <c r="B20" s="7">
        <v>6.5918854489470249</v>
      </c>
      <c r="C20" s="7">
        <v>3.9673768727870256</v>
      </c>
      <c r="D20" s="7">
        <v>1.6615223761982358</v>
      </c>
      <c r="E20" s="7">
        <v>9.8093603748366912E-2</v>
      </c>
      <c r="F20" s="7">
        <v>-1.2288881221901162</v>
      </c>
      <c r="G20" s="7">
        <v>14.412659020084167</v>
      </c>
      <c r="H20" s="7">
        <v>-1.2288881221901162</v>
      </c>
      <c r="I20" s="7">
        <v>14.412659020084167</v>
      </c>
    </row>
    <row r="21" spans="1:9">
      <c r="A21" s="7" t="s">
        <v>60</v>
      </c>
      <c r="B21" s="7">
        <v>4.3488602025790162E-5</v>
      </c>
      <c r="C21" s="7">
        <v>2.6092969520978234E-5</v>
      </c>
      <c r="D21" s="7">
        <v>1.6666789109927171</v>
      </c>
      <c r="E21" s="7">
        <v>9.7061950136434691E-2</v>
      </c>
      <c r="F21" s="7">
        <v>-7.9477028591549414E-6</v>
      </c>
      <c r="G21" s="7">
        <v>9.4924906910735259E-5</v>
      </c>
      <c r="H21" s="7">
        <v>-7.9477028591549414E-6</v>
      </c>
      <c r="I21" s="7">
        <v>9.4924906910735259E-5</v>
      </c>
    </row>
    <row r="22" spans="1:9">
      <c r="A22" s="7" t="s">
        <v>65</v>
      </c>
      <c r="B22" s="7">
        <v>-3.6114819704935632E-10</v>
      </c>
      <c r="C22" s="7">
        <v>1.6374783110442793E-10</v>
      </c>
      <c r="D22" s="7">
        <v>-2.2055143852197898</v>
      </c>
      <c r="E22" s="7">
        <v>2.8497582834710627E-2</v>
      </c>
      <c r="F22" s="7">
        <v>-6.8393948985963843E-10</v>
      </c>
      <c r="G22" s="7">
        <v>-3.8356904239074151E-11</v>
      </c>
      <c r="H22" s="7">
        <v>-6.8393948985963843E-10</v>
      </c>
      <c r="I22" s="7">
        <v>-3.8356904239074151E-11</v>
      </c>
    </row>
    <row r="23" spans="1:9" ht="15" thickBot="1">
      <c r="A23" s="8" t="s">
        <v>68</v>
      </c>
      <c r="B23" s="8">
        <v>-1.8474481882761305E-8</v>
      </c>
      <c r="C23" s="8">
        <v>3.109225081148867E-8</v>
      </c>
      <c r="D23" s="8">
        <v>-0.5941828397941179</v>
      </c>
      <c r="E23" s="8">
        <v>0.55302635739719352</v>
      </c>
      <c r="F23" s="8">
        <v>-7.9765723227029581E-8</v>
      </c>
      <c r="G23" s="8">
        <v>4.2816759461506965E-8</v>
      </c>
      <c r="H23" s="8">
        <v>-7.9765723227029581E-8</v>
      </c>
      <c r="I23" s="8">
        <v>4.2816759461506965E-8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3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0.89626542331586345</v>
      </c>
    </row>
    <row r="5" spans="1:9">
      <c r="A5" s="7" t="s">
        <v>39</v>
      </c>
      <c r="B5" s="7">
        <v>0.80329170903156399</v>
      </c>
    </row>
    <row r="6" spans="1:9">
      <c r="A6" s="7" t="s">
        <v>40</v>
      </c>
      <c r="B6" s="7">
        <v>0.79769810834051846</v>
      </c>
    </row>
    <row r="7" spans="1:9">
      <c r="A7" s="7" t="s">
        <v>41</v>
      </c>
      <c r="B7" s="7">
        <v>43481.371821850917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6</v>
      </c>
      <c r="C12" s="7">
        <v>1629069263041.9526</v>
      </c>
      <c r="D12" s="7">
        <v>271511543840.32544</v>
      </c>
      <c r="E12" s="7">
        <v>143.60905495408372</v>
      </c>
      <c r="F12" s="7">
        <v>1.1688611892998334E-71</v>
      </c>
    </row>
    <row r="13" spans="1:9">
      <c r="A13" s="7" t="s">
        <v>45</v>
      </c>
      <c r="B13" s="7">
        <v>211</v>
      </c>
      <c r="C13" s="7">
        <v>398922865752.62073</v>
      </c>
      <c r="D13" s="7">
        <v>1890629695.5100508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2027992128794.5732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42156.813145850429</v>
      </c>
      <c r="C17" s="7">
        <v>15519.709565842935</v>
      </c>
      <c r="D17" s="7">
        <v>2.7163403391666967</v>
      </c>
      <c r="E17" s="7">
        <v>7.1483497495372578E-3</v>
      </c>
      <c r="F17" s="7">
        <v>11563.26524350464</v>
      </c>
      <c r="G17" s="7">
        <v>72750.36104819621</v>
      </c>
      <c r="H17" s="7">
        <v>11563.26524350464</v>
      </c>
      <c r="I17" s="7">
        <v>72750.36104819621</v>
      </c>
    </row>
    <row r="18" spans="1:9">
      <c r="A18" s="7" t="s">
        <v>0</v>
      </c>
      <c r="B18" s="7">
        <v>2.3118991339340003</v>
      </c>
      <c r="C18" s="7">
        <v>1.2292866115574994</v>
      </c>
      <c r="D18" s="7">
        <v>1.8806835706156733</v>
      </c>
      <c r="E18" s="7">
        <v>6.1392462775015304E-2</v>
      </c>
      <c r="F18" s="7">
        <v>-0.11135747900984194</v>
      </c>
      <c r="G18" s="7">
        <v>4.735155746877842</v>
      </c>
      <c r="H18" s="7">
        <v>-0.11135747900984194</v>
      </c>
      <c r="I18" s="7">
        <v>4.735155746877842</v>
      </c>
    </row>
    <row r="19" spans="1:9">
      <c r="A19" s="7" t="s">
        <v>3</v>
      </c>
      <c r="B19" s="7">
        <v>12.504509361399789</v>
      </c>
      <c r="C19" s="7">
        <v>4.7412175067298801</v>
      </c>
      <c r="D19" s="7">
        <v>2.6374047053632048</v>
      </c>
      <c r="E19" s="7">
        <v>8.9762153746282842E-3</v>
      </c>
      <c r="F19" s="7">
        <v>3.1582864638514607</v>
      </c>
      <c r="G19" s="7">
        <v>21.850732258948117</v>
      </c>
      <c r="H19" s="7">
        <v>3.1582864638514607</v>
      </c>
      <c r="I19" s="7">
        <v>21.850732258948117</v>
      </c>
    </row>
    <row r="20" spans="1:9">
      <c r="A20" s="7" t="s">
        <v>4</v>
      </c>
      <c r="B20" s="7">
        <v>4.2967703847215706</v>
      </c>
      <c r="C20" s="7">
        <v>1.889894840267331</v>
      </c>
      <c r="D20" s="7">
        <v>2.2735499844603946</v>
      </c>
      <c r="E20" s="7">
        <v>2.3999513012985085E-2</v>
      </c>
      <c r="F20" s="7">
        <v>0.57127616198387932</v>
      </c>
      <c r="G20" s="7">
        <v>8.0222646074592614</v>
      </c>
      <c r="H20" s="7">
        <v>0.57127616198387932</v>
      </c>
      <c r="I20" s="7">
        <v>8.0222646074592614</v>
      </c>
    </row>
    <row r="21" spans="1:9">
      <c r="A21" s="7" t="s">
        <v>60</v>
      </c>
      <c r="B21" s="7">
        <v>4.3468271579123506E-5</v>
      </c>
      <c r="C21" s="7">
        <v>2.6053860729946236E-5</v>
      </c>
      <c r="D21" s="7">
        <v>1.6684003967658119</v>
      </c>
      <c r="E21" s="7">
        <v>9.6719488978559517E-2</v>
      </c>
      <c r="F21" s="7">
        <v>-7.8909392940577767E-6</v>
      </c>
      <c r="G21" s="7">
        <v>9.4827482452304796E-5</v>
      </c>
      <c r="H21" s="7">
        <v>-7.8909392940577767E-6</v>
      </c>
      <c r="I21" s="7">
        <v>9.4827482452304796E-5</v>
      </c>
    </row>
    <row r="22" spans="1:9">
      <c r="A22" s="7" t="s">
        <v>65</v>
      </c>
      <c r="B22" s="7">
        <v>-3.6491878210218612E-10</v>
      </c>
      <c r="C22" s="7">
        <v>1.6404060206080158E-10</v>
      </c>
      <c r="D22" s="7">
        <v>-2.2245637818796173</v>
      </c>
      <c r="E22" s="7">
        <v>2.7169798375447283E-2</v>
      </c>
      <c r="F22" s="7">
        <v>-6.8828720570478328E-10</v>
      </c>
      <c r="G22" s="7">
        <v>-4.1550358499589006E-11</v>
      </c>
      <c r="H22" s="7">
        <v>-6.8828720570478328E-10</v>
      </c>
      <c r="I22" s="7">
        <v>-4.1550358499589006E-11</v>
      </c>
    </row>
    <row r="23" spans="1:9" ht="15" thickBot="1">
      <c r="A23" s="8" t="s">
        <v>66</v>
      </c>
      <c r="B23" s="8">
        <v>-8.9917616731680223E-8</v>
      </c>
      <c r="C23" s="8">
        <v>1.3825543419384159E-7</v>
      </c>
      <c r="D23" s="8">
        <v>-0.65037311014922472</v>
      </c>
      <c r="E23" s="8">
        <v>0.51615876316618303</v>
      </c>
      <c r="F23" s="8">
        <v>-3.6245649581470357E-7</v>
      </c>
      <c r="G23" s="8">
        <v>1.8262126235134313E-7</v>
      </c>
      <c r="H23" s="8">
        <v>-3.6245649581470357E-7</v>
      </c>
      <c r="I23" s="8">
        <v>1.8262126235134313E-7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4"/>
  <sheetViews>
    <sheetView workbookViewId="0">
      <selection activeCell="B6" sqref="B6"/>
    </sheetView>
  </sheetViews>
  <sheetFormatPr defaultRowHeight="14.4"/>
  <sheetData>
    <row r="1" spans="1:9">
      <c r="A1" t="s">
        <v>36</v>
      </c>
    </row>
    <row r="2" spans="1:9" ht="15" thickBot="1"/>
    <row r="3" spans="1:9">
      <c r="A3" s="10" t="s">
        <v>37</v>
      </c>
      <c r="B3" s="10"/>
    </row>
    <row r="4" spans="1:9">
      <c r="A4" s="7" t="s">
        <v>38</v>
      </c>
      <c r="B4" s="7">
        <v>0.89640527148247529</v>
      </c>
    </row>
    <row r="5" spans="1:9">
      <c r="A5" s="7" t="s">
        <v>39</v>
      </c>
      <c r="B5" s="7">
        <v>0.80354241074157029</v>
      </c>
    </row>
    <row r="6" spans="1:9">
      <c r="A6" s="7" t="s">
        <v>40</v>
      </c>
      <c r="B6" s="7">
        <v>0.79699382443295597</v>
      </c>
    </row>
    <row r="7" spans="1:9">
      <c r="A7" s="7" t="s">
        <v>41</v>
      </c>
      <c r="B7" s="7">
        <v>43556.993023265764</v>
      </c>
    </row>
    <row r="8" spans="1:9" ht="15" thickBot="1">
      <c r="A8" s="8" t="s">
        <v>42</v>
      </c>
      <c r="B8" s="8">
        <v>218</v>
      </c>
    </row>
    <row r="10" spans="1:9" ht="15" thickBot="1">
      <c r="A10" t="s">
        <v>43</v>
      </c>
    </row>
    <row r="11" spans="1:9">
      <c r="A11" s="9"/>
      <c r="B11" s="9" t="s">
        <v>48</v>
      </c>
      <c r="C11" s="9" t="s">
        <v>49</v>
      </c>
      <c r="D11" s="9" t="s">
        <v>50</v>
      </c>
      <c r="E11" s="9" t="s">
        <v>51</v>
      </c>
      <c r="F11" s="9" t="s">
        <v>52</v>
      </c>
    </row>
    <row r="12" spans="1:9">
      <c r="A12" s="7" t="s">
        <v>44</v>
      </c>
      <c r="B12" s="7">
        <v>7</v>
      </c>
      <c r="C12" s="7">
        <v>1629577684136.5208</v>
      </c>
      <c r="D12" s="7">
        <v>232796812019.50296</v>
      </c>
      <c r="E12" s="7">
        <v>122.70471409753772</v>
      </c>
      <c r="F12" s="7">
        <v>1.2810774150510916E-70</v>
      </c>
    </row>
    <row r="13" spans="1:9">
      <c r="A13" s="7" t="s">
        <v>45</v>
      </c>
      <c r="B13" s="7">
        <v>210</v>
      </c>
      <c r="C13" s="7">
        <v>398414444658.05273</v>
      </c>
      <c r="D13" s="7">
        <v>1897211641.2288225</v>
      </c>
      <c r="E13" s="7"/>
      <c r="F13" s="7"/>
    </row>
    <row r="14" spans="1:9" ht="15" thickBot="1">
      <c r="A14" s="8" t="s">
        <v>46</v>
      </c>
      <c r="B14" s="8">
        <v>217</v>
      </c>
      <c r="C14" s="8">
        <v>2027992128794.5735</v>
      </c>
      <c r="D14" s="8"/>
      <c r="E14" s="8"/>
      <c r="F14" s="8"/>
    </row>
    <row r="15" spans="1:9" ht="15" thickBot="1"/>
    <row r="16" spans="1:9">
      <c r="A16" s="9"/>
      <c r="B16" s="9" t="s">
        <v>53</v>
      </c>
      <c r="C16" s="9" t="s">
        <v>41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59</v>
      </c>
    </row>
    <row r="17" spans="1:9">
      <c r="A17" s="7" t="s">
        <v>47</v>
      </c>
      <c r="B17" s="7">
        <v>37509.822129688939</v>
      </c>
      <c r="C17" s="7">
        <v>17952.200640911549</v>
      </c>
      <c r="D17" s="7">
        <v>2.0894275236768034</v>
      </c>
      <c r="E17" s="7">
        <v>3.7873617328570121E-2</v>
      </c>
      <c r="F17" s="7">
        <v>2120.203912981211</v>
      </c>
      <c r="G17" s="7">
        <v>72899.440346396674</v>
      </c>
      <c r="H17" s="7">
        <v>2120.203912981211</v>
      </c>
      <c r="I17" s="7">
        <v>72899.440346396674</v>
      </c>
    </row>
    <row r="18" spans="1:9">
      <c r="A18" s="7" t="s">
        <v>0</v>
      </c>
      <c r="B18" s="7">
        <v>2.224732444160364</v>
      </c>
      <c r="C18" s="7">
        <v>1.2428833533652546</v>
      </c>
      <c r="D18" s="7">
        <v>1.7899768615748501</v>
      </c>
      <c r="E18" s="7">
        <v>7.4898356181145931E-2</v>
      </c>
      <c r="F18" s="7">
        <v>-0.22539432543797266</v>
      </c>
      <c r="G18" s="7">
        <v>4.6748592137587011</v>
      </c>
      <c r="H18" s="7">
        <v>-0.22539432543797266</v>
      </c>
      <c r="I18" s="7">
        <v>4.6748592137587011</v>
      </c>
    </row>
    <row r="19" spans="1:9">
      <c r="A19" s="7" t="s">
        <v>3</v>
      </c>
      <c r="B19" s="7">
        <v>12.087577432062828</v>
      </c>
      <c r="C19" s="7">
        <v>4.8172678273590055</v>
      </c>
      <c r="D19" s="7">
        <v>2.5092184751308833</v>
      </c>
      <c r="E19" s="7">
        <v>1.2855257656737536E-2</v>
      </c>
      <c r="F19" s="7">
        <v>2.5911779282965934</v>
      </c>
      <c r="G19" s="7">
        <v>21.583976935829064</v>
      </c>
      <c r="H19" s="7">
        <v>2.5911779282965934</v>
      </c>
      <c r="I19" s="7">
        <v>21.583976935829064</v>
      </c>
    </row>
    <row r="20" spans="1:9">
      <c r="A20" s="7" t="s">
        <v>4</v>
      </c>
      <c r="B20" s="7">
        <v>6.1480561384508317</v>
      </c>
      <c r="C20" s="7">
        <v>4.0463825770999788</v>
      </c>
      <c r="D20" s="7">
        <v>1.5193956629916865</v>
      </c>
      <c r="E20" s="7">
        <v>0.13016705036792098</v>
      </c>
      <c r="F20" s="7">
        <v>-1.8286781587341947</v>
      </c>
      <c r="G20" s="7">
        <v>14.124790435635859</v>
      </c>
      <c r="H20" s="7">
        <v>-1.8286781587341947</v>
      </c>
      <c r="I20" s="7">
        <v>14.124790435635859</v>
      </c>
    </row>
    <row r="21" spans="1:9">
      <c r="A21" s="7" t="s">
        <v>60</v>
      </c>
      <c r="B21" s="7">
        <v>4.4930993129067257E-5</v>
      </c>
      <c r="C21" s="7">
        <v>2.6251680347405637E-5</v>
      </c>
      <c r="D21" s="7">
        <v>1.7115473194274069</v>
      </c>
      <c r="E21" s="7">
        <v>8.8456541878202552E-2</v>
      </c>
      <c r="F21" s="7">
        <v>-6.8195952040721357E-6</v>
      </c>
      <c r="G21" s="7">
        <v>9.6681581462206649E-5</v>
      </c>
      <c r="H21" s="7">
        <v>-6.8195952040721357E-6</v>
      </c>
      <c r="I21" s="7">
        <v>9.6681581462206649E-5</v>
      </c>
    </row>
    <row r="22" spans="1:9">
      <c r="A22" s="7" t="s">
        <v>65</v>
      </c>
      <c r="B22" s="7">
        <v>-3.6808831736499427E-10</v>
      </c>
      <c r="C22" s="7">
        <v>1.6443991956126768E-10</v>
      </c>
      <c r="D22" s="7">
        <v>-2.2384364961200949</v>
      </c>
      <c r="E22" s="7">
        <v>2.6241990701771332E-2</v>
      </c>
      <c r="F22" s="7">
        <v>-6.9225280779505999E-10</v>
      </c>
      <c r="G22" s="7">
        <v>-4.39238269349285E-11</v>
      </c>
      <c r="H22" s="7">
        <v>-6.9225280779505999E-10</v>
      </c>
      <c r="I22" s="7">
        <v>-4.39238269349285E-11</v>
      </c>
    </row>
    <row r="23" spans="1:9">
      <c r="A23" s="7" t="s">
        <v>66</v>
      </c>
      <c r="B23" s="7">
        <v>-8.1075213644285852E-8</v>
      </c>
      <c r="C23" s="7">
        <v>1.3954524125374926E-7</v>
      </c>
      <c r="D23" s="7">
        <v>-0.58099590438099258</v>
      </c>
      <c r="E23" s="7">
        <v>0.56186622995274083</v>
      </c>
      <c r="F23" s="7">
        <v>-3.5616420750692364E-7</v>
      </c>
      <c r="G23" s="7">
        <v>1.9401378021835194E-7</v>
      </c>
      <c r="H23" s="7">
        <v>-3.5616420750692364E-7</v>
      </c>
      <c r="I23" s="7">
        <v>1.9401378021835194E-7</v>
      </c>
    </row>
    <row r="24" spans="1:9" ht="15" thickBot="1">
      <c r="A24" s="8" t="s">
        <v>68</v>
      </c>
      <c r="B24" s="8">
        <v>-1.6243029601648165E-8</v>
      </c>
      <c r="C24" s="8">
        <v>3.1377124832174729E-8</v>
      </c>
      <c r="D24" s="8">
        <v>-0.51767106414390907</v>
      </c>
      <c r="E24" s="8">
        <v>0.60523268161593236</v>
      </c>
      <c r="F24" s="8">
        <v>-7.8097533724005159E-8</v>
      </c>
      <c r="G24" s="8">
        <v>4.5611474520708822E-8</v>
      </c>
      <c r="H24" s="8">
        <v>-7.8097533724005159E-8</v>
      </c>
      <c r="I24" s="8">
        <v>4.5611474520708822E-8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19"/>
  <sheetViews>
    <sheetView workbookViewId="0">
      <selection activeCell="J22" sqref="J22"/>
    </sheetView>
  </sheetViews>
  <sheetFormatPr defaultRowHeight="14.4"/>
  <cols>
    <col min="4" max="4" width="11.109375" bestFit="1" customWidth="1"/>
    <col min="6" max="6" width="12.44140625" bestFit="1" customWidth="1"/>
    <col min="7" max="7" width="17.44140625" bestFit="1" customWidth="1"/>
    <col min="13" max="13" width="17.44140625" bestFit="1" customWidth="1"/>
  </cols>
  <sheetData>
    <row r="1" spans="1:13">
      <c r="A1" s="3" t="s">
        <v>32</v>
      </c>
      <c r="B1" s="3" t="s">
        <v>33</v>
      </c>
      <c r="C1" s="3" t="s">
        <v>34</v>
      </c>
      <c r="D1" s="3" t="s">
        <v>60</v>
      </c>
      <c r="E1" s="3" t="s">
        <v>65</v>
      </c>
      <c r="F1" s="3" t="s">
        <v>67</v>
      </c>
      <c r="G1" s="3" t="s">
        <v>69</v>
      </c>
      <c r="H1" s="3" t="s">
        <v>35</v>
      </c>
      <c r="L1" s="3" t="s">
        <v>62</v>
      </c>
      <c r="M1" s="3" t="s">
        <v>64</v>
      </c>
    </row>
    <row r="2" spans="1:13">
      <c r="A2" s="3">
        <v>83252</v>
      </c>
      <c r="B2" s="3">
        <v>880</v>
      </c>
      <c r="C2" s="4">
        <v>9263.0407728503797</v>
      </c>
      <c r="D2">
        <v>6930895504</v>
      </c>
      <c r="E2">
        <v>577010912499008</v>
      </c>
      <c r="F2">
        <v>681472000</v>
      </c>
      <c r="G2" s="12">
        <v>794805249812.51245</v>
      </c>
      <c r="H2" s="3">
        <v>452600</v>
      </c>
      <c r="L2">
        <v>774400</v>
      </c>
      <c r="M2" s="11">
        <v>85803924.359488562</v>
      </c>
    </row>
    <row r="3" spans="1:13">
      <c r="A3" s="3">
        <v>83014</v>
      </c>
      <c r="B3" s="3">
        <v>7099</v>
      </c>
      <c r="C3" s="4">
        <v>8225.7330715423996</v>
      </c>
      <c r="D3">
        <v>6891324196</v>
      </c>
      <c r="E3">
        <v>572076386806744</v>
      </c>
      <c r="F3">
        <v>357759791299</v>
      </c>
      <c r="G3" s="12">
        <v>556575182129.6272</v>
      </c>
      <c r="H3" s="3">
        <v>358500</v>
      </c>
      <c r="L3">
        <v>50395801</v>
      </c>
      <c r="M3" s="11">
        <v>67662684.564266354</v>
      </c>
    </row>
    <row r="4" spans="1:13">
      <c r="A4" s="3">
        <v>72574</v>
      </c>
      <c r="B4" s="3">
        <v>1467</v>
      </c>
      <c r="C4" s="4">
        <v>8259.0851093229303</v>
      </c>
      <c r="D4">
        <v>5266985476</v>
      </c>
      <c r="E4">
        <v>382246203935224</v>
      </c>
      <c r="F4">
        <v>3157114563</v>
      </c>
      <c r="G4" s="12">
        <v>563372734355.23608</v>
      </c>
      <c r="H4" s="3">
        <v>352100</v>
      </c>
      <c r="L4">
        <v>2152089</v>
      </c>
      <c r="M4" s="11">
        <v>68212486.843039766</v>
      </c>
    </row>
    <row r="5" spans="1:13">
      <c r="A5" s="3">
        <v>56430.999999999993</v>
      </c>
      <c r="B5" s="3">
        <v>1274</v>
      </c>
      <c r="C5" s="4">
        <v>7768.0865708363999</v>
      </c>
      <c r="D5">
        <v>3184457760.999999</v>
      </c>
      <c r="E5">
        <v>179702135910990.94</v>
      </c>
      <c r="F5">
        <v>2067798824</v>
      </c>
      <c r="G5" s="12">
        <v>468750960533.1734</v>
      </c>
      <c r="H5" s="3">
        <v>341300</v>
      </c>
      <c r="L5">
        <v>1623076</v>
      </c>
      <c r="M5" s="11">
        <v>60343168.972008817</v>
      </c>
    </row>
    <row r="6" spans="1:13">
      <c r="A6" s="3">
        <v>38462</v>
      </c>
      <c r="B6" s="3">
        <v>1627</v>
      </c>
      <c r="C6" s="4">
        <v>7768.0865708363999</v>
      </c>
      <c r="D6">
        <v>1479325444</v>
      </c>
      <c r="E6">
        <v>56897815227128</v>
      </c>
      <c r="F6">
        <v>4306878883</v>
      </c>
      <c r="G6" s="12">
        <v>468750960533.1734</v>
      </c>
      <c r="H6" s="3">
        <v>342200</v>
      </c>
      <c r="L6">
        <v>2647129</v>
      </c>
      <c r="M6" s="11">
        <v>60343168.972008817</v>
      </c>
    </row>
    <row r="7" spans="1:13">
      <c r="A7" s="3">
        <v>40368.000000000007</v>
      </c>
      <c r="B7" s="3">
        <v>919</v>
      </c>
      <c r="C7" s="4">
        <v>7768.0865708363999</v>
      </c>
      <c r="D7">
        <v>1629575424.0000005</v>
      </c>
      <c r="E7">
        <v>65782700716032.031</v>
      </c>
      <c r="F7">
        <v>776151559</v>
      </c>
      <c r="G7" s="12">
        <v>468750960533.1734</v>
      </c>
      <c r="H7" s="3">
        <v>269700</v>
      </c>
      <c r="L7">
        <v>844561</v>
      </c>
      <c r="M7" s="11">
        <v>60343168.972008817</v>
      </c>
    </row>
    <row r="8" spans="1:13">
      <c r="A8" s="3">
        <v>36591</v>
      </c>
      <c r="B8" s="3">
        <v>2535</v>
      </c>
      <c r="C8" s="4">
        <v>6843.0208473749799</v>
      </c>
      <c r="D8">
        <v>1338901281</v>
      </c>
      <c r="E8">
        <v>48991736773071</v>
      </c>
      <c r="F8">
        <v>16290480375</v>
      </c>
      <c r="G8" s="12">
        <v>320437687754.05444</v>
      </c>
      <c r="H8" s="3">
        <v>299200</v>
      </c>
      <c r="L8">
        <v>6426225</v>
      </c>
      <c r="M8" s="11">
        <v>46826934.317608587</v>
      </c>
    </row>
    <row r="9" spans="1:13">
      <c r="A9" s="3">
        <v>31200</v>
      </c>
      <c r="B9" s="3">
        <v>3104</v>
      </c>
      <c r="C9" s="4">
        <v>6843.0208473749799</v>
      </c>
      <c r="D9">
        <v>973440000</v>
      </c>
      <c r="E9">
        <v>30371328000000</v>
      </c>
      <c r="F9">
        <v>29906468864</v>
      </c>
      <c r="G9" s="12">
        <v>320437687754.05444</v>
      </c>
      <c r="H9" s="3">
        <v>241400</v>
      </c>
      <c r="L9">
        <v>9634816</v>
      </c>
      <c r="M9" s="11">
        <v>46826934.317608587</v>
      </c>
    </row>
    <row r="10" spans="1:13">
      <c r="A10" s="3">
        <v>34982</v>
      </c>
      <c r="B10" s="3">
        <v>2555</v>
      </c>
      <c r="C10" s="4">
        <v>6363.9480126176904</v>
      </c>
      <c r="D10">
        <v>1223740324</v>
      </c>
      <c r="E10">
        <v>42808884014168</v>
      </c>
      <c r="F10">
        <v>16679103875</v>
      </c>
      <c r="G10" s="12">
        <v>257738840051.29172</v>
      </c>
      <c r="H10" s="3">
        <v>226700</v>
      </c>
      <c r="L10">
        <v>6528025</v>
      </c>
      <c r="M10" s="11">
        <v>40499834.30730065</v>
      </c>
    </row>
    <row r="11" spans="1:13">
      <c r="A11" s="3">
        <v>42912</v>
      </c>
      <c r="B11" s="3">
        <v>3549</v>
      </c>
      <c r="C11" s="4">
        <v>6843.0208473749799</v>
      </c>
      <c r="D11">
        <v>1841439744</v>
      </c>
      <c r="E11">
        <v>79019862294528</v>
      </c>
      <c r="F11">
        <v>44701078149</v>
      </c>
      <c r="G11" s="12">
        <v>320437687754.05444</v>
      </c>
      <c r="H11" s="3">
        <v>261100</v>
      </c>
      <c r="L11">
        <v>12595401</v>
      </c>
      <c r="M11" s="11">
        <v>46826934.317608587</v>
      </c>
    </row>
    <row r="12" spans="1:13">
      <c r="A12" s="3">
        <v>39765</v>
      </c>
      <c r="B12" s="3">
        <v>2202</v>
      </c>
      <c r="C12" s="4">
        <v>7349.6208416098098</v>
      </c>
      <c r="D12">
        <v>1581255225</v>
      </c>
      <c r="E12">
        <v>62878614022125</v>
      </c>
      <c r="F12">
        <v>10677066408</v>
      </c>
      <c r="G12" s="12">
        <v>397003928917.47522</v>
      </c>
      <c r="H12" s="3">
        <v>281500</v>
      </c>
      <c r="L12">
        <v>4848804</v>
      </c>
      <c r="M12" s="11">
        <v>54016926.515425287</v>
      </c>
    </row>
    <row r="13" spans="1:13">
      <c r="A13" s="3">
        <v>32705.000000000004</v>
      </c>
      <c r="B13" s="3">
        <v>3503</v>
      </c>
      <c r="C13" s="4">
        <v>7349.6208416098098</v>
      </c>
      <c r="D13">
        <v>1069617025.0000002</v>
      </c>
      <c r="E13">
        <v>34981824802625.012</v>
      </c>
      <c r="F13">
        <v>42985344527</v>
      </c>
      <c r="G13" s="12">
        <v>397003928917.47522</v>
      </c>
      <c r="H13" s="3">
        <v>241800</v>
      </c>
      <c r="L13">
        <v>12271009</v>
      </c>
      <c r="M13" s="11">
        <v>54016926.515425287</v>
      </c>
    </row>
    <row r="14" spans="1:13">
      <c r="A14" s="3">
        <v>30750</v>
      </c>
      <c r="B14" s="3">
        <v>2491</v>
      </c>
      <c r="C14" s="4">
        <v>7349.6208416098098</v>
      </c>
      <c r="D14">
        <v>945562500</v>
      </c>
      <c r="E14">
        <v>29076046875000</v>
      </c>
      <c r="F14">
        <v>15456856771</v>
      </c>
      <c r="G14" s="12">
        <v>397003928917.47522</v>
      </c>
      <c r="H14" s="3">
        <v>213500</v>
      </c>
      <c r="L14">
        <v>6205081</v>
      </c>
      <c r="M14" s="11">
        <v>54016926.515425287</v>
      </c>
    </row>
    <row r="15" spans="1:13">
      <c r="A15" s="3">
        <v>26736</v>
      </c>
      <c r="B15" s="3">
        <v>696</v>
      </c>
      <c r="C15" s="4">
        <v>6363.9480126176904</v>
      </c>
      <c r="D15">
        <v>714813696</v>
      </c>
      <c r="E15">
        <v>19111258976256</v>
      </c>
      <c r="F15">
        <v>337153536</v>
      </c>
      <c r="G15" s="12">
        <v>257738840051.29172</v>
      </c>
      <c r="H15" s="3">
        <v>191300</v>
      </c>
      <c r="L15">
        <v>484416</v>
      </c>
      <c r="M15" s="11">
        <v>40499834.30730065</v>
      </c>
    </row>
    <row r="16" spans="1:13">
      <c r="A16" s="3">
        <v>19167</v>
      </c>
      <c r="B16" s="3">
        <v>2643</v>
      </c>
      <c r="C16" s="4">
        <v>7349.6208416098098</v>
      </c>
      <c r="D16">
        <v>367373889</v>
      </c>
      <c r="E16">
        <v>7041455330463</v>
      </c>
      <c r="F16">
        <v>18462541707</v>
      </c>
      <c r="G16" s="12">
        <v>397003928917.47522</v>
      </c>
      <c r="H16" s="3">
        <v>159200</v>
      </c>
      <c r="L16">
        <v>6985449</v>
      </c>
      <c r="M16" s="11">
        <v>54016926.515425287</v>
      </c>
    </row>
    <row r="17" spans="1:13">
      <c r="A17" s="3">
        <v>16250</v>
      </c>
      <c r="B17" s="3">
        <v>1120</v>
      </c>
      <c r="C17" s="4">
        <v>7349.6208416098098</v>
      </c>
      <c r="D17">
        <v>264062500</v>
      </c>
      <c r="E17">
        <v>4291015625000</v>
      </c>
      <c r="F17">
        <v>1404928000</v>
      </c>
      <c r="G17" s="12">
        <v>397003928917.47522</v>
      </c>
      <c r="H17" s="3">
        <v>140000</v>
      </c>
      <c r="L17">
        <v>1254400</v>
      </c>
      <c r="M17" s="11">
        <v>54016926.515425287</v>
      </c>
    </row>
    <row r="18" spans="1:13">
      <c r="A18" s="3">
        <v>19750</v>
      </c>
      <c r="B18" s="3">
        <v>1966</v>
      </c>
      <c r="C18" s="4">
        <v>7016.6772439486404</v>
      </c>
      <c r="D18">
        <v>390062500</v>
      </c>
      <c r="E18">
        <v>7703734375000</v>
      </c>
      <c r="F18">
        <v>7598896696</v>
      </c>
      <c r="G18" s="12">
        <v>345457400238.67993</v>
      </c>
      <c r="H18" s="3">
        <v>152500</v>
      </c>
      <c r="L18">
        <v>3865156</v>
      </c>
      <c r="M18" s="11">
        <v>49233759.545746684</v>
      </c>
    </row>
    <row r="19" spans="1:13">
      <c r="A19" s="3">
        <v>21202</v>
      </c>
      <c r="B19" s="3">
        <v>1228</v>
      </c>
      <c r="C19" s="4">
        <v>7016.6772439486404</v>
      </c>
      <c r="D19">
        <v>449524804</v>
      </c>
      <c r="E19">
        <v>9530824894408</v>
      </c>
      <c r="F19">
        <v>1851804352</v>
      </c>
      <c r="G19" s="12">
        <v>345457400238.67993</v>
      </c>
      <c r="H19" s="3">
        <v>155500</v>
      </c>
      <c r="L19">
        <v>1507984</v>
      </c>
      <c r="M19" s="11">
        <v>49233759.545746684</v>
      </c>
    </row>
    <row r="20" spans="1:13">
      <c r="A20" s="3">
        <v>19911</v>
      </c>
      <c r="B20" s="3">
        <v>2239</v>
      </c>
      <c r="C20" s="4">
        <v>6363.9480126176904</v>
      </c>
      <c r="D20">
        <v>396447921</v>
      </c>
      <c r="E20">
        <v>7893674555031</v>
      </c>
      <c r="F20">
        <v>11224377919</v>
      </c>
      <c r="G20" s="12">
        <v>257738840051.29172</v>
      </c>
      <c r="H20" s="3">
        <v>158700</v>
      </c>
      <c r="L20">
        <v>5013121</v>
      </c>
      <c r="M20" s="11">
        <v>40499834.30730065</v>
      </c>
    </row>
    <row r="21" spans="1:13">
      <c r="A21" s="3">
        <v>26033</v>
      </c>
      <c r="B21" s="3">
        <v>1503</v>
      </c>
      <c r="C21" s="4">
        <v>5976.2880582760299</v>
      </c>
      <c r="D21">
        <v>677717089</v>
      </c>
      <c r="E21">
        <v>17643008977937</v>
      </c>
      <c r="F21">
        <v>3395290527</v>
      </c>
      <c r="G21" s="12">
        <v>213449217572.87125</v>
      </c>
      <c r="H21" s="3">
        <v>162900</v>
      </c>
      <c r="L21">
        <v>2259009</v>
      </c>
      <c r="M21" s="11">
        <v>35716018.955492683</v>
      </c>
    </row>
    <row r="22" spans="1:13">
      <c r="A22" s="3">
        <v>43578</v>
      </c>
      <c r="B22" s="3">
        <v>751</v>
      </c>
      <c r="C22" s="4">
        <v>7016.6772439486404</v>
      </c>
      <c r="D22">
        <v>1899042084</v>
      </c>
      <c r="E22">
        <v>82756455936552</v>
      </c>
      <c r="F22">
        <v>423564751</v>
      </c>
      <c r="G22" s="12">
        <v>345457400238.67993</v>
      </c>
      <c r="H22" s="3">
        <v>147500</v>
      </c>
      <c r="L22">
        <v>564001</v>
      </c>
      <c r="M22" s="11">
        <v>49233759.545746684</v>
      </c>
    </row>
    <row r="23" spans="1:13">
      <c r="A23" s="3">
        <v>17135</v>
      </c>
      <c r="B23" s="3">
        <v>1639</v>
      </c>
      <c r="C23" s="4">
        <v>7016.6772439486404</v>
      </c>
      <c r="D23">
        <v>293608225</v>
      </c>
      <c r="E23">
        <v>5030976935375</v>
      </c>
      <c r="F23">
        <v>4402880119</v>
      </c>
      <c r="G23" s="12">
        <v>345457400238.67993</v>
      </c>
      <c r="H23" s="3">
        <v>159800</v>
      </c>
      <c r="L23">
        <v>2686321</v>
      </c>
      <c r="M23" s="11">
        <v>49233759.545746684</v>
      </c>
    </row>
    <row r="24" spans="1:13">
      <c r="A24" s="3">
        <v>17250</v>
      </c>
      <c r="B24" s="3">
        <v>2436</v>
      </c>
      <c r="C24" s="4">
        <v>5976.2880582760299</v>
      </c>
      <c r="D24">
        <v>297562500</v>
      </c>
      <c r="E24">
        <v>5132953125000</v>
      </c>
      <c r="F24">
        <v>14455457856</v>
      </c>
      <c r="G24" s="12">
        <v>213449217572.87125</v>
      </c>
      <c r="H24" s="3">
        <v>113900</v>
      </c>
      <c r="L24">
        <v>5934096</v>
      </c>
      <c r="M24" s="11">
        <v>35716018.955492683</v>
      </c>
    </row>
    <row r="25" spans="1:13">
      <c r="A25" s="3">
        <v>11806</v>
      </c>
      <c r="B25" s="3">
        <v>1688</v>
      </c>
      <c r="C25" s="4">
        <v>5976.2880582760299</v>
      </c>
      <c r="D25">
        <v>139381636</v>
      </c>
      <c r="E25">
        <v>1645539594616</v>
      </c>
      <c r="F25">
        <v>4809692672</v>
      </c>
      <c r="G25" s="12">
        <v>213449217572.87125</v>
      </c>
      <c r="H25" s="3">
        <v>99700</v>
      </c>
      <c r="L25">
        <v>2849344</v>
      </c>
      <c r="M25" s="11">
        <v>35716018.955492683</v>
      </c>
    </row>
    <row r="26" spans="1:13">
      <c r="A26" s="3">
        <v>16000</v>
      </c>
      <c r="B26" s="3">
        <v>2224</v>
      </c>
      <c r="C26" s="4">
        <v>5976.2880582760299</v>
      </c>
      <c r="D26">
        <v>256000000</v>
      </c>
      <c r="E26">
        <v>4096000000000</v>
      </c>
      <c r="F26">
        <v>11000295424</v>
      </c>
      <c r="G26" s="12">
        <v>213449217572.87125</v>
      </c>
      <c r="H26" s="3">
        <v>132600</v>
      </c>
      <c r="L26">
        <v>4946176</v>
      </c>
      <c r="M26" s="11">
        <v>35716018.955492683</v>
      </c>
    </row>
    <row r="27" spans="1:13">
      <c r="A27" s="3">
        <v>14038</v>
      </c>
      <c r="B27" s="3">
        <v>535</v>
      </c>
      <c r="C27" s="4">
        <v>6781.8631745086795</v>
      </c>
      <c r="D27">
        <v>197065444</v>
      </c>
      <c r="E27">
        <v>2766404702872</v>
      </c>
      <c r="F27">
        <v>153130375</v>
      </c>
      <c r="G27" s="12">
        <v>311922764068.38977</v>
      </c>
      <c r="H27" s="3">
        <v>107500</v>
      </c>
      <c r="L27">
        <v>286225</v>
      </c>
      <c r="M27" s="11">
        <v>45993668.117756948</v>
      </c>
    </row>
    <row r="28" spans="1:13">
      <c r="A28" s="3">
        <v>14597</v>
      </c>
      <c r="B28" s="3">
        <v>1130</v>
      </c>
      <c r="C28" s="4">
        <v>6781.8631745086795</v>
      </c>
      <c r="D28">
        <v>213072409</v>
      </c>
      <c r="E28">
        <v>3110217954173</v>
      </c>
      <c r="F28">
        <v>1442897000</v>
      </c>
      <c r="G28" s="12">
        <v>311922764068.38977</v>
      </c>
      <c r="H28" s="3">
        <v>93800</v>
      </c>
      <c r="L28">
        <v>1276900</v>
      </c>
      <c r="M28" s="11">
        <v>45993668.117756948</v>
      </c>
    </row>
    <row r="29" spans="1:13">
      <c r="A29" s="3">
        <v>18080</v>
      </c>
      <c r="B29" s="3">
        <v>1898</v>
      </c>
      <c r="C29" s="4">
        <v>6781.8631745086795</v>
      </c>
      <c r="D29">
        <v>326886400</v>
      </c>
      <c r="E29">
        <v>5910106112000</v>
      </c>
      <c r="F29">
        <v>6837362792</v>
      </c>
      <c r="G29" s="12">
        <v>311922764068.38977</v>
      </c>
      <c r="H29" s="3">
        <v>105500</v>
      </c>
      <c r="L29">
        <v>3602404</v>
      </c>
      <c r="M29" s="11">
        <v>45993668.117756948</v>
      </c>
    </row>
    <row r="30" spans="1:13">
      <c r="A30" s="3">
        <v>16424</v>
      </c>
      <c r="B30" s="3">
        <v>2082</v>
      </c>
      <c r="C30" s="4">
        <v>5698.7269031743899</v>
      </c>
      <c r="D30">
        <v>269747776</v>
      </c>
      <c r="E30">
        <v>4430337473024</v>
      </c>
      <c r="F30">
        <v>9024895368</v>
      </c>
      <c r="G30" s="12">
        <v>185068938965.6059</v>
      </c>
      <c r="H30" s="3">
        <v>108900</v>
      </c>
      <c r="L30">
        <v>4334724</v>
      </c>
      <c r="M30" s="11">
        <v>32475488.316963572</v>
      </c>
    </row>
    <row r="31" spans="1:13">
      <c r="A31" s="3">
        <v>16875</v>
      </c>
      <c r="B31" s="3">
        <v>729</v>
      </c>
      <c r="C31" s="4">
        <v>5698.7269031743899</v>
      </c>
      <c r="D31">
        <v>284765625</v>
      </c>
      <c r="E31">
        <v>4805419921875</v>
      </c>
      <c r="F31">
        <v>387420489</v>
      </c>
      <c r="G31" s="12">
        <v>185068938965.6059</v>
      </c>
      <c r="H31" s="3">
        <v>132000</v>
      </c>
      <c r="L31">
        <v>531441</v>
      </c>
      <c r="M31" s="11">
        <v>32475488.316963572</v>
      </c>
    </row>
    <row r="32" spans="1:13">
      <c r="A32" s="3">
        <v>19274</v>
      </c>
      <c r="B32" s="3">
        <v>1916</v>
      </c>
      <c r="C32" s="4">
        <v>5698.7269031743899</v>
      </c>
      <c r="D32">
        <v>371487076</v>
      </c>
      <c r="E32">
        <v>7160041902824</v>
      </c>
      <c r="F32">
        <v>7033743296</v>
      </c>
      <c r="G32" s="12">
        <v>185068938965.6059</v>
      </c>
      <c r="H32" s="3">
        <v>122300</v>
      </c>
      <c r="L32">
        <v>3671056</v>
      </c>
      <c r="M32" s="11">
        <v>32475488.316963572</v>
      </c>
    </row>
    <row r="33" spans="1:13">
      <c r="A33" s="3">
        <v>19615</v>
      </c>
      <c r="B33" s="3">
        <v>2153</v>
      </c>
      <c r="C33" s="4">
        <v>5698.7269031743899</v>
      </c>
      <c r="D33">
        <v>384748225</v>
      </c>
      <c r="E33">
        <v>7546836433375</v>
      </c>
      <c r="F33">
        <v>9980035577</v>
      </c>
      <c r="G33" s="12">
        <v>185068938965.6059</v>
      </c>
      <c r="H33" s="3">
        <v>115200</v>
      </c>
      <c r="L33">
        <v>4635409</v>
      </c>
      <c r="M33" s="11">
        <v>32475488.316963572</v>
      </c>
    </row>
    <row r="34" spans="1:13">
      <c r="A34" s="3">
        <v>17969</v>
      </c>
      <c r="B34" s="3">
        <v>1922</v>
      </c>
      <c r="C34" s="4">
        <v>5976.2880582760299</v>
      </c>
      <c r="D34">
        <v>322884961</v>
      </c>
      <c r="E34">
        <v>5801919864209</v>
      </c>
      <c r="F34">
        <v>7100029448</v>
      </c>
      <c r="G34" s="12">
        <v>213449217572.87125</v>
      </c>
      <c r="H34" s="3">
        <v>110400</v>
      </c>
      <c r="L34">
        <v>3694084</v>
      </c>
      <c r="M34" s="11">
        <v>35716018.955492683</v>
      </c>
    </row>
    <row r="35" spans="1:13">
      <c r="A35" s="3">
        <v>13750</v>
      </c>
      <c r="B35" s="3">
        <v>1655</v>
      </c>
      <c r="C35" s="4">
        <v>4967.0051944367697</v>
      </c>
      <c r="D35">
        <v>189062500</v>
      </c>
      <c r="E35">
        <v>2599609375000</v>
      </c>
      <c r="F35">
        <v>4533086375</v>
      </c>
      <c r="G35" s="12">
        <v>122541683520.6376</v>
      </c>
      <c r="H35" s="3">
        <v>104900</v>
      </c>
      <c r="L35">
        <v>2739025</v>
      </c>
      <c r="M35" s="11">
        <v>24671140.601561852</v>
      </c>
    </row>
    <row r="36" spans="1:13">
      <c r="A36" s="3">
        <v>12303</v>
      </c>
      <c r="B36" s="3">
        <v>2665</v>
      </c>
      <c r="C36" s="4">
        <v>4967.0051944367697</v>
      </c>
      <c r="D36">
        <v>151363809</v>
      </c>
      <c r="E36">
        <v>1862228942127</v>
      </c>
      <c r="F36">
        <v>18927429625</v>
      </c>
      <c r="G36" s="12">
        <v>122541683520.6376</v>
      </c>
      <c r="H36" s="3">
        <v>109700</v>
      </c>
      <c r="L36">
        <v>7102225</v>
      </c>
      <c r="M36" s="11">
        <v>24671140.601561852</v>
      </c>
    </row>
    <row r="37" spans="1:13">
      <c r="A37" s="3">
        <v>44861</v>
      </c>
      <c r="B37" s="3">
        <v>1215</v>
      </c>
      <c r="C37" s="4">
        <v>4967.0051944367697</v>
      </c>
      <c r="D37">
        <v>2012509321</v>
      </c>
      <c r="E37">
        <v>90283180649381</v>
      </c>
      <c r="F37">
        <v>1793613375</v>
      </c>
      <c r="G37" s="12">
        <v>122541683520.6376</v>
      </c>
      <c r="H37" s="3">
        <v>97200</v>
      </c>
      <c r="L37">
        <v>1476225</v>
      </c>
      <c r="M37" s="11">
        <v>24671140.601561852</v>
      </c>
    </row>
    <row r="38" spans="1:13">
      <c r="A38" s="3">
        <v>10972</v>
      </c>
      <c r="B38" s="3">
        <v>1798</v>
      </c>
      <c r="C38" s="4">
        <v>4967.0051944367697</v>
      </c>
      <c r="D38">
        <v>120384784</v>
      </c>
      <c r="E38">
        <v>1320861850048</v>
      </c>
      <c r="F38">
        <v>5812581592</v>
      </c>
      <c r="G38" s="12">
        <v>122541683520.6376</v>
      </c>
      <c r="H38" s="3">
        <v>104500</v>
      </c>
      <c r="L38">
        <v>3232804</v>
      </c>
      <c r="M38" s="11">
        <v>24671140.601561852</v>
      </c>
    </row>
    <row r="39" spans="1:13">
      <c r="A39" s="3">
        <v>14103.000000000002</v>
      </c>
      <c r="B39" s="3">
        <v>1511</v>
      </c>
      <c r="C39" s="4">
        <v>4629.27324947942</v>
      </c>
      <c r="D39">
        <v>198894609.00000006</v>
      </c>
      <c r="E39">
        <v>2805010670727.001</v>
      </c>
      <c r="F39">
        <v>3449795831</v>
      </c>
      <c r="G39" s="12">
        <v>99206116501.142456</v>
      </c>
      <c r="H39" s="3">
        <v>103900</v>
      </c>
      <c r="L39">
        <v>2283121</v>
      </c>
      <c r="M39" s="11">
        <v>21430170.818345748</v>
      </c>
    </row>
    <row r="40" spans="1:13">
      <c r="A40" s="3">
        <v>34800</v>
      </c>
      <c r="B40" s="3">
        <v>1470</v>
      </c>
      <c r="C40" s="4">
        <v>5427.3017456453399</v>
      </c>
      <c r="D40">
        <v>1211040000</v>
      </c>
      <c r="E40">
        <v>42144192000000</v>
      </c>
      <c r="F40">
        <v>3176523000</v>
      </c>
      <c r="G40" s="12">
        <v>159864452301.48221</v>
      </c>
      <c r="H40" s="3">
        <v>191400</v>
      </c>
      <c r="L40">
        <v>2160900</v>
      </c>
      <c r="M40" s="11">
        <v>29455604.238284953</v>
      </c>
    </row>
    <row r="41" spans="1:13">
      <c r="A41" s="3">
        <v>25898</v>
      </c>
      <c r="B41" s="3">
        <v>2432</v>
      </c>
      <c r="C41" s="4">
        <v>5427.3017456453399</v>
      </c>
      <c r="D41">
        <v>670706404</v>
      </c>
      <c r="E41">
        <v>17369954450792</v>
      </c>
      <c r="F41">
        <v>14384365568</v>
      </c>
      <c r="G41" s="12">
        <v>159864452301.48221</v>
      </c>
      <c r="H41" s="3">
        <v>176000</v>
      </c>
      <c r="L41">
        <v>5914624</v>
      </c>
      <c r="M41" s="11">
        <v>29455604.238284953</v>
      </c>
    </row>
    <row r="42" spans="1:13">
      <c r="A42" s="3">
        <v>20978</v>
      </c>
      <c r="B42" s="3">
        <v>1665</v>
      </c>
      <c r="C42" s="4">
        <v>5427.3017456453399</v>
      </c>
      <c r="D42">
        <v>440076484</v>
      </c>
      <c r="E42">
        <v>9231924481352</v>
      </c>
      <c r="F42">
        <v>4615754625</v>
      </c>
      <c r="G42" s="12">
        <v>159864452301.48221</v>
      </c>
      <c r="H42" s="3">
        <v>155400</v>
      </c>
      <c r="L42">
        <v>2772225</v>
      </c>
      <c r="M42" s="11">
        <v>29455604.238284953</v>
      </c>
    </row>
    <row r="43" spans="1:13">
      <c r="A43" s="3">
        <v>22852</v>
      </c>
      <c r="B43" s="3">
        <v>936</v>
      </c>
      <c r="C43" s="4">
        <v>5427.3017456453399</v>
      </c>
      <c r="D43">
        <v>522213904</v>
      </c>
      <c r="E43">
        <v>11933632134208</v>
      </c>
      <c r="F43">
        <v>820025856</v>
      </c>
      <c r="G43" s="12">
        <v>159864452301.48221</v>
      </c>
      <c r="H43" s="3">
        <v>150000</v>
      </c>
      <c r="L43">
        <v>876096</v>
      </c>
      <c r="M43" s="11">
        <v>29455604.238284953</v>
      </c>
    </row>
    <row r="44" spans="1:13">
      <c r="A44" s="3">
        <v>10250</v>
      </c>
      <c r="B44" s="3">
        <v>713</v>
      </c>
      <c r="C44" s="4">
        <v>6363.9480126176904</v>
      </c>
      <c r="D44">
        <v>105062500</v>
      </c>
      <c r="E44">
        <v>1076890625000</v>
      </c>
      <c r="F44">
        <v>362467097</v>
      </c>
      <c r="G44" s="12">
        <v>257738840051.29172</v>
      </c>
      <c r="H44" s="3">
        <v>118800</v>
      </c>
      <c r="L44">
        <v>508369</v>
      </c>
      <c r="M44" s="11">
        <v>40499834.30730065</v>
      </c>
    </row>
    <row r="45" spans="1:13">
      <c r="A45" s="3">
        <v>39643</v>
      </c>
      <c r="B45" s="3">
        <v>950</v>
      </c>
      <c r="C45" s="4">
        <v>6363.9480126176904</v>
      </c>
      <c r="D45">
        <v>1571567449</v>
      </c>
      <c r="E45">
        <v>62301648380707</v>
      </c>
      <c r="F45">
        <v>857375000</v>
      </c>
      <c r="G45" s="12">
        <v>257738840051.29172</v>
      </c>
      <c r="H45" s="3">
        <v>188800</v>
      </c>
      <c r="L45">
        <v>902500</v>
      </c>
      <c r="M45" s="11">
        <v>40499834.30730065</v>
      </c>
    </row>
    <row r="46" spans="1:13">
      <c r="A46" s="3">
        <v>30125</v>
      </c>
      <c r="B46" s="3">
        <v>1443</v>
      </c>
      <c r="C46" s="4">
        <v>5427.3017456453399</v>
      </c>
      <c r="D46">
        <v>907515625</v>
      </c>
      <c r="E46">
        <v>27338908203125</v>
      </c>
      <c r="F46">
        <v>3004685307</v>
      </c>
      <c r="G46" s="12">
        <v>159864452301.48221</v>
      </c>
      <c r="H46" s="3">
        <v>184400</v>
      </c>
      <c r="L46">
        <v>2082249</v>
      </c>
      <c r="M46" s="11">
        <v>29455604.238284953</v>
      </c>
    </row>
    <row r="47" spans="1:13">
      <c r="A47" s="3">
        <v>26768</v>
      </c>
      <c r="B47" s="3">
        <v>1656</v>
      </c>
      <c r="C47" s="4">
        <v>5427.3017456453399</v>
      </c>
      <c r="D47">
        <v>716525824</v>
      </c>
      <c r="E47">
        <v>19179963256832</v>
      </c>
      <c r="F47">
        <v>4541308416</v>
      </c>
      <c r="G47" s="12">
        <v>159864452301.48221</v>
      </c>
      <c r="H47" s="3">
        <v>182300</v>
      </c>
      <c r="L47">
        <v>2742336</v>
      </c>
      <c r="M47" s="11">
        <v>29455604.238284953</v>
      </c>
    </row>
    <row r="48" spans="1:13">
      <c r="A48" s="3">
        <v>20259.999999999996</v>
      </c>
      <c r="B48" s="3">
        <v>1125</v>
      </c>
      <c r="C48" s="4">
        <v>5427.3017456453399</v>
      </c>
      <c r="D48">
        <v>410467599.99999988</v>
      </c>
      <c r="E48">
        <v>8316073575999.9961</v>
      </c>
      <c r="F48">
        <v>1423828125</v>
      </c>
      <c r="G48" s="12">
        <v>159864452301.48221</v>
      </c>
      <c r="H48" s="3">
        <v>142500</v>
      </c>
      <c r="L48">
        <v>1265625</v>
      </c>
      <c r="M48" s="11">
        <v>29455604.238284953</v>
      </c>
    </row>
    <row r="49" spans="1:13">
      <c r="A49" s="3">
        <v>17348</v>
      </c>
      <c r="B49" s="3">
        <v>1007</v>
      </c>
      <c r="C49" s="4">
        <v>4012.3714289612699</v>
      </c>
      <c r="D49">
        <v>300953104</v>
      </c>
      <c r="E49">
        <v>5220934448192</v>
      </c>
      <c r="F49">
        <v>1021147343</v>
      </c>
      <c r="G49" s="12">
        <v>64595667110.67057</v>
      </c>
      <c r="H49" s="3">
        <v>137500</v>
      </c>
      <c r="L49">
        <v>1014049</v>
      </c>
      <c r="M49" s="11">
        <v>16099124.483944703</v>
      </c>
    </row>
    <row r="50" spans="1:13">
      <c r="A50" s="3">
        <v>9506</v>
      </c>
      <c r="B50" s="3">
        <v>624</v>
      </c>
      <c r="C50" s="4">
        <v>4569.9273854590601</v>
      </c>
      <c r="D50">
        <v>90364036</v>
      </c>
      <c r="E50">
        <v>859000526216</v>
      </c>
      <c r="F50">
        <v>242970624</v>
      </c>
      <c r="G50" s="12">
        <v>95439443430.012466</v>
      </c>
      <c r="H50" s="3">
        <v>187500</v>
      </c>
      <c r="L50">
        <v>389376</v>
      </c>
      <c r="M50" s="11">
        <v>20884236.308368683</v>
      </c>
    </row>
    <row r="51" spans="1:13">
      <c r="A51" s="3">
        <v>17750</v>
      </c>
      <c r="B51" s="3">
        <v>946</v>
      </c>
      <c r="C51" s="4">
        <v>4012.3714289612699</v>
      </c>
      <c r="D51">
        <v>315062500</v>
      </c>
      <c r="E51">
        <v>5592359375000</v>
      </c>
      <c r="F51">
        <v>846590536</v>
      </c>
      <c r="G51" s="12">
        <v>64595667110.67057</v>
      </c>
      <c r="H51" s="3">
        <v>112500</v>
      </c>
      <c r="L51">
        <v>894916</v>
      </c>
      <c r="M51" s="11">
        <v>16099124.483944703</v>
      </c>
    </row>
    <row r="52" spans="1:13">
      <c r="A52" s="3">
        <v>9218</v>
      </c>
      <c r="B52" s="3">
        <v>896</v>
      </c>
      <c r="C52" s="4">
        <v>4012.3714289612699</v>
      </c>
      <c r="D52">
        <v>84971524</v>
      </c>
      <c r="E52">
        <v>783267508232</v>
      </c>
      <c r="F52">
        <v>719323136</v>
      </c>
      <c r="G52" s="12">
        <v>64595667110.67057</v>
      </c>
      <c r="H52" s="3">
        <v>171900</v>
      </c>
      <c r="L52">
        <v>802816</v>
      </c>
      <c r="M52" s="11">
        <v>16099124.483944703</v>
      </c>
    </row>
    <row r="53" spans="1:13">
      <c r="A53" s="3">
        <v>15045</v>
      </c>
      <c r="B53" s="3">
        <v>1868</v>
      </c>
      <c r="C53" s="4">
        <v>4012.3714289612699</v>
      </c>
      <c r="D53">
        <v>226352025</v>
      </c>
      <c r="E53">
        <v>3405466216125</v>
      </c>
      <c r="F53">
        <v>6518244032</v>
      </c>
      <c r="G53" s="12">
        <v>64595667110.67057</v>
      </c>
      <c r="H53" s="3">
        <v>93800</v>
      </c>
      <c r="L53">
        <v>3489424</v>
      </c>
      <c r="M53" s="11">
        <v>16099124.483944703</v>
      </c>
    </row>
    <row r="54" spans="1:13">
      <c r="A54" s="3">
        <v>11108</v>
      </c>
      <c r="B54" s="3">
        <v>3221</v>
      </c>
      <c r="C54" s="4">
        <v>4012.3714289612699</v>
      </c>
      <c r="D54">
        <v>123387664</v>
      </c>
      <c r="E54">
        <v>1370590171712</v>
      </c>
      <c r="F54">
        <v>33417362861</v>
      </c>
      <c r="G54" s="12">
        <v>64595667110.67057</v>
      </c>
      <c r="H54" s="3">
        <v>97500</v>
      </c>
      <c r="L54">
        <v>10374841</v>
      </c>
      <c r="M54" s="11">
        <v>16099124.483944703</v>
      </c>
    </row>
    <row r="55" spans="1:13">
      <c r="A55" s="3">
        <v>12475</v>
      </c>
      <c r="B55" s="3">
        <v>1630</v>
      </c>
      <c r="C55" s="4">
        <v>4012.3714289612699</v>
      </c>
      <c r="D55">
        <v>155625625</v>
      </c>
      <c r="E55">
        <v>1941429671875</v>
      </c>
      <c r="F55">
        <v>4330747000</v>
      </c>
      <c r="G55" s="12">
        <v>64595667110.67057</v>
      </c>
      <c r="H55" s="3">
        <v>104200</v>
      </c>
      <c r="L55">
        <v>2656900</v>
      </c>
      <c r="M55" s="11">
        <v>16099124.483944703</v>
      </c>
    </row>
    <row r="56" spans="1:13">
      <c r="A56" s="3">
        <v>16097.999999999998</v>
      </c>
      <c r="B56" s="3">
        <v>1170</v>
      </c>
      <c r="C56" s="4">
        <v>3585.7656953423598</v>
      </c>
      <c r="D56">
        <v>259145603.99999994</v>
      </c>
      <c r="E56">
        <v>4171725933191.9985</v>
      </c>
      <c r="F56">
        <v>1601613000</v>
      </c>
      <c r="G56" s="12">
        <v>46104755597.455338</v>
      </c>
      <c r="H56" s="3">
        <v>87500</v>
      </c>
      <c r="L56">
        <v>1368900</v>
      </c>
      <c r="M56" s="11">
        <v>12857715.621894076</v>
      </c>
    </row>
    <row r="57" spans="1:13">
      <c r="A57" s="3">
        <v>14113</v>
      </c>
      <c r="B57" s="3">
        <v>945</v>
      </c>
      <c r="C57" s="4">
        <v>3585.7656953423598</v>
      </c>
      <c r="D57">
        <v>199176769</v>
      </c>
      <c r="E57">
        <v>2810981740897</v>
      </c>
      <c r="F57">
        <v>843908625</v>
      </c>
      <c r="G57" s="12">
        <v>46104755597.455338</v>
      </c>
      <c r="H57" s="3">
        <v>83100</v>
      </c>
      <c r="L57">
        <v>893025</v>
      </c>
      <c r="M57" s="11">
        <v>12857715.621894076</v>
      </c>
    </row>
    <row r="58" spans="1:13">
      <c r="A58" s="3">
        <v>15057</v>
      </c>
      <c r="B58" s="3">
        <v>1238</v>
      </c>
      <c r="C58" s="4">
        <v>3585.7656953423598</v>
      </c>
      <c r="D58">
        <v>226713249</v>
      </c>
      <c r="E58">
        <v>3413621390193</v>
      </c>
      <c r="F58">
        <v>1897413272</v>
      </c>
      <c r="G58" s="12">
        <v>46104755597.455338</v>
      </c>
      <c r="H58" s="3">
        <v>87500</v>
      </c>
      <c r="L58">
        <v>1532644</v>
      </c>
      <c r="M58" s="11">
        <v>12857715.621894076</v>
      </c>
    </row>
    <row r="59" spans="1:13">
      <c r="A59" s="3">
        <v>8172</v>
      </c>
      <c r="B59" s="3">
        <v>1489</v>
      </c>
      <c r="C59" s="4">
        <v>3585.7656953423598</v>
      </c>
      <c r="D59">
        <v>66781584</v>
      </c>
      <c r="E59">
        <v>545739104448</v>
      </c>
      <c r="F59">
        <v>3301293169</v>
      </c>
      <c r="G59" s="12">
        <v>46104755597.455338</v>
      </c>
      <c r="H59" s="3">
        <v>85300</v>
      </c>
      <c r="L59">
        <v>2217121</v>
      </c>
      <c r="M59" s="11">
        <v>12857715.621894076</v>
      </c>
    </row>
    <row r="60" spans="1:13">
      <c r="A60" s="3">
        <v>12171</v>
      </c>
      <c r="B60" s="3">
        <v>1387</v>
      </c>
      <c r="C60" s="4">
        <v>3585.7656953423598</v>
      </c>
      <c r="D60">
        <v>148133241</v>
      </c>
      <c r="E60">
        <v>1802929676211</v>
      </c>
      <c r="F60">
        <v>2668267603</v>
      </c>
      <c r="G60" s="12">
        <v>46104755597.455338</v>
      </c>
      <c r="H60" s="3">
        <v>80300</v>
      </c>
      <c r="L60">
        <v>1923769</v>
      </c>
      <c r="M60" s="11">
        <v>12857715.621894076</v>
      </c>
    </row>
    <row r="61" spans="1:13">
      <c r="A61" s="3">
        <v>11625</v>
      </c>
      <c r="B61" s="3">
        <v>158</v>
      </c>
      <c r="C61" s="4">
        <v>3340.66007838528</v>
      </c>
      <c r="D61">
        <v>135140625</v>
      </c>
      <c r="E61">
        <v>1571009765625</v>
      </c>
      <c r="F61">
        <v>3944312</v>
      </c>
      <c r="G61" s="12">
        <v>37281799077.340904</v>
      </c>
      <c r="H61" s="3">
        <v>60000</v>
      </c>
      <c r="L61">
        <v>24964</v>
      </c>
      <c r="M61" s="11">
        <v>11160009.759317145</v>
      </c>
    </row>
    <row r="62" spans="1:13">
      <c r="A62" s="3">
        <v>33929</v>
      </c>
      <c r="B62" s="3">
        <v>1121</v>
      </c>
      <c r="C62" s="4">
        <v>4442.1498090159403</v>
      </c>
      <c r="D62">
        <v>1151177041</v>
      </c>
      <c r="E62">
        <v>39058285824089</v>
      </c>
      <c r="F62">
        <v>1408694561</v>
      </c>
      <c r="G62" s="12">
        <v>87655586995.74733</v>
      </c>
      <c r="H62" s="3">
        <v>75700</v>
      </c>
      <c r="L62">
        <v>1256641</v>
      </c>
      <c r="M62" s="11">
        <v>19732694.925740354</v>
      </c>
    </row>
    <row r="63" spans="1:13">
      <c r="A63" s="3">
        <v>61182.999999999993</v>
      </c>
      <c r="B63" s="3">
        <v>135</v>
      </c>
      <c r="C63" s="4">
        <v>3340.66007838528</v>
      </c>
      <c r="D63">
        <v>3743359488.999999</v>
      </c>
      <c r="E63">
        <v>229029963615486.91</v>
      </c>
      <c r="F63">
        <v>2460375</v>
      </c>
      <c r="G63" s="12">
        <v>37281799077.340904</v>
      </c>
      <c r="H63" s="3">
        <v>75000</v>
      </c>
      <c r="L63">
        <v>18225</v>
      </c>
      <c r="M63" s="11">
        <v>11160009.759317145</v>
      </c>
    </row>
    <row r="64" spans="1:13">
      <c r="A64" s="3">
        <v>9011</v>
      </c>
      <c r="B64" s="3">
        <v>760</v>
      </c>
      <c r="C64" s="4">
        <v>2249.48592561738</v>
      </c>
      <c r="D64">
        <v>81198121</v>
      </c>
      <c r="E64">
        <v>731676268331</v>
      </c>
      <c r="F64">
        <v>438976000</v>
      </c>
      <c r="G64" s="12">
        <v>11382819279.017281</v>
      </c>
      <c r="H64" s="3">
        <v>86100</v>
      </c>
      <c r="L64">
        <v>577600</v>
      </c>
      <c r="M64" s="11">
        <v>5060186.9295506803</v>
      </c>
    </row>
    <row r="65" spans="1:13">
      <c r="A65" s="3">
        <v>11910</v>
      </c>
      <c r="B65" s="3">
        <v>1224</v>
      </c>
      <c r="C65" s="4">
        <v>2214.9860559148601</v>
      </c>
      <c r="D65">
        <v>141848100</v>
      </c>
      <c r="E65">
        <v>1689410871000</v>
      </c>
      <c r="F65">
        <v>1833767424</v>
      </c>
      <c r="G65" s="12">
        <v>10867083137.834688</v>
      </c>
      <c r="H65" s="3">
        <v>76100</v>
      </c>
      <c r="L65">
        <v>1498176</v>
      </c>
      <c r="M65" s="11">
        <v>4906163.2278972678</v>
      </c>
    </row>
    <row r="66" spans="1:13">
      <c r="A66" s="3">
        <v>25938</v>
      </c>
      <c r="B66" s="3">
        <v>828</v>
      </c>
      <c r="C66" s="4">
        <v>2214.9860559148601</v>
      </c>
      <c r="D66">
        <v>672779844</v>
      </c>
      <c r="E66">
        <v>17450563593672</v>
      </c>
      <c r="F66">
        <v>567663552</v>
      </c>
      <c r="G66" s="12">
        <v>10867083137.834688</v>
      </c>
      <c r="H66" s="3">
        <v>73500</v>
      </c>
      <c r="L66">
        <v>685584</v>
      </c>
      <c r="M66" s="11">
        <v>4906163.2278972678</v>
      </c>
    </row>
    <row r="67" spans="1:13">
      <c r="A67" s="3">
        <v>11667</v>
      </c>
      <c r="B67" s="3">
        <v>1010</v>
      </c>
      <c r="C67" s="4">
        <v>2214.9860559148601</v>
      </c>
      <c r="D67">
        <v>136118889</v>
      </c>
      <c r="E67">
        <v>1588099077963</v>
      </c>
      <c r="F67">
        <v>1030301000</v>
      </c>
      <c r="G67" s="12">
        <v>10867083137.834688</v>
      </c>
      <c r="H67" s="3">
        <v>78400</v>
      </c>
      <c r="L67">
        <v>1020100</v>
      </c>
      <c r="M67" s="11">
        <v>4906163.2278972678</v>
      </c>
    </row>
    <row r="68" spans="1:13">
      <c r="A68" s="3">
        <v>8056</v>
      </c>
      <c r="B68" s="3">
        <v>1455</v>
      </c>
      <c r="C68" s="4">
        <v>2214.9860559148601</v>
      </c>
      <c r="D68">
        <v>64899136</v>
      </c>
      <c r="E68">
        <v>522827439616</v>
      </c>
      <c r="F68">
        <v>3080271375</v>
      </c>
      <c r="G68" s="12">
        <v>10867083137.834688</v>
      </c>
      <c r="H68" s="3">
        <v>84400</v>
      </c>
      <c r="L68">
        <v>2117025</v>
      </c>
      <c r="M68" s="11">
        <v>4906163.2278972678</v>
      </c>
    </row>
    <row r="69" spans="1:13">
      <c r="A69" s="3">
        <v>26094</v>
      </c>
      <c r="B69" s="3">
        <v>1027</v>
      </c>
      <c r="C69" s="4">
        <v>1197.17435507093</v>
      </c>
      <c r="D69">
        <v>680896836</v>
      </c>
      <c r="E69">
        <v>17767322038584</v>
      </c>
      <c r="F69">
        <v>1083206683</v>
      </c>
      <c r="G69" s="12">
        <v>1715821934.7150624</v>
      </c>
      <c r="H69" s="3">
        <v>81300</v>
      </c>
      <c r="L69">
        <v>1054729</v>
      </c>
      <c r="M69" s="11">
        <v>1433226.4364394972</v>
      </c>
    </row>
    <row r="70" spans="1:13">
      <c r="A70" s="3">
        <v>18516</v>
      </c>
      <c r="B70" s="3">
        <v>572</v>
      </c>
      <c r="C70" s="4">
        <v>2214.9860559148601</v>
      </c>
      <c r="D70">
        <v>342842256</v>
      </c>
      <c r="E70">
        <v>6348067212096</v>
      </c>
      <c r="F70">
        <v>187149248</v>
      </c>
      <c r="G70" s="12">
        <v>10867083137.834688</v>
      </c>
      <c r="H70" s="3">
        <v>85000</v>
      </c>
      <c r="L70">
        <v>327184</v>
      </c>
      <c r="M70" s="11">
        <v>4906163.2278972678</v>
      </c>
    </row>
    <row r="71" spans="1:13">
      <c r="A71" s="3">
        <v>9802</v>
      </c>
      <c r="B71" s="3">
        <v>2801</v>
      </c>
      <c r="C71" s="4">
        <v>2249.48592561738</v>
      </c>
      <c r="D71">
        <v>96079204</v>
      </c>
      <c r="E71">
        <v>941768357608</v>
      </c>
      <c r="F71">
        <v>21975528401</v>
      </c>
      <c r="G71" s="12">
        <v>11382819279.017281</v>
      </c>
      <c r="H71" s="3">
        <v>129200</v>
      </c>
      <c r="L71">
        <v>7845601</v>
      </c>
      <c r="M71" s="11">
        <v>5060186.9295506803</v>
      </c>
    </row>
    <row r="72" spans="1:13">
      <c r="A72" s="3">
        <v>17719</v>
      </c>
      <c r="B72" s="3">
        <v>768</v>
      </c>
      <c r="C72" s="4">
        <v>2249.48592561738</v>
      </c>
      <c r="D72">
        <v>313962961</v>
      </c>
      <c r="E72">
        <v>5563109705959</v>
      </c>
      <c r="F72">
        <v>452984832</v>
      </c>
      <c r="G72" s="12">
        <v>11382819279.017281</v>
      </c>
      <c r="H72" s="3">
        <v>82500</v>
      </c>
      <c r="L72">
        <v>589824</v>
      </c>
      <c r="M72" s="11">
        <v>5060186.9295506803</v>
      </c>
    </row>
    <row r="73" spans="1:13">
      <c r="A73" s="3">
        <v>7286</v>
      </c>
      <c r="B73" s="3">
        <v>935</v>
      </c>
      <c r="C73" s="4">
        <v>2249.48592561738</v>
      </c>
      <c r="D73">
        <v>53085796</v>
      </c>
      <c r="E73">
        <v>386783109656</v>
      </c>
      <c r="F73">
        <v>817400375</v>
      </c>
      <c r="G73" s="12">
        <v>11382819279.017281</v>
      </c>
      <c r="H73" s="3">
        <v>95200</v>
      </c>
      <c r="L73">
        <v>874225</v>
      </c>
      <c r="M73" s="11">
        <v>5060186.9295506803</v>
      </c>
    </row>
    <row r="74" spans="1:13">
      <c r="A74" s="3">
        <v>17500</v>
      </c>
      <c r="B74" s="3">
        <v>844</v>
      </c>
      <c r="C74" s="4">
        <v>2249.48592561738</v>
      </c>
      <c r="D74">
        <v>306250000</v>
      </c>
      <c r="E74">
        <v>5359375000000</v>
      </c>
      <c r="F74">
        <v>601211584</v>
      </c>
      <c r="G74" s="12">
        <v>11382819279.017281</v>
      </c>
      <c r="H74" s="3">
        <v>75000</v>
      </c>
      <c r="L74">
        <v>712336</v>
      </c>
      <c r="M74" s="11">
        <v>5060186.9295506803</v>
      </c>
    </row>
    <row r="75" spans="1:13">
      <c r="A75" s="3">
        <v>4999</v>
      </c>
      <c r="B75" s="3">
        <v>12</v>
      </c>
      <c r="C75" s="4">
        <v>2249.48592561738</v>
      </c>
      <c r="D75">
        <v>24990001</v>
      </c>
      <c r="E75">
        <v>124925014999</v>
      </c>
      <c r="F75">
        <v>1728</v>
      </c>
      <c r="G75" s="12">
        <v>11382819279.017281</v>
      </c>
      <c r="H75" s="3">
        <v>67500</v>
      </c>
      <c r="L75">
        <v>144</v>
      </c>
      <c r="M75" s="11">
        <v>5060186.9295506803</v>
      </c>
    </row>
    <row r="76" spans="1:13">
      <c r="A76" s="3">
        <v>24830</v>
      </c>
      <c r="B76" s="3">
        <v>835</v>
      </c>
      <c r="C76" s="4">
        <v>2249.48592561738</v>
      </c>
      <c r="D76">
        <v>616528900</v>
      </c>
      <c r="E76">
        <v>15308412587000</v>
      </c>
      <c r="F76">
        <v>582182875</v>
      </c>
      <c r="G76" s="12">
        <v>11382819279.017281</v>
      </c>
      <c r="H76" s="3">
        <v>137500</v>
      </c>
      <c r="L76">
        <v>697225</v>
      </c>
      <c r="M76" s="11">
        <v>5060186.9295506803</v>
      </c>
    </row>
    <row r="77" spans="1:13">
      <c r="A77" s="3">
        <v>32241</v>
      </c>
      <c r="B77" s="3">
        <v>1237</v>
      </c>
      <c r="C77" s="4">
        <v>2599.6389610114502</v>
      </c>
      <c r="D77">
        <v>1039482081</v>
      </c>
      <c r="E77">
        <v>33513941773521</v>
      </c>
      <c r="F77">
        <v>1892819053</v>
      </c>
      <c r="G77" s="12">
        <v>17568679145.988529</v>
      </c>
      <c r="H77" s="3">
        <v>177500</v>
      </c>
      <c r="L77">
        <v>1530169</v>
      </c>
      <c r="M77" s="11">
        <v>6758122.7276086919</v>
      </c>
    </row>
    <row r="78" spans="1:13">
      <c r="A78" s="3">
        <v>24464</v>
      </c>
      <c r="B78" s="3">
        <v>2914</v>
      </c>
      <c r="C78" s="4">
        <v>2599.6389610114502</v>
      </c>
      <c r="D78">
        <v>598487296</v>
      </c>
      <c r="E78">
        <v>14641393209344</v>
      </c>
      <c r="F78">
        <v>24743927944</v>
      </c>
      <c r="G78" s="12">
        <v>17568679145.988529</v>
      </c>
      <c r="H78" s="3">
        <v>102100</v>
      </c>
      <c r="L78">
        <v>8491396</v>
      </c>
      <c r="M78" s="11">
        <v>6758122.7276086919</v>
      </c>
    </row>
    <row r="79" spans="1:13">
      <c r="A79" s="3">
        <v>11111</v>
      </c>
      <c r="B79" s="3">
        <v>1207</v>
      </c>
      <c r="C79" s="4">
        <v>2599.6389610114502</v>
      </c>
      <c r="D79">
        <v>123454321</v>
      </c>
      <c r="E79">
        <v>1371700960631</v>
      </c>
      <c r="F79">
        <v>1758416743</v>
      </c>
      <c r="G79" s="12">
        <v>17568679145.988529</v>
      </c>
      <c r="H79" s="3">
        <v>108300</v>
      </c>
      <c r="L79">
        <v>1456849</v>
      </c>
      <c r="M79" s="11">
        <v>6758122.7276086919</v>
      </c>
    </row>
    <row r="80" spans="1:13">
      <c r="A80" s="3">
        <v>8026</v>
      </c>
      <c r="B80" s="3">
        <v>1745</v>
      </c>
      <c r="C80" s="4">
        <v>2249.48592561738</v>
      </c>
      <c r="D80">
        <v>64416676</v>
      </c>
      <c r="E80">
        <v>517008241576</v>
      </c>
      <c r="F80">
        <v>5313568625</v>
      </c>
      <c r="G80" s="12">
        <v>11382819279.017281</v>
      </c>
      <c r="H80" s="3">
        <v>112500</v>
      </c>
      <c r="L80">
        <v>3045025</v>
      </c>
      <c r="M80" s="11">
        <v>5060186.9295506803</v>
      </c>
    </row>
    <row r="81" spans="1:13">
      <c r="A81" s="3">
        <v>20114</v>
      </c>
      <c r="B81" s="3">
        <v>684</v>
      </c>
      <c r="C81" s="4">
        <v>1769.57399830806</v>
      </c>
      <c r="D81">
        <v>404572996</v>
      </c>
      <c r="E81">
        <v>8137581241544</v>
      </c>
      <c r="F81">
        <v>320013504</v>
      </c>
      <c r="G81" s="12">
        <v>5541230101.4658689</v>
      </c>
      <c r="H81" s="3">
        <v>131300</v>
      </c>
      <c r="L81">
        <v>467856</v>
      </c>
      <c r="M81" s="11">
        <v>3131392.1354879742</v>
      </c>
    </row>
    <row r="82" spans="1:13">
      <c r="A82" s="3">
        <v>25000</v>
      </c>
      <c r="B82" s="3">
        <v>924</v>
      </c>
      <c r="C82" s="4">
        <v>2599.6389610114502</v>
      </c>
      <c r="D82">
        <v>625000000</v>
      </c>
      <c r="E82">
        <v>15625000000000</v>
      </c>
      <c r="F82">
        <v>788889024</v>
      </c>
      <c r="G82" s="12">
        <v>17568679145.988529</v>
      </c>
      <c r="H82" s="3">
        <v>162500</v>
      </c>
      <c r="L82">
        <v>853776</v>
      </c>
      <c r="M82" s="11">
        <v>6758122.7276086919</v>
      </c>
    </row>
    <row r="83" spans="1:13">
      <c r="A83" s="3">
        <v>11667</v>
      </c>
      <c r="B83" s="3">
        <v>210</v>
      </c>
      <c r="C83" s="4">
        <v>3162.2730120344499</v>
      </c>
      <c r="D83">
        <v>136118889</v>
      </c>
      <c r="E83">
        <v>1588099077963</v>
      </c>
      <c r="F83">
        <v>9261000</v>
      </c>
      <c r="G83" s="12">
        <v>31622637157.870872</v>
      </c>
      <c r="H83" s="3">
        <v>112500</v>
      </c>
      <c r="L83">
        <v>44100</v>
      </c>
      <c r="M83" s="11">
        <v>9999970.6026414316</v>
      </c>
    </row>
    <row r="84" spans="1:13">
      <c r="A84" s="3">
        <v>15208</v>
      </c>
      <c r="B84" s="3">
        <v>340</v>
      </c>
      <c r="C84" s="4">
        <v>2599.6389610114502</v>
      </c>
      <c r="D84">
        <v>231283264</v>
      </c>
      <c r="E84">
        <v>3517355878912</v>
      </c>
      <c r="F84">
        <v>39304000</v>
      </c>
      <c r="G84" s="12">
        <v>17568679145.988529</v>
      </c>
      <c r="H84" s="3">
        <v>112500</v>
      </c>
      <c r="L84">
        <v>115600</v>
      </c>
      <c r="M84" s="11">
        <v>6758122.7276086919</v>
      </c>
    </row>
    <row r="85" spans="1:13">
      <c r="A85" s="3">
        <v>22075</v>
      </c>
      <c r="B85" s="3">
        <v>386</v>
      </c>
      <c r="C85" s="4">
        <v>2599.6389610114502</v>
      </c>
      <c r="D85">
        <v>487305625</v>
      </c>
      <c r="E85">
        <v>10757271671875</v>
      </c>
      <c r="F85">
        <v>57512456</v>
      </c>
      <c r="G85" s="12">
        <v>17568679145.988529</v>
      </c>
      <c r="H85" s="3">
        <v>137500</v>
      </c>
      <c r="L85">
        <v>148996</v>
      </c>
      <c r="M85" s="11">
        <v>6758122.7276086919</v>
      </c>
    </row>
    <row r="86" spans="1:13">
      <c r="A86" s="3">
        <v>18088</v>
      </c>
      <c r="B86" s="3">
        <v>948</v>
      </c>
      <c r="C86" s="4">
        <v>2599.6389610114502</v>
      </c>
      <c r="D86">
        <v>327175744</v>
      </c>
      <c r="E86">
        <v>5917954857472</v>
      </c>
      <c r="F86">
        <v>851971392</v>
      </c>
      <c r="G86" s="12">
        <v>17568679145.988529</v>
      </c>
      <c r="H86" s="3">
        <v>118800</v>
      </c>
      <c r="L86">
        <v>898704</v>
      </c>
      <c r="M86" s="11">
        <v>6758122.7276086919</v>
      </c>
    </row>
    <row r="87" spans="1:13">
      <c r="A87" s="3">
        <v>24083</v>
      </c>
      <c r="B87" s="3">
        <v>773</v>
      </c>
      <c r="C87" s="4">
        <v>2599.6389610114502</v>
      </c>
      <c r="D87">
        <v>579990889</v>
      </c>
      <c r="E87">
        <v>13967920579787</v>
      </c>
      <c r="F87">
        <v>461889917</v>
      </c>
      <c r="G87" s="12">
        <v>17568679145.988529</v>
      </c>
      <c r="H87" s="3">
        <v>98200</v>
      </c>
      <c r="L87">
        <v>597529</v>
      </c>
      <c r="M87" s="11">
        <v>6758122.7276086919</v>
      </c>
    </row>
    <row r="88" spans="1:13">
      <c r="A88" s="3">
        <v>9770</v>
      </c>
      <c r="B88" s="3">
        <v>880</v>
      </c>
      <c r="C88" s="4">
        <v>3162.2730120344499</v>
      </c>
      <c r="D88">
        <v>95452900</v>
      </c>
      <c r="E88">
        <v>932574833000</v>
      </c>
      <c r="F88">
        <v>681472000</v>
      </c>
      <c r="G88" s="12">
        <v>31622637157.870872</v>
      </c>
      <c r="H88" s="3">
        <v>118800</v>
      </c>
      <c r="L88">
        <v>774400</v>
      </c>
      <c r="M88" s="11">
        <v>9999970.6026414316</v>
      </c>
    </row>
    <row r="89" spans="1:13">
      <c r="A89" s="3">
        <v>7600</v>
      </c>
      <c r="B89" s="3">
        <v>875</v>
      </c>
      <c r="C89" s="4">
        <v>3162.2730120344499</v>
      </c>
      <c r="D89">
        <v>57760000</v>
      </c>
      <c r="E89">
        <v>438976000000</v>
      </c>
      <c r="F89">
        <v>669921875</v>
      </c>
      <c r="G89" s="12">
        <v>31622637157.870872</v>
      </c>
      <c r="H89" s="3">
        <v>162500</v>
      </c>
      <c r="L89">
        <v>765625</v>
      </c>
      <c r="M89" s="11">
        <v>9999970.6026414316</v>
      </c>
    </row>
    <row r="90" spans="1:13">
      <c r="A90" s="3">
        <v>9722</v>
      </c>
      <c r="B90" s="3">
        <v>105</v>
      </c>
      <c r="C90" s="4">
        <v>2524.6146156691798</v>
      </c>
      <c r="D90">
        <v>94517284</v>
      </c>
      <c r="E90">
        <v>918897035048</v>
      </c>
      <c r="F90">
        <v>1157625</v>
      </c>
      <c r="G90" s="12">
        <v>16091083052.067406</v>
      </c>
      <c r="H90" s="3">
        <v>137500</v>
      </c>
      <c r="L90">
        <v>11025</v>
      </c>
      <c r="M90" s="11">
        <v>6373678.9576504407</v>
      </c>
    </row>
    <row r="91" spans="1:13">
      <c r="A91" s="3">
        <v>86576</v>
      </c>
      <c r="B91" s="3">
        <v>249</v>
      </c>
      <c r="C91" s="4">
        <v>2524.6146156691798</v>
      </c>
      <c r="D91">
        <v>7495403776</v>
      </c>
      <c r="E91">
        <v>648922077310976</v>
      </c>
      <c r="F91">
        <v>15438249</v>
      </c>
      <c r="G91" s="12">
        <v>16091083052.067406</v>
      </c>
      <c r="H91" s="3">
        <v>500001</v>
      </c>
      <c r="L91">
        <v>62001</v>
      </c>
      <c r="M91" s="11">
        <v>6373678.9576504407</v>
      </c>
    </row>
    <row r="92" spans="1:13">
      <c r="A92" s="3">
        <v>20938</v>
      </c>
      <c r="B92" s="3">
        <v>994</v>
      </c>
      <c r="C92" s="4">
        <v>2524.6146156691798</v>
      </c>
      <c r="D92">
        <v>438399844</v>
      </c>
      <c r="E92">
        <v>9179215933672</v>
      </c>
      <c r="F92">
        <v>982107784</v>
      </c>
      <c r="G92" s="12">
        <v>16091083052.067406</v>
      </c>
      <c r="H92" s="3">
        <v>162500</v>
      </c>
      <c r="L92">
        <v>988036</v>
      </c>
      <c r="M92" s="11">
        <v>6373678.9576504407</v>
      </c>
    </row>
    <row r="93" spans="1:13">
      <c r="A93" s="3">
        <v>13876</v>
      </c>
      <c r="B93" s="3">
        <v>215</v>
      </c>
      <c r="C93" s="4">
        <v>1769.57399830806</v>
      </c>
      <c r="D93">
        <v>192543376</v>
      </c>
      <c r="E93">
        <v>2671731885376</v>
      </c>
      <c r="F93">
        <v>9938375</v>
      </c>
      <c r="G93" s="12">
        <v>5541230101.4658689</v>
      </c>
      <c r="H93" s="3">
        <v>137500</v>
      </c>
      <c r="L93">
        <v>46225</v>
      </c>
      <c r="M93" s="11">
        <v>3131392.1354879742</v>
      </c>
    </row>
    <row r="94" spans="1:13">
      <c r="A94" s="3">
        <v>7500</v>
      </c>
      <c r="B94" s="3">
        <v>96</v>
      </c>
      <c r="C94" s="4">
        <v>1769.57399830806</v>
      </c>
      <c r="D94">
        <v>56250000</v>
      </c>
      <c r="E94">
        <v>421875000000</v>
      </c>
      <c r="F94">
        <v>884736</v>
      </c>
      <c r="G94" s="12">
        <v>5541230101.4658689</v>
      </c>
      <c r="H94" s="3">
        <v>162500</v>
      </c>
      <c r="L94">
        <v>9216</v>
      </c>
      <c r="M94" s="11">
        <v>3131392.1354879742</v>
      </c>
    </row>
    <row r="95" spans="1:13">
      <c r="A95" s="3">
        <v>26354.000000000004</v>
      </c>
      <c r="B95" s="3">
        <v>1055</v>
      </c>
      <c r="C95" s="4">
        <v>2284.78654341632</v>
      </c>
      <c r="D95">
        <v>694533316.00000024</v>
      </c>
      <c r="E95">
        <v>18303731009864.008</v>
      </c>
      <c r="F95">
        <v>1174241375</v>
      </c>
      <c r="G95" s="12">
        <v>11927155922.776154</v>
      </c>
      <c r="H95" s="3">
        <v>187500</v>
      </c>
      <c r="L95">
        <v>1113025</v>
      </c>
      <c r="M95" s="11">
        <v>5220249.5489762956</v>
      </c>
    </row>
    <row r="96" spans="1:13">
      <c r="A96" s="3">
        <v>18477</v>
      </c>
      <c r="B96" s="3">
        <v>1715</v>
      </c>
      <c r="C96" s="4">
        <v>2524.6146156691798</v>
      </c>
      <c r="D96">
        <v>341399529</v>
      </c>
      <c r="E96">
        <v>6308039097333</v>
      </c>
      <c r="F96">
        <v>5044200875</v>
      </c>
      <c r="G96" s="12">
        <v>16091083052.067406</v>
      </c>
      <c r="H96" s="3">
        <v>179200</v>
      </c>
      <c r="L96">
        <v>2941225</v>
      </c>
      <c r="M96" s="11">
        <v>6373678.9576504407</v>
      </c>
    </row>
    <row r="97" spans="1:13">
      <c r="A97" s="3">
        <v>20096</v>
      </c>
      <c r="B97" s="3">
        <v>5329</v>
      </c>
      <c r="C97" s="4">
        <v>3340.6716189762201</v>
      </c>
      <c r="D97">
        <v>403849216</v>
      </c>
      <c r="E97">
        <v>8115753844736</v>
      </c>
      <c r="F97">
        <v>151334226289</v>
      </c>
      <c r="G97" s="12">
        <v>37282185457.998245</v>
      </c>
      <c r="H97" s="3">
        <v>130000</v>
      </c>
      <c r="L97">
        <v>28398241</v>
      </c>
      <c r="M97" s="11">
        <v>11160086.865833199</v>
      </c>
    </row>
    <row r="98" spans="1:13">
      <c r="A98" s="3">
        <v>28344.999999999996</v>
      </c>
      <c r="B98" s="3">
        <v>4596</v>
      </c>
      <c r="C98" s="4">
        <v>4569.9273854590601</v>
      </c>
      <c r="D98">
        <v>803439024.99999976</v>
      </c>
      <c r="E98">
        <v>22773479163624.992</v>
      </c>
      <c r="F98">
        <v>97082300736</v>
      </c>
      <c r="G98" s="12">
        <v>95439443430.012466</v>
      </c>
      <c r="H98" s="3">
        <v>183800</v>
      </c>
      <c r="L98">
        <v>21123216</v>
      </c>
      <c r="M98" s="11">
        <v>20884236.308368683</v>
      </c>
    </row>
    <row r="99" spans="1:13">
      <c r="A99" s="3">
        <v>20062.000000000004</v>
      </c>
      <c r="B99" s="3">
        <v>335</v>
      </c>
      <c r="C99" s="4">
        <v>3845.2217774208998</v>
      </c>
      <c r="D99">
        <v>402483844.00000012</v>
      </c>
      <c r="E99">
        <v>8074630878328.0039</v>
      </c>
      <c r="F99">
        <v>37595375</v>
      </c>
      <c r="G99" s="12">
        <v>56854412981.167526</v>
      </c>
      <c r="H99" s="3">
        <v>125000</v>
      </c>
      <c r="L99">
        <v>112225</v>
      </c>
      <c r="M99" s="11">
        <v>14785730.517551944</v>
      </c>
    </row>
    <row r="100" spans="1:13">
      <c r="A100" s="3">
        <v>12185</v>
      </c>
      <c r="B100" s="3">
        <v>3682</v>
      </c>
      <c r="C100" s="4">
        <v>4569.9273854590601</v>
      </c>
      <c r="D100">
        <v>148474225</v>
      </c>
      <c r="E100">
        <v>1809158431625</v>
      </c>
      <c r="F100">
        <v>49917330568</v>
      </c>
      <c r="G100" s="12">
        <v>95439443430.012466</v>
      </c>
      <c r="H100" s="3">
        <v>170000</v>
      </c>
      <c r="L100">
        <v>13557124</v>
      </c>
      <c r="M100" s="11">
        <v>20884236.308368683</v>
      </c>
    </row>
    <row r="101" spans="1:13">
      <c r="A101" s="3">
        <v>26104</v>
      </c>
      <c r="B101" s="3">
        <v>3633</v>
      </c>
      <c r="C101" s="4">
        <v>4569.9273854590601</v>
      </c>
      <c r="D101">
        <v>681418816</v>
      </c>
      <c r="E101">
        <v>17787756772864</v>
      </c>
      <c r="F101">
        <v>47950837137</v>
      </c>
      <c r="G101" s="12">
        <v>95439443430.012466</v>
      </c>
      <c r="H101" s="3">
        <v>193100</v>
      </c>
      <c r="L101">
        <v>13198689</v>
      </c>
      <c r="M101" s="11">
        <v>20884236.308368683</v>
      </c>
    </row>
    <row r="102" spans="1:13">
      <c r="A102" s="3">
        <v>43266</v>
      </c>
      <c r="B102" s="3">
        <v>4656</v>
      </c>
      <c r="C102" s="4">
        <v>4595.14987977277</v>
      </c>
      <c r="D102">
        <v>1871946756</v>
      </c>
      <c r="E102">
        <v>80991648345096</v>
      </c>
      <c r="F102">
        <v>100934332416</v>
      </c>
      <c r="G102" s="12">
        <v>97028438880.476639</v>
      </c>
      <c r="H102" s="3">
        <v>257800</v>
      </c>
      <c r="L102">
        <v>21678336</v>
      </c>
      <c r="M102" s="11">
        <v>21115402.417575702</v>
      </c>
    </row>
    <row r="103" spans="1:13">
      <c r="A103" s="3">
        <v>32176.999999999996</v>
      </c>
      <c r="B103" s="3">
        <v>5806</v>
      </c>
      <c r="C103" s="4">
        <v>4595.14987977277</v>
      </c>
      <c r="D103">
        <v>1035359328.9999998</v>
      </c>
      <c r="E103">
        <v>33314757129232.988</v>
      </c>
      <c r="F103">
        <v>195718146616</v>
      </c>
      <c r="G103" s="12">
        <v>97028438880.476639</v>
      </c>
      <c r="H103" s="3">
        <v>273400</v>
      </c>
      <c r="L103">
        <v>33709636</v>
      </c>
      <c r="M103" s="11">
        <v>21115402.417575702</v>
      </c>
    </row>
    <row r="104" spans="1:13">
      <c r="A104" s="3">
        <v>51250</v>
      </c>
      <c r="B104" s="3">
        <v>854</v>
      </c>
      <c r="C104" s="4">
        <v>4595.14987977277</v>
      </c>
      <c r="D104">
        <v>2626562500</v>
      </c>
      <c r="E104">
        <v>134611328125000</v>
      </c>
      <c r="F104">
        <v>622835864</v>
      </c>
      <c r="G104" s="12">
        <v>97028438880.476639</v>
      </c>
      <c r="H104" s="3">
        <v>237500</v>
      </c>
      <c r="L104">
        <v>729316</v>
      </c>
      <c r="M104" s="11">
        <v>21115402.417575702</v>
      </c>
    </row>
    <row r="105" spans="1:13">
      <c r="A105" s="3">
        <v>43954</v>
      </c>
      <c r="B105" s="3">
        <v>2155</v>
      </c>
      <c r="C105" s="4">
        <v>4595.14987977277</v>
      </c>
      <c r="D105">
        <v>1931954116</v>
      </c>
      <c r="E105">
        <v>84917111214664</v>
      </c>
      <c r="F105">
        <v>10007873875</v>
      </c>
      <c r="G105" s="12">
        <v>97028438880.476639</v>
      </c>
      <c r="H105" s="3">
        <v>350000</v>
      </c>
      <c r="L105">
        <v>4644025</v>
      </c>
      <c r="M105" s="11">
        <v>21115402.417575702</v>
      </c>
    </row>
    <row r="106" spans="1:13">
      <c r="A106" s="3">
        <v>28405.999999999996</v>
      </c>
      <c r="B106" s="3">
        <v>5871</v>
      </c>
      <c r="C106" s="4">
        <v>3845.2217774208998</v>
      </c>
      <c r="D106">
        <v>806900835.99999976</v>
      </c>
      <c r="E106">
        <v>22920825147415.992</v>
      </c>
      <c r="F106">
        <v>202365391311</v>
      </c>
      <c r="G106" s="12">
        <v>56854412981.167526</v>
      </c>
      <c r="H106" s="3">
        <v>335700</v>
      </c>
      <c r="L106">
        <v>34468641</v>
      </c>
      <c r="M106" s="11">
        <v>14785730.517551944</v>
      </c>
    </row>
    <row r="107" spans="1:13">
      <c r="A107" s="3">
        <v>59306</v>
      </c>
      <c r="B107" s="3">
        <v>1509</v>
      </c>
      <c r="C107" s="4">
        <v>5923.3072356235598</v>
      </c>
      <c r="D107">
        <v>3517201636</v>
      </c>
      <c r="E107">
        <v>208591160224616</v>
      </c>
      <c r="F107">
        <v>3436115229</v>
      </c>
      <c r="G107" s="12">
        <v>207822602399.30713</v>
      </c>
      <c r="H107" s="3">
        <v>313400</v>
      </c>
      <c r="L107">
        <v>2277081</v>
      </c>
      <c r="M107" s="11">
        <v>35085568.607590415</v>
      </c>
    </row>
    <row r="108" spans="1:13">
      <c r="A108" s="3">
        <v>32727</v>
      </c>
      <c r="B108" s="3">
        <v>2026</v>
      </c>
      <c r="C108" s="4">
        <v>5384.1421071774403</v>
      </c>
      <c r="D108">
        <v>1071056529</v>
      </c>
      <c r="E108">
        <v>35052467024583</v>
      </c>
      <c r="F108">
        <v>8316073576</v>
      </c>
      <c r="G108" s="12">
        <v>156080821406.84363</v>
      </c>
      <c r="H108" s="3">
        <v>268500</v>
      </c>
      <c r="L108">
        <v>4104676</v>
      </c>
      <c r="M108" s="11">
        <v>28988986.230281126</v>
      </c>
    </row>
    <row r="109" spans="1:13">
      <c r="A109" s="3">
        <v>31690.999999999996</v>
      </c>
      <c r="B109" s="3">
        <v>1758</v>
      </c>
      <c r="C109" s="4">
        <v>4595.14987977277</v>
      </c>
      <c r="D109">
        <v>1004319480.9999998</v>
      </c>
      <c r="E109">
        <v>31827888672370.988</v>
      </c>
      <c r="F109">
        <v>5433211512</v>
      </c>
      <c r="G109" s="12">
        <v>97028438880.476639</v>
      </c>
      <c r="H109" s="3">
        <v>259400</v>
      </c>
      <c r="L109">
        <v>3090564</v>
      </c>
      <c r="M109" s="11">
        <v>21115402.417575702</v>
      </c>
    </row>
    <row r="110" spans="1:13">
      <c r="A110" s="3">
        <v>39000</v>
      </c>
      <c r="B110" s="3">
        <v>3481</v>
      </c>
      <c r="C110" s="4">
        <v>5923.3072356235598</v>
      </c>
      <c r="D110">
        <v>1521000000</v>
      </c>
      <c r="E110">
        <v>59319000000000</v>
      </c>
      <c r="F110">
        <v>42180533641</v>
      </c>
      <c r="G110" s="12">
        <v>207822602399.30713</v>
      </c>
      <c r="H110" s="3">
        <v>275700</v>
      </c>
      <c r="L110">
        <v>12117361</v>
      </c>
      <c r="M110" s="11">
        <v>35085568.607590415</v>
      </c>
    </row>
    <row r="111" spans="1:13">
      <c r="A111" s="3">
        <v>39063</v>
      </c>
      <c r="B111" s="3">
        <v>3337</v>
      </c>
      <c r="C111" s="4">
        <v>5216.6129854913097</v>
      </c>
      <c r="D111">
        <v>1525917969</v>
      </c>
      <c r="E111">
        <v>59606933623047</v>
      </c>
      <c r="F111">
        <v>37159393753</v>
      </c>
      <c r="G111" s="12">
        <v>141959955432.17047</v>
      </c>
      <c r="H111" s="3">
        <v>225000</v>
      </c>
      <c r="L111">
        <v>11135569</v>
      </c>
      <c r="M111" s="11">
        <v>27213051.040396556</v>
      </c>
    </row>
    <row r="112" spans="1:13">
      <c r="A112" s="3">
        <v>50917</v>
      </c>
      <c r="B112" s="3">
        <v>1424</v>
      </c>
      <c r="C112" s="4">
        <v>5216.6129854913097</v>
      </c>
      <c r="D112">
        <v>2592540889</v>
      </c>
      <c r="E112">
        <v>132004404445213</v>
      </c>
      <c r="F112">
        <v>2887553024</v>
      </c>
      <c r="G112" s="12">
        <v>141959955432.17047</v>
      </c>
      <c r="H112" s="3">
        <v>262500</v>
      </c>
      <c r="L112">
        <v>2027776</v>
      </c>
      <c r="M112" s="11">
        <v>27213051.040396556</v>
      </c>
    </row>
    <row r="113" spans="1:13">
      <c r="A113" s="3">
        <v>26429</v>
      </c>
      <c r="B113" s="3">
        <v>3809</v>
      </c>
      <c r="C113" s="4">
        <v>5216.6129854913097</v>
      </c>
      <c r="D113">
        <v>698492041</v>
      </c>
      <c r="E113">
        <v>18460446151589</v>
      </c>
      <c r="F113">
        <v>55262804129</v>
      </c>
      <c r="G113" s="12">
        <v>141959955432.17047</v>
      </c>
      <c r="H113" s="3">
        <v>218500</v>
      </c>
      <c r="L113">
        <v>14508481</v>
      </c>
      <c r="M113" s="11">
        <v>27213051.040396556</v>
      </c>
    </row>
    <row r="114" spans="1:13">
      <c r="A114" s="3">
        <v>44233</v>
      </c>
      <c r="B114" s="3">
        <v>3959</v>
      </c>
      <c r="C114" s="4">
        <v>5216.6129854913097</v>
      </c>
      <c r="D114">
        <v>1956558289</v>
      </c>
      <c r="E114">
        <v>86544442797337</v>
      </c>
      <c r="F114">
        <v>62052103079</v>
      </c>
      <c r="G114" s="12">
        <v>141959955432.17047</v>
      </c>
      <c r="H114" s="3">
        <v>255000</v>
      </c>
      <c r="L114">
        <v>15673681</v>
      </c>
      <c r="M114" s="11">
        <v>27213051.040396556</v>
      </c>
    </row>
    <row r="115" spans="1:13">
      <c r="A115" s="3">
        <v>31484</v>
      </c>
      <c r="B115" s="3">
        <v>2376</v>
      </c>
      <c r="C115" s="4">
        <v>5981.9362813173502</v>
      </c>
      <c r="D115">
        <v>991242256</v>
      </c>
      <c r="E115">
        <v>31208271187904</v>
      </c>
      <c r="F115">
        <v>13413413376</v>
      </c>
      <c r="G115" s="12">
        <v>214054985850.90738</v>
      </c>
      <c r="H115" s="3">
        <v>224100</v>
      </c>
      <c r="L115">
        <v>5645376</v>
      </c>
      <c r="M115" s="11">
        <v>35783561.673740849</v>
      </c>
    </row>
    <row r="116" spans="1:13">
      <c r="A116" s="3">
        <v>34722</v>
      </c>
      <c r="B116" s="3">
        <v>1613</v>
      </c>
      <c r="C116" s="4">
        <v>5981.9362813173502</v>
      </c>
      <c r="D116">
        <v>1205617284</v>
      </c>
      <c r="E116">
        <v>41861443335048</v>
      </c>
      <c r="F116">
        <v>4196653397</v>
      </c>
      <c r="G116" s="12">
        <v>214054985850.90738</v>
      </c>
      <c r="H116" s="3">
        <v>243100</v>
      </c>
      <c r="L116">
        <v>2601769</v>
      </c>
      <c r="M116" s="11">
        <v>35783561.673740849</v>
      </c>
    </row>
    <row r="117" spans="1:13">
      <c r="A117" s="3">
        <v>31429</v>
      </c>
      <c r="B117" s="3">
        <v>1279</v>
      </c>
      <c r="C117" s="4">
        <v>5981.9362813173502</v>
      </c>
      <c r="D117">
        <v>987782041</v>
      </c>
      <c r="E117">
        <v>31045001766589</v>
      </c>
      <c r="F117">
        <v>2092240639</v>
      </c>
      <c r="G117" s="12">
        <v>214054985850.90738</v>
      </c>
      <c r="H117" s="3">
        <v>231600</v>
      </c>
      <c r="L117">
        <v>1635841</v>
      </c>
      <c r="M117" s="11">
        <v>35783561.673740849</v>
      </c>
    </row>
    <row r="118" spans="1:13">
      <c r="A118" s="3">
        <v>24234</v>
      </c>
      <c r="B118" s="3">
        <v>5022</v>
      </c>
      <c r="C118" s="4">
        <v>5981.9362813173502</v>
      </c>
      <c r="D118">
        <v>587286756</v>
      </c>
      <c r="E118">
        <v>14232307244904</v>
      </c>
      <c r="F118">
        <v>126657270648</v>
      </c>
      <c r="G118" s="12">
        <v>214054985850.90738</v>
      </c>
      <c r="H118" s="3">
        <v>218500</v>
      </c>
      <c r="L118">
        <v>25220484</v>
      </c>
      <c r="M118" s="11">
        <v>35783561.673740849</v>
      </c>
    </row>
    <row r="119" spans="1:13">
      <c r="A119" s="3">
        <v>30897</v>
      </c>
      <c r="B119" s="3">
        <v>4190</v>
      </c>
      <c r="C119" s="4">
        <v>5981.9362813173502</v>
      </c>
      <c r="D119">
        <v>954624609</v>
      </c>
      <c r="E119">
        <v>29495036544273</v>
      </c>
      <c r="F119">
        <v>73560059000</v>
      </c>
      <c r="G119" s="12">
        <v>214054985850.90738</v>
      </c>
      <c r="H119" s="3">
        <v>234100</v>
      </c>
      <c r="L119">
        <v>17556100</v>
      </c>
      <c r="M119" s="11">
        <v>35783561.673740849</v>
      </c>
    </row>
    <row r="120" spans="1:13">
      <c r="A120" s="3">
        <v>58596</v>
      </c>
      <c r="B120" s="3">
        <v>2515</v>
      </c>
      <c r="C120" s="4">
        <v>8006.9337455886998</v>
      </c>
      <c r="D120">
        <v>3433491216</v>
      </c>
      <c r="E120">
        <v>201188851292736</v>
      </c>
      <c r="F120">
        <v>15907940875</v>
      </c>
      <c r="G120" s="12">
        <v>513332433330.2522</v>
      </c>
      <c r="H120" s="3">
        <v>327600</v>
      </c>
      <c r="L120">
        <v>6325225</v>
      </c>
      <c r="M120" s="11">
        <v>64110988.006247088</v>
      </c>
    </row>
    <row r="121" spans="1:13">
      <c r="A121" s="3">
        <v>52868.000000000007</v>
      </c>
      <c r="B121" s="3">
        <v>3175</v>
      </c>
      <c r="C121" s="4">
        <v>8006.9337455886998</v>
      </c>
      <c r="D121">
        <v>2795025424.000001</v>
      </c>
      <c r="E121">
        <v>147767404116032.06</v>
      </c>
      <c r="F121">
        <v>32005984375</v>
      </c>
      <c r="G121" s="12">
        <v>513332433330.2522</v>
      </c>
      <c r="H121" s="3">
        <v>347600</v>
      </c>
      <c r="L121">
        <v>10080625</v>
      </c>
      <c r="M121" s="11">
        <v>64110988.006247088</v>
      </c>
    </row>
    <row r="122" spans="1:13">
      <c r="A122" s="3">
        <v>59560.000000000007</v>
      </c>
      <c r="B122" s="3">
        <v>2576</v>
      </c>
      <c r="C122" s="4">
        <v>6607.1940213289499</v>
      </c>
      <c r="D122">
        <v>3547393600.000001</v>
      </c>
      <c r="E122">
        <v>211282762816000.09</v>
      </c>
      <c r="F122">
        <v>17093758976</v>
      </c>
      <c r="G122" s="12">
        <v>288437139807.65521</v>
      </c>
      <c r="H122" s="3">
        <v>366100</v>
      </c>
      <c r="L122">
        <v>6635776</v>
      </c>
      <c r="M122" s="11">
        <v>43655012.835485019</v>
      </c>
    </row>
    <row r="123" spans="1:13">
      <c r="A123" s="3">
        <v>49643</v>
      </c>
      <c r="B123" s="3">
        <v>334</v>
      </c>
      <c r="C123" s="4">
        <v>8259.0851093229303</v>
      </c>
      <c r="D123">
        <v>2464427449</v>
      </c>
      <c r="E123">
        <v>122341571850707</v>
      </c>
      <c r="F123">
        <v>37259704</v>
      </c>
      <c r="G123" s="12">
        <v>563372734355.23608</v>
      </c>
      <c r="H123" s="3">
        <v>335000</v>
      </c>
      <c r="L123">
        <v>111556</v>
      </c>
      <c r="M123" s="11">
        <v>68212486.843039766</v>
      </c>
    </row>
    <row r="124" spans="1:13">
      <c r="A124" s="3">
        <v>63434</v>
      </c>
      <c r="B124" s="3">
        <v>2800</v>
      </c>
      <c r="C124" s="4">
        <v>8810.4982854766404</v>
      </c>
      <c r="D124">
        <v>4023872356</v>
      </c>
      <c r="E124">
        <v>255250319030504</v>
      </c>
      <c r="F124">
        <v>21952000000</v>
      </c>
      <c r="G124" s="12">
        <v>683913872488.53699</v>
      </c>
      <c r="H124" s="3">
        <v>373600</v>
      </c>
      <c r="L124">
        <v>7840000</v>
      </c>
      <c r="M124" s="11">
        <v>77624880.038386822</v>
      </c>
    </row>
    <row r="125" spans="1:13">
      <c r="A125" s="3">
        <v>51773</v>
      </c>
      <c r="B125" s="3">
        <v>3529</v>
      </c>
      <c r="C125" s="4">
        <v>7395.76357883113</v>
      </c>
      <c r="D125">
        <v>2680443529</v>
      </c>
      <c r="E125">
        <v>138774602826917</v>
      </c>
      <c r="F125">
        <v>43949604889</v>
      </c>
      <c r="G125" s="12">
        <v>404528439083.61377</v>
      </c>
      <c r="H125" s="3">
        <v>389500</v>
      </c>
      <c r="L125">
        <v>12453841</v>
      </c>
      <c r="M125" s="11">
        <v>54697318.913965046</v>
      </c>
    </row>
    <row r="126" spans="1:13">
      <c r="A126" s="3">
        <v>72354</v>
      </c>
      <c r="B126" s="3">
        <v>2612</v>
      </c>
      <c r="C126" s="4">
        <v>8259.0851093229303</v>
      </c>
      <c r="D126">
        <v>5235101316</v>
      </c>
      <c r="E126">
        <v>378780520617864</v>
      </c>
      <c r="F126">
        <v>17820484928</v>
      </c>
      <c r="G126" s="12">
        <v>563372734355.23608</v>
      </c>
      <c r="H126" s="3">
        <v>391100</v>
      </c>
      <c r="L126">
        <v>6822544</v>
      </c>
      <c r="M126" s="11">
        <v>68212486.843039766</v>
      </c>
    </row>
    <row r="127" spans="1:13">
      <c r="A127" s="3">
        <v>54570</v>
      </c>
      <c r="B127" s="3">
        <v>5287</v>
      </c>
      <c r="C127" s="4">
        <v>9411.7133642204099</v>
      </c>
      <c r="D127">
        <v>2977884900</v>
      </c>
      <c r="E127">
        <v>162503178993000</v>
      </c>
      <c r="F127">
        <v>147784174903</v>
      </c>
      <c r="G127" s="12">
        <v>833692849316.47217</v>
      </c>
      <c r="H127" s="3">
        <v>337300</v>
      </c>
      <c r="L127">
        <v>27952369</v>
      </c>
      <c r="M127" s="11">
        <v>88580348.450245067</v>
      </c>
    </row>
    <row r="128" spans="1:13">
      <c r="A128" s="3">
        <v>75000</v>
      </c>
      <c r="B128" s="3">
        <v>2935</v>
      </c>
      <c r="C128" s="4">
        <v>8664.1757534493408</v>
      </c>
      <c r="D128">
        <v>5625000000</v>
      </c>
      <c r="E128">
        <v>421875000000000</v>
      </c>
      <c r="F128">
        <v>25282750375</v>
      </c>
      <c r="G128" s="12">
        <v>650401838490.06873</v>
      </c>
      <c r="H128" s="3">
        <v>295200</v>
      </c>
      <c r="L128">
        <v>8614225</v>
      </c>
      <c r="M128" s="11">
        <v>75067941.486659452</v>
      </c>
    </row>
    <row r="129" spans="1:13">
      <c r="A129" s="3">
        <v>60194</v>
      </c>
      <c r="B129" s="3">
        <v>3424</v>
      </c>
      <c r="C129" s="4">
        <v>9357.7870904273404</v>
      </c>
      <c r="D129">
        <v>3623317636</v>
      </c>
      <c r="E129">
        <v>218101981781384</v>
      </c>
      <c r="F129">
        <v>40142209024</v>
      </c>
      <c r="G129" s="12">
        <v>819444377128.55603</v>
      </c>
      <c r="H129" s="3">
        <v>292300</v>
      </c>
      <c r="L129">
        <v>11723776</v>
      </c>
      <c r="M129" s="11">
        <v>87568179.229768589</v>
      </c>
    </row>
    <row r="130" spans="1:13">
      <c r="A130" s="3">
        <v>75544</v>
      </c>
      <c r="B130" s="3">
        <v>4991</v>
      </c>
      <c r="C130" s="4">
        <v>8748.1613890563804</v>
      </c>
      <c r="D130">
        <v>5706895936</v>
      </c>
      <c r="E130">
        <v>431121746589184</v>
      </c>
      <c r="F130">
        <v>124326214271</v>
      </c>
      <c r="G130" s="12">
        <v>669499657780.53967</v>
      </c>
      <c r="H130" s="3">
        <v>411500</v>
      </c>
      <c r="L130">
        <v>24910081</v>
      </c>
      <c r="M130" s="11">
        <v>76530327.688976854</v>
      </c>
    </row>
    <row r="131" spans="1:13">
      <c r="A131" s="3">
        <v>60666</v>
      </c>
      <c r="B131" s="3">
        <v>2211</v>
      </c>
      <c r="C131" s="4">
        <v>10080.262947580901</v>
      </c>
      <c r="D131">
        <v>3680363556</v>
      </c>
      <c r="E131">
        <v>223272935488296</v>
      </c>
      <c r="F131">
        <v>10808519931</v>
      </c>
      <c r="G131" s="12">
        <v>1024272665562.1072</v>
      </c>
      <c r="H131" s="3">
        <v>311500</v>
      </c>
      <c r="L131">
        <v>4888521</v>
      </c>
      <c r="M131" s="11">
        <v>101611701.09237239</v>
      </c>
    </row>
    <row r="132" spans="1:13">
      <c r="A132" s="3">
        <v>70548</v>
      </c>
      <c r="B132" s="3">
        <v>3038</v>
      </c>
      <c r="C132" s="4">
        <v>9357.7870904273404</v>
      </c>
      <c r="D132">
        <v>4977020304</v>
      </c>
      <c r="E132">
        <v>351118828406592</v>
      </c>
      <c r="F132">
        <v>28039050872</v>
      </c>
      <c r="G132" s="12">
        <v>819444377128.55603</v>
      </c>
      <c r="H132" s="3">
        <v>325900</v>
      </c>
      <c r="L132">
        <v>9229444</v>
      </c>
      <c r="M132" s="11">
        <v>87568179.229768589</v>
      </c>
    </row>
    <row r="133" spans="1:13">
      <c r="A133" s="3">
        <v>116016.99999999999</v>
      </c>
      <c r="B133" s="3">
        <v>1617</v>
      </c>
      <c r="C133" s="4">
        <v>10825.8259229329</v>
      </c>
      <c r="D133">
        <v>13459944288.999996</v>
      </c>
      <c r="E133">
        <v>1561582356576912.3</v>
      </c>
      <c r="F133">
        <v>4227952113</v>
      </c>
      <c r="G133" s="12">
        <v>1268770634274.7793</v>
      </c>
      <c r="H133" s="3">
        <v>392600</v>
      </c>
      <c r="L133">
        <v>2614689</v>
      </c>
      <c r="M133" s="11">
        <v>117198506.91364597</v>
      </c>
    </row>
    <row r="134" spans="1:13">
      <c r="A134" s="3">
        <v>74882</v>
      </c>
      <c r="B134" s="3">
        <v>2865</v>
      </c>
      <c r="C134" s="4">
        <v>10080.262947580901</v>
      </c>
      <c r="D134">
        <v>5607313924</v>
      </c>
      <c r="E134">
        <v>419886881256968</v>
      </c>
      <c r="F134">
        <v>23516564625</v>
      </c>
      <c r="G134" s="12">
        <v>1024272665562.1072</v>
      </c>
      <c r="H134" s="3">
        <v>319300</v>
      </c>
      <c r="L134">
        <v>8208225</v>
      </c>
      <c r="M134" s="11">
        <v>101611701.09237239</v>
      </c>
    </row>
    <row r="135" spans="1:13">
      <c r="A135" s="3">
        <v>68976</v>
      </c>
      <c r="B135" s="3">
        <v>5065</v>
      </c>
      <c r="C135" s="4">
        <v>8748.1613890563804</v>
      </c>
      <c r="D135">
        <v>4757688576</v>
      </c>
      <c r="E135">
        <v>328166327218176</v>
      </c>
      <c r="F135">
        <v>129938649625</v>
      </c>
      <c r="G135" s="12">
        <v>669499657780.53967</v>
      </c>
      <c r="H135" s="3">
        <v>333300</v>
      </c>
      <c r="L135">
        <v>25654225</v>
      </c>
      <c r="M135" s="11">
        <v>76530327.688976854</v>
      </c>
    </row>
    <row r="136" spans="1:13">
      <c r="A136" s="3">
        <v>82049</v>
      </c>
      <c r="B136" s="3">
        <v>1326</v>
      </c>
      <c r="C136" s="4">
        <v>10303.624156869901</v>
      </c>
      <c r="D136">
        <v>6732038401</v>
      </c>
      <c r="E136">
        <v>552357018763649</v>
      </c>
      <c r="F136">
        <v>2331473976</v>
      </c>
      <c r="G136" s="12">
        <v>1093880866311.037</v>
      </c>
      <c r="H136" s="3">
        <v>335200</v>
      </c>
      <c r="L136">
        <v>1758276</v>
      </c>
      <c r="M136" s="11">
        <v>106164670.76603296</v>
      </c>
    </row>
    <row r="137" spans="1:13">
      <c r="A137" s="3">
        <v>84010</v>
      </c>
      <c r="B137" s="3">
        <v>1589</v>
      </c>
      <c r="C137" s="4">
        <v>9517.1294347624607</v>
      </c>
      <c r="D137">
        <v>7057680100</v>
      </c>
      <c r="E137">
        <v>592915705201000</v>
      </c>
      <c r="F137">
        <v>4012099469</v>
      </c>
      <c r="G137" s="12">
        <v>862021161887.76831</v>
      </c>
      <c r="H137" s="3">
        <v>351200</v>
      </c>
      <c r="L137">
        <v>2524921</v>
      </c>
      <c r="M137" s="11">
        <v>90575752.678022042</v>
      </c>
    </row>
    <row r="138" spans="1:13">
      <c r="A138" s="3">
        <v>68538</v>
      </c>
      <c r="B138" s="3">
        <v>1791</v>
      </c>
      <c r="C138" s="4">
        <v>10303.624156869901</v>
      </c>
      <c r="D138">
        <v>4697457444</v>
      </c>
      <c r="E138">
        <v>321954338296872</v>
      </c>
      <c r="F138">
        <v>5744956671</v>
      </c>
      <c r="G138" s="12">
        <v>1093880866311.037</v>
      </c>
      <c r="H138" s="3">
        <v>368900</v>
      </c>
      <c r="L138">
        <v>3207681</v>
      </c>
      <c r="M138" s="11">
        <v>106164670.76603296</v>
      </c>
    </row>
    <row r="139" spans="1:13">
      <c r="A139" s="3">
        <v>83170</v>
      </c>
      <c r="B139" s="3">
        <v>1835</v>
      </c>
      <c r="C139" s="4">
        <v>9879.4582441998991</v>
      </c>
      <c r="D139">
        <v>6917248900</v>
      </c>
      <c r="E139">
        <v>575307591013000</v>
      </c>
      <c r="F139">
        <v>6178857875</v>
      </c>
      <c r="G139" s="12">
        <v>964271631197.04163</v>
      </c>
      <c r="H139" s="3">
        <v>365900</v>
      </c>
      <c r="L139">
        <v>3367225</v>
      </c>
      <c r="M139" s="11">
        <v>97603695.19888936</v>
      </c>
    </row>
    <row r="140" spans="1:13">
      <c r="A140" s="3">
        <v>70175</v>
      </c>
      <c r="B140" s="3">
        <v>1229</v>
      </c>
      <c r="C140" s="4">
        <v>9056.0844276589796</v>
      </c>
      <c r="D140">
        <v>4924530625</v>
      </c>
      <c r="E140">
        <v>345578936609375</v>
      </c>
      <c r="F140">
        <v>1856331989</v>
      </c>
      <c r="G140" s="12">
        <v>742713619834.32312</v>
      </c>
      <c r="H140" s="3">
        <v>366700</v>
      </c>
      <c r="L140">
        <v>1510441</v>
      </c>
      <c r="M140" s="11">
        <v>82012665.160887465</v>
      </c>
    </row>
    <row r="141" spans="1:13">
      <c r="A141" s="3">
        <v>63301.999999999993</v>
      </c>
      <c r="B141" s="3">
        <v>3770</v>
      </c>
      <c r="C141" s="4">
        <v>9056.0844276589796</v>
      </c>
      <c r="D141">
        <v>4007143203.999999</v>
      </c>
      <c r="E141">
        <v>253660179099607.91</v>
      </c>
      <c r="F141">
        <v>53582633000</v>
      </c>
      <c r="G141" s="12">
        <v>742713619834.32312</v>
      </c>
      <c r="H141" s="3">
        <v>362800</v>
      </c>
      <c r="L141">
        <v>14212900</v>
      </c>
      <c r="M141" s="11">
        <v>82012665.160887465</v>
      </c>
    </row>
    <row r="142" spans="1:13">
      <c r="A142" s="3">
        <v>63624</v>
      </c>
      <c r="B142" s="3">
        <v>292</v>
      </c>
      <c r="C142" s="4">
        <v>9430.4481651929691</v>
      </c>
      <c r="D142">
        <v>4048013376</v>
      </c>
      <c r="E142">
        <v>257550803034624</v>
      </c>
      <c r="F142">
        <v>24897088</v>
      </c>
      <c r="G142" s="12">
        <v>838681371817.099</v>
      </c>
      <c r="H142" s="3">
        <v>483300</v>
      </c>
      <c r="L142">
        <v>85264</v>
      </c>
      <c r="M142" s="11">
        <v>88933352.596391439</v>
      </c>
    </row>
    <row r="143" spans="1:13">
      <c r="A143" s="3">
        <v>70549</v>
      </c>
      <c r="B143" s="3">
        <v>2375</v>
      </c>
      <c r="C143" s="4">
        <v>8244.1092502941501</v>
      </c>
      <c r="D143">
        <v>4977161401</v>
      </c>
      <c r="E143">
        <v>351133759679149</v>
      </c>
      <c r="F143">
        <v>13396484375</v>
      </c>
      <c r="G143" s="12">
        <v>560313666188.09167</v>
      </c>
      <c r="H143" s="3">
        <v>331400</v>
      </c>
      <c r="L143">
        <v>5640625</v>
      </c>
      <c r="M143" s="11">
        <v>67965337.330785573</v>
      </c>
    </row>
    <row r="144" spans="1:13">
      <c r="A144" s="3">
        <v>67851</v>
      </c>
      <c r="B144" s="3">
        <v>2964</v>
      </c>
      <c r="C144" s="4">
        <v>8713.3482967782402</v>
      </c>
      <c r="D144">
        <v>4603758201</v>
      </c>
      <c r="E144">
        <v>312369597696051</v>
      </c>
      <c r="F144">
        <v>26039617344</v>
      </c>
      <c r="G144" s="12">
        <v>661538650548.19641</v>
      </c>
      <c r="H144" s="3">
        <v>323500</v>
      </c>
      <c r="L144">
        <v>8785296</v>
      </c>
      <c r="M144" s="11">
        <v>75922438.540968254</v>
      </c>
    </row>
    <row r="145" spans="1:13">
      <c r="A145" s="3">
        <v>28929</v>
      </c>
      <c r="B145" s="3">
        <v>2833</v>
      </c>
      <c r="C145" s="4">
        <v>7632.4268854803504</v>
      </c>
      <c r="D145">
        <v>836887041</v>
      </c>
      <c r="E145">
        <v>24210305209089</v>
      </c>
      <c r="F145">
        <v>22737343537</v>
      </c>
      <c r="G145" s="12">
        <v>444618939079.16388</v>
      </c>
      <c r="H145" s="3">
        <v>216700</v>
      </c>
      <c r="L145">
        <v>8025889</v>
      </c>
      <c r="M145" s="11">
        <v>58253940.162203282</v>
      </c>
    </row>
    <row r="146" spans="1:13">
      <c r="A146" s="3">
        <v>30812</v>
      </c>
      <c r="B146" s="3">
        <v>2254</v>
      </c>
      <c r="C146" s="4">
        <v>7632.4268854803504</v>
      </c>
      <c r="D146">
        <v>949379344</v>
      </c>
      <c r="E146">
        <v>29252276347328</v>
      </c>
      <c r="F146">
        <v>11451483064</v>
      </c>
      <c r="G146" s="12">
        <v>444618939079.16388</v>
      </c>
      <c r="H146" s="3">
        <v>233100</v>
      </c>
      <c r="L146">
        <v>5080516</v>
      </c>
      <c r="M146" s="11">
        <v>58253940.162203282</v>
      </c>
    </row>
    <row r="147" spans="1:13">
      <c r="A147" s="3">
        <v>52402</v>
      </c>
      <c r="B147" s="3">
        <v>1389</v>
      </c>
      <c r="C147" s="4">
        <v>7865.9524633190404</v>
      </c>
      <c r="D147">
        <v>2745969604</v>
      </c>
      <c r="E147">
        <v>143894299188808</v>
      </c>
      <c r="F147">
        <v>2679826869</v>
      </c>
      <c r="G147" s="12">
        <v>486691714101.80688</v>
      </c>
      <c r="H147" s="3">
        <v>296400</v>
      </c>
      <c r="L147">
        <v>1929321</v>
      </c>
      <c r="M147" s="11">
        <v>61873208.155194879</v>
      </c>
    </row>
    <row r="148" spans="1:13">
      <c r="A148" s="3">
        <v>65217</v>
      </c>
      <c r="B148" s="3">
        <v>1971</v>
      </c>
      <c r="C148" s="4">
        <v>7026.22866235321</v>
      </c>
      <c r="D148">
        <v>4253257089</v>
      </c>
      <c r="E148">
        <v>277384667573313</v>
      </c>
      <c r="F148">
        <v>7657021611</v>
      </c>
      <c r="G148" s="12">
        <v>346870078207.04504</v>
      </c>
      <c r="H148" s="3">
        <v>273700</v>
      </c>
      <c r="L148">
        <v>3884841</v>
      </c>
      <c r="M148" s="11">
        <v>49367889.215673782</v>
      </c>
    </row>
    <row r="149" spans="1:13">
      <c r="A149" s="3">
        <v>32632</v>
      </c>
      <c r="B149" s="3">
        <v>2183</v>
      </c>
      <c r="C149" s="4">
        <v>6763.6475365435599</v>
      </c>
      <c r="D149">
        <v>1064847424</v>
      </c>
      <c r="E149">
        <v>34748101139968</v>
      </c>
      <c r="F149">
        <v>10403062487</v>
      </c>
      <c r="G149" s="12">
        <v>309416096862.11078</v>
      </c>
      <c r="H149" s="3">
        <v>227700</v>
      </c>
      <c r="L149">
        <v>4765489</v>
      </c>
      <c r="M149" s="11">
        <v>45746927.998591766</v>
      </c>
    </row>
    <row r="150" spans="1:13">
      <c r="A150" s="3">
        <v>30298</v>
      </c>
      <c r="B150" s="3">
        <v>2286</v>
      </c>
      <c r="C150" s="4">
        <v>6763.6475365435599</v>
      </c>
      <c r="D150">
        <v>917968804</v>
      </c>
      <c r="E150">
        <v>27812618823592</v>
      </c>
      <c r="F150">
        <v>11946169656</v>
      </c>
      <c r="G150" s="12">
        <v>309416096862.11078</v>
      </c>
      <c r="H150" s="3">
        <v>199600</v>
      </c>
      <c r="L150">
        <v>5225796</v>
      </c>
      <c r="M150" s="11">
        <v>45746927.998591766</v>
      </c>
    </row>
    <row r="151" spans="1:13">
      <c r="A151" s="3">
        <v>45428</v>
      </c>
      <c r="B151" s="3">
        <v>2721</v>
      </c>
      <c r="C151" s="4">
        <v>6763.6475365435599</v>
      </c>
      <c r="D151">
        <v>2063703184</v>
      </c>
      <c r="E151">
        <v>93749908242752</v>
      </c>
      <c r="F151">
        <v>20145851361</v>
      </c>
      <c r="G151" s="12">
        <v>309416096862.11078</v>
      </c>
      <c r="H151" s="3">
        <v>239800</v>
      </c>
      <c r="L151">
        <v>7403841</v>
      </c>
      <c r="M151" s="11">
        <v>45746927.998591766</v>
      </c>
    </row>
    <row r="152" spans="1:13">
      <c r="A152" s="3">
        <v>40720</v>
      </c>
      <c r="B152" s="3">
        <v>2024</v>
      </c>
      <c r="C152" s="4">
        <v>7026.22866235321</v>
      </c>
      <c r="D152">
        <v>1658118400</v>
      </c>
      <c r="E152">
        <v>67518581248000</v>
      </c>
      <c r="F152">
        <v>8291469824</v>
      </c>
      <c r="G152" s="12">
        <v>346870078207.04504</v>
      </c>
      <c r="H152" s="3">
        <v>270100</v>
      </c>
      <c r="L152">
        <v>4096576</v>
      </c>
      <c r="M152" s="11">
        <v>49367889.215673782</v>
      </c>
    </row>
    <row r="153" spans="1:13">
      <c r="A153" s="3">
        <v>53509</v>
      </c>
      <c r="B153" s="3">
        <v>2944</v>
      </c>
      <c r="C153" s="4">
        <v>7026.22866235321</v>
      </c>
      <c r="D153">
        <v>2863213081</v>
      </c>
      <c r="E153">
        <v>153207668751229</v>
      </c>
      <c r="F153">
        <v>25516048384</v>
      </c>
      <c r="G153" s="12">
        <v>346870078207.04504</v>
      </c>
      <c r="H153" s="3">
        <v>302100</v>
      </c>
      <c r="L153">
        <v>8667136</v>
      </c>
      <c r="M153" s="11">
        <v>49367889.215673782</v>
      </c>
    </row>
    <row r="154" spans="1:13">
      <c r="A154" s="3">
        <v>48652</v>
      </c>
      <c r="B154" s="3">
        <v>2033</v>
      </c>
      <c r="C154" s="4">
        <v>5897.7992904624798</v>
      </c>
      <c r="D154">
        <v>2367017104</v>
      </c>
      <c r="E154">
        <v>115160116143808</v>
      </c>
      <c r="F154">
        <v>8402569937</v>
      </c>
      <c r="G154" s="12">
        <v>205149265615.60614</v>
      </c>
      <c r="H154" s="3">
        <v>269500</v>
      </c>
      <c r="L154">
        <v>4133089</v>
      </c>
      <c r="M154" s="11">
        <v>34784036.470579728</v>
      </c>
    </row>
    <row r="155" spans="1:13">
      <c r="A155" s="3">
        <v>47708.000000000007</v>
      </c>
      <c r="B155" s="3">
        <v>1433</v>
      </c>
      <c r="C155" s="4">
        <v>6197.2963351423896</v>
      </c>
      <c r="D155">
        <v>2276053264.0000005</v>
      </c>
      <c r="E155">
        <v>108585949118912.05</v>
      </c>
      <c r="F155">
        <v>2942649737</v>
      </c>
      <c r="G155" s="12">
        <v>238016349311.20523</v>
      </c>
      <c r="H155" s="3">
        <v>314700</v>
      </c>
      <c r="L155">
        <v>2053489</v>
      </c>
      <c r="M155" s="11">
        <v>38406481.865569293</v>
      </c>
    </row>
    <row r="156" spans="1:13">
      <c r="A156" s="3">
        <v>81564</v>
      </c>
      <c r="B156" s="3">
        <v>2927</v>
      </c>
      <c r="C156" s="4">
        <v>7026.22866235321</v>
      </c>
      <c r="D156">
        <v>6652686096</v>
      </c>
      <c r="E156">
        <v>542619688734144</v>
      </c>
      <c r="F156">
        <v>25076571983</v>
      </c>
      <c r="G156" s="12">
        <v>346870078207.04504</v>
      </c>
      <c r="H156" s="3">
        <v>390100</v>
      </c>
      <c r="L156">
        <v>8567329</v>
      </c>
      <c r="M156" s="11">
        <v>49367889.215673782</v>
      </c>
    </row>
    <row r="157" spans="1:13">
      <c r="A157" s="3">
        <v>88793</v>
      </c>
      <c r="B157" s="3">
        <v>2315</v>
      </c>
      <c r="C157" s="4">
        <v>6197.2963351423896</v>
      </c>
      <c r="D157">
        <v>7884196849</v>
      </c>
      <c r="E157">
        <v>700061490813257</v>
      </c>
      <c r="F157">
        <v>12406605875</v>
      </c>
      <c r="G157" s="12">
        <v>238016349311.20523</v>
      </c>
      <c r="H157" s="3">
        <v>410300</v>
      </c>
      <c r="L157">
        <v>5359225</v>
      </c>
      <c r="M157" s="11">
        <v>38406481.865569293</v>
      </c>
    </row>
    <row r="158" spans="1:13">
      <c r="A158" s="3">
        <v>68591</v>
      </c>
      <c r="B158" s="3">
        <v>2485</v>
      </c>
      <c r="C158" s="4">
        <v>5384.1421071774403</v>
      </c>
      <c r="D158">
        <v>4704725281</v>
      </c>
      <c r="E158">
        <v>322701811749071</v>
      </c>
      <c r="F158">
        <v>15345434125</v>
      </c>
      <c r="G158" s="12">
        <v>156080821406.84363</v>
      </c>
      <c r="H158" s="3">
        <v>352400</v>
      </c>
      <c r="L158">
        <v>6175225</v>
      </c>
      <c r="M158" s="11">
        <v>28988986.230281126</v>
      </c>
    </row>
    <row r="159" spans="1:13">
      <c r="A159" s="3">
        <v>60302</v>
      </c>
      <c r="B159" s="3">
        <v>1490</v>
      </c>
      <c r="C159" s="4">
        <v>5384.1421071774403</v>
      </c>
      <c r="D159">
        <v>3636331204</v>
      </c>
      <c r="E159">
        <v>219278044263608</v>
      </c>
      <c r="F159">
        <v>3307949000</v>
      </c>
      <c r="G159" s="12">
        <v>156080821406.84363</v>
      </c>
      <c r="H159" s="3">
        <v>287300</v>
      </c>
      <c r="L159">
        <v>2220100</v>
      </c>
      <c r="M159" s="11">
        <v>28988986.230281126</v>
      </c>
    </row>
    <row r="160" spans="1:13">
      <c r="A160" s="3">
        <v>75080</v>
      </c>
      <c r="B160" s="3">
        <v>2814</v>
      </c>
      <c r="C160" s="4">
        <v>6197.2963351423896</v>
      </c>
      <c r="D160">
        <v>5637006400</v>
      </c>
      <c r="E160">
        <v>423226440512000</v>
      </c>
      <c r="F160">
        <v>22282929144</v>
      </c>
      <c r="G160" s="12">
        <v>238016349311.20523</v>
      </c>
      <c r="H160" s="3">
        <v>348700</v>
      </c>
      <c r="L160">
        <v>7918596</v>
      </c>
      <c r="M160" s="11">
        <v>38406481.865569293</v>
      </c>
    </row>
    <row r="161" spans="1:13">
      <c r="A161" s="3">
        <v>34668</v>
      </c>
      <c r="B161" s="3">
        <v>2093</v>
      </c>
      <c r="C161" s="4">
        <v>5384.1421071774403</v>
      </c>
      <c r="D161">
        <v>1201870224</v>
      </c>
      <c r="E161">
        <v>41666436925632</v>
      </c>
      <c r="F161">
        <v>9168698357</v>
      </c>
      <c r="G161" s="12">
        <v>156080821406.84363</v>
      </c>
      <c r="H161" s="3">
        <v>243800</v>
      </c>
      <c r="L161">
        <v>4380649</v>
      </c>
      <c r="M161" s="11">
        <v>28988986.230281126</v>
      </c>
    </row>
    <row r="162" spans="1:13">
      <c r="A162" s="3">
        <v>41944</v>
      </c>
      <c r="B162" s="3">
        <v>888</v>
      </c>
      <c r="C162" s="4">
        <v>5036.3941171790602</v>
      </c>
      <c r="D162">
        <v>1759299136</v>
      </c>
      <c r="E162">
        <v>73792042960384</v>
      </c>
      <c r="F162">
        <v>700227072</v>
      </c>
      <c r="G162" s="12">
        <v>127749474970.07243</v>
      </c>
      <c r="H162" s="3">
        <v>211500</v>
      </c>
      <c r="L162">
        <v>788544</v>
      </c>
      <c r="M162" s="11">
        <v>25365265.703555845</v>
      </c>
    </row>
    <row r="163" spans="1:13">
      <c r="A163" s="3">
        <v>30149</v>
      </c>
      <c r="B163" s="3">
        <v>2087</v>
      </c>
      <c r="C163" s="4">
        <v>4182.1783564641</v>
      </c>
      <c r="D163">
        <v>908962201</v>
      </c>
      <c r="E163">
        <v>27404301397949</v>
      </c>
      <c r="F163">
        <v>9090072503</v>
      </c>
      <c r="G163" s="12">
        <v>73148874862.057388</v>
      </c>
      <c r="H163" s="3">
        <v>218400</v>
      </c>
      <c r="L163">
        <v>4355569</v>
      </c>
      <c r="M163" s="11">
        <v>17490615.805276763</v>
      </c>
    </row>
    <row r="164" spans="1:13">
      <c r="A164" s="3">
        <v>36750</v>
      </c>
      <c r="B164" s="3">
        <v>2513</v>
      </c>
      <c r="C164" s="4">
        <v>5384.1421071774403</v>
      </c>
      <c r="D164">
        <v>1350562500</v>
      </c>
      <c r="E164">
        <v>49633171875000</v>
      </c>
      <c r="F164">
        <v>15870019697</v>
      </c>
      <c r="G164" s="12">
        <v>156080821406.84363</v>
      </c>
      <c r="H164" s="3">
        <v>269900</v>
      </c>
      <c r="L164">
        <v>6315169</v>
      </c>
      <c r="M164" s="11">
        <v>28988986.230281126</v>
      </c>
    </row>
    <row r="165" spans="1:13">
      <c r="A165" s="3">
        <v>32250</v>
      </c>
      <c r="B165" s="3">
        <v>3232</v>
      </c>
      <c r="C165" s="4">
        <v>4595.14987977277</v>
      </c>
      <c r="D165">
        <v>1040062500</v>
      </c>
      <c r="E165">
        <v>33542015625000</v>
      </c>
      <c r="F165">
        <v>33760903168</v>
      </c>
      <c r="G165" s="12">
        <v>97028438880.476639</v>
      </c>
      <c r="H165" s="3">
        <v>218800</v>
      </c>
      <c r="L165">
        <v>10445824</v>
      </c>
      <c r="M165" s="11">
        <v>21115402.417575702</v>
      </c>
    </row>
    <row r="166" spans="1:13">
      <c r="A166" s="3">
        <v>29345</v>
      </c>
      <c r="B166" s="3">
        <v>4120</v>
      </c>
      <c r="C166" s="4">
        <v>4182.1783564641</v>
      </c>
      <c r="D166">
        <v>861129025</v>
      </c>
      <c r="E166">
        <v>25269831238625</v>
      </c>
      <c r="F166">
        <v>69934528000</v>
      </c>
      <c r="G166" s="12">
        <v>73148874862.057388</v>
      </c>
      <c r="H166" s="3">
        <v>225000</v>
      </c>
      <c r="L166">
        <v>16974400</v>
      </c>
      <c r="M166" s="11">
        <v>17490615.805276763</v>
      </c>
    </row>
    <row r="167" spans="1:13">
      <c r="A167" s="3">
        <v>58743</v>
      </c>
      <c r="B167" s="3">
        <v>2364</v>
      </c>
      <c r="C167" s="4">
        <v>4182.1783564641</v>
      </c>
      <c r="D167">
        <v>3450740049</v>
      </c>
      <c r="E167">
        <v>202706822698407</v>
      </c>
      <c r="F167">
        <v>13211204544</v>
      </c>
      <c r="G167" s="12">
        <v>73148874862.057388</v>
      </c>
      <c r="H167" s="3">
        <v>250000</v>
      </c>
      <c r="L167">
        <v>5588496</v>
      </c>
      <c r="M167" s="11">
        <v>17490615.805276763</v>
      </c>
    </row>
    <row r="168" spans="1:13">
      <c r="A168" s="3">
        <v>16121</v>
      </c>
      <c r="B168" s="3">
        <v>1471</v>
      </c>
      <c r="C168" s="4">
        <v>4182.1783564641</v>
      </c>
      <c r="D168">
        <v>259886641</v>
      </c>
      <c r="E168">
        <v>4189632539561</v>
      </c>
      <c r="F168">
        <v>3183010111</v>
      </c>
      <c r="G168" s="12">
        <v>73148874862.057388</v>
      </c>
      <c r="H168" s="3">
        <v>171400</v>
      </c>
      <c r="L168">
        <v>2163841</v>
      </c>
      <c r="M168" s="11">
        <v>17490615.805276763</v>
      </c>
    </row>
    <row r="169" spans="1:13">
      <c r="A169" s="3">
        <v>13929</v>
      </c>
      <c r="B169" s="3">
        <v>2468</v>
      </c>
      <c r="C169" s="4">
        <v>4182.1783564641</v>
      </c>
      <c r="D169">
        <v>194017041</v>
      </c>
      <c r="E169">
        <v>2702463364089</v>
      </c>
      <c r="F169">
        <v>15032647232</v>
      </c>
      <c r="G169" s="12">
        <v>73148874862.057388</v>
      </c>
      <c r="H169" s="3">
        <v>193800</v>
      </c>
      <c r="L169">
        <v>6091024</v>
      </c>
      <c r="M169" s="11">
        <v>17490615.805276763</v>
      </c>
    </row>
    <row r="170" spans="1:13">
      <c r="A170" s="3">
        <v>23173</v>
      </c>
      <c r="B170" s="3">
        <v>1632</v>
      </c>
      <c r="C170" s="4">
        <v>4920.8136550187701</v>
      </c>
      <c r="D170">
        <v>536987929</v>
      </c>
      <c r="E170">
        <v>12443621278717</v>
      </c>
      <c r="F170">
        <v>4346707968</v>
      </c>
      <c r="G170" s="12">
        <v>119154584748.7068</v>
      </c>
      <c r="H170" s="3">
        <v>125000</v>
      </c>
      <c r="L170">
        <v>2663424</v>
      </c>
      <c r="M170" s="11">
        <v>24214407.027419187</v>
      </c>
    </row>
    <row r="171" spans="1:13">
      <c r="A171" s="3">
        <v>17772</v>
      </c>
      <c r="B171" s="3">
        <v>1786</v>
      </c>
      <c r="C171" s="4">
        <v>4042.1146945014102</v>
      </c>
      <c r="D171">
        <v>315843984</v>
      </c>
      <c r="E171">
        <v>5613179283648</v>
      </c>
      <c r="F171">
        <v>5696975656</v>
      </c>
      <c r="G171" s="12">
        <v>66042863802.605377</v>
      </c>
      <c r="H171" s="3">
        <v>97500</v>
      </c>
      <c r="L171">
        <v>3189796</v>
      </c>
      <c r="M171" s="11">
        <v>16338691.203504229</v>
      </c>
    </row>
    <row r="172" spans="1:13">
      <c r="A172" s="3">
        <v>26458</v>
      </c>
      <c r="B172" s="3">
        <v>629</v>
      </c>
      <c r="C172" s="4">
        <v>4042.1146945014102</v>
      </c>
      <c r="D172">
        <v>700025764</v>
      </c>
      <c r="E172">
        <v>18521281663912</v>
      </c>
      <c r="F172">
        <v>248858189</v>
      </c>
      <c r="G172" s="12">
        <v>66042863802.605377</v>
      </c>
      <c r="H172" s="3">
        <v>125000</v>
      </c>
      <c r="L172">
        <v>395641</v>
      </c>
      <c r="M172" s="11">
        <v>16338691.203504229</v>
      </c>
    </row>
    <row r="173" spans="1:13">
      <c r="A173" s="3">
        <v>21810</v>
      </c>
      <c r="B173" s="3">
        <v>1339</v>
      </c>
      <c r="C173" s="4">
        <v>4042.1146945014102</v>
      </c>
      <c r="D173">
        <v>475676100</v>
      </c>
      <c r="E173">
        <v>10374495741000</v>
      </c>
      <c r="F173">
        <v>2400721219</v>
      </c>
      <c r="G173" s="12">
        <v>66042863802.605377</v>
      </c>
      <c r="H173" s="3">
        <v>138800</v>
      </c>
      <c r="L173">
        <v>1792921</v>
      </c>
      <c r="M173" s="11">
        <v>16338691.203504229</v>
      </c>
    </row>
    <row r="174" spans="1:13">
      <c r="A174" s="3">
        <v>22303</v>
      </c>
      <c r="B174" s="3">
        <v>1678</v>
      </c>
      <c r="C174" s="4">
        <v>4182.1783564641</v>
      </c>
      <c r="D174">
        <v>497423809</v>
      </c>
      <c r="E174">
        <v>11094043212127</v>
      </c>
      <c r="F174">
        <v>4724717752</v>
      </c>
      <c r="G174" s="12">
        <v>73148874862.057388</v>
      </c>
      <c r="H174" s="3">
        <v>116700</v>
      </c>
      <c r="L174">
        <v>2815684</v>
      </c>
      <c r="M174" s="11">
        <v>17490615.805276763</v>
      </c>
    </row>
    <row r="175" spans="1:13">
      <c r="A175" s="3">
        <v>16504</v>
      </c>
      <c r="B175" s="3">
        <v>2344</v>
      </c>
      <c r="C175" s="4">
        <v>4182.1783564641</v>
      </c>
      <c r="D175">
        <v>272382016</v>
      </c>
      <c r="E175">
        <v>4495392792064</v>
      </c>
      <c r="F175">
        <v>12878723584</v>
      </c>
      <c r="G175" s="12">
        <v>73148874862.057388</v>
      </c>
      <c r="H175" s="3">
        <v>151800</v>
      </c>
      <c r="L175">
        <v>5494336</v>
      </c>
      <c r="M175" s="11">
        <v>17490615.805276763</v>
      </c>
    </row>
    <row r="176" spans="1:13">
      <c r="A176" s="3">
        <v>22697</v>
      </c>
      <c r="B176" s="3">
        <v>996</v>
      </c>
      <c r="C176" s="4">
        <v>5036.3941171790602</v>
      </c>
      <c r="D176">
        <v>515153809</v>
      </c>
      <c r="E176">
        <v>11692446002873</v>
      </c>
      <c r="F176">
        <v>988047936</v>
      </c>
      <c r="G176" s="12">
        <v>127749474970.07243</v>
      </c>
      <c r="H176" s="3">
        <v>127000</v>
      </c>
      <c r="L176">
        <v>992016</v>
      </c>
      <c r="M176" s="11">
        <v>25365265.703555845</v>
      </c>
    </row>
    <row r="177" spans="1:13">
      <c r="A177" s="3">
        <v>21563</v>
      </c>
      <c r="B177" s="3">
        <v>1591</v>
      </c>
      <c r="C177" s="4">
        <v>5036.3941171790602</v>
      </c>
      <c r="D177">
        <v>464962969</v>
      </c>
      <c r="E177">
        <v>10025996500547</v>
      </c>
      <c r="F177">
        <v>4027268071</v>
      </c>
      <c r="G177" s="12">
        <v>127749474970.07243</v>
      </c>
      <c r="H177" s="3">
        <v>128600</v>
      </c>
      <c r="L177">
        <v>2531281</v>
      </c>
      <c r="M177" s="11">
        <v>25365265.703555845</v>
      </c>
    </row>
    <row r="178" spans="1:13">
      <c r="A178" s="3">
        <v>21347.999999999996</v>
      </c>
      <c r="B178" s="3">
        <v>1586</v>
      </c>
      <c r="C178" s="4">
        <v>5036.3941171790602</v>
      </c>
      <c r="D178">
        <v>455737103.99999982</v>
      </c>
      <c r="E178">
        <v>9729075696191.9941</v>
      </c>
      <c r="F178">
        <v>3989418056</v>
      </c>
      <c r="G178" s="12">
        <v>127749474970.07243</v>
      </c>
      <c r="H178" s="3">
        <v>140600</v>
      </c>
      <c r="L178">
        <v>2515396</v>
      </c>
      <c r="M178" s="11">
        <v>25365265.703555845</v>
      </c>
    </row>
    <row r="179" spans="1:13">
      <c r="A179" s="3">
        <v>36292</v>
      </c>
      <c r="B179" s="3">
        <v>2046</v>
      </c>
      <c r="C179" s="4">
        <v>5036.3941171790602</v>
      </c>
      <c r="D179">
        <v>1317109264</v>
      </c>
      <c r="E179">
        <v>47800529409088</v>
      </c>
      <c r="F179">
        <v>8564793336</v>
      </c>
      <c r="G179" s="12">
        <v>127749474970.07243</v>
      </c>
      <c r="H179" s="3">
        <v>182700</v>
      </c>
      <c r="L179">
        <v>4186116</v>
      </c>
      <c r="M179" s="11">
        <v>25365265.703555845</v>
      </c>
    </row>
    <row r="180" spans="1:13">
      <c r="A180" s="3">
        <v>23833.000000000004</v>
      </c>
      <c r="B180" s="3">
        <v>1192</v>
      </c>
      <c r="C180" s="4">
        <v>5897.7992904624798</v>
      </c>
      <c r="D180">
        <v>568011889.00000012</v>
      </c>
      <c r="E180">
        <v>13537427350537.006</v>
      </c>
      <c r="F180">
        <v>1693669888</v>
      </c>
      <c r="G180" s="12">
        <v>205149265615.60614</v>
      </c>
      <c r="H180" s="3">
        <v>146900</v>
      </c>
      <c r="L180">
        <v>1420864</v>
      </c>
      <c r="M180" s="11">
        <v>34784036.470579728</v>
      </c>
    </row>
    <row r="181" spans="1:13">
      <c r="A181" s="3">
        <v>20570</v>
      </c>
      <c r="B181" s="3">
        <v>1803</v>
      </c>
      <c r="C181" s="4">
        <v>5036.3941171790602</v>
      </c>
      <c r="D181">
        <v>423124900</v>
      </c>
      <c r="E181">
        <v>8703679193000</v>
      </c>
      <c r="F181">
        <v>5861208627</v>
      </c>
      <c r="G181" s="12">
        <v>127749474970.07243</v>
      </c>
      <c r="H181" s="3">
        <v>122800</v>
      </c>
      <c r="L181">
        <v>3250809</v>
      </c>
      <c r="M181" s="11">
        <v>25365265.703555845</v>
      </c>
    </row>
    <row r="182" spans="1:13">
      <c r="A182" s="3">
        <v>25238</v>
      </c>
      <c r="B182" s="3">
        <v>2838</v>
      </c>
      <c r="C182" s="4">
        <v>5036.3941171790602</v>
      </c>
      <c r="D182">
        <v>636956644</v>
      </c>
      <c r="E182">
        <v>16075511781272</v>
      </c>
      <c r="F182">
        <v>22857944472</v>
      </c>
      <c r="G182" s="12">
        <v>127749474970.07243</v>
      </c>
      <c r="H182" s="3">
        <v>169300</v>
      </c>
      <c r="L182">
        <v>8054244</v>
      </c>
      <c r="M182" s="11">
        <v>25365265.703555845</v>
      </c>
    </row>
    <row r="183" spans="1:13">
      <c r="A183" s="3">
        <v>19375</v>
      </c>
      <c r="B183" s="3">
        <v>783</v>
      </c>
      <c r="C183" s="4">
        <v>5897.7992904624798</v>
      </c>
      <c r="D183">
        <v>375390625</v>
      </c>
      <c r="E183">
        <v>7273193359375</v>
      </c>
      <c r="F183">
        <v>480048687</v>
      </c>
      <c r="G183" s="12">
        <v>205149265615.60614</v>
      </c>
      <c r="H183" s="3">
        <v>126600</v>
      </c>
      <c r="L183">
        <v>613089</v>
      </c>
      <c r="M183" s="11">
        <v>34784036.470579728</v>
      </c>
    </row>
    <row r="184" spans="1:13">
      <c r="A184" s="3">
        <v>19028</v>
      </c>
      <c r="B184" s="3">
        <v>1590</v>
      </c>
      <c r="C184" s="4">
        <v>5897.7992904624798</v>
      </c>
      <c r="D184">
        <v>362064784</v>
      </c>
      <c r="E184">
        <v>6889368709952</v>
      </c>
      <c r="F184">
        <v>4019679000</v>
      </c>
      <c r="G184" s="12">
        <v>205149265615.60614</v>
      </c>
      <c r="H184" s="3">
        <v>127900</v>
      </c>
      <c r="L184">
        <v>2528100</v>
      </c>
      <c r="M184" s="11">
        <v>34784036.470579728</v>
      </c>
    </row>
    <row r="185" spans="1:13">
      <c r="A185" s="3">
        <v>22500</v>
      </c>
      <c r="B185" s="3">
        <v>1346</v>
      </c>
      <c r="C185" s="4">
        <v>5897.7992904624798</v>
      </c>
      <c r="D185">
        <v>506250000</v>
      </c>
      <c r="E185">
        <v>11390625000000</v>
      </c>
      <c r="F185">
        <v>2438569736</v>
      </c>
      <c r="G185" s="12">
        <v>205149265615.60614</v>
      </c>
      <c r="H185" s="3">
        <v>123500</v>
      </c>
      <c r="L185">
        <v>1811716</v>
      </c>
      <c r="M185" s="11">
        <v>34784036.470579728</v>
      </c>
    </row>
    <row r="186" spans="1:13">
      <c r="A186" s="3">
        <v>23929</v>
      </c>
      <c r="B186" s="3">
        <v>1252</v>
      </c>
      <c r="C186" s="4">
        <v>5897.7992904624798</v>
      </c>
      <c r="D186">
        <v>572597041</v>
      </c>
      <c r="E186">
        <v>13701674594089</v>
      </c>
      <c r="F186">
        <v>1962515008</v>
      </c>
      <c r="G186" s="12">
        <v>205149265615.60614</v>
      </c>
      <c r="H186" s="3">
        <v>111900</v>
      </c>
      <c r="L186">
        <v>1567504</v>
      </c>
      <c r="M186" s="11">
        <v>34784036.470579728</v>
      </c>
    </row>
    <row r="187" spans="1:13">
      <c r="A187" s="3">
        <v>11300</v>
      </c>
      <c r="B187" s="3">
        <v>5963</v>
      </c>
      <c r="C187" s="4">
        <v>5799.52176777353</v>
      </c>
      <c r="D187">
        <v>127690000</v>
      </c>
      <c r="E187">
        <v>1442897000000</v>
      </c>
      <c r="F187">
        <v>212028591347</v>
      </c>
      <c r="G187" s="12">
        <v>195063740783.08075</v>
      </c>
      <c r="H187" s="3">
        <v>112800</v>
      </c>
      <c r="L187">
        <v>35557369</v>
      </c>
      <c r="M187" s="11">
        <v>33634452.734879009</v>
      </c>
    </row>
    <row r="188" spans="1:13">
      <c r="A188" s="3">
        <v>13683</v>
      </c>
      <c r="B188" s="3">
        <v>1783</v>
      </c>
      <c r="C188" s="4">
        <v>5799.52176777353</v>
      </c>
      <c r="D188">
        <v>187224489</v>
      </c>
      <c r="E188">
        <v>2561792682987</v>
      </c>
      <c r="F188">
        <v>5668315687</v>
      </c>
      <c r="G188" s="12">
        <v>195063740783.08075</v>
      </c>
      <c r="H188" s="3">
        <v>107900</v>
      </c>
      <c r="L188">
        <v>3179089</v>
      </c>
      <c r="M188" s="11">
        <v>33634452.734879009</v>
      </c>
    </row>
    <row r="189" spans="1:13">
      <c r="A189" s="3">
        <v>18854</v>
      </c>
      <c r="B189" s="3">
        <v>999</v>
      </c>
      <c r="C189" s="4">
        <v>5799.52176777353</v>
      </c>
      <c r="D189">
        <v>355473316</v>
      </c>
      <c r="E189">
        <v>6702093899864</v>
      </c>
      <c r="F189">
        <v>997002999</v>
      </c>
      <c r="G189" s="12">
        <v>195063740783.08075</v>
      </c>
      <c r="H189" s="3">
        <v>137500</v>
      </c>
      <c r="L189">
        <v>998001</v>
      </c>
      <c r="M189" s="11">
        <v>33634452.734879009</v>
      </c>
    </row>
    <row r="190" spans="1:13">
      <c r="A190" s="3">
        <v>15732</v>
      </c>
      <c r="B190" s="3">
        <v>1469</v>
      </c>
      <c r="C190" s="4">
        <v>4920.8136550187701</v>
      </c>
      <c r="D190">
        <v>247495824</v>
      </c>
      <c r="E190">
        <v>3893604303168</v>
      </c>
      <c r="F190">
        <v>3170044709</v>
      </c>
      <c r="G190" s="12">
        <v>119154584748.7068</v>
      </c>
      <c r="H190" s="3">
        <v>105500</v>
      </c>
      <c r="L190">
        <v>2157961</v>
      </c>
      <c r="M190" s="11">
        <v>24214407.027419187</v>
      </c>
    </row>
    <row r="191" spans="1:13">
      <c r="A191" s="3">
        <v>12338</v>
      </c>
      <c r="B191" s="3">
        <v>1372</v>
      </c>
      <c r="C191" s="4">
        <v>4920.8136550187701</v>
      </c>
      <c r="D191">
        <v>152226244</v>
      </c>
      <c r="E191">
        <v>1878167398472</v>
      </c>
      <c r="F191">
        <v>2582630848</v>
      </c>
      <c r="G191" s="12">
        <v>119154584748.7068</v>
      </c>
      <c r="H191" s="3">
        <v>95500</v>
      </c>
      <c r="L191">
        <v>1882384</v>
      </c>
      <c r="M191" s="11">
        <v>24214407.027419187</v>
      </c>
    </row>
    <row r="192" spans="1:13">
      <c r="A192" s="3">
        <v>12694</v>
      </c>
      <c r="B192" s="3">
        <v>674</v>
      </c>
      <c r="C192" s="4">
        <v>4920.8136550187701</v>
      </c>
      <c r="D192">
        <v>161137636</v>
      </c>
      <c r="E192">
        <v>2045481151384</v>
      </c>
      <c r="F192">
        <v>306182024</v>
      </c>
      <c r="G192" s="12">
        <v>119154584748.7068</v>
      </c>
      <c r="H192" s="3">
        <v>116100</v>
      </c>
      <c r="L192">
        <v>454276</v>
      </c>
      <c r="M192" s="11">
        <v>24214407.027419187</v>
      </c>
    </row>
    <row r="193" spans="1:13">
      <c r="A193" s="3">
        <v>9754</v>
      </c>
      <c r="B193" s="3">
        <v>1626</v>
      </c>
      <c r="C193" s="4">
        <v>4920.8136550187701</v>
      </c>
      <c r="D193">
        <v>95140516</v>
      </c>
      <c r="E193">
        <v>928000593064</v>
      </c>
      <c r="F193">
        <v>4298942376</v>
      </c>
      <c r="G193" s="12">
        <v>119154584748.7068</v>
      </c>
      <c r="H193" s="3">
        <v>112200</v>
      </c>
      <c r="L193">
        <v>2643876</v>
      </c>
      <c r="M193" s="11">
        <v>24214407.027419187</v>
      </c>
    </row>
    <row r="194" spans="1:13">
      <c r="A194" s="3">
        <v>21000</v>
      </c>
      <c r="B194" s="3">
        <v>175</v>
      </c>
      <c r="C194" s="4">
        <v>4042.1146945014102</v>
      </c>
      <c r="D194">
        <v>441000000</v>
      </c>
      <c r="E194">
        <v>9261000000000</v>
      </c>
      <c r="F194">
        <v>5359375</v>
      </c>
      <c r="G194" s="12">
        <v>66042863802.605377</v>
      </c>
      <c r="H194" s="3">
        <v>75000</v>
      </c>
      <c r="L194">
        <v>30625</v>
      </c>
      <c r="M194" s="11">
        <v>16338691.203504229</v>
      </c>
    </row>
    <row r="195" spans="1:13">
      <c r="A195" s="3">
        <v>16000</v>
      </c>
      <c r="B195" s="3">
        <v>461</v>
      </c>
      <c r="C195" s="4">
        <v>4042.1146945014102</v>
      </c>
      <c r="D195">
        <v>256000000</v>
      </c>
      <c r="E195">
        <v>4096000000000</v>
      </c>
      <c r="F195">
        <v>97972181</v>
      </c>
      <c r="G195" s="12">
        <v>66042863802.605377</v>
      </c>
      <c r="H195" s="3">
        <v>112500</v>
      </c>
      <c r="L195">
        <v>212521</v>
      </c>
      <c r="M195" s="11">
        <v>16338691.203504229</v>
      </c>
    </row>
    <row r="196" spans="1:13">
      <c r="A196" s="3">
        <v>12984</v>
      </c>
      <c r="B196" s="3">
        <v>1102</v>
      </c>
      <c r="C196" s="4">
        <v>4042.1146945014102</v>
      </c>
      <c r="D196">
        <v>168584256</v>
      </c>
      <c r="E196">
        <v>2188897979904</v>
      </c>
      <c r="F196">
        <v>1338273208</v>
      </c>
      <c r="G196" s="12">
        <v>66042863802.605377</v>
      </c>
      <c r="H196" s="3">
        <v>125000</v>
      </c>
      <c r="L196">
        <v>1214404</v>
      </c>
      <c r="M196" s="11">
        <v>16338691.203504229</v>
      </c>
    </row>
    <row r="197" spans="1:13">
      <c r="A197" s="3">
        <v>15437</v>
      </c>
      <c r="B197" s="3">
        <v>2373</v>
      </c>
      <c r="C197" s="4">
        <v>3340.6716189762201</v>
      </c>
      <c r="D197">
        <v>238300969</v>
      </c>
      <c r="E197">
        <v>3678652058453</v>
      </c>
      <c r="F197">
        <v>13362669117</v>
      </c>
      <c r="G197" s="12">
        <v>37282185457.998245</v>
      </c>
      <c r="H197" s="3">
        <v>115000</v>
      </c>
      <c r="L197">
        <v>5631129</v>
      </c>
      <c r="M197" s="11">
        <v>11160086.865833199</v>
      </c>
    </row>
    <row r="198" spans="1:13">
      <c r="A198" s="3">
        <v>16471</v>
      </c>
      <c r="B198" s="3">
        <v>391</v>
      </c>
      <c r="C198" s="4">
        <v>4226.27769924116</v>
      </c>
      <c r="D198">
        <v>271293841</v>
      </c>
      <c r="E198">
        <v>4468480855111</v>
      </c>
      <c r="F198">
        <v>59776471</v>
      </c>
      <c r="G198" s="12">
        <v>75487334509.268127</v>
      </c>
      <c r="H198" s="3">
        <v>95000</v>
      </c>
      <c r="L198">
        <v>152881</v>
      </c>
      <c r="M198" s="11">
        <v>17861423.191103153</v>
      </c>
    </row>
    <row r="199" spans="1:13">
      <c r="A199" s="3">
        <v>12763</v>
      </c>
      <c r="B199" s="3">
        <v>1137</v>
      </c>
      <c r="C199" s="4">
        <v>4226.27769924116</v>
      </c>
      <c r="D199">
        <v>162894169</v>
      </c>
      <c r="E199">
        <v>2079018278947</v>
      </c>
      <c r="F199">
        <v>1469878353</v>
      </c>
      <c r="G199" s="12">
        <v>75487334509.268127</v>
      </c>
      <c r="H199" s="3">
        <v>96400</v>
      </c>
      <c r="L199">
        <v>1292769</v>
      </c>
      <c r="M199" s="11">
        <v>17861423.191103153</v>
      </c>
    </row>
    <row r="200" spans="1:13">
      <c r="A200" s="3">
        <v>18342</v>
      </c>
      <c r="B200" s="3">
        <v>769</v>
      </c>
      <c r="C200" s="4">
        <v>4276.7966160791302</v>
      </c>
      <c r="D200">
        <v>336428964</v>
      </c>
      <c r="E200">
        <v>6170780057688</v>
      </c>
      <c r="F200">
        <v>454756609</v>
      </c>
      <c r="G200" s="12">
        <v>78226841122.90387</v>
      </c>
      <c r="H200" s="3">
        <v>72000</v>
      </c>
      <c r="L200">
        <v>591361</v>
      </c>
      <c r="M200" s="11">
        <v>18290989.2953059</v>
      </c>
    </row>
    <row r="201" spans="1:13">
      <c r="A201" s="3">
        <v>12897</v>
      </c>
      <c r="B201" s="3">
        <v>472</v>
      </c>
      <c r="C201" s="4">
        <v>5377.3719516156698</v>
      </c>
      <c r="D201">
        <v>166332609</v>
      </c>
      <c r="E201">
        <v>2145191658273</v>
      </c>
      <c r="F201">
        <v>105154048</v>
      </c>
      <c r="G201" s="12">
        <v>155492781604.02512</v>
      </c>
      <c r="H201" s="3">
        <v>71300</v>
      </c>
      <c r="L201">
        <v>222784</v>
      </c>
      <c r="M201" s="11">
        <v>28916129.106022917</v>
      </c>
    </row>
    <row r="202" spans="1:13">
      <c r="A202" s="3">
        <v>36923</v>
      </c>
      <c r="B202" s="3">
        <v>1165</v>
      </c>
      <c r="C202" s="4">
        <v>10451.3385118023</v>
      </c>
      <c r="D202">
        <v>1363307929</v>
      </c>
      <c r="E202">
        <v>50337418662467</v>
      </c>
      <c r="F202">
        <v>1581167125</v>
      </c>
      <c r="G202" s="12">
        <v>1141604687674.7642</v>
      </c>
      <c r="H202" s="3">
        <v>213200</v>
      </c>
      <c r="L202">
        <v>1357225</v>
      </c>
      <c r="M202" s="11">
        <v>109230476.68828191</v>
      </c>
    </row>
    <row r="203" spans="1:13">
      <c r="A203" s="3">
        <v>46786</v>
      </c>
      <c r="B203" s="3">
        <v>4371</v>
      </c>
      <c r="C203" s="4">
        <v>9757.7875295580707</v>
      </c>
      <c r="D203">
        <v>2188929796</v>
      </c>
      <c r="E203">
        <v>102411269435656</v>
      </c>
      <c r="F203">
        <v>83510756811</v>
      </c>
      <c r="G203" s="12">
        <v>929082055442.40784</v>
      </c>
      <c r="H203" s="3">
        <v>256000</v>
      </c>
      <c r="L203">
        <v>19105641</v>
      </c>
      <c r="M203" s="11">
        <v>95214417.47199899</v>
      </c>
    </row>
    <row r="204" spans="1:13">
      <c r="A204" s="3">
        <v>38750</v>
      </c>
      <c r="B204" s="3">
        <v>838</v>
      </c>
      <c r="C204" s="4">
        <v>11040.8924339472</v>
      </c>
      <c r="D204">
        <v>1501562500</v>
      </c>
      <c r="E204">
        <v>58185546875000</v>
      </c>
      <c r="F204">
        <v>588480472</v>
      </c>
      <c r="G204" s="12">
        <v>1345899204210.8857</v>
      </c>
      <c r="H204" s="3">
        <v>237500</v>
      </c>
      <c r="L204">
        <v>702244</v>
      </c>
      <c r="M204" s="11">
        <v>121901305.73799251</v>
      </c>
    </row>
    <row r="205" spans="1:13">
      <c r="A205" s="3">
        <v>23617</v>
      </c>
      <c r="B205" s="3">
        <v>3052</v>
      </c>
      <c r="C205" s="4">
        <v>9629.1576725103496</v>
      </c>
      <c r="D205">
        <v>557762689</v>
      </c>
      <c r="E205">
        <v>13172681426113</v>
      </c>
      <c r="F205">
        <v>28428476608</v>
      </c>
      <c r="G205" s="12">
        <v>892822022976.7832</v>
      </c>
      <c r="H205" s="3">
        <v>178100</v>
      </c>
      <c r="L205">
        <v>9314704</v>
      </c>
      <c r="M205" s="11">
        <v>92720677.482064933</v>
      </c>
    </row>
    <row r="206" spans="1:13">
      <c r="A206" s="3">
        <v>37579</v>
      </c>
      <c r="B206" s="3">
        <v>4313</v>
      </c>
      <c r="C206" s="4">
        <v>10266.1194193027</v>
      </c>
      <c r="D206">
        <v>1412181241</v>
      </c>
      <c r="E206">
        <v>53068358855539</v>
      </c>
      <c r="F206">
        <v>80230292297</v>
      </c>
      <c r="G206" s="12">
        <v>1081979258606.9888</v>
      </c>
      <c r="H206" s="3">
        <v>231800</v>
      </c>
      <c r="L206">
        <v>18601969</v>
      </c>
      <c r="M206" s="11">
        <v>105393207.93138401</v>
      </c>
    </row>
    <row r="207" spans="1:13">
      <c r="A207" s="3">
        <v>28750</v>
      </c>
      <c r="B207" s="3">
        <v>1026</v>
      </c>
      <c r="C207" s="4">
        <v>6039.2582231923598</v>
      </c>
      <c r="D207">
        <v>826562500</v>
      </c>
      <c r="E207">
        <v>23763671875000</v>
      </c>
      <c r="F207">
        <v>1080045576</v>
      </c>
      <c r="G207" s="12">
        <v>220267690355.45392</v>
      </c>
      <c r="H207" s="3">
        <v>160000</v>
      </c>
      <c r="L207">
        <v>1052676</v>
      </c>
      <c r="M207" s="11">
        <v>36472639.886396535</v>
      </c>
    </row>
    <row r="208" spans="1:13">
      <c r="A208" s="3">
        <v>13715</v>
      </c>
      <c r="B208" s="3">
        <v>2170</v>
      </c>
      <c r="C208" s="4">
        <v>5084.1441665572802</v>
      </c>
      <c r="D208">
        <v>188101225</v>
      </c>
      <c r="E208">
        <v>2579808300875</v>
      </c>
      <c r="F208">
        <v>10218313000</v>
      </c>
      <c r="G208" s="12">
        <v>131417611864.23854</v>
      </c>
      <c r="H208" s="3">
        <v>143900</v>
      </c>
      <c r="L208">
        <v>4708900</v>
      </c>
      <c r="M208" s="11">
        <v>25848521.90633842</v>
      </c>
    </row>
    <row r="209" spans="1:13">
      <c r="A209" s="3">
        <v>15114</v>
      </c>
      <c r="B209" s="3">
        <v>2329</v>
      </c>
      <c r="C209" s="4">
        <v>5084.1441665572802</v>
      </c>
      <c r="D209">
        <v>228432996</v>
      </c>
      <c r="E209">
        <v>3452536301544</v>
      </c>
      <c r="F209">
        <v>12633057289</v>
      </c>
      <c r="G209" s="12">
        <v>131417611864.23854</v>
      </c>
      <c r="H209" s="3">
        <v>151200</v>
      </c>
      <c r="L209">
        <v>5424241</v>
      </c>
      <c r="M209" s="11">
        <v>25848521.90633842</v>
      </c>
    </row>
    <row r="210" spans="1:13">
      <c r="A210" s="3">
        <v>23125</v>
      </c>
      <c r="B210" s="3">
        <v>2492</v>
      </c>
      <c r="C210" s="4">
        <v>5339.2582231923598</v>
      </c>
      <c r="D210">
        <v>534765625</v>
      </c>
      <c r="E210">
        <v>12366455078125</v>
      </c>
      <c r="F210">
        <v>15475479488</v>
      </c>
      <c r="G210" s="12">
        <v>152209856182.11398</v>
      </c>
      <c r="H210" s="3">
        <v>164400</v>
      </c>
      <c r="L210">
        <v>6210064</v>
      </c>
      <c r="M210" s="11">
        <v>28507678.373927236</v>
      </c>
    </row>
    <row r="211" spans="1:13">
      <c r="A211" s="3">
        <v>32200.000000000004</v>
      </c>
      <c r="B211" s="3">
        <v>2198</v>
      </c>
      <c r="C211" s="4">
        <v>4739.2582231923598</v>
      </c>
      <c r="D211">
        <v>1036840000.0000002</v>
      </c>
      <c r="E211">
        <v>33386248000000.012</v>
      </c>
      <c r="F211">
        <v>10618986392</v>
      </c>
      <c r="G211" s="12">
        <v>106446433990.09271</v>
      </c>
      <c r="H211" s="3">
        <v>156500</v>
      </c>
      <c r="L211">
        <v>4831204</v>
      </c>
      <c r="M211" s="11">
        <v>22460568.506096404</v>
      </c>
    </row>
    <row r="212" spans="1:13">
      <c r="A212" s="3">
        <v>38750</v>
      </c>
      <c r="B212" s="3">
        <v>142</v>
      </c>
      <c r="C212" s="4">
        <v>6498.1659216378503</v>
      </c>
      <c r="D212">
        <v>1501562500</v>
      </c>
      <c r="E212">
        <v>58185546875000</v>
      </c>
      <c r="F212">
        <v>2863288</v>
      </c>
      <c r="G212" s="12">
        <v>274392596156.37503</v>
      </c>
      <c r="H212" s="3">
        <v>225000</v>
      </c>
      <c r="L212">
        <v>20164</v>
      </c>
      <c r="M212" s="11">
        <v>42226160.345135495</v>
      </c>
    </row>
    <row r="213" spans="1:13">
      <c r="A213" s="3">
        <v>32328</v>
      </c>
      <c r="B213" s="3">
        <v>1183</v>
      </c>
      <c r="C213" s="4">
        <v>6039.2582231923598</v>
      </c>
      <c r="D213">
        <v>1045099584</v>
      </c>
      <c r="E213">
        <v>33785979351552</v>
      </c>
      <c r="F213">
        <v>1655595487</v>
      </c>
      <c r="G213" s="12">
        <v>220267690355.45392</v>
      </c>
      <c r="H213" s="3">
        <v>174200</v>
      </c>
      <c r="L213">
        <v>1399489</v>
      </c>
      <c r="M213" s="11">
        <v>36472639.886396535</v>
      </c>
    </row>
    <row r="214" spans="1:13">
      <c r="A214" s="3">
        <v>27262</v>
      </c>
      <c r="B214" s="3">
        <v>1070</v>
      </c>
      <c r="C214" s="4">
        <v>6039.2582231923598</v>
      </c>
      <c r="D214">
        <v>743216644</v>
      </c>
      <c r="E214">
        <v>20261572148728</v>
      </c>
      <c r="F214">
        <v>1225043000</v>
      </c>
      <c r="G214" s="12">
        <v>220267690355.45392</v>
      </c>
      <c r="H214" s="3">
        <v>166900</v>
      </c>
      <c r="L214">
        <v>1144900</v>
      </c>
      <c r="M214" s="11">
        <v>36472639.886396535</v>
      </c>
    </row>
    <row r="215" spans="1:13">
      <c r="A215" s="3">
        <v>25893</v>
      </c>
      <c r="B215" s="3">
        <v>1766</v>
      </c>
      <c r="C215" s="4">
        <v>5680.2179970399602</v>
      </c>
      <c r="D215">
        <v>670447449</v>
      </c>
      <c r="E215">
        <v>17359895796957</v>
      </c>
      <c r="F215">
        <v>5507723096</v>
      </c>
      <c r="G215" s="12">
        <v>183271532132.90335</v>
      </c>
      <c r="H215" s="3">
        <v>163500</v>
      </c>
      <c r="L215">
        <v>3118756</v>
      </c>
      <c r="M215" s="11">
        <v>32264876.493896656</v>
      </c>
    </row>
    <row r="216" spans="1:13">
      <c r="A216" s="3">
        <v>52577.999999999993</v>
      </c>
      <c r="B216" s="3">
        <v>617</v>
      </c>
      <c r="C216" s="4">
        <v>7437.9004004202197</v>
      </c>
      <c r="D216">
        <v>2764446083.999999</v>
      </c>
      <c r="E216">
        <v>145349046204551.94</v>
      </c>
      <c r="F216">
        <v>234885113</v>
      </c>
      <c r="G216" s="12">
        <v>411482221198.51288</v>
      </c>
      <c r="H216" s="3">
        <v>253000</v>
      </c>
      <c r="L216">
        <v>380689</v>
      </c>
      <c r="M216" s="11">
        <v>55322362.366571262</v>
      </c>
    </row>
    <row r="217" spans="1:13">
      <c r="A217" s="3">
        <v>50875</v>
      </c>
      <c r="B217" s="3">
        <v>1411</v>
      </c>
      <c r="C217" s="4">
        <v>7437.9004004202197</v>
      </c>
      <c r="D217">
        <v>2588265625</v>
      </c>
      <c r="E217">
        <v>131678013671875</v>
      </c>
      <c r="F217">
        <v>2809189531</v>
      </c>
      <c r="G217" s="12">
        <v>411482221198.51288</v>
      </c>
      <c r="H217" s="3">
        <v>240700</v>
      </c>
      <c r="L217">
        <v>1990921</v>
      </c>
      <c r="M217" s="11">
        <v>55322362.366571262</v>
      </c>
    </row>
    <row r="218" spans="1:13">
      <c r="A218" s="3">
        <v>39712</v>
      </c>
      <c r="B218" s="3">
        <v>2109</v>
      </c>
      <c r="C218" s="4">
        <v>7437.9004004202197</v>
      </c>
      <c r="D218">
        <v>1577042944</v>
      </c>
      <c r="E218">
        <v>62627529392128</v>
      </c>
      <c r="F218">
        <v>9380581029</v>
      </c>
      <c r="G218" s="12">
        <v>411482221198.51288</v>
      </c>
      <c r="H218" s="3">
        <v>208100</v>
      </c>
      <c r="L218">
        <v>4447881</v>
      </c>
      <c r="M218" s="11">
        <v>55322362.366571262</v>
      </c>
    </row>
    <row r="219" spans="1:13">
      <c r="A219" s="3">
        <v>29514</v>
      </c>
      <c r="B219" s="3">
        <v>1229</v>
      </c>
      <c r="C219" s="4">
        <v>7040.5695824775703</v>
      </c>
      <c r="D219">
        <v>871076196</v>
      </c>
      <c r="E219">
        <v>25708942848744</v>
      </c>
      <c r="F219">
        <v>1856331989</v>
      </c>
      <c r="G219" s="12">
        <v>348998359108.78491</v>
      </c>
      <c r="H219" s="3">
        <v>198100</v>
      </c>
      <c r="L219">
        <v>1510441</v>
      </c>
      <c r="M219" s="11">
        <v>49569620.045708388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例6-5</vt:lpstr>
      <vt:lpstr>California_Houses_200_3 </vt:lpstr>
      <vt:lpstr>summary_table</vt:lpstr>
      <vt:lpstr>（一）回归报告法ia_Houses_200_3_reg</vt:lpstr>
      <vt:lpstr>（二）规划求解法</vt:lpstr>
      <vt:lpstr>X1,X2,X3,X1²,X1³</vt:lpstr>
      <vt:lpstr>X1</vt:lpstr>
      <vt:lpstr>X2</vt:lpstr>
      <vt:lpstr>X3</vt:lpstr>
      <vt:lpstr>X1,X2</vt:lpstr>
      <vt:lpstr>X1,X3</vt:lpstr>
      <vt:lpstr>X1,X2,X3</vt:lpstr>
      <vt:lpstr>X1,X2,X3,X1²</vt:lpstr>
      <vt:lpstr>X1,X2,X3,X2²</vt:lpstr>
      <vt:lpstr>X1,X2,X3,X3²</vt:lpstr>
      <vt:lpstr>X1,X2,X3,X1²,X3²</vt:lpstr>
      <vt:lpstr>X1,X2,X3,X1²,X2²</vt:lpstr>
      <vt:lpstr>X1,X2,X3,X1²,X2²,X3²</vt:lpstr>
      <vt:lpstr>X1,X2,X3,X1²,X2³</vt:lpstr>
      <vt:lpstr>X1,X2,X3,X1²,X3³</vt:lpstr>
      <vt:lpstr>X1,X2,X3,X1²,X1³,X3³</vt:lpstr>
      <vt:lpstr>X1,X2,X3,X1²,X1³,X2³</vt:lpstr>
      <vt:lpstr>X1,X2,X3,X1²,X1³,X2³,X3³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lee</dc:creator>
  <cp:lastModifiedBy>yuan chen</cp:lastModifiedBy>
  <dcterms:created xsi:type="dcterms:W3CDTF">2015-06-05T18:17:20Z</dcterms:created>
  <dcterms:modified xsi:type="dcterms:W3CDTF">2024-07-23T06:43:36Z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cd08250c</vt:lpwstr>
  </property>
</Properties>
</file>