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codeName="ThisWorkbook"/>
  <mc:AlternateContent xmlns:mc="http://schemas.openxmlformats.org/markup-compatibility/2006">
    <mc:Choice Requires="x15">
      <x15ac:absPath xmlns:x15ac="http://schemas.microsoft.com/office/spreadsheetml/2010/11/ac" url="C:\Users\carl_\Desktop\1-第五版PPT&amp;数据源&amp;例题-0724\3-第五版例题答案-0723\第八章例题答案\"/>
    </mc:Choice>
  </mc:AlternateContent>
  <xr:revisionPtr revIDLastSave="0" documentId="13_ncr:1_{69F0F2D0-EDB2-4C0E-BA07-1E9F223B489B}" xr6:coauthVersionLast="47" xr6:coauthVersionMax="47" xr10:uidLastSave="{00000000-0000-0000-0000-000000000000}"/>
  <bookViews>
    <workbookView xWindow="-98" yWindow="-98" windowWidth="21795" windowHeight="13875" tabRatio="644" xr2:uid="{00000000-000D-0000-FFFF-FFFF00000000}"/>
  </bookViews>
  <sheets>
    <sheet name="例8-7" sheetId="60031" r:id="rId1"/>
    <sheet name="随机需求模拟模型" sheetId="60025" r:id="rId2"/>
    <sheet name="年总成本随订货量变化图形" sheetId="60026" r:id="rId3"/>
    <sheet name="随机需求服务水平模拟模型" sheetId="60032" r:id="rId4"/>
    <sheet name="服务水平随安全库存变化图" sheetId="60033" r:id="rId5"/>
  </sheets>
  <definedNames>
    <definedName name="_xlnm.Print_Area" localSheetId="3">随机需求服务水平模拟模型!$A$3:$D$13</definedName>
    <definedName name="_xlnm.Print_Area" localSheetId="1">随机需求模拟模型!$A$3:$D$13</definedName>
  </definedNames>
  <calcPr calcId="191029" concurrentManualCount="16"/>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 i="60025" l="1"/>
  <c r="T19" i="60025"/>
  <c r="T20" i="60025"/>
  <c r="T21" i="60025"/>
  <c r="T18" i="60025"/>
  <c r="F5" i="60032"/>
  <c r="S21" i="60032"/>
  <c r="S20" i="60032"/>
  <c r="S19" i="60032"/>
  <c r="S18" i="60032"/>
  <c r="B23" i="60032"/>
  <c r="DK3" i="60032"/>
  <c r="DK4" i="60032"/>
  <c r="B22" i="60032"/>
  <c r="B21" i="60032"/>
  <c r="B18" i="60032" l="1"/>
  <c r="DK13" i="60032" l="1"/>
  <c r="DK12" i="60032"/>
  <c r="C17" i="60032" s="1"/>
  <c r="C18" i="60032" s="1"/>
  <c r="DK11" i="60032"/>
  <c r="DK10" i="60032"/>
  <c r="DK9" i="60032"/>
  <c r="C7" i="60032"/>
  <c r="DK8" i="60032"/>
  <c r="DK7" i="60032"/>
  <c r="DK6" i="60032"/>
  <c r="H4" i="60032"/>
  <c r="G5" i="60032" s="1"/>
  <c r="DK5" i="60032"/>
  <c r="C19" i="60032" l="1"/>
  <c r="C22" i="60032"/>
  <c r="DO4" i="60025"/>
  <c r="DO5" i="60025"/>
  <c r="DO6" i="60025"/>
  <c r="DO7" i="60025"/>
  <c r="DO8" i="60025"/>
  <c r="DO9" i="60025"/>
  <c r="DO10" i="60025"/>
  <c r="DO11" i="60025"/>
  <c r="DO12" i="60025"/>
  <c r="DO13" i="60025"/>
  <c r="DO3" i="60025"/>
  <c r="F16" i="60032" l="1"/>
  <c r="F57" i="60032"/>
  <c r="F82" i="60032"/>
  <c r="F62" i="60032"/>
  <c r="F45" i="60032"/>
  <c r="F334" i="60032"/>
  <c r="F173" i="60032"/>
  <c r="F10" i="60032"/>
  <c r="F339" i="60032"/>
  <c r="F106" i="60032"/>
  <c r="F63" i="60032"/>
  <c r="F58" i="60032"/>
  <c r="F47" i="60032"/>
  <c r="F247" i="60032"/>
  <c r="F336" i="60032"/>
  <c r="F92" i="60032"/>
  <c r="F114" i="60032"/>
  <c r="F53" i="60032"/>
  <c r="F267" i="60032"/>
  <c r="F78" i="60032"/>
  <c r="F73" i="60032"/>
  <c r="F54" i="60032"/>
  <c r="F142" i="60032"/>
  <c r="F280" i="60032"/>
  <c r="F205" i="60032"/>
  <c r="F72" i="60032"/>
  <c r="F74" i="60032"/>
  <c r="F210" i="60032"/>
  <c r="F216" i="60032"/>
  <c r="F71" i="60032"/>
  <c r="F105" i="60032"/>
  <c r="F201" i="60032"/>
  <c r="F229" i="60032"/>
  <c r="F133" i="60032"/>
  <c r="F161" i="60032"/>
  <c r="F293" i="60032"/>
  <c r="F284" i="60032"/>
  <c r="F304" i="60032"/>
  <c r="F366" i="60032"/>
  <c r="F61" i="60032"/>
  <c r="F141" i="60032"/>
  <c r="F164" i="60032"/>
  <c r="F248" i="60032"/>
  <c r="F253" i="60032"/>
  <c r="F272" i="60032"/>
  <c r="F288" i="60032"/>
  <c r="F307" i="60032"/>
  <c r="F340" i="60032"/>
  <c r="F64" i="60032"/>
  <c r="F108" i="60032"/>
  <c r="F112" i="60032"/>
  <c r="F21" i="60032"/>
  <c r="F81" i="60032"/>
  <c r="F29" i="60032"/>
  <c r="F49" i="60032"/>
  <c r="F56" i="60032"/>
  <c r="F217" i="60032"/>
  <c r="F119" i="60032"/>
  <c r="F165" i="60032"/>
  <c r="F245" i="60032"/>
  <c r="F255" i="60032"/>
  <c r="F279" i="60032"/>
  <c r="F322" i="60032"/>
  <c r="F308" i="60032"/>
  <c r="F354" i="60032"/>
  <c r="F351" i="60032"/>
  <c r="F17" i="60032"/>
  <c r="F226" i="60032"/>
  <c r="F26" i="60032"/>
  <c r="F115" i="60032"/>
  <c r="F68" i="60032"/>
  <c r="F206" i="60032"/>
  <c r="F94" i="60032"/>
  <c r="F202" i="60032"/>
  <c r="F204" i="60032"/>
  <c r="F12" i="60032"/>
  <c r="F65" i="60032"/>
  <c r="F83" i="60032"/>
  <c r="F33" i="60032"/>
  <c r="F50" i="60032"/>
  <c r="F193" i="60032"/>
  <c r="F219" i="60032"/>
  <c r="F129" i="60032"/>
  <c r="F153" i="60032"/>
  <c r="F166" i="60032"/>
  <c r="F256" i="60032"/>
  <c r="F303" i="60032"/>
  <c r="F364" i="60032"/>
  <c r="F7" i="60032"/>
  <c r="F42" i="60032"/>
  <c r="F121" i="60032"/>
  <c r="F134" i="60032"/>
  <c r="F157" i="60032"/>
  <c r="F169" i="60032"/>
  <c r="F181" i="60032"/>
  <c r="F235" i="60032"/>
  <c r="F104" i="60032"/>
  <c r="F198" i="60032"/>
  <c r="F66" i="60032"/>
  <c r="F90" i="60032"/>
  <c r="F110" i="60032"/>
  <c r="F96" i="60032"/>
  <c r="F200" i="60032"/>
  <c r="F220" i="60032"/>
  <c r="F20" i="60032"/>
  <c r="F89" i="60032"/>
  <c r="F101" i="60032"/>
  <c r="F113" i="60032"/>
  <c r="F24" i="60032"/>
  <c r="F30" i="60032"/>
  <c r="F37" i="60032"/>
  <c r="F41" i="60032"/>
  <c r="F46" i="60032"/>
  <c r="F51" i="60032"/>
  <c r="F203" i="60032"/>
  <c r="F213" i="60032"/>
  <c r="F225" i="60032"/>
  <c r="F250" i="60032"/>
  <c r="F126" i="60032"/>
  <c r="F149" i="60032"/>
  <c r="F156" i="60032"/>
  <c r="F162" i="60032"/>
  <c r="F174" i="60032"/>
  <c r="F180" i="60032"/>
  <c r="F190" i="60032"/>
  <c r="F244" i="60032"/>
  <c r="F233" i="60032"/>
  <c r="F243" i="60032"/>
  <c r="F289" i="60032"/>
  <c r="F252" i="60032"/>
  <c r="F257" i="60032"/>
  <c r="F264" i="60032"/>
  <c r="F271" i="60032"/>
  <c r="F276" i="60032"/>
  <c r="F282" i="60032"/>
  <c r="F287" i="60032"/>
  <c r="F327" i="60032"/>
  <c r="F300" i="60032"/>
  <c r="F316" i="60032"/>
  <c r="F349" i="60032"/>
  <c r="F363" i="60032"/>
  <c r="F103" i="60032"/>
  <c r="F227" i="60032"/>
  <c r="F163" i="60032"/>
  <c r="F232" i="60032"/>
  <c r="F259" i="60032"/>
  <c r="F296" i="60032"/>
  <c r="F311" i="60032"/>
  <c r="F332" i="60032"/>
  <c r="F356" i="60032"/>
  <c r="F365" i="60032"/>
  <c r="F11" i="60032"/>
  <c r="F76" i="60032"/>
  <c r="F19" i="60032"/>
  <c r="F214" i="60032"/>
  <c r="F98" i="60032"/>
  <c r="F80" i="60032"/>
  <c r="F8" i="60032"/>
  <c r="F218" i="60032"/>
  <c r="F13" i="60032"/>
  <c r="F212" i="60032"/>
  <c r="F230" i="60032"/>
  <c r="F14" i="60032"/>
  <c r="F75" i="60032"/>
  <c r="F85" i="60032"/>
  <c r="F95" i="60032"/>
  <c r="F18" i="60032"/>
  <c r="F34" i="60032"/>
  <c r="F39" i="60032"/>
  <c r="F44" i="60032"/>
  <c r="F60" i="60032"/>
  <c r="F195" i="60032"/>
  <c r="F209" i="60032"/>
  <c r="F117" i="60032"/>
  <c r="F122" i="60032"/>
  <c r="F137" i="60032"/>
  <c r="F145" i="60032"/>
  <c r="F158" i="60032"/>
  <c r="F170" i="60032"/>
  <c r="F177" i="60032"/>
  <c r="F182" i="60032"/>
  <c r="F236" i="60032"/>
  <c r="F290" i="60032"/>
  <c r="F237" i="60032"/>
  <c r="F260" i="60032"/>
  <c r="F273" i="60032"/>
  <c r="F319" i="60032"/>
  <c r="F324" i="60032"/>
  <c r="F297" i="60032"/>
  <c r="F312" i="60032"/>
  <c r="F348" i="60032"/>
  <c r="F358" i="60032"/>
  <c r="F331" i="60032"/>
  <c r="F345" i="60032"/>
  <c r="F355" i="60032"/>
  <c r="F369" i="60032"/>
  <c r="F93" i="60032"/>
  <c r="F25" i="60032"/>
  <c r="F38" i="60032"/>
  <c r="F215" i="60032"/>
  <c r="F127" i="60032"/>
  <c r="F150" i="60032"/>
  <c r="F175" i="60032"/>
  <c r="F291" i="60032"/>
  <c r="F266" i="60032"/>
  <c r="F277" i="60032"/>
  <c r="F283" i="60032"/>
  <c r="F323" i="60032"/>
  <c r="F342" i="60032"/>
  <c r="F329" i="60032"/>
  <c r="F341" i="60032"/>
  <c r="F191" i="60032"/>
  <c r="F9" i="60032"/>
  <c r="F84" i="60032"/>
  <c r="F183" i="60032"/>
  <c r="F6" i="60032"/>
  <c r="F196" i="60032"/>
  <c r="F238" i="60032"/>
  <c r="F79" i="60032"/>
  <c r="F87" i="60032"/>
  <c r="F97" i="60032"/>
  <c r="F111" i="60032"/>
  <c r="F22" i="60032"/>
  <c r="F35" i="60032"/>
  <c r="F40" i="60032"/>
  <c r="F211" i="60032"/>
  <c r="F242" i="60032"/>
  <c r="F118" i="60032"/>
  <c r="F125" i="60032"/>
  <c r="F130" i="60032"/>
  <c r="F138" i="60032"/>
  <c r="F146" i="60032"/>
  <c r="F154" i="60032"/>
  <c r="F178" i="60032"/>
  <c r="F188" i="60032"/>
  <c r="F240" i="60032"/>
  <c r="F294" i="60032"/>
  <c r="F239" i="60032"/>
  <c r="F251" i="60032"/>
  <c r="F295" i="60032"/>
  <c r="F263" i="60032"/>
  <c r="F268" i="60032"/>
  <c r="F275" i="60032"/>
  <c r="F286" i="60032"/>
  <c r="F320" i="60032"/>
  <c r="F325" i="60032"/>
  <c r="F299" i="60032"/>
  <c r="F315" i="60032"/>
  <c r="F350" i="60032"/>
  <c r="F333" i="60032"/>
  <c r="F347" i="60032"/>
  <c r="F357" i="60032"/>
  <c r="F67" i="60032"/>
  <c r="F91" i="60032"/>
  <c r="F99" i="60032"/>
  <c r="F107" i="60032"/>
  <c r="F222" i="60032"/>
  <c r="F27" i="60032"/>
  <c r="F31" i="60032"/>
  <c r="F43" i="60032"/>
  <c r="F55" i="60032"/>
  <c r="F59" i="60032"/>
  <c r="F185" i="60032"/>
  <c r="F197" i="60032"/>
  <c r="F221" i="60032"/>
  <c r="F123" i="60032"/>
  <c r="F131" i="60032"/>
  <c r="F135" i="60032"/>
  <c r="F139" i="60032"/>
  <c r="F143" i="60032"/>
  <c r="F147" i="60032"/>
  <c r="F151" i="60032"/>
  <c r="F155" i="60032"/>
  <c r="F159" i="60032"/>
  <c r="F167" i="60032"/>
  <c r="F171" i="60032"/>
  <c r="F179" i="60032"/>
  <c r="F184" i="60032"/>
  <c r="F192" i="60032"/>
  <c r="F231" i="60032"/>
  <c r="F261" i="60032"/>
  <c r="F265" i="60032"/>
  <c r="F269" i="60032"/>
  <c r="F281" i="60032"/>
  <c r="F285" i="60032"/>
  <c r="F317" i="60032"/>
  <c r="F321" i="60032"/>
  <c r="F301" i="60032"/>
  <c r="F305" i="60032"/>
  <c r="F309" i="60032"/>
  <c r="F313" i="60032"/>
  <c r="F328" i="60032"/>
  <c r="F344" i="60032"/>
  <c r="F352" i="60032"/>
  <c r="F360" i="60032"/>
  <c r="F368" i="60032"/>
  <c r="F335" i="60032"/>
  <c r="F343" i="60032"/>
  <c r="F359" i="60032"/>
  <c r="F367" i="60032"/>
  <c r="F88" i="60032"/>
  <c r="J5" i="60032"/>
  <c r="F70" i="60032"/>
  <c r="F86" i="60032"/>
  <c r="F102" i="60032"/>
  <c r="F292" i="60032"/>
  <c r="F100" i="60032"/>
  <c r="F194" i="60032"/>
  <c r="F187" i="60032"/>
  <c r="F208" i="60032"/>
  <c r="F224" i="60032"/>
  <c r="F246" i="60032"/>
  <c r="F15" i="60032"/>
  <c r="F23" i="60032"/>
  <c r="F69" i="60032"/>
  <c r="F77" i="60032"/>
  <c r="F109" i="60032"/>
  <c r="F228" i="60032"/>
  <c r="F28" i="60032"/>
  <c r="F32" i="60032"/>
  <c r="F36" i="60032"/>
  <c r="F48" i="60032"/>
  <c r="F52" i="60032"/>
  <c r="F189" i="60032"/>
  <c r="F199" i="60032"/>
  <c r="F207" i="60032"/>
  <c r="F223" i="60032"/>
  <c r="F234" i="60032"/>
  <c r="F116" i="60032"/>
  <c r="F120" i="60032"/>
  <c r="F124" i="60032"/>
  <c r="F128" i="60032"/>
  <c r="F132" i="60032"/>
  <c r="F136" i="60032"/>
  <c r="F140" i="60032"/>
  <c r="F144" i="60032"/>
  <c r="F148" i="60032"/>
  <c r="F152" i="60032"/>
  <c r="F160" i="60032"/>
  <c r="F168" i="60032"/>
  <c r="F172" i="60032"/>
  <c r="F176" i="60032"/>
  <c r="F186" i="60032"/>
  <c r="F241" i="60032"/>
  <c r="F249" i="60032"/>
  <c r="F254" i="60032"/>
  <c r="F258" i="60032"/>
  <c r="F262" i="60032"/>
  <c r="F270" i="60032"/>
  <c r="F274" i="60032"/>
  <c r="F278" i="60032"/>
  <c r="F318" i="60032"/>
  <c r="F326" i="60032"/>
  <c r="F298" i="60032"/>
  <c r="F302" i="60032"/>
  <c r="F306" i="60032"/>
  <c r="F310" i="60032"/>
  <c r="F314" i="60032"/>
  <c r="F330" i="60032"/>
  <c r="F338" i="60032"/>
  <c r="F346" i="60032"/>
  <c r="F362" i="60032"/>
  <c r="F337" i="60032"/>
  <c r="F353" i="60032"/>
  <c r="F361" i="60032"/>
  <c r="C17" i="60025"/>
  <c r="P17" i="60025" s="1"/>
  <c r="H5" i="60032" l="1"/>
  <c r="L5" i="60032" s="1"/>
  <c r="C18" i="60025"/>
  <c r="O16" i="60025" s="1"/>
  <c r="O17" i="60025" s="1"/>
  <c r="O18" i="60025" s="1"/>
  <c r="I5" i="60032" l="1"/>
  <c r="K5" i="60032" s="1"/>
  <c r="C7" i="60025"/>
  <c r="G6" i="60032" l="1"/>
  <c r="H6" i="60032" l="1"/>
  <c r="L6" i="60032" s="1"/>
  <c r="J6" i="60032"/>
  <c r="F244" i="60025" l="1"/>
  <c r="F358" i="60025"/>
  <c r="F11" i="60025"/>
  <c r="F152" i="60025"/>
  <c r="F166" i="60025"/>
  <c r="F20" i="60025"/>
  <c r="F122" i="60025"/>
  <c r="F364" i="60025"/>
  <c r="F14" i="60025"/>
  <c r="F191" i="60025"/>
  <c r="F263" i="60025"/>
  <c r="F207" i="60025"/>
  <c r="F187" i="60025"/>
  <c r="F91" i="60025"/>
  <c r="F313" i="60025"/>
  <c r="F178" i="60025"/>
  <c r="F315" i="60025"/>
  <c r="F289" i="60025"/>
  <c r="F237" i="60025"/>
  <c r="F149" i="60025"/>
  <c r="F50" i="60025"/>
  <c r="F361" i="60025"/>
  <c r="F367" i="60025"/>
  <c r="F206" i="60025"/>
  <c r="F78" i="60025"/>
  <c r="F230" i="60025"/>
  <c r="F298" i="60025"/>
  <c r="F258" i="60025"/>
  <c r="F254" i="60025"/>
  <c r="F321" i="60025"/>
  <c r="F359" i="60025"/>
  <c r="F270" i="60025"/>
  <c r="F327" i="60025"/>
  <c r="F271" i="60025"/>
  <c r="F195" i="60025"/>
  <c r="F220" i="60025"/>
  <c r="F176" i="60025"/>
  <c r="F80" i="60025"/>
  <c r="F8" i="60025"/>
  <c r="F314" i="60025"/>
  <c r="F231" i="60025"/>
  <c r="F199" i="60025"/>
  <c r="F167" i="60025"/>
  <c r="F135" i="60025"/>
  <c r="F71" i="60025"/>
  <c r="F288" i="60025"/>
  <c r="F256" i="60025"/>
  <c r="F240" i="60025"/>
  <c r="F224" i="60025"/>
  <c r="F208" i="60025"/>
  <c r="F179" i="60025"/>
  <c r="F147" i="60025"/>
  <c r="F115" i="60025"/>
  <c r="F67" i="60025"/>
  <c r="F51" i="60025"/>
  <c r="F19" i="60025"/>
  <c r="F41" i="60025"/>
  <c r="F9" i="60025"/>
  <c r="F332" i="60025"/>
  <c r="F316" i="60025"/>
  <c r="F300" i="60025"/>
  <c r="F284" i="60025"/>
  <c r="F159" i="60025"/>
  <c r="F127" i="60025"/>
  <c r="F111" i="60025"/>
  <c r="F79" i="60025"/>
  <c r="F47" i="60025"/>
  <c r="F31" i="60025"/>
  <c r="F328" i="60025"/>
  <c r="F296" i="60025"/>
  <c r="F280" i="60025"/>
  <c r="F248" i="60025"/>
  <c r="F232" i="60025"/>
  <c r="F200" i="60025"/>
  <c r="I6" i="60032"/>
  <c r="K6" i="60032" s="1"/>
  <c r="F210" i="60025"/>
  <c r="H4" i="60025"/>
  <c r="G5" i="60025" s="1"/>
  <c r="C21" i="60025"/>
  <c r="F304" i="60025" l="1"/>
  <c r="F144" i="60025"/>
  <c r="F223" i="60025"/>
  <c r="F279" i="60025"/>
  <c r="F227" i="60025"/>
  <c r="F272" i="60025"/>
  <c r="F123" i="60025"/>
  <c r="F105" i="60025"/>
  <c r="F74" i="60025"/>
  <c r="F170" i="60025"/>
  <c r="F56" i="60025"/>
  <c r="F165" i="60025"/>
  <c r="F222" i="60025"/>
  <c r="F217" i="60025"/>
  <c r="F307" i="60025"/>
  <c r="F93" i="60025"/>
  <c r="F190" i="60025"/>
  <c r="F241" i="60025"/>
  <c r="F234" i="60025"/>
  <c r="F81" i="60025"/>
  <c r="F90" i="60025"/>
  <c r="F276" i="60025"/>
  <c r="F66" i="60025"/>
  <c r="F349" i="60025"/>
  <c r="F182" i="60025"/>
  <c r="F72" i="60025"/>
  <c r="F181" i="60025"/>
  <c r="F12" i="60025"/>
  <c r="F233" i="60025"/>
  <c r="F323" i="60025"/>
  <c r="F109" i="60025"/>
  <c r="F318" i="60025"/>
  <c r="F301" i="60025"/>
  <c r="F330" i="60025"/>
  <c r="F125" i="60025"/>
  <c r="F266" i="60025"/>
  <c r="F312" i="60025"/>
  <c r="F162" i="60025"/>
  <c r="F193" i="60025"/>
  <c r="F366" i="60025"/>
  <c r="F336" i="60025"/>
  <c r="F130" i="60025"/>
  <c r="F146" i="60025"/>
  <c r="F299" i="60025"/>
  <c r="F262" i="60025"/>
  <c r="F344" i="60025"/>
  <c r="F29" i="60025"/>
  <c r="F124" i="60025"/>
  <c r="F369" i="60025"/>
  <c r="F89" i="60025"/>
  <c r="F295" i="60025"/>
  <c r="F306" i="60025"/>
  <c r="F196" i="60025"/>
  <c r="F40" i="60025"/>
  <c r="F259" i="60025"/>
  <c r="F117" i="60025"/>
  <c r="F252" i="60025"/>
  <c r="F229" i="60025"/>
  <c r="F46" i="60025"/>
  <c r="F362" i="60025"/>
  <c r="F49" i="60025"/>
  <c r="F347" i="60025"/>
  <c r="F245" i="60025"/>
  <c r="F351" i="60025"/>
  <c r="F197" i="60025"/>
  <c r="F260" i="60025"/>
  <c r="F136" i="60025"/>
  <c r="F293" i="60025"/>
  <c r="F172" i="60025"/>
  <c r="F297" i="60025"/>
  <c r="F16" i="60025"/>
  <c r="F285" i="60025"/>
  <c r="F274" i="60025"/>
  <c r="F63" i="60025"/>
  <c r="F100" i="60025"/>
  <c r="F273" i="60025"/>
  <c r="F214" i="60025"/>
  <c r="F185" i="60025"/>
  <c r="F106" i="60025"/>
  <c r="F253" i="60025"/>
  <c r="F308" i="60025"/>
  <c r="F247" i="60025"/>
  <c r="F84" i="60025"/>
  <c r="F42" i="60025"/>
  <c r="F57" i="60025"/>
  <c r="F21" i="60025"/>
  <c r="F226" i="60025"/>
  <c r="F238" i="60025"/>
  <c r="F37" i="60025"/>
  <c r="F61" i="60025"/>
  <c r="F368" i="60025"/>
  <c r="F302" i="60025"/>
  <c r="F319" i="60025"/>
  <c r="F343" i="60025"/>
  <c r="F26" i="60025"/>
  <c r="F131" i="60025"/>
  <c r="F76" i="60025"/>
  <c r="F157" i="60025"/>
  <c r="F337" i="60025"/>
  <c r="F346" i="60025"/>
  <c r="F242" i="60025"/>
  <c r="F120" i="60025"/>
  <c r="F281" i="60025"/>
  <c r="F198" i="60025"/>
  <c r="F365" i="60025"/>
  <c r="F97" i="60025"/>
  <c r="F22" i="60025"/>
  <c r="F168" i="60025"/>
  <c r="F309" i="60025"/>
  <c r="F188" i="60025"/>
  <c r="F329" i="60025"/>
  <c r="F32" i="60025"/>
  <c r="F333" i="60025"/>
  <c r="F360" i="60025"/>
  <c r="F119" i="60025"/>
  <c r="F164" i="60025"/>
  <c r="F341" i="60025"/>
  <c r="F36" i="60025"/>
  <c r="F225" i="60025"/>
  <c r="F186" i="60025"/>
  <c r="F134" i="60025"/>
  <c r="F28" i="60025"/>
  <c r="F148" i="60025"/>
  <c r="F126" i="60025"/>
  <c r="F203" i="60025"/>
  <c r="F291" i="60025"/>
  <c r="F180" i="60025"/>
  <c r="F142" i="60025"/>
  <c r="F322" i="60025"/>
  <c r="F145" i="60025"/>
  <c r="F356" i="60025"/>
  <c r="F10" i="60025"/>
  <c r="F43" i="60025"/>
  <c r="F331" i="60025"/>
  <c r="F264" i="60025"/>
  <c r="F246" i="60025"/>
  <c r="F129" i="60025"/>
  <c r="F177" i="60025"/>
  <c r="F265" i="60025"/>
  <c r="F350" i="60025"/>
  <c r="F139" i="60025"/>
  <c r="F44" i="60025"/>
  <c r="F243" i="60025"/>
  <c r="F110" i="60025"/>
  <c r="F320" i="60025"/>
  <c r="F98" i="60025"/>
  <c r="F338" i="60025"/>
  <c r="F269" i="60025"/>
  <c r="F211" i="60025"/>
  <c r="F348" i="60025"/>
  <c r="F160" i="60025"/>
  <c r="F212" i="60025"/>
  <c r="F239" i="60025"/>
  <c r="F69" i="60025"/>
  <c r="F68" i="60025"/>
  <c r="F101" i="60025"/>
  <c r="F77" i="60025"/>
  <c r="F340" i="60025"/>
  <c r="F278" i="60025"/>
  <c r="F88" i="60025"/>
  <c r="F249" i="60025"/>
  <c r="F70" i="60025"/>
  <c r="F141" i="60025"/>
  <c r="F353" i="60025"/>
  <c r="F140" i="60025"/>
  <c r="F173" i="60025"/>
  <c r="F27" i="60025"/>
  <c r="F294" i="60025"/>
  <c r="F58" i="60025"/>
  <c r="F184" i="60025"/>
  <c r="F325" i="60025"/>
  <c r="F236" i="60025"/>
  <c r="F345" i="60025"/>
  <c r="F48" i="60025"/>
  <c r="F7" i="60025"/>
  <c r="F250" i="60025"/>
  <c r="F175" i="60025"/>
  <c r="F189" i="60025"/>
  <c r="F75" i="60025"/>
  <c r="F17" i="60025"/>
  <c r="F261" i="60025"/>
  <c r="F282" i="60025"/>
  <c r="F138" i="60025"/>
  <c r="F65" i="60025"/>
  <c r="F324" i="60025"/>
  <c r="F94" i="60025"/>
  <c r="F15" i="60025"/>
  <c r="F192" i="60025"/>
  <c r="F213" i="60025"/>
  <c r="F158" i="60025"/>
  <c r="F64" i="60025"/>
  <c r="F99" i="60025"/>
  <c r="F290" i="60025"/>
  <c r="F218" i="60025"/>
  <c r="F83" i="60025"/>
  <c r="F205" i="60025"/>
  <c r="F352" i="60025"/>
  <c r="F277" i="60025"/>
  <c r="F103" i="60025"/>
  <c r="F6" i="60025"/>
  <c r="F133" i="60025"/>
  <c r="F34" i="60025"/>
  <c r="F275" i="60025"/>
  <c r="F354" i="60025"/>
  <c r="F102" i="60025"/>
  <c r="F153" i="60025"/>
  <c r="F310" i="60025"/>
  <c r="F113" i="60025"/>
  <c r="F112" i="60025"/>
  <c r="F221" i="60025"/>
  <c r="F137" i="60025"/>
  <c r="F52" i="60025"/>
  <c r="F104" i="60025"/>
  <c r="F25" i="60025"/>
  <c r="F18" i="60025"/>
  <c r="F357" i="60025"/>
  <c r="F60" i="60025"/>
  <c r="F45" i="60025"/>
  <c r="F96" i="60025"/>
  <c r="F286" i="60025"/>
  <c r="F326" i="60025"/>
  <c r="F268" i="60025"/>
  <c r="F87" i="60025"/>
  <c r="F108" i="60025"/>
  <c r="F62" i="60025"/>
  <c r="F156" i="60025"/>
  <c r="F183" i="60025"/>
  <c r="F335" i="60025"/>
  <c r="F303" i="60025"/>
  <c r="F163" i="60025"/>
  <c r="F23" i="60025"/>
  <c r="F215" i="60025"/>
  <c r="F235" i="60025"/>
  <c r="F95" i="60025"/>
  <c r="F118" i="60025"/>
  <c r="F24" i="60025"/>
  <c r="F305" i="60025"/>
  <c r="F219" i="60025"/>
  <c r="F59" i="60025"/>
  <c r="F121" i="60025"/>
  <c r="F174" i="60025"/>
  <c r="F39" i="60025"/>
  <c r="F311" i="60025"/>
  <c r="F292" i="60025"/>
  <c r="F267" i="60025"/>
  <c r="F13" i="60025"/>
  <c r="F55" i="60025"/>
  <c r="F92" i="60025"/>
  <c r="F204" i="60025"/>
  <c r="F35" i="60025"/>
  <c r="F128" i="60025"/>
  <c r="F151" i="60025"/>
  <c r="F355" i="60025"/>
  <c r="F82" i="60025"/>
  <c r="F143" i="60025"/>
  <c r="F255" i="60025"/>
  <c r="F30" i="60025"/>
  <c r="F73" i="60025"/>
  <c r="F169" i="60025"/>
  <c r="F363" i="60025"/>
  <c r="F114" i="60025"/>
  <c r="F54" i="60025"/>
  <c r="F154" i="60025"/>
  <c r="F33" i="60025"/>
  <c r="F209" i="60025"/>
  <c r="F107" i="60025"/>
  <c r="F194" i="60025"/>
  <c r="F86" i="60025"/>
  <c r="F161" i="60025"/>
  <c r="F257" i="60025"/>
  <c r="F155" i="60025"/>
  <c r="F171" i="60025"/>
  <c r="F334" i="60025"/>
  <c r="F38" i="60025"/>
  <c r="F150" i="60025"/>
  <c r="F116" i="60025"/>
  <c r="F132" i="60025"/>
  <c r="F228" i="60025"/>
  <c r="F251" i="60025"/>
  <c r="F283" i="60025"/>
  <c r="F202" i="60025"/>
  <c r="F216" i="60025"/>
  <c r="F53" i="60025"/>
  <c r="F85" i="60025"/>
  <c r="F287" i="60025"/>
  <c r="F201" i="60025"/>
  <c r="F339" i="60025"/>
  <c r="F317" i="60025"/>
  <c r="F342" i="60025"/>
  <c r="G7" i="60032"/>
  <c r="J7" i="60032" s="1"/>
  <c r="P22" i="60025"/>
  <c r="C22" i="60025"/>
  <c r="O21" i="60025" s="1"/>
  <c r="O22" i="60025" s="1"/>
  <c r="O23" i="60025" s="1"/>
  <c r="H5" i="60025"/>
  <c r="H7" i="60032" l="1"/>
  <c r="L7" i="60032" s="1"/>
  <c r="I5" i="60025"/>
  <c r="L5" i="60025" s="1"/>
  <c r="M5" i="60025"/>
  <c r="J5" i="60025"/>
  <c r="K5" i="60025" s="1"/>
  <c r="I7" i="60032" l="1"/>
  <c r="K7" i="60032" s="1"/>
  <c r="G6" i="60025"/>
  <c r="G8" i="60032" l="1"/>
  <c r="J8" i="60032" s="1"/>
  <c r="J6" i="60025"/>
  <c r="K6" i="60025" s="1"/>
  <c r="H6" i="60025"/>
  <c r="H8" i="60032" l="1"/>
  <c r="L8" i="60032" s="1"/>
  <c r="M6" i="60025"/>
  <c r="I6" i="60025"/>
  <c r="L6" i="60025" s="1"/>
  <c r="I8" i="60032" l="1"/>
  <c r="K8" i="60032" s="1"/>
  <c r="G7" i="60025"/>
  <c r="G9" i="60032" l="1"/>
  <c r="H9" i="60032" s="1"/>
  <c r="J7" i="60025"/>
  <c r="K7" i="60025" s="1"/>
  <c r="H7" i="60025"/>
  <c r="I9" i="60032" l="1"/>
  <c r="K9" i="60032" s="1"/>
  <c r="L9" i="60032"/>
  <c r="J9" i="60032"/>
  <c r="I7" i="60025"/>
  <c r="L7" i="60025" s="1"/>
  <c r="M7" i="60025"/>
  <c r="G10" i="60032" l="1"/>
  <c r="J10" i="60032" s="1"/>
  <c r="G8" i="60025"/>
  <c r="J8" i="60025" s="1"/>
  <c r="K8" i="60025" s="1"/>
  <c r="H10" i="60032" l="1"/>
  <c r="L10" i="60032" s="1"/>
  <c r="H8" i="60025"/>
  <c r="M8" i="60025" s="1"/>
  <c r="I10" i="60032" l="1"/>
  <c r="K10" i="60032" s="1"/>
  <c r="I8" i="60025"/>
  <c r="L8" i="60025" s="1"/>
  <c r="G11" i="60032" l="1"/>
  <c r="H11" i="60032" s="1"/>
  <c r="L11" i="60032" s="1"/>
  <c r="G9" i="60025"/>
  <c r="J9" i="60025" s="1"/>
  <c r="K9" i="60025" s="1"/>
  <c r="I11" i="60032" l="1"/>
  <c r="K11" i="60032" s="1"/>
  <c r="J11" i="60032"/>
  <c r="H9" i="60025"/>
  <c r="I9" i="60025" s="1"/>
  <c r="L9" i="60025" s="1"/>
  <c r="G12" i="60032" l="1"/>
  <c r="H12" i="60032" s="1"/>
  <c r="L12" i="60032" s="1"/>
  <c r="G10" i="60025"/>
  <c r="J10" i="60025" s="1"/>
  <c r="K10" i="60025" s="1"/>
  <c r="M9" i="60025"/>
  <c r="J12" i="60032" l="1"/>
  <c r="I12" i="60032"/>
  <c r="K12" i="60032" s="1"/>
  <c r="H10" i="60025"/>
  <c r="I10" i="60025" s="1"/>
  <c r="L10" i="60025" s="1"/>
  <c r="G13" i="60032" l="1"/>
  <c r="J13" i="60032" s="1"/>
  <c r="M10" i="60025"/>
  <c r="G11" i="60025"/>
  <c r="H13" i="60032" l="1"/>
  <c r="I13" i="60032" s="1"/>
  <c r="K13" i="60032" s="1"/>
  <c r="J11" i="60025"/>
  <c r="K11" i="60025" s="1"/>
  <c r="H11" i="60025"/>
  <c r="L13" i="60032" l="1"/>
  <c r="G14" i="60032"/>
  <c r="J14" i="60032" s="1"/>
  <c r="M11" i="60025"/>
  <c r="I11" i="60025"/>
  <c r="L11" i="60025" s="1"/>
  <c r="H14" i="60032" l="1"/>
  <c r="L14" i="60032" s="1"/>
  <c r="G12" i="60025"/>
  <c r="I14" i="60032" l="1"/>
  <c r="K14" i="60032" s="1"/>
  <c r="J12" i="60025"/>
  <c r="K12" i="60025" s="1"/>
  <c r="H12" i="60025"/>
  <c r="G15" i="60032" l="1"/>
  <c r="J15" i="60032" s="1"/>
  <c r="M12" i="60025"/>
  <c r="I12" i="60025"/>
  <c r="L12" i="60025" s="1"/>
  <c r="H15" i="60032" l="1"/>
  <c r="I15" i="60032" s="1"/>
  <c r="K15" i="60032" s="1"/>
  <c r="G13" i="60025"/>
  <c r="L15" i="60032" l="1"/>
  <c r="G16" i="60032"/>
  <c r="H16" i="60032" s="1"/>
  <c r="L16" i="60032" s="1"/>
  <c r="J13" i="60025"/>
  <c r="K13" i="60025" s="1"/>
  <c r="H13" i="60025"/>
  <c r="J16" i="60032" l="1"/>
  <c r="I16" i="60032"/>
  <c r="K16" i="60032" s="1"/>
  <c r="I13" i="60025"/>
  <c r="L13" i="60025" s="1"/>
  <c r="M13" i="60025"/>
  <c r="G17" i="60032" l="1"/>
  <c r="J17" i="60032" s="1"/>
  <c r="G14" i="60025"/>
  <c r="H17" i="60032" l="1"/>
  <c r="L17" i="60032" s="1"/>
  <c r="J14" i="60025"/>
  <c r="K14" i="60025" s="1"/>
  <c r="H14" i="60025"/>
  <c r="I17" i="60032" l="1"/>
  <c r="K17" i="60032" s="1"/>
  <c r="M14" i="60025"/>
  <c r="I14" i="60025"/>
  <c r="L14" i="60025" s="1"/>
  <c r="G18" i="60032" l="1"/>
  <c r="J18" i="60032" s="1"/>
  <c r="G15" i="60025"/>
  <c r="H18" i="60032" l="1"/>
  <c r="L18" i="60032" s="1"/>
  <c r="J15" i="60025"/>
  <c r="K15" i="60025" s="1"/>
  <c r="H15" i="60025"/>
  <c r="I18" i="60032" l="1"/>
  <c r="K18" i="60032" s="1"/>
  <c r="I15" i="60025"/>
  <c r="L15" i="60025" s="1"/>
  <c r="M15" i="60025"/>
  <c r="G19" i="60032" l="1"/>
  <c r="H19" i="60032" s="1"/>
  <c r="L19" i="60032" s="1"/>
  <c r="G16" i="60025"/>
  <c r="I19" i="60032" l="1"/>
  <c r="K19" i="60032" s="1"/>
  <c r="J19" i="60032"/>
  <c r="J16" i="60025"/>
  <c r="K16" i="60025" s="1"/>
  <c r="H16" i="60025"/>
  <c r="G20" i="60032" l="1"/>
  <c r="J20" i="60032" s="1"/>
  <c r="M16" i="60025"/>
  <c r="I16" i="60025"/>
  <c r="L16" i="60025" s="1"/>
  <c r="H20" i="60032" l="1"/>
  <c r="L20" i="60032" s="1"/>
  <c r="G17" i="60025"/>
  <c r="I20" i="60032" l="1"/>
  <c r="K20" i="60032" s="1"/>
  <c r="J17" i="60025"/>
  <c r="K17" i="60025" s="1"/>
  <c r="H17" i="60025"/>
  <c r="G21" i="60032" l="1"/>
  <c r="H21" i="60032" s="1"/>
  <c r="L21" i="60032" s="1"/>
  <c r="I17" i="60025"/>
  <c r="L17" i="60025" s="1"/>
  <c r="M17" i="60025"/>
  <c r="I21" i="60032" l="1"/>
  <c r="K21" i="60032" s="1"/>
  <c r="J21" i="60032"/>
  <c r="G18" i="60025"/>
  <c r="G22" i="60032" l="1"/>
  <c r="J22" i="60032" s="1"/>
  <c r="J18" i="60025"/>
  <c r="K18" i="60025" s="1"/>
  <c r="H18" i="60025"/>
  <c r="H22" i="60032" l="1"/>
  <c r="L22" i="60032" s="1"/>
  <c r="I18" i="60025"/>
  <c r="L18" i="60025" s="1"/>
  <c r="M18" i="60025"/>
  <c r="I22" i="60032" l="1"/>
  <c r="K22" i="60032" s="1"/>
  <c r="G19" i="60025"/>
  <c r="G23" i="60032" l="1"/>
  <c r="J23" i="60032" s="1"/>
  <c r="J19" i="60025"/>
  <c r="K19" i="60025" s="1"/>
  <c r="H19" i="60025"/>
  <c r="H23" i="60032" l="1"/>
  <c r="L23" i="60032" s="1"/>
  <c r="M19" i="60025"/>
  <c r="I19" i="60025"/>
  <c r="L19" i="60025" s="1"/>
  <c r="I23" i="60032" l="1"/>
  <c r="K23" i="60032" s="1"/>
  <c r="G20" i="60025"/>
  <c r="G24" i="60032" l="1"/>
  <c r="J24" i="60032" s="1"/>
  <c r="J20" i="60025"/>
  <c r="K20" i="60025" s="1"/>
  <c r="H20" i="60025"/>
  <c r="H24" i="60032" l="1"/>
  <c r="L24" i="60032" s="1"/>
  <c r="M20" i="60025"/>
  <c r="I20" i="60025"/>
  <c r="L20" i="60025" s="1"/>
  <c r="I24" i="60032" l="1"/>
  <c r="K24" i="60032" s="1"/>
  <c r="G21" i="60025"/>
  <c r="G25" i="60032" l="1"/>
  <c r="J25" i="60032" s="1"/>
  <c r="J21" i="60025"/>
  <c r="K21" i="60025" s="1"/>
  <c r="H21" i="60025"/>
  <c r="H25" i="60032" l="1"/>
  <c r="L25" i="60032" s="1"/>
  <c r="I21" i="60025"/>
  <c r="L21" i="60025" s="1"/>
  <c r="M21" i="60025"/>
  <c r="I25" i="60032" l="1"/>
  <c r="K25" i="60032" s="1"/>
  <c r="G22" i="60025"/>
  <c r="G26" i="60032" l="1"/>
  <c r="H26" i="60032" s="1"/>
  <c r="L26" i="60032" s="1"/>
  <c r="J22" i="60025"/>
  <c r="K22" i="60025" s="1"/>
  <c r="H22" i="60025"/>
  <c r="J26" i="60032" l="1"/>
  <c r="I26" i="60032"/>
  <c r="K26" i="60032" s="1"/>
  <c r="M22" i="60025"/>
  <c r="I22" i="60025"/>
  <c r="L22" i="60025" s="1"/>
  <c r="G27" i="60032" l="1"/>
  <c r="H27" i="60032" s="1"/>
  <c r="L27" i="60032" s="1"/>
  <c r="G23" i="60025"/>
  <c r="J23" i="60025" s="1"/>
  <c r="K23" i="60025" s="1"/>
  <c r="J27" i="60032" l="1"/>
  <c r="I27" i="60032"/>
  <c r="K27" i="60032" s="1"/>
  <c r="H23" i="60025"/>
  <c r="I23" i="60025" s="1"/>
  <c r="L23" i="60025" s="1"/>
  <c r="G28" i="60032" l="1"/>
  <c r="H28" i="60032" s="1"/>
  <c r="L28" i="60032" s="1"/>
  <c r="M23" i="60025"/>
  <c r="G24" i="60025"/>
  <c r="J28" i="60032" l="1"/>
  <c r="I28" i="60032"/>
  <c r="K28" i="60032" s="1"/>
  <c r="J24" i="60025"/>
  <c r="K24" i="60025" s="1"/>
  <c r="H24" i="60025"/>
  <c r="G29" i="60032" l="1"/>
  <c r="J29" i="60032" s="1"/>
  <c r="M24" i="60025"/>
  <c r="I24" i="60025"/>
  <c r="L24" i="60025" s="1"/>
  <c r="H29" i="60032" l="1"/>
  <c r="L29" i="60032" s="1"/>
  <c r="G25" i="60025"/>
  <c r="I29" i="60032" l="1"/>
  <c r="K29" i="60032" s="1"/>
  <c r="J25" i="60025"/>
  <c r="K25" i="60025" s="1"/>
  <c r="H25" i="60025"/>
  <c r="G30" i="60032" l="1"/>
  <c r="H30" i="60032" s="1"/>
  <c r="L30" i="60032" s="1"/>
  <c r="I25" i="60025"/>
  <c r="L25" i="60025" s="1"/>
  <c r="M25" i="60025"/>
  <c r="J30" i="60032" l="1"/>
  <c r="I30" i="60032"/>
  <c r="K30" i="60032" s="1"/>
  <c r="G26" i="60025"/>
  <c r="G31" i="60032" l="1"/>
  <c r="J26" i="60025"/>
  <c r="K26" i="60025" s="1"/>
  <c r="H26" i="60025"/>
  <c r="H31" i="60032" l="1"/>
  <c r="L31" i="60032" s="1"/>
  <c r="J31" i="60032"/>
  <c r="I26" i="60025"/>
  <c r="L26" i="60025" s="1"/>
  <c r="M26" i="60025"/>
  <c r="I31" i="60032" l="1"/>
  <c r="K31" i="60032" s="1"/>
  <c r="G27" i="60025"/>
  <c r="J27" i="60025" s="1"/>
  <c r="K27" i="60025" s="1"/>
  <c r="G32" i="60032" l="1"/>
  <c r="H27" i="60025"/>
  <c r="M27" i="60025" s="1"/>
  <c r="J32" i="60032" l="1"/>
  <c r="H32" i="60032"/>
  <c r="L32" i="60032" s="1"/>
  <c r="I27" i="60025"/>
  <c r="L27" i="60025" s="1"/>
  <c r="I32" i="60032" l="1"/>
  <c r="K32" i="60032" s="1"/>
  <c r="G28" i="60025"/>
  <c r="J28" i="60025" s="1"/>
  <c r="K28" i="60025" s="1"/>
  <c r="G33" i="60032" l="1"/>
  <c r="H28" i="60025"/>
  <c r="M28" i="60025" s="1"/>
  <c r="J33" i="60032" l="1"/>
  <c r="H33" i="60032"/>
  <c r="L33" i="60032" s="1"/>
  <c r="I28" i="60025"/>
  <c r="L28" i="60025" s="1"/>
  <c r="I33" i="60032" l="1"/>
  <c r="K33" i="60032" s="1"/>
  <c r="G29" i="60025"/>
  <c r="J29" i="60025" s="1"/>
  <c r="K29" i="60025" s="1"/>
  <c r="G34" i="60032" l="1"/>
  <c r="H29" i="60025"/>
  <c r="I29" i="60025" s="1"/>
  <c r="L29" i="60025" s="1"/>
  <c r="J34" i="60032" l="1"/>
  <c r="H34" i="60032"/>
  <c r="L34" i="60032" s="1"/>
  <c r="M29" i="60025"/>
  <c r="G30" i="60025"/>
  <c r="I34" i="60032" l="1"/>
  <c r="K34" i="60032" s="1"/>
  <c r="J30" i="60025"/>
  <c r="K30" i="60025" s="1"/>
  <c r="H30" i="60025"/>
  <c r="G35" i="60032" l="1"/>
  <c r="M30" i="60025"/>
  <c r="I30" i="60025"/>
  <c r="L30" i="60025" s="1"/>
  <c r="J35" i="60032" l="1"/>
  <c r="H35" i="60032"/>
  <c r="L35" i="60032" s="1"/>
  <c r="G31" i="60025"/>
  <c r="J31" i="60025" s="1"/>
  <c r="K31" i="60025" s="1"/>
  <c r="I35" i="60032" l="1"/>
  <c r="K35" i="60032" s="1"/>
  <c r="H31" i="60025"/>
  <c r="I31" i="60025" s="1"/>
  <c r="L31" i="60025" s="1"/>
  <c r="G36" i="60032" l="1"/>
  <c r="M31" i="60025"/>
  <c r="G32" i="60025"/>
  <c r="J36" i="60032" l="1"/>
  <c r="H36" i="60032"/>
  <c r="L36" i="60032" s="1"/>
  <c r="J32" i="60025"/>
  <c r="K32" i="60025" s="1"/>
  <c r="H32" i="60025"/>
  <c r="I36" i="60032" l="1"/>
  <c r="K36" i="60032" s="1"/>
  <c r="M32" i="60025"/>
  <c r="I32" i="60025"/>
  <c r="L32" i="60025" s="1"/>
  <c r="G37" i="60032" l="1"/>
  <c r="G33" i="60025"/>
  <c r="J37" i="60032" l="1"/>
  <c r="H37" i="60032"/>
  <c r="L37" i="60032" s="1"/>
  <c r="J33" i="60025"/>
  <c r="K33" i="60025" s="1"/>
  <c r="H33" i="60025"/>
  <c r="I37" i="60032" l="1"/>
  <c r="K37" i="60032" s="1"/>
  <c r="I33" i="60025"/>
  <c r="L33" i="60025" s="1"/>
  <c r="M33" i="60025"/>
  <c r="G38" i="60032" l="1"/>
  <c r="G34" i="60025"/>
  <c r="J38" i="60032" l="1"/>
  <c r="H38" i="60032"/>
  <c r="L38" i="60032" s="1"/>
  <c r="J34" i="60025"/>
  <c r="K34" i="60025" s="1"/>
  <c r="H34" i="60025"/>
  <c r="I38" i="60032" l="1"/>
  <c r="K38" i="60032" s="1"/>
  <c r="I34" i="60025"/>
  <c r="L34" i="60025" s="1"/>
  <c r="M34" i="60025"/>
  <c r="G39" i="60032" l="1"/>
  <c r="G35" i="60025"/>
  <c r="J35" i="60025" s="1"/>
  <c r="K35" i="60025" s="1"/>
  <c r="J39" i="60032" l="1"/>
  <c r="H39" i="60032"/>
  <c r="L39" i="60032" s="1"/>
  <c r="H35" i="60025"/>
  <c r="M35" i="60025" s="1"/>
  <c r="I39" i="60032" l="1"/>
  <c r="K39" i="60032" s="1"/>
  <c r="I35" i="60025"/>
  <c r="L35" i="60025" s="1"/>
  <c r="G40" i="60032" l="1"/>
  <c r="G36" i="60025"/>
  <c r="J36" i="60025" s="1"/>
  <c r="K36" i="60025" s="1"/>
  <c r="J40" i="60032" l="1"/>
  <c r="H40" i="60032"/>
  <c r="L40" i="60032" s="1"/>
  <c r="H36" i="60025"/>
  <c r="M36" i="60025" s="1"/>
  <c r="I40" i="60032" l="1"/>
  <c r="K40" i="60032" s="1"/>
  <c r="I36" i="60025"/>
  <c r="L36" i="60025" s="1"/>
  <c r="G41" i="60032" l="1"/>
  <c r="G37" i="60025"/>
  <c r="J37" i="60025" s="1"/>
  <c r="K37" i="60025" s="1"/>
  <c r="J41" i="60032" l="1"/>
  <c r="H41" i="60032"/>
  <c r="L41" i="60032" s="1"/>
  <c r="H37" i="60025"/>
  <c r="I37" i="60025" s="1"/>
  <c r="L37" i="60025" s="1"/>
  <c r="I41" i="60032" l="1"/>
  <c r="K41" i="60032" s="1"/>
  <c r="M37" i="60025"/>
  <c r="G38" i="60025"/>
  <c r="G42" i="60032" l="1"/>
  <c r="J38" i="60025"/>
  <c r="K38" i="60025" s="1"/>
  <c r="H38" i="60025"/>
  <c r="J42" i="60032" l="1"/>
  <c r="H42" i="60032"/>
  <c r="L42" i="60032" s="1"/>
  <c r="M38" i="60025"/>
  <c r="I38" i="60025"/>
  <c r="L38" i="60025" s="1"/>
  <c r="I42" i="60032" l="1"/>
  <c r="K42" i="60032" s="1"/>
  <c r="G39" i="60025"/>
  <c r="J39" i="60025" s="1"/>
  <c r="K39" i="60025" s="1"/>
  <c r="G43" i="60032" l="1"/>
  <c r="H39" i="60025"/>
  <c r="I39" i="60025" s="1"/>
  <c r="L39" i="60025" s="1"/>
  <c r="J43" i="60032" l="1"/>
  <c r="H43" i="60032"/>
  <c r="L43" i="60032" s="1"/>
  <c r="M39" i="60025"/>
  <c r="G40" i="60025"/>
  <c r="I43" i="60032" l="1"/>
  <c r="K43" i="60032" s="1"/>
  <c r="J40" i="60025"/>
  <c r="K40" i="60025" s="1"/>
  <c r="H40" i="60025"/>
  <c r="G44" i="60032" l="1"/>
  <c r="M40" i="60025"/>
  <c r="I40" i="60025"/>
  <c r="L40" i="60025" s="1"/>
  <c r="J44" i="60032" l="1"/>
  <c r="H44" i="60032"/>
  <c r="L44" i="60032" s="1"/>
  <c r="G41" i="60025"/>
  <c r="I44" i="60032" l="1"/>
  <c r="K44" i="60032" s="1"/>
  <c r="J41" i="60025"/>
  <c r="K41" i="60025" s="1"/>
  <c r="H41" i="60025"/>
  <c r="G45" i="60032" l="1"/>
  <c r="I41" i="60025"/>
  <c r="L41" i="60025" s="1"/>
  <c r="M41" i="60025"/>
  <c r="H45" i="60032" l="1"/>
  <c r="L45" i="60032" s="1"/>
  <c r="J45" i="60032"/>
  <c r="G42" i="60025"/>
  <c r="I45" i="60032" l="1"/>
  <c r="K45" i="60032" s="1"/>
  <c r="J42" i="60025"/>
  <c r="K42" i="60025" s="1"/>
  <c r="H42" i="60025"/>
  <c r="G46" i="60032" l="1"/>
  <c r="J46" i="60032" s="1"/>
  <c r="I42" i="60025"/>
  <c r="L42" i="60025" s="1"/>
  <c r="M42" i="60025"/>
  <c r="H46" i="60032" l="1"/>
  <c r="L46" i="60032" s="1"/>
  <c r="G43" i="60025"/>
  <c r="J43" i="60025" s="1"/>
  <c r="K43" i="60025" s="1"/>
  <c r="I46" i="60032" l="1"/>
  <c r="K46" i="60032" s="1"/>
  <c r="H43" i="60025"/>
  <c r="M43" i="60025" s="1"/>
  <c r="G47" i="60032" l="1"/>
  <c r="J47" i="60032" s="1"/>
  <c r="I43" i="60025"/>
  <c r="L43" i="60025" s="1"/>
  <c r="H47" i="60032" l="1"/>
  <c r="L47" i="60032" s="1"/>
  <c r="G44" i="60025"/>
  <c r="J44" i="60025" s="1"/>
  <c r="K44" i="60025" s="1"/>
  <c r="I47" i="60032" l="1"/>
  <c r="K47" i="60032" s="1"/>
  <c r="H44" i="60025"/>
  <c r="M44" i="60025" s="1"/>
  <c r="G48" i="60032" l="1"/>
  <c r="H48" i="60032" s="1"/>
  <c r="L48" i="60032" s="1"/>
  <c r="I44" i="60025"/>
  <c r="L44" i="60025" s="1"/>
  <c r="J48" i="60032" l="1"/>
  <c r="I48" i="60032"/>
  <c r="K48" i="60032" s="1"/>
  <c r="G45" i="60025"/>
  <c r="J45" i="60025" s="1"/>
  <c r="K45" i="60025" s="1"/>
  <c r="G49" i="60032" l="1"/>
  <c r="H49" i="60032" s="1"/>
  <c r="L49" i="60032" s="1"/>
  <c r="H45" i="60025"/>
  <c r="I45" i="60025" s="1"/>
  <c r="L45" i="60025" s="1"/>
  <c r="J49" i="60032" l="1"/>
  <c r="I49" i="60032"/>
  <c r="K49" i="60032" s="1"/>
  <c r="M45" i="60025"/>
  <c r="G46" i="60025"/>
  <c r="G50" i="60032" l="1"/>
  <c r="J50" i="60032" s="1"/>
  <c r="J46" i="60025"/>
  <c r="K46" i="60025" s="1"/>
  <c r="H46" i="60025"/>
  <c r="H50" i="60032" l="1"/>
  <c r="L50" i="60032" s="1"/>
  <c r="M46" i="60025"/>
  <c r="I46" i="60025"/>
  <c r="L46" i="60025" s="1"/>
  <c r="I50" i="60032" l="1"/>
  <c r="K50" i="60032" s="1"/>
  <c r="G47" i="60025"/>
  <c r="J47" i="60025" s="1"/>
  <c r="K47" i="60025" s="1"/>
  <c r="G51" i="60032" l="1"/>
  <c r="J51" i="60032" s="1"/>
  <c r="H47" i="60025"/>
  <c r="I47" i="60025" s="1"/>
  <c r="L47" i="60025" s="1"/>
  <c r="H51" i="60032" l="1"/>
  <c r="L51" i="60032" s="1"/>
  <c r="M47" i="60025"/>
  <c r="G48" i="60025"/>
  <c r="I51" i="60032" l="1"/>
  <c r="K51" i="60032" s="1"/>
  <c r="J48" i="60025"/>
  <c r="K48" i="60025" s="1"/>
  <c r="H48" i="60025"/>
  <c r="G52" i="60032" l="1"/>
  <c r="H52" i="60032" s="1"/>
  <c r="L52" i="60032" s="1"/>
  <c r="M48" i="60025"/>
  <c r="I48" i="60025"/>
  <c r="L48" i="60025" s="1"/>
  <c r="J52" i="60032" l="1"/>
  <c r="I52" i="60032"/>
  <c r="K52" i="60032" s="1"/>
  <c r="G49" i="60025"/>
  <c r="G53" i="60032" l="1"/>
  <c r="J49" i="60025"/>
  <c r="K49" i="60025" s="1"/>
  <c r="H49" i="60025"/>
  <c r="H53" i="60032" l="1"/>
  <c r="L53" i="60032" s="1"/>
  <c r="J53" i="60032"/>
  <c r="I49" i="60025"/>
  <c r="L49" i="60025" s="1"/>
  <c r="M49" i="60025"/>
  <c r="I53" i="60032" l="1"/>
  <c r="K53" i="60032" s="1"/>
  <c r="G50" i="60025"/>
  <c r="G54" i="60032" l="1"/>
  <c r="J54" i="60032" s="1"/>
  <c r="J50" i="60025"/>
  <c r="K50" i="60025" s="1"/>
  <c r="H50" i="60025"/>
  <c r="H54" i="60032" l="1"/>
  <c r="L54" i="60032" s="1"/>
  <c r="I50" i="60025"/>
  <c r="L50" i="60025" s="1"/>
  <c r="M50" i="60025"/>
  <c r="I54" i="60032" l="1"/>
  <c r="K54" i="60032" s="1"/>
  <c r="G51" i="60025"/>
  <c r="J51" i="60025" s="1"/>
  <c r="K51" i="60025" s="1"/>
  <c r="G55" i="60032" l="1"/>
  <c r="H55" i="60032" s="1"/>
  <c r="L55" i="60032" s="1"/>
  <c r="H51" i="60025"/>
  <c r="M51" i="60025" s="1"/>
  <c r="J55" i="60032" l="1"/>
  <c r="I55" i="60032"/>
  <c r="K55" i="60032" s="1"/>
  <c r="I51" i="60025"/>
  <c r="L51" i="60025" s="1"/>
  <c r="G56" i="60032" l="1"/>
  <c r="J56" i="60032" s="1"/>
  <c r="G52" i="60025"/>
  <c r="J52" i="60025" s="1"/>
  <c r="K52" i="60025" s="1"/>
  <c r="H56" i="60032" l="1"/>
  <c r="L56" i="60032" s="1"/>
  <c r="H52" i="60025"/>
  <c r="M52" i="60025" s="1"/>
  <c r="I56" i="60032" l="1"/>
  <c r="K56" i="60032" s="1"/>
  <c r="I52" i="60025"/>
  <c r="L52" i="60025" s="1"/>
  <c r="G57" i="60032" l="1"/>
  <c r="J57" i="60032" s="1"/>
  <c r="G53" i="60025"/>
  <c r="J53" i="60025" s="1"/>
  <c r="K53" i="60025" s="1"/>
  <c r="H57" i="60032" l="1"/>
  <c r="L57" i="60032" s="1"/>
  <c r="H53" i="60025"/>
  <c r="I53" i="60025" s="1"/>
  <c r="L53" i="60025" s="1"/>
  <c r="I57" i="60032" l="1"/>
  <c r="K57" i="60032" s="1"/>
  <c r="M53" i="60025"/>
  <c r="G54" i="60025"/>
  <c r="G58" i="60032" l="1"/>
  <c r="J58" i="60032" s="1"/>
  <c r="J54" i="60025"/>
  <c r="K54" i="60025" s="1"/>
  <c r="H54" i="60025"/>
  <c r="H58" i="60032" l="1"/>
  <c r="L58" i="60032" s="1"/>
  <c r="M54" i="60025"/>
  <c r="I54" i="60025"/>
  <c r="L54" i="60025" s="1"/>
  <c r="I58" i="60032" l="1"/>
  <c r="K58" i="60032" s="1"/>
  <c r="G55" i="60025"/>
  <c r="H55" i="60025" s="1"/>
  <c r="G59" i="60032" l="1"/>
  <c r="J59" i="60032" s="1"/>
  <c r="J55" i="60025"/>
  <c r="K55" i="60025" s="1"/>
  <c r="I55" i="60025"/>
  <c r="L55" i="60025" s="1"/>
  <c r="M55" i="60025"/>
  <c r="H59" i="60032" l="1"/>
  <c r="L59" i="60032" s="1"/>
  <c r="G56" i="60025"/>
  <c r="I59" i="60032" l="1"/>
  <c r="K59" i="60032" s="1"/>
  <c r="J56" i="60025"/>
  <c r="K56" i="60025" s="1"/>
  <c r="H56" i="60025"/>
  <c r="G60" i="60032" l="1"/>
  <c r="J60" i="60032" s="1"/>
  <c r="M56" i="60025"/>
  <c r="I56" i="60025"/>
  <c r="L56" i="60025" s="1"/>
  <c r="H60" i="60032" l="1"/>
  <c r="L60" i="60032" s="1"/>
  <c r="G57" i="60025"/>
  <c r="I60" i="60032" l="1"/>
  <c r="K60" i="60032" s="1"/>
  <c r="J57" i="60025"/>
  <c r="K57" i="60025" s="1"/>
  <c r="H57" i="60025"/>
  <c r="G61" i="60032" l="1"/>
  <c r="H61" i="60032" s="1"/>
  <c r="L61" i="60032" s="1"/>
  <c r="I57" i="60025"/>
  <c r="L57" i="60025" s="1"/>
  <c r="M57" i="60025"/>
  <c r="J61" i="60032" l="1"/>
  <c r="I61" i="60032"/>
  <c r="K61" i="60032" s="1"/>
  <c r="G58" i="60025"/>
  <c r="G62" i="60032" l="1"/>
  <c r="J58" i="60025"/>
  <c r="K58" i="60025" s="1"/>
  <c r="H58" i="60025"/>
  <c r="J62" i="60032" l="1"/>
  <c r="H62" i="60032"/>
  <c r="L62" i="60032" s="1"/>
  <c r="I58" i="60025"/>
  <c r="L58" i="60025" s="1"/>
  <c r="M58" i="60025"/>
  <c r="I62" i="60032" l="1"/>
  <c r="K62" i="60032" s="1"/>
  <c r="G59" i="60025"/>
  <c r="H59" i="60025" s="1"/>
  <c r="G63" i="60032" l="1"/>
  <c r="J59" i="60025"/>
  <c r="K59" i="60025" s="1"/>
  <c r="M59" i="60025"/>
  <c r="I59" i="60025"/>
  <c r="L59" i="60025" s="1"/>
  <c r="J63" i="60032" l="1"/>
  <c r="H63" i="60032"/>
  <c r="L63" i="60032" s="1"/>
  <c r="G60" i="60025"/>
  <c r="I63" i="60032" l="1"/>
  <c r="K63" i="60032" s="1"/>
  <c r="J60" i="60025"/>
  <c r="K60" i="60025" s="1"/>
  <c r="H60" i="60025"/>
  <c r="G64" i="60032" l="1"/>
  <c r="H64" i="60032" s="1"/>
  <c r="L64" i="60032" s="1"/>
  <c r="M60" i="60025"/>
  <c r="I60" i="60025"/>
  <c r="L60" i="60025" s="1"/>
  <c r="I64" i="60032" l="1"/>
  <c r="K64" i="60032" s="1"/>
  <c r="J64" i="60032"/>
  <c r="G61" i="60025"/>
  <c r="G65" i="60032" l="1"/>
  <c r="J65" i="60032" s="1"/>
  <c r="J61" i="60025"/>
  <c r="K61" i="60025" s="1"/>
  <c r="H61" i="60025"/>
  <c r="H65" i="60032" l="1"/>
  <c r="L65" i="60032" s="1"/>
  <c r="I61" i="60025"/>
  <c r="L61" i="60025" s="1"/>
  <c r="M61" i="60025"/>
  <c r="I65" i="60032" l="1"/>
  <c r="K65" i="60032" s="1"/>
  <c r="G62" i="60025"/>
  <c r="G66" i="60032" l="1"/>
  <c r="H66" i="60032" s="1"/>
  <c r="L66" i="60032" s="1"/>
  <c r="J62" i="60025"/>
  <c r="K62" i="60025" s="1"/>
  <c r="H62" i="60025"/>
  <c r="I66" i="60032" l="1"/>
  <c r="K66" i="60032" s="1"/>
  <c r="J66" i="60032"/>
  <c r="M62" i="60025"/>
  <c r="I62" i="60025"/>
  <c r="L62" i="60025" s="1"/>
  <c r="G67" i="60032" l="1"/>
  <c r="J67" i="60032" s="1"/>
  <c r="G63" i="60025"/>
  <c r="J63" i="60025" s="1"/>
  <c r="K63" i="60025" s="1"/>
  <c r="H67" i="60032" l="1"/>
  <c r="L67" i="60032" s="1"/>
  <c r="H63" i="60025"/>
  <c r="I63" i="60025" s="1"/>
  <c r="L63" i="60025" s="1"/>
  <c r="I67" i="60032" l="1"/>
  <c r="K67" i="60032" s="1"/>
  <c r="M63" i="60025"/>
  <c r="G64" i="60025"/>
  <c r="G68" i="60032" l="1"/>
  <c r="J68" i="60032" s="1"/>
  <c r="J64" i="60025"/>
  <c r="K64" i="60025" s="1"/>
  <c r="H64" i="60025"/>
  <c r="H68" i="60032" l="1"/>
  <c r="M64" i="60025"/>
  <c r="I64" i="60025"/>
  <c r="L64" i="60025" s="1"/>
  <c r="I68" i="60032" l="1"/>
  <c r="K68" i="60032" s="1"/>
  <c r="L68" i="60032"/>
  <c r="G65" i="60025"/>
  <c r="G69" i="60032" l="1"/>
  <c r="J69" i="60032" s="1"/>
  <c r="J65" i="60025"/>
  <c r="K65" i="60025" s="1"/>
  <c r="H65" i="60025"/>
  <c r="H69" i="60032" l="1"/>
  <c r="L69" i="60032" s="1"/>
  <c r="I65" i="60025"/>
  <c r="L65" i="60025" s="1"/>
  <c r="M65" i="60025"/>
  <c r="I69" i="60032" l="1"/>
  <c r="K69" i="60032" s="1"/>
  <c r="G66" i="60025"/>
  <c r="G70" i="60032" l="1"/>
  <c r="J70" i="60032" s="1"/>
  <c r="J66" i="60025"/>
  <c r="K66" i="60025" s="1"/>
  <c r="H66" i="60025"/>
  <c r="H70" i="60032" l="1"/>
  <c r="L70" i="60032" s="1"/>
  <c r="I66" i="60025"/>
  <c r="L66" i="60025" s="1"/>
  <c r="M66" i="60025"/>
  <c r="I70" i="60032" l="1"/>
  <c r="K70" i="60032" s="1"/>
  <c r="G67" i="60025"/>
  <c r="G71" i="60032" l="1"/>
  <c r="J71" i="60032" s="1"/>
  <c r="J67" i="60025"/>
  <c r="K67" i="60025" s="1"/>
  <c r="H67" i="60025"/>
  <c r="H71" i="60032" l="1"/>
  <c r="L71" i="60032" s="1"/>
  <c r="M67" i="60025"/>
  <c r="I67" i="60025"/>
  <c r="L67" i="60025" s="1"/>
  <c r="I71" i="60032" l="1"/>
  <c r="K71" i="60032" s="1"/>
  <c r="G68" i="60025"/>
  <c r="G72" i="60032" l="1"/>
  <c r="J72" i="60032" s="1"/>
  <c r="J68" i="60025"/>
  <c r="K68" i="60025" s="1"/>
  <c r="H68" i="60025"/>
  <c r="H72" i="60032" l="1"/>
  <c r="L72" i="60032" s="1"/>
  <c r="M68" i="60025"/>
  <c r="I68" i="60025"/>
  <c r="L68" i="60025" s="1"/>
  <c r="I72" i="60032" l="1"/>
  <c r="K72" i="60032" s="1"/>
  <c r="G69" i="60025"/>
  <c r="G73" i="60032" l="1"/>
  <c r="J73" i="60032" s="1"/>
  <c r="J69" i="60025"/>
  <c r="K69" i="60025" s="1"/>
  <c r="H69" i="60025"/>
  <c r="H73" i="60032" l="1"/>
  <c r="L73" i="60032" s="1"/>
  <c r="I69" i="60025"/>
  <c r="L69" i="60025" s="1"/>
  <c r="M69" i="60025"/>
  <c r="I73" i="60032" l="1"/>
  <c r="K73" i="60032" s="1"/>
  <c r="G70" i="60025"/>
  <c r="G74" i="60032" l="1"/>
  <c r="J74" i="60032" s="1"/>
  <c r="J70" i="60025"/>
  <c r="K70" i="60025" s="1"/>
  <c r="H70" i="60025"/>
  <c r="H74" i="60032" l="1"/>
  <c r="L74" i="60032" s="1"/>
  <c r="M70" i="60025"/>
  <c r="I70" i="60025"/>
  <c r="L70" i="60025" s="1"/>
  <c r="I74" i="60032" l="1"/>
  <c r="K74" i="60032" s="1"/>
  <c r="G71" i="60025"/>
  <c r="J71" i="60025" s="1"/>
  <c r="K71" i="60025" s="1"/>
  <c r="G75" i="60032" l="1"/>
  <c r="J75" i="60032" s="1"/>
  <c r="H71" i="60025"/>
  <c r="I71" i="60025" s="1"/>
  <c r="L71" i="60025" s="1"/>
  <c r="H75" i="60032" l="1"/>
  <c r="L75" i="60032" s="1"/>
  <c r="M71" i="60025"/>
  <c r="G72" i="60025"/>
  <c r="I75" i="60032" l="1"/>
  <c r="K75" i="60032" s="1"/>
  <c r="J72" i="60025"/>
  <c r="K72" i="60025" s="1"/>
  <c r="H72" i="60025"/>
  <c r="G76" i="60032" l="1"/>
  <c r="J76" i="60032" s="1"/>
  <c r="M72" i="60025"/>
  <c r="I72" i="60025"/>
  <c r="L72" i="60025" s="1"/>
  <c r="H76" i="60032" l="1"/>
  <c r="L76" i="60032" s="1"/>
  <c r="G73" i="60025"/>
  <c r="I76" i="60032" l="1"/>
  <c r="K76" i="60032" s="1"/>
  <c r="J73" i="60025"/>
  <c r="K73" i="60025" s="1"/>
  <c r="H73" i="60025"/>
  <c r="G77" i="60032" l="1"/>
  <c r="J77" i="60032" s="1"/>
  <c r="I73" i="60025"/>
  <c r="L73" i="60025" s="1"/>
  <c r="M73" i="60025"/>
  <c r="H77" i="60032" l="1"/>
  <c r="L77" i="60032" s="1"/>
  <c r="G74" i="60025"/>
  <c r="I77" i="60032" l="1"/>
  <c r="K77" i="60032" s="1"/>
  <c r="J74" i="60025"/>
  <c r="K74" i="60025" s="1"/>
  <c r="H74" i="60025"/>
  <c r="G78" i="60032" l="1"/>
  <c r="J78" i="60032" s="1"/>
  <c r="I74" i="60025"/>
  <c r="L74" i="60025" s="1"/>
  <c r="M74" i="60025"/>
  <c r="H78" i="60032" l="1"/>
  <c r="L78" i="60032" s="1"/>
  <c r="G75" i="60025"/>
  <c r="J75" i="60025" s="1"/>
  <c r="K75" i="60025" s="1"/>
  <c r="I78" i="60032" l="1"/>
  <c r="K78" i="60032" s="1"/>
  <c r="H75" i="60025"/>
  <c r="M75" i="60025" s="1"/>
  <c r="G79" i="60032" l="1"/>
  <c r="J79" i="60032" s="1"/>
  <c r="I75" i="60025"/>
  <c r="L75" i="60025" s="1"/>
  <c r="H79" i="60032" l="1"/>
  <c r="I79" i="60032" s="1"/>
  <c r="K79" i="60032" s="1"/>
  <c r="G76" i="60025"/>
  <c r="J76" i="60025" s="1"/>
  <c r="K76" i="60025" s="1"/>
  <c r="L79" i="60032" l="1"/>
  <c r="G80" i="60032"/>
  <c r="J80" i="60032" s="1"/>
  <c r="H76" i="60025"/>
  <c r="M76" i="60025" s="1"/>
  <c r="H80" i="60032" l="1"/>
  <c r="L80" i="60032" s="1"/>
  <c r="I76" i="60025"/>
  <c r="L76" i="60025" s="1"/>
  <c r="I80" i="60032" l="1"/>
  <c r="K80" i="60032" s="1"/>
  <c r="G77" i="60025"/>
  <c r="J77" i="60025" s="1"/>
  <c r="K77" i="60025" s="1"/>
  <c r="G81" i="60032" l="1"/>
  <c r="J81" i="60032" s="1"/>
  <c r="H77" i="60025"/>
  <c r="I77" i="60025" s="1"/>
  <c r="L77" i="60025" s="1"/>
  <c r="H81" i="60032" l="1"/>
  <c r="L81" i="60032" s="1"/>
  <c r="M77" i="60025"/>
  <c r="G78" i="60025"/>
  <c r="I81" i="60032" l="1"/>
  <c r="K81" i="60032" s="1"/>
  <c r="J78" i="60025"/>
  <c r="K78" i="60025" s="1"/>
  <c r="H78" i="60025"/>
  <c r="G82" i="60032" l="1"/>
  <c r="J82" i="60032" s="1"/>
  <c r="M78" i="60025"/>
  <c r="I78" i="60025"/>
  <c r="L78" i="60025" s="1"/>
  <c r="H82" i="60032" l="1"/>
  <c r="L82" i="60032" s="1"/>
  <c r="G79" i="60025"/>
  <c r="H79" i="60025" s="1"/>
  <c r="I82" i="60032" l="1"/>
  <c r="K82" i="60032" s="1"/>
  <c r="J79" i="60025"/>
  <c r="K79" i="60025" s="1"/>
  <c r="I79" i="60025"/>
  <c r="L79" i="60025" s="1"/>
  <c r="M79" i="60025"/>
  <c r="G83" i="60032" l="1"/>
  <c r="J83" i="60032" s="1"/>
  <c r="G80" i="60025"/>
  <c r="H83" i="60032" l="1"/>
  <c r="L83" i="60032" s="1"/>
  <c r="J80" i="60025"/>
  <c r="K80" i="60025" s="1"/>
  <c r="H80" i="60025"/>
  <c r="I83" i="60032" l="1"/>
  <c r="K83" i="60032" s="1"/>
  <c r="M80" i="60025"/>
  <c r="I80" i="60025"/>
  <c r="L80" i="60025" s="1"/>
  <c r="G84" i="60032" l="1"/>
  <c r="J84" i="60032" s="1"/>
  <c r="G81" i="60025"/>
  <c r="H84" i="60032" l="1"/>
  <c r="L84" i="60032" s="1"/>
  <c r="J81" i="60025"/>
  <c r="K81" i="60025" s="1"/>
  <c r="H81" i="60025"/>
  <c r="I84" i="60032" l="1"/>
  <c r="K84" i="60032" s="1"/>
  <c r="I81" i="60025"/>
  <c r="L81" i="60025" s="1"/>
  <c r="M81" i="60025"/>
  <c r="G85" i="60032" l="1"/>
  <c r="J85" i="60032" s="1"/>
  <c r="G82" i="60025"/>
  <c r="H85" i="60032" l="1"/>
  <c r="L85" i="60032" s="1"/>
  <c r="J82" i="60025"/>
  <c r="K82" i="60025" s="1"/>
  <c r="H82" i="60025"/>
  <c r="I85" i="60032" l="1"/>
  <c r="K85" i="60032" s="1"/>
  <c r="I82" i="60025"/>
  <c r="L82" i="60025" s="1"/>
  <c r="M82" i="60025"/>
  <c r="G86" i="60032" l="1"/>
  <c r="J86" i="60032" s="1"/>
  <c r="G83" i="60025"/>
  <c r="J83" i="60025" s="1"/>
  <c r="K83" i="60025" s="1"/>
  <c r="H86" i="60032" l="1"/>
  <c r="L86" i="60032" s="1"/>
  <c r="H83" i="60025"/>
  <c r="M83" i="60025" s="1"/>
  <c r="I86" i="60032" l="1"/>
  <c r="K86" i="60032" s="1"/>
  <c r="I83" i="60025"/>
  <c r="L83" i="60025" s="1"/>
  <c r="G87" i="60032" l="1"/>
  <c r="J87" i="60032" s="1"/>
  <c r="G84" i="60025"/>
  <c r="H84" i="60025" s="1"/>
  <c r="H87" i="60032" l="1"/>
  <c r="L87" i="60032" s="1"/>
  <c r="J84" i="60025"/>
  <c r="K84" i="60025" s="1"/>
  <c r="M84" i="60025"/>
  <c r="I84" i="60025"/>
  <c r="L84" i="60025" s="1"/>
  <c r="I87" i="60032" l="1"/>
  <c r="K87" i="60032" s="1"/>
  <c r="G85" i="60025"/>
  <c r="G88" i="60032" l="1"/>
  <c r="H88" i="60032" s="1"/>
  <c r="L88" i="60032" s="1"/>
  <c r="J85" i="60025"/>
  <c r="K85" i="60025" s="1"/>
  <c r="H85" i="60025"/>
  <c r="I88" i="60032" l="1"/>
  <c r="K88" i="60032" s="1"/>
  <c r="J88" i="60032"/>
  <c r="I85" i="60025"/>
  <c r="L85" i="60025" s="1"/>
  <c r="M85" i="60025"/>
  <c r="G89" i="60032" l="1"/>
  <c r="J89" i="60032" s="1"/>
  <c r="G86" i="60025"/>
  <c r="J86" i="60025" s="1"/>
  <c r="K86" i="60025" s="1"/>
  <c r="H89" i="60032" l="1"/>
  <c r="L89" i="60032" s="1"/>
  <c r="H86" i="60025"/>
  <c r="M86" i="60025" s="1"/>
  <c r="I89" i="60032" l="1"/>
  <c r="K89" i="60032" s="1"/>
  <c r="I86" i="60025"/>
  <c r="L86" i="60025" s="1"/>
  <c r="G90" i="60032" l="1"/>
  <c r="H90" i="60032" s="1"/>
  <c r="L90" i="60032" s="1"/>
  <c r="G87" i="60025"/>
  <c r="J87" i="60025" s="1"/>
  <c r="K87" i="60025" s="1"/>
  <c r="J90" i="60032" l="1"/>
  <c r="I90" i="60032"/>
  <c r="K90" i="60032" s="1"/>
  <c r="H87" i="60025"/>
  <c r="I87" i="60025" s="1"/>
  <c r="L87" i="60025" s="1"/>
  <c r="G91" i="60032" l="1"/>
  <c r="J91" i="60032" s="1"/>
  <c r="M87" i="60025"/>
  <c r="G88" i="60025"/>
  <c r="H91" i="60032" l="1"/>
  <c r="L91" i="60032" s="1"/>
  <c r="J88" i="60025"/>
  <c r="K88" i="60025" s="1"/>
  <c r="H88" i="60025"/>
  <c r="I91" i="60032" l="1"/>
  <c r="K91" i="60032" s="1"/>
  <c r="M88" i="60025"/>
  <c r="I88" i="60025"/>
  <c r="L88" i="60025" s="1"/>
  <c r="G92" i="60032" l="1"/>
  <c r="J92" i="60032" s="1"/>
  <c r="G89" i="60025"/>
  <c r="H92" i="60032" l="1"/>
  <c r="I92" i="60032" s="1"/>
  <c r="K92" i="60032" s="1"/>
  <c r="J89" i="60025"/>
  <c r="K89" i="60025" s="1"/>
  <c r="H89" i="60025"/>
  <c r="L92" i="60032" l="1"/>
  <c r="G93" i="60032"/>
  <c r="J93" i="60032" s="1"/>
  <c r="I89" i="60025"/>
  <c r="L89" i="60025" s="1"/>
  <c r="M89" i="60025"/>
  <c r="H93" i="60032" l="1"/>
  <c r="I93" i="60032" s="1"/>
  <c r="K93" i="60032" s="1"/>
  <c r="G90" i="60025"/>
  <c r="L93" i="60032" l="1"/>
  <c r="G94" i="60032"/>
  <c r="J94" i="60032" s="1"/>
  <c r="J90" i="60025"/>
  <c r="K90" i="60025" s="1"/>
  <c r="H90" i="60025"/>
  <c r="H94" i="60032" l="1"/>
  <c r="L94" i="60032" s="1"/>
  <c r="I90" i="60025"/>
  <c r="L90" i="60025" s="1"/>
  <c r="M90" i="60025"/>
  <c r="I94" i="60032" l="1"/>
  <c r="K94" i="60032" s="1"/>
  <c r="G91" i="60025"/>
  <c r="H91" i="60025" s="1"/>
  <c r="G95" i="60032" l="1"/>
  <c r="J95" i="60032" s="1"/>
  <c r="J91" i="60025"/>
  <c r="K91" i="60025" s="1"/>
  <c r="I91" i="60025"/>
  <c r="L91" i="60025" s="1"/>
  <c r="M91" i="60025"/>
  <c r="H95" i="60032" l="1"/>
  <c r="L95" i="60032" s="1"/>
  <c r="G92" i="60025"/>
  <c r="H92" i="60025" s="1"/>
  <c r="I95" i="60032" l="1"/>
  <c r="K95" i="60032" s="1"/>
  <c r="J92" i="60025"/>
  <c r="K92" i="60025" s="1"/>
  <c r="I92" i="60025"/>
  <c r="L92" i="60025" s="1"/>
  <c r="M92" i="60025"/>
  <c r="G96" i="60032" l="1"/>
  <c r="J96" i="60032" s="1"/>
  <c r="G93" i="60025"/>
  <c r="J93" i="60025" s="1"/>
  <c r="K93" i="60025" s="1"/>
  <c r="H96" i="60032" l="1"/>
  <c r="I96" i="60032" s="1"/>
  <c r="K96" i="60032" s="1"/>
  <c r="H93" i="60025"/>
  <c r="M93" i="60025" s="1"/>
  <c r="L96" i="60032" l="1"/>
  <c r="G97" i="60032"/>
  <c r="J97" i="60032" s="1"/>
  <c r="I93" i="60025"/>
  <c r="L93" i="60025" s="1"/>
  <c r="H97" i="60032" l="1"/>
  <c r="L97" i="60032" s="1"/>
  <c r="G94" i="60025"/>
  <c r="J94" i="60025" s="1"/>
  <c r="K94" i="60025" s="1"/>
  <c r="I97" i="60032" l="1"/>
  <c r="K97" i="60032" s="1"/>
  <c r="H94" i="60025"/>
  <c r="G98" i="60032" l="1"/>
  <c r="J98" i="60032" s="1"/>
  <c r="I94" i="60025"/>
  <c r="L94" i="60025" s="1"/>
  <c r="M94" i="60025"/>
  <c r="H98" i="60032" l="1"/>
  <c r="L98" i="60032" s="1"/>
  <c r="G95" i="60025"/>
  <c r="I98" i="60032" l="1"/>
  <c r="K98" i="60032" s="1"/>
  <c r="H95" i="60025"/>
  <c r="J95" i="60025"/>
  <c r="K95" i="60025" s="1"/>
  <c r="G99" i="60032" l="1"/>
  <c r="J99" i="60032" s="1"/>
  <c r="M95" i="60025"/>
  <c r="I95" i="60025"/>
  <c r="L95" i="60025" s="1"/>
  <c r="H99" i="60032" l="1"/>
  <c r="L99" i="60032" s="1"/>
  <c r="G96" i="60025"/>
  <c r="H96" i="60025" s="1"/>
  <c r="I99" i="60032" l="1"/>
  <c r="K99" i="60032" s="1"/>
  <c r="J96" i="60025"/>
  <c r="K96" i="60025" s="1"/>
  <c r="I96" i="60025"/>
  <c r="L96" i="60025" s="1"/>
  <c r="M96" i="60025"/>
  <c r="G100" i="60032" l="1"/>
  <c r="J100" i="60032" s="1"/>
  <c r="G97" i="60025"/>
  <c r="J97" i="60025" s="1"/>
  <c r="K97" i="60025" s="1"/>
  <c r="H100" i="60032" l="1"/>
  <c r="L100" i="60032" s="1"/>
  <c r="H97" i="60025"/>
  <c r="M97" i="60025" s="1"/>
  <c r="I100" i="60032" l="1"/>
  <c r="K100" i="60032" s="1"/>
  <c r="I97" i="60025"/>
  <c r="L97" i="60025" s="1"/>
  <c r="G101" i="60032" l="1"/>
  <c r="J101" i="60032" s="1"/>
  <c r="G98" i="60025"/>
  <c r="J98" i="60025" s="1"/>
  <c r="K98" i="60025" s="1"/>
  <c r="H101" i="60032" l="1"/>
  <c r="L101" i="60032" s="1"/>
  <c r="H98" i="60025"/>
  <c r="M98" i="60025" s="1"/>
  <c r="I101" i="60032" l="1"/>
  <c r="K101" i="60032" s="1"/>
  <c r="I98" i="60025"/>
  <c r="L98" i="60025" s="1"/>
  <c r="G102" i="60032" l="1"/>
  <c r="J102" i="60032" s="1"/>
  <c r="G99" i="60025"/>
  <c r="H99" i="60025" s="1"/>
  <c r="I99" i="60025" s="1"/>
  <c r="L99" i="60025" s="1"/>
  <c r="H102" i="60032" l="1"/>
  <c r="L102" i="60032" s="1"/>
  <c r="M99" i="60025"/>
  <c r="J99" i="60025"/>
  <c r="K99" i="60025" s="1"/>
  <c r="G100" i="60025"/>
  <c r="I102" i="60032" l="1"/>
  <c r="K102" i="60032" s="1"/>
  <c r="J100" i="60025"/>
  <c r="K100" i="60025" s="1"/>
  <c r="H100" i="60025"/>
  <c r="G103" i="60032" l="1"/>
  <c r="J103" i="60032" s="1"/>
  <c r="I100" i="60025"/>
  <c r="M100" i="60025"/>
  <c r="H103" i="60032" l="1"/>
  <c r="L103" i="60032" s="1"/>
  <c r="L100" i="60025"/>
  <c r="G101" i="60025"/>
  <c r="I103" i="60032" l="1"/>
  <c r="K103" i="60032" s="1"/>
  <c r="J101" i="60025"/>
  <c r="K101" i="60025" s="1"/>
  <c r="H101" i="60025"/>
  <c r="G104" i="60032" l="1"/>
  <c r="J104" i="60032" s="1"/>
  <c r="M101" i="60025"/>
  <c r="I101" i="60025"/>
  <c r="H104" i="60032" l="1"/>
  <c r="L104" i="60032" s="1"/>
  <c r="L101" i="60025"/>
  <c r="G102" i="60025"/>
  <c r="I104" i="60032" l="1"/>
  <c r="K104" i="60032" s="1"/>
  <c r="J102" i="60025"/>
  <c r="K102" i="60025" s="1"/>
  <c r="H102" i="60025"/>
  <c r="G105" i="60032" l="1"/>
  <c r="H105" i="60032" s="1"/>
  <c r="L105" i="60032" s="1"/>
  <c r="I102" i="60025"/>
  <c r="M102" i="60025"/>
  <c r="I105" i="60032" l="1"/>
  <c r="K105" i="60032" s="1"/>
  <c r="J105" i="60032"/>
  <c r="L102" i="60025"/>
  <c r="G103" i="60025"/>
  <c r="G106" i="60032" l="1"/>
  <c r="J106" i="60032" s="1"/>
  <c r="H103" i="60025"/>
  <c r="J103" i="60025"/>
  <c r="K103" i="60025" s="1"/>
  <c r="H106" i="60032" l="1"/>
  <c r="L106" i="60032" s="1"/>
  <c r="I103" i="60025"/>
  <c r="L103" i="60025" s="1"/>
  <c r="M103" i="60025"/>
  <c r="I106" i="60032" l="1"/>
  <c r="K106" i="60032" s="1"/>
  <c r="G104" i="60025"/>
  <c r="G107" i="60032" l="1"/>
  <c r="J107" i="60032" s="1"/>
  <c r="J104" i="60025"/>
  <c r="K104" i="60025" s="1"/>
  <c r="H104" i="60025"/>
  <c r="H107" i="60032" l="1"/>
  <c r="L107" i="60032" s="1"/>
  <c r="I104" i="60025"/>
  <c r="M104" i="60025"/>
  <c r="I107" i="60032" l="1"/>
  <c r="K107" i="60032" s="1"/>
  <c r="L104" i="60025"/>
  <c r="G105" i="60025"/>
  <c r="G108" i="60032" l="1"/>
  <c r="J108" i="60032" s="1"/>
  <c r="J105" i="60025"/>
  <c r="K105" i="60025" s="1"/>
  <c r="H105" i="60025"/>
  <c r="H108" i="60032" l="1"/>
  <c r="L108" i="60032" s="1"/>
  <c r="M105" i="60025"/>
  <c r="I105" i="60025"/>
  <c r="I108" i="60032" l="1"/>
  <c r="K108" i="60032" s="1"/>
  <c r="L105" i="60025"/>
  <c r="G106" i="60025"/>
  <c r="G109" i="60032" l="1"/>
  <c r="J109" i="60032" s="1"/>
  <c r="J106" i="60025"/>
  <c r="K106" i="60025" s="1"/>
  <c r="H106" i="60025"/>
  <c r="H109" i="60032" l="1"/>
  <c r="L109" i="60032" s="1"/>
  <c r="I106" i="60025"/>
  <c r="M106" i="60025"/>
  <c r="I109" i="60032" l="1"/>
  <c r="K109" i="60032" s="1"/>
  <c r="L106" i="60025"/>
  <c r="G107" i="60025"/>
  <c r="G110" i="60032" l="1"/>
  <c r="J110" i="60032" s="1"/>
  <c r="H107" i="60025"/>
  <c r="J107" i="60025"/>
  <c r="K107" i="60025" s="1"/>
  <c r="H110" i="60032" l="1"/>
  <c r="L110" i="60032" s="1"/>
  <c r="I107" i="60025"/>
  <c r="L107" i="60025" s="1"/>
  <c r="M107" i="60025"/>
  <c r="I110" i="60032" l="1"/>
  <c r="K110" i="60032" s="1"/>
  <c r="G108" i="60025"/>
  <c r="G111" i="60032" l="1"/>
  <c r="J111" i="60032" s="1"/>
  <c r="J108" i="60025"/>
  <c r="K108" i="60025" s="1"/>
  <c r="H108" i="60025"/>
  <c r="H111" i="60032" l="1"/>
  <c r="L111" i="60032" s="1"/>
  <c r="I108" i="60025"/>
  <c r="M108" i="60025"/>
  <c r="I111" i="60032" l="1"/>
  <c r="K111" i="60032" s="1"/>
  <c r="L108" i="60025"/>
  <c r="G109" i="60025"/>
  <c r="G112" i="60032" l="1"/>
  <c r="J112" i="60032" s="1"/>
  <c r="J109" i="60025"/>
  <c r="K109" i="60025" s="1"/>
  <c r="H109" i="60025"/>
  <c r="H112" i="60032" l="1"/>
  <c r="I112" i="60032" s="1"/>
  <c r="K112" i="60032" s="1"/>
  <c r="M109" i="60025"/>
  <c r="I109" i="60025"/>
  <c r="L112" i="60032" l="1"/>
  <c r="G113" i="60032"/>
  <c r="J113" i="60032" s="1"/>
  <c r="L109" i="60025"/>
  <c r="G110" i="60025"/>
  <c r="H113" i="60032" l="1"/>
  <c r="L113" i="60032" s="1"/>
  <c r="J110" i="60025"/>
  <c r="K110" i="60025" s="1"/>
  <c r="H110" i="60025"/>
  <c r="I113" i="60032" l="1"/>
  <c r="K113" i="60032" s="1"/>
  <c r="I110" i="60025"/>
  <c r="M110" i="60025"/>
  <c r="G114" i="60032" l="1"/>
  <c r="J114" i="60032" s="1"/>
  <c r="L110" i="60025"/>
  <c r="G111" i="60025"/>
  <c r="H114" i="60032" l="1"/>
  <c r="L114" i="60032" s="1"/>
  <c r="H111" i="60025"/>
  <c r="J111" i="60025"/>
  <c r="K111" i="60025" s="1"/>
  <c r="I114" i="60032" l="1"/>
  <c r="K114" i="60032" s="1"/>
  <c r="I111" i="60025"/>
  <c r="M111" i="60025"/>
  <c r="G115" i="60032" l="1"/>
  <c r="J115" i="60032" s="1"/>
  <c r="L111" i="60025"/>
  <c r="G112" i="60025"/>
  <c r="H115" i="60032" l="1"/>
  <c r="L115" i="60032" s="1"/>
  <c r="H112" i="60025"/>
  <c r="J112" i="60025"/>
  <c r="K112" i="60025" s="1"/>
  <c r="I115" i="60032" l="1"/>
  <c r="K115" i="60032" s="1"/>
  <c r="I112" i="60025"/>
  <c r="M112" i="60025"/>
  <c r="G116" i="60032" l="1"/>
  <c r="J116" i="60032" s="1"/>
  <c r="L112" i="60025"/>
  <c r="G113" i="60025"/>
  <c r="H116" i="60032" l="1"/>
  <c r="L116" i="60032" s="1"/>
  <c r="J113" i="60025"/>
  <c r="K113" i="60025" s="1"/>
  <c r="H113" i="60025"/>
  <c r="I116" i="60032" l="1"/>
  <c r="K116" i="60032" s="1"/>
  <c r="I113" i="60025"/>
  <c r="L113" i="60025" s="1"/>
  <c r="M113" i="60025"/>
  <c r="G117" i="60032" l="1"/>
  <c r="J117" i="60032" s="1"/>
  <c r="G114" i="60025"/>
  <c r="J114" i="60025" s="1"/>
  <c r="K114" i="60025" s="1"/>
  <c r="H117" i="60032" l="1"/>
  <c r="L117" i="60032" s="1"/>
  <c r="H114" i="60025"/>
  <c r="M114" i="60025" s="1"/>
  <c r="I117" i="60032" l="1"/>
  <c r="K117" i="60032" s="1"/>
  <c r="I114" i="60025"/>
  <c r="L114" i="60025" s="1"/>
  <c r="G118" i="60032" l="1"/>
  <c r="H118" i="60032" s="1"/>
  <c r="L118" i="60032" s="1"/>
  <c r="G115" i="60025"/>
  <c r="H115" i="60025" s="1"/>
  <c r="I118" i="60032" l="1"/>
  <c r="K118" i="60032" s="1"/>
  <c r="J118" i="60032"/>
  <c r="J115" i="60025"/>
  <c r="K115" i="60025" s="1"/>
  <c r="I115" i="60025"/>
  <c r="L115" i="60025" s="1"/>
  <c r="M115" i="60025"/>
  <c r="G119" i="60032" l="1"/>
  <c r="J119" i="60032" s="1"/>
  <c r="G116" i="60025"/>
  <c r="J116" i="60025" s="1"/>
  <c r="K116" i="60025" s="1"/>
  <c r="H119" i="60032" l="1"/>
  <c r="L119" i="60032" s="1"/>
  <c r="H116" i="60025"/>
  <c r="I116" i="60025" s="1"/>
  <c r="L116" i="60025" s="1"/>
  <c r="I119" i="60032" l="1"/>
  <c r="K119" i="60032" s="1"/>
  <c r="M116" i="60025"/>
  <c r="G117" i="60025"/>
  <c r="G120" i="60032" l="1"/>
  <c r="H120" i="60032" s="1"/>
  <c r="L120" i="60032" s="1"/>
  <c r="J117" i="60025"/>
  <c r="K117" i="60025" s="1"/>
  <c r="H117" i="60025"/>
  <c r="J120" i="60032" l="1"/>
  <c r="I120" i="60032"/>
  <c r="K120" i="60032" s="1"/>
  <c r="M117" i="60025"/>
  <c r="I117" i="60025"/>
  <c r="L117" i="60025" s="1"/>
  <c r="G121" i="60032" l="1"/>
  <c r="J121" i="60032" s="1"/>
  <c r="G118" i="60025"/>
  <c r="J118" i="60025" s="1"/>
  <c r="K118" i="60025" s="1"/>
  <c r="H121" i="60032" l="1"/>
  <c r="L121" i="60032" s="1"/>
  <c r="H118" i="60025"/>
  <c r="I118" i="60025" s="1"/>
  <c r="L118" i="60025" s="1"/>
  <c r="I121" i="60032" l="1"/>
  <c r="K121" i="60032" s="1"/>
  <c r="M118" i="60025"/>
  <c r="G119" i="60025"/>
  <c r="H119" i="60025" s="1"/>
  <c r="G122" i="60032" l="1"/>
  <c r="H122" i="60032" s="1"/>
  <c r="L122" i="60032" s="1"/>
  <c r="J119" i="60025"/>
  <c r="K119" i="60025" s="1"/>
  <c r="I119" i="60025"/>
  <c r="L119" i="60025" s="1"/>
  <c r="M119" i="60025"/>
  <c r="I122" i="60032" l="1"/>
  <c r="K122" i="60032" s="1"/>
  <c r="J122" i="60032"/>
  <c r="G120" i="60025"/>
  <c r="J120" i="60025" s="1"/>
  <c r="K120" i="60025" s="1"/>
  <c r="G123" i="60032" l="1"/>
  <c r="J123" i="60032" s="1"/>
  <c r="H120" i="60025"/>
  <c r="M120" i="60025" s="1"/>
  <c r="H123" i="60032" l="1"/>
  <c r="L123" i="60032" s="1"/>
  <c r="I120" i="60025"/>
  <c r="L120" i="60025" s="1"/>
  <c r="I123" i="60032" l="1"/>
  <c r="K123" i="60032" s="1"/>
  <c r="G121" i="60025"/>
  <c r="H121" i="60025" s="1"/>
  <c r="G124" i="60032" l="1"/>
  <c r="J124" i="60032" s="1"/>
  <c r="J121" i="60025"/>
  <c r="K121" i="60025" s="1"/>
  <c r="I121" i="60025"/>
  <c r="L121" i="60025" s="1"/>
  <c r="M121" i="60025"/>
  <c r="H124" i="60032" l="1"/>
  <c r="L124" i="60032" s="1"/>
  <c r="G122" i="60025"/>
  <c r="H122" i="60025" s="1"/>
  <c r="I124" i="60032" l="1"/>
  <c r="K124" i="60032" s="1"/>
  <c r="J122" i="60025"/>
  <c r="K122" i="60025" s="1"/>
  <c r="I122" i="60025"/>
  <c r="L122" i="60025" s="1"/>
  <c r="M122" i="60025"/>
  <c r="G125" i="60032" l="1"/>
  <c r="J125" i="60032" s="1"/>
  <c r="G123" i="60025"/>
  <c r="J123" i="60025" s="1"/>
  <c r="K123" i="60025" s="1"/>
  <c r="H125" i="60032" l="1"/>
  <c r="H123" i="60025"/>
  <c r="I123" i="60025" s="1"/>
  <c r="L123" i="60025" s="1"/>
  <c r="I125" i="60032" l="1"/>
  <c r="K125" i="60032" s="1"/>
  <c r="L125" i="60032"/>
  <c r="M123" i="60025"/>
  <c r="G124" i="60025"/>
  <c r="H124" i="60025" s="1"/>
  <c r="G126" i="60032" l="1"/>
  <c r="J126" i="60032" s="1"/>
  <c r="J124" i="60025"/>
  <c r="K124" i="60025" s="1"/>
  <c r="I124" i="60025"/>
  <c r="L124" i="60025" s="1"/>
  <c r="M124" i="60025"/>
  <c r="H126" i="60032" l="1"/>
  <c r="L126" i="60032" s="1"/>
  <c r="G125" i="60025"/>
  <c r="H125" i="60025" s="1"/>
  <c r="I126" i="60032" l="1"/>
  <c r="K126" i="60032" s="1"/>
  <c r="J125" i="60025"/>
  <c r="K125" i="60025" s="1"/>
  <c r="M125" i="60025"/>
  <c r="I125" i="60025"/>
  <c r="L125" i="60025" s="1"/>
  <c r="G127" i="60032" l="1"/>
  <c r="J127" i="60032" s="1"/>
  <c r="G126" i="60025"/>
  <c r="H127" i="60032" l="1"/>
  <c r="L127" i="60032" s="1"/>
  <c r="H126" i="60025"/>
  <c r="J126" i="60025"/>
  <c r="K126" i="60025" s="1"/>
  <c r="I127" i="60032" l="1"/>
  <c r="K127" i="60032" s="1"/>
  <c r="M126" i="60025"/>
  <c r="I126" i="60025"/>
  <c r="L126" i="60025" s="1"/>
  <c r="G128" i="60032" l="1"/>
  <c r="J128" i="60032" s="1"/>
  <c r="G127" i="60025"/>
  <c r="H127" i="60025" s="1"/>
  <c r="H128" i="60032" l="1"/>
  <c r="L128" i="60032" s="1"/>
  <c r="J127" i="60025"/>
  <c r="K127" i="60025" s="1"/>
  <c r="M127" i="60025"/>
  <c r="I127" i="60025"/>
  <c r="L127" i="60025" s="1"/>
  <c r="I128" i="60032" l="1"/>
  <c r="K128" i="60032" s="1"/>
  <c r="G128" i="60025"/>
  <c r="J128" i="60025" s="1"/>
  <c r="K128" i="60025" s="1"/>
  <c r="G129" i="60032" l="1"/>
  <c r="J129" i="60032" s="1"/>
  <c r="H128" i="60025"/>
  <c r="M128" i="60025" s="1"/>
  <c r="H129" i="60032" l="1"/>
  <c r="L129" i="60032" s="1"/>
  <c r="I128" i="60025"/>
  <c r="L128" i="60025" s="1"/>
  <c r="I129" i="60032" l="1"/>
  <c r="K129" i="60032" s="1"/>
  <c r="G129" i="60025"/>
  <c r="J129" i="60025" s="1"/>
  <c r="K129" i="60025" s="1"/>
  <c r="G130" i="60032" l="1"/>
  <c r="H130" i="60032" s="1"/>
  <c r="L130" i="60032" s="1"/>
  <c r="H129" i="60025"/>
  <c r="I129" i="60025" s="1"/>
  <c r="L129" i="60025" s="1"/>
  <c r="I130" i="60032" l="1"/>
  <c r="K130" i="60032" s="1"/>
  <c r="J130" i="60032"/>
  <c r="G130" i="60025"/>
  <c r="J130" i="60025" s="1"/>
  <c r="K130" i="60025" s="1"/>
  <c r="M129" i="60025"/>
  <c r="G131" i="60032" l="1"/>
  <c r="J131" i="60032" s="1"/>
  <c r="H130" i="60025"/>
  <c r="M130" i="60025" s="1"/>
  <c r="H131" i="60032" l="1"/>
  <c r="L131" i="60032" s="1"/>
  <c r="I130" i="60025"/>
  <c r="L130" i="60025" s="1"/>
  <c r="I131" i="60032" l="1"/>
  <c r="K131" i="60032" s="1"/>
  <c r="G131" i="60025"/>
  <c r="J131" i="60025" s="1"/>
  <c r="K131" i="60025" s="1"/>
  <c r="G132" i="60032" l="1"/>
  <c r="H132" i="60032" s="1"/>
  <c r="L132" i="60032" s="1"/>
  <c r="H131" i="60025"/>
  <c r="I131" i="60025" s="1"/>
  <c r="L131" i="60025" s="1"/>
  <c r="J132" i="60032" l="1"/>
  <c r="I132" i="60032"/>
  <c r="K132" i="60032" s="1"/>
  <c r="M131" i="60025"/>
  <c r="G132" i="60025"/>
  <c r="H132" i="60025" s="1"/>
  <c r="I132" i="60025" s="1"/>
  <c r="L132" i="60025" s="1"/>
  <c r="G133" i="60032" l="1"/>
  <c r="J133" i="60032" s="1"/>
  <c r="M132" i="60025"/>
  <c r="J132" i="60025"/>
  <c r="K132" i="60025" s="1"/>
  <c r="G133" i="60025"/>
  <c r="H133" i="60032" l="1"/>
  <c r="L133" i="60032" s="1"/>
  <c r="H133" i="60025"/>
  <c r="J133" i="60025"/>
  <c r="K133" i="60025" s="1"/>
  <c r="I133" i="60032" l="1"/>
  <c r="K133" i="60032" s="1"/>
  <c r="I133" i="60025"/>
  <c r="L133" i="60025" s="1"/>
  <c r="M133" i="60025"/>
  <c r="G134" i="60032" l="1"/>
  <c r="J134" i="60032" s="1"/>
  <c r="G134" i="60025"/>
  <c r="H134" i="60032" l="1"/>
  <c r="L134" i="60032" s="1"/>
  <c r="J134" i="60025"/>
  <c r="K134" i="60025" s="1"/>
  <c r="H134" i="60025"/>
  <c r="I134" i="60032" l="1"/>
  <c r="K134" i="60032" s="1"/>
  <c r="M134" i="60025"/>
  <c r="I134" i="60025"/>
  <c r="L134" i="60025" s="1"/>
  <c r="G135" i="60032" l="1"/>
  <c r="J135" i="60032" s="1"/>
  <c r="G135" i="60025"/>
  <c r="H135" i="60025" s="1"/>
  <c r="H135" i="60032" l="1"/>
  <c r="L135" i="60032" s="1"/>
  <c r="J135" i="60025"/>
  <c r="K135" i="60025" s="1"/>
  <c r="I135" i="60025"/>
  <c r="L135" i="60025" s="1"/>
  <c r="M135" i="60025"/>
  <c r="I135" i="60032" l="1"/>
  <c r="K135" i="60032" s="1"/>
  <c r="G136" i="60025"/>
  <c r="G136" i="60032" l="1"/>
  <c r="J136" i="60032" s="1"/>
  <c r="H136" i="60025"/>
  <c r="J136" i="60025"/>
  <c r="K136" i="60025" s="1"/>
  <c r="H136" i="60032" l="1"/>
  <c r="L136" i="60032" s="1"/>
  <c r="I136" i="60025"/>
  <c r="L136" i="60025" s="1"/>
  <c r="M136" i="60025"/>
  <c r="I136" i="60032" l="1"/>
  <c r="K136" i="60032" s="1"/>
  <c r="G137" i="60025"/>
  <c r="G137" i="60032" l="1"/>
  <c r="J137" i="60032" s="1"/>
  <c r="J137" i="60025"/>
  <c r="K137" i="60025" s="1"/>
  <c r="H137" i="60025"/>
  <c r="H137" i="60032" l="1"/>
  <c r="L137" i="60032" s="1"/>
  <c r="I137" i="60025"/>
  <c r="L137" i="60025" s="1"/>
  <c r="M137" i="60025"/>
  <c r="I137" i="60032" l="1"/>
  <c r="K137" i="60032" s="1"/>
  <c r="G138" i="60025"/>
  <c r="G138" i="60032" l="1"/>
  <c r="J138" i="60032" s="1"/>
  <c r="H138" i="60025"/>
  <c r="J138" i="60025"/>
  <c r="K138" i="60025" s="1"/>
  <c r="H138" i="60032" l="1"/>
  <c r="L138" i="60032" s="1"/>
  <c r="I138" i="60025"/>
  <c r="L138" i="60025" s="1"/>
  <c r="M138" i="60025"/>
  <c r="I138" i="60032" l="1"/>
  <c r="K138" i="60032" s="1"/>
  <c r="G139" i="60025"/>
  <c r="G139" i="60032" l="1"/>
  <c r="J139" i="60032" s="1"/>
  <c r="J139" i="60025"/>
  <c r="K139" i="60025" s="1"/>
  <c r="H139" i="60025"/>
  <c r="H139" i="60032" l="1"/>
  <c r="L139" i="60032" s="1"/>
  <c r="I139" i="60025"/>
  <c r="L139" i="60025" s="1"/>
  <c r="M139" i="60025"/>
  <c r="I139" i="60032" l="1"/>
  <c r="K139" i="60032" s="1"/>
  <c r="G140" i="60025"/>
  <c r="G140" i="60032" l="1"/>
  <c r="H140" i="60032" s="1"/>
  <c r="L140" i="60032" s="1"/>
  <c r="H140" i="60025"/>
  <c r="J140" i="60025"/>
  <c r="K140" i="60025" s="1"/>
  <c r="I140" i="60032" l="1"/>
  <c r="K140" i="60032" s="1"/>
  <c r="J140" i="60032"/>
  <c r="M140" i="60025"/>
  <c r="I140" i="60025"/>
  <c r="L140" i="60025" s="1"/>
  <c r="G141" i="60032" l="1"/>
  <c r="J141" i="60032" s="1"/>
  <c r="G141" i="60025"/>
  <c r="H141" i="60032" l="1"/>
  <c r="L141" i="60032" s="1"/>
  <c r="J141" i="60025"/>
  <c r="K141" i="60025" s="1"/>
  <c r="H141" i="60025"/>
  <c r="I141" i="60032" l="1"/>
  <c r="K141" i="60032" s="1"/>
  <c r="I141" i="60025"/>
  <c r="L141" i="60025" s="1"/>
  <c r="M141" i="60025"/>
  <c r="G142" i="60032" l="1"/>
  <c r="J142" i="60032" s="1"/>
  <c r="G142" i="60025"/>
  <c r="H142" i="60032" l="1"/>
  <c r="I142" i="60032" s="1"/>
  <c r="K142" i="60032" s="1"/>
  <c r="H142" i="60025"/>
  <c r="J142" i="60025"/>
  <c r="K142" i="60025" s="1"/>
  <c r="L142" i="60032" l="1"/>
  <c r="G143" i="60032"/>
  <c r="J143" i="60032" s="1"/>
  <c r="I142" i="60025"/>
  <c r="L142" i="60025" s="1"/>
  <c r="M142" i="60025"/>
  <c r="H143" i="60032" l="1"/>
  <c r="I143" i="60032" s="1"/>
  <c r="G143" i="60025"/>
  <c r="L143" i="60032" l="1"/>
  <c r="K143" i="60032"/>
  <c r="G144" i="60032"/>
  <c r="J144" i="60032" s="1"/>
  <c r="J143" i="60025"/>
  <c r="K143" i="60025" s="1"/>
  <c r="H143" i="60025"/>
  <c r="H144" i="60032" l="1"/>
  <c r="L144" i="60032" s="1"/>
  <c r="M143" i="60025"/>
  <c r="I143" i="60025"/>
  <c r="L143" i="60025" s="1"/>
  <c r="I144" i="60032" l="1"/>
  <c r="K144" i="60032" s="1"/>
  <c r="G144" i="60025"/>
  <c r="H144" i="60025" s="1"/>
  <c r="G145" i="60032" l="1"/>
  <c r="J145" i="60032" s="1"/>
  <c r="J144" i="60025"/>
  <c r="K144" i="60025" s="1"/>
  <c r="I144" i="60025"/>
  <c r="L144" i="60025" s="1"/>
  <c r="M144" i="60025"/>
  <c r="H145" i="60032" l="1"/>
  <c r="L145" i="60032" s="1"/>
  <c r="G145" i="60025"/>
  <c r="I145" i="60032" l="1"/>
  <c r="K145" i="60032" s="1"/>
  <c r="J145" i="60025"/>
  <c r="K145" i="60025" s="1"/>
  <c r="H145" i="60025"/>
  <c r="G146" i="60032" l="1"/>
  <c r="J146" i="60032" s="1"/>
  <c r="I145" i="60025"/>
  <c r="L145" i="60025" s="1"/>
  <c r="M145" i="60025"/>
  <c r="H146" i="60032" l="1"/>
  <c r="L146" i="60032" s="1"/>
  <c r="G146" i="60025"/>
  <c r="I146" i="60032" l="1"/>
  <c r="K146" i="60032" s="1"/>
  <c r="H146" i="60025"/>
  <c r="J146" i="60025"/>
  <c r="K146" i="60025" s="1"/>
  <c r="G147" i="60032" l="1"/>
  <c r="J147" i="60032" s="1"/>
  <c r="M146" i="60025"/>
  <c r="I146" i="60025"/>
  <c r="L146" i="60025" s="1"/>
  <c r="H147" i="60032" l="1"/>
  <c r="L147" i="60032" s="1"/>
  <c r="G147" i="60025"/>
  <c r="I147" i="60032" l="1"/>
  <c r="K147" i="60032" s="1"/>
  <c r="J147" i="60025"/>
  <c r="K147" i="60025" s="1"/>
  <c r="H147" i="60025"/>
  <c r="G148" i="60032" l="1"/>
  <c r="J148" i="60032" s="1"/>
  <c r="I147" i="60025"/>
  <c r="L147" i="60025" s="1"/>
  <c r="M147" i="60025"/>
  <c r="H148" i="60032" l="1"/>
  <c r="L148" i="60032" s="1"/>
  <c r="G148" i="60025"/>
  <c r="I148" i="60032" l="1"/>
  <c r="K148" i="60032" s="1"/>
  <c r="H148" i="60025"/>
  <c r="J148" i="60025"/>
  <c r="K148" i="60025" s="1"/>
  <c r="G149" i="60032" l="1"/>
  <c r="J149" i="60032" s="1"/>
  <c r="I148" i="60025"/>
  <c r="L148" i="60025" s="1"/>
  <c r="M148" i="60025"/>
  <c r="H149" i="60032" l="1"/>
  <c r="L149" i="60032" s="1"/>
  <c r="G149" i="60025"/>
  <c r="J149" i="60025" s="1"/>
  <c r="K149" i="60025" s="1"/>
  <c r="I149" i="60032" l="1"/>
  <c r="K149" i="60032" s="1"/>
  <c r="H149" i="60025"/>
  <c r="M149" i="60025" s="1"/>
  <c r="G150" i="60032" l="1"/>
  <c r="J150" i="60032" s="1"/>
  <c r="I149" i="60025"/>
  <c r="L149" i="60025" s="1"/>
  <c r="H150" i="60032" l="1"/>
  <c r="L150" i="60032" s="1"/>
  <c r="G150" i="60025"/>
  <c r="H150" i="60025" s="1"/>
  <c r="I150" i="60025" s="1"/>
  <c r="L150" i="60025" s="1"/>
  <c r="I150" i="60032" l="1"/>
  <c r="K150" i="60032" s="1"/>
  <c r="M150" i="60025"/>
  <c r="J150" i="60025"/>
  <c r="K150" i="60025" s="1"/>
  <c r="G151" i="60025"/>
  <c r="H151" i="60025" s="1"/>
  <c r="G151" i="60032" l="1"/>
  <c r="J151" i="60032" s="1"/>
  <c r="J151" i="60025"/>
  <c r="K151" i="60025" s="1"/>
  <c r="I151" i="60025"/>
  <c r="L151" i="60025" s="1"/>
  <c r="M151" i="60025"/>
  <c r="H151" i="60032" l="1"/>
  <c r="L151" i="60032" s="1"/>
  <c r="G152" i="60025"/>
  <c r="I151" i="60032" l="1"/>
  <c r="K151" i="60032" s="1"/>
  <c r="H152" i="60025"/>
  <c r="J152" i="60025"/>
  <c r="K152" i="60025" s="1"/>
  <c r="G152" i="60032" l="1"/>
  <c r="J152" i="60032" s="1"/>
  <c r="M152" i="60025"/>
  <c r="I152" i="60025"/>
  <c r="L152" i="60025" s="1"/>
  <c r="H152" i="60032" l="1"/>
  <c r="L152" i="60032" s="1"/>
  <c r="G153" i="60025"/>
  <c r="I152" i="60032" l="1"/>
  <c r="K152" i="60032" s="1"/>
  <c r="J153" i="60025"/>
  <c r="K153" i="60025" s="1"/>
  <c r="H153" i="60025"/>
  <c r="G153" i="60032" l="1"/>
  <c r="J153" i="60032" s="1"/>
  <c r="M153" i="60025"/>
  <c r="I153" i="60025"/>
  <c r="L153" i="60025" s="1"/>
  <c r="H153" i="60032" l="1"/>
  <c r="L153" i="60032" s="1"/>
  <c r="G154" i="60025"/>
  <c r="H154" i="60025" s="1"/>
  <c r="I153" i="60032" l="1"/>
  <c r="K153" i="60032" s="1"/>
  <c r="J154" i="60025"/>
  <c r="K154" i="60025" s="1"/>
  <c r="I154" i="60025"/>
  <c r="L154" i="60025" s="1"/>
  <c r="M154" i="60025"/>
  <c r="G154" i="60032" l="1"/>
  <c r="J154" i="60032" s="1"/>
  <c r="G155" i="60025"/>
  <c r="H154" i="60032" l="1"/>
  <c r="L154" i="60032" s="1"/>
  <c r="J155" i="60025"/>
  <c r="K155" i="60025" s="1"/>
  <c r="H155" i="60025"/>
  <c r="I154" i="60032" l="1"/>
  <c r="K154" i="60032" s="1"/>
  <c r="I155" i="60025"/>
  <c r="L155" i="60025" s="1"/>
  <c r="M155" i="60025"/>
  <c r="G155" i="60032" l="1"/>
  <c r="J155" i="60032" s="1"/>
  <c r="G156" i="60025"/>
  <c r="H155" i="60032" l="1"/>
  <c r="L155" i="60032" s="1"/>
  <c r="H156" i="60025"/>
  <c r="J156" i="60025"/>
  <c r="K156" i="60025" s="1"/>
  <c r="I155" i="60032" l="1"/>
  <c r="K155" i="60032" s="1"/>
  <c r="M156" i="60025"/>
  <c r="I156" i="60025"/>
  <c r="L156" i="60025" s="1"/>
  <c r="G156" i="60032" l="1"/>
  <c r="J156" i="60032" s="1"/>
  <c r="G157" i="60025"/>
  <c r="H156" i="60032" l="1"/>
  <c r="L156" i="60032" s="1"/>
  <c r="J157" i="60025"/>
  <c r="K157" i="60025" s="1"/>
  <c r="H157" i="60025"/>
  <c r="I156" i="60032" l="1"/>
  <c r="K156" i="60032" s="1"/>
  <c r="I157" i="60025"/>
  <c r="L157" i="60025" s="1"/>
  <c r="M157" i="60025"/>
  <c r="G157" i="60032" l="1"/>
  <c r="J157" i="60032" s="1"/>
  <c r="G158" i="60025"/>
  <c r="H158" i="60025" s="1"/>
  <c r="H157" i="60032" l="1"/>
  <c r="L157" i="60032" s="1"/>
  <c r="J158" i="60025"/>
  <c r="K158" i="60025" s="1"/>
  <c r="I158" i="60025"/>
  <c r="L158" i="60025" s="1"/>
  <c r="M158" i="60025"/>
  <c r="I157" i="60032" l="1"/>
  <c r="K157" i="60032" s="1"/>
  <c r="G159" i="60025"/>
  <c r="G158" i="60032" l="1"/>
  <c r="J158" i="60032" s="1"/>
  <c r="J159" i="60025"/>
  <c r="K159" i="60025" s="1"/>
  <c r="H159" i="60025"/>
  <c r="H158" i="60032" l="1"/>
  <c r="L158" i="60032" s="1"/>
  <c r="I159" i="60025"/>
  <c r="L159" i="60025" s="1"/>
  <c r="M159" i="60025"/>
  <c r="I158" i="60032" l="1"/>
  <c r="K158" i="60032" s="1"/>
  <c r="G160" i="60025"/>
  <c r="G159" i="60032" l="1"/>
  <c r="J159" i="60032" s="1"/>
  <c r="H160" i="60025"/>
  <c r="J160" i="60025"/>
  <c r="K160" i="60025" s="1"/>
  <c r="H159" i="60032" l="1"/>
  <c r="L159" i="60032" s="1"/>
  <c r="I160" i="60025"/>
  <c r="L160" i="60025" s="1"/>
  <c r="M160" i="60025"/>
  <c r="I159" i="60032" l="1"/>
  <c r="K159" i="60032" s="1"/>
  <c r="G161" i="60025"/>
  <c r="G160" i="60032" l="1"/>
  <c r="J160" i="60032" s="1"/>
  <c r="J161" i="60025"/>
  <c r="K161" i="60025" s="1"/>
  <c r="H161" i="60025"/>
  <c r="H160" i="60032" l="1"/>
  <c r="L160" i="60032" s="1"/>
  <c r="I161" i="60025"/>
  <c r="L161" i="60025" s="1"/>
  <c r="M161" i="60025"/>
  <c r="I160" i="60032" l="1"/>
  <c r="K160" i="60032" s="1"/>
  <c r="G162" i="60025"/>
  <c r="H162" i="60025" s="1"/>
  <c r="G161" i="60032" l="1"/>
  <c r="H161" i="60032" s="1"/>
  <c r="L161" i="60032" s="1"/>
  <c r="J162" i="60025"/>
  <c r="K162" i="60025" s="1"/>
  <c r="I162" i="60025"/>
  <c r="L162" i="60025" s="1"/>
  <c r="M162" i="60025"/>
  <c r="I161" i="60032" l="1"/>
  <c r="K161" i="60032" s="1"/>
  <c r="J161" i="60032"/>
  <c r="G163" i="60025"/>
  <c r="G162" i="60032" l="1"/>
  <c r="J162" i="60032" s="1"/>
  <c r="J163" i="60025"/>
  <c r="K163" i="60025" s="1"/>
  <c r="H163" i="60025"/>
  <c r="H162" i="60032" l="1"/>
  <c r="L162" i="60032" s="1"/>
  <c r="I163" i="60025"/>
  <c r="L163" i="60025" s="1"/>
  <c r="M163" i="60025"/>
  <c r="I162" i="60032" l="1"/>
  <c r="K162" i="60032" s="1"/>
  <c r="G164" i="60025"/>
  <c r="G163" i="60032" l="1"/>
  <c r="J163" i="60032" s="1"/>
  <c r="H164" i="60025"/>
  <c r="J164" i="60025"/>
  <c r="K164" i="60025" s="1"/>
  <c r="H163" i="60032" l="1"/>
  <c r="L163" i="60032" s="1"/>
  <c r="I164" i="60025"/>
  <c r="L164" i="60025" s="1"/>
  <c r="M164" i="60025"/>
  <c r="I163" i="60032" l="1"/>
  <c r="K163" i="60032" s="1"/>
  <c r="G165" i="60025"/>
  <c r="G164" i="60032" l="1"/>
  <c r="H164" i="60032" s="1"/>
  <c r="L164" i="60032" s="1"/>
  <c r="J165" i="60025"/>
  <c r="K165" i="60025" s="1"/>
  <c r="H165" i="60025"/>
  <c r="J164" i="60032" l="1"/>
  <c r="I164" i="60032"/>
  <c r="K164" i="60032" s="1"/>
  <c r="M165" i="60025"/>
  <c r="I165" i="60025"/>
  <c r="L165" i="60025" s="1"/>
  <c r="G165" i="60032" l="1"/>
  <c r="J165" i="60032" s="1"/>
  <c r="G166" i="60025"/>
  <c r="H165" i="60032" l="1"/>
  <c r="L165" i="60032" s="1"/>
  <c r="H166" i="60025"/>
  <c r="J166" i="60025"/>
  <c r="K166" i="60025" s="1"/>
  <c r="I165" i="60032" l="1"/>
  <c r="K165" i="60032" s="1"/>
  <c r="M166" i="60025"/>
  <c r="I166" i="60025"/>
  <c r="L166" i="60025" s="1"/>
  <c r="G166" i="60032" l="1"/>
  <c r="J166" i="60032" s="1"/>
  <c r="G167" i="60025"/>
  <c r="H167" i="60025" s="1"/>
  <c r="H166" i="60032" l="1"/>
  <c r="L166" i="60032" s="1"/>
  <c r="J167" i="60025"/>
  <c r="K167" i="60025" s="1"/>
  <c r="I167" i="60025"/>
  <c r="L167" i="60025" s="1"/>
  <c r="M167" i="60025"/>
  <c r="I166" i="60032" l="1"/>
  <c r="K166" i="60032" s="1"/>
  <c r="G168" i="60025"/>
  <c r="J168" i="60025" s="1"/>
  <c r="K168" i="60025" s="1"/>
  <c r="G167" i="60032" l="1"/>
  <c r="J167" i="60032" s="1"/>
  <c r="H168" i="60025"/>
  <c r="I168" i="60025" s="1"/>
  <c r="L168" i="60025" s="1"/>
  <c r="H167" i="60032" l="1"/>
  <c r="L167" i="60032" s="1"/>
  <c r="M168" i="60025"/>
  <c r="G169" i="60025"/>
  <c r="I167" i="60032" l="1"/>
  <c r="K167" i="60032" s="1"/>
  <c r="J169" i="60025"/>
  <c r="K169" i="60025" s="1"/>
  <c r="H169" i="60025"/>
  <c r="G168" i="60032" l="1"/>
  <c r="J168" i="60032" s="1"/>
  <c r="I169" i="60025"/>
  <c r="L169" i="60025" s="1"/>
  <c r="M169" i="60025"/>
  <c r="H168" i="60032" l="1"/>
  <c r="L168" i="60032" s="1"/>
  <c r="G170" i="60025"/>
  <c r="I168" i="60032" l="1"/>
  <c r="K168" i="60032" s="1"/>
  <c r="H170" i="60025"/>
  <c r="J170" i="60025"/>
  <c r="K170" i="60025" s="1"/>
  <c r="G169" i="60032" l="1"/>
  <c r="J169" i="60032" s="1"/>
  <c r="M170" i="60025"/>
  <c r="I170" i="60025"/>
  <c r="L170" i="60025" s="1"/>
  <c r="H169" i="60032" l="1"/>
  <c r="L169" i="60032" s="1"/>
  <c r="G171" i="60025"/>
  <c r="I169" i="60032" l="1"/>
  <c r="K169" i="60032" s="1"/>
  <c r="H171" i="60025"/>
  <c r="J171" i="60025"/>
  <c r="K171" i="60025" s="1"/>
  <c r="G170" i="60032" l="1"/>
  <c r="J170" i="60032" s="1"/>
  <c r="I171" i="60025"/>
  <c r="L171" i="60025" s="1"/>
  <c r="M171" i="60025"/>
  <c r="H170" i="60032" l="1"/>
  <c r="L170" i="60032" s="1"/>
  <c r="G172" i="60025"/>
  <c r="I170" i="60032" l="1"/>
  <c r="K170" i="60032" s="1"/>
  <c r="H172" i="60025"/>
  <c r="J172" i="60025"/>
  <c r="K172" i="60025" s="1"/>
  <c r="G171" i="60032" l="1"/>
  <c r="J171" i="60032" s="1"/>
  <c r="I172" i="60025"/>
  <c r="L172" i="60025" s="1"/>
  <c r="M172" i="60025"/>
  <c r="H171" i="60032" l="1"/>
  <c r="L171" i="60032" s="1"/>
  <c r="G173" i="60025"/>
  <c r="I171" i="60032" l="1"/>
  <c r="K171" i="60032" s="1"/>
  <c r="J173" i="60025"/>
  <c r="K173" i="60025" s="1"/>
  <c r="H173" i="60025"/>
  <c r="G172" i="60032" l="1"/>
  <c r="J172" i="60032" s="1"/>
  <c r="M173" i="60025"/>
  <c r="I173" i="60025"/>
  <c r="L173" i="60025" s="1"/>
  <c r="H172" i="60032" l="1"/>
  <c r="L172" i="60032" s="1"/>
  <c r="G174" i="60025"/>
  <c r="H174" i="60025" s="1"/>
  <c r="I172" i="60032" l="1"/>
  <c r="K172" i="60032" s="1"/>
  <c r="J174" i="60025"/>
  <c r="K174" i="60025" s="1"/>
  <c r="I174" i="60025"/>
  <c r="L174" i="60025" s="1"/>
  <c r="M174" i="60025"/>
  <c r="G173" i="60032" l="1"/>
  <c r="J173" i="60032" s="1"/>
  <c r="G175" i="60025"/>
  <c r="J175" i="60025" s="1"/>
  <c r="K175" i="60025" s="1"/>
  <c r="H173" i="60032" l="1"/>
  <c r="L173" i="60032" s="1"/>
  <c r="H175" i="60025"/>
  <c r="I175" i="60025" s="1"/>
  <c r="L175" i="60025" s="1"/>
  <c r="I173" i="60032" l="1"/>
  <c r="K173" i="60032" s="1"/>
  <c r="M175" i="60025"/>
  <c r="G176" i="60025"/>
  <c r="G174" i="60032" l="1"/>
  <c r="J174" i="60032" s="1"/>
  <c r="J176" i="60025"/>
  <c r="K176" i="60025" s="1"/>
  <c r="H176" i="60025"/>
  <c r="H174" i="60032" l="1"/>
  <c r="L174" i="60032" s="1"/>
  <c r="I176" i="60025"/>
  <c r="L176" i="60025" s="1"/>
  <c r="M176" i="60025"/>
  <c r="I174" i="60032" l="1"/>
  <c r="K174" i="60032" s="1"/>
  <c r="G177" i="60025"/>
  <c r="G175" i="60032" l="1"/>
  <c r="J175" i="60032" s="1"/>
  <c r="J177" i="60025"/>
  <c r="K177" i="60025" s="1"/>
  <c r="H177" i="60025"/>
  <c r="H175" i="60032" l="1"/>
  <c r="L175" i="60032" s="1"/>
  <c r="I177" i="60025"/>
  <c r="L177" i="60025" s="1"/>
  <c r="M177" i="60025"/>
  <c r="I175" i="60032" l="1"/>
  <c r="K175" i="60032" s="1"/>
  <c r="G178" i="60025"/>
  <c r="G176" i="60032" l="1"/>
  <c r="J176" i="60032" s="1"/>
  <c r="H178" i="60025"/>
  <c r="J178" i="60025"/>
  <c r="K178" i="60025" s="1"/>
  <c r="H176" i="60032" l="1"/>
  <c r="L176" i="60032" s="1"/>
  <c r="I178" i="60025"/>
  <c r="L178" i="60025" s="1"/>
  <c r="M178" i="60025"/>
  <c r="I176" i="60032" l="1"/>
  <c r="K176" i="60032" s="1"/>
  <c r="G179" i="60025"/>
  <c r="G177" i="60032" l="1"/>
  <c r="J177" i="60032" s="1"/>
  <c r="J179" i="60025"/>
  <c r="K179" i="60025" s="1"/>
  <c r="H179" i="60025"/>
  <c r="H177" i="60032" l="1"/>
  <c r="L177" i="60032" s="1"/>
  <c r="I179" i="60025"/>
  <c r="L179" i="60025" s="1"/>
  <c r="M179" i="60025"/>
  <c r="I177" i="60032" l="1"/>
  <c r="K177" i="60032" s="1"/>
  <c r="G180" i="60025"/>
  <c r="G178" i="60032" l="1"/>
  <c r="J178" i="60032" s="1"/>
  <c r="H180" i="60025"/>
  <c r="J180" i="60025"/>
  <c r="K180" i="60025" s="1"/>
  <c r="H178" i="60032" l="1"/>
  <c r="L178" i="60032" s="1"/>
  <c r="I180" i="60025"/>
  <c r="L180" i="60025" s="1"/>
  <c r="M180" i="60025"/>
  <c r="I178" i="60032" l="1"/>
  <c r="K178" i="60032" s="1"/>
  <c r="G181" i="60025"/>
  <c r="G179" i="60032" l="1"/>
  <c r="J179" i="60032" s="1"/>
  <c r="J181" i="60025"/>
  <c r="K181" i="60025" s="1"/>
  <c r="H181" i="60025"/>
  <c r="H179" i="60032" l="1"/>
  <c r="L179" i="60032" s="1"/>
  <c r="I181" i="60025"/>
  <c r="L181" i="60025" s="1"/>
  <c r="M181" i="60025"/>
  <c r="I179" i="60032" l="1"/>
  <c r="K179" i="60032" s="1"/>
  <c r="G182" i="60025"/>
  <c r="G180" i="60032" l="1"/>
  <c r="J180" i="60032" s="1"/>
  <c r="H182" i="60025"/>
  <c r="J182" i="60025"/>
  <c r="K182" i="60025" s="1"/>
  <c r="H180" i="60032" l="1"/>
  <c r="L180" i="60032" s="1"/>
  <c r="I182" i="60025"/>
  <c r="L182" i="60025" s="1"/>
  <c r="M182" i="60025"/>
  <c r="I180" i="60032" l="1"/>
  <c r="K180" i="60032" s="1"/>
  <c r="G183" i="60025"/>
  <c r="G181" i="60032" l="1"/>
  <c r="H181" i="60032" s="1"/>
  <c r="L181" i="60032" s="1"/>
  <c r="H183" i="60025"/>
  <c r="J183" i="60025"/>
  <c r="K183" i="60025" s="1"/>
  <c r="I181" i="60032" l="1"/>
  <c r="K181" i="60032" s="1"/>
  <c r="J181" i="60032"/>
  <c r="I183" i="60025"/>
  <c r="L183" i="60025" s="1"/>
  <c r="M183" i="60025"/>
  <c r="G182" i="60032" l="1"/>
  <c r="J182" i="60032" s="1"/>
  <c r="G184" i="60025"/>
  <c r="H182" i="60032" l="1"/>
  <c r="L182" i="60032" s="1"/>
  <c r="H184" i="60025"/>
  <c r="J184" i="60025"/>
  <c r="K184" i="60025" s="1"/>
  <c r="I182" i="60032" l="1"/>
  <c r="K182" i="60032" s="1"/>
  <c r="I184" i="60025"/>
  <c r="L184" i="60025" s="1"/>
  <c r="M184" i="60025"/>
  <c r="G183" i="60032" l="1"/>
  <c r="J183" i="60032" s="1"/>
  <c r="G185" i="60025"/>
  <c r="H183" i="60032" l="1"/>
  <c r="L183" i="60032" s="1"/>
  <c r="H185" i="60025"/>
  <c r="J185" i="60025"/>
  <c r="K185" i="60025" s="1"/>
  <c r="I183" i="60032" l="1"/>
  <c r="G184" i="60032" s="1"/>
  <c r="J184" i="60032" s="1"/>
  <c r="I185" i="60025"/>
  <c r="L185" i="60025" s="1"/>
  <c r="M185" i="60025"/>
  <c r="K183" i="60032" l="1"/>
  <c r="H184" i="60032"/>
  <c r="L184" i="60032" s="1"/>
  <c r="G186" i="60025"/>
  <c r="I184" i="60032" l="1"/>
  <c r="K184" i="60032" s="1"/>
  <c r="J186" i="60025"/>
  <c r="K186" i="60025" s="1"/>
  <c r="H186" i="60025"/>
  <c r="G185" i="60032" l="1"/>
  <c r="J185" i="60032" s="1"/>
  <c r="I186" i="60025"/>
  <c r="L186" i="60025" s="1"/>
  <c r="M186" i="60025"/>
  <c r="H185" i="60032" l="1"/>
  <c r="L185" i="60032" s="1"/>
  <c r="G187" i="60025"/>
  <c r="I185" i="60032" l="1"/>
  <c r="K185" i="60032" s="1"/>
  <c r="H187" i="60025"/>
  <c r="J187" i="60025"/>
  <c r="K187" i="60025" s="1"/>
  <c r="G186" i="60032" l="1"/>
  <c r="J186" i="60032" s="1"/>
  <c r="I187" i="60025"/>
  <c r="L187" i="60025" s="1"/>
  <c r="M187" i="60025"/>
  <c r="H186" i="60032" l="1"/>
  <c r="L186" i="60032" s="1"/>
  <c r="G188" i="60025"/>
  <c r="I186" i="60032" l="1"/>
  <c r="K186" i="60032" s="1"/>
  <c r="H188" i="60025"/>
  <c r="J188" i="60025"/>
  <c r="K188" i="60025" s="1"/>
  <c r="G187" i="60032" l="1"/>
  <c r="J187" i="60032" s="1"/>
  <c r="M188" i="60025"/>
  <c r="I188" i="60025"/>
  <c r="L188" i="60025" s="1"/>
  <c r="H187" i="60032" l="1"/>
  <c r="L187" i="60032" s="1"/>
  <c r="G189" i="60025"/>
  <c r="H189" i="60025" s="1"/>
  <c r="I187" i="60032" l="1"/>
  <c r="K187" i="60032" s="1"/>
  <c r="J189" i="60025"/>
  <c r="K189" i="60025" s="1"/>
  <c r="I189" i="60025"/>
  <c r="L189" i="60025" s="1"/>
  <c r="M189" i="60025"/>
  <c r="G188" i="60032" l="1"/>
  <c r="J188" i="60032" s="1"/>
  <c r="G190" i="60025"/>
  <c r="H188" i="60032" l="1"/>
  <c r="H190" i="60025"/>
  <c r="J190" i="60025"/>
  <c r="K190" i="60025" s="1"/>
  <c r="L188" i="60032" l="1"/>
  <c r="I188" i="60032"/>
  <c r="K188" i="60032" s="1"/>
  <c r="I190" i="60025"/>
  <c r="L190" i="60025" s="1"/>
  <c r="M190" i="60025"/>
  <c r="G189" i="60032" l="1"/>
  <c r="G191" i="60025"/>
  <c r="J189" i="60032" l="1"/>
  <c r="H189" i="60032"/>
  <c r="J191" i="60025"/>
  <c r="K191" i="60025" s="1"/>
  <c r="H191" i="60025"/>
  <c r="L189" i="60032" l="1"/>
  <c r="I189" i="60032"/>
  <c r="M191" i="60025"/>
  <c r="I191" i="60025"/>
  <c r="L191" i="60025" s="1"/>
  <c r="K189" i="60032" l="1"/>
  <c r="G190" i="60032"/>
  <c r="G192" i="60025"/>
  <c r="J192" i="60025" s="1"/>
  <c r="K192" i="60025" s="1"/>
  <c r="J190" i="60032" l="1"/>
  <c r="H190" i="60032"/>
  <c r="H192" i="60025"/>
  <c r="M192" i="60025" s="1"/>
  <c r="L190" i="60032" l="1"/>
  <c r="I190" i="60032"/>
  <c r="K190" i="60032" s="1"/>
  <c r="I192" i="60025"/>
  <c r="L192" i="60025" s="1"/>
  <c r="G191" i="60032" l="1"/>
  <c r="H191" i="60032" s="1"/>
  <c r="L191" i="60032" s="1"/>
  <c r="G193" i="60025"/>
  <c r="J191" i="60032" l="1"/>
  <c r="I191" i="60032"/>
  <c r="K191" i="60032" s="1"/>
  <c r="H193" i="60025"/>
  <c r="J193" i="60025"/>
  <c r="K193" i="60025" s="1"/>
  <c r="G192" i="60032" l="1"/>
  <c r="H192" i="60032" s="1"/>
  <c r="L192" i="60032" s="1"/>
  <c r="M193" i="60025"/>
  <c r="I193" i="60025"/>
  <c r="L193" i="60025" s="1"/>
  <c r="J192" i="60032" l="1"/>
  <c r="I192" i="60032"/>
  <c r="K192" i="60032" s="1"/>
  <c r="G194" i="60025"/>
  <c r="H194" i="60025" s="1"/>
  <c r="G193" i="60032" l="1"/>
  <c r="H193" i="60032" s="1"/>
  <c r="L193" i="60032" s="1"/>
  <c r="J194" i="60025"/>
  <c r="K194" i="60025" s="1"/>
  <c r="M194" i="60025"/>
  <c r="I194" i="60025"/>
  <c r="L194" i="60025" s="1"/>
  <c r="I193" i="60032" l="1"/>
  <c r="K193" i="60032" s="1"/>
  <c r="J193" i="60032"/>
  <c r="G195" i="60025"/>
  <c r="G194" i="60032" l="1"/>
  <c r="J194" i="60032" s="1"/>
  <c r="H195" i="60025"/>
  <c r="J195" i="60025"/>
  <c r="K195" i="60025" s="1"/>
  <c r="H194" i="60032" l="1"/>
  <c r="L194" i="60032" s="1"/>
  <c r="M195" i="60025"/>
  <c r="I195" i="60025"/>
  <c r="L195" i="60025" s="1"/>
  <c r="I194" i="60032" l="1"/>
  <c r="K194" i="60032" s="1"/>
  <c r="G196" i="60025"/>
  <c r="G195" i="60032" l="1"/>
  <c r="J195" i="60032" s="1"/>
  <c r="J196" i="60025"/>
  <c r="K196" i="60025" s="1"/>
  <c r="H196" i="60025"/>
  <c r="H195" i="60032" l="1"/>
  <c r="L195" i="60032" s="1"/>
  <c r="M196" i="60025"/>
  <c r="I196" i="60025"/>
  <c r="I195" i="60032" l="1"/>
  <c r="K195" i="60032" s="1"/>
  <c r="L196" i="60025"/>
  <c r="G197" i="60025"/>
  <c r="G196" i="60032" l="1"/>
  <c r="J196" i="60032" s="1"/>
  <c r="J197" i="60025"/>
  <c r="K197" i="60025" s="1"/>
  <c r="H197" i="60025"/>
  <c r="H196" i="60032" l="1"/>
  <c r="L196" i="60032" s="1"/>
  <c r="I197" i="60025"/>
  <c r="M197" i="60025"/>
  <c r="I196" i="60032" l="1"/>
  <c r="K196" i="60032" s="1"/>
  <c r="L197" i="60025"/>
  <c r="G198" i="60025"/>
  <c r="G197" i="60032" l="1"/>
  <c r="J197" i="60032" s="1"/>
  <c r="J198" i="60025"/>
  <c r="K198" i="60025" s="1"/>
  <c r="H198" i="60025"/>
  <c r="H197" i="60032" l="1"/>
  <c r="L197" i="60032" s="1"/>
  <c r="M198" i="60025"/>
  <c r="I198" i="60025"/>
  <c r="I197" i="60032" l="1"/>
  <c r="K197" i="60032" s="1"/>
  <c r="L198" i="60025"/>
  <c r="G199" i="60025"/>
  <c r="G198" i="60032" l="1"/>
  <c r="J198" i="60032" s="1"/>
  <c r="H199" i="60025"/>
  <c r="J199" i="60025"/>
  <c r="K199" i="60025" s="1"/>
  <c r="H198" i="60032" l="1"/>
  <c r="L198" i="60032" s="1"/>
  <c r="M199" i="60025"/>
  <c r="I199" i="60025"/>
  <c r="L199" i="60025" s="1"/>
  <c r="I198" i="60032" l="1"/>
  <c r="K198" i="60032" s="1"/>
  <c r="G200" i="60025"/>
  <c r="H200" i="60025" s="1"/>
  <c r="G199" i="60032" l="1"/>
  <c r="J199" i="60032" s="1"/>
  <c r="J200" i="60025"/>
  <c r="K200" i="60025" s="1"/>
  <c r="I200" i="60025"/>
  <c r="L200" i="60025" s="1"/>
  <c r="M200" i="60025"/>
  <c r="H199" i="60032" l="1"/>
  <c r="L199" i="60032" s="1"/>
  <c r="G201" i="60025"/>
  <c r="I199" i="60032" l="1"/>
  <c r="K199" i="60032" s="1"/>
  <c r="J201" i="60025"/>
  <c r="K201" i="60025" s="1"/>
  <c r="H201" i="60025"/>
  <c r="G200" i="60032" l="1"/>
  <c r="J200" i="60032" s="1"/>
  <c r="I201" i="60025"/>
  <c r="L201" i="60025" s="1"/>
  <c r="M201" i="60025"/>
  <c r="H200" i="60032" l="1"/>
  <c r="L200" i="60032" s="1"/>
  <c r="G202" i="60025"/>
  <c r="I200" i="60032" l="1"/>
  <c r="K200" i="60032" s="1"/>
  <c r="H202" i="60025"/>
  <c r="J202" i="60025"/>
  <c r="K202" i="60025" s="1"/>
  <c r="G201" i="60032" l="1"/>
  <c r="J201" i="60032" s="1"/>
  <c r="I202" i="60025"/>
  <c r="L202" i="60025" s="1"/>
  <c r="M202" i="60025"/>
  <c r="H201" i="60032" l="1"/>
  <c r="L201" i="60032" s="1"/>
  <c r="G203" i="60025"/>
  <c r="I201" i="60032" l="1"/>
  <c r="K201" i="60032" s="1"/>
  <c r="J203" i="60025"/>
  <c r="K203" i="60025" s="1"/>
  <c r="H203" i="60025"/>
  <c r="G202" i="60032" l="1"/>
  <c r="J202" i="60032" s="1"/>
  <c r="I203" i="60025"/>
  <c r="L203" i="60025" s="1"/>
  <c r="M203" i="60025"/>
  <c r="H202" i="60032" l="1"/>
  <c r="L202" i="60032" s="1"/>
  <c r="G204" i="60025"/>
  <c r="I202" i="60032" l="1"/>
  <c r="K202" i="60032" s="1"/>
  <c r="J204" i="60025"/>
  <c r="K204" i="60025" s="1"/>
  <c r="H204" i="60025"/>
  <c r="G203" i="60032" l="1"/>
  <c r="H203" i="60032" s="1"/>
  <c r="L203" i="60032" s="1"/>
  <c r="M204" i="60025"/>
  <c r="I204" i="60025"/>
  <c r="L204" i="60025" s="1"/>
  <c r="J203" i="60032" l="1"/>
  <c r="I203" i="60032"/>
  <c r="K203" i="60032" s="1"/>
  <c r="G205" i="60025"/>
  <c r="H205" i="60025" s="1"/>
  <c r="G204" i="60032" l="1"/>
  <c r="J204" i="60032" s="1"/>
  <c r="J205" i="60025"/>
  <c r="K205" i="60025" s="1"/>
  <c r="M205" i="60025"/>
  <c r="I205" i="60025"/>
  <c r="L205" i="60025" s="1"/>
  <c r="H204" i="60032" l="1"/>
  <c r="L204" i="60032" s="1"/>
  <c r="G206" i="60025"/>
  <c r="J206" i="60025" s="1"/>
  <c r="K206" i="60025" s="1"/>
  <c r="I204" i="60032" l="1"/>
  <c r="K204" i="60032" s="1"/>
  <c r="H206" i="60025"/>
  <c r="I206" i="60025" s="1"/>
  <c r="L206" i="60025" s="1"/>
  <c r="G205" i="60032" l="1"/>
  <c r="J205" i="60032" s="1"/>
  <c r="M206" i="60025"/>
  <c r="G207" i="60025"/>
  <c r="J207" i="60025" s="1"/>
  <c r="K207" i="60025" s="1"/>
  <c r="H205" i="60032" l="1"/>
  <c r="L205" i="60032" s="1"/>
  <c r="H207" i="60025"/>
  <c r="I207" i="60025" s="1"/>
  <c r="L207" i="60025" s="1"/>
  <c r="I205" i="60032" l="1"/>
  <c r="K205" i="60032" s="1"/>
  <c r="M207" i="60025"/>
  <c r="G208" i="60025"/>
  <c r="H208" i="60025" s="1"/>
  <c r="G206" i="60032" l="1"/>
  <c r="J206" i="60032" s="1"/>
  <c r="J208" i="60025"/>
  <c r="K208" i="60025" s="1"/>
  <c r="M208" i="60025"/>
  <c r="I208" i="60025"/>
  <c r="H206" i="60032" l="1"/>
  <c r="L206" i="60032" s="1"/>
  <c r="L208" i="60025"/>
  <c r="G209" i="60025"/>
  <c r="I206" i="60032" l="1"/>
  <c r="K206" i="60032" s="1"/>
  <c r="H209" i="60025"/>
  <c r="J209" i="60025"/>
  <c r="K209" i="60025" s="1"/>
  <c r="G207" i="60032" l="1"/>
  <c r="J207" i="60032" s="1"/>
  <c r="M209" i="60025"/>
  <c r="I209" i="60025"/>
  <c r="L209" i="60025" s="1"/>
  <c r="H207" i="60032" l="1"/>
  <c r="L207" i="60032" s="1"/>
  <c r="G210" i="60025"/>
  <c r="J210" i="60025" s="1"/>
  <c r="K210" i="60025" s="1"/>
  <c r="I207" i="60032" l="1"/>
  <c r="K207" i="60032" s="1"/>
  <c r="H210" i="60025"/>
  <c r="I210" i="60025" s="1"/>
  <c r="L210" i="60025" s="1"/>
  <c r="G208" i="60032" l="1"/>
  <c r="J208" i="60032" s="1"/>
  <c r="G211" i="60025"/>
  <c r="J211" i="60025" s="1"/>
  <c r="K211" i="60025" s="1"/>
  <c r="M210" i="60025"/>
  <c r="H208" i="60032" l="1"/>
  <c r="L208" i="60032" s="1"/>
  <c r="H211" i="60025"/>
  <c r="I211" i="60025" s="1"/>
  <c r="L211" i="60025" s="1"/>
  <c r="I208" i="60032" l="1"/>
  <c r="K208" i="60032" s="1"/>
  <c r="M211" i="60025"/>
  <c r="G212" i="60025"/>
  <c r="J212" i="60025" s="1"/>
  <c r="K212" i="60025" s="1"/>
  <c r="G209" i="60032" l="1"/>
  <c r="J209" i="60032" s="1"/>
  <c r="H212" i="60025"/>
  <c r="M212" i="60025" s="1"/>
  <c r="H209" i="60032" l="1"/>
  <c r="L209" i="60032" s="1"/>
  <c r="I212" i="60025"/>
  <c r="G213" i="60025" s="1"/>
  <c r="I209" i="60032" l="1"/>
  <c r="K209" i="60032" s="1"/>
  <c r="L212" i="60025"/>
  <c r="H213" i="60025"/>
  <c r="J213" i="60025"/>
  <c r="K213" i="60025" s="1"/>
  <c r="G210" i="60032" l="1"/>
  <c r="J210" i="60032" s="1"/>
  <c r="I213" i="60025"/>
  <c r="L213" i="60025" s="1"/>
  <c r="M213" i="60025"/>
  <c r="H210" i="60032" l="1"/>
  <c r="L210" i="60032" s="1"/>
  <c r="G214" i="60025"/>
  <c r="I210" i="60032" l="1"/>
  <c r="K210" i="60032" s="1"/>
  <c r="J214" i="60025"/>
  <c r="K214" i="60025" s="1"/>
  <c r="H214" i="60025"/>
  <c r="G211" i="60032" l="1"/>
  <c r="J211" i="60032" s="1"/>
  <c r="I214" i="60025"/>
  <c r="M214" i="60025"/>
  <c r="H211" i="60032" l="1"/>
  <c r="L211" i="60032" s="1"/>
  <c r="L214" i="60025"/>
  <c r="G215" i="60025"/>
  <c r="I211" i="60032" l="1"/>
  <c r="K211" i="60032" s="1"/>
  <c r="H215" i="60025"/>
  <c r="J215" i="60025"/>
  <c r="K215" i="60025" s="1"/>
  <c r="G212" i="60032" l="1"/>
  <c r="J212" i="60032" s="1"/>
  <c r="I215" i="60025"/>
  <c r="L215" i="60025" s="1"/>
  <c r="M215" i="60025"/>
  <c r="H212" i="60032" l="1"/>
  <c r="L212" i="60032" s="1"/>
  <c r="G216" i="60025"/>
  <c r="H216" i="60025" s="1"/>
  <c r="I216" i="60025" s="1"/>
  <c r="L216" i="60025" s="1"/>
  <c r="I212" i="60032" l="1"/>
  <c r="K212" i="60032" s="1"/>
  <c r="M216" i="60025"/>
  <c r="J216" i="60025"/>
  <c r="K216" i="60025" s="1"/>
  <c r="G217" i="60025"/>
  <c r="G213" i="60032" l="1"/>
  <c r="J213" i="60032" s="1"/>
  <c r="J217" i="60025"/>
  <c r="K217" i="60025" s="1"/>
  <c r="H217" i="60025"/>
  <c r="H213" i="60032" l="1"/>
  <c r="L213" i="60032" s="1"/>
  <c r="I217" i="60025"/>
  <c r="L217" i="60025" s="1"/>
  <c r="M217" i="60025"/>
  <c r="I213" i="60032" l="1"/>
  <c r="K213" i="60032" s="1"/>
  <c r="G218" i="60025"/>
  <c r="G214" i="60032" l="1"/>
  <c r="J214" i="60032" s="1"/>
  <c r="H218" i="60025"/>
  <c r="J218" i="60025"/>
  <c r="K218" i="60025" s="1"/>
  <c r="H214" i="60032" l="1"/>
  <c r="L214" i="60032" s="1"/>
  <c r="I218" i="60025"/>
  <c r="L218" i="60025" s="1"/>
  <c r="M218" i="60025"/>
  <c r="I214" i="60032" l="1"/>
  <c r="K214" i="60032" s="1"/>
  <c r="G219" i="60025"/>
  <c r="G215" i="60032" l="1"/>
  <c r="J215" i="60032" s="1"/>
  <c r="J219" i="60025"/>
  <c r="K219" i="60025" s="1"/>
  <c r="H219" i="60025"/>
  <c r="H215" i="60032" l="1"/>
  <c r="L215" i="60032" s="1"/>
  <c r="M219" i="60025"/>
  <c r="I219" i="60025"/>
  <c r="L219" i="60025" s="1"/>
  <c r="I215" i="60032" l="1"/>
  <c r="K215" i="60032" s="1"/>
  <c r="G220" i="60025"/>
  <c r="J220" i="60025" s="1"/>
  <c r="K220" i="60025" s="1"/>
  <c r="G216" i="60032" l="1"/>
  <c r="J216" i="60032" s="1"/>
  <c r="H220" i="60025"/>
  <c r="M220" i="60025" s="1"/>
  <c r="H216" i="60032" l="1"/>
  <c r="L216" i="60032" s="1"/>
  <c r="I220" i="60025"/>
  <c r="L220" i="60025" s="1"/>
  <c r="I216" i="60032" l="1"/>
  <c r="K216" i="60032" s="1"/>
  <c r="G221" i="60025"/>
  <c r="J221" i="60025" s="1"/>
  <c r="K221" i="60025" s="1"/>
  <c r="G217" i="60032" l="1"/>
  <c r="J217" i="60032" s="1"/>
  <c r="H221" i="60025"/>
  <c r="I221" i="60025" s="1"/>
  <c r="L221" i="60025" s="1"/>
  <c r="H217" i="60032" l="1"/>
  <c r="L217" i="60032" s="1"/>
  <c r="M221" i="60025"/>
  <c r="G222" i="60025"/>
  <c r="I217" i="60032" l="1"/>
  <c r="K217" i="60032" s="1"/>
  <c r="H222" i="60025"/>
  <c r="J222" i="60025"/>
  <c r="K222" i="60025" s="1"/>
  <c r="G218" i="60032" l="1"/>
  <c r="J218" i="60032" s="1"/>
  <c r="M222" i="60025"/>
  <c r="I222" i="60025"/>
  <c r="L222" i="60025" s="1"/>
  <c r="H218" i="60032" l="1"/>
  <c r="L218" i="60032" s="1"/>
  <c r="G223" i="60025"/>
  <c r="H223" i="60025" s="1"/>
  <c r="I218" i="60032" l="1"/>
  <c r="K218" i="60032" s="1"/>
  <c r="J223" i="60025"/>
  <c r="K223" i="60025" s="1"/>
  <c r="I223" i="60025"/>
  <c r="L223" i="60025" s="1"/>
  <c r="M223" i="60025"/>
  <c r="G219" i="60032" l="1"/>
  <c r="J219" i="60032" s="1"/>
  <c r="G224" i="60025"/>
  <c r="H219" i="60032" l="1"/>
  <c r="L219" i="60032" s="1"/>
  <c r="H224" i="60025"/>
  <c r="J224" i="60025"/>
  <c r="K224" i="60025" s="1"/>
  <c r="I219" i="60032" l="1"/>
  <c r="K219" i="60032" s="1"/>
  <c r="I224" i="60025"/>
  <c r="L224" i="60025" s="1"/>
  <c r="M224" i="60025"/>
  <c r="G220" i="60032" l="1"/>
  <c r="J220" i="60032" s="1"/>
  <c r="G225" i="60025"/>
  <c r="H220" i="60032" l="1"/>
  <c r="L220" i="60032" s="1"/>
  <c r="J225" i="60025"/>
  <c r="K225" i="60025" s="1"/>
  <c r="H225" i="60025"/>
  <c r="I220" i="60032" l="1"/>
  <c r="K220" i="60032" s="1"/>
  <c r="M225" i="60025"/>
  <c r="I225" i="60025"/>
  <c r="L225" i="60025" s="1"/>
  <c r="G221" i="60032" l="1"/>
  <c r="J221" i="60032" s="1"/>
  <c r="G226" i="60025"/>
  <c r="J226" i="60025" s="1"/>
  <c r="K226" i="60025" s="1"/>
  <c r="H221" i="60032" l="1"/>
  <c r="L221" i="60032" s="1"/>
  <c r="H226" i="60025"/>
  <c r="I226" i="60025" s="1"/>
  <c r="L226" i="60025" s="1"/>
  <c r="I221" i="60032" l="1"/>
  <c r="K221" i="60032" s="1"/>
  <c r="M226" i="60025"/>
  <c r="G227" i="60025"/>
  <c r="G222" i="60032" l="1"/>
  <c r="J222" i="60032" s="1"/>
  <c r="J227" i="60025"/>
  <c r="K227" i="60025" s="1"/>
  <c r="H227" i="60025"/>
  <c r="H222" i="60032" l="1"/>
  <c r="L222" i="60032" s="1"/>
  <c r="I227" i="60025"/>
  <c r="L227" i="60025" s="1"/>
  <c r="M227" i="60025"/>
  <c r="I222" i="60032" l="1"/>
  <c r="K222" i="60032" s="1"/>
  <c r="G228" i="60025"/>
  <c r="G223" i="60032" l="1"/>
  <c r="J223" i="60032" s="1"/>
  <c r="H228" i="60025"/>
  <c r="J228" i="60025"/>
  <c r="K228" i="60025" s="1"/>
  <c r="H223" i="60032" l="1"/>
  <c r="L223" i="60032" s="1"/>
  <c r="M228" i="60025"/>
  <c r="I228" i="60025"/>
  <c r="L228" i="60025" s="1"/>
  <c r="I223" i="60032" l="1"/>
  <c r="K223" i="60032" s="1"/>
  <c r="G229" i="60025"/>
  <c r="H229" i="60025" s="1"/>
  <c r="G224" i="60032" l="1"/>
  <c r="J224" i="60032" s="1"/>
  <c r="J229" i="60025"/>
  <c r="K229" i="60025" s="1"/>
  <c r="I229" i="60025"/>
  <c r="L229" i="60025" s="1"/>
  <c r="M229" i="60025"/>
  <c r="H224" i="60032" l="1"/>
  <c r="L224" i="60032" s="1"/>
  <c r="G230" i="60025"/>
  <c r="I224" i="60032" l="1"/>
  <c r="K224" i="60032" s="1"/>
  <c r="J230" i="60025"/>
  <c r="K230" i="60025" s="1"/>
  <c r="H230" i="60025"/>
  <c r="G225" i="60032" l="1"/>
  <c r="J225" i="60032" s="1"/>
  <c r="M230" i="60025"/>
  <c r="I230" i="60025"/>
  <c r="L230" i="60025" s="1"/>
  <c r="H225" i="60032" l="1"/>
  <c r="L225" i="60032" s="1"/>
  <c r="G231" i="60025"/>
  <c r="J231" i="60025" s="1"/>
  <c r="K231" i="60025" s="1"/>
  <c r="I225" i="60032" l="1"/>
  <c r="K225" i="60032" s="1"/>
  <c r="H231" i="60025"/>
  <c r="I231" i="60025" s="1"/>
  <c r="L231" i="60025" s="1"/>
  <c r="G226" i="60032" l="1"/>
  <c r="J226" i="60032" s="1"/>
  <c r="M231" i="60025"/>
  <c r="G232" i="60025"/>
  <c r="H226" i="60032" l="1"/>
  <c r="L226" i="60032" s="1"/>
  <c r="J232" i="60025"/>
  <c r="K232" i="60025" s="1"/>
  <c r="H232" i="60025"/>
  <c r="I226" i="60032" l="1"/>
  <c r="K226" i="60032" s="1"/>
  <c r="M232" i="60025"/>
  <c r="I232" i="60025"/>
  <c r="L232" i="60025" s="1"/>
  <c r="G227" i="60032" l="1"/>
  <c r="J227" i="60032" s="1"/>
  <c r="G233" i="60025"/>
  <c r="J233" i="60025" s="1"/>
  <c r="K233" i="60025" s="1"/>
  <c r="H227" i="60032" l="1"/>
  <c r="L227" i="60032" s="1"/>
  <c r="H233" i="60025"/>
  <c r="M233" i="60025" s="1"/>
  <c r="I227" i="60032" l="1"/>
  <c r="K227" i="60032" s="1"/>
  <c r="I233" i="60025"/>
  <c r="L233" i="60025" s="1"/>
  <c r="G228" i="60032" l="1"/>
  <c r="J228" i="60032" s="1"/>
  <c r="G234" i="60025"/>
  <c r="J234" i="60025" s="1"/>
  <c r="K234" i="60025" s="1"/>
  <c r="H228" i="60032" l="1"/>
  <c r="L228" i="60032" s="1"/>
  <c r="H234" i="60025"/>
  <c r="M234" i="60025" s="1"/>
  <c r="I228" i="60032" l="1"/>
  <c r="K228" i="60032" s="1"/>
  <c r="I234" i="60025"/>
  <c r="L234" i="60025" s="1"/>
  <c r="G229" i="60032" l="1"/>
  <c r="J229" i="60032" s="1"/>
  <c r="G235" i="60025"/>
  <c r="J235" i="60025" s="1"/>
  <c r="K235" i="60025" s="1"/>
  <c r="H229" i="60032" l="1"/>
  <c r="L229" i="60032" s="1"/>
  <c r="H235" i="60025"/>
  <c r="M235" i="60025" s="1"/>
  <c r="I229" i="60032" l="1"/>
  <c r="K229" i="60032" s="1"/>
  <c r="I235" i="60025"/>
  <c r="L235" i="60025" s="1"/>
  <c r="G230" i="60032" l="1"/>
  <c r="J230" i="60032" s="1"/>
  <c r="G236" i="60025"/>
  <c r="H230" i="60032" l="1"/>
  <c r="L230" i="60032" s="1"/>
  <c r="J236" i="60025"/>
  <c r="K236" i="60025" s="1"/>
  <c r="H236" i="60025"/>
  <c r="I230" i="60032" l="1"/>
  <c r="K230" i="60032" s="1"/>
  <c r="M236" i="60025"/>
  <c r="I236" i="60025"/>
  <c r="G231" i="60032" l="1"/>
  <c r="J231" i="60032" s="1"/>
  <c r="L236" i="60025"/>
  <c r="G237" i="60025"/>
  <c r="H231" i="60032" l="1"/>
  <c r="L231" i="60032" s="1"/>
  <c r="H237" i="60025"/>
  <c r="J237" i="60025"/>
  <c r="K237" i="60025" s="1"/>
  <c r="I231" i="60032" l="1"/>
  <c r="K231" i="60032" s="1"/>
  <c r="M237" i="60025"/>
  <c r="I237" i="60025"/>
  <c r="L237" i="60025" s="1"/>
  <c r="G232" i="60032" l="1"/>
  <c r="J232" i="60032" s="1"/>
  <c r="G238" i="60025"/>
  <c r="H238" i="60025" s="1"/>
  <c r="M238" i="60025" s="1"/>
  <c r="H232" i="60032" l="1"/>
  <c r="L232" i="60032" s="1"/>
  <c r="I238" i="60025"/>
  <c r="L238" i="60025" s="1"/>
  <c r="J238" i="60025"/>
  <c r="K238" i="60025" s="1"/>
  <c r="I232" i="60032" l="1"/>
  <c r="K232" i="60032" s="1"/>
  <c r="G239" i="60025"/>
  <c r="H239" i="60025" s="1"/>
  <c r="I239" i="60025" s="1"/>
  <c r="L239" i="60025" s="1"/>
  <c r="G233" i="60032" l="1"/>
  <c r="J233" i="60032" s="1"/>
  <c r="M239" i="60025"/>
  <c r="J239" i="60025"/>
  <c r="K239" i="60025" s="1"/>
  <c r="G240" i="60025"/>
  <c r="H233" i="60032" l="1"/>
  <c r="L233" i="60032" s="1"/>
  <c r="H240" i="60025"/>
  <c r="J240" i="60025"/>
  <c r="K240" i="60025" s="1"/>
  <c r="I233" i="60032" l="1"/>
  <c r="K233" i="60032" s="1"/>
  <c r="M240" i="60025"/>
  <c r="I240" i="60025"/>
  <c r="L240" i="60025" s="1"/>
  <c r="G234" i="60032" l="1"/>
  <c r="J234" i="60032" s="1"/>
  <c r="G241" i="60025"/>
  <c r="H234" i="60032" l="1"/>
  <c r="L234" i="60032" s="1"/>
  <c r="H241" i="60025"/>
  <c r="J241" i="60025"/>
  <c r="K241" i="60025" s="1"/>
  <c r="I234" i="60032" l="1"/>
  <c r="K234" i="60032" s="1"/>
  <c r="M241" i="60025"/>
  <c r="I241" i="60025"/>
  <c r="L241" i="60025" s="1"/>
  <c r="G235" i="60032" l="1"/>
  <c r="J235" i="60032" s="1"/>
  <c r="G242" i="60025"/>
  <c r="H235" i="60032" l="1"/>
  <c r="L235" i="60032" s="1"/>
  <c r="J242" i="60025"/>
  <c r="K242" i="60025" s="1"/>
  <c r="H242" i="60025"/>
  <c r="I235" i="60032" l="1"/>
  <c r="K235" i="60032" s="1"/>
  <c r="I242" i="60025"/>
  <c r="L242" i="60025" s="1"/>
  <c r="M242" i="60025"/>
  <c r="G236" i="60032" l="1"/>
  <c r="J236" i="60032" s="1"/>
  <c r="G243" i="60025"/>
  <c r="H243" i="60025" s="1"/>
  <c r="H236" i="60032" l="1"/>
  <c r="L236" i="60032" s="1"/>
  <c r="J243" i="60025"/>
  <c r="K243" i="60025" s="1"/>
  <c r="I243" i="60025"/>
  <c r="M243" i="60025"/>
  <c r="I236" i="60032" l="1"/>
  <c r="K236" i="60032" s="1"/>
  <c r="L243" i="60025"/>
  <c r="G244" i="60025"/>
  <c r="G237" i="60032" l="1"/>
  <c r="J237" i="60032" s="1"/>
  <c r="J244" i="60025"/>
  <c r="K244" i="60025" s="1"/>
  <c r="H244" i="60025"/>
  <c r="H237" i="60032" l="1"/>
  <c r="L237" i="60032" s="1"/>
  <c r="M244" i="60025"/>
  <c r="I244" i="60025"/>
  <c r="I237" i="60032" l="1"/>
  <c r="K237" i="60032" s="1"/>
  <c r="L244" i="60025"/>
  <c r="G245" i="60025"/>
  <c r="G238" i="60032" l="1"/>
  <c r="J238" i="60032" s="1"/>
  <c r="J245" i="60025"/>
  <c r="K245" i="60025" s="1"/>
  <c r="H245" i="60025"/>
  <c r="H238" i="60032" l="1"/>
  <c r="L238" i="60032" s="1"/>
  <c r="M245" i="60025"/>
  <c r="I245" i="60025"/>
  <c r="I238" i="60032" l="1"/>
  <c r="K238" i="60032" s="1"/>
  <c r="L245" i="60025"/>
  <c r="G246" i="60025"/>
  <c r="G239" i="60032" l="1"/>
  <c r="J239" i="60032" s="1"/>
  <c r="J246" i="60025"/>
  <c r="K246" i="60025" s="1"/>
  <c r="H246" i="60025"/>
  <c r="H239" i="60032" l="1"/>
  <c r="L239" i="60032" s="1"/>
  <c r="I246" i="60025"/>
  <c r="M246" i="60025"/>
  <c r="I239" i="60032" l="1"/>
  <c r="K239" i="60032" s="1"/>
  <c r="L246" i="60025"/>
  <c r="G247" i="60025"/>
  <c r="G240" i="60032" l="1"/>
  <c r="J240" i="60032" s="1"/>
  <c r="H247" i="60025"/>
  <c r="J247" i="60025"/>
  <c r="K247" i="60025" s="1"/>
  <c r="H240" i="60032" l="1"/>
  <c r="L240" i="60032" s="1"/>
  <c r="M247" i="60025"/>
  <c r="I247" i="60025"/>
  <c r="I240" i="60032" l="1"/>
  <c r="K240" i="60032" s="1"/>
  <c r="L247" i="60025"/>
  <c r="G248" i="60025"/>
  <c r="G241" i="60032" l="1"/>
  <c r="J241" i="60032" s="1"/>
  <c r="J248" i="60025"/>
  <c r="K248" i="60025" s="1"/>
  <c r="H248" i="60025"/>
  <c r="H241" i="60032" l="1"/>
  <c r="L241" i="60032" s="1"/>
  <c r="I248" i="60025"/>
  <c r="M248" i="60025"/>
  <c r="I241" i="60032" l="1"/>
  <c r="K241" i="60032" s="1"/>
  <c r="L248" i="60025"/>
  <c r="G249" i="60025"/>
  <c r="G242" i="60032" l="1"/>
  <c r="J242" i="60032" s="1"/>
  <c r="J249" i="60025"/>
  <c r="K249" i="60025" s="1"/>
  <c r="H249" i="60025"/>
  <c r="H242" i="60032" l="1"/>
  <c r="L242" i="60032" s="1"/>
  <c r="I249" i="60025"/>
  <c r="L249" i="60025" s="1"/>
  <c r="M249" i="60025"/>
  <c r="I242" i="60032" l="1"/>
  <c r="K242" i="60032" s="1"/>
  <c r="G250" i="60025"/>
  <c r="G243" i="60032" l="1"/>
  <c r="J243" i="60032" s="1"/>
  <c r="J250" i="60025"/>
  <c r="K250" i="60025" s="1"/>
  <c r="H250" i="60025"/>
  <c r="H243" i="60032" l="1"/>
  <c r="L243" i="60032" s="1"/>
  <c r="I250" i="60025"/>
  <c r="L250" i="60025" s="1"/>
  <c r="M250" i="60025"/>
  <c r="I243" i="60032" l="1"/>
  <c r="K243" i="60032" s="1"/>
  <c r="G251" i="60025"/>
  <c r="H251" i="60025" s="1"/>
  <c r="G244" i="60032" l="1"/>
  <c r="J244" i="60032" s="1"/>
  <c r="J251" i="60025"/>
  <c r="K251" i="60025" s="1"/>
  <c r="I251" i="60025"/>
  <c r="M251" i="60025"/>
  <c r="H244" i="60032" l="1"/>
  <c r="L244" i="60032" s="1"/>
  <c r="L251" i="60025"/>
  <c r="G252" i="60025"/>
  <c r="I244" i="60032" l="1"/>
  <c r="K244" i="60032" s="1"/>
  <c r="J252" i="60025"/>
  <c r="K252" i="60025" s="1"/>
  <c r="H252" i="60025"/>
  <c r="G245" i="60032" l="1"/>
  <c r="J245" i="60032" s="1"/>
  <c r="I252" i="60025"/>
  <c r="L252" i="60025" s="1"/>
  <c r="M252" i="60025"/>
  <c r="H245" i="60032" l="1"/>
  <c r="L245" i="60032" s="1"/>
  <c r="G253" i="60025"/>
  <c r="H253" i="60025" s="1"/>
  <c r="I245" i="60032" l="1"/>
  <c r="K245" i="60032" s="1"/>
  <c r="J253" i="60025"/>
  <c r="K253" i="60025" s="1"/>
  <c r="I253" i="60025"/>
  <c r="L253" i="60025" s="1"/>
  <c r="M253" i="60025"/>
  <c r="G246" i="60032" l="1"/>
  <c r="J246" i="60032" s="1"/>
  <c r="G254" i="60025"/>
  <c r="H246" i="60032" l="1"/>
  <c r="L246" i="60032" s="1"/>
  <c r="J254" i="60025"/>
  <c r="K254" i="60025" s="1"/>
  <c r="H254" i="60025"/>
  <c r="I246" i="60032" l="1"/>
  <c r="K246" i="60032" s="1"/>
  <c r="M254" i="60025"/>
  <c r="I254" i="60025"/>
  <c r="G247" i="60032" l="1"/>
  <c r="J247" i="60032" s="1"/>
  <c r="L254" i="60025"/>
  <c r="G255" i="60025"/>
  <c r="H247" i="60032" l="1"/>
  <c r="L247" i="60032" s="1"/>
  <c r="J255" i="60025"/>
  <c r="K255" i="60025" s="1"/>
  <c r="H255" i="60025"/>
  <c r="I247" i="60032" l="1"/>
  <c r="K247" i="60032" s="1"/>
  <c r="M255" i="60025"/>
  <c r="I255" i="60025"/>
  <c r="G248" i="60032" l="1"/>
  <c r="H248" i="60032" s="1"/>
  <c r="L248" i="60032" s="1"/>
  <c r="L255" i="60025"/>
  <c r="G256" i="60025"/>
  <c r="I248" i="60032" l="1"/>
  <c r="K248" i="60032" s="1"/>
  <c r="J248" i="60032"/>
  <c r="J256" i="60025"/>
  <c r="K256" i="60025" s="1"/>
  <c r="H256" i="60025"/>
  <c r="G249" i="60032" l="1"/>
  <c r="H249" i="60032" s="1"/>
  <c r="L249" i="60032" s="1"/>
  <c r="I256" i="60025"/>
  <c r="L256" i="60025" s="1"/>
  <c r="M256" i="60025"/>
  <c r="I249" i="60032" l="1"/>
  <c r="K249" i="60032" s="1"/>
  <c r="J249" i="60032"/>
  <c r="G257" i="60025"/>
  <c r="H257" i="60025" s="1"/>
  <c r="G250" i="60032" l="1"/>
  <c r="J250" i="60032" s="1"/>
  <c r="J257" i="60025"/>
  <c r="K257" i="60025" s="1"/>
  <c r="M257" i="60025"/>
  <c r="I257" i="60025"/>
  <c r="H250" i="60032" l="1"/>
  <c r="L250" i="60032" s="1"/>
  <c r="L257" i="60025"/>
  <c r="G258" i="60025"/>
  <c r="I250" i="60032" l="1"/>
  <c r="K250" i="60032" s="1"/>
  <c r="H258" i="60025"/>
  <c r="J258" i="60025"/>
  <c r="K258" i="60025" s="1"/>
  <c r="G251" i="60032" l="1"/>
  <c r="J251" i="60032" s="1"/>
  <c r="I258" i="60025"/>
  <c r="L258" i="60025" s="1"/>
  <c r="M258" i="60025"/>
  <c r="H251" i="60032" l="1"/>
  <c r="L251" i="60032" s="1"/>
  <c r="G259" i="60025"/>
  <c r="H259" i="60025" s="1"/>
  <c r="I251" i="60032" l="1"/>
  <c r="K251" i="60032" s="1"/>
  <c r="J259" i="60025"/>
  <c r="K259" i="60025" s="1"/>
  <c r="M259" i="60025"/>
  <c r="I259" i="60025"/>
  <c r="L259" i="60025" s="1"/>
  <c r="G252" i="60032" l="1"/>
  <c r="J252" i="60032" s="1"/>
  <c r="G260" i="60025"/>
  <c r="H260" i="60025" s="1"/>
  <c r="H252" i="60032" l="1"/>
  <c r="L252" i="60032" s="1"/>
  <c r="J260" i="60025"/>
  <c r="K260" i="60025" s="1"/>
  <c r="M260" i="60025"/>
  <c r="I260" i="60025"/>
  <c r="L260" i="60025" s="1"/>
  <c r="I252" i="60032" l="1"/>
  <c r="K252" i="60032" s="1"/>
  <c r="G261" i="60025"/>
  <c r="J261" i="60025" s="1"/>
  <c r="K261" i="60025" s="1"/>
  <c r="G253" i="60032" l="1"/>
  <c r="J253" i="60032" s="1"/>
  <c r="H261" i="60025"/>
  <c r="M261" i="60025" s="1"/>
  <c r="H253" i="60032" l="1"/>
  <c r="L253" i="60032" s="1"/>
  <c r="I261" i="60025"/>
  <c r="L261" i="60025" s="1"/>
  <c r="I253" i="60032" l="1"/>
  <c r="K253" i="60032" s="1"/>
  <c r="G262" i="60025"/>
  <c r="J262" i="60025" s="1"/>
  <c r="K262" i="60025" s="1"/>
  <c r="G254" i="60032" l="1"/>
  <c r="H254" i="60032" s="1"/>
  <c r="L254" i="60032" s="1"/>
  <c r="H262" i="60025"/>
  <c r="I262" i="60025" s="1"/>
  <c r="L262" i="60025" s="1"/>
  <c r="I254" i="60032" l="1"/>
  <c r="K254" i="60032" s="1"/>
  <c r="J254" i="60032"/>
  <c r="G263" i="60025"/>
  <c r="H263" i="60025" s="1"/>
  <c r="M263" i="60025" s="1"/>
  <c r="M262" i="60025"/>
  <c r="G255" i="60032" l="1"/>
  <c r="J255" i="60032" s="1"/>
  <c r="I263" i="60025"/>
  <c r="L263" i="60025" s="1"/>
  <c r="J263" i="60025"/>
  <c r="K263" i="60025" s="1"/>
  <c r="H255" i="60032" l="1"/>
  <c r="L255" i="60032" s="1"/>
  <c r="G264" i="60025"/>
  <c r="J264" i="60025" s="1"/>
  <c r="K264" i="60025" s="1"/>
  <c r="I255" i="60032" l="1"/>
  <c r="K255" i="60032" s="1"/>
  <c r="H264" i="60025"/>
  <c r="I264" i="60025" s="1"/>
  <c r="L264" i="60025" s="1"/>
  <c r="G256" i="60032" l="1"/>
  <c r="J256" i="60032" s="1"/>
  <c r="M264" i="60025"/>
  <c r="G265" i="60025"/>
  <c r="H265" i="60025" s="1"/>
  <c r="H256" i="60032" l="1"/>
  <c r="L256" i="60032" s="1"/>
  <c r="J265" i="60025"/>
  <c r="K265" i="60025" s="1"/>
  <c r="M265" i="60025"/>
  <c r="I265" i="60025"/>
  <c r="L265" i="60025" s="1"/>
  <c r="I256" i="60032" l="1"/>
  <c r="K256" i="60032" s="1"/>
  <c r="G266" i="60025"/>
  <c r="J266" i="60025" s="1"/>
  <c r="K266" i="60025" s="1"/>
  <c r="G257" i="60032" l="1"/>
  <c r="J257" i="60032" s="1"/>
  <c r="H266" i="60025"/>
  <c r="M266" i="60025" s="1"/>
  <c r="H257" i="60032" l="1"/>
  <c r="L257" i="60032" s="1"/>
  <c r="I266" i="60025"/>
  <c r="L266" i="60025" s="1"/>
  <c r="I257" i="60032" l="1"/>
  <c r="K257" i="60032" s="1"/>
  <c r="G267" i="60025"/>
  <c r="J267" i="60025" s="1"/>
  <c r="K267" i="60025" s="1"/>
  <c r="G258" i="60032" l="1"/>
  <c r="J258" i="60032" s="1"/>
  <c r="H267" i="60025"/>
  <c r="I267" i="60025" s="1"/>
  <c r="L267" i="60025" s="1"/>
  <c r="H258" i="60032" l="1"/>
  <c r="L258" i="60032" s="1"/>
  <c r="G268" i="60025"/>
  <c r="H268" i="60025" s="1"/>
  <c r="M267" i="60025"/>
  <c r="I258" i="60032" l="1"/>
  <c r="K258" i="60032" s="1"/>
  <c r="J268" i="60025"/>
  <c r="K268" i="60025" s="1"/>
  <c r="I268" i="60025"/>
  <c r="L268" i="60025" s="1"/>
  <c r="M268" i="60025"/>
  <c r="G259" i="60032" l="1"/>
  <c r="J259" i="60032" s="1"/>
  <c r="G269" i="60025"/>
  <c r="J269" i="60025" s="1"/>
  <c r="K269" i="60025" s="1"/>
  <c r="H259" i="60032" l="1"/>
  <c r="L259" i="60032" s="1"/>
  <c r="H269" i="60025"/>
  <c r="I269" i="60025" s="1"/>
  <c r="L269" i="60025" s="1"/>
  <c r="I259" i="60032" l="1"/>
  <c r="K259" i="60032" s="1"/>
  <c r="M269" i="60025"/>
  <c r="G270" i="60025"/>
  <c r="J270" i="60025" s="1"/>
  <c r="K270" i="60025" s="1"/>
  <c r="G260" i="60032" l="1"/>
  <c r="J260" i="60032" s="1"/>
  <c r="H270" i="60025"/>
  <c r="M270" i="60025" s="1"/>
  <c r="H260" i="60032" l="1"/>
  <c r="L260" i="60032" s="1"/>
  <c r="I270" i="60025"/>
  <c r="G271" i="60025" s="1"/>
  <c r="I260" i="60032" l="1"/>
  <c r="K260" i="60032" s="1"/>
  <c r="L270" i="60025"/>
  <c r="J271" i="60025"/>
  <c r="K271" i="60025" s="1"/>
  <c r="H271" i="60025"/>
  <c r="G261" i="60032" l="1"/>
  <c r="J261" i="60032" s="1"/>
  <c r="I271" i="60025"/>
  <c r="L271" i="60025" s="1"/>
  <c r="M271" i="60025"/>
  <c r="H261" i="60032" l="1"/>
  <c r="L261" i="60032" s="1"/>
  <c r="G272" i="60025"/>
  <c r="H272" i="60025" s="1"/>
  <c r="I261" i="60032" l="1"/>
  <c r="K261" i="60032" s="1"/>
  <c r="J272" i="60025"/>
  <c r="K272" i="60025" s="1"/>
  <c r="M272" i="60025"/>
  <c r="I272" i="60025"/>
  <c r="G262" i="60032" l="1"/>
  <c r="J262" i="60032" s="1"/>
  <c r="L272" i="60025"/>
  <c r="G273" i="60025"/>
  <c r="H262" i="60032" l="1"/>
  <c r="L262" i="60032" s="1"/>
  <c r="J273" i="60025"/>
  <c r="K273" i="60025" s="1"/>
  <c r="H273" i="60025"/>
  <c r="I262" i="60032" l="1"/>
  <c r="K262" i="60032" s="1"/>
  <c r="M273" i="60025"/>
  <c r="I273" i="60025"/>
  <c r="L273" i="60025" s="1"/>
  <c r="G263" i="60032" l="1"/>
  <c r="J263" i="60032" s="1"/>
  <c r="G274" i="60025"/>
  <c r="H274" i="60025" s="1"/>
  <c r="H263" i="60032" l="1"/>
  <c r="L263" i="60032" s="1"/>
  <c r="J274" i="60025"/>
  <c r="K274" i="60025" s="1"/>
  <c r="M274" i="60025"/>
  <c r="I274" i="60025"/>
  <c r="I263" i="60032" l="1"/>
  <c r="K263" i="60032" s="1"/>
  <c r="L274" i="60025"/>
  <c r="G275" i="60025"/>
  <c r="G264" i="60032" l="1"/>
  <c r="J264" i="60032" s="1"/>
  <c r="H275" i="60025"/>
  <c r="J275" i="60025"/>
  <c r="K275" i="60025" s="1"/>
  <c r="H264" i="60032" l="1"/>
  <c r="L264" i="60032" s="1"/>
  <c r="I275" i="60025"/>
  <c r="M275" i="60025"/>
  <c r="I264" i="60032" l="1"/>
  <c r="K264" i="60032" s="1"/>
  <c r="L275" i="60025"/>
  <c r="G276" i="60025"/>
  <c r="G265" i="60032" l="1"/>
  <c r="J265" i="60032" s="1"/>
  <c r="H276" i="60025"/>
  <c r="J276" i="60025"/>
  <c r="K276" i="60025" s="1"/>
  <c r="H265" i="60032" l="1"/>
  <c r="L265" i="60032" s="1"/>
  <c r="I276" i="60025"/>
  <c r="L276" i="60025" s="1"/>
  <c r="M276" i="60025"/>
  <c r="I265" i="60032" l="1"/>
  <c r="K265" i="60032" s="1"/>
  <c r="G277" i="60025"/>
  <c r="H277" i="60025" s="1"/>
  <c r="G266" i="60032" l="1"/>
  <c r="J266" i="60032" s="1"/>
  <c r="J277" i="60025"/>
  <c r="K277" i="60025" s="1"/>
  <c r="I277" i="60025"/>
  <c r="M277" i="60025"/>
  <c r="H266" i="60032" l="1"/>
  <c r="L266" i="60032" s="1"/>
  <c r="L277" i="60025"/>
  <c r="G278" i="60025"/>
  <c r="I266" i="60032" l="1"/>
  <c r="K266" i="60032" s="1"/>
  <c r="H278" i="60025"/>
  <c r="J278" i="60025"/>
  <c r="K278" i="60025" s="1"/>
  <c r="G267" i="60032" l="1"/>
  <c r="J267" i="60032" s="1"/>
  <c r="M278" i="60025"/>
  <c r="I278" i="60025"/>
  <c r="L278" i="60025" s="1"/>
  <c r="H267" i="60032" l="1"/>
  <c r="L267" i="60032" s="1"/>
  <c r="G279" i="60025"/>
  <c r="H279" i="60025" s="1"/>
  <c r="I267" i="60032" l="1"/>
  <c r="K267" i="60032" s="1"/>
  <c r="J279" i="60025"/>
  <c r="K279" i="60025" s="1"/>
  <c r="I279" i="60025"/>
  <c r="M279" i="60025"/>
  <c r="G268" i="60032" l="1"/>
  <c r="J268" i="60032" s="1"/>
  <c r="L279" i="60025"/>
  <c r="G280" i="60025"/>
  <c r="H268" i="60032" l="1"/>
  <c r="L268" i="60032" s="1"/>
  <c r="H280" i="60025"/>
  <c r="J280" i="60025"/>
  <c r="K280" i="60025" s="1"/>
  <c r="I268" i="60032" l="1"/>
  <c r="K268" i="60032" s="1"/>
  <c r="M280" i="60025"/>
  <c r="I280" i="60025"/>
  <c r="L280" i="60025" s="1"/>
  <c r="G269" i="60032" l="1"/>
  <c r="J269" i="60032" s="1"/>
  <c r="G281" i="60025"/>
  <c r="J281" i="60025" s="1"/>
  <c r="K281" i="60025" s="1"/>
  <c r="H269" i="60032" l="1"/>
  <c r="L269" i="60032" s="1"/>
  <c r="H281" i="60025"/>
  <c r="I281" i="60025" s="1"/>
  <c r="L281" i="60025" s="1"/>
  <c r="I269" i="60032" l="1"/>
  <c r="K269" i="60032" s="1"/>
  <c r="M281" i="60025"/>
  <c r="G282" i="60025"/>
  <c r="H282" i="60025" s="1"/>
  <c r="G270" i="60032" l="1"/>
  <c r="J270" i="60032" s="1"/>
  <c r="J282" i="60025"/>
  <c r="K282" i="60025" s="1"/>
  <c r="I282" i="60025"/>
  <c r="L282" i="60025" s="1"/>
  <c r="M282" i="60025"/>
  <c r="H270" i="60032" l="1"/>
  <c r="L270" i="60032" s="1"/>
  <c r="G283" i="60025"/>
  <c r="J283" i="60025" s="1"/>
  <c r="K283" i="60025" s="1"/>
  <c r="I270" i="60032" l="1"/>
  <c r="K270" i="60032" s="1"/>
  <c r="H283" i="60025"/>
  <c r="I283" i="60025" s="1"/>
  <c r="G271" i="60032" l="1"/>
  <c r="J271" i="60032" s="1"/>
  <c r="M283" i="60025"/>
  <c r="L283" i="60025"/>
  <c r="G284" i="60025"/>
  <c r="H271" i="60032" l="1"/>
  <c r="L271" i="60032" s="1"/>
  <c r="H284" i="60025"/>
  <c r="J284" i="60025"/>
  <c r="K284" i="60025" s="1"/>
  <c r="I271" i="60032" l="1"/>
  <c r="K271" i="60032" s="1"/>
  <c r="I284" i="60025"/>
  <c r="M284" i="60025"/>
  <c r="G272" i="60032" l="1"/>
  <c r="J272" i="60032" s="1"/>
  <c r="L284" i="60025"/>
  <c r="G285" i="60025"/>
  <c r="H272" i="60032" l="1"/>
  <c r="L272" i="60032" s="1"/>
  <c r="H285" i="60025"/>
  <c r="J285" i="60025"/>
  <c r="K285" i="60025" s="1"/>
  <c r="I272" i="60032" l="1"/>
  <c r="K272" i="60032" s="1"/>
  <c r="M285" i="60025"/>
  <c r="I285" i="60025"/>
  <c r="L285" i="60025" s="1"/>
  <c r="G273" i="60032" l="1"/>
  <c r="J273" i="60032" s="1"/>
  <c r="G286" i="60025"/>
  <c r="J286" i="60025" s="1"/>
  <c r="K286" i="60025" s="1"/>
  <c r="H273" i="60032" l="1"/>
  <c r="L273" i="60032" s="1"/>
  <c r="H286" i="60025"/>
  <c r="M286" i="60025" s="1"/>
  <c r="I273" i="60032" l="1"/>
  <c r="K273" i="60032" s="1"/>
  <c r="I286" i="60025"/>
  <c r="L286" i="60025" s="1"/>
  <c r="G274" i="60032" l="1"/>
  <c r="J274" i="60032" s="1"/>
  <c r="G287" i="60025"/>
  <c r="H287" i="60025" s="1"/>
  <c r="H274" i="60032" l="1"/>
  <c r="L274" i="60032" s="1"/>
  <c r="J287" i="60025"/>
  <c r="K287" i="60025" s="1"/>
  <c r="I287" i="60025"/>
  <c r="L287" i="60025" s="1"/>
  <c r="M287" i="60025"/>
  <c r="I274" i="60032" l="1"/>
  <c r="K274" i="60032" s="1"/>
  <c r="G288" i="60025"/>
  <c r="J288" i="60025" s="1"/>
  <c r="K288" i="60025" s="1"/>
  <c r="G275" i="60032" l="1"/>
  <c r="J275" i="60032" s="1"/>
  <c r="H288" i="60025"/>
  <c r="I288" i="60025" s="1"/>
  <c r="H275" i="60032" l="1"/>
  <c r="L275" i="60032" s="1"/>
  <c r="M288" i="60025"/>
  <c r="L288" i="60025"/>
  <c r="G289" i="60025"/>
  <c r="H289" i="60025" s="1"/>
  <c r="I275" i="60032" l="1"/>
  <c r="K275" i="60032" s="1"/>
  <c r="J289" i="60025"/>
  <c r="K289" i="60025" s="1"/>
  <c r="I289" i="60025"/>
  <c r="L289" i="60025" s="1"/>
  <c r="M289" i="60025"/>
  <c r="G276" i="60032" l="1"/>
  <c r="H276" i="60032" s="1"/>
  <c r="L276" i="60032" s="1"/>
  <c r="G290" i="60025"/>
  <c r="I276" i="60032" l="1"/>
  <c r="K276" i="60032" s="1"/>
  <c r="J276" i="60032"/>
  <c r="H290" i="60025"/>
  <c r="J290" i="60025"/>
  <c r="K290" i="60025" s="1"/>
  <c r="G277" i="60032" l="1"/>
  <c r="J277" i="60032" s="1"/>
  <c r="M290" i="60025"/>
  <c r="I290" i="60025"/>
  <c r="L290" i="60025" s="1"/>
  <c r="H277" i="60032" l="1"/>
  <c r="L277" i="60032" s="1"/>
  <c r="G291" i="60025"/>
  <c r="I277" i="60032" l="1"/>
  <c r="K277" i="60032" s="1"/>
  <c r="J291" i="60025"/>
  <c r="K291" i="60025" s="1"/>
  <c r="H291" i="60025"/>
  <c r="G278" i="60032" l="1"/>
  <c r="J278" i="60032" s="1"/>
  <c r="M291" i="60025"/>
  <c r="I291" i="60025"/>
  <c r="L291" i="60025" s="1"/>
  <c r="H278" i="60032" l="1"/>
  <c r="L278" i="60032" s="1"/>
  <c r="G292" i="60025"/>
  <c r="I278" i="60032" l="1"/>
  <c r="K278" i="60032" s="1"/>
  <c r="J292" i="60025"/>
  <c r="K292" i="60025" s="1"/>
  <c r="H292" i="60025"/>
  <c r="G279" i="60032" l="1"/>
  <c r="J279" i="60032" s="1"/>
  <c r="M292" i="60025"/>
  <c r="I292" i="60025"/>
  <c r="L292" i="60025" s="1"/>
  <c r="H279" i="60032" l="1"/>
  <c r="L279" i="60032" s="1"/>
  <c r="G293" i="60025"/>
  <c r="J293" i="60025" s="1"/>
  <c r="K293" i="60025" s="1"/>
  <c r="I279" i="60032" l="1"/>
  <c r="K279" i="60032" s="1"/>
  <c r="H293" i="60025"/>
  <c r="M293" i="60025" s="1"/>
  <c r="G280" i="60032" l="1"/>
  <c r="J280" i="60032" s="1"/>
  <c r="I293" i="60025"/>
  <c r="L293" i="60025" s="1"/>
  <c r="H280" i="60032" l="1"/>
  <c r="L280" i="60032" s="1"/>
  <c r="G294" i="60025"/>
  <c r="J294" i="60025" s="1"/>
  <c r="K294" i="60025" s="1"/>
  <c r="I280" i="60032" l="1"/>
  <c r="K280" i="60032" s="1"/>
  <c r="H294" i="60025"/>
  <c r="M294" i="60025" s="1"/>
  <c r="G281" i="60032" l="1"/>
  <c r="J281" i="60032" s="1"/>
  <c r="I294" i="60025"/>
  <c r="L294" i="60025" s="1"/>
  <c r="H281" i="60032" l="1"/>
  <c r="L281" i="60032" s="1"/>
  <c r="G295" i="60025"/>
  <c r="H295" i="60025" s="1"/>
  <c r="I281" i="60032" l="1"/>
  <c r="K281" i="60032" s="1"/>
  <c r="J295" i="60025"/>
  <c r="K295" i="60025" s="1"/>
  <c r="M295" i="60025"/>
  <c r="I295" i="60025"/>
  <c r="L295" i="60025" s="1"/>
  <c r="G282" i="60032" l="1"/>
  <c r="J282" i="60032" s="1"/>
  <c r="G296" i="60025"/>
  <c r="H282" i="60032" l="1"/>
  <c r="L282" i="60032" s="1"/>
  <c r="J296" i="60025"/>
  <c r="K296" i="60025" s="1"/>
  <c r="H296" i="60025"/>
  <c r="I282" i="60032" l="1"/>
  <c r="K282" i="60032" s="1"/>
  <c r="M296" i="60025"/>
  <c r="I296" i="60025"/>
  <c r="L296" i="60025" s="1"/>
  <c r="G283" i="60032" l="1"/>
  <c r="J283" i="60032" s="1"/>
  <c r="G297" i="60025"/>
  <c r="H283" i="60032" l="1"/>
  <c r="L283" i="60032" s="1"/>
  <c r="H297" i="60025"/>
  <c r="J297" i="60025"/>
  <c r="K297" i="60025" s="1"/>
  <c r="I283" i="60032" l="1"/>
  <c r="K283" i="60032" s="1"/>
  <c r="M297" i="60025"/>
  <c r="I297" i="60025"/>
  <c r="L297" i="60025" s="1"/>
  <c r="G284" i="60032" l="1"/>
  <c r="J284" i="60032" s="1"/>
  <c r="G298" i="60025"/>
  <c r="J298" i="60025" s="1"/>
  <c r="K298" i="60025" s="1"/>
  <c r="H284" i="60032" l="1"/>
  <c r="L284" i="60032" s="1"/>
  <c r="H298" i="60025"/>
  <c r="M298" i="60025" s="1"/>
  <c r="I284" i="60032" l="1"/>
  <c r="K284" i="60032" s="1"/>
  <c r="I298" i="60025"/>
  <c r="L298" i="60025" s="1"/>
  <c r="G285" i="60032" l="1"/>
  <c r="J285" i="60032" s="1"/>
  <c r="G299" i="60025"/>
  <c r="H285" i="60032" l="1"/>
  <c r="L285" i="60032" s="1"/>
  <c r="J299" i="60025"/>
  <c r="K299" i="60025" s="1"/>
  <c r="H299" i="60025"/>
  <c r="I285" i="60032" l="1"/>
  <c r="K285" i="60032" s="1"/>
  <c r="M299" i="60025"/>
  <c r="I299" i="60025"/>
  <c r="G286" i="60032" l="1"/>
  <c r="H286" i="60032" s="1"/>
  <c r="L286" i="60032" s="1"/>
  <c r="L299" i="60025"/>
  <c r="G300" i="60025"/>
  <c r="I286" i="60032" l="1"/>
  <c r="K286" i="60032" s="1"/>
  <c r="J286" i="60032"/>
  <c r="J300" i="60025"/>
  <c r="K300" i="60025" s="1"/>
  <c r="H300" i="60025"/>
  <c r="G287" i="60032" l="1"/>
  <c r="J287" i="60032" s="1"/>
  <c r="I300" i="60025"/>
  <c r="L300" i="60025" s="1"/>
  <c r="M300" i="60025"/>
  <c r="H287" i="60032" l="1"/>
  <c r="L287" i="60032" s="1"/>
  <c r="G301" i="60025"/>
  <c r="I287" i="60032" l="1"/>
  <c r="K287" i="60032" s="1"/>
  <c r="H301" i="60025"/>
  <c r="J301" i="60025"/>
  <c r="K301" i="60025" s="1"/>
  <c r="G288" i="60032" l="1"/>
  <c r="H288" i="60032" s="1"/>
  <c r="L288" i="60032" s="1"/>
  <c r="M301" i="60025"/>
  <c r="I301" i="60025"/>
  <c r="L301" i="60025" s="1"/>
  <c r="I288" i="60032" l="1"/>
  <c r="K288" i="60032" s="1"/>
  <c r="J288" i="60032"/>
  <c r="G302" i="60025"/>
  <c r="H302" i="60025" s="1"/>
  <c r="G289" i="60032" l="1"/>
  <c r="J289" i="60032" s="1"/>
  <c r="J302" i="60025"/>
  <c r="K302" i="60025" s="1"/>
  <c r="I302" i="60025"/>
  <c r="L302" i="60025" s="1"/>
  <c r="M302" i="60025"/>
  <c r="H289" i="60032" l="1"/>
  <c r="L289" i="60032" s="1"/>
  <c r="G303" i="60025"/>
  <c r="J303" i="60025" s="1"/>
  <c r="K303" i="60025" s="1"/>
  <c r="I289" i="60032" l="1"/>
  <c r="K289" i="60032" s="1"/>
  <c r="H303" i="60025"/>
  <c r="I303" i="60025" s="1"/>
  <c r="G290" i="60032" l="1"/>
  <c r="J290" i="60032" s="1"/>
  <c r="M303" i="60025"/>
  <c r="L303" i="60025"/>
  <c r="G304" i="60025"/>
  <c r="H290" i="60032" l="1"/>
  <c r="L290" i="60032" s="1"/>
  <c r="H304" i="60025"/>
  <c r="J304" i="60025"/>
  <c r="K304" i="60025" s="1"/>
  <c r="I290" i="60032" l="1"/>
  <c r="K290" i="60032" s="1"/>
  <c r="I304" i="60025"/>
  <c r="L304" i="60025" s="1"/>
  <c r="M304" i="60025"/>
  <c r="G291" i="60032" l="1"/>
  <c r="H291" i="60032" s="1"/>
  <c r="L291" i="60032" s="1"/>
  <c r="G305" i="60025"/>
  <c r="I291" i="60032" l="1"/>
  <c r="K291" i="60032" s="1"/>
  <c r="J291" i="60032"/>
  <c r="J305" i="60025"/>
  <c r="K305" i="60025" s="1"/>
  <c r="H305" i="60025"/>
  <c r="G292" i="60032" l="1"/>
  <c r="J292" i="60032" s="1"/>
  <c r="I305" i="60025"/>
  <c r="L305" i="60025" s="1"/>
  <c r="M305" i="60025"/>
  <c r="H292" i="60032" l="1"/>
  <c r="L292" i="60032" s="1"/>
  <c r="G306" i="60025"/>
  <c r="J306" i="60025" s="1"/>
  <c r="K306" i="60025" s="1"/>
  <c r="I292" i="60032" l="1"/>
  <c r="K292" i="60032" s="1"/>
  <c r="H306" i="60025"/>
  <c r="I306" i="60025" s="1"/>
  <c r="G293" i="60032" l="1"/>
  <c r="J293" i="60032" s="1"/>
  <c r="M306" i="60025"/>
  <c r="L306" i="60025"/>
  <c r="G307" i="60025"/>
  <c r="H293" i="60032" l="1"/>
  <c r="I293" i="60032" s="1"/>
  <c r="K293" i="60032" s="1"/>
  <c r="J307" i="60025"/>
  <c r="K307" i="60025" s="1"/>
  <c r="H307" i="60025"/>
  <c r="L293" i="60032" l="1"/>
  <c r="G294" i="60032"/>
  <c r="J294" i="60032" s="1"/>
  <c r="M307" i="60025"/>
  <c r="I307" i="60025"/>
  <c r="H294" i="60032" l="1"/>
  <c r="I294" i="60032" s="1"/>
  <c r="K294" i="60032" s="1"/>
  <c r="L307" i="60025"/>
  <c r="G308" i="60025"/>
  <c r="L294" i="60032" l="1"/>
  <c r="G295" i="60032"/>
  <c r="J295" i="60032" s="1"/>
  <c r="H308" i="60025"/>
  <c r="J308" i="60025"/>
  <c r="K308" i="60025" s="1"/>
  <c r="H295" i="60032" l="1"/>
  <c r="L295" i="60032" s="1"/>
  <c r="I308" i="60025"/>
  <c r="M308" i="60025"/>
  <c r="I295" i="60032" l="1"/>
  <c r="K295" i="60032" s="1"/>
  <c r="G309" i="60025"/>
  <c r="L308" i="60025"/>
  <c r="G296" i="60032" l="1"/>
  <c r="J296" i="60032" s="1"/>
  <c r="J309" i="60025"/>
  <c r="K309" i="60025" s="1"/>
  <c r="H309" i="60025"/>
  <c r="H296" i="60032" l="1"/>
  <c r="L296" i="60032" s="1"/>
  <c r="I309" i="60025"/>
  <c r="M309" i="60025"/>
  <c r="I296" i="60032" l="1"/>
  <c r="K296" i="60032" s="1"/>
  <c r="L309" i="60025"/>
  <c r="G310" i="60025"/>
  <c r="G297" i="60032" l="1"/>
  <c r="J297" i="60032" s="1"/>
  <c r="J310" i="60025"/>
  <c r="K310" i="60025" s="1"/>
  <c r="H310" i="60025"/>
  <c r="H297" i="60032" l="1"/>
  <c r="L297" i="60032" s="1"/>
  <c r="I310" i="60025"/>
  <c r="M310" i="60025"/>
  <c r="I297" i="60032" l="1"/>
  <c r="K297" i="60032" s="1"/>
  <c r="L310" i="60025"/>
  <c r="G311" i="60025"/>
  <c r="G298" i="60032" l="1"/>
  <c r="J298" i="60032" s="1"/>
  <c r="H311" i="60025"/>
  <c r="J311" i="60025"/>
  <c r="K311" i="60025" s="1"/>
  <c r="H298" i="60032" l="1"/>
  <c r="L298" i="60032" s="1"/>
  <c r="M311" i="60025"/>
  <c r="I311" i="60025"/>
  <c r="L311" i="60025" s="1"/>
  <c r="I298" i="60032" l="1"/>
  <c r="K298" i="60032" s="1"/>
  <c r="G312" i="60025"/>
  <c r="J312" i="60025" s="1"/>
  <c r="K312" i="60025" s="1"/>
  <c r="G299" i="60032" l="1"/>
  <c r="J299" i="60032" s="1"/>
  <c r="H312" i="60025"/>
  <c r="M312" i="60025" s="1"/>
  <c r="H299" i="60032" l="1"/>
  <c r="L299" i="60032" s="1"/>
  <c r="I312" i="60025"/>
  <c r="L312" i="60025" s="1"/>
  <c r="I299" i="60032" l="1"/>
  <c r="K299" i="60032" s="1"/>
  <c r="G313" i="60025"/>
  <c r="J313" i="60025" s="1"/>
  <c r="K313" i="60025" s="1"/>
  <c r="G300" i="60032" l="1"/>
  <c r="J300" i="60032" s="1"/>
  <c r="H313" i="60025"/>
  <c r="M313" i="60025" s="1"/>
  <c r="H300" i="60032" l="1"/>
  <c r="L300" i="60032" s="1"/>
  <c r="I313" i="60025"/>
  <c r="L313" i="60025" s="1"/>
  <c r="I300" i="60032" l="1"/>
  <c r="K300" i="60032" s="1"/>
  <c r="G314" i="60025"/>
  <c r="J314" i="60025" s="1"/>
  <c r="K314" i="60025" s="1"/>
  <c r="G301" i="60032" l="1"/>
  <c r="J301" i="60032" s="1"/>
  <c r="H314" i="60025"/>
  <c r="I314" i="60025" s="1"/>
  <c r="L314" i="60025" s="1"/>
  <c r="H301" i="60032" l="1"/>
  <c r="L301" i="60032" s="1"/>
  <c r="M314" i="60025"/>
  <c r="G315" i="60025"/>
  <c r="J315" i="60025" s="1"/>
  <c r="K315" i="60025" s="1"/>
  <c r="I301" i="60032" l="1"/>
  <c r="K301" i="60032" s="1"/>
  <c r="H315" i="60025"/>
  <c r="I315" i="60025" s="1"/>
  <c r="L315" i="60025" s="1"/>
  <c r="G302" i="60032" l="1"/>
  <c r="J302" i="60032" s="1"/>
  <c r="G316" i="60025"/>
  <c r="H316" i="60025" s="1"/>
  <c r="M315" i="60025"/>
  <c r="H302" i="60032" l="1"/>
  <c r="L302" i="60032" s="1"/>
  <c r="J316" i="60025"/>
  <c r="K316" i="60025" s="1"/>
  <c r="I316" i="60025"/>
  <c r="L316" i="60025" s="1"/>
  <c r="M316" i="60025"/>
  <c r="I302" i="60032" l="1"/>
  <c r="K302" i="60032" s="1"/>
  <c r="G317" i="60025"/>
  <c r="G303" i="60032" l="1"/>
  <c r="J303" i="60032" s="1"/>
  <c r="H317" i="60025"/>
  <c r="J317" i="60025"/>
  <c r="K317" i="60025" s="1"/>
  <c r="H303" i="60032" l="1"/>
  <c r="L303" i="60032" s="1"/>
  <c r="M317" i="60025"/>
  <c r="I317" i="60025"/>
  <c r="L317" i="60025" s="1"/>
  <c r="I303" i="60032" l="1"/>
  <c r="K303" i="60032" s="1"/>
  <c r="G318" i="60025"/>
  <c r="H318" i="60025" s="1"/>
  <c r="G304" i="60032" l="1"/>
  <c r="J304" i="60032" s="1"/>
  <c r="J318" i="60025"/>
  <c r="K318" i="60025" s="1"/>
  <c r="I318" i="60025"/>
  <c r="L318" i="60025" s="1"/>
  <c r="M318" i="60025"/>
  <c r="H304" i="60032" l="1"/>
  <c r="L304" i="60032" s="1"/>
  <c r="G319" i="60025"/>
  <c r="I304" i="60032" l="1"/>
  <c r="K304" i="60032" s="1"/>
  <c r="H319" i="60025"/>
  <c r="J319" i="60025"/>
  <c r="K319" i="60025" s="1"/>
  <c r="G305" i="60032" l="1"/>
  <c r="H305" i="60032" s="1"/>
  <c r="L305" i="60032" s="1"/>
  <c r="I319" i="60025"/>
  <c r="L319" i="60025" s="1"/>
  <c r="M319" i="60025"/>
  <c r="J305" i="60032" l="1"/>
  <c r="I305" i="60032"/>
  <c r="K305" i="60032" s="1"/>
  <c r="G320" i="60025"/>
  <c r="G306" i="60032" l="1"/>
  <c r="J306" i="60032" s="1"/>
  <c r="H320" i="60025"/>
  <c r="J320" i="60025"/>
  <c r="K320" i="60025" s="1"/>
  <c r="H306" i="60032" l="1"/>
  <c r="L306" i="60032" s="1"/>
  <c r="I320" i="60025"/>
  <c r="L320" i="60025" s="1"/>
  <c r="M320" i="60025"/>
  <c r="I306" i="60032" l="1"/>
  <c r="K306" i="60032" s="1"/>
  <c r="G321" i="60025"/>
  <c r="G307" i="60032" l="1"/>
  <c r="J307" i="60032" s="1"/>
  <c r="J321" i="60025"/>
  <c r="K321" i="60025" s="1"/>
  <c r="H321" i="60025"/>
  <c r="H307" i="60032" l="1"/>
  <c r="L307" i="60032" s="1"/>
  <c r="I321" i="60025"/>
  <c r="L321" i="60025" s="1"/>
  <c r="M321" i="60025"/>
  <c r="I307" i="60032" l="1"/>
  <c r="K307" i="60032" s="1"/>
  <c r="G322" i="60025"/>
  <c r="G308" i="60032" l="1"/>
  <c r="J308" i="60032" s="1"/>
  <c r="H322" i="60025"/>
  <c r="J322" i="60025"/>
  <c r="K322" i="60025" s="1"/>
  <c r="H308" i="60032" l="1"/>
  <c r="L308" i="60032" s="1"/>
  <c r="I322" i="60025"/>
  <c r="L322" i="60025" s="1"/>
  <c r="M322" i="60025"/>
  <c r="I308" i="60032" l="1"/>
  <c r="K308" i="60032" s="1"/>
  <c r="G323" i="60025"/>
  <c r="G309" i="60032" l="1"/>
  <c r="J309" i="60032" s="1"/>
  <c r="J323" i="60025"/>
  <c r="K323" i="60025" s="1"/>
  <c r="H323" i="60025"/>
  <c r="H309" i="60032" l="1"/>
  <c r="L309" i="60032" s="1"/>
  <c r="M323" i="60025"/>
  <c r="I323" i="60025"/>
  <c r="L323" i="60025" s="1"/>
  <c r="I309" i="60032" l="1"/>
  <c r="K309" i="60032" s="1"/>
  <c r="G324" i="60025"/>
  <c r="H324" i="60025" s="1"/>
  <c r="G310" i="60032" l="1"/>
  <c r="J310" i="60032" s="1"/>
  <c r="J324" i="60025"/>
  <c r="K324" i="60025" s="1"/>
  <c r="I324" i="60025"/>
  <c r="L324" i="60025" s="1"/>
  <c r="M324" i="60025"/>
  <c r="H310" i="60032" l="1"/>
  <c r="L310" i="60032" s="1"/>
  <c r="G325" i="60025"/>
  <c r="I310" i="60032" l="1"/>
  <c r="K310" i="60032" s="1"/>
  <c r="J325" i="60025"/>
  <c r="K325" i="60025" s="1"/>
  <c r="H325" i="60025"/>
  <c r="G311" i="60032" l="1"/>
  <c r="J311" i="60032" s="1"/>
  <c r="M325" i="60025"/>
  <c r="I325" i="60025"/>
  <c r="L325" i="60025" s="1"/>
  <c r="H311" i="60032" l="1"/>
  <c r="L311" i="60032" s="1"/>
  <c r="G326" i="60025"/>
  <c r="H326" i="60025" s="1"/>
  <c r="I311" i="60032" l="1"/>
  <c r="K311" i="60032" s="1"/>
  <c r="J326" i="60025"/>
  <c r="K326" i="60025" s="1"/>
  <c r="M326" i="60025"/>
  <c r="I326" i="60025"/>
  <c r="L326" i="60025" s="1"/>
  <c r="G312" i="60032" l="1"/>
  <c r="J312" i="60032" s="1"/>
  <c r="G327" i="60025"/>
  <c r="H327" i="60025" s="1"/>
  <c r="H312" i="60032" l="1"/>
  <c r="L312" i="60032" s="1"/>
  <c r="J327" i="60025"/>
  <c r="K327" i="60025" s="1"/>
  <c r="I327" i="60025"/>
  <c r="L327" i="60025" s="1"/>
  <c r="M327" i="60025"/>
  <c r="I312" i="60032" l="1"/>
  <c r="K312" i="60032" s="1"/>
  <c r="G328" i="60025"/>
  <c r="G313" i="60032" l="1"/>
  <c r="J313" i="60032" s="1"/>
  <c r="J328" i="60025"/>
  <c r="K328" i="60025" s="1"/>
  <c r="H328" i="60025"/>
  <c r="H313" i="60032" l="1"/>
  <c r="L313" i="60032" s="1"/>
  <c r="M328" i="60025"/>
  <c r="I328" i="60025"/>
  <c r="L328" i="60025" s="1"/>
  <c r="I313" i="60032" l="1"/>
  <c r="K313" i="60032" s="1"/>
  <c r="G329" i="60025"/>
  <c r="H329" i="60025" s="1"/>
  <c r="G314" i="60032" l="1"/>
  <c r="J314" i="60032" s="1"/>
  <c r="J329" i="60025"/>
  <c r="K329" i="60025" s="1"/>
  <c r="I329" i="60025"/>
  <c r="L329" i="60025" s="1"/>
  <c r="M329" i="60025"/>
  <c r="H314" i="60032" l="1"/>
  <c r="L314" i="60032" s="1"/>
  <c r="G330" i="60025"/>
  <c r="I314" i="60032" l="1"/>
  <c r="K314" i="60032" s="1"/>
  <c r="H330" i="60025"/>
  <c r="J330" i="60025"/>
  <c r="K330" i="60025" s="1"/>
  <c r="G315" i="60032" l="1"/>
  <c r="J315" i="60032" s="1"/>
  <c r="M330" i="60025"/>
  <c r="I330" i="60025"/>
  <c r="L330" i="60025" s="1"/>
  <c r="H315" i="60032" l="1"/>
  <c r="L315" i="60032" s="1"/>
  <c r="G331" i="60025"/>
  <c r="H331" i="60025" s="1"/>
  <c r="I315" i="60032" l="1"/>
  <c r="K315" i="60032" s="1"/>
  <c r="J331" i="60025"/>
  <c r="K331" i="60025" s="1"/>
  <c r="M331" i="60025"/>
  <c r="I331" i="60025"/>
  <c r="L331" i="60025" s="1"/>
  <c r="G316" i="60032" l="1"/>
  <c r="H316" i="60032" s="1"/>
  <c r="L316" i="60032" s="1"/>
  <c r="G332" i="60025"/>
  <c r="H332" i="60025" s="1"/>
  <c r="I316" i="60032" l="1"/>
  <c r="K316" i="60032" s="1"/>
  <c r="J316" i="60032"/>
  <c r="J332" i="60025"/>
  <c r="K332" i="60025" s="1"/>
  <c r="M332" i="60025"/>
  <c r="I332" i="60025"/>
  <c r="L332" i="60025" s="1"/>
  <c r="G317" i="60032" l="1"/>
  <c r="J317" i="60032" s="1"/>
  <c r="G333" i="60025"/>
  <c r="J333" i="60025" s="1"/>
  <c r="K333" i="60025" s="1"/>
  <c r="H317" i="60032" l="1"/>
  <c r="L317" i="60032" s="1"/>
  <c r="H333" i="60025"/>
  <c r="I333" i="60025" s="1"/>
  <c r="L333" i="60025" s="1"/>
  <c r="I317" i="60032" l="1"/>
  <c r="K317" i="60032" s="1"/>
  <c r="M333" i="60025"/>
  <c r="G334" i="60025"/>
  <c r="G318" i="60032" l="1"/>
  <c r="H318" i="60032" s="1"/>
  <c r="L318" i="60032" s="1"/>
  <c r="H334" i="60025"/>
  <c r="J334" i="60025"/>
  <c r="K334" i="60025" s="1"/>
  <c r="J318" i="60032" l="1"/>
  <c r="I318" i="60032"/>
  <c r="K318" i="60032" s="1"/>
  <c r="I334" i="60025"/>
  <c r="L334" i="60025" s="1"/>
  <c r="M334" i="60025"/>
  <c r="G319" i="60032" l="1"/>
  <c r="H319" i="60032" s="1"/>
  <c r="L319" i="60032" s="1"/>
  <c r="G335" i="60025"/>
  <c r="J319" i="60032" l="1"/>
  <c r="I319" i="60032"/>
  <c r="K319" i="60032" s="1"/>
  <c r="J335" i="60025"/>
  <c r="K335" i="60025" s="1"/>
  <c r="H335" i="60025"/>
  <c r="G320" i="60032" l="1"/>
  <c r="H320" i="60032" s="1"/>
  <c r="L320" i="60032" s="1"/>
  <c r="M335" i="60025"/>
  <c r="I335" i="60025"/>
  <c r="L335" i="60025" s="1"/>
  <c r="I320" i="60032" l="1"/>
  <c r="K320" i="60032" s="1"/>
  <c r="J320" i="60032"/>
  <c r="G336" i="60025"/>
  <c r="J336" i="60025" s="1"/>
  <c r="K336" i="60025" s="1"/>
  <c r="G321" i="60032" l="1"/>
  <c r="H321" i="60032" s="1"/>
  <c r="L321" i="60032" s="1"/>
  <c r="H336" i="60025"/>
  <c r="M336" i="60025" s="1"/>
  <c r="I321" i="60032" l="1"/>
  <c r="K321" i="60032" s="1"/>
  <c r="J321" i="60032"/>
  <c r="I336" i="60025"/>
  <c r="L336" i="60025" s="1"/>
  <c r="G322" i="60032" l="1"/>
  <c r="H322" i="60032" s="1"/>
  <c r="L322" i="60032" s="1"/>
  <c r="G337" i="60025"/>
  <c r="J322" i="60032" l="1"/>
  <c r="I322" i="60032"/>
  <c r="K322" i="60032" s="1"/>
  <c r="J337" i="60025"/>
  <c r="K337" i="60025" s="1"/>
  <c r="H337" i="60025"/>
  <c r="G323" i="60032" l="1"/>
  <c r="H323" i="60032" s="1"/>
  <c r="L323" i="60032" s="1"/>
  <c r="I337" i="60025"/>
  <c r="L337" i="60025" s="1"/>
  <c r="M337" i="60025"/>
  <c r="I323" i="60032" l="1"/>
  <c r="K323" i="60032" s="1"/>
  <c r="J323" i="60032"/>
  <c r="G338" i="60025"/>
  <c r="H338" i="60025" s="1"/>
  <c r="M338" i="60025" s="1"/>
  <c r="G324" i="60032" l="1"/>
  <c r="J324" i="60032" s="1"/>
  <c r="I338" i="60025"/>
  <c r="L338" i="60025" s="1"/>
  <c r="J338" i="60025"/>
  <c r="K338" i="60025" s="1"/>
  <c r="H324" i="60032" l="1"/>
  <c r="L324" i="60032" s="1"/>
  <c r="G339" i="60025"/>
  <c r="H339" i="60025" s="1"/>
  <c r="M339" i="60025" s="1"/>
  <c r="I324" i="60032" l="1"/>
  <c r="K324" i="60032" s="1"/>
  <c r="I339" i="60025"/>
  <c r="L339" i="60025" s="1"/>
  <c r="J339" i="60025"/>
  <c r="K339" i="60025" s="1"/>
  <c r="G325" i="60032" l="1"/>
  <c r="J325" i="60032" s="1"/>
  <c r="G340" i="60025"/>
  <c r="J340" i="60025" s="1"/>
  <c r="K340" i="60025" s="1"/>
  <c r="H325" i="60032" l="1"/>
  <c r="I325" i="60032" s="1"/>
  <c r="K325" i="60032" s="1"/>
  <c r="H340" i="60025"/>
  <c r="M340" i="60025" s="1"/>
  <c r="G326" i="60032" l="1"/>
  <c r="H326" i="60032" s="1"/>
  <c r="L326" i="60032" s="1"/>
  <c r="L325" i="60032"/>
  <c r="I340" i="60025"/>
  <c r="L340" i="60025" s="1"/>
  <c r="J326" i="60032" l="1"/>
  <c r="I326" i="60032"/>
  <c r="K326" i="60032" s="1"/>
  <c r="G341" i="60025"/>
  <c r="H341" i="60025" s="1"/>
  <c r="M341" i="60025" s="1"/>
  <c r="G327" i="60032" l="1"/>
  <c r="J327" i="60032" s="1"/>
  <c r="I341" i="60025"/>
  <c r="L341" i="60025" s="1"/>
  <c r="J341" i="60025"/>
  <c r="K341" i="60025" s="1"/>
  <c r="H327" i="60032" l="1"/>
  <c r="L327" i="60032" s="1"/>
  <c r="G342" i="60025"/>
  <c r="J342" i="60025" s="1"/>
  <c r="K342" i="60025" s="1"/>
  <c r="I327" i="60032" l="1"/>
  <c r="K327" i="60032" s="1"/>
  <c r="H342" i="60025"/>
  <c r="I342" i="60025" s="1"/>
  <c r="L342" i="60025" s="1"/>
  <c r="G328" i="60032" l="1"/>
  <c r="J328" i="60032" s="1"/>
  <c r="M342" i="60025"/>
  <c r="G343" i="60025"/>
  <c r="H328" i="60032" l="1"/>
  <c r="L328" i="60032" s="1"/>
  <c r="J343" i="60025"/>
  <c r="K343" i="60025" s="1"/>
  <c r="H343" i="60025"/>
  <c r="I328" i="60032" l="1"/>
  <c r="K328" i="60032" s="1"/>
  <c r="M343" i="60025"/>
  <c r="I343" i="60025"/>
  <c r="L343" i="60025" s="1"/>
  <c r="G329" i="60032" l="1"/>
  <c r="J329" i="60032" s="1"/>
  <c r="G344" i="60025"/>
  <c r="J344" i="60025" s="1"/>
  <c r="K344" i="60025" s="1"/>
  <c r="H329" i="60032" l="1"/>
  <c r="L329" i="60032" s="1"/>
  <c r="H344" i="60025"/>
  <c r="M344" i="60025" s="1"/>
  <c r="I329" i="60032" l="1"/>
  <c r="K329" i="60032" s="1"/>
  <c r="I344" i="60025"/>
  <c r="L344" i="60025" s="1"/>
  <c r="G330" i="60032" l="1"/>
  <c r="H330" i="60032" s="1"/>
  <c r="L330" i="60032" s="1"/>
  <c r="G345" i="60025"/>
  <c r="I330" i="60032" l="1"/>
  <c r="K330" i="60032" s="1"/>
  <c r="J330" i="60032"/>
  <c r="H345" i="60025"/>
  <c r="J345" i="60025"/>
  <c r="K345" i="60025" s="1"/>
  <c r="G331" i="60032" l="1"/>
  <c r="H331" i="60032" s="1"/>
  <c r="L331" i="60032" s="1"/>
  <c r="I345" i="60025"/>
  <c r="L345" i="60025" s="1"/>
  <c r="M345" i="60025"/>
  <c r="I331" i="60032" l="1"/>
  <c r="K331" i="60032" s="1"/>
  <c r="J331" i="60032"/>
  <c r="G346" i="60025"/>
  <c r="G332" i="60032" l="1"/>
  <c r="H332" i="60032" s="1"/>
  <c r="L332" i="60032" s="1"/>
  <c r="H346" i="60025"/>
  <c r="J346" i="60025"/>
  <c r="K346" i="60025" s="1"/>
  <c r="I332" i="60032" l="1"/>
  <c r="K332" i="60032" s="1"/>
  <c r="J332" i="60032"/>
  <c r="I346" i="60025"/>
  <c r="L346" i="60025" s="1"/>
  <c r="M346" i="60025"/>
  <c r="G333" i="60032" l="1"/>
  <c r="H333" i="60032" s="1"/>
  <c r="L333" i="60032" s="1"/>
  <c r="G347" i="60025"/>
  <c r="J333" i="60032" l="1"/>
  <c r="I333" i="60032"/>
  <c r="K333" i="60032" s="1"/>
  <c r="J347" i="60025"/>
  <c r="K347" i="60025" s="1"/>
  <c r="H347" i="60025"/>
  <c r="G334" i="60032" l="1"/>
  <c r="J334" i="60032" s="1"/>
  <c r="I347" i="60025"/>
  <c r="L347" i="60025" s="1"/>
  <c r="M347" i="60025"/>
  <c r="H334" i="60032" l="1"/>
  <c r="L334" i="60032" s="1"/>
  <c r="G348" i="60025"/>
  <c r="H348" i="60025" s="1"/>
  <c r="M348" i="60025" s="1"/>
  <c r="I334" i="60032" l="1"/>
  <c r="K334" i="60032" s="1"/>
  <c r="J348" i="60025"/>
  <c r="K348" i="60025" s="1"/>
  <c r="I348" i="60025"/>
  <c r="L348" i="60025" s="1"/>
  <c r="G335" i="60032" l="1"/>
  <c r="J335" i="60032" s="1"/>
  <c r="G349" i="60025"/>
  <c r="H349" i="60025" s="1"/>
  <c r="I349" i="60025" s="1"/>
  <c r="L349" i="60025" s="1"/>
  <c r="H335" i="60032" l="1"/>
  <c r="L335" i="60032" s="1"/>
  <c r="M349" i="60025"/>
  <c r="J349" i="60025"/>
  <c r="K349" i="60025" s="1"/>
  <c r="G350" i="60025"/>
  <c r="J350" i="60025" s="1"/>
  <c r="K350" i="60025" s="1"/>
  <c r="I335" i="60032" l="1"/>
  <c r="K335" i="60032" s="1"/>
  <c r="H350" i="60025"/>
  <c r="I350" i="60025" s="1"/>
  <c r="L350" i="60025" s="1"/>
  <c r="G336" i="60032" l="1"/>
  <c r="J336" i="60032" s="1"/>
  <c r="M350" i="60025"/>
  <c r="G351" i="60025"/>
  <c r="H336" i="60032" l="1"/>
  <c r="L336" i="60032" s="1"/>
  <c r="J351" i="60025"/>
  <c r="K351" i="60025" s="1"/>
  <c r="H351" i="60025"/>
  <c r="I336" i="60032" l="1"/>
  <c r="K336" i="60032" s="1"/>
  <c r="I351" i="60025"/>
  <c r="L351" i="60025" s="1"/>
  <c r="M351" i="60025"/>
  <c r="G337" i="60032" l="1"/>
  <c r="J337" i="60032" s="1"/>
  <c r="G352" i="60025"/>
  <c r="H337" i="60032" l="1"/>
  <c r="L337" i="60032" s="1"/>
  <c r="H352" i="60025"/>
  <c r="J352" i="60025"/>
  <c r="K352" i="60025" s="1"/>
  <c r="I337" i="60032" l="1"/>
  <c r="K337" i="60032" s="1"/>
  <c r="I352" i="60025"/>
  <c r="L352" i="60025" s="1"/>
  <c r="M352" i="60025"/>
  <c r="G338" i="60032" l="1"/>
  <c r="J338" i="60032" s="1"/>
  <c r="G353" i="60025"/>
  <c r="H338" i="60032" l="1"/>
  <c r="L338" i="60032" s="1"/>
  <c r="H353" i="60025"/>
  <c r="J353" i="60025"/>
  <c r="K353" i="60025" s="1"/>
  <c r="I338" i="60032" l="1"/>
  <c r="K338" i="60032" s="1"/>
  <c r="I353" i="60025"/>
  <c r="L353" i="60025" s="1"/>
  <c r="M353" i="60025"/>
  <c r="G339" i="60032" l="1"/>
  <c r="J339" i="60032" s="1"/>
  <c r="G354" i="60025"/>
  <c r="H339" i="60032" l="1"/>
  <c r="L339" i="60032" s="1"/>
  <c r="J354" i="60025"/>
  <c r="K354" i="60025" s="1"/>
  <c r="H354" i="60025"/>
  <c r="I339" i="60032" l="1"/>
  <c r="K339" i="60032" s="1"/>
  <c r="M354" i="60025"/>
  <c r="I354" i="60025"/>
  <c r="L354" i="60025" s="1"/>
  <c r="G340" i="60032" l="1"/>
  <c r="J340" i="60032" s="1"/>
  <c r="G355" i="60025"/>
  <c r="J355" i="60025" s="1"/>
  <c r="K355" i="60025" s="1"/>
  <c r="H340" i="60032" l="1"/>
  <c r="L340" i="60032" s="1"/>
  <c r="H355" i="60025"/>
  <c r="M355" i="60025" s="1"/>
  <c r="I340" i="60032" l="1"/>
  <c r="K340" i="60032" s="1"/>
  <c r="I355" i="60025"/>
  <c r="L355" i="60025" s="1"/>
  <c r="G341" i="60032" l="1"/>
  <c r="J341" i="60032" s="1"/>
  <c r="G356" i="60025"/>
  <c r="J356" i="60025" s="1"/>
  <c r="K356" i="60025" s="1"/>
  <c r="H341" i="60032" l="1"/>
  <c r="L341" i="60032" s="1"/>
  <c r="H356" i="60025"/>
  <c r="M356" i="60025" s="1"/>
  <c r="I341" i="60032" l="1"/>
  <c r="K341" i="60032" s="1"/>
  <c r="I356" i="60025"/>
  <c r="L356" i="60025" s="1"/>
  <c r="G342" i="60032" l="1"/>
  <c r="J342" i="60032" s="1"/>
  <c r="G357" i="60025"/>
  <c r="H357" i="60025" s="1"/>
  <c r="M357" i="60025" s="1"/>
  <c r="H342" i="60032" l="1"/>
  <c r="L342" i="60032" s="1"/>
  <c r="I357" i="60025"/>
  <c r="L357" i="60025" s="1"/>
  <c r="J357" i="60025"/>
  <c r="K357" i="60025" s="1"/>
  <c r="I342" i="60032" l="1"/>
  <c r="K342" i="60032" s="1"/>
  <c r="G358" i="60025"/>
  <c r="H358" i="60025" s="1"/>
  <c r="M358" i="60025" s="1"/>
  <c r="G343" i="60032" l="1"/>
  <c r="J343" i="60032" s="1"/>
  <c r="I358" i="60025"/>
  <c r="L358" i="60025" s="1"/>
  <c r="J358" i="60025"/>
  <c r="K358" i="60025" s="1"/>
  <c r="H343" i="60032" l="1"/>
  <c r="L343" i="60032" s="1"/>
  <c r="G359" i="60025"/>
  <c r="H359" i="60025" s="1"/>
  <c r="I343" i="60032" l="1"/>
  <c r="K343" i="60032" s="1"/>
  <c r="J359" i="60025"/>
  <c r="K359" i="60025" s="1"/>
  <c r="M359" i="60025"/>
  <c r="I359" i="60025"/>
  <c r="L359" i="60025" s="1"/>
  <c r="G344" i="60032" l="1"/>
  <c r="J344" i="60032" s="1"/>
  <c r="G360" i="60025"/>
  <c r="H344" i="60032" l="1"/>
  <c r="I344" i="60032" s="1"/>
  <c r="K344" i="60032" s="1"/>
  <c r="H360" i="60025"/>
  <c r="J360" i="60025"/>
  <c r="K360" i="60025" s="1"/>
  <c r="G345" i="60032" l="1"/>
  <c r="J345" i="60032" s="1"/>
  <c r="L344" i="60032"/>
  <c r="M360" i="60025"/>
  <c r="I360" i="60025"/>
  <c r="L360" i="60025" s="1"/>
  <c r="H345" i="60032" l="1"/>
  <c r="L345" i="60032" s="1"/>
  <c r="G361" i="60025"/>
  <c r="I345" i="60032" l="1"/>
  <c r="K345" i="60032" s="1"/>
  <c r="J361" i="60025"/>
  <c r="K361" i="60025" s="1"/>
  <c r="H361" i="60025"/>
  <c r="G346" i="60032" l="1"/>
  <c r="J346" i="60032" s="1"/>
  <c r="M361" i="60025"/>
  <c r="I361" i="60025"/>
  <c r="L361" i="60025" s="1"/>
  <c r="H346" i="60032" l="1"/>
  <c r="L346" i="60032" s="1"/>
  <c r="G362" i="60025"/>
  <c r="I346" i="60032" l="1"/>
  <c r="K346" i="60032" s="1"/>
  <c r="H362" i="60025"/>
  <c r="J362" i="60025"/>
  <c r="K362" i="60025" s="1"/>
  <c r="G347" i="60032" l="1"/>
  <c r="J347" i="60032" s="1"/>
  <c r="I362" i="60025"/>
  <c r="L362" i="60025" s="1"/>
  <c r="M362" i="60025"/>
  <c r="H347" i="60032" l="1"/>
  <c r="L347" i="60032" s="1"/>
  <c r="G363" i="60025"/>
  <c r="J363" i="60025" s="1"/>
  <c r="K363" i="60025" s="1"/>
  <c r="I347" i="60032" l="1"/>
  <c r="K347" i="60032" s="1"/>
  <c r="H363" i="60025"/>
  <c r="I363" i="60025" s="1"/>
  <c r="L363" i="60025" s="1"/>
  <c r="G348" i="60032" l="1"/>
  <c r="J348" i="60032" s="1"/>
  <c r="M363" i="60025"/>
  <c r="G364" i="60025"/>
  <c r="H348" i="60032" l="1"/>
  <c r="I348" i="60032" s="1"/>
  <c r="K348" i="60032" s="1"/>
  <c r="H364" i="60025"/>
  <c r="J364" i="60025"/>
  <c r="K364" i="60025" s="1"/>
  <c r="G349" i="60032" l="1"/>
  <c r="J349" i="60032" s="1"/>
  <c r="L348" i="60032"/>
  <c r="M364" i="60025"/>
  <c r="I364" i="60025"/>
  <c r="L364" i="60025" s="1"/>
  <c r="H349" i="60032" l="1"/>
  <c r="I349" i="60032" s="1"/>
  <c r="K349" i="60032" s="1"/>
  <c r="G365" i="60025"/>
  <c r="H365" i="60025" s="1"/>
  <c r="L349" i="60032" l="1"/>
  <c r="G350" i="60032"/>
  <c r="J350" i="60032" s="1"/>
  <c r="J365" i="60025"/>
  <c r="K365" i="60025" s="1"/>
  <c r="I365" i="60025"/>
  <c r="L365" i="60025" s="1"/>
  <c r="M365" i="60025"/>
  <c r="H350" i="60032" l="1"/>
  <c r="L350" i="60032" s="1"/>
  <c r="G366" i="60025"/>
  <c r="I350" i="60032" l="1"/>
  <c r="K350" i="60032" s="1"/>
  <c r="J366" i="60025"/>
  <c r="K366" i="60025" s="1"/>
  <c r="H366" i="60025"/>
  <c r="G351" i="60032" l="1"/>
  <c r="J351" i="60032" s="1"/>
  <c r="M366" i="60025"/>
  <c r="I366" i="60025"/>
  <c r="L366" i="60025" s="1"/>
  <c r="H351" i="60032" l="1"/>
  <c r="L351" i="60032" s="1"/>
  <c r="G367" i="60025"/>
  <c r="I351" i="60032" l="1"/>
  <c r="K351" i="60032" s="1"/>
  <c r="H367" i="60025"/>
  <c r="J367" i="60025"/>
  <c r="K367" i="60025" s="1"/>
  <c r="G352" i="60032" l="1"/>
  <c r="H352" i="60032" s="1"/>
  <c r="L352" i="60032" s="1"/>
  <c r="I367" i="60025"/>
  <c r="L367" i="60025" s="1"/>
  <c r="M367" i="60025"/>
  <c r="I352" i="60032" l="1"/>
  <c r="K352" i="60032" s="1"/>
  <c r="J352" i="60032"/>
  <c r="G368" i="60025"/>
  <c r="J368" i="60025" s="1"/>
  <c r="K368" i="60025" s="1"/>
  <c r="G353" i="60032" l="1"/>
  <c r="J353" i="60032" s="1"/>
  <c r="H368" i="60025"/>
  <c r="I368" i="60025" s="1"/>
  <c r="L368" i="60025" s="1"/>
  <c r="H353" i="60032" l="1"/>
  <c r="L353" i="60032" s="1"/>
  <c r="M368" i="60025"/>
  <c r="G369" i="60025"/>
  <c r="I353" i="60032" l="1"/>
  <c r="K353" i="60032" s="1"/>
  <c r="J369" i="60025"/>
  <c r="K369" i="60025" s="1"/>
  <c r="K1" i="60025" s="1"/>
  <c r="C11" i="60025" s="1"/>
  <c r="H369" i="60025"/>
  <c r="G354" i="60032" l="1"/>
  <c r="J354" i="60032" s="1"/>
  <c r="M369" i="60025"/>
  <c r="M1" i="60025" s="1"/>
  <c r="C13" i="60025" s="1"/>
  <c r="I369" i="60025"/>
  <c r="L369" i="60025" s="1"/>
  <c r="L1" i="60025" s="1"/>
  <c r="C12" i="60025" s="1"/>
  <c r="H354" i="60032" l="1"/>
  <c r="L354" i="60032" s="1"/>
  <c r="C14" i="60025"/>
  <c r="P2" i="60025" s="1"/>
  <c r="I354" i="60032" l="1"/>
  <c r="K354" i="60032" s="1"/>
  <c r="R2" i="60025"/>
  <c r="G355" i="60032" l="1"/>
  <c r="J355" i="60032" s="1"/>
  <c r="H355" i="60032" l="1"/>
  <c r="L355" i="60032" s="1"/>
  <c r="I355" i="60032" l="1"/>
  <c r="K355" i="60032" s="1"/>
  <c r="G356" i="60032" l="1"/>
  <c r="J356" i="60032" s="1"/>
  <c r="H356" i="60032" l="1"/>
  <c r="L356" i="60032" s="1"/>
  <c r="I356" i="60032" l="1"/>
  <c r="K356" i="60032" s="1"/>
  <c r="G357" i="60032" l="1"/>
  <c r="H357" i="60032" s="1"/>
  <c r="L357" i="60032" s="1"/>
  <c r="J357" i="60032" l="1"/>
  <c r="I357" i="60032"/>
  <c r="K357" i="60032" s="1"/>
  <c r="G358" i="60032" l="1"/>
  <c r="H358" i="60032" s="1"/>
  <c r="L358" i="60032" s="1"/>
  <c r="J358" i="60032" l="1"/>
  <c r="I358" i="60032"/>
  <c r="K358" i="60032" s="1"/>
  <c r="G359" i="60032" l="1"/>
  <c r="H359" i="60032" s="1"/>
  <c r="L359" i="60032" s="1"/>
  <c r="J359" i="60032" l="1"/>
  <c r="I359" i="60032"/>
  <c r="K359" i="60032" s="1"/>
  <c r="G360" i="60032" l="1"/>
  <c r="J360" i="60032" s="1"/>
  <c r="H360" i="60032" l="1"/>
  <c r="L360" i="60032" s="1"/>
  <c r="I360" i="60032" l="1"/>
  <c r="K360" i="60032" s="1"/>
  <c r="G361" i="60032" l="1"/>
  <c r="H361" i="60032" s="1"/>
  <c r="L361" i="60032" s="1"/>
  <c r="I361" i="60032" l="1"/>
  <c r="K361" i="60032" s="1"/>
  <c r="J361" i="60032"/>
  <c r="G362" i="60032" l="1"/>
  <c r="J362" i="60032" s="1"/>
  <c r="H362" i="60032" l="1"/>
  <c r="L362" i="60032" s="1"/>
  <c r="I362" i="60032" l="1"/>
  <c r="K362" i="60032" s="1"/>
  <c r="G363" i="60032" l="1"/>
  <c r="H363" i="60032" s="1"/>
  <c r="L363" i="60032" s="1"/>
  <c r="J363" i="60032" l="1"/>
  <c r="I363" i="60032"/>
  <c r="K363" i="60032" s="1"/>
  <c r="G364" i="60032" l="1"/>
  <c r="J364" i="60032" s="1"/>
  <c r="H364" i="60032" l="1"/>
  <c r="L364" i="60032" s="1"/>
  <c r="I364" i="60032" l="1"/>
  <c r="K364" i="60032" s="1"/>
  <c r="G365" i="60032" l="1"/>
  <c r="H365" i="60032" s="1"/>
  <c r="L365" i="60032" s="1"/>
  <c r="J365" i="60032" l="1"/>
  <c r="I365" i="60032"/>
  <c r="K365" i="60032" s="1"/>
  <c r="G366" i="60032" l="1"/>
  <c r="J366" i="60032" s="1"/>
  <c r="H366" i="60032" l="1"/>
  <c r="I366" i="60032" l="1"/>
  <c r="K366" i="60032" s="1"/>
  <c r="L366" i="60032"/>
  <c r="G367" i="60032" l="1"/>
  <c r="J367" i="60032" s="1"/>
  <c r="H367" i="60032" l="1"/>
  <c r="L367" i="60032" s="1"/>
  <c r="I367" i="60032" l="1"/>
  <c r="K367" i="60032" s="1"/>
  <c r="G368" i="60032" l="1"/>
  <c r="J368" i="60032" s="1"/>
  <c r="H368" i="60032" l="1"/>
  <c r="L368" i="60032" s="1"/>
  <c r="I368" i="60032" l="1"/>
  <c r="K368" i="60032" s="1"/>
  <c r="G369" i="60032" l="1"/>
  <c r="J369" i="60032" s="1"/>
  <c r="J1" i="60032" s="1"/>
  <c r="C11" i="60032" s="1"/>
  <c r="N2" i="60032" s="1"/>
  <c r="H369" i="60032" l="1"/>
  <c r="L369" i="60032" s="1"/>
  <c r="L1" i="60032" s="1"/>
  <c r="C13" i="60032" s="1"/>
  <c r="I369" i="60032" l="1"/>
  <c r="K369" i="60032" s="1"/>
  <c r="K1" i="60032" s="1"/>
  <c r="C12" i="60032" s="1"/>
  <c r="C14" i="60032" s="1"/>
</calcChain>
</file>

<file path=xl/sharedStrings.xml><?xml version="1.0" encoding="utf-8"?>
<sst xmlns="http://schemas.openxmlformats.org/spreadsheetml/2006/main" count="88" uniqueCount="54">
  <si>
    <t>年订货成本</t>
  </si>
  <si>
    <t>年储存成本</t>
  </si>
  <si>
    <t>年总成本</t>
  </si>
  <si>
    <t>订货量</t>
  </si>
  <si>
    <t>初始库存量</t>
  </si>
  <si>
    <t>单位年储存成本</t>
  </si>
  <si>
    <t>单位日储存成本</t>
  </si>
  <si>
    <t>天</t>
  </si>
  <si>
    <t>开始</t>
  </si>
  <si>
    <t>结束</t>
  </si>
  <si>
    <t>订货</t>
  </si>
  <si>
    <t>储存</t>
  </si>
  <si>
    <t>标志</t>
  </si>
  <si>
    <t>成本</t>
  </si>
  <si>
    <t>最优订货量</t>
  </si>
  <si>
    <t>年总成本极小值</t>
  </si>
  <si>
    <t>日需</t>
  </si>
  <si>
    <t>求量</t>
  </si>
  <si>
    <t>年总成本</t>
    <phoneticPr fontId="2" type="noConversion"/>
  </si>
  <si>
    <t>缺货</t>
    <phoneticPr fontId="2" type="noConversion"/>
  </si>
  <si>
    <t>成本</t>
    <phoneticPr fontId="2" type="noConversion"/>
  </si>
  <si>
    <t>缺货</t>
    <phoneticPr fontId="2" type="noConversion"/>
  </si>
  <si>
    <t>量</t>
    <phoneticPr fontId="2" type="noConversion"/>
  </si>
  <si>
    <t>累积概率</t>
    <phoneticPr fontId="2" type="noConversion"/>
  </si>
  <si>
    <t>概率</t>
    <phoneticPr fontId="2" type="noConversion"/>
  </si>
  <si>
    <t>需求</t>
    <phoneticPr fontId="2" type="noConversion"/>
  </si>
  <si>
    <t>安全库存</t>
    <phoneticPr fontId="2" type="noConversion"/>
  </si>
  <si>
    <t>单位缺货成本</t>
    <phoneticPr fontId="2" type="noConversion"/>
  </si>
  <si>
    <t>一次随机模拟</t>
    <phoneticPr fontId="2" type="noConversion"/>
  </si>
  <si>
    <t>一次订货成本</t>
    <phoneticPr fontId="2" type="noConversion"/>
  </si>
  <si>
    <t>年缺货成本</t>
    <phoneticPr fontId="2" type="noConversion"/>
  </si>
  <si>
    <t>平均值</t>
    <phoneticPr fontId="2" type="noConversion"/>
  </si>
  <si>
    <t>一次模拟参考线</t>
    <phoneticPr fontId="2" type="noConversion"/>
  </si>
  <si>
    <t>库存</t>
    <phoneticPr fontId="2" type="noConversion"/>
  </si>
  <si>
    <t>1.输入区</t>
    <phoneticPr fontId="2" type="noConversion"/>
  </si>
  <si>
    <t>2.工作区</t>
    <phoneticPr fontId="2" type="noConversion"/>
  </si>
  <si>
    <t>3.输出区</t>
    <phoneticPr fontId="2" type="noConversion"/>
  </si>
  <si>
    <t>4.试验区</t>
    <phoneticPr fontId="2" type="noConversion"/>
  </si>
  <si>
    <t>4.试验区（多次）</t>
    <phoneticPr fontId="2" type="noConversion"/>
  </si>
  <si>
    <t>5.统计区</t>
    <phoneticPr fontId="2" type="noConversion"/>
  </si>
  <si>
    <r>
      <rPr>
        <b/>
        <sz val="11"/>
        <rFont val="宋体"/>
        <family val="3"/>
        <charset val="134"/>
      </rPr>
      <t>1.输入区</t>
    </r>
    <r>
      <rPr>
        <sz val="11"/>
        <rFont val="宋体"/>
        <family val="3"/>
        <charset val="134"/>
      </rPr>
      <t>—日需求量分布</t>
    </r>
    <phoneticPr fontId="2" type="noConversion"/>
  </si>
  <si>
    <t>6.图形区</t>
    <phoneticPr fontId="2" type="noConversion"/>
  </si>
  <si>
    <t>告罄</t>
  </si>
  <si>
    <t>标志</t>
    <phoneticPr fontId="2" type="noConversion"/>
  </si>
  <si>
    <t>服务水平</t>
    <phoneticPr fontId="2" type="noConversion"/>
  </si>
  <si>
    <r>
      <t>6.图形区</t>
    </r>
    <r>
      <rPr>
        <sz val="11"/>
        <rFont val="宋体"/>
        <family val="3"/>
        <charset val="134"/>
        <scheme val="minor"/>
      </rPr>
      <t>-当前服务水平</t>
    </r>
    <phoneticPr fontId="2" type="noConversion"/>
  </si>
  <si>
    <t>4.试验区</t>
    <phoneticPr fontId="2" type="noConversion"/>
  </si>
  <si>
    <t>订货</t>
    <phoneticPr fontId="2" type="noConversion"/>
  </si>
  <si>
    <t>成本</t>
    <phoneticPr fontId="2" type="noConversion"/>
  </si>
  <si>
    <t>储存</t>
    <phoneticPr fontId="2" type="noConversion"/>
  </si>
  <si>
    <t>订货成本</t>
    <phoneticPr fontId="2" type="noConversion"/>
  </si>
  <si>
    <t>储存成本</t>
    <phoneticPr fontId="2" type="noConversion"/>
  </si>
  <si>
    <t>总成本</t>
    <phoneticPr fontId="2" type="noConversion"/>
  </si>
  <si>
    <r>
      <t>6.图形区-当前</t>
    </r>
    <r>
      <rPr>
        <sz val="11"/>
        <rFont val="宋体"/>
        <family val="3"/>
        <charset val="134"/>
        <scheme val="minor"/>
      </rPr>
      <t>安全库存</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</si>
</sst>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_(* #,##0.00_);_(* \(#,##0.00\);_(* &quot;-&quot;??_);_(@_)"/>
    <numFmt numFmtId="177" formatCode="0.0"/>
    <numFmt numFmtId="178" formatCode="0_);[Red]\(0\)"/>
    <numFmt numFmtId="179" formatCode="0.000"/>
  </numFmts>
  <fonts count="11" x14ac:knownFonts="1">
    <font>
      <sz val="10"/>
      <name val="Arial"/>
      <family val="2"/>
    </font>
    <font>
      <sz val="10"/>
      <name val="Arial"/>
      <family val="2"/>
    </font>
    <font>
      <sz val="9"/>
      <name val="宋体"/>
      <family val="3"/>
      <charset val="134"/>
    </font>
    <font>
      <sz val="9"/>
      <name val="宋体"/>
      <family val="3"/>
      <charset val="134"/>
    </font>
    <font>
      <sz val="11"/>
      <name val="宋体"/>
      <family val="3"/>
      <charset val="134"/>
    </font>
    <font>
      <sz val="11"/>
      <color theme="1"/>
      <name val="宋体"/>
      <family val="3"/>
      <charset val="134"/>
    </font>
    <font>
      <sz val="11"/>
      <name val="Arial"/>
      <family val="2"/>
    </font>
    <font>
      <sz val="11"/>
      <color theme="1"/>
      <name val="Arial"/>
      <family val="2"/>
    </font>
    <font>
      <b/>
      <sz val="11"/>
      <name val="宋体"/>
      <family val="3"/>
      <charset val="134"/>
    </font>
    <font>
      <b/>
      <sz val="11"/>
      <name val="宋体"/>
      <family val="3"/>
      <charset val="134"/>
      <scheme val="minor"/>
    </font>
    <font>
      <sz val="11"/>
      <name val="宋体"/>
      <family val="3"/>
      <charset val="134"/>
      <scheme val="minor"/>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double">
        <color indexed="9"/>
      </left>
      <right/>
      <top/>
      <bottom/>
      <diagonal/>
    </border>
  </borders>
  <cellStyleXfs count="3">
    <xf numFmtId="0" fontId="0" fillId="0" borderId="0"/>
    <xf numFmtId="176" fontId="1" fillId="0" borderId="0" applyFont="0" applyFill="0" applyBorder="0" applyAlignment="0" applyProtection="0"/>
    <xf numFmtId="9" fontId="1" fillId="0" borderId="0" applyFont="0" applyFill="0" applyBorder="0" applyAlignment="0" applyProtection="0">
      <alignment vertical="center"/>
    </xf>
  </cellStyleXfs>
  <cellXfs count="61">
    <xf numFmtId="0" fontId="0" fillId="0" borderId="0" xfId="0"/>
    <xf numFmtId="0" fontId="4" fillId="0" borderId="0" xfId="0" applyFont="1" applyFill="1"/>
    <xf numFmtId="0" fontId="4" fillId="0" borderId="1" xfId="0" applyFont="1" applyFill="1" applyBorder="1" applyAlignment="1">
      <alignment horizontal="center" vertical="center"/>
    </xf>
    <xf numFmtId="0" fontId="4" fillId="0" borderId="0" xfId="0" applyFont="1" applyFill="1" applyBorder="1"/>
    <xf numFmtId="0" fontId="4" fillId="0" borderId="0" xfId="0" applyFont="1" applyFill="1" applyAlignment="1">
      <alignment horizontal="center" vertical="center"/>
    </xf>
    <xf numFmtId="1" fontId="4" fillId="0" borderId="1" xfId="0" applyNumberFormat="1" applyFont="1" applyFill="1" applyBorder="1" applyAlignment="1">
      <alignment horizontal="center" vertical="center"/>
    </xf>
    <xf numFmtId="2" fontId="4" fillId="0" borderId="6" xfId="1" applyNumberFormat="1" applyFont="1" applyFill="1" applyBorder="1" applyAlignment="1">
      <alignment horizontal="center" vertical="center"/>
    </xf>
    <xf numFmtId="0" fontId="4" fillId="0" borderId="0" xfId="0" applyFont="1" applyFill="1" applyBorder="1" applyAlignment="1">
      <alignment horizontal="center" vertical="center"/>
    </xf>
    <xf numFmtId="178" fontId="4" fillId="0" borderId="0" xfId="0" applyNumberFormat="1" applyFont="1" applyFill="1" applyAlignment="1">
      <alignment horizontal="center" vertical="center"/>
    </xf>
    <xf numFmtId="1" fontId="4" fillId="0" borderId="0" xfId="1" applyNumberFormat="1" applyFont="1" applyFill="1" applyBorder="1" applyAlignment="1">
      <alignment horizontal="center" vertical="center"/>
    </xf>
    <xf numFmtId="178" fontId="4" fillId="0" borderId="0" xfId="0" applyNumberFormat="1" applyFont="1" applyFill="1" applyBorder="1" applyAlignment="1">
      <alignment horizontal="center" vertical="center"/>
    </xf>
    <xf numFmtId="177" fontId="4" fillId="0" borderId="0" xfId="0" applyNumberFormat="1" applyFont="1" applyFill="1" applyBorder="1" applyAlignment="1">
      <alignment horizontal="center" vertical="center"/>
    </xf>
    <xf numFmtId="1" fontId="4" fillId="0" borderId="0" xfId="1" applyNumberFormat="1" applyFont="1" applyFill="1" applyAlignment="1">
      <alignment horizontal="center" vertical="center"/>
    </xf>
    <xf numFmtId="176" fontId="4" fillId="0" borderId="0" xfId="1" applyFont="1" applyFill="1" applyAlignment="1">
      <alignment horizontal="center" vertical="center"/>
    </xf>
    <xf numFmtId="1" fontId="4" fillId="0" borderId="0" xfId="0" applyNumberFormat="1" applyFont="1" applyFill="1" applyAlignment="1">
      <alignment horizontal="center" vertical="center"/>
    </xf>
    <xf numFmtId="2" fontId="4" fillId="0" borderId="0" xfId="0" applyNumberFormat="1" applyFont="1" applyFill="1" applyAlignment="1">
      <alignment horizontal="center" vertical="center"/>
    </xf>
    <xf numFmtId="2" fontId="4" fillId="0" borderId="1" xfId="1" applyNumberFormat="1" applyFont="1" applyFill="1" applyBorder="1" applyAlignment="1">
      <alignment horizontal="center" vertical="center"/>
    </xf>
    <xf numFmtId="1" fontId="8" fillId="0" borderId="7" xfId="1" applyNumberFormat="1" applyFont="1" applyFill="1" applyBorder="1" applyAlignment="1">
      <alignment horizontal="left" vertical="center"/>
    </xf>
    <xf numFmtId="0" fontId="8" fillId="0" borderId="0" xfId="0" applyFont="1" applyFill="1" applyAlignment="1">
      <alignment horizontal="left" vertical="center"/>
    </xf>
    <xf numFmtId="0" fontId="8" fillId="0" borderId="0" xfId="0" applyFont="1" applyFill="1" applyAlignment="1">
      <alignment horizontal="center" vertical="center"/>
    </xf>
    <xf numFmtId="0" fontId="8" fillId="0" borderId="0" xfId="0" applyFont="1" applyFill="1" applyAlignment="1">
      <alignment horizontal="right" vertical="center"/>
    </xf>
    <xf numFmtId="0" fontId="4" fillId="0" borderId="0" xfId="0" applyFont="1" applyFill="1" applyAlignment="1">
      <alignment vertical="center"/>
    </xf>
    <xf numFmtId="0" fontId="8" fillId="0" borderId="0" xfId="0" applyFont="1" applyFill="1" applyAlignment="1">
      <alignment vertical="center"/>
    </xf>
    <xf numFmtId="0" fontId="4" fillId="0" borderId="0" xfId="0" applyFont="1" applyFill="1" applyBorder="1" applyAlignment="1">
      <alignment vertical="center"/>
    </xf>
    <xf numFmtId="2" fontId="4" fillId="0" borderId="1" xfId="0" applyNumberFormat="1" applyFont="1" applyFill="1" applyBorder="1" applyAlignment="1">
      <alignment horizontal="center" vertical="center"/>
    </xf>
    <xf numFmtId="1" fontId="4" fillId="0" borderId="0" xfId="0" applyNumberFormat="1" applyFont="1" applyFill="1" applyBorder="1" applyAlignment="1">
      <alignment horizontal="center" vertical="center"/>
    </xf>
    <xf numFmtId="0" fontId="8" fillId="0" borderId="6" xfId="0" applyFont="1" applyFill="1" applyBorder="1" applyAlignment="1">
      <alignment horizontal="center" vertical="center"/>
    </xf>
    <xf numFmtId="0" fontId="4" fillId="0" borderId="6" xfId="0" applyFont="1" applyFill="1" applyBorder="1" applyAlignment="1">
      <alignment horizontal="center" vertical="center" wrapText="1"/>
    </xf>
    <xf numFmtId="1" fontId="4" fillId="0" borderId="6" xfId="1" applyNumberFormat="1" applyFont="1" applyFill="1" applyBorder="1" applyAlignment="1">
      <alignment horizontal="center" vertical="center" wrapText="1"/>
    </xf>
    <xf numFmtId="9" fontId="4" fillId="0" borderId="0" xfId="2" applyFont="1" applyFill="1" applyAlignment="1">
      <alignment horizontal="center" vertical="center"/>
    </xf>
    <xf numFmtId="178" fontId="4" fillId="0" borderId="6" xfId="0" applyNumberFormat="1" applyFont="1" applyFill="1" applyBorder="1" applyAlignment="1">
      <alignment horizontal="center" vertical="center"/>
    </xf>
    <xf numFmtId="0" fontId="4" fillId="0" borderId="6" xfId="0" applyFont="1" applyFill="1" applyBorder="1" applyAlignment="1">
      <alignment horizontal="center" vertical="center"/>
    </xf>
    <xf numFmtId="0" fontId="4" fillId="0" borderId="2" xfId="0" applyFont="1" applyFill="1" applyBorder="1" applyAlignment="1">
      <alignment vertical="center"/>
    </xf>
    <xf numFmtId="0" fontId="8" fillId="0" borderId="5" xfId="0" applyFont="1" applyFill="1" applyBorder="1" applyAlignment="1">
      <alignment horizontal="center" vertical="center"/>
    </xf>
    <xf numFmtId="0" fontId="4" fillId="0" borderId="5" xfId="0" applyFont="1" applyFill="1" applyBorder="1" applyAlignment="1">
      <alignment horizontal="center" vertical="center" wrapText="1"/>
    </xf>
    <xf numFmtId="1" fontId="4" fillId="0" borderId="5" xfId="1" applyNumberFormat="1" applyFont="1" applyFill="1" applyBorder="1" applyAlignment="1">
      <alignment horizontal="center" vertical="center" wrapText="1"/>
    </xf>
    <xf numFmtId="9" fontId="4" fillId="0" borderId="6" xfId="2" applyFont="1" applyFill="1" applyBorder="1" applyAlignment="1">
      <alignment horizontal="center" vertical="center"/>
    </xf>
    <xf numFmtId="9" fontId="4" fillId="0" borderId="1" xfId="2" applyFont="1" applyFill="1" applyBorder="1" applyAlignment="1">
      <alignment horizontal="center" vertical="center"/>
    </xf>
    <xf numFmtId="0" fontId="4" fillId="0" borderId="3" xfId="0" applyFont="1" applyFill="1" applyBorder="1" applyAlignment="1">
      <alignment vertical="center"/>
    </xf>
    <xf numFmtId="0" fontId="4" fillId="0" borderId="4" xfId="0" applyFont="1" applyFill="1" applyBorder="1" applyAlignment="1">
      <alignment vertical="center"/>
    </xf>
    <xf numFmtId="179" fontId="4" fillId="0" borderId="1" xfId="0" applyNumberFormat="1" applyFont="1" applyFill="1" applyBorder="1" applyAlignment="1">
      <alignment horizontal="center" vertical="center"/>
    </xf>
    <xf numFmtId="0" fontId="0" fillId="0" borderId="0" xfId="0" applyFill="1" applyAlignment="1">
      <alignment vertical="center"/>
    </xf>
    <xf numFmtId="0" fontId="0" fillId="0" borderId="0" xfId="0" applyFill="1" applyAlignment="1">
      <alignment horizontal="center" vertical="center"/>
    </xf>
    <xf numFmtId="0" fontId="6" fillId="0" borderId="0" xfId="0" applyFont="1" applyFill="1" applyAlignment="1">
      <alignment vertical="center"/>
    </xf>
    <xf numFmtId="0" fontId="9" fillId="0" borderId="0" xfId="0" applyFont="1" applyFill="1" applyAlignment="1">
      <alignment horizontal="left" vertical="center"/>
    </xf>
    <xf numFmtId="0" fontId="4" fillId="0" borderId="2" xfId="0" applyFont="1" applyFill="1" applyBorder="1" applyAlignment="1">
      <alignment horizontal="center" vertical="center"/>
    </xf>
    <xf numFmtId="9" fontId="4" fillId="0" borderId="1" xfId="0" applyNumberFormat="1" applyFont="1" applyFill="1" applyBorder="1" applyAlignment="1">
      <alignment horizontal="center" vertical="center"/>
    </xf>
    <xf numFmtId="0" fontId="7" fillId="0" borderId="0" xfId="0" applyFont="1" applyFill="1" applyAlignment="1">
      <alignment vertical="center"/>
    </xf>
    <xf numFmtId="178" fontId="4" fillId="0" borderId="1" xfId="0" applyNumberFormat="1" applyFont="1" applyFill="1" applyBorder="1" applyAlignment="1">
      <alignment horizontal="center" vertical="center"/>
    </xf>
    <xf numFmtId="1" fontId="4" fillId="0" borderId="6" xfId="0" applyNumberFormat="1" applyFont="1" applyFill="1" applyBorder="1" applyAlignment="1">
      <alignment horizontal="center" vertical="center" wrapText="1"/>
    </xf>
    <xf numFmtId="1" fontId="4" fillId="0" borderId="5" xfId="0" applyNumberFormat="1" applyFont="1" applyFill="1" applyBorder="1" applyAlignment="1">
      <alignment horizontal="center" vertical="center" wrapText="1"/>
    </xf>
    <xf numFmtId="0" fontId="5" fillId="0" borderId="0" xfId="0" applyFont="1" applyFill="1" applyAlignment="1">
      <alignment horizontal="left" vertical="center"/>
    </xf>
    <xf numFmtId="0" fontId="4" fillId="0" borderId="2" xfId="0" applyFont="1" applyFill="1" applyBorder="1" applyAlignment="1">
      <alignment horizontal="left" vertical="center"/>
    </xf>
    <xf numFmtId="0" fontId="0" fillId="0" borderId="0" xfId="0" applyFill="1"/>
    <xf numFmtId="1" fontId="4" fillId="0" borderId="1" xfId="0" applyNumberFormat="1" applyFont="1" applyFill="1" applyBorder="1" applyAlignment="1">
      <alignment vertical="center"/>
    </xf>
    <xf numFmtId="0" fontId="8" fillId="0" borderId="6" xfId="0" applyFont="1" applyFill="1" applyBorder="1" applyAlignment="1">
      <alignment horizontal="center" vertical="center" wrapText="1"/>
    </xf>
    <xf numFmtId="0" fontId="8" fillId="0" borderId="5" xfId="0" applyFont="1" applyFill="1" applyBorder="1" applyAlignment="1">
      <alignment horizontal="center" vertical="center" wrapText="1"/>
    </xf>
    <xf numFmtId="0" fontId="4" fillId="0" borderId="6" xfId="0" applyFont="1" applyFill="1" applyBorder="1" applyAlignment="1">
      <alignment vertical="center"/>
    </xf>
    <xf numFmtId="0" fontId="4" fillId="0" borderId="5" xfId="0" applyFont="1" applyFill="1" applyBorder="1" applyAlignment="1">
      <alignment vertical="center"/>
    </xf>
    <xf numFmtId="0" fontId="4" fillId="0" borderId="6" xfId="0" applyFont="1" applyFill="1" applyBorder="1" applyAlignment="1">
      <alignment horizontal="center" vertical="center"/>
    </xf>
    <xf numFmtId="0" fontId="4" fillId="0" borderId="5" xfId="0" applyFont="1" applyFill="1" applyBorder="1" applyAlignment="1">
      <alignment horizontal="center" vertical="center"/>
    </xf>
  </cellXfs>
  <cellStyles count="3">
    <cellStyle name="百分比" xfId="2" builtinId="5"/>
    <cellStyle name="常规" xfId="0" builtinId="0"/>
    <cellStyle name="千位分隔" xfId="1" builtinId="3"/>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CC"/>
      <rgbColor rgb="0099CCFF"/>
      <rgbColor rgb="00FF99CC"/>
      <rgbColor rgb="00CC99FF"/>
      <rgbColor rgb="00DDDDDD"/>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CC"/>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rtl="0">
              <a:defRPr sz="1400"/>
            </a:pPr>
            <a:r>
              <a:rPr lang="zh-CN" altLang="zh-CN" sz="1800" b="1" i="0" baseline="0">
                <a:effectLst/>
              </a:rPr>
              <a:t>年总成本随订货量变化图</a:t>
            </a:r>
            <a:endParaRPr lang="zh-CN" altLang="zh-CN" sz="1400">
              <a:effectLst/>
            </a:endParaRPr>
          </a:p>
        </c:rich>
      </c:tx>
      <c:layout>
        <c:manualLayout>
          <c:xMode val="edge"/>
          <c:yMode val="edge"/>
          <c:x val="0.30658649055778681"/>
          <c:y val="1.6431511620977151E-2"/>
        </c:manualLayout>
      </c:layout>
      <c:overlay val="0"/>
      <c:spPr>
        <a:noFill/>
        <a:ln w="25400">
          <a:noFill/>
        </a:ln>
      </c:spPr>
    </c:title>
    <c:autoTitleDeleted val="0"/>
    <c:plotArea>
      <c:layout>
        <c:manualLayout>
          <c:layoutTarget val="inner"/>
          <c:xMode val="edge"/>
          <c:yMode val="edge"/>
          <c:x val="9.2018947528155884E-2"/>
          <c:y val="0.1236357428301212"/>
          <c:w val="0.83676117268126848"/>
          <c:h val="0.77505868378467213"/>
        </c:manualLayout>
      </c:layout>
      <c:scatterChart>
        <c:scatterStyle val="lineMarker"/>
        <c:varyColors val="0"/>
        <c:ser>
          <c:idx val="0"/>
          <c:order val="0"/>
          <c:tx>
            <c:v>一次模拟年总成本</c:v>
          </c:tx>
          <c:spPr>
            <a:ln w="22225">
              <a:solidFill>
                <a:srgbClr val="000000"/>
              </a:solidFill>
              <a:prstDash val="dash"/>
            </a:ln>
          </c:spPr>
          <c:marker>
            <c:symbol val="none"/>
          </c:marker>
          <c:xVal>
            <c:numRef>
              <c:f>随机需求模拟模型!$O$3:$O$13</c:f>
              <c:numCache>
                <c:formatCode>General</c:formatCode>
                <c:ptCount val="11"/>
                <c:pt idx="0">
                  <c:v>600</c:v>
                </c:pt>
                <c:pt idx="1">
                  <c:v>700</c:v>
                </c:pt>
                <c:pt idx="2">
                  <c:v>800</c:v>
                </c:pt>
                <c:pt idx="3">
                  <c:v>900</c:v>
                </c:pt>
                <c:pt idx="4">
                  <c:v>1000</c:v>
                </c:pt>
                <c:pt idx="5">
                  <c:v>1100</c:v>
                </c:pt>
                <c:pt idx="6">
                  <c:v>1200</c:v>
                </c:pt>
                <c:pt idx="7">
                  <c:v>1300</c:v>
                </c:pt>
                <c:pt idx="8">
                  <c:v>1400</c:v>
                </c:pt>
                <c:pt idx="9">
                  <c:v>1500</c:v>
                </c:pt>
                <c:pt idx="10">
                  <c:v>1600</c:v>
                </c:pt>
              </c:numCache>
            </c:numRef>
          </c:xVal>
          <c:yVal>
            <c:numRef>
              <c:f>随机需求模拟模型!$P$3:$P$13</c:f>
              <c:numCache>
                <c:formatCode>0</c:formatCode>
                <c:ptCount val="11"/>
                <c:pt idx="0">
                  <c:v>18928.493150684932</c:v>
                </c:pt>
                <c:pt idx="1">
                  <c:v>17484.109589041094</c:v>
                </c:pt>
                <c:pt idx="2">
                  <c:v>14604.657534246575</c:v>
                </c:pt>
                <c:pt idx="3">
                  <c:v>13475.068493150682</c:v>
                </c:pt>
                <c:pt idx="4">
                  <c:v>13130.410958904111</c:v>
                </c:pt>
                <c:pt idx="5">
                  <c:v>15300.547945205479</c:v>
                </c:pt>
                <c:pt idx="6">
                  <c:v>12921.643835616444</c:v>
                </c:pt>
                <c:pt idx="7">
                  <c:v>13334.520547945205</c:v>
                </c:pt>
                <c:pt idx="8">
                  <c:v>13397.534246575349</c:v>
                </c:pt>
                <c:pt idx="9">
                  <c:v>13476.986301369867</c:v>
                </c:pt>
                <c:pt idx="10">
                  <c:v>14904.931506849316</c:v>
                </c:pt>
              </c:numCache>
            </c:numRef>
          </c:yVal>
          <c:smooth val="0"/>
          <c:extLst>
            <c:ext xmlns:c16="http://schemas.microsoft.com/office/drawing/2014/chart" uri="{C3380CC4-5D6E-409C-BE32-E72D297353CC}">
              <c16:uniqueId val="{00000000-476B-4E75-9868-4DAA3BB334CA}"/>
            </c:ext>
          </c:extLst>
        </c:ser>
        <c:ser>
          <c:idx val="2"/>
          <c:order val="1"/>
          <c:tx>
            <c:v>一次模拟最优订货量参考线</c:v>
          </c:tx>
          <c:spPr>
            <a:ln w="22225">
              <a:solidFill>
                <a:srgbClr val="000000"/>
              </a:solidFill>
              <a:prstDash val="dash"/>
            </a:ln>
          </c:spPr>
          <c:marker>
            <c:symbol val="square"/>
            <c:size val="6"/>
            <c:spPr>
              <a:solidFill>
                <a:schemeClr val="bg1"/>
              </a:solidFill>
              <a:ln>
                <a:solidFill>
                  <a:srgbClr val="000000"/>
                </a:solidFill>
              </a:ln>
            </c:spPr>
          </c:marker>
          <c:dPt>
            <c:idx val="0"/>
            <c:marker>
              <c:symbol val="none"/>
            </c:marker>
            <c:bubble3D val="0"/>
            <c:extLst>
              <c:ext xmlns:c16="http://schemas.microsoft.com/office/drawing/2014/chart" uri="{C3380CC4-5D6E-409C-BE32-E72D297353CC}">
                <c16:uniqueId val="{00000001-476B-4E75-9868-4DAA3BB334CA}"/>
              </c:ext>
            </c:extLst>
          </c:dPt>
          <c:dPt>
            <c:idx val="2"/>
            <c:marker>
              <c:symbol val="none"/>
            </c:marker>
            <c:bubble3D val="0"/>
            <c:extLst>
              <c:ext xmlns:c16="http://schemas.microsoft.com/office/drawing/2014/chart" uri="{C3380CC4-5D6E-409C-BE32-E72D297353CC}">
                <c16:uniqueId val="{00000002-476B-4E75-9868-4DAA3BB334CA}"/>
              </c:ext>
            </c:extLst>
          </c:dPt>
          <c:xVal>
            <c:numRef>
              <c:f>随机需求模拟模型!$O$16:$O$18</c:f>
              <c:numCache>
                <c:formatCode>0_);[Red]\(0\)</c:formatCode>
                <c:ptCount val="3"/>
                <c:pt idx="0">
                  <c:v>1200</c:v>
                </c:pt>
                <c:pt idx="1">
                  <c:v>1200</c:v>
                </c:pt>
                <c:pt idx="2">
                  <c:v>1200</c:v>
                </c:pt>
              </c:numCache>
            </c:numRef>
          </c:xVal>
          <c:yVal>
            <c:numRef>
              <c:f>随机需求模拟模型!$P$16:$P$18</c:f>
              <c:numCache>
                <c:formatCode>0_);[Red]\(0\)</c:formatCode>
                <c:ptCount val="3"/>
                <c:pt idx="0">
                  <c:v>10000</c:v>
                </c:pt>
                <c:pt idx="1">
                  <c:v>12921.643835616444</c:v>
                </c:pt>
                <c:pt idx="2">
                  <c:v>24000</c:v>
                </c:pt>
              </c:numCache>
            </c:numRef>
          </c:yVal>
          <c:smooth val="0"/>
          <c:extLst>
            <c:ext xmlns:c16="http://schemas.microsoft.com/office/drawing/2014/chart" uri="{C3380CC4-5D6E-409C-BE32-E72D297353CC}">
              <c16:uniqueId val="{00000003-476B-4E75-9868-4DAA3BB334CA}"/>
            </c:ext>
          </c:extLst>
        </c:ser>
        <c:ser>
          <c:idx val="1"/>
          <c:order val="2"/>
          <c:tx>
            <c:v>100次模拟年总成本</c:v>
          </c:tx>
          <c:spPr>
            <a:ln w="38100">
              <a:solidFill>
                <a:schemeClr val="tx1"/>
              </a:solidFill>
            </a:ln>
          </c:spPr>
          <c:marker>
            <c:symbol val="none"/>
          </c:marker>
          <c:xVal>
            <c:numRef>
              <c:f>随机需求模拟模型!$R$3:$R$13</c:f>
              <c:numCache>
                <c:formatCode>General</c:formatCode>
                <c:ptCount val="11"/>
                <c:pt idx="0">
                  <c:v>600</c:v>
                </c:pt>
                <c:pt idx="1">
                  <c:v>700</c:v>
                </c:pt>
                <c:pt idx="2">
                  <c:v>800</c:v>
                </c:pt>
                <c:pt idx="3">
                  <c:v>900</c:v>
                </c:pt>
                <c:pt idx="4">
                  <c:v>1000</c:v>
                </c:pt>
                <c:pt idx="5">
                  <c:v>1100</c:v>
                </c:pt>
                <c:pt idx="6">
                  <c:v>1200</c:v>
                </c:pt>
                <c:pt idx="7">
                  <c:v>1300</c:v>
                </c:pt>
                <c:pt idx="8">
                  <c:v>1400</c:v>
                </c:pt>
                <c:pt idx="9">
                  <c:v>1500</c:v>
                </c:pt>
                <c:pt idx="10">
                  <c:v>1600</c:v>
                </c:pt>
              </c:numCache>
            </c:numRef>
          </c:xVal>
          <c:yVal>
            <c:numRef>
              <c:f>随机需求模拟模型!$DO$3:$DO$13</c:f>
              <c:numCache>
                <c:formatCode>0</c:formatCode>
                <c:ptCount val="11"/>
                <c:pt idx="0">
                  <c:v>18266.564383561643</c:v>
                </c:pt>
                <c:pt idx="1">
                  <c:v>16357.928767123287</c:v>
                </c:pt>
                <c:pt idx="2">
                  <c:v>15125.709589041104</c:v>
                </c:pt>
                <c:pt idx="3">
                  <c:v>14683.358904109591</c:v>
                </c:pt>
                <c:pt idx="4">
                  <c:v>14343.400000000005</c:v>
                </c:pt>
                <c:pt idx="5">
                  <c:v>14019.641095890414</c:v>
                </c:pt>
                <c:pt idx="6">
                  <c:v>13934.767123287669</c:v>
                </c:pt>
                <c:pt idx="7">
                  <c:v>13751.172602739725</c:v>
                </c:pt>
                <c:pt idx="8">
                  <c:v>13944.463013698629</c:v>
                </c:pt>
                <c:pt idx="9">
                  <c:v>13766.621917808214</c:v>
                </c:pt>
                <c:pt idx="10">
                  <c:v>14090.736986301368</c:v>
                </c:pt>
              </c:numCache>
            </c:numRef>
          </c:yVal>
          <c:smooth val="0"/>
          <c:extLst>
            <c:ext xmlns:c16="http://schemas.microsoft.com/office/drawing/2014/chart" uri="{C3380CC4-5D6E-409C-BE32-E72D297353CC}">
              <c16:uniqueId val="{00000004-476B-4E75-9868-4DAA3BB334CA}"/>
            </c:ext>
          </c:extLst>
        </c:ser>
        <c:ser>
          <c:idx val="3"/>
          <c:order val="3"/>
          <c:tx>
            <c:v>100次模拟最优订货量参考线</c:v>
          </c:tx>
          <c:spPr>
            <a:ln w="38100">
              <a:solidFill>
                <a:schemeClr val="tx1"/>
              </a:solidFill>
            </a:ln>
          </c:spPr>
          <c:marker>
            <c:symbol val="square"/>
            <c:size val="6"/>
            <c:spPr>
              <a:solidFill>
                <a:schemeClr val="bg1"/>
              </a:solidFill>
              <a:ln>
                <a:solidFill>
                  <a:schemeClr val="tx1"/>
                </a:solidFill>
              </a:ln>
            </c:spPr>
          </c:marker>
          <c:dPt>
            <c:idx val="0"/>
            <c:marker>
              <c:symbol val="none"/>
            </c:marker>
            <c:bubble3D val="0"/>
            <c:extLst>
              <c:ext xmlns:c16="http://schemas.microsoft.com/office/drawing/2014/chart" uri="{C3380CC4-5D6E-409C-BE32-E72D297353CC}">
                <c16:uniqueId val="{00000005-476B-4E75-9868-4DAA3BB334CA}"/>
              </c:ext>
            </c:extLst>
          </c:dPt>
          <c:dPt>
            <c:idx val="2"/>
            <c:marker>
              <c:symbol val="none"/>
            </c:marker>
            <c:bubble3D val="0"/>
            <c:extLst>
              <c:ext xmlns:c16="http://schemas.microsoft.com/office/drawing/2014/chart" uri="{C3380CC4-5D6E-409C-BE32-E72D297353CC}">
                <c16:uniqueId val="{00000006-476B-4E75-9868-4DAA3BB334CA}"/>
              </c:ext>
            </c:extLst>
          </c:dPt>
          <c:xVal>
            <c:numRef>
              <c:f>随机需求模拟模型!$O$21:$O$23</c:f>
              <c:numCache>
                <c:formatCode>0_);[Red]\(0\)</c:formatCode>
                <c:ptCount val="3"/>
                <c:pt idx="0">
                  <c:v>1300</c:v>
                </c:pt>
                <c:pt idx="1">
                  <c:v>1300</c:v>
                </c:pt>
                <c:pt idx="2">
                  <c:v>1300</c:v>
                </c:pt>
              </c:numCache>
            </c:numRef>
          </c:xVal>
          <c:yVal>
            <c:numRef>
              <c:f>随机需求模拟模型!$P$21:$P$23</c:f>
              <c:numCache>
                <c:formatCode>0_);[Red]\(0\)</c:formatCode>
                <c:ptCount val="3"/>
                <c:pt idx="0">
                  <c:v>10000</c:v>
                </c:pt>
                <c:pt idx="1">
                  <c:v>13751.172602739725</c:v>
                </c:pt>
                <c:pt idx="2">
                  <c:v>24000</c:v>
                </c:pt>
              </c:numCache>
            </c:numRef>
          </c:yVal>
          <c:smooth val="0"/>
          <c:extLst>
            <c:ext xmlns:c16="http://schemas.microsoft.com/office/drawing/2014/chart" uri="{C3380CC4-5D6E-409C-BE32-E72D297353CC}">
              <c16:uniqueId val="{00000007-476B-4E75-9868-4DAA3BB334CA}"/>
            </c:ext>
          </c:extLst>
        </c:ser>
        <c:dLbls>
          <c:showLegendKey val="0"/>
          <c:showVal val="0"/>
          <c:showCatName val="0"/>
          <c:showSerName val="0"/>
          <c:showPercent val="0"/>
          <c:showBubbleSize val="0"/>
        </c:dLbls>
        <c:axId val="156818176"/>
        <c:axId val="156818752"/>
      </c:scatterChart>
      <c:valAx>
        <c:axId val="156818176"/>
        <c:scaling>
          <c:orientation val="minMax"/>
          <c:max val="1600"/>
          <c:min val="600"/>
        </c:scaling>
        <c:delete val="0"/>
        <c:axPos val="b"/>
        <c:majorGridlines>
          <c:spPr>
            <a:ln w="3175">
              <a:solidFill>
                <a:srgbClr val="DDDDDD"/>
              </a:solidFill>
              <a:prstDash val="solid"/>
            </a:ln>
          </c:spPr>
        </c:majorGridlines>
        <c:title>
          <c:tx>
            <c:rich>
              <a:bodyPr/>
              <a:lstStyle/>
              <a:p>
                <a:pPr>
                  <a:defRPr/>
                </a:pPr>
                <a:r>
                  <a:rPr lang="zh-CN"/>
                  <a:t>订</a:t>
                </a:r>
                <a:endParaRPr lang="en-US"/>
              </a:p>
              <a:p>
                <a:pPr>
                  <a:defRPr/>
                </a:pPr>
                <a:r>
                  <a:rPr lang="zh-CN"/>
                  <a:t>货</a:t>
                </a:r>
                <a:endParaRPr lang="en-US"/>
              </a:p>
              <a:p>
                <a:pPr>
                  <a:defRPr/>
                </a:pPr>
                <a:r>
                  <a:rPr lang="zh-CN"/>
                  <a:t>量</a:t>
                </a:r>
              </a:p>
            </c:rich>
          </c:tx>
          <c:layout>
            <c:manualLayout>
              <c:xMode val="edge"/>
              <c:yMode val="edge"/>
              <c:x val="0.95132216226128374"/>
              <c:y val="0.76683264637508219"/>
            </c:manualLayout>
          </c:layout>
          <c:overlay val="0"/>
          <c:spPr>
            <a:noFill/>
            <a:ln w="25400">
              <a:noFill/>
            </a:ln>
          </c:spPr>
        </c:title>
        <c:numFmt formatCode="General" sourceLinked="1"/>
        <c:majorTickMark val="cross"/>
        <c:minorTickMark val="none"/>
        <c:tickLblPos val="nextTo"/>
        <c:spPr>
          <a:ln w="3175">
            <a:solidFill>
              <a:srgbClr val="000000"/>
            </a:solidFill>
            <a:prstDash val="solid"/>
          </a:ln>
        </c:spPr>
        <c:txPr>
          <a:bodyPr rot="0" vert="horz"/>
          <a:lstStyle/>
          <a:p>
            <a:pPr>
              <a:defRPr/>
            </a:pPr>
            <a:endParaRPr lang="zh-CN"/>
          </a:p>
        </c:txPr>
        <c:crossAx val="156818752"/>
        <c:crossesAt val="0"/>
        <c:crossBetween val="midCat"/>
        <c:majorUnit val="100"/>
      </c:valAx>
      <c:valAx>
        <c:axId val="156818752"/>
        <c:scaling>
          <c:orientation val="minMax"/>
          <c:max val="24000"/>
          <c:min val="10000"/>
        </c:scaling>
        <c:delete val="0"/>
        <c:axPos val="l"/>
        <c:majorGridlines>
          <c:spPr>
            <a:ln w="3175">
              <a:solidFill>
                <a:srgbClr val="DDDDDD"/>
              </a:solidFill>
              <a:prstDash val="solid"/>
            </a:ln>
          </c:spPr>
        </c:majorGridlines>
        <c:numFmt formatCode="0" sourceLinked="0"/>
        <c:majorTickMark val="in"/>
        <c:minorTickMark val="none"/>
        <c:tickLblPos val="nextTo"/>
        <c:spPr>
          <a:ln w="3175">
            <a:solidFill>
              <a:srgbClr val="000000"/>
            </a:solidFill>
            <a:prstDash val="solid"/>
          </a:ln>
        </c:spPr>
        <c:txPr>
          <a:bodyPr rot="0" vert="horz"/>
          <a:lstStyle/>
          <a:p>
            <a:pPr>
              <a:defRPr/>
            </a:pPr>
            <a:endParaRPr lang="zh-CN"/>
          </a:p>
        </c:txPr>
        <c:crossAx val="156818176"/>
        <c:crosses val="autoZero"/>
        <c:crossBetween val="midCat"/>
        <c:majorUnit val="2000"/>
      </c:valAx>
      <c:spPr>
        <a:noFill/>
        <a:ln w="25400">
          <a:noFill/>
        </a:ln>
      </c:spPr>
    </c:plotArea>
    <c:legend>
      <c:legendPos val="r"/>
      <c:layout>
        <c:manualLayout>
          <c:xMode val="edge"/>
          <c:yMode val="edge"/>
          <c:x val="0.17919822573334393"/>
          <c:y val="0.12846188110489012"/>
          <c:w val="0.33793600396795409"/>
          <c:h val="0.21665787926719149"/>
        </c:manualLayout>
      </c:layout>
      <c:overlay val="0"/>
      <c:spPr>
        <a:noFill/>
        <a:ln w="25400">
          <a:noFill/>
        </a:ln>
      </c:spPr>
    </c:legend>
    <c:plotVisOnly val="1"/>
    <c:dispBlanksAs val="gap"/>
    <c:showDLblsOverMax val="0"/>
  </c:chart>
  <c:spPr>
    <a:solidFill>
      <a:srgbClr val="FFFFFF"/>
    </a:solidFill>
    <a:ln w="9525">
      <a:solidFill>
        <a:srgbClr val="000000"/>
      </a:solidFill>
    </a:ln>
  </c:spPr>
  <c:txPr>
    <a:bodyPr/>
    <a:lstStyle/>
    <a:p>
      <a:pPr>
        <a:defRPr sz="1100" b="0" i="0" u="none" strike="noStrike" baseline="0">
          <a:solidFill>
            <a:srgbClr val="000000"/>
          </a:solidFill>
          <a:latin typeface="宋体" pitchFamily="2" charset="-122"/>
          <a:ea typeface="宋体" pitchFamily="2" charset="-122"/>
          <a:cs typeface="Arial"/>
        </a:defRPr>
      </a:pPr>
      <a:endParaRPr lang="zh-CN"/>
    </a:p>
  </c:txPr>
  <c:printSettings>
    <c:headerFooter alignWithMargins="0"/>
    <c:pageMargins b="1" l="0.75" r="0.75" t="1" header="0.5" footer="0.5"/>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rtl="0">
              <a:defRPr sz="1400"/>
            </a:pPr>
            <a:r>
              <a:rPr lang="zh-CN" altLang="en-US" sz="1400" b="1" i="0" baseline="0">
                <a:effectLst/>
              </a:rPr>
              <a:t>服务水平</a:t>
            </a:r>
            <a:r>
              <a:rPr lang="zh-CN" altLang="zh-CN" sz="1400" b="1" i="0" baseline="0">
                <a:effectLst/>
              </a:rPr>
              <a:t>随</a:t>
            </a:r>
            <a:r>
              <a:rPr lang="zh-CN" altLang="en-US" sz="1400" b="1" i="0" baseline="0">
                <a:effectLst/>
              </a:rPr>
              <a:t>安全库存</a:t>
            </a:r>
            <a:r>
              <a:rPr lang="zh-CN" altLang="zh-CN" sz="1400" b="1" i="0" baseline="0">
                <a:effectLst/>
              </a:rPr>
              <a:t>变化图</a:t>
            </a:r>
            <a:endParaRPr lang="zh-CN" altLang="zh-CN" sz="1400">
              <a:effectLst/>
            </a:endParaRPr>
          </a:p>
        </c:rich>
      </c:tx>
      <c:layout>
        <c:manualLayout>
          <c:xMode val="edge"/>
          <c:yMode val="edge"/>
          <c:x val="0.31431074207705428"/>
          <c:y val="2.7437377483336578E-2"/>
        </c:manualLayout>
      </c:layout>
      <c:overlay val="0"/>
      <c:spPr>
        <a:noFill/>
        <a:ln w="25400">
          <a:noFill/>
        </a:ln>
      </c:spPr>
    </c:title>
    <c:autoTitleDeleted val="0"/>
    <c:plotArea>
      <c:layout>
        <c:manualLayout>
          <c:layoutTarget val="inner"/>
          <c:xMode val="edge"/>
          <c:yMode val="edge"/>
          <c:x val="9.2018947528155884E-2"/>
          <c:y val="0.1236357428301212"/>
          <c:w val="0.83676117268126848"/>
          <c:h val="0.77505868378467213"/>
        </c:manualLayout>
      </c:layout>
      <c:scatterChart>
        <c:scatterStyle val="lineMarker"/>
        <c:varyColors val="0"/>
        <c:ser>
          <c:idx val="2"/>
          <c:order val="0"/>
          <c:spPr>
            <a:ln w="38100" cmpd="sng">
              <a:solidFill>
                <a:schemeClr val="accent1">
                  <a:lumMod val="75000"/>
                </a:schemeClr>
              </a:solidFill>
              <a:prstDash val="solid"/>
            </a:ln>
          </c:spPr>
          <c:marker>
            <c:symbol val="circle"/>
            <c:size val="7"/>
            <c:spPr>
              <a:solidFill>
                <a:schemeClr val="bg1"/>
              </a:solidFill>
              <a:ln>
                <a:solidFill>
                  <a:srgbClr val="000000"/>
                </a:solidFill>
              </a:ln>
            </c:spPr>
          </c:marker>
          <c:dPt>
            <c:idx val="0"/>
            <c:bubble3D val="0"/>
            <c:extLst>
              <c:ext xmlns:c16="http://schemas.microsoft.com/office/drawing/2014/chart" uri="{C3380CC4-5D6E-409C-BE32-E72D297353CC}">
                <c16:uniqueId val="{00000000-62B3-48A3-8C82-9BCE80A20412}"/>
              </c:ext>
            </c:extLst>
          </c:dPt>
          <c:dPt>
            <c:idx val="2"/>
            <c:bubble3D val="0"/>
            <c:extLst>
              <c:ext xmlns:c16="http://schemas.microsoft.com/office/drawing/2014/chart" uri="{C3380CC4-5D6E-409C-BE32-E72D297353CC}">
                <c16:uniqueId val="{00000001-62B3-48A3-8C82-9BCE80A20412}"/>
              </c:ext>
            </c:extLst>
          </c:dPt>
          <c:dLbls>
            <c:dLbl>
              <c:idx val="5"/>
              <c:layout>
                <c:manualLayout>
                  <c:x val="0"/>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2B3-48A3-8C82-9BCE80A2041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随机需求服务水平模拟模型!$N$3:$N$13</c:f>
              <c:numCache>
                <c:formatCode>General</c:formatCode>
                <c:ptCount val="11"/>
                <c:pt idx="0">
                  <c:v>10</c:v>
                </c:pt>
                <c:pt idx="1">
                  <c:v>20</c:v>
                </c:pt>
                <c:pt idx="2">
                  <c:v>30</c:v>
                </c:pt>
                <c:pt idx="3">
                  <c:v>40</c:v>
                </c:pt>
                <c:pt idx="4">
                  <c:v>50</c:v>
                </c:pt>
                <c:pt idx="5">
                  <c:v>60</c:v>
                </c:pt>
                <c:pt idx="6">
                  <c:v>70</c:v>
                </c:pt>
                <c:pt idx="7">
                  <c:v>80</c:v>
                </c:pt>
                <c:pt idx="8">
                  <c:v>90</c:v>
                </c:pt>
                <c:pt idx="9">
                  <c:v>100</c:v>
                </c:pt>
                <c:pt idx="10">
                  <c:v>110</c:v>
                </c:pt>
              </c:numCache>
            </c:numRef>
          </c:xVal>
          <c:yVal>
            <c:numRef>
              <c:f>随机需求服务水平模拟模型!$DK$3:$DK$13</c:f>
              <c:numCache>
                <c:formatCode>0%</c:formatCode>
                <c:ptCount val="11"/>
                <c:pt idx="0">
                  <c:v>0.97312328767123335</c:v>
                </c:pt>
                <c:pt idx="1">
                  <c:v>0.97542465753424745</c:v>
                </c:pt>
                <c:pt idx="2">
                  <c:v>0.97824657534246673</c:v>
                </c:pt>
                <c:pt idx="3">
                  <c:v>0.98134246575342388</c:v>
                </c:pt>
                <c:pt idx="4">
                  <c:v>0.98317808219178071</c:v>
                </c:pt>
                <c:pt idx="5">
                  <c:v>0.98435616438356166</c:v>
                </c:pt>
                <c:pt idx="6">
                  <c:v>0.98849315068493215</c:v>
                </c:pt>
                <c:pt idx="7">
                  <c:v>0.99112328767123314</c:v>
                </c:pt>
                <c:pt idx="8">
                  <c:v>0.99443835616438347</c:v>
                </c:pt>
                <c:pt idx="9">
                  <c:v>0.99641095890410858</c:v>
                </c:pt>
                <c:pt idx="10">
                  <c:v>0.99775342465753314</c:v>
                </c:pt>
              </c:numCache>
            </c:numRef>
          </c:yVal>
          <c:smooth val="0"/>
          <c:extLst>
            <c:ext xmlns:c16="http://schemas.microsoft.com/office/drawing/2014/chart" uri="{C3380CC4-5D6E-409C-BE32-E72D297353CC}">
              <c16:uniqueId val="{00000003-62B3-48A3-8C82-9BCE80A20412}"/>
            </c:ext>
          </c:extLst>
        </c:ser>
        <c:ser>
          <c:idx val="1"/>
          <c:order val="1"/>
          <c:spPr>
            <a:ln w="19050">
              <a:solidFill>
                <a:schemeClr val="tx1"/>
              </a:solidFill>
            </a:ln>
          </c:spPr>
          <c:marker>
            <c:symbol val="none"/>
          </c:marker>
          <c:xVal>
            <c:numRef>
              <c:f>随机需求服务水平模拟模型!$B$21:$B$23</c:f>
              <c:numCache>
                <c:formatCode>0_);[Red]\(0\)</c:formatCode>
                <c:ptCount val="3"/>
                <c:pt idx="0">
                  <c:v>100</c:v>
                </c:pt>
                <c:pt idx="1">
                  <c:v>100</c:v>
                </c:pt>
                <c:pt idx="2">
                  <c:v>100</c:v>
                </c:pt>
              </c:numCache>
            </c:numRef>
          </c:xVal>
          <c:yVal>
            <c:numRef>
              <c:f>随机需求服务水平模拟模型!$C$21:$C$23</c:f>
              <c:numCache>
                <c:formatCode>0%</c:formatCode>
                <c:ptCount val="3"/>
                <c:pt idx="0">
                  <c:v>0</c:v>
                </c:pt>
                <c:pt idx="1">
                  <c:v>0.99641095890410858</c:v>
                </c:pt>
                <c:pt idx="2">
                  <c:v>1</c:v>
                </c:pt>
              </c:numCache>
            </c:numRef>
          </c:yVal>
          <c:smooth val="0"/>
          <c:extLst>
            <c:ext xmlns:c16="http://schemas.microsoft.com/office/drawing/2014/chart" uri="{C3380CC4-5D6E-409C-BE32-E72D297353CC}">
              <c16:uniqueId val="{00000004-62B3-48A3-8C82-9BCE80A20412}"/>
            </c:ext>
          </c:extLst>
        </c:ser>
        <c:ser>
          <c:idx val="3"/>
          <c:order val="2"/>
          <c:spPr>
            <a:ln w="19050">
              <a:solidFill>
                <a:schemeClr val="tx1"/>
              </a:solidFill>
            </a:ln>
          </c:spPr>
          <c:marker>
            <c:symbol val="square"/>
            <c:size val="6"/>
            <c:spPr>
              <a:solidFill>
                <a:schemeClr val="bg1"/>
              </a:solidFill>
              <a:ln>
                <a:solidFill>
                  <a:schemeClr val="tx1"/>
                </a:solidFill>
              </a:ln>
            </c:spPr>
          </c:marker>
          <c:dPt>
            <c:idx val="0"/>
            <c:marker>
              <c:symbol val="none"/>
            </c:marker>
            <c:bubble3D val="0"/>
            <c:extLst>
              <c:ext xmlns:c16="http://schemas.microsoft.com/office/drawing/2014/chart" uri="{C3380CC4-5D6E-409C-BE32-E72D297353CC}">
                <c16:uniqueId val="{00000005-62B3-48A3-8C82-9BCE80A20412}"/>
              </c:ext>
            </c:extLst>
          </c:dPt>
          <c:dPt>
            <c:idx val="2"/>
            <c:marker>
              <c:symbol val="none"/>
            </c:marker>
            <c:bubble3D val="0"/>
            <c:extLst>
              <c:ext xmlns:c16="http://schemas.microsoft.com/office/drawing/2014/chart" uri="{C3380CC4-5D6E-409C-BE32-E72D297353CC}">
                <c16:uniqueId val="{00000006-62B3-48A3-8C82-9BCE80A20412}"/>
              </c:ext>
            </c:extLst>
          </c:dPt>
          <c:xVal>
            <c:numRef>
              <c:f>随机需求服务水平模拟模型!$B$17:$B$19</c:f>
              <c:numCache>
                <c:formatCode>General</c:formatCode>
                <c:ptCount val="3"/>
                <c:pt idx="0">
                  <c:v>0</c:v>
                </c:pt>
                <c:pt idx="1">
                  <c:v>100</c:v>
                </c:pt>
                <c:pt idx="2">
                  <c:v>120</c:v>
                </c:pt>
              </c:numCache>
            </c:numRef>
          </c:xVal>
          <c:yVal>
            <c:numRef>
              <c:f>随机需求服务水平模拟模型!$C$17:$C$19</c:f>
              <c:numCache>
                <c:formatCode>0%</c:formatCode>
                <c:ptCount val="3"/>
                <c:pt idx="0">
                  <c:v>0.99641095890410858</c:v>
                </c:pt>
                <c:pt idx="1">
                  <c:v>0.99641095890410858</c:v>
                </c:pt>
                <c:pt idx="2">
                  <c:v>0.99641095890410858</c:v>
                </c:pt>
              </c:numCache>
            </c:numRef>
          </c:yVal>
          <c:smooth val="0"/>
          <c:extLst>
            <c:ext xmlns:c16="http://schemas.microsoft.com/office/drawing/2014/chart" uri="{C3380CC4-5D6E-409C-BE32-E72D297353CC}">
              <c16:uniqueId val="{00000007-62B3-48A3-8C82-9BCE80A20412}"/>
            </c:ext>
          </c:extLst>
        </c:ser>
        <c:dLbls>
          <c:showLegendKey val="0"/>
          <c:showVal val="0"/>
          <c:showCatName val="0"/>
          <c:showSerName val="0"/>
          <c:showPercent val="0"/>
          <c:showBubbleSize val="0"/>
        </c:dLbls>
        <c:axId val="68085440"/>
        <c:axId val="68086016"/>
      </c:scatterChart>
      <c:valAx>
        <c:axId val="68085440"/>
        <c:scaling>
          <c:orientation val="minMax"/>
          <c:max val="110"/>
          <c:min val="10"/>
        </c:scaling>
        <c:delete val="0"/>
        <c:axPos val="b"/>
        <c:majorGridlines>
          <c:spPr>
            <a:ln w="3175">
              <a:solidFill>
                <a:srgbClr val="DDDDDD"/>
              </a:solidFill>
              <a:prstDash val="solid"/>
            </a:ln>
          </c:spPr>
        </c:majorGridlines>
        <c:title>
          <c:tx>
            <c:rich>
              <a:bodyPr/>
              <a:lstStyle/>
              <a:p>
                <a:pPr>
                  <a:defRPr/>
                </a:pPr>
                <a:r>
                  <a:rPr lang="zh-CN" altLang="en-US"/>
                  <a:t>安全</a:t>
                </a:r>
                <a:endParaRPr lang="en-US" altLang="zh-CN"/>
              </a:p>
              <a:p>
                <a:pPr>
                  <a:defRPr/>
                </a:pPr>
                <a:r>
                  <a:rPr lang="zh-CN" altLang="en-US"/>
                  <a:t>库存</a:t>
                </a:r>
                <a:endParaRPr lang="zh-CN"/>
              </a:p>
            </c:rich>
          </c:tx>
          <c:layout>
            <c:manualLayout>
              <c:xMode val="edge"/>
              <c:yMode val="edge"/>
              <c:x val="0.9378047221025656"/>
              <c:y val="0.79985030796348922"/>
            </c:manualLayout>
          </c:layout>
          <c:overlay val="0"/>
          <c:spPr>
            <a:noFill/>
            <a:ln w="25400">
              <a:noFill/>
            </a:ln>
          </c:spPr>
        </c:title>
        <c:numFmt formatCode="General" sourceLinked="1"/>
        <c:majorTickMark val="cross"/>
        <c:minorTickMark val="none"/>
        <c:tickLblPos val="nextTo"/>
        <c:spPr>
          <a:ln w="3175">
            <a:solidFill>
              <a:srgbClr val="000000"/>
            </a:solidFill>
            <a:prstDash val="solid"/>
          </a:ln>
        </c:spPr>
        <c:txPr>
          <a:bodyPr rot="0" vert="horz"/>
          <a:lstStyle/>
          <a:p>
            <a:pPr>
              <a:defRPr/>
            </a:pPr>
            <a:endParaRPr lang="zh-CN"/>
          </a:p>
        </c:txPr>
        <c:crossAx val="68086016"/>
        <c:crossesAt val="0"/>
        <c:crossBetween val="midCat"/>
        <c:majorUnit val="10"/>
      </c:valAx>
      <c:valAx>
        <c:axId val="68086016"/>
        <c:scaling>
          <c:orientation val="minMax"/>
          <c:max val="1"/>
          <c:min val="0.9"/>
        </c:scaling>
        <c:delete val="0"/>
        <c:axPos val="l"/>
        <c:majorGridlines>
          <c:spPr>
            <a:ln w="3175">
              <a:solidFill>
                <a:srgbClr val="DDDDDD"/>
              </a:solidFill>
              <a:prstDash val="solid"/>
            </a:ln>
          </c:spPr>
        </c:majorGridlines>
        <c:numFmt formatCode="0%" sourceLinked="0"/>
        <c:majorTickMark val="in"/>
        <c:minorTickMark val="none"/>
        <c:tickLblPos val="nextTo"/>
        <c:spPr>
          <a:ln w="3175">
            <a:solidFill>
              <a:srgbClr val="000000"/>
            </a:solidFill>
            <a:prstDash val="solid"/>
          </a:ln>
        </c:spPr>
        <c:txPr>
          <a:bodyPr rot="0" vert="horz"/>
          <a:lstStyle/>
          <a:p>
            <a:pPr>
              <a:defRPr/>
            </a:pPr>
            <a:endParaRPr lang="zh-CN"/>
          </a:p>
        </c:txPr>
        <c:crossAx val="68085440"/>
        <c:crosses val="autoZero"/>
        <c:crossBetween val="midCat"/>
        <c:majorUnit val="1.0000000000000002E-2"/>
      </c:valAx>
      <c:spPr>
        <a:noFill/>
        <a:ln w="25400">
          <a:noFill/>
        </a:ln>
      </c:spPr>
    </c:plotArea>
    <c:plotVisOnly val="1"/>
    <c:dispBlanksAs val="gap"/>
    <c:showDLblsOverMax val="0"/>
  </c:chart>
  <c:spPr>
    <a:solidFill>
      <a:srgbClr val="FFFFFF"/>
    </a:solidFill>
    <a:ln w="9525">
      <a:solidFill>
        <a:srgbClr val="000000"/>
      </a:solidFill>
    </a:ln>
  </c:spPr>
  <c:txPr>
    <a:bodyPr/>
    <a:lstStyle/>
    <a:p>
      <a:pPr>
        <a:defRPr sz="1100" b="0" i="0" u="none" strike="noStrike" baseline="0">
          <a:solidFill>
            <a:srgbClr val="000000"/>
          </a:solidFill>
          <a:latin typeface="宋体" pitchFamily="2" charset="-122"/>
          <a:ea typeface="宋体" pitchFamily="2" charset="-122"/>
          <a:cs typeface="Arial"/>
        </a:defRPr>
      </a:pPr>
      <a:endParaRPr lang="zh-CN"/>
    </a:p>
  </c:txPr>
  <c:printSettings>
    <c:headerFooter alignWithMargins="0"/>
    <c:pageMargins b="1" l="0.75" r="0.75" t="1" header="0.5" footer="0.5"/>
    <c:pageSetup paperSize="9" orientation="landscape"/>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584200</xdr:colOff>
      <xdr:row>7</xdr:row>
      <xdr:rowOff>146188</xdr:rowOff>
    </xdr:from>
    <xdr:to>
      <xdr:col>8</xdr:col>
      <xdr:colOff>341853</xdr:colOff>
      <xdr:row>11</xdr:row>
      <xdr:rowOff>87521</xdr:rowOff>
    </xdr:to>
    <xdr:pic>
      <xdr:nvPicPr>
        <xdr:cNvPr id="6" name="图片 5">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4200" y="1257438"/>
          <a:ext cx="4634453" cy="5763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332507</xdr:colOff>
      <xdr:row>1</xdr:row>
      <xdr:rowOff>76200</xdr:rowOff>
    </xdr:from>
    <xdr:to>
      <xdr:col>9</xdr:col>
      <xdr:colOff>387350</xdr:colOff>
      <xdr:row>46</xdr:row>
      <xdr:rowOff>139700</xdr:rowOff>
    </xdr:to>
    <xdr:grpSp>
      <xdr:nvGrpSpPr>
        <xdr:cNvPr id="2" name="组合 1">
          <a:extLst>
            <a:ext uri="{FF2B5EF4-FFF2-40B4-BE49-F238E27FC236}">
              <a16:creationId xmlns:a16="http://schemas.microsoft.com/office/drawing/2014/main" id="{00000000-0008-0000-0000-000002000000}"/>
            </a:ext>
          </a:extLst>
        </xdr:cNvPr>
        <xdr:cNvGrpSpPr/>
      </xdr:nvGrpSpPr>
      <xdr:grpSpPr>
        <a:xfrm>
          <a:off x="332507" y="238125"/>
          <a:ext cx="5884143" cy="7350125"/>
          <a:chOff x="332507" y="234950"/>
          <a:chExt cx="5541243" cy="7207250"/>
        </a:xfrm>
      </xdr:grpSpPr>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332507" y="234950"/>
            <a:ext cx="5541243" cy="7207250"/>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zh-CN" sz="1100">
                <a:solidFill>
                  <a:schemeClr val="dk1"/>
                </a:solidFill>
                <a:effectLst/>
                <a:latin typeface="+mn-lt"/>
                <a:ea typeface="+mn-ea"/>
                <a:cs typeface="+mn-cs"/>
              </a:rPr>
              <a:t>【例</a:t>
            </a:r>
            <a:r>
              <a:rPr lang="en-US" altLang="zh-CN" sz="1100">
                <a:solidFill>
                  <a:schemeClr val="dk1"/>
                </a:solidFill>
                <a:effectLst/>
                <a:latin typeface="+mn-lt"/>
                <a:ea typeface="+mn-ea"/>
                <a:cs typeface="+mn-cs"/>
              </a:rPr>
              <a:t>8-7</a:t>
            </a:r>
            <a:r>
              <a:rPr lang="zh-CN" altLang="zh-CN" sz="1100">
                <a:solidFill>
                  <a:schemeClr val="dk1"/>
                </a:solidFill>
                <a:effectLst/>
                <a:latin typeface="+mn-lt"/>
                <a:ea typeface="+mn-ea"/>
                <a:cs typeface="+mn-cs"/>
              </a:rPr>
              <a:t>】如果例</a:t>
            </a:r>
            <a:r>
              <a:rPr lang="en-US" altLang="zh-CN" sz="1100">
                <a:solidFill>
                  <a:schemeClr val="dk1"/>
                </a:solidFill>
                <a:effectLst/>
                <a:latin typeface="+mn-lt"/>
                <a:ea typeface="+mn-ea"/>
                <a:cs typeface="+mn-cs"/>
              </a:rPr>
              <a:t>8-6</a:t>
            </a:r>
            <a:r>
              <a:rPr lang="zh-CN" altLang="zh-CN" sz="1100">
                <a:solidFill>
                  <a:schemeClr val="dk1"/>
                </a:solidFill>
                <a:effectLst/>
                <a:latin typeface="+mn-lt"/>
                <a:ea typeface="+mn-ea"/>
                <a:cs typeface="+mn-cs"/>
              </a:rPr>
              <a:t>中日需求量是服从</a:t>
            </a:r>
            <a:r>
              <a:rPr lang="zh-CN" altLang="en-US" sz="1100">
                <a:solidFill>
                  <a:schemeClr val="dk1"/>
                </a:solidFill>
                <a:effectLst/>
                <a:latin typeface="+mn-lt"/>
                <a:ea typeface="+mn-ea"/>
                <a:cs typeface="+mn-cs"/>
              </a:rPr>
              <a:t>下</a:t>
            </a:r>
            <a:r>
              <a:rPr lang="zh-CN" altLang="zh-CN" sz="1100">
                <a:solidFill>
                  <a:schemeClr val="dk1"/>
                </a:solidFill>
                <a:effectLst/>
                <a:latin typeface="+mn-lt"/>
                <a:ea typeface="+mn-ea"/>
                <a:cs typeface="+mn-cs"/>
              </a:rPr>
              <a:t>表中特定离散分布的随机数，公司为控制成本，采用安全库存补货策略，安全库存为</a:t>
            </a:r>
            <a:r>
              <a:rPr lang="en-US" altLang="zh-CN" sz="1100">
                <a:solidFill>
                  <a:schemeClr val="dk1"/>
                </a:solidFill>
                <a:effectLst/>
                <a:latin typeface="+mn-lt"/>
                <a:ea typeface="+mn-ea"/>
                <a:cs typeface="+mn-cs"/>
              </a:rPr>
              <a:t>100</a:t>
            </a:r>
            <a:r>
              <a:rPr lang="zh-CN" altLang="zh-CN" sz="1100">
                <a:solidFill>
                  <a:schemeClr val="dk1"/>
                </a:solidFill>
                <a:effectLst/>
                <a:latin typeface="+mn-lt"/>
                <a:ea typeface="+mn-ea"/>
                <a:cs typeface="+mn-cs"/>
              </a:rPr>
              <a:t>，起始库存显然也是</a:t>
            </a:r>
            <a:r>
              <a:rPr lang="en-US" altLang="zh-CN" sz="1100">
                <a:solidFill>
                  <a:schemeClr val="dk1"/>
                </a:solidFill>
                <a:effectLst/>
                <a:latin typeface="+mn-lt"/>
                <a:ea typeface="+mn-ea"/>
                <a:cs typeface="+mn-cs"/>
              </a:rPr>
              <a:t>100</a:t>
            </a:r>
            <a:r>
              <a:rPr lang="zh-CN" altLang="zh-CN" sz="1100">
                <a:solidFill>
                  <a:schemeClr val="dk1"/>
                </a:solidFill>
                <a:effectLst/>
                <a:latin typeface="+mn-lt"/>
                <a:ea typeface="+mn-ea"/>
                <a:cs typeface="+mn-cs"/>
              </a:rPr>
              <a:t>。如果发生缺货，每件的缺货成本为</a:t>
            </a:r>
            <a:r>
              <a:rPr lang="en-US" altLang="zh-CN" sz="1100">
                <a:solidFill>
                  <a:schemeClr val="dk1"/>
                </a:solidFill>
                <a:effectLst/>
                <a:latin typeface="+mn-lt"/>
                <a:ea typeface="+mn-ea"/>
                <a:cs typeface="+mn-cs"/>
              </a:rPr>
              <a:t>50</a:t>
            </a:r>
            <a:r>
              <a:rPr lang="zh-CN" altLang="zh-CN" sz="1100">
                <a:solidFill>
                  <a:schemeClr val="dk1"/>
                </a:solidFill>
                <a:effectLst/>
                <a:latin typeface="+mn-lt"/>
                <a:ea typeface="+mn-ea"/>
                <a:cs typeface="+mn-cs"/>
              </a:rPr>
              <a:t>元，其他已知参数保持不变。用活动扫面方法模拟随机需求且有缺货损失情况下的库存管理决策模型</a:t>
            </a:r>
            <a:r>
              <a:rPr lang="zh-CN" altLang="en-US" sz="1100">
                <a:solidFill>
                  <a:schemeClr val="dk1"/>
                </a:solidFill>
                <a:effectLst/>
                <a:latin typeface="+mn-lt"/>
                <a:ea typeface="+mn-ea"/>
                <a:cs typeface="+mn-cs"/>
              </a:rPr>
              <a:t>。参考下面两图建立模型。</a:t>
            </a:r>
            <a:endParaRPr lang="zh-CN" altLang="zh-CN" sz="1100">
              <a:solidFill>
                <a:schemeClr val="dk1"/>
              </a:solidFill>
              <a:effectLst/>
              <a:latin typeface="+mn-lt"/>
              <a:ea typeface="+mn-ea"/>
              <a:cs typeface="+mn-cs"/>
            </a:endParaRPr>
          </a:p>
        </xdr:txBody>
      </xdr:sp>
      <xdr:pic>
        <xdr:nvPicPr>
          <xdr:cNvPr id="7" name="图片 6">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34120" y="1746250"/>
            <a:ext cx="5161829" cy="271780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8" name="图片 7">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20699" y="4524862"/>
            <a:ext cx="5178995" cy="2726838"/>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96957</xdr:colOff>
      <xdr:row>1</xdr:row>
      <xdr:rowOff>88764</xdr:rowOff>
    </xdr:from>
    <xdr:to>
      <xdr:col>11</xdr:col>
      <xdr:colOff>596764</xdr:colOff>
      <xdr:row>23</xdr:row>
      <xdr:rowOff>95592</xdr:rowOff>
    </xdr:to>
    <xdr:graphicFrame macro="">
      <xdr:nvGraphicFramePr>
        <xdr:cNvPr id="109599" name="图表 1">
          <a:extLst>
            <a:ext uri="{FF2B5EF4-FFF2-40B4-BE49-F238E27FC236}">
              <a16:creationId xmlns:a16="http://schemas.microsoft.com/office/drawing/2014/main" id="{00000000-0008-0000-0200-00001FA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96957</xdr:colOff>
      <xdr:row>1</xdr:row>
      <xdr:rowOff>88764</xdr:rowOff>
    </xdr:from>
    <xdr:to>
      <xdr:col>11</xdr:col>
      <xdr:colOff>596764</xdr:colOff>
      <xdr:row>23</xdr:row>
      <xdr:rowOff>95592</xdr:rowOff>
    </xdr:to>
    <xdr:graphicFrame macro="">
      <xdr:nvGraphicFramePr>
        <xdr:cNvPr id="2" name="图表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abSelected="1" workbookViewId="0"/>
  </sheetViews>
  <sheetFormatPr defaultRowHeight="12.75" x14ac:dyDescent="0.35"/>
  <sheetData/>
  <phoneticPr fontId="3"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DS429"/>
  <sheetViews>
    <sheetView showFormulas="1" showGridLines="0" zoomScaleNormal="100" workbookViewId="0">
      <selection activeCell="DN371" sqref="DN371"/>
    </sheetView>
  </sheetViews>
  <sheetFormatPr defaultColWidth="8.9296875" defaultRowHeight="13.5" x14ac:dyDescent="0.3"/>
  <cols>
    <col min="1" max="1" width="1.46484375" style="1" customWidth="1"/>
    <col min="2" max="2" width="14.9296875" style="1" customWidth="1"/>
    <col min="3" max="3" width="8.06640625" style="4" customWidth="1"/>
    <col min="4" max="4" width="1.46484375" style="4" customWidth="1"/>
    <col min="5" max="5" width="2.46484375" style="4" customWidth="1"/>
    <col min="6" max="6" width="24" style="4" customWidth="1"/>
    <col min="7" max="7" width="6.796875" style="12" customWidth="1"/>
    <col min="8" max="8" width="10.33203125" style="13" customWidth="1"/>
    <col min="9" max="9" width="8.265625" style="13" customWidth="1"/>
    <col min="10" max="10" width="7.265625" style="13" customWidth="1"/>
    <col min="11" max="11" width="4.9296875" style="4" customWidth="1"/>
    <col min="12" max="12" width="5" style="4" customWidth="1"/>
    <col min="13" max="13" width="5.06640625" style="15" customWidth="1"/>
    <col min="14" max="14" width="1.06640625" style="4" customWidth="1"/>
    <col min="15" max="15" width="7.796875" style="4" customWidth="1"/>
    <col min="16" max="16" width="8.73046875" style="4" customWidth="1"/>
    <col min="17" max="17" width="1.53125" style="7" customWidth="1"/>
    <col min="18" max="18" width="6.19921875" style="4" customWidth="1"/>
    <col min="19" max="19" width="7" style="8" customWidth="1"/>
    <col min="20" max="20" width="8.46484375" style="8" customWidth="1"/>
    <col min="21" max="21" width="7.9296875" style="8" hidden="1" customWidth="1"/>
    <col min="22" max="117" width="8.9296875" style="8" hidden="1" customWidth="1"/>
    <col min="118" max="118" width="6.73046875" style="8" customWidth="1"/>
    <col min="119" max="119" width="6.59765625" style="4" customWidth="1"/>
    <col min="120" max="120" width="1.53125" style="1" customWidth="1"/>
    <col min="121" max="190" width="19.53125" style="1" customWidth="1"/>
    <col min="191" max="191" width="10.53125" style="1" customWidth="1"/>
    <col min="192" max="199" width="18.53125" style="1" customWidth="1"/>
    <col min="200" max="200" width="10.53125" style="1" customWidth="1"/>
    <col min="201" max="16384" width="8.9296875" style="1"/>
  </cols>
  <sheetData>
    <row r="1" spans="2:119" x14ac:dyDescent="0.3">
      <c r="B1" s="21"/>
      <c r="E1" s="17" t="s">
        <v>35</v>
      </c>
      <c r="F1" s="9"/>
      <c r="G1" s="4"/>
      <c r="H1" s="4"/>
      <c r="I1" s="4"/>
      <c r="J1" s="20" t="s">
        <v>36</v>
      </c>
      <c r="K1" s="5">
        <f ca="1">SUM(K5:K369)</f>
        <v>2500</v>
      </c>
      <c r="L1" s="5">
        <f ca="1">SUM(L5:L369)</f>
        <v>7000</v>
      </c>
      <c r="M1" s="5">
        <f ca="1">SUM(M5:M369)</f>
        <v>5041.3698630137014</v>
      </c>
      <c r="O1" s="19" t="s">
        <v>37</v>
      </c>
      <c r="P1" s="4" t="s">
        <v>18</v>
      </c>
      <c r="R1" s="18" t="s">
        <v>38</v>
      </c>
      <c r="DO1" s="20" t="s">
        <v>39</v>
      </c>
    </row>
    <row r="2" spans="2:119" ht="13.8" customHeight="1" x14ac:dyDescent="0.3">
      <c r="B2" s="22" t="s">
        <v>34</v>
      </c>
      <c r="E2" s="57" t="s">
        <v>7</v>
      </c>
      <c r="F2" s="26" t="s">
        <v>16</v>
      </c>
      <c r="G2" s="27" t="s">
        <v>8</v>
      </c>
      <c r="H2" s="27" t="s">
        <v>9</v>
      </c>
      <c r="I2" s="28" t="s">
        <v>10</v>
      </c>
      <c r="J2" s="27" t="s">
        <v>21</v>
      </c>
      <c r="K2" s="49" t="s">
        <v>19</v>
      </c>
      <c r="L2" s="49" t="s">
        <v>10</v>
      </c>
      <c r="M2" s="49" t="s">
        <v>11</v>
      </c>
      <c r="P2" s="5">
        <f ca="1">C14</f>
        <v>14541.369863013701</v>
      </c>
      <c r="R2" s="14">
        <f ca="1">C14</f>
        <v>14541.369863013701</v>
      </c>
      <c r="S2" s="30">
        <v>1</v>
      </c>
      <c r="T2" s="30">
        <v>2</v>
      </c>
      <c r="U2" s="30">
        <v>3</v>
      </c>
      <c r="V2" s="30">
        <v>4</v>
      </c>
      <c r="W2" s="30">
        <v>5</v>
      </c>
      <c r="X2" s="30">
        <v>6</v>
      </c>
      <c r="Y2" s="30">
        <v>7</v>
      </c>
      <c r="Z2" s="30">
        <v>8</v>
      </c>
      <c r="AA2" s="30">
        <v>9</v>
      </c>
      <c r="AB2" s="30">
        <v>10</v>
      </c>
      <c r="AC2" s="30">
        <v>11</v>
      </c>
      <c r="AD2" s="30">
        <v>12</v>
      </c>
      <c r="AE2" s="30">
        <v>13</v>
      </c>
      <c r="AF2" s="30">
        <v>14</v>
      </c>
      <c r="AG2" s="30">
        <v>15</v>
      </c>
      <c r="AH2" s="30">
        <v>16</v>
      </c>
      <c r="AI2" s="30">
        <v>17</v>
      </c>
      <c r="AJ2" s="30">
        <v>18</v>
      </c>
      <c r="AK2" s="30">
        <v>19</v>
      </c>
      <c r="AL2" s="30">
        <v>20</v>
      </c>
      <c r="AM2" s="30">
        <v>21</v>
      </c>
      <c r="AN2" s="30">
        <v>22</v>
      </c>
      <c r="AO2" s="30">
        <v>23</v>
      </c>
      <c r="AP2" s="30">
        <v>24</v>
      </c>
      <c r="AQ2" s="30">
        <v>25</v>
      </c>
      <c r="AR2" s="30">
        <v>26</v>
      </c>
      <c r="AS2" s="30">
        <v>27</v>
      </c>
      <c r="AT2" s="30">
        <v>28</v>
      </c>
      <c r="AU2" s="30">
        <v>29</v>
      </c>
      <c r="AV2" s="30">
        <v>30</v>
      </c>
      <c r="AW2" s="30">
        <v>31</v>
      </c>
      <c r="AX2" s="30">
        <v>32</v>
      </c>
      <c r="AY2" s="30">
        <v>33</v>
      </c>
      <c r="AZ2" s="30">
        <v>34</v>
      </c>
      <c r="BA2" s="30">
        <v>35</v>
      </c>
      <c r="BB2" s="30">
        <v>36</v>
      </c>
      <c r="BC2" s="30">
        <v>37</v>
      </c>
      <c r="BD2" s="30">
        <v>38</v>
      </c>
      <c r="BE2" s="30">
        <v>39</v>
      </c>
      <c r="BF2" s="30">
        <v>40</v>
      </c>
      <c r="BG2" s="30">
        <v>41</v>
      </c>
      <c r="BH2" s="30">
        <v>42</v>
      </c>
      <c r="BI2" s="30">
        <v>43</v>
      </c>
      <c r="BJ2" s="30">
        <v>44</v>
      </c>
      <c r="BK2" s="30">
        <v>45</v>
      </c>
      <c r="BL2" s="30">
        <v>46</v>
      </c>
      <c r="BM2" s="30">
        <v>47</v>
      </c>
      <c r="BN2" s="30">
        <v>48</v>
      </c>
      <c r="BO2" s="30">
        <v>49</v>
      </c>
      <c r="BP2" s="30">
        <v>50</v>
      </c>
      <c r="BQ2" s="30">
        <v>51</v>
      </c>
      <c r="BR2" s="30">
        <v>52</v>
      </c>
      <c r="BS2" s="30">
        <v>53</v>
      </c>
      <c r="BT2" s="30">
        <v>54</v>
      </c>
      <c r="BU2" s="30">
        <v>55</v>
      </c>
      <c r="BV2" s="30">
        <v>56</v>
      </c>
      <c r="BW2" s="30">
        <v>57</v>
      </c>
      <c r="BX2" s="30">
        <v>58</v>
      </c>
      <c r="BY2" s="30">
        <v>59</v>
      </c>
      <c r="BZ2" s="30">
        <v>60</v>
      </c>
      <c r="CA2" s="30">
        <v>61</v>
      </c>
      <c r="CB2" s="30">
        <v>62</v>
      </c>
      <c r="CC2" s="30">
        <v>63</v>
      </c>
      <c r="CD2" s="30">
        <v>64</v>
      </c>
      <c r="CE2" s="30">
        <v>65</v>
      </c>
      <c r="CF2" s="30">
        <v>66</v>
      </c>
      <c r="CG2" s="30">
        <v>67</v>
      </c>
      <c r="CH2" s="30">
        <v>68</v>
      </c>
      <c r="CI2" s="30">
        <v>69</v>
      </c>
      <c r="CJ2" s="30">
        <v>70</v>
      </c>
      <c r="CK2" s="30">
        <v>71</v>
      </c>
      <c r="CL2" s="30">
        <v>72</v>
      </c>
      <c r="CM2" s="30">
        <v>73</v>
      </c>
      <c r="CN2" s="30">
        <v>74</v>
      </c>
      <c r="CO2" s="30">
        <v>75</v>
      </c>
      <c r="CP2" s="30">
        <v>76</v>
      </c>
      <c r="CQ2" s="30">
        <v>77</v>
      </c>
      <c r="CR2" s="30">
        <v>78</v>
      </c>
      <c r="CS2" s="30">
        <v>79</v>
      </c>
      <c r="CT2" s="30">
        <v>80</v>
      </c>
      <c r="CU2" s="30">
        <v>81</v>
      </c>
      <c r="CV2" s="30">
        <v>82</v>
      </c>
      <c r="CW2" s="30">
        <v>83</v>
      </c>
      <c r="CX2" s="30">
        <v>84</v>
      </c>
      <c r="CY2" s="30">
        <v>85</v>
      </c>
      <c r="CZ2" s="30">
        <v>86</v>
      </c>
      <c r="DA2" s="30">
        <v>87</v>
      </c>
      <c r="DB2" s="30">
        <v>88</v>
      </c>
      <c r="DC2" s="30">
        <v>89</v>
      </c>
      <c r="DD2" s="30">
        <v>90</v>
      </c>
      <c r="DE2" s="30">
        <v>91</v>
      </c>
      <c r="DF2" s="30">
        <v>92</v>
      </c>
      <c r="DG2" s="30">
        <v>93</v>
      </c>
      <c r="DH2" s="30">
        <v>94</v>
      </c>
      <c r="DI2" s="30">
        <v>95</v>
      </c>
      <c r="DJ2" s="30">
        <v>96</v>
      </c>
      <c r="DK2" s="30">
        <v>97</v>
      </c>
      <c r="DL2" s="30">
        <v>98</v>
      </c>
      <c r="DM2" s="30">
        <v>99</v>
      </c>
      <c r="DN2" s="30">
        <v>100</v>
      </c>
      <c r="DO2" s="31" t="s">
        <v>31</v>
      </c>
    </row>
    <row r="3" spans="2:119" ht="14" customHeight="1" x14ac:dyDescent="0.3">
      <c r="B3" s="32" t="s">
        <v>26</v>
      </c>
      <c r="C3" s="2">
        <v>100</v>
      </c>
      <c r="E3" s="58"/>
      <c r="F3" s="33" t="s">
        <v>17</v>
      </c>
      <c r="G3" s="34" t="s">
        <v>33</v>
      </c>
      <c r="H3" s="34" t="s">
        <v>33</v>
      </c>
      <c r="I3" s="35" t="s">
        <v>12</v>
      </c>
      <c r="J3" s="34" t="s">
        <v>22</v>
      </c>
      <c r="K3" s="50" t="s">
        <v>20</v>
      </c>
      <c r="L3" s="50" t="s">
        <v>13</v>
      </c>
      <c r="M3" s="50" t="s">
        <v>13</v>
      </c>
      <c r="O3" s="2">
        <v>600</v>
      </c>
      <c r="P3" s="5">
        <f t="dataTable" ref="P3:P13" dt2D="0" dtr="0" r1="C9" ca="1"/>
        <v>18928.493150684932</v>
      </c>
      <c r="R3" s="2">
        <v>600</v>
      </c>
      <c r="S3" s="48">
        <f t="dataTable" ref="S3:DN13" dt2D="1" dtr="1" r1="Q1" r2="C9" ca="1"/>
        <v>18475.068493150684</v>
      </c>
      <c r="T3" s="48">
        <v>17068.767123287667</v>
      </c>
      <c r="U3" s="48">
        <v>21413.424657534248</v>
      </c>
      <c r="V3" s="48">
        <v>17556.164383561645</v>
      </c>
      <c r="W3" s="48">
        <v>16527.397260273978</v>
      </c>
      <c r="X3" s="48">
        <v>18851.506849315068</v>
      </c>
      <c r="Y3" s="48">
        <v>18920.821917808222</v>
      </c>
      <c r="Z3" s="48">
        <v>22043.561643835616</v>
      </c>
      <c r="AA3" s="48">
        <v>18447.397260273974</v>
      </c>
      <c r="AB3" s="48">
        <v>16970.95890410959</v>
      </c>
      <c r="AC3" s="48">
        <v>20233.150684931505</v>
      </c>
      <c r="AD3" s="48">
        <v>17638.904109589046</v>
      </c>
      <c r="AE3" s="48">
        <v>20752.054794520547</v>
      </c>
      <c r="AF3" s="48">
        <v>16115.068493150684</v>
      </c>
      <c r="AG3" s="48">
        <v>17473.424657534248</v>
      </c>
      <c r="AH3" s="48">
        <v>20762.739726027397</v>
      </c>
      <c r="AI3" s="48">
        <v>15131.506849315072</v>
      </c>
      <c r="AJ3" s="48">
        <v>16258.630136986301</v>
      </c>
      <c r="AK3" s="48">
        <v>18041.369863013701</v>
      </c>
      <c r="AL3" s="48">
        <v>15048.219178082192</v>
      </c>
      <c r="AM3" s="48">
        <v>16964.109589041098</v>
      </c>
      <c r="AN3" s="48">
        <v>20808.219178082189</v>
      </c>
      <c r="AO3" s="48">
        <v>16864.383561643834</v>
      </c>
      <c r="AP3" s="48">
        <v>16580.273972602743</v>
      </c>
      <c r="AQ3" s="48">
        <v>15874.794520547945</v>
      </c>
      <c r="AR3" s="48">
        <v>18823.561643835616</v>
      </c>
      <c r="AS3" s="48">
        <v>19444.383561643834</v>
      </c>
      <c r="AT3" s="48">
        <v>15881.095890410961</v>
      </c>
      <c r="AU3" s="48">
        <v>17665.753424657534</v>
      </c>
      <c r="AV3" s="48">
        <v>18442.465753424658</v>
      </c>
      <c r="AW3" s="48">
        <v>19141.369863013701</v>
      </c>
      <c r="AX3" s="48">
        <v>18700</v>
      </c>
      <c r="AY3" s="48">
        <v>18277.260273972606</v>
      </c>
      <c r="AZ3" s="48">
        <v>18406.301369863013</v>
      </c>
      <c r="BA3" s="48">
        <v>17432.32876712329</v>
      </c>
      <c r="BB3" s="48">
        <v>15935.342465753429</v>
      </c>
      <c r="BC3" s="48">
        <v>18680</v>
      </c>
      <c r="BD3" s="48">
        <v>19412.054794520551</v>
      </c>
      <c r="BE3" s="48">
        <v>17771.780821917811</v>
      </c>
      <c r="BF3" s="48">
        <v>19946.301369863013</v>
      </c>
      <c r="BG3" s="48">
        <v>17647.397260273974</v>
      </c>
      <c r="BH3" s="48">
        <v>15837.534246575342</v>
      </c>
      <c r="BI3" s="48">
        <v>18110.68493150685</v>
      </c>
      <c r="BJ3" s="48">
        <v>15832.60273972603</v>
      </c>
      <c r="BK3" s="48">
        <v>22349.589041095893</v>
      </c>
      <c r="BL3" s="48">
        <v>18896.712328767124</v>
      </c>
      <c r="BM3" s="48">
        <v>16070.684931506852</v>
      </c>
      <c r="BN3" s="48">
        <v>20479.452054794521</v>
      </c>
      <c r="BO3" s="48">
        <v>17438.904109589042</v>
      </c>
      <c r="BP3" s="48">
        <v>18675.068493150684</v>
      </c>
      <c r="BQ3" s="48">
        <v>16362.191780821919</v>
      </c>
      <c r="BR3" s="48">
        <v>17225.753424657534</v>
      </c>
      <c r="BS3" s="48">
        <v>19587.671232876713</v>
      </c>
      <c r="BT3" s="48">
        <v>18267.67123287671</v>
      </c>
      <c r="BU3" s="48">
        <v>19179.726027397257</v>
      </c>
      <c r="BV3" s="48">
        <v>19578.082191780821</v>
      </c>
      <c r="BW3" s="48">
        <v>15248.767123287671</v>
      </c>
      <c r="BX3" s="48">
        <v>19819.178082191782</v>
      </c>
      <c r="BY3" s="48">
        <v>17229.04109589041</v>
      </c>
      <c r="BZ3" s="48">
        <v>17928.493150684932</v>
      </c>
      <c r="CA3" s="48">
        <v>18589.589041095893</v>
      </c>
      <c r="CB3" s="48">
        <v>18897.808219178081</v>
      </c>
      <c r="CC3" s="48">
        <v>18126.027397260277</v>
      </c>
      <c r="CD3" s="48">
        <v>22169.589041095889</v>
      </c>
      <c r="CE3" s="48">
        <v>17636.712328767124</v>
      </c>
      <c r="CF3" s="48">
        <v>20606.027397260274</v>
      </c>
      <c r="CG3" s="48">
        <v>19879.178082191782</v>
      </c>
      <c r="CH3" s="48">
        <v>20885.479452054795</v>
      </c>
      <c r="CI3" s="48">
        <v>20898.082191780821</v>
      </c>
      <c r="CJ3" s="48">
        <v>19816.438356164384</v>
      </c>
      <c r="CK3" s="48">
        <v>19035.06849315068</v>
      </c>
      <c r="CL3" s="48">
        <v>17245.205479452055</v>
      </c>
      <c r="CM3" s="48">
        <v>17314.794520547948</v>
      </c>
      <c r="CN3" s="48">
        <v>17936.438356164384</v>
      </c>
      <c r="CO3" s="48">
        <v>20639.726027397264</v>
      </c>
      <c r="CP3" s="48">
        <v>17460</v>
      </c>
      <c r="CQ3" s="48">
        <v>16719.726027397257</v>
      </c>
      <c r="CR3" s="48">
        <v>16992.876712328765</v>
      </c>
      <c r="CS3" s="48">
        <v>17526.849315068492</v>
      </c>
      <c r="CT3" s="48">
        <v>19804.657534246577</v>
      </c>
      <c r="CU3" s="48">
        <v>17720.273972602739</v>
      </c>
      <c r="CV3" s="48">
        <v>17391.780821917808</v>
      </c>
      <c r="CW3" s="48">
        <v>15860.547945205479</v>
      </c>
      <c r="CX3" s="48">
        <v>20597.534246575342</v>
      </c>
      <c r="CY3" s="48">
        <v>19515.616438356166</v>
      </c>
      <c r="CZ3" s="48">
        <v>17938.630136986303</v>
      </c>
      <c r="DA3" s="48">
        <v>17383.28767123288</v>
      </c>
      <c r="DB3" s="48">
        <v>17240.547945205479</v>
      </c>
      <c r="DC3" s="48">
        <v>15786.027397260274</v>
      </c>
      <c r="DD3" s="48">
        <v>17030.410958904111</v>
      </c>
      <c r="DE3" s="48">
        <v>15876.712328767122</v>
      </c>
      <c r="DF3" s="48">
        <v>17191.232876712329</v>
      </c>
      <c r="DG3" s="48">
        <v>18558.904109589042</v>
      </c>
      <c r="DH3" s="48">
        <v>21979.999999999996</v>
      </c>
      <c r="DI3" s="48">
        <v>17407.671232876713</v>
      </c>
      <c r="DJ3" s="48">
        <v>19820.821917808218</v>
      </c>
      <c r="DK3" s="48">
        <v>19238.630136986299</v>
      </c>
      <c r="DL3" s="48">
        <v>17242.465753424654</v>
      </c>
      <c r="DM3" s="48">
        <v>18129.589041095889</v>
      </c>
      <c r="DN3" s="48">
        <v>20018.35616438356</v>
      </c>
      <c r="DO3" s="5">
        <f>AVERAGE(S3:DN3)</f>
        <v>18266.564383561643</v>
      </c>
    </row>
    <row r="4" spans="2:119" ht="13.25" customHeight="1" x14ac:dyDescent="0.3">
      <c r="B4" s="38" t="s">
        <v>29</v>
      </c>
      <c r="C4" s="2">
        <v>200</v>
      </c>
      <c r="E4" s="54">
        <v>0</v>
      </c>
      <c r="F4" s="5"/>
      <c r="G4" s="5"/>
      <c r="H4" s="5">
        <f>C6</f>
        <v>100</v>
      </c>
      <c r="I4" s="5"/>
      <c r="J4" s="5"/>
      <c r="K4" s="5"/>
      <c r="L4" s="5"/>
      <c r="M4" s="2"/>
      <c r="O4" s="2">
        <v>700</v>
      </c>
      <c r="P4" s="5">
        <v>17484.109589041094</v>
      </c>
      <c r="R4" s="2">
        <v>700</v>
      </c>
      <c r="S4" s="48">
        <v>18558.35616438356</v>
      </c>
      <c r="T4" s="48">
        <v>17039.178082191778</v>
      </c>
      <c r="U4" s="48">
        <v>16196.164383561645</v>
      </c>
      <c r="V4" s="48">
        <v>15850.958904109588</v>
      </c>
      <c r="W4" s="48">
        <v>18480.273972602743</v>
      </c>
      <c r="X4" s="48">
        <v>13945.479452054795</v>
      </c>
      <c r="Y4" s="48">
        <v>16634.520547945209</v>
      </c>
      <c r="Z4" s="48">
        <v>14970.958904109591</v>
      </c>
      <c r="AA4" s="48">
        <v>17504.657534246577</v>
      </c>
      <c r="AB4" s="48">
        <v>14449.589041095889</v>
      </c>
      <c r="AC4" s="48">
        <v>16337.534246575342</v>
      </c>
      <c r="AD4" s="48">
        <v>17637.534246575342</v>
      </c>
      <c r="AE4" s="48">
        <v>17607.397260273974</v>
      </c>
      <c r="AF4" s="48">
        <v>19662.739726027397</v>
      </c>
      <c r="AG4" s="48">
        <v>15230.95890410959</v>
      </c>
      <c r="AH4" s="48">
        <v>14331.232876712329</v>
      </c>
      <c r="AI4" s="48">
        <v>15940.273972602739</v>
      </c>
      <c r="AJ4" s="48">
        <v>15124.383561643837</v>
      </c>
      <c r="AK4" s="48">
        <v>15412.876712328767</v>
      </c>
      <c r="AL4" s="48">
        <v>14122.191780821919</v>
      </c>
      <c r="AM4" s="48">
        <v>14582.465753424658</v>
      </c>
      <c r="AN4" s="48">
        <v>18407.123287671231</v>
      </c>
      <c r="AO4" s="48">
        <v>15172.602739726028</v>
      </c>
      <c r="AP4" s="48">
        <v>18763.835616438355</v>
      </c>
      <c r="AQ4" s="48">
        <v>14330.410958904107</v>
      </c>
      <c r="AR4" s="48">
        <v>17594.794520547945</v>
      </c>
      <c r="AS4" s="48">
        <v>17818.35616438356</v>
      </c>
      <c r="AT4" s="48">
        <v>14998.082191780821</v>
      </c>
      <c r="AU4" s="48">
        <v>17148.219178082192</v>
      </c>
      <c r="AV4" s="48">
        <v>16293.424657534248</v>
      </c>
      <c r="AW4" s="48">
        <v>15283.561643835616</v>
      </c>
      <c r="AX4" s="48">
        <v>17319.452054794521</v>
      </c>
      <c r="AY4" s="48">
        <v>18909.04109589041</v>
      </c>
      <c r="AZ4" s="48">
        <v>15222.465753424658</v>
      </c>
      <c r="BA4" s="48">
        <v>17948.493150684932</v>
      </c>
      <c r="BB4" s="48">
        <v>15025.205479452054</v>
      </c>
      <c r="BC4" s="48">
        <v>15411.780821917808</v>
      </c>
      <c r="BD4" s="48">
        <v>14241.095890410958</v>
      </c>
      <c r="BE4" s="48">
        <v>14646.84931506849</v>
      </c>
      <c r="BF4" s="48">
        <v>14604.657534246575</v>
      </c>
      <c r="BG4" s="48">
        <v>18461.095890410958</v>
      </c>
      <c r="BH4" s="48">
        <v>16124.383561643837</v>
      </c>
      <c r="BI4" s="48">
        <v>17032.32876712329</v>
      </c>
      <c r="BJ4" s="48">
        <v>16824.383561643837</v>
      </c>
      <c r="BK4" s="48">
        <v>16838.630136986299</v>
      </c>
      <c r="BL4" s="48">
        <v>14272.602739726028</v>
      </c>
      <c r="BM4" s="48">
        <v>14226.301369863015</v>
      </c>
      <c r="BN4" s="48">
        <v>14864.383561643835</v>
      </c>
      <c r="BO4" s="48">
        <v>14880.821917808222</v>
      </c>
      <c r="BP4" s="48">
        <v>16866.301369863013</v>
      </c>
      <c r="BQ4" s="48">
        <v>17565.479452054795</v>
      </c>
      <c r="BR4" s="48">
        <v>14958.904109589042</v>
      </c>
      <c r="BS4" s="48">
        <v>19852.054794520551</v>
      </c>
      <c r="BT4" s="48">
        <v>17805.479452054798</v>
      </c>
      <c r="BU4" s="48">
        <v>17204.657534246573</v>
      </c>
      <c r="BV4" s="48">
        <v>12994.520547945205</v>
      </c>
      <c r="BW4" s="48">
        <v>16068.493150684928</v>
      </c>
      <c r="BX4" s="48">
        <v>14801.369863013702</v>
      </c>
      <c r="BY4" s="48">
        <v>14197.534246575344</v>
      </c>
      <c r="BZ4" s="48">
        <v>17953.972602739726</v>
      </c>
      <c r="CA4" s="48">
        <v>18150.958904109586</v>
      </c>
      <c r="CB4" s="48">
        <v>18813.972602739723</v>
      </c>
      <c r="CC4" s="48">
        <v>17309.315068493153</v>
      </c>
      <c r="CD4" s="48">
        <v>16025.205479452055</v>
      </c>
      <c r="CE4" s="48">
        <v>16379.17808219178</v>
      </c>
      <c r="CF4" s="48">
        <v>15892.876712328769</v>
      </c>
      <c r="CG4" s="48">
        <v>15277.534246575344</v>
      </c>
      <c r="CH4" s="48">
        <v>16183.835616438355</v>
      </c>
      <c r="CI4" s="48">
        <v>16042.191780821919</v>
      </c>
      <c r="CJ4" s="48">
        <v>18165.753424657534</v>
      </c>
      <c r="CK4" s="48">
        <v>14682.19178082192</v>
      </c>
      <c r="CL4" s="48">
        <v>16783.835616438355</v>
      </c>
      <c r="CM4" s="48">
        <v>15648.219178082194</v>
      </c>
      <c r="CN4" s="48">
        <v>15963.013698630137</v>
      </c>
      <c r="CO4" s="48">
        <v>15504.109589041098</v>
      </c>
      <c r="CP4" s="48">
        <v>16204.657534246577</v>
      </c>
      <c r="CQ4" s="48">
        <v>15350.410958904109</v>
      </c>
      <c r="CR4" s="48">
        <v>18378.904109589042</v>
      </c>
      <c r="CS4" s="48">
        <v>18313.972602739723</v>
      </c>
      <c r="CT4" s="48">
        <v>18711.780821917811</v>
      </c>
      <c r="CU4" s="48">
        <v>14875.616438356165</v>
      </c>
      <c r="CV4" s="48">
        <v>15845.753424657534</v>
      </c>
      <c r="CW4" s="48">
        <v>14578.630136986301</v>
      </c>
      <c r="CX4" s="48">
        <v>14596.712328767124</v>
      </c>
      <c r="CY4" s="48">
        <v>17131.232876712333</v>
      </c>
      <c r="CZ4" s="48">
        <v>15834.246575342464</v>
      </c>
      <c r="DA4" s="48">
        <v>14955.890410958902</v>
      </c>
      <c r="DB4" s="48">
        <v>18564.383561643834</v>
      </c>
      <c r="DC4" s="48">
        <v>15799.452054794523</v>
      </c>
      <c r="DD4" s="48">
        <v>17328.767123287675</v>
      </c>
      <c r="DE4" s="48">
        <v>17153.424657534244</v>
      </c>
      <c r="DF4" s="48">
        <v>16118.630136986303</v>
      </c>
      <c r="DG4" s="48">
        <v>15655.890410958906</v>
      </c>
      <c r="DH4" s="48">
        <v>19322.739726027397</v>
      </c>
      <c r="DI4" s="48">
        <v>17053.424657534244</v>
      </c>
      <c r="DJ4" s="48">
        <v>16782.191780821915</v>
      </c>
      <c r="DK4" s="48">
        <v>18928.219178082189</v>
      </c>
      <c r="DL4" s="48">
        <v>14861.917808219177</v>
      </c>
      <c r="DM4" s="48">
        <v>14900.82191780822</v>
      </c>
      <c r="DN4" s="48">
        <v>19170.136986301368</v>
      </c>
      <c r="DO4" s="5">
        <f t="shared" ref="DO4:DO13" si="0">AVERAGE(S4:DN4)</f>
        <v>16357.928767123287</v>
      </c>
    </row>
    <row r="5" spans="2:119" ht="13.25" customHeight="1" x14ac:dyDescent="0.3">
      <c r="B5" s="32" t="s">
        <v>5</v>
      </c>
      <c r="C5" s="2">
        <v>10</v>
      </c>
      <c r="E5" s="54">
        <v>1</v>
      </c>
      <c r="F5" s="5">
        <f ca="1">INDEX($R$17:$R$21,MATCH(RAND(),$T$17:$T$21,1))</f>
        <v>110</v>
      </c>
      <c r="G5" s="5">
        <f t="shared" ref="G5" si="1">H4+$C$9*I4</f>
        <v>100</v>
      </c>
      <c r="H5" s="5">
        <f ca="1">IF(G5-F5&gt;0,G5-F5,0)</f>
        <v>0</v>
      </c>
      <c r="I5" s="5">
        <f t="shared" ref="I5" ca="1" si="2">IF(H5&lt;$C$3,1,0)</f>
        <v>1</v>
      </c>
      <c r="J5" s="5">
        <f t="shared" ref="J5" ca="1" si="3">-MIN(0,G5-F5)</f>
        <v>10</v>
      </c>
      <c r="K5" s="5">
        <f ca="1">J5*$C$8</f>
        <v>500</v>
      </c>
      <c r="L5" s="5">
        <f t="shared" ref="L5" ca="1" si="4">$C$4*I5</f>
        <v>200</v>
      </c>
      <c r="M5" s="6">
        <f t="shared" ref="M5:M68" ca="1" si="5">H5*$C$7</f>
        <v>0</v>
      </c>
      <c r="O5" s="2">
        <v>800</v>
      </c>
      <c r="P5" s="5">
        <v>14604.657534246575</v>
      </c>
      <c r="R5" s="2">
        <v>800</v>
      </c>
      <c r="S5" s="48">
        <v>15952.876712328771</v>
      </c>
      <c r="T5" s="48">
        <v>14652.328767123288</v>
      </c>
      <c r="U5" s="48">
        <v>16780.273972602736</v>
      </c>
      <c r="V5" s="48">
        <v>14580.82191780822</v>
      </c>
      <c r="W5" s="48">
        <v>15033.424657534246</v>
      </c>
      <c r="X5" s="48">
        <v>13796.712328767122</v>
      </c>
      <c r="Y5" s="48">
        <v>14356.438356164381</v>
      </c>
      <c r="Z5" s="48">
        <v>14590.684931506847</v>
      </c>
      <c r="AA5" s="48">
        <v>15057.808219178083</v>
      </c>
      <c r="AB5" s="48">
        <v>13847.123287671235</v>
      </c>
      <c r="AC5" s="48">
        <v>15641.369863013697</v>
      </c>
      <c r="AD5" s="48">
        <v>14278.904109589042</v>
      </c>
      <c r="AE5" s="48">
        <v>13493.972602739732</v>
      </c>
      <c r="AF5" s="48">
        <v>17301.64383561644</v>
      </c>
      <c r="AG5" s="48">
        <v>16131.232876712324</v>
      </c>
      <c r="AH5" s="48">
        <v>15591.50684931507</v>
      </c>
      <c r="AI5" s="48">
        <v>16114.794520547946</v>
      </c>
      <c r="AJ5" s="48">
        <v>14241.917808219179</v>
      </c>
      <c r="AK5" s="48">
        <v>15918.904109589042</v>
      </c>
      <c r="AL5" s="48">
        <v>13738.630136986298</v>
      </c>
      <c r="AM5" s="48">
        <v>14331.232876712331</v>
      </c>
      <c r="AN5" s="48">
        <v>15680.82191780822</v>
      </c>
      <c r="AO5" s="48">
        <v>15392.054794520547</v>
      </c>
      <c r="AP5" s="48">
        <v>15558.630136986299</v>
      </c>
      <c r="AQ5" s="48">
        <v>15975.068493150688</v>
      </c>
      <c r="AR5" s="48">
        <v>13169.04109589041</v>
      </c>
      <c r="AS5" s="48">
        <v>14862.191780821917</v>
      </c>
      <c r="AT5" s="48">
        <v>13043.835616438355</v>
      </c>
      <c r="AU5" s="48">
        <v>14779.726027397262</v>
      </c>
      <c r="AV5" s="48">
        <v>14400</v>
      </c>
      <c r="AW5" s="48">
        <v>16823.835616438359</v>
      </c>
      <c r="AX5" s="48">
        <v>18279.178082191782</v>
      </c>
      <c r="AY5" s="48">
        <v>16043.287671232876</v>
      </c>
      <c r="AZ5" s="48">
        <v>14450.136986301372</v>
      </c>
      <c r="BA5" s="48">
        <v>14734.520547945203</v>
      </c>
      <c r="BB5" s="48">
        <v>14430.13698630137</v>
      </c>
      <c r="BC5" s="48">
        <v>13459.726027397262</v>
      </c>
      <c r="BD5" s="48">
        <v>15549.863013698628</v>
      </c>
      <c r="BE5" s="48">
        <v>17548.493150684928</v>
      </c>
      <c r="BF5" s="48">
        <v>15519.452054794521</v>
      </c>
      <c r="BG5" s="48">
        <v>15695.342465753425</v>
      </c>
      <c r="BH5" s="48">
        <v>17790.136986301368</v>
      </c>
      <c r="BI5" s="48">
        <v>16377.808219178081</v>
      </c>
      <c r="BJ5" s="48">
        <v>16304.931506849311</v>
      </c>
      <c r="BK5" s="48">
        <v>13972.328767123287</v>
      </c>
      <c r="BL5" s="48">
        <v>13794.794520547946</v>
      </c>
      <c r="BM5" s="48">
        <v>13133.698630136989</v>
      </c>
      <c r="BN5" s="48">
        <v>15580.273972602741</v>
      </c>
      <c r="BO5" s="48">
        <v>16104.931506849316</v>
      </c>
      <c r="BP5" s="48">
        <v>15451.50684931507</v>
      </c>
      <c r="BQ5" s="48">
        <v>15053.15068493151</v>
      </c>
      <c r="BR5" s="48">
        <v>14199.452054794523</v>
      </c>
      <c r="BS5" s="48">
        <v>14799.178082191776</v>
      </c>
      <c r="BT5" s="48">
        <v>16384.383561643837</v>
      </c>
      <c r="BU5" s="48">
        <v>14580.273972602739</v>
      </c>
      <c r="BV5" s="48">
        <v>15703.013698630137</v>
      </c>
      <c r="BW5" s="48">
        <v>15458.356164383564</v>
      </c>
      <c r="BX5" s="48">
        <v>16331.506849315068</v>
      </c>
      <c r="BY5" s="48">
        <v>13394.246575342466</v>
      </c>
      <c r="BZ5" s="48">
        <v>14469.041095890407</v>
      </c>
      <c r="CA5" s="48">
        <v>17150.136986301375</v>
      </c>
      <c r="CB5" s="48">
        <v>15307.945205479456</v>
      </c>
      <c r="CC5" s="48">
        <v>15966.027397260274</v>
      </c>
      <c r="CD5" s="48">
        <v>15696.438356164383</v>
      </c>
      <c r="CE5" s="48">
        <v>14965.205479452059</v>
      </c>
      <c r="CF5" s="48">
        <v>12488.219178082192</v>
      </c>
      <c r="CG5" s="48">
        <v>15521.643835616438</v>
      </c>
      <c r="CH5" s="48">
        <v>14113.698630136983</v>
      </c>
      <c r="CI5" s="48">
        <v>14455.342465753423</v>
      </c>
      <c r="CJ5" s="48">
        <v>16380</v>
      </c>
      <c r="CK5" s="48">
        <v>15557.808219178085</v>
      </c>
      <c r="CL5" s="48">
        <v>12347.123287671235</v>
      </c>
      <c r="CM5" s="48">
        <v>16580.821917808218</v>
      </c>
      <c r="CN5" s="48">
        <v>13479.17808219178</v>
      </c>
      <c r="CO5" s="48">
        <v>14595.890410958902</v>
      </c>
      <c r="CP5" s="48">
        <v>13087.123287671231</v>
      </c>
      <c r="CQ5" s="48">
        <v>15895.342465753423</v>
      </c>
      <c r="CR5" s="48">
        <v>15753.150684931508</v>
      </c>
      <c r="CS5" s="48">
        <v>13965.205479452055</v>
      </c>
      <c r="CT5" s="48">
        <v>18794.794520547945</v>
      </c>
      <c r="CU5" s="48">
        <v>13657.808219178085</v>
      </c>
      <c r="CV5" s="48">
        <v>13592.054794520549</v>
      </c>
      <c r="CW5" s="48">
        <v>15693.424657534248</v>
      </c>
      <c r="CX5" s="48">
        <v>15772.876712328765</v>
      </c>
      <c r="CY5" s="48">
        <v>14764.931506849314</v>
      </c>
      <c r="CZ5" s="48">
        <v>15386.027397260274</v>
      </c>
      <c r="DA5" s="48">
        <v>13802.465753424658</v>
      </c>
      <c r="DB5" s="48">
        <v>16300.821917808222</v>
      </c>
      <c r="DC5" s="48">
        <v>14641.369863013699</v>
      </c>
      <c r="DD5" s="48">
        <v>18120.547945205482</v>
      </c>
      <c r="DE5" s="48">
        <v>15674.246575342464</v>
      </c>
      <c r="DF5" s="48">
        <v>14886.849315068495</v>
      </c>
      <c r="DG5" s="48">
        <v>14160</v>
      </c>
      <c r="DH5" s="48">
        <v>15510.410958904111</v>
      </c>
      <c r="DI5" s="48">
        <v>15047.397260273972</v>
      </c>
      <c r="DJ5" s="48">
        <v>14604.383561643835</v>
      </c>
      <c r="DK5" s="48">
        <v>16111.232876712327</v>
      </c>
      <c r="DL5" s="48">
        <v>13245.205479452052</v>
      </c>
      <c r="DM5" s="48">
        <v>15615.8904109589</v>
      </c>
      <c r="DN5" s="48">
        <v>14170.958904109588</v>
      </c>
      <c r="DO5" s="5">
        <f t="shared" si="0"/>
        <v>15125.709589041104</v>
      </c>
    </row>
    <row r="6" spans="2:119" ht="13.25" customHeight="1" x14ac:dyDescent="0.3">
      <c r="B6" s="38" t="s">
        <v>4</v>
      </c>
      <c r="C6" s="2">
        <v>100</v>
      </c>
      <c r="E6" s="54">
        <v>2</v>
      </c>
      <c r="F6" s="5">
        <f t="shared" ref="F6:F68" ca="1" si="6">INDEX($R$18:$R$22,MATCH(RAND(),$T$17:$T$22,1))</f>
        <v>110</v>
      </c>
      <c r="G6" s="5">
        <f t="shared" ref="G6:G69" ca="1" si="7">H5+$C$9*I5</f>
        <v>1000</v>
      </c>
      <c r="H6" s="5">
        <f t="shared" ref="H6:H69" ca="1" si="8">IF(G6-F6&gt;0,G6-F6,0)</f>
        <v>890</v>
      </c>
      <c r="I6" s="5">
        <f t="shared" ref="I6:I69" ca="1" si="9">IF(H6&lt;$C$3,1,0)</f>
        <v>0</v>
      </c>
      <c r="J6" s="5">
        <f t="shared" ref="J6:J69" ca="1" si="10">-MIN(0,G6-F6)</f>
        <v>0</v>
      </c>
      <c r="K6" s="5">
        <f t="shared" ref="K6:K69" ca="1" si="11">J6*$C$8</f>
        <v>0</v>
      </c>
      <c r="L6" s="5">
        <f t="shared" ref="L6:L69" ca="1" si="12">$C$4*I6</f>
        <v>0</v>
      </c>
      <c r="M6" s="6">
        <f t="shared" ca="1" si="5"/>
        <v>24.383561643835616</v>
      </c>
      <c r="O6" s="2">
        <v>900</v>
      </c>
      <c r="P6" s="5">
        <v>13475.068493150682</v>
      </c>
      <c r="R6" s="2">
        <v>900</v>
      </c>
      <c r="S6" s="48">
        <v>14149.863013698628</v>
      </c>
      <c r="T6" s="48">
        <v>13076.164383561645</v>
      </c>
      <c r="U6" s="48">
        <v>15233.150684931512</v>
      </c>
      <c r="V6" s="48">
        <v>17332.32876712329</v>
      </c>
      <c r="W6" s="48">
        <v>13394.794520547946</v>
      </c>
      <c r="X6" s="48">
        <v>17644.657534246573</v>
      </c>
      <c r="Y6" s="48">
        <v>13577.260273972603</v>
      </c>
      <c r="Z6" s="48">
        <v>14632.054794520547</v>
      </c>
      <c r="AA6" s="48">
        <v>13755.068493150688</v>
      </c>
      <c r="AB6" s="48">
        <v>16581.095890410961</v>
      </c>
      <c r="AC6" s="48">
        <v>14163.013698630133</v>
      </c>
      <c r="AD6" s="48">
        <v>12317.260273972606</v>
      </c>
      <c r="AE6" s="48">
        <v>16581.095890410958</v>
      </c>
      <c r="AF6" s="48">
        <v>14631.506849315065</v>
      </c>
      <c r="AG6" s="48">
        <v>13388.49315068493</v>
      </c>
      <c r="AH6" s="48">
        <v>12669.86301369863</v>
      </c>
      <c r="AI6" s="48">
        <v>16146.575342465758</v>
      </c>
      <c r="AJ6" s="48">
        <v>15587.123287671235</v>
      </c>
      <c r="AK6" s="48">
        <v>17109.589041095889</v>
      </c>
      <c r="AL6" s="48">
        <v>13913.698630136983</v>
      </c>
      <c r="AM6" s="48">
        <v>14452.876712328769</v>
      </c>
      <c r="AN6" s="48">
        <v>14434.246575342462</v>
      </c>
      <c r="AO6" s="48">
        <v>15006.575342465756</v>
      </c>
      <c r="AP6" s="48">
        <v>13231.506849315065</v>
      </c>
      <c r="AQ6" s="48">
        <v>15382.739726027401</v>
      </c>
      <c r="AR6" s="48">
        <v>13402.739726027396</v>
      </c>
      <c r="AS6" s="48">
        <v>11840.82191780822</v>
      </c>
      <c r="AT6" s="48">
        <v>17694.246575342462</v>
      </c>
      <c r="AU6" s="48">
        <v>14593.698630136989</v>
      </c>
      <c r="AV6" s="48">
        <v>15505.753424657531</v>
      </c>
      <c r="AW6" s="48">
        <v>15990.410958904111</v>
      </c>
      <c r="AX6" s="48">
        <v>14302.739726027397</v>
      </c>
      <c r="AY6" s="48">
        <v>15436.438356164384</v>
      </c>
      <c r="AZ6" s="48">
        <v>15016.986301369867</v>
      </c>
      <c r="BA6" s="48">
        <v>13591.232876712333</v>
      </c>
      <c r="BB6" s="48">
        <v>14260.000000000002</v>
      </c>
      <c r="BC6" s="48">
        <v>17329.589041095889</v>
      </c>
      <c r="BD6" s="48">
        <v>14481.095890410958</v>
      </c>
      <c r="BE6" s="48">
        <v>20084.109589041098</v>
      </c>
      <c r="BF6" s="48">
        <v>15428.767123287673</v>
      </c>
      <c r="BG6" s="48">
        <v>14669.589041095887</v>
      </c>
      <c r="BH6" s="48">
        <v>15609.863013698632</v>
      </c>
      <c r="BI6" s="48">
        <v>15286.301369863013</v>
      </c>
      <c r="BJ6" s="48">
        <v>14484.109589041094</v>
      </c>
      <c r="BK6" s="48">
        <v>14404.657534246575</v>
      </c>
      <c r="BL6" s="48">
        <v>14342.465753424654</v>
      </c>
      <c r="BM6" s="48">
        <v>12605.479452054798</v>
      </c>
      <c r="BN6" s="48">
        <v>12901.917808219179</v>
      </c>
      <c r="BO6" s="48">
        <v>13497.534246575344</v>
      </c>
      <c r="BP6" s="48">
        <v>14068.767123287671</v>
      </c>
      <c r="BQ6" s="48">
        <v>13982.191780821917</v>
      </c>
      <c r="BR6" s="48">
        <v>11775.342465753423</v>
      </c>
      <c r="BS6" s="48">
        <v>15143.01369863014</v>
      </c>
      <c r="BT6" s="48">
        <v>14765.205479452055</v>
      </c>
      <c r="BU6" s="48">
        <v>13247.945205479456</v>
      </c>
      <c r="BV6" s="48">
        <v>15408.219178082192</v>
      </c>
      <c r="BW6" s="48">
        <v>14460.273972602736</v>
      </c>
      <c r="BX6" s="48">
        <v>16652.876712328769</v>
      </c>
      <c r="BY6" s="48">
        <v>18878.082191780821</v>
      </c>
      <c r="BZ6" s="48">
        <v>13626.575342465752</v>
      </c>
      <c r="CA6" s="48">
        <v>15114.794520547945</v>
      </c>
      <c r="CB6" s="48">
        <v>15193.698630136989</v>
      </c>
      <c r="CC6" s="48">
        <v>13361.917808219179</v>
      </c>
      <c r="CD6" s="48">
        <v>16529.315068493153</v>
      </c>
      <c r="CE6" s="48">
        <v>16083.287671232876</v>
      </c>
      <c r="CF6" s="48">
        <v>13747.397260273974</v>
      </c>
      <c r="CG6" s="48">
        <v>14607.945205479455</v>
      </c>
      <c r="CH6" s="48">
        <v>15203.287671232876</v>
      </c>
      <c r="CI6" s="48">
        <v>16427.123287671231</v>
      </c>
      <c r="CJ6" s="48">
        <v>14278.904109589041</v>
      </c>
      <c r="CK6" s="48">
        <v>12869.31506849315</v>
      </c>
      <c r="CL6" s="48">
        <v>15940.547945205482</v>
      </c>
      <c r="CM6" s="48">
        <v>14173.972602739726</v>
      </c>
      <c r="CN6" s="48">
        <v>12924.931506849318</v>
      </c>
      <c r="CO6" s="48">
        <v>15295.342465753423</v>
      </c>
      <c r="CP6" s="48">
        <v>14267.945205479449</v>
      </c>
      <c r="CQ6" s="48">
        <v>16069.041095890414</v>
      </c>
      <c r="CR6" s="48">
        <v>13053.698630136991</v>
      </c>
      <c r="CS6" s="48">
        <v>16629.041095890414</v>
      </c>
      <c r="CT6" s="48">
        <v>14421.369863013697</v>
      </c>
      <c r="CU6" s="48">
        <v>13222.739726027399</v>
      </c>
      <c r="CV6" s="48">
        <v>12632.60273972603</v>
      </c>
      <c r="CW6" s="48">
        <v>15622.739726027394</v>
      </c>
      <c r="CX6" s="48">
        <v>15938.35616438356</v>
      </c>
      <c r="CY6" s="48">
        <v>13938.082191780828</v>
      </c>
      <c r="CZ6" s="48">
        <v>14398.630136986299</v>
      </c>
      <c r="DA6" s="48">
        <v>13885.753424657531</v>
      </c>
      <c r="DB6" s="48">
        <v>13759.178082191778</v>
      </c>
      <c r="DC6" s="48">
        <v>16131.78082191781</v>
      </c>
      <c r="DD6" s="48">
        <v>15098.082191780823</v>
      </c>
      <c r="DE6" s="48">
        <v>14136.712328767122</v>
      </c>
      <c r="DF6" s="48">
        <v>14614.246575342466</v>
      </c>
      <c r="DG6" s="48">
        <v>12363.287671232874</v>
      </c>
      <c r="DH6" s="48">
        <v>12919.999999999996</v>
      </c>
      <c r="DI6" s="48">
        <v>14367.671232876713</v>
      </c>
      <c r="DJ6" s="48">
        <v>14064.383561643839</v>
      </c>
      <c r="DK6" s="48">
        <v>12540.000000000004</v>
      </c>
      <c r="DL6" s="48">
        <v>14000.273972602738</v>
      </c>
      <c r="DM6" s="48">
        <v>15299.178082191784</v>
      </c>
      <c r="DN6" s="48">
        <v>16047.67123287671</v>
      </c>
      <c r="DO6" s="5">
        <f t="shared" si="0"/>
        <v>14683.358904109591</v>
      </c>
    </row>
    <row r="7" spans="2:119" ht="13.25" customHeight="1" x14ac:dyDescent="0.3">
      <c r="B7" s="39" t="s">
        <v>6</v>
      </c>
      <c r="C7" s="40">
        <f>C5/365</f>
        <v>2.7397260273972601E-2</v>
      </c>
      <c r="E7" s="54">
        <v>3</v>
      </c>
      <c r="F7" s="5">
        <f t="shared" ca="1" si="6"/>
        <v>100</v>
      </c>
      <c r="G7" s="5">
        <f t="shared" ca="1" si="7"/>
        <v>890</v>
      </c>
      <c r="H7" s="5">
        <f t="shared" ca="1" si="8"/>
        <v>790</v>
      </c>
      <c r="I7" s="5">
        <f t="shared" ca="1" si="9"/>
        <v>0</v>
      </c>
      <c r="J7" s="5">
        <f t="shared" ca="1" si="10"/>
        <v>0</v>
      </c>
      <c r="K7" s="5">
        <f t="shared" ca="1" si="11"/>
        <v>0</v>
      </c>
      <c r="L7" s="5">
        <f t="shared" ca="1" si="12"/>
        <v>0</v>
      </c>
      <c r="M7" s="6">
        <f t="shared" ca="1" si="5"/>
        <v>21.643835616438356</v>
      </c>
      <c r="O7" s="2">
        <v>1000</v>
      </c>
      <c r="P7" s="5">
        <v>13130.410958904111</v>
      </c>
      <c r="R7" s="2">
        <v>1000</v>
      </c>
      <c r="S7" s="48">
        <v>13172.32876712329</v>
      </c>
      <c r="T7" s="48">
        <v>14601.643835616436</v>
      </c>
      <c r="U7" s="48">
        <v>13760.273972602739</v>
      </c>
      <c r="V7" s="48">
        <v>11858.35616438356</v>
      </c>
      <c r="W7" s="48">
        <v>15883.287671232876</v>
      </c>
      <c r="X7" s="48">
        <v>11612.328767123288</v>
      </c>
      <c r="Y7" s="48">
        <v>14340.821917808213</v>
      </c>
      <c r="Z7" s="48">
        <v>15904.65753424658</v>
      </c>
      <c r="AA7" s="48">
        <v>13990.410958904109</v>
      </c>
      <c r="AB7" s="48">
        <v>12865.205479452059</v>
      </c>
      <c r="AC7" s="48">
        <v>14004.109589041094</v>
      </c>
      <c r="AD7" s="48">
        <v>15373.972602739726</v>
      </c>
      <c r="AE7" s="48">
        <v>15021.917808219176</v>
      </c>
      <c r="AF7" s="48">
        <v>14307.397260273974</v>
      </c>
      <c r="AG7" s="48">
        <v>12842.465753424656</v>
      </c>
      <c r="AH7" s="48">
        <v>14479.178082191782</v>
      </c>
      <c r="AI7" s="48">
        <v>13973.150684931508</v>
      </c>
      <c r="AJ7" s="48">
        <v>14427.397260273974</v>
      </c>
      <c r="AK7" s="48">
        <v>14511.506849315068</v>
      </c>
      <c r="AL7" s="48">
        <v>14440.273972602738</v>
      </c>
      <c r="AM7" s="48">
        <v>17744.657534246577</v>
      </c>
      <c r="AN7" s="48">
        <v>13014.520547945209</v>
      </c>
      <c r="AO7" s="48">
        <v>15138.904109589046</v>
      </c>
      <c r="AP7" s="48">
        <v>15828.219178082194</v>
      </c>
      <c r="AQ7" s="48">
        <v>13511.506849315067</v>
      </c>
      <c r="AR7" s="48">
        <v>13348.493150684932</v>
      </c>
      <c r="AS7" s="48">
        <v>13828.219178082192</v>
      </c>
      <c r="AT7" s="48">
        <v>14313.150684931505</v>
      </c>
      <c r="AU7" s="48">
        <v>12228.493150684932</v>
      </c>
      <c r="AV7" s="48">
        <v>12966.849315068495</v>
      </c>
      <c r="AW7" s="48">
        <v>13806.027397260274</v>
      </c>
      <c r="AX7" s="48">
        <v>13422.739726027397</v>
      </c>
      <c r="AY7" s="48">
        <v>12714.520547945209</v>
      </c>
      <c r="AZ7" s="48">
        <v>13048.767123287675</v>
      </c>
      <c r="BA7" s="48">
        <v>12847.67123287671</v>
      </c>
      <c r="BB7" s="48">
        <v>13874.520547945209</v>
      </c>
      <c r="BC7" s="48">
        <v>12137.534246575342</v>
      </c>
      <c r="BD7" s="48">
        <v>14267.397260273974</v>
      </c>
      <c r="BE7" s="48">
        <v>13786.027397260275</v>
      </c>
      <c r="BF7" s="48">
        <v>14334.246575342466</v>
      </c>
      <c r="BG7" s="48">
        <v>12887.397260273974</v>
      </c>
      <c r="BH7" s="48">
        <v>14604.657534246577</v>
      </c>
      <c r="BI7" s="48">
        <v>12651.506849315068</v>
      </c>
      <c r="BJ7" s="48">
        <v>15701.369863013701</v>
      </c>
      <c r="BK7" s="48">
        <v>16793.972602739726</v>
      </c>
      <c r="BL7" s="48">
        <v>15221.917808219177</v>
      </c>
      <c r="BM7" s="48">
        <v>16345.753424657531</v>
      </c>
      <c r="BN7" s="48">
        <v>12620.547945205477</v>
      </c>
      <c r="BO7" s="48">
        <v>12738.082191780817</v>
      </c>
      <c r="BP7" s="48">
        <v>13026.301369863009</v>
      </c>
      <c r="BQ7" s="48">
        <v>15431.506849315068</v>
      </c>
      <c r="BR7" s="48">
        <v>11612.602739726028</v>
      </c>
      <c r="BS7" s="48">
        <v>17203.561643835619</v>
      </c>
      <c r="BT7" s="48">
        <v>14328.493150684928</v>
      </c>
      <c r="BU7" s="48">
        <v>14999.452054794521</v>
      </c>
      <c r="BV7" s="48">
        <v>14493.424657534248</v>
      </c>
      <c r="BW7" s="48">
        <v>14516.164383561649</v>
      </c>
      <c r="BX7" s="48">
        <v>14683.561643835616</v>
      </c>
      <c r="BY7" s="48">
        <v>15134.520547945209</v>
      </c>
      <c r="BZ7" s="48">
        <v>13415.616438356161</v>
      </c>
      <c r="CA7" s="48">
        <v>14297.534246575342</v>
      </c>
      <c r="CB7" s="48">
        <v>14376.164383561647</v>
      </c>
      <c r="CC7" s="48">
        <v>11773.424657534246</v>
      </c>
      <c r="CD7" s="48">
        <v>14141.095890410954</v>
      </c>
      <c r="CE7" s="48">
        <v>16175.068493150677</v>
      </c>
      <c r="CF7" s="48">
        <v>15078.082191780821</v>
      </c>
      <c r="CG7" s="48">
        <v>11981.643835616442</v>
      </c>
      <c r="CH7" s="48">
        <v>16401.643835616436</v>
      </c>
      <c r="CI7" s="48">
        <v>13495.890410958909</v>
      </c>
      <c r="CJ7" s="48">
        <v>17389.863013698632</v>
      </c>
      <c r="CK7" s="48">
        <v>14689.863013698636</v>
      </c>
      <c r="CL7" s="48">
        <v>13779.452054794525</v>
      </c>
      <c r="CM7" s="48">
        <v>15699.178082191782</v>
      </c>
      <c r="CN7" s="48">
        <v>12909.041095890416</v>
      </c>
      <c r="CO7" s="48">
        <v>13760.273972602739</v>
      </c>
      <c r="CP7" s="48">
        <v>16417.808219178085</v>
      </c>
      <c r="CQ7" s="48">
        <v>14857.808219178081</v>
      </c>
      <c r="CR7" s="48">
        <v>13990.95890410959</v>
      </c>
      <c r="CS7" s="48">
        <v>14278.082191780821</v>
      </c>
      <c r="CT7" s="48">
        <v>19632.876712328769</v>
      </c>
      <c r="CU7" s="48">
        <v>14976.164383561641</v>
      </c>
      <c r="CV7" s="48">
        <v>16024.93150684932</v>
      </c>
      <c r="CW7" s="48">
        <v>13316.986301369863</v>
      </c>
      <c r="CX7" s="48">
        <v>13082.739726027394</v>
      </c>
      <c r="CY7" s="48">
        <v>12953.150684931505</v>
      </c>
      <c r="CZ7" s="48">
        <v>14996.712328767124</v>
      </c>
      <c r="DA7" s="48">
        <v>15107.397260273974</v>
      </c>
      <c r="DB7" s="48">
        <v>14321.369863013699</v>
      </c>
      <c r="DC7" s="48">
        <v>14666.027397260281</v>
      </c>
      <c r="DD7" s="48">
        <v>16205.205479452054</v>
      </c>
      <c r="DE7" s="48">
        <v>14430.684931506847</v>
      </c>
      <c r="DF7" s="48">
        <v>14465.753424657534</v>
      </c>
      <c r="DG7" s="48">
        <v>14938.082191780824</v>
      </c>
      <c r="DH7" s="48">
        <v>13249.589041095889</v>
      </c>
      <c r="DI7" s="48">
        <v>14333.972602739726</v>
      </c>
      <c r="DJ7" s="48">
        <v>14218.082191780824</v>
      </c>
      <c r="DK7" s="48">
        <v>15237.808219178081</v>
      </c>
      <c r="DL7" s="48">
        <v>14350.136986301372</v>
      </c>
      <c r="DM7" s="48">
        <v>15809.315068493153</v>
      </c>
      <c r="DN7" s="48">
        <v>16586.575342465752</v>
      </c>
      <c r="DO7" s="5">
        <f t="shared" si="0"/>
        <v>14343.400000000005</v>
      </c>
    </row>
    <row r="8" spans="2:119" ht="13.25" customHeight="1" x14ac:dyDescent="0.3">
      <c r="B8" s="32" t="s">
        <v>27</v>
      </c>
      <c r="C8" s="2">
        <v>50</v>
      </c>
      <c r="E8" s="54">
        <v>4</v>
      </c>
      <c r="F8" s="5">
        <f t="shared" ca="1" si="6"/>
        <v>0</v>
      </c>
      <c r="G8" s="5">
        <f t="shared" ca="1" si="7"/>
        <v>790</v>
      </c>
      <c r="H8" s="5">
        <f t="shared" ca="1" si="8"/>
        <v>790</v>
      </c>
      <c r="I8" s="5">
        <f t="shared" ca="1" si="9"/>
        <v>0</v>
      </c>
      <c r="J8" s="5">
        <f t="shared" ca="1" si="10"/>
        <v>0</v>
      </c>
      <c r="K8" s="5">
        <f t="shared" ca="1" si="11"/>
        <v>0</v>
      </c>
      <c r="L8" s="5">
        <f t="shared" ca="1" si="12"/>
        <v>0</v>
      </c>
      <c r="M8" s="6">
        <f t="shared" ca="1" si="5"/>
        <v>21.643835616438356</v>
      </c>
      <c r="O8" s="2">
        <v>1100</v>
      </c>
      <c r="P8" s="5">
        <v>15300.547945205479</v>
      </c>
      <c r="R8" s="2">
        <v>1100</v>
      </c>
      <c r="S8" s="48">
        <v>16246.849315068492</v>
      </c>
      <c r="T8" s="48">
        <v>13373.972602739728</v>
      </c>
      <c r="U8" s="48">
        <v>12742.465753424658</v>
      </c>
      <c r="V8" s="48">
        <v>13376.164383561647</v>
      </c>
      <c r="W8" s="48">
        <v>14229.589041095893</v>
      </c>
      <c r="X8" s="48">
        <v>15300.547945205482</v>
      </c>
      <c r="Y8" s="48">
        <v>12987.123287671235</v>
      </c>
      <c r="Z8" s="48">
        <v>12331.780821917811</v>
      </c>
      <c r="AA8" s="48">
        <v>12669.589041095889</v>
      </c>
      <c r="AB8" s="48">
        <v>14080.821917808218</v>
      </c>
      <c r="AC8" s="48">
        <v>13254.520547945209</v>
      </c>
      <c r="AD8" s="48">
        <v>14857.260273972599</v>
      </c>
      <c r="AE8" s="48">
        <v>15397.260273972603</v>
      </c>
      <c r="AF8" s="48">
        <v>16519.178082191782</v>
      </c>
      <c r="AG8" s="48">
        <v>13099.178082191784</v>
      </c>
      <c r="AH8" s="48">
        <v>17241.369863013701</v>
      </c>
      <c r="AI8" s="48">
        <v>13265.479452054798</v>
      </c>
      <c r="AJ8" s="48">
        <v>13745.479452054795</v>
      </c>
      <c r="AK8" s="48">
        <v>13361.917808219187</v>
      </c>
      <c r="AL8" s="48">
        <v>15232.876712328769</v>
      </c>
      <c r="AM8" s="48">
        <v>13162.739726027399</v>
      </c>
      <c r="AN8" s="48">
        <v>12968.493150684928</v>
      </c>
      <c r="AO8" s="48">
        <v>12125.205479452055</v>
      </c>
      <c r="AP8" s="48">
        <v>14903.287671232876</v>
      </c>
      <c r="AQ8" s="48">
        <v>12690.958904109591</v>
      </c>
      <c r="AR8" s="48">
        <v>14834.794520547952</v>
      </c>
      <c r="AS8" s="48">
        <v>13577.534246575338</v>
      </c>
      <c r="AT8" s="48">
        <v>13276.712328767122</v>
      </c>
      <c r="AU8" s="48">
        <v>12779.178082191782</v>
      </c>
      <c r="AV8" s="48">
        <v>15838.356164383567</v>
      </c>
      <c r="AW8" s="48">
        <v>14551.780821917808</v>
      </c>
      <c r="AX8" s="48">
        <v>12705.753424657534</v>
      </c>
      <c r="AY8" s="48">
        <v>14810.684931506854</v>
      </c>
      <c r="AZ8" s="48">
        <v>15409.041095890414</v>
      </c>
      <c r="BA8" s="48">
        <v>15943.013698630135</v>
      </c>
      <c r="BB8" s="48">
        <v>13520.000000000004</v>
      </c>
      <c r="BC8" s="48">
        <v>14568.767123287667</v>
      </c>
      <c r="BD8" s="48">
        <v>14981.369863013697</v>
      </c>
      <c r="BE8" s="48">
        <v>13716.712328767127</v>
      </c>
      <c r="BF8" s="48">
        <v>14983.561643835614</v>
      </c>
      <c r="BG8" s="48">
        <v>13010.958904109584</v>
      </c>
      <c r="BH8" s="48">
        <v>13828.767123287671</v>
      </c>
      <c r="BI8" s="48">
        <v>14826.575342465752</v>
      </c>
      <c r="BJ8" s="48">
        <v>15170.136986301375</v>
      </c>
      <c r="BK8" s="48">
        <v>14055.616438356163</v>
      </c>
      <c r="BL8" s="48">
        <v>15222.739726027399</v>
      </c>
      <c r="BM8" s="48">
        <v>13934.520547945202</v>
      </c>
      <c r="BN8" s="48">
        <v>15290.410958904107</v>
      </c>
      <c r="BO8" s="48">
        <v>12269.863013698628</v>
      </c>
      <c r="BP8" s="48">
        <v>14747.123287671235</v>
      </c>
      <c r="BQ8" s="48">
        <v>15180.547945205482</v>
      </c>
      <c r="BR8" s="48">
        <v>15111.780821917811</v>
      </c>
      <c r="BS8" s="48">
        <v>14013.698630136987</v>
      </c>
      <c r="BT8" s="48">
        <v>13491.780821917819</v>
      </c>
      <c r="BU8" s="48">
        <v>16848.493150684932</v>
      </c>
      <c r="BV8" s="48">
        <v>12697.260273972601</v>
      </c>
      <c r="BW8" s="48">
        <v>14147.397260273978</v>
      </c>
      <c r="BX8" s="48">
        <v>13769.863013698627</v>
      </c>
      <c r="BY8" s="48">
        <v>13721.64383561644</v>
      </c>
      <c r="BZ8" s="48">
        <v>12676.438356164383</v>
      </c>
      <c r="CA8" s="48">
        <v>15108.493150684932</v>
      </c>
      <c r="CB8" s="48">
        <v>16214.520547945205</v>
      </c>
      <c r="CC8" s="48">
        <v>14501.095890410958</v>
      </c>
      <c r="CD8" s="48">
        <v>13780.273972602741</v>
      </c>
      <c r="CE8" s="48">
        <v>13872.602739726031</v>
      </c>
      <c r="CF8" s="48">
        <v>11803.835616438359</v>
      </c>
      <c r="CG8" s="48">
        <v>12331.506849315068</v>
      </c>
      <c r="CH8" s="48">
        <v>13930.410958904111</v>
      </c>
      <c r="CI8" s="48">
        <v>12824.109589041094</v>
      </c>
      <c r="CJ8" s="48">
        <v>13460.547945205481</v>
      </c>
      <c r="CK8" s="48">
        <v>12289.041095890407</v>
      </c>
      <c r="CL8" s="48">
        <v>11829.589041095893</v>
      </c>
      <c r="CM8" s="48">
        <v>13532.328767123285</v>
      </c>
      <c r="CN8" s="48">
        <v>13505.753424657534</v>
      </c>
      <c r="CO8" s="48">
        <v>13673.698630136991</v>
      </c>
      <c r="CP8" s="48">
        <v>14141.369863013699</v>
      </c>
      <c r="CQ8" s="48">
        <v>13022.739726027401</v>
      </c>
      <c r="CR8" s="48">
        <v>12225.205479452059</v>
      </c>
      <c r="CS8" s="48">
        <v>13024.109589041096</v>
      </c>
      <c r="CT8" s="48">
        <v>11916.712328767124</v>
      </c>
      <c r="CU8" s="48">
        <v>17965.205479452055</v>
      </c>
      <c r="CV8" s="48">
        <v>12434.246575342466</v>
      </c>
      <c r="CW8" s="48">
        <v>14436.986301369863</v>
      </c>
      <c r="CX8" s="48">
        <v>12669.04109589041</v>
      </c>
      <c r="CY8" s="48">
        <v>13950.410958904111</v>
      </c>
      <c r="CZ8" s="48">
        <v>15777.534246575338</v>
      </c>
      <c r="DA8" s="48">
        <v>12886.301369863009</v>
      </c>
      <c r="DB8" s="48">
        <v>14493.424657534251</v>
      </c>
      <c r="DC8" s="48">
        <v>13350.136986301372</v>
      </c>
      <c r="DD8" s="48">
        <v>13818.35616438356</v>
      </c>
      <c r="DE8" s="48">
        <v>13907.123287671237</v>
      </c>
      <c r="DF8" s="48">
        <v>15391.780821917811</v>
      </c>
      <c r="DG8" s="48">
        <v>15346.849315068494</v>
      </c>
      <c r="DH8" s="48">
        <v>14724.109589041094</v>
      </c>
      <c r="DI8" s="48">
        <v>15973.698630136987</v>
      </c>
      <c r="DJ8" s="48">
        <v>14752.328767123283</v>
      </c>
      <c r="DK8" s="48">
        <v>12822.739726027397</v>
      </c>
      <c r="DL8" s="48">
        <v>15060.821917808218</v>
      </c>
      <c r="DM8" s="48">
        <v>14301.643835616442</v>
      </c>
      <c r="DN8" s="48">
        <v>12236.438356164384</v>
      </c>
      <c r="DO8" s="5">
        <f t="shared" si="0"/>
        <v>14019.641095890414</v>
      </c>
    </row>
    <row r="9" spans="2:119" ht="13.25" customHeight="1" x14ac:dyDescent="0.3">
      <c r="B9" s="32" t="s">
        <v>3</v>
      </c>
      <c r="C9" s="2">
        <v>1000</v>
      </c>
      <c r="E9" s="54">
        <v>5</v>
      </c>
      <c r="F9" s="5">
        <f t="shared" ca="1" si="6"/>
        <v>120</v>
      </c>
      <c r="G9" s="5">
        <f t="shared" ca="1" si="7"/>
        <v>790</v>
      </c>
      <c r="H9" s="5">
        <f t="shared" ca="1" si="8"/>
        <v>670</v>
      </c>
      <c r="I9" s="5">
        <f t="shared" ca="1" si="9"/>
        <v>0</v>
      </c>
      <c r="J9" s="5">
        <f t="shared" ca="1" si="10"/>
        <v>0</v>
      </c>
      <c r="K9" s="5">
        <f t="shared" ca="1" si="11"/>
        <v>0</v>
      </c>
      <c r="L9" s="5">
        <f t="shared" ca="1" si="12"/>
        <v>0</v>
      </c>
      <c r="M9" s="6">
        <f t="shared" ca="1" si="5"/>
        <v>18.356164383561644</v>
      </c>
      <c r="O9" s="2">
        <v>1200</v>
      </c>
      <c r="P9" s="5">
        <v>12921.643835616444</v>
      </c>
      <c r="R9" s="2">
        <v>1200</v>
      </c>
      <c r="S9" s="48">
        <v>12933.698630136983</v>
      </c>
      <c r="T9" s="48">
        <v>13496.71232876712</v>
      </c>
      <c r="U9" s="48">
        <v>14389.315068493153</v>
      </c>
      <c r="V9" s="48">
        <v>12876.438356164388</v>
      </c>
      <c r="W9" s="48">
        <v>13404.383561643834</v>
      </c>
      <c r="X9" s="48">
        <v>13291.232876712325</v>
      </c>
      <c r="Y9" s="48">
        <v>12821.643835616436</v>
      </c>
      <c r="Z9" s="48">
        <v>14373.972602739725</v>
      </c>
      <c r="AA9" s="48">
        <v>14744.931506849316</v>
      </c>
      <c r="AB9" s="48">
        <v>15200.273972602739</v>
      </c>
      <c r="AC9" s="48">
        <v>13861.917808219179</v>
      </c>
      <c r="AD9" s="48">
        <v>13480.821917808222</v>
      </c>
      <c r="AE9" s="48">
        <v>11949.863013698636</v>
      </c>
      <c r="AF9" s="48">
        <v>15769.589041095893</v>
      </c>
      <c r="AG9" s="48">
        <v>12658.904109589039</v>
      </c>
      <c r="AH9" s="48">
        <v>12689.863013698636</v>
      </c>
      <c r="AI9" s="48">
        <v>14754.794520547948</v>
      </c>
      <c r="AJ9" s="48">
        <v>12286.027397260274</v>
      </c>
      <c r="AK9" s="48">
        <v>12899.999999999996</v>
      </c>
      <c r="AL9" s="48">
        <v>14331.232876712329</v>
      </c>
      <c r="AM9" s="48">
        <v>12818.630136986296</v>
      </c>
      <c r="AN9" s="48">
        <v>14196.438356164381</v>
      </c>
      <c r="AO9" s="48">
        <v>12669.589041095893</v>
      </c>
      <c r="AP9" s="48">
        <v>15819.999999999998</v>
      </c>
      <c r="AQ9" s="48">
        <v>13450.410958904115</v>
      </c>
      <c r="AR9" s="48">
        <v>14309.589041095893</v>
      </c>
      <c r="AS9" s="48">
        <v>13207.945205479449</v>
      </c>
      <c r="AT9" s="48">
        <v>13552.328767123285</v>
      </c>
      <c r="AU9" s="48">
        <v>13717.260273972601</v>
      </c>
      <c r="AV9" s="48">
        <v>14862.465753424654</v>
      </c>
      <c r="AW9" s="48">
        <v>14007.945205479456</v>
      </c>
      <c r="AX9" s="48">
        <v>14155.616438356163</v>
      </c>
      <c r="AY9" s="48">
        <v>14137.808219178081</v>
      </c>
      <c r="AZ9" s="48">
        <v>14252.054794520544</v>
      </c>
      <c r="BA9" s="48">
        <v>13861.369863013699</v>
      </c>
      <c r="BB9" s="48">
        <v>13205.753424657534</v>
      </c>
      <c r="BC9" s="48">
        <v>15118.082191780821</v>
      </c>
      <c r="BD9" s="48">
        <v>15245.753424657531</v>
      </c>
      <c r="BE9" s="48">
        <v>12399.178082191786</v>
      </c>
      <c r="BF9" s="48">
        <v>15957.808219178083</v>
      </c>
      <c r="BG9" s="48">
        <v>14215.616438356166</v>
      </c>
      <c r="BH9" s="48">
        <v>14190.958904109591</v>
      </c>
      <c r="BI9" s="48">
        <v>12673.698630136985</v>
      </c>
      <c r="BJ9" s="48">
        <v>14153.424657534244</v>
      </c>
      <c r="BK9" s="48">
        <v>13107.123287671233</v>
      </c>
      <c r="BL9" s="48">
        <v>13495.068493150688</v>
      </c>
      <c r="BM9" s="48">
        <v>16027.123287671231</v>
      </c>
      <c r="BN9" s="48">
        <v>13738.082191780823</v>
      </c>
      <c r="BO9" s="48">
        <v>15657.808219178085</v>
      </c>
      <c r="BP9" s="48">
        <v>13377.534246575344</v>
      </c>
      <c r="BQ9" s="48">
        <v>13589.589041095893</v>
      </c>
      <c r="BR9" s="48">
        <v>14231.780821917808</v>
      </c>
      <c r="BS9" s="48">
        <v>14875.068493150686</v>
      </c>
      <c r="BT9" s="48">
        <v>11583.835616438351</v>
      </c>
      <c r="BU9" s="48">
        <v>15411.232876712329</v>
      </c>
      <c r="BV9" s="48">
        <v>15408.767123287671</v>
      </c>
      <c r="BW9" s="48">
        <v>14003.287671232876</v>
      </c>
      <c r="BX9" s="48">
        <v>14257.260273972606</v>
      </c>
      <c r="BY9" s="48">
        <v>15255.342465753431</v>
      </c>
      <c r="BZ9" s="48">
        <v>14695.890410958904</v>
      </c>
      <c r="CA9" s="48">
        <v>14252.60273972603</v>
      </c>
      <c r="CB9" s="48">
        <v>12309.589041095896</v>
      </c>
      <c r="CC9" s="48">
        <v>17036.438356164388</v>
      </c>
      <c r="CD9" s="48">
        <v>12789.315068493153</v>
      </c>
      <c r="CE9" s="48">
        <v>12439.178082191786</v>
      </c>
      <c r="CF9" s="48">
        <v>14629.31506849315</v>
      </c>
      <c r="CG9" s="48">
        <v>14655.068493150684</v>
      </c>
      <c r="CH9" s="48">
        <v>14569.589041095893</v>
      </c>
      <c r="CI9" s="48">
        <v>13711.780821917808</v>
      </c>
      <c r="CJ9" s="48">
        <v>12911.780821917808</v>
      </c>
      <c r="CK9" s="48">
        <v>15306.301369863013</v>
      </c>
      <c r="CL9" s="48">
        <v>14169.041095890407</v>
      </c>
      <c r="CM9" s="48">
        <v>14898.630136986303</v>
      </c>
      <c r="CN9" s="48">
        <v>13734.794520547948</v>
      </c>
      <c r="CO9" s="48">
        <v>14514.794520547946</v>
      </c>
      <c r="CP9" s="48">
        <v>14386.02739726027</v>
      </c>
      <c r="CQ9" s="48">
        <v>13970.958904109586</v>
      </c>
      <c r="CR9" s="48">
        <v>14458.630136986307</v>
      </c>
      <c r="CS9" s="48">
        <v>12756.438356164381</v>
      </c>
      <c r="CT9" s="48">
        <v>14684.383561643841</v>
      </c>
      <c r="CU9" s="48">
        <v>12570.136986301375</v>
      </c>
      <c r="CV9" s="48">
        <v>12900.821917808222</v>
      </c>
      <c r="CW9" s="48">
        <v>13583.835616438351</v>
      </c>
      <c r="CX9" s="48">
        <v>13224.657534246573</v>
      </c>
      <c r="CY9" s="48">
        <v>13727.945205479456</v>
      </c>
      <c r="CZ9" s="48">
        <v>16522.739726027394</v>
      </c>
      <c r="DA9" s="48">
        <v>13240.821917808222</v>
      </c>
      <c r="DB9" s="48">
        <v>13005.205479452054</v>
      </c>
      <c r="DC9" s="48">
        <v>15032.054794520547</v>
      </c>
      <c r="DD9" s="48">
        <v>13697.260273972601</v>
      </c>
      <c r="DE9" s="48">
        <v>13927.39726027397</v>
      </c>
      <c r="DF9" s="48">
        <v>13840.273972602741</v>
      </c>
      <c r="DG9" s="48">
        <v>13482.465753424658</v>
      </c>
      <c r="DH9" s="48">
        <v>11667.945205479446</v>
      </c>
      <c r="DI9" s="48">
        <v>13891.232876712325</v>
      </c>
      <c r="DJ9" s="48">
        <v>14286.575342465752</v>
      </c>
      <c r="DK9" s="48">
        <v>14336.986301369858</v>
      </c>
      <c r="DL9" s="48">
        <v>13121.643835616436</v>
      </c>
      <c r="DM9" s="48">
        <v>15254.520547945205</v>
      </c>
      <c r="DN9" s="48">
        <v>12867.397260273972</v>
      </c>
      <c r="DO9" s="5">
        <f t="shared" si="0"/>
        <v>13934.767123287669</v>
      </c>
    </row>
    <row r="10" spans="2:119" ht="13.25" customHeight="1" x14ac:dyDescent="0.3">
      <c r="B10" s="18" t="s">
        <v>36</v>
      </c>
      <c r="E10" s="54">
        <v>6</v>
      </c>
      <c r="F10" s="5">
        <f t="shared" ca="1" si="6"/>
        <v>120</v>
      </c>
      <c r="G10" s="5">
        <f t="shared" ca="1" si="7"/>
        <v>670</v>
      </c>
      <c r="H10" s="5">
        <f t="shared" ca="1" si="8"/>
        <v>550</v>
      </c>
      <c r="I10" s="5">
        <f t="shared" ca="1" si="9"/>
        <v>0</v>
      </c>
      <c r="J10" s="5">
        <f t="shared" ca="1" si="10"/>
        <v>0</v>
      </c>
      <c r="K10" s="5">
        <f t="shared" ca="1" si="11"/>
        <v>0</v>
      </c>
      <c r="L10" s="5">
        <f t="shared" ca="1" si="12"/>
        <v>0</v>
      </c>
      <c r="M10" s="6">
        <f t="shared" ca="1" si="5"/>
        <v>15.068493150684931</v>
      </c>
      <c r="O10" s="2">
        <v>1300</v>
      </c>
      <c r="P10" s="5">
        <v>13334.520547945205</v>
      </c>
      <c r="R10" s="2">
        <v>1300</v>
      </c>
      <c r="S10" s="48">
        <v>13729.04109589041</v>
      </c>
      <c r="T10" s="48">
        <v>13400.273972602747</v>
      </c>
      <c r="U10" s="48">
        <v>12252.876712328765</v>
      </c>
      <c r="V10" s="48">
        <v>12832.054794520551</v>
      </c>
      <c r="W10" s="48">
        <v>15140</v>
      </c>
      <c r="X10" s="48">
        <v>14526.301369863009</v>
      </c>
      <c r="Y10" s="48">
        <v>14040.273972602743</v>
      </c>
      <c r="Z10" s="48">
        <v>11922.739726027392</v>
      </c>
      <c r="AA10" s="48">
        <v>12987.123287671231</v>
      </c>
      <c r="AB10" s="48">
        <v>13047.123287671231</v>
      </c>
      <c r="AC10" s="48">
        <v>11878.630136986307</v>
      </c>
      <c r="AD10" s="48">
        <v>14476.712328767131</v>
      </c>
      <c r="AE10" s="48">
        <v>12937.808219178085</v>
      </c>
      <c r="AF10" s="48">
        <v>15789.041095890412</v>
      </c>
      <c r="AG10" s="48">
        <v>13972.328767123283</v>
      </c>
      <c r="AH10" s="48">
        <v>13355.890410958908</v>
      </c>
      <c r="AI10" s="48">
        <v>13162.191780821919</v>
      </c>
      <c r="AJ10" s="48">
        <v>13789.041095890409</v>
      </c>
      <c r="AK10" s="48">
        <v>15532.876712328776</v>
      </c>
      <c r="AL10" s="48">
        <v>15463.835616438355</v>
      </c>
      <c r="AM10" s="48">
        <v>12442.73972602739</v>
      </c>
      <c r="AN10" s="48">
        <v>14451.7808219178</v>
      </c>
      <c r="AO10" s="48">
        <v>13164.109589041094</v>
      </c>
      <c r="AP10" s="48">
        <v>12913.150684931516</v>
      </c>
      <c r="AQ10" s="48">
        <v>12162.465753424658</v>
      </c>
      <c r="AR10" s="48">
        <v>13209.04109589041</v>
      </c>
      <c r="AS10" s="48">
        <v>12495.616438356163</v>
      </c>
      <c r="AT10" s="48">
        <v>15397.808219178083</v>
      </c>
      <c r="AU10" s="48">
        <v>13833.972602739726</v>
      </c>
      <c r="AV10" s="48">
        <v>16471.506849315068</v>
      </c>
      <c r="AW10" s="48">
        <v>14216.986301369863</v>
      </c>
      <c r="AX10" s="48">
        <v>14184.109589041091</v>
      </c>
      <c r="AY10" s="48">
        <v>12829.315068493142</v>
      </c>
      <c r="AZ10" s="48">
        <v>13991.50684931507</v>
      </c>
      <c r="BA10" s="48">
        <v>14858.082191780824</v>
      </c>
      <c r="BB10" s="48">
        <v>12197.808219178085</v>
      </c>
      <c r="BC10" s="48">
        <v>13565.479452054797</v>
      </c>
      <c r="BD10" s="48">
        <v>16500.000000000004</v>
      </c>
      <c r="BE10" s="48">
        <v>14506.301369863011</v>
      </c>
      <c r="BF10" s="48">
        <v>14679.999999999998</v>
      </c>
      <c r="BG10" s="48">
        <v>12955.068493150689</v>
      </c>
      <c r="BH10" s="48">
        <v>14807.671232876706</v>
      </c>
      <c r="BI10" s="48">
        <v>13217.260273972606</v>
      </c>
      <c r="BJ10" s="48">
        <v>14834.5205479452</v>
      </c>
      <c r="BK10" s="48">
        <v>11980.273972602743</v>
      </c>
      <c r="BL10" s="48">
        <v>15375.342465753427</v>
      </c>
      <c r="BM10" s="48">
        <v>13394.520547945209</v>
      </c>
      <c r="BN10" s="48">
        <v>13794.520547945205</v>
      </c>
      <c r="BO10" s="48">
        <v>15016.16438356164</v>
      </c>
      <c r="BP10" s="48">
        <v>14514.520547945202</v>
      </c>
      <c r="BQ10" s="48">
        <v>14565.205479452052</v>
      </c>
      <c r="BR10" s="48">
        <v>12920.273972602739</v>
      </c>
      <c r="BS10" s="48">
        <v>13612.054794520547</v>
      </c>
      <c r="BT10" s="48">
        <v>12220.273972602739</v>
      </c>
      <c r="BU10" s="48">
        <v>11899.178082191776</v>
      </c>
      <c r="BV10" s="48">
        <v>13730.136986301368</v>
      </c>
      <c r="BW10" s="48">
        <v>11897.534246575342</v>
      </c>
      <c r="BX10" s="48">
        <v>12201.643835616444</v>
      </c>
      <c r="BY10" s="48">
        <v>14908.76712328768</v>
      </c>
      <c r="BZ10" s="48">
        <v>14746.301369863013</v>
      </c>
      <c r="CA10" s="48">
        <v>11908.767123287671</v>
      </c>
      <c r="CB10" s="48">
        <v>13143.01369863014</v>
      </c>
      <c r="CC10" s="48">
        <v>12448.493150684932</v>
      </c>
      <c r="CD10" s="48">
        <v>13136.164383561645</v>
      </c>
      <c r="CE10" s="48">
        <v>14316.164383561645</v>
      </c>
      <c r="CF10" s="48">
        <v>14659.178082191778</v>
      </c>
      <c r="CG10" s="48">
        <v>14868.767123287678</v>
      </c>
      <c r="CH10" s="48">
        <v>14760.821917808216</v>
      </c>
      <c r="CI10" s="48">
        <v>14788.21917808219</v>
      </c>
      <c r="CJ10" s="48">
        <v>12412.328767123288</v>
      </c>
      <c r="CK10" s="48">
        <v>13432.876712328767</v>
      </c>
      <c r="CL10" s="48">
        <v>12975.616438356166</v>
      </c>
      <c r="CM10" s="48">
        <v>14129.04109589041</v>
      </c>
      <c r="CN10" s="48">
        <v>13796.712328767124</v>
      </c>
      <c r="CO10" s="48">
        <v>13426.849315068499</v>
      </c>
      <c r="CP10" s="48">
        <v>13740.547945205482</v>
      </c>
      <c r="CQ10" s="48">
        <v>12848.767123287662</v>
      </c>
      <c r="CR10" s="48">
        <v>15290.410958904115</v>
      </c>
      <c r="CS10" s="48">
        <v>14863.835616438355</v>
      </c>
      <c r="CT10" s="48">
        <v>12393.424657534248</v>
      </c>
      <c r="CU10" s="48">
        <v>13304.931506849318</v>
      </c>
      <c r="CV10" s="48">
        <v>14672.328767123288</v>
      </c>
      <c r="CW10" s="48">
        <v>14543.287671232873</v>
      </c>
      <c r="CX10" s="48">
        <v>13626.301369863017</v>
      </c>
      <c r="CY10" s="48">
        <v>12416.164383561645</v>
      </c>
      <c r="CZ10" s="48">
        <v>14074.246575342471</v>
      </c>
      <c r="DA10" s="48">
        <v>13233.150684931508</v>
      </c>
      <c r="DB10" s="48">
        <v>14589.31506849315</v>
      </c>
      <c r="DC10" s="48">
        <v>13716.164383561645</v>
      </c>
      <c r="DD10" s="48">
        <v>12099.726027397261</v>
      </c>
      <c r="DE10" s="48">
        <v>13562.19178082192</v>
      </c>
      <c r="DF10" s="48">
        <v>12290.136986301375</v>
      </c>
      <c r="DG10" s="48">
        <v>13984.931506849314</v>
      </c>
      <c r="DH10" s="48">
        <v>13115.068493150688</v>
      </c>
      <c r="DI10" s="48">
        <v>15011.506849315068</v>
      </c>
      <c r="DJ10" s="48">
        <v>16149.31506849315</v>
      </c>
      <c r="DK10" s="48">
        <v>15932.328767123283</v>
      </c>
      <c r="DL10" s="48">
        <v>13466.575342465749</v>
      </c>
      <c r="DM10" s="48">
        <v>12308.767123287673</v>
      </c>
      <c r="DN10" s="48">
        <v>14781.64383561644</v>
      </c>
      <c r="DO10" s="5">
        <f t="shared" si="0"/>
        <v>13751.172602739725</v>
      </c>
    </row>
    <row r="11" spans="2:119" ht="13.25" customHeight="1" x14ac:dyDescent="0.3">
      <c r="B11" s="32" t="s">
        <v>30</v>
      </c>
      <c r="C11" s="5">
        <f ca="1">K1</f>
        <v>2500</v>
      </c>
      <c r="E11" s="54">
        <v>7</v>
      </c>
      <c r="F11" s="5">
        <f t="shared" ca="1" si="6"/>
        <v>100</v>
      </c>
      <c r="G11" s="5">
        <f t="shared" ca="1" si="7"/>
        <v>550</v>
      </c>
      <c r="H11" s="5">
        <f t="shared" ca="1" si="8"/>
        <v>450</v>
      </c>
      <c r="I11" s="5">
        <f t="shared" ca="1" si="9"/>
        <v>0</v>
      </c>
      <c r="J11" s="5">
        <f t="shared" ca="1" si="10"/>
        <v>0</v>
      </c>
      <c r="K11" s="5">
        <f t="shared" ca="1" si="11"/>
        <v>0</v>
      </c>
      <c r="L11" s="5">
        <f t="shared" ca="1" si="12"/>
        <v>0</v>
      </c>
      <c r="M11" s="6">
        <f t="shared" ca="1" si="5"/>
        <v>12.328767123287671</v>
      </c>
      <c r="O11" s="2">
        <v>1400</v>
      </c>
      <c r="P11" s="5">
        <v>13397.534246575349</v>
      </c>
      <c r="R11" s="2">
        <v>1400</v>
      </c>
      <c r="S11" s="48">
        <v>12884.931506849311</v>
      </c>
      <c r="T11" s="48">
        <v>14350.684931506848</v>
      </c>
      <c r="U11" s="48">
        <v>14239.726027397257</v>
      </c>
      <c r="V11" s="48">
        <v>13640.547945205479</v>
      </c>
      <c r="W11" s="48">
        <v>14850.136986301368</v>
      </c>
      <c r="X11" s="48">
        <v>13931.780821917815</v>
      </c>
      <c r="Y11" s="48">
        <v>14838.904109589042</v>
      </c>
      <c r="Z11" s="48">
        <v>13487.397260273967</v>
      </c>
      <c r="AA11" s="48">
        <v>14324.383561643834</v>
      </c>
      <c r="AB11" s="48">
        <v>13177.260273972599</v>
      </c>
      <c r="AC11" s="48">
        <v>13595.068493150691</v>
      </c>
      <c r="AD11" s="48">
        <v>12799.452054794519</v>
      </c>
      <c r="AE11" s="48">
        <v>12133.698630136991</v>
      </c>
      <c r="AF11" s="48">
        <v>13181.369863013697</v>
      </c>
      <c r="AG11" s="48">
        <v>16409.863013698632</v>
      </c>
      <c r="AH11" s="48">
        <v>15779.178082191775</v>
      </c>
      <c r="AI11" s="48">
        <v>12219.726027397268</v>
      </c>
      <c r="AJ11" s="48">
        <v>16374.520547945209</v>
      </c>
      <c r="AK11" s="48">
        <v>12965.479452054791</v>
      </c>
      <c r="AL11" s="48">
        <v>15683.83561643836</v>
      </c>
      <c r="AM11" s="48">
        <v>13338.630136986301</v>
      </c>
      <c r="AN11" s="48">
        <v>12900.547945205479</v>
      </c>
      <c r="AO11" s="48">
        <v>12989.589041095889</v>
      </c>
      <c r="AP11" s="48">
        <v>13587.945205479453</v>
      </c>
      <c r="AQ11" s="48">
        <v>15452.054794520547</v>
      </c>
      <c r="AR11" s="48">
        <v>14294.520547945205</v>
      </c>
      <c r="AS11" s="48">
        <v>14462.191780821919</v>
      </c>
      <c r="AT11" s="48">
        <v>13077.534246575342</v>
      </c>
      <c r="AU11" s="48">
        <v>12499.999999999996</v>
      </c>
      <c r="AV11" s="48">
        <v>15172.328767123287</v>
      </c>
      <c r="AW11" s="48">
        <v>13078.904109589035</v>
      </c>
      <c r="AX11" s="48">
        <v>16768.493150684928</v>
      </c>
      <c r="AY11" s="48">
        <v>13755.06849315068</v>
      </c>
      <c r="AZ11" s="48">
        <v>14017.808219178085</v>
      </c>
      <c r="BA11" s="48">
        <v>13985.753424657534</v>
      </c>
      <c r="BB11" s="48">
        <v>14592.602739726022</v>
      </c>
      <c r="BC11" s="48">
        <v>12515.616438356159</v>
      </c>
      <c r="BD11" s="48">
        <v>13296.438356164386</v>
      </c>
      <c r="BE11" s="48">
        <v>13396.712328767124</v>
      </c>
      <c r="BF11" s="48">
        <v>14443.561643835616</v>
      </c>
      <c r="BG11" s="48">
        <v>14013.97260273973</v>
      </c>
      <c r="BH11" s="48">
        <v>16606.849315068495</v>
      </c>
      <c r="BI11" s="48">
        <v>15182.739726027397</v>
      </c>
      <c r="BJ11" s="48">
        <v>12703.561643835612</v>
      </c>
      <c r="BK11" s="48">
        <v>12420.821917808218</v>
      </c>
      <c r="BL11" s="48">
        <v>11884.657534246577</v>
      </c>
      <c r="BM11" s="48">
        <v>14825.205479452057</v>
      </c>
      <c r="BN11" s="48">
        <v>15920.547945205479</v>
      </c>
      <c r="BO11" s="48">
        <v>15424.931506849322</v>
      </c>
      <c r="BP11" s="48">
        <v>12015.068493150688</v>
      </c>
      <c r="BQ11" s="48">
        <v>13561.095890410954</v>
      </c>
      <c r="BR11" s="48">
        <v>15299.178082191782</v>
      </c>
      <c r="BS11" s="48">
        <v>14609.04109589041</v>
      </c>
      <c r="BT11" s="48">
        <v>13298.356164383564</v>
      </c>
      <c r="BU11" s="48">
        <v>15741.643835616434</v>
      </c>
      <c r="BV11" s="48">
        <v>13645.753424657534</v>
      </c>
      <c r="BW11" s="48">
        <v>13743.561643835614</v>
      </c>
      <c r="BX11" s="48">
        <v>13581.643835616433</v>
      </c>
      <c r="BY11" s="48">
        <v>13840.273972602734</v>
      </c>
      <c r="BZ11" s="48">
        <v>14493.150684931508</v>
      </c>
      <c r="CA11" s="48">
        <v>12753.698630136989</v>
      </c>
      <c r="CB11" s="48">
        <v>16130.410958904109</v>
      </c>
      <c r="CC11" s="48">
        <v>12543.835616438355</v>
      </c>
      <c r="CD11" s="48">
        <v>13827.123287671238</v>
      </c>
      <c r="CE11" s="48">
        <v>14130.136986301368</v>
      </c>
      <c r="CF11" s="48">
        <v>13614.794520547948</v>
      </c>
      <c r="CG11" s="48">
        <v>14560.273972602739</v>
      </c>
      <c r="CH11" s="48">
        <v>13830.410958904107</v>
      </c>
      <c r="CI11" s="48">
        <v>14581.095890410965</v>
      </c>
      <c r="CJ11" s="48">
        <v>12579.726027397268</v>
      </c>
      <c r="CK11" s="48">
        <v>12915.890410958902</v>
      </c>
      <c r="CL11" s="48">
        <v>13438.082191780824</v>
      </c>
      <c r="CM11" s="48">
        <v>12588.493150684933</v>
      </c>
      <c r="CN11" s="48">
        <v>12762.739726027396</v>
      </c>
      <c r="CO11" s="48">
        <v>13187.39726027397</v>
      </c>
      <c r="CP11" s="48">
        <v>13412.054794520547</v>
      </c>
      <c r="CQ11" s="48">
        <v>14383.01369863013</v>
      </c>
      <c r="CR11" s="48">
        <v>14952.602739726026</v>
      </c>
      <c r="CS11" s="48">
        <v>14551.506849315072</v>
      </c>
      <c r="CT11" s="48">
        <v>13934.246575342473</v>
      </c>
      <c r="CU11" s="48">
        <v>12377.808219178089</v>
      </c>
      <c r="CV11" s="48">
        <v>15390.136986301361</v>
      </c>
      <c r="CW11" s="48">
        <v>14633.424657534251</v>
      </c>
      <c r="CX11" s="48">
        <v>13556.16438356164</v>
      </c>
      <c r="CY11" s="48">
        <v>13636.98630136986</v>
      </c>
      <c r="CZ11" s="48">
        <v>14657.808219178083</v>
      </c>
      <c r="DA11" s="48">
        <v>14801.369863013701</v>
      </c>
      <c r="DB11" s="48">
        <v>13440.821917808214</v>
      </c>
      <c r="DC11" s="48">
        <v>12528.219178082192</v>
      </c>
      <c r="DD11" s="48">
        <v>12969.589041095889</v>
      </c>
      <c r="DE11" s="48">
        <v>15612.328767123287</v>
      </c>
      <c r="DF11" s="48">
        <v>12936.438356164384</v>
      </c>
      <c r="DG11" s="48">
        <v>14466.575342465756</v>
      </c>
      <c r="DH11" s="48">
        <v>12453.150684931505</v>
      </c>
      <c r="DI11" s="48">
        <v>12590.136986301368</v>
      </c>
      <c r="DJ11" s="48">
        <v>14596.986301369863</v>
      </c>
      <c r="DK11" s="48">
        <v>15650.684931506847</v>
      </c>
      <c r="DL11" s="48">
        <v>15917.534246575342</v>
      </c>
      <c r="DM11" s="48">
        <v>14175.61643835617</v>
      </c>
      <c r="DN11" s="48">
        <v>12070.684931506848</v>
      </c>
      <c r="DO11" s="5">
        <f t="shared" si="0"/>
        <v>13944.463013698629</v>
      </c>
    </row>
    <row r="12" spans="2:119" ht="12.75" customHeight="1" x14ac:dyDescent="0.3">
      <c r="B12" s="32" t="s">
        <v>0</v>
      </c>
      <c r="C12" s="5">
        <f ca="1">L1</f>
        <v>7000</v>
      </c>
      <c r="E12" s="54">
        <v>8</v>
      </c>
      <c r="F12" s="5">
        <f t="shared" ca="1" si="6"/>
        <v>110</v>
      </c>
      <c r="G12" s="5">
        <f t="shared" ca="1" si="7"/>
        <v>450</v>
      </c>
      <c r="H12" s="5">
        <f t="shared" ca="1" si="8"/>
        <v>340</v>
      </c>
      <c r="I12" s="5">
        <f t="shared" ca="1" si="9"/>
        <v>0</v>
      </c>
      <c r="J12" s="5">
        <f t="shared" ca="1" si="10"/>
        <v>0</v>
      </c>
      <c r="K12" s="5">
        <f t="shared" ca="1" si="11"/>
        <v>0</v>
      </c>
      <c r="L12" s="5">
        <f t="shared" ca="1" si="12"/>
        <v>0</v>
      </c>
      <c r="M12" s="6">
        <f t="shared" ca="1" si="5"/>
        <v>9.3150684931506849</v>
      </c>
      <c r="O12" s="2">
        <v>1500</v>
      </c>
      <c r="P12" s="5">
        <v>13476.986301369867</v>
      </c>
      <c r="R12" s="2">
        <v>1500</v>
      </c>
      <c r="S12" s="48">
        <v>16139.178082191782</v>
      </c>
      <c r="T12" s="48">
        <v>16738.082191780813</v>
      </c>
      <c r="U12" s="48">
        <v>13478.082191780823</v>
      </c>
      <c r="V12" s="48">
        <v>14293.150684931512</v>
      </c>
      <c r="W12" s="48">
        <v>15516.164383561645</v>
      </c>
      <c r="X12" s="48">
        <v>13607.945205479451</v>
      </c>
      <c r="Y12" s="48">
        <v>14766.575342465752</v>
      </c>
      <c r="Z12" s="48">
        <v>14179.452054794518</v>
      </c>
      <c r="AA12" s="48">
        <v>13240</v>
      </c>
      <c r="AB12" s="48">
        <v>15119.178082191776</v>
      </c>
      <c r="AC12" s="48">
        <v>14159.452054794525</v>
      </c>
      <c r="AD12" s="48">
        <v>14793.972602739723</v>
      </c>
      <c r="AE12" s="48">
        <v>13336.43835616439</v>
      </c>
      <c r="AF12" s="48">
        <v>14127.945205479449</v>
      </c>
      <c r="AG12" s="48">
        <v>13187.945205479453</v>
      </c>
      <c r="AH12" s="48">
        <v>13135.068493150695</v>
      </c>
      <c r="AI12" s="48">
        <v>12147.945205479453</v>
      </c>
      <c r="AJ12" s="48">
        <v>13693.424657534246</v>
      </c>
      <c r="AK12" s="48">
        <v>14701.917808219176</v>
      </c>
      <c r="AL12" s="48">
        <v>13704.109589041096</v>
      </c>
      <c r="AM12" s="48">
        <v>15446.849315068495</v>
      </c>
      <c r="AN12" s="48">
        <v>13208.493150684933</v>
      </c>
      <c r="AO12" s="48">
        <v>13692.602739726022</v>
      </c>
      <c r="AP12" s="48">
        <v>13425.479452054791</v>
      </c>
      <c r="AQ12" s="48">
        <v>12770.136986301368</v>
      </c>
      <c r="AR12" s="48">
        <v>13768.219178082192</v>
      </c>
      <c r="AS12" s="48">
        <v>13834.520547945202</v>
      </c>
      <c r="AT12" s="48">
        <v>13787.945205479456</v>
      </c>
      <c r="AU12" s="48">
        <v>16555.890410958902</v>
      </c>
      <c r="AV12" s="48">
        <v>12756.98630136986</v>
      </c>
      <c r="AW12" s="48">
        <v>12798.630136986303</v>
      </c>
      <c r="AX12" s="48">
        <v>13584.657534246582</v>
      </c>
      <c r="AY12" s="48">
        <v>15379.178082191786</v>
      </c>
      <c r="AZ12" s="48">
        <v>14366.849315068492</v>
      </c>
      <c r="BA12" s="48">
        <v>12758.082191780824</v>
      </c>
      <c r="BB12" s="48">
        <v>12360.821917808229</v>
      </c>
      <c r="BC12" s="48">
        <v>12564.109589041105</v>
      </c>
      <c r="BD12" s="48">
        <v>12718.630136986299</v>
      </c>
      <c r="BE12" s="48">
        <v>14547.39726027397</v>
      </c>
      <c r="BF12" s="48">
        <v>14633.150684931506</v>
      </c>
      <c r="BG12" s="48">
        <v>14598.082191780821</v>
      </c>
      <c r="BH12" s="48">
        <v>13624.383561643834</v>
      </c>
      <c r="BI12" s="48">
        <v>13054.520547945212</v>
      </c>
      <c r="BJ12" s="48">
        <v>11890.136986301375</v>
      </c>
      <c r="BK12" s="48">
        <v>12664.109589041098</v>
      </c>
      <c r="BL12" s="48">
        <v>13226.849315068492</v>
      </c>
      <c r="BM12" s="48">
        <v>13595.890410958906</v>
      </c>
      <c r="BN12" s="48">
        <v>12638.630136986303</v>
      </c>
      <c r="BO12" s="48">
        <v>13169.589041095887</v>
      </c>
      <c r="BP12" s="48">
        <v>13423.287671232876</v>
      </c>
      <c r="BQ12" s="48">
        <v>13220.821917808213</v>
      </c>
      <c r="BR12" s="48">
        <v>13943.561643835619</v>
      </c>
      <c r="BS12" s="48">
        <v>13747.123287671231</v>
      </c>
      <c r="BT12" s="48">
        <v>14755.890410958902</v>
      </c>
      <c r="BU12" s="48">
        <v>14620.273972602738</v>
      </c>
      <c r="BV12" s="48">
        <v>13109.86301369863</v>
      </c>
      <c r="BW12" s="48">
        <v>13103.287671232876</v>
      </c>
      <c r="BX12" s="48">
        <v>13403.287671232882</v>
      </c>
      <c r="BY12" s="48">
        <v>13099.726027397261</v>
      </c>
      <c r="BZ12" s="48">
        <v>14122.739726027401</v>
      </c>
      <c r="CA12" s="48">
        <v>13276.43835616439</v>
      </c>
      <c r="CB12" s="48">
        <v>14015.068493150691</v>
      </c>
      <c r="CC12" s="48">
        <v>13181.369863013699</v>
      </c>
      <c r="CD12" s="48">
        <v>12819.999999999995</v>
      </c>
      <c r="CE12" s="48">
        <v>16047.39726027397</v>
      </c>
      <c r="CF12" s="48">
        <v>13403.28767123288</v>
      </c>
      <c r="CG12" s="48">
        <v>13716.986301369863</v>
      </c>
      <c r="CH12" s="48">
        <v>13799.726027397264</v>
      </c>
      <c r="CI12" s="48">
        <v>14543.287671232871</v>
      </c>
      <c r="CJ12" s="48">
        <v>15055.342465753423</v>
      </c>
      <c r="CK12" s="48">
        <v>15055.06849315068</v>
      </c>
      <c r="CL12" s="48">
        <v>12286.575342465756</v>
      </c>
      <c r="CM12" s="48">
        <v>13819.178082191782</v>
      </c>
      <c r="CN12" s="48">
        <v>14618.082191780817</v>
      </c>
      <c r="CO12" s="48">
        <v>14605.479452054791</v>
      </c>
      <c r="CP12" s="48">
        <v>12652.876712328765</v>
      </c>
      <c r="CQ12" s="48">
        <v>14863.561643835616</v>
      </c>
      <c r="CR12" s="48">
        <v>12812.876712328762</v>
      </c>
      <c r="CS12" s="48">
        <v>13243.835616438351</v>
      </c>
      <c r="CT12" s="48">
        <v>15251.780821917806</v>
      </c>
      <c r="CU12" s="48">
        <v>14557.534246575346</v>
      </c>
      <c r="CV12" s="48">
        <v>12259.452054794525</v>
      </c>
      <c r="CW12" s="48">
        <v>13191.232876712329</v>
      </c>
      <c r="CX12" s="48">
        <v>14084.109589041094</v>
      </c>
      <c r="CY12" s="48">
        <v>13329.863013698632</v>
      </c>
      <c r="CZ12" s="48">
        <v>12562.73972602739</v>
      </c>
      <c r="DA12" s="48">
        <v>13060.821917808211</v>
      </c>
      <c r="DB12" s="48">
        <v>12019.726027397257</v>
      </c>
      <c r="DC12" s="48">
        <v>13485.753424657538</v>
      </c>
      <c r="DD12" s="48">
        <v>12379.452054794527</v>
      </c>
      <c r="DE12" s="48">
        <v>13032.876712328767</v>
      </c>
      <c r="DF12" s="48">
        <v>15070.410958904109</v>
      </c>
      <c r="DG12" s="48">
        <v>13047.397260273976</v>
      </c>
      <c r="DH12" s="48">
        <v>14263.835616438355</v>
      </c>
      <c r="DI12" s="48">
        <v>12040.821917808218</v>
      </c>
      <c r="DJ12" s="48">
        <v>15246.027397260281</v>
      </c>
      <c r="DK12" s="48">
        <v>14227.397260273967</v>
      </c>
      <c r="DL12" s="48">
        <v>14580.273972602736</v>
      </c>
      <c r="DM12" s="48">
        <v>13062.739726027392</v>
      </c>
      <c r="DN12" s="48">
        <v>14054.794520547939</v>
      </c>
      <c r="DO12" s="5">
        <f t="shared" si="0"/>
        <v>13766.621917808214</v>
      </c>
    </row>
    <row r="13" spans="2:119" ht="13.25" customHeight="1" x14ac:dyDescent="0.3">
      <c r="B13" s="32" t="s">
        <v>1</v>
      </c>
      <c r="C13" s="5">
        <f ca="1">M1</f>
        <v>5041.3698630137014</v>
      </c>
      <c r="E13" s="54">
        <v>9</v>
      </c>
      <c r="F13" s="5">
        <f t="shared" ca="1" si="6"/>
        <v>110</v>
      </c>
      <c r="G13" s="5">
        <f t="shared" ca="1" si="7"/>
        <v>340</v>
      </c>
      <c r="H13" s="5">
        <f t="shared" ca="1" si="8"/>
        <v>230</v>
      </c>
      <c r="I13" s="5">
        <f t="shared" ca="1" si="9"/>
        <v>0</v>
      </c>
      <c r="J13" s="5">
        <f t="shared" ca="1" si="10"/>
        <v>0</v>
      </c>
      <c r="K13" s="5">
        <f t="shared" ca="1" si="11"/>
        <v>0</v>
      </c>
      <c r="L13" s="5">
        <f t="shared" ca="1" si="12"/>
        <v>0</v>
      </c>
      <c r="M13" s="6">
        <f t="shared" ca="1" si="5"/>
        <v>6.3013698630136981</v>
      </c>
      <c r="O13" s="2">
        <v>1600</v>
      </c>
      <c r="P13" s="5">
        <v>14904.931506849316</v>
      </c>
      <c r="R13" s="2">
        <v>1600</v>
      </c>
      <c r="S13" s="48">
        <v>13774.794520547945</v>
      </c>
      <c r="T13" s="48">
        <v>14898.356164383558</v>
      </c>
      <c r="U13" s="48">
        <v>14802.739726027397</v>
      </c>
      <c r="V13" s="48">
        <v>13783.561643835616</v>
      </c>
      <c r="W13" s="48">
        <v>13133.972602739721</v>
      </c>
      <c r="X13" s="48">
        <v>13562.739726027403</v>
      </c>
      <c r="Y13" s="48">
        <v>13941.643835616436</v>
      </c>
      <c r="Z13" s="48">
        <v>13429.041095890409</v>
      </c>
      <c r="AA13" s="48">
        <v>12907.123287671231</v>
      </c>
      <c r="AB13" s="48">
        <v>13384.657534246573</v>
      </c>
      <c r="AC13" s="48">
        <v>14041.095890410954</v>
      </c>
      <c r="AD13" s="48">
        <v>13840.82191780822</v>
      </c>
      <c r="AE13" s="48">
        <v>16352.328767123287</v>
      </c>
      <c r="AF13" s="48">
        <v>13544.657534246573</v>
      </c>
      <c r="AG13" s="48">
        <v>14212.328767123281</v>
      </c>
      <c r="AH13" s="48">
        <v>13275.890410958913</v>
      </c>
      <c r="AI13" s="48">
        <v>13707.123287671231</v>
      </c>
      <c r="AJ13" s="48">
        <v>14291.506849315067</v>
      </c>
      <c r="AK13" s="48">
        <v>12901.643835616433</v>
      </c>
      <c r="AL13" s="48">
        <v>12996.164383561641</v>
      </c>
      <c r="AM13" s="48">
        <v>12534.520547945207</v>
      </c>
      <c r="AN13" s="48">
        <v>13197.534246575347</v>
      </c>
      <c r="AO13" s="48">
        <v>13170.95890410959</v>
      </c>
      <c r="AP13" s="48">
        <v>13270.410958904102</v>
      </c>
      <c r="AQ13" s="48">
        <v>13483.561643835612</v>
      </c>
      <c r="AR13" s="48">
        <v>13944.657534246575</v>
      </c>
      <c r="AS13" s="48">
        <v>13922.191780821911</v>
      </c>
      <c r="AT13" s="48">
        <v>12423.835616438362</v>
      </c>
      <c r="AU13" s="48">
        <v>12821.643835616444</v>
      </c>
      <c r="AV13" s="48">
        <v>13206.849315068495</v>
      </c>
      <c r="AW13" s="48">
        <v>14912.054794520547</v>
      </c>
      <c r="AX13" s="48">
        <v>14812.602739726026</v>
      </c>
      <c r="AY13" s="48">
        <v>15383.561643835616</v>
      </c>
      <c r="AZ13" s="48">
        <v>13772.876712328762</v>
      </c>
      <c r="BA13" s="48">
        <v>13448.493150684932</v>
      </c>
      <c r="BB13" s="48">
        <v>14557.534246575342</v>
      </c>
      <c r="BC13" s="48">
        <v>14116.438356164381</v>
      </c>
      <c r="BD13" s="48">
        <v>13361.095890410958</v>
      </c>
      <c r="BE13" s="48">
        <v>15468.219178082198</v>
      </c>
      <c r="BF13" s="48">
        <v>15657.534246575335</v>
      </c>
      <c r="BG13" s="48">
        <v>14682.46575342466</v>
      </c>
      <c r="BH13" s="48">
        <v>12983.013698630137</v>
      </c>
      <c r="BI13" s="48">
        <v>14101.64383561644</v>
      </c>
      <c r="BJ13" s="48">
        <v>15963.561643835625</v>
      </c>
      <c r="BK13" s="48">
        <v>14947.671232876708</v>
      </c>
      <c r="BL13" s="48">
        <v>12562.191780821915</v>
      </c>
      <c r="BM13" s="48">
        <v>15547.397260273969</v>
      </c>
      <c r="BN13" s="48">
        <v>12936.164383561643</v>
      </c>
      <c r="BO13" s="48">
        <v>13347.397260273974</v>
      </c>
      <c r="BP13" s="48">
        <v>12724.383561643835</v>
      </c>
      <c r="BQ13" s="48">
        <v>15960.547945205479</v>
      </c>
      <c r="BR13" s="48">
        <v>15085.479452054797</v>
      </c>
      <c r="BS13" s="48">
        <v>14919.178082191787</v>
      </c>
      <c r="BT13" s="48">
        <v>12883.013698630139</v>
      </c>
      <c r="BU13" s="48">
        <v>15148.493150684935</v>
      </c>
      <c r="BV13" s="48">
        <v>14525.479452054791</v>
      </c>
      <c r="BW13" s="48">
        <v>13892.328767123287</v>
      </c>
      <c r="BX13" s="48">
        <v>15300.821917808222</v>
      </c>
      <c r="BY13" s="48">
        <v>13932.876712328762</v>
      </c>
      <c r="BZ13" s="48">
        <v>14295.342465753434</v>
      </c>
      <c r="CA13" s="48">
        <v>15475.890410958898</v>
      </c>
      <c r="CB13" s="48">
        <v>14692.876712328769</v>
      </c>
      <c r="CC13" s="48">
        <v>14839.452054794521</v>
      </c>
      <c r="CD13" s="48">
        <v>13521.095890410958</v>
      </c>
      <c r="CE13" s="48">
        <v>15463.561643835621</v>
      </c>
      <c r="CF13" s="48">
        <v>14850.410958904109</v>
      </c>
      <c r="CG13" s="48">
        <v>12580.547945205479</v>
      </c>
      <c r="CH13" s="48">
        <v>12948.493150684932</v>
      </c>
      <c r="CI13" s="48">
        <v>13518.904109589044</v>
      </c>
      <c r="CJ13" s="48">
        <v>12356.98630136986</v>
      </c>
      <c r="CK13" s="48">
        <v>15134.794520547945</v>
      </c>
      <c r="CL13" s="48">
        <v>14107.39726027398</v>
      </c>
      <c r="CM13" s="48">
        <v>13025.479452054795</v>
      </c>
      <c r="CN13" s="48">
        <v>15367.397260273972</v>
      </c>
      <c r="CO13" s="48">
        <v>14468.21917808219</v>
      </c>
      <c r="CP13" s="48">
        <v>12252.328767123287</v>
      </c>
      <c r="CQ13" s="48">
        <v>14727.945205479449</v>
      </c>
      <c r="CR13" s="48">
        <v>14568.493150684928</v>
      </c>
      <c r="CS13" s="48">
        <v>13868.767123287671</v>
      </c>
      <c r="CT13" s="48">
        <v>13118.904109589037</v>
      </c>
      <c r="CU13" s="48">
        <v>13771.78082191781</v>
      </c>
      <c r="CV13" s="48">
        <v>14833.150684931501</v>
      </c>
      <c r="CW13" s="48">
        <v>15358.35616438356</v>
      </c>
      <c r="CX13" s="48">
        <v>13462.739726027401</v>
      </c>
      <c r="CY13" s="48">
        <v>13282.739726027396</v>
      </c>
      <c r="CZ13" s="48">
        <v>13631.506849315068</v>
      </c>
      <c r="DA13" s="48">
        <v>13324.109589041091</v>
      </c>
      <c r="DB13" s="48">
        <v>14527.945205479449</v>
      </c>
      <c r="DC13" s="48">
        <v>13901.095890410961</v>
      </c>
      <c r="DD13" s="48">
        <v>12227.671232876706</v>
      </c>
      <c r="DE13" s="48">
        <v>14229.041095890407</v>
      </c>
      <c r="DF13" s="48">
        <v>16470.95890410959</v>
      </c>
      <c r="DG13" s="48">
        <v>15034.520547945205</v>
      </c>
      <c r="DH13" s="48">
        <v>13695.342465753423</v>
      </c>
      <c r="DI13" s="48">
        <v>13805.479452054791</v>
      </c>
      <c r="DJ13" s="48">
        <v>16267.397260273974</v>
      </c>
      <c r="DK13" s="48">
        <v>14067.123287671233</v>
      </c>
      <c r="DL13" s="48">
        <v>14384.38356164383</v>
      </c>
      <c r="DM13" s="48">
        <v>16195.616438356163</v>
      </c>
      <c r="DN13" s="48">
        <v>15726.57534246576</v>
      </c>
      <c r="DO13" s="5">
        <f t="shared" si="0"/>
        <v>14090.736986301368</v>
      </c>
    </row>
    <row r="14" spans="2:119" ht="12.75" customHeight="1" x14ac:dyDescent="0.3">
      <c r="B14" s="38" t="s">
        <v>2</v>
      </c>
      <c r="C14" s="5">
        <f ca="1">C11+C12+C13</f>
        <v>14541.369863013701</v>
      </c>
      <c r="E14" s="54">
        <v>10</v>
      </c>
      <c r="F14" s="5">
        <f t="shared" ca="1" si="6"/>
        <v>100</v>
      </c>
      <c r="G14" s="5">
        <f t="shared" ca="1" si="7"/>
        <v>230</v>
      </c>
      <c r="H14" s="5">
        <f t="shared" ca="1" si="8"/>
        <v>130</v>
      </c>
      <c r="I14" s="5">
        <f t="shared" ca="1" si="9"/>
        <v>0</v>
      </c>
      <c r="J14" s="5">
        <f t="shared" ca="1" si="10"/>
        <v>0</v>
      </c>
      <c r="K14" s="5">
        <f t="shared" ca="1" si="11"/>
        <v>0</v>
      </c>
      <c r="L14" s="5">
        <f t="shared" ca="1" si="12"/>
        <v>0</v>
      </c>
      <c r="M14" s="6">
        <f t="shared" ca="1" si="5"/>
        <v>3.5616438356164384</v>
      </c>
      <c r="P14" s="42"/>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c r="BO14" s="41"/>
      <c r="BP14" s="41"/>
      <c r="BQ14" s="41"/>
      <c r="BR14" s="41"/>
      <c r="BS14" s="41"/>
      <c r="BT14" s="41"/>
      <c r="BU14" s="41"/>
      <c r="BV14" s="41"/>
      <c r="BW14" s="41"/>
      <c r="BX14" s="41"/>
      <c r="BY14" s="41"/>
      <c r="BZ14" s="41"/>
      <c r="CA14" s="41"/>
      <c r="CB14" s="41"/>
      <c r="CC14" s="41"/>
      <c r="CD14" s="41"/>
      <c r="CE14" s="41"/>
      <c r="CF14" s="41"/>
      <c r="CG14" s="41"/>
      <c r="CH14" s="41"/>
      <c r="CI14" s="41"/>
      <c r="CJ14" s="41"/>
      <c r="CK14" s="41"/>
      <c r="CL14" s="41"/>
      <c r="CM14" s="41"/>
      <c r="CN14" s="41"/>
      <c r="CO14" s="41"/>
      <c r="CP14" s="41"/>
      <c r="CQ14" s="41"/>
      <c r="CR14" s="41"/>
      <c r="CS14" s="41"/>
      <c r="CT14" s="41"/>
      <c r="CU14" s="41"/>
      <c r="CV14" s="41"/>
      <c r="CW14" s="41"/>
      <c r="CX14" s="41"/>
      <c r="CY14" s="41"/>
      <c r="CZ14" s="41"/>
      <c r="DA14" s="41"/>
      <c r="DB14" s="41"/>
      <c r="DC14" s="41"/>
      <c r="DD14" s="41"/>
      <c r="DE14" s="41"/>
      <c r="DF14" s="41"/>
      <c r="DG14" s="41"/>
      <c r="DH14" s="41"/>
      <c r="DI14" s="41"/>
      <c r="DJ14" s="41"/>
      <c r="DK14" s="41"/>
      <c r="DL14" s="41"/>
      <c r="DM14" s="41"/>
      <c r="DN14" s="41"/>
      <c r="DO14" s="41"/>
    </row>
    <row r="15" spans="2:119" ht="12.75" customHeight="1" x14ac:dyDescent="0.3">
      <c r="B15" s="21"/>
      <c r="E15" s="54">
        <v>11</v>
      </c>
      <c r="F15" s="5">
        <f t="shared" ca="1" si="6"/>
        <v>120</v>
      </c>
      <c r="G15" s="5">
        <f t="shared" ca="1" si="7"/>
        <v>130</v>
      </c>
      <c r="H15" s="5">
        <f t="shared" ca="1" si="8"/>
        <v>10</v>
      </c>
      <c r="I15" s="5">
        <f t="shared" ca="1" si="9"/>
        <v>1</v>
      </c>
      <c r="J15" s="5">
        <f t="shared" ca="1" si="10"/>
        <v>0</v>
      </c>
      <c r="K15" s="5">
        <f t="shared" ca="1" si="11"/>
        <v>0</v>
      </c>
      <c r="L15" s="5">
        <f t="shared" ca="1" si="12"/>
        <v>200</v>
      </c>
      <c r="M15" s="6">
        <f t="shared" ca="1" si="5"/>
        <v>0.27397260273972601</v>
      </c>
      <c r="O15" s="51" t="s">
        <v>32</v>
      </c>
      <c r="P15" s="43"/>
      <c r="Q15" s="21"/>
      <c r="R15" s="21" t="s">
        <v>40</v>
      </c>
      <c r="S15" s="21"/>
      <c r="T15" s="4"/>
      <c r="U15" s="41"/>
      <c r="V15" s="41"/>
      <c r="W15" s="41"/>
      <c r="X15" s="41"/>
      <c r="Y15" s="41"/>
      <c r="Z15" s="41"/>
      <c r="AA15" s="41"/>
      <c r="AB15" s="41"/>
      <c r="AC15" s="41"/>
      <c r="AD15" s="41"/>
      <c r="AE15" s="41"/>
      <c r="AF15" s="41"/>
      <c r="AG15" s="41"/>
      <c r="AH15" s="41"/>
      <c r="AI15" s="41"/>
      <c r="AJ15" s="41"/>
      <c r="AK15" s="41"/>
      <c r="AL15" s="41"/>
      <c r="AM15" s="41"/>
      <c r="AN15" s="41"/>
      <c r="AO15" s="41"/>
      <c r="AP15" s="41"/>
      <c r="AQ15" s="41"/>
      <c r="AR15" s="41"/>
      <c r="AS15" s="41"/>
      <c r="AT15" s="41"/>
      <c r="AU15" s="41"/>
      <c r="AV15" s="41"/>
      <c r="AW15" s="41"/>
      <c r="AX15" s="41"/>
      <c r="AY15" s="41"/>
      <c r="AZ15" s="41"/>
      <c r="BA15" s="41"/>
      <c r="BB15" s="41"/>
      <c r="BC15" s="41"/>
      <c r="BD15" s="41"/>
      <c r="BE15" s="41"/>
      <c r="BF15" s="41"/>
      <c r="BG15" s="41"/>
      <c r="BH15" s="41"/>
      <c r="BI15" s="41"/>
      <c r="BJ15" s="41"/>
      <c r="BK15" s="41"/>
      <c r="BL15" s="41"/>
      <c r="BM15" s="41"/>
      <c r="BN15" s="41"/>
      <c r="BO15" s="41"/>
      <c r="BP15" s="41"/>
      <c r="BQ15" s="41"/>
      <c r="BR15" s="41"/>
      <c r="BS15" s="41"/>
      <c r="BT15" s="41"/>
      <c r="BU15" s="41"/>
      <c r="BV15" s="41"/>
      <c r="BW15" s="41"/>
      <c r="BX15" s="41"/>
      <c r="BY15" s="41"/>
      <c r="BZ15" s="41"/>
      <c r="CA15" s="41"/>
      <c r="CB15" s="41"/>
      <c r="CC15" s="41"/>
      <c r="CD15" s="41"/>
      <c r="CE15" s="41"/>
      <c r="CF15" s="41"/>
      <c r="CG15" s="41"/>
      <c r="CH15" s="41"/>
      <c r="CI15" s="41"/>
      <c r="CJ15" s="41"/>
      <c r="CK15" s="41"/>
      <c r="CL15" s="41"/>
      <c r="CM15" s="41"/>
      <c r="CN15" s="41"/>
      <c r="CO15" s="41"/>
      <c r="CP15" s="41"/>
      <c r="CQ15" s="41"/>
      <c r="CR15" s="41"/>
      <c r="CS15" s="41"/>
      <c r="CT15" s="41"/>
      <c r="CU15" s="41"/>
      <c r="CV15" s="41"/>
      <c r="CW15" s="41"/>
      <c r="CX15" s="41"/>
      <c r="CY15" s="41"/>
      <c r="CZ15" s="41"/>
      <c r="DA15" s="41"/>
      <c r="DB15" s="41"/>
      <c r="DC15" s="41"/>
      <c r="DD15" s="41"/>
      <c r="DE15" s="41"/>
      <c r="DF15" s="41"/>
      <c r="DG15" s="41"/>
      <c r="DH15" s="41"/>
      <c r="DI15" s="41"/>
      <c r="DJ15" s="41"/>
      <c r="DK15" s="41"/>
      <c r="DL15" s="41"/>
      <c r="DM15" s="41"/>
      <c r="DN15" s="41"/>
      <c r="DO15" s="41"/>
    </row>
    <row r="16" spans="2:119" ht="12.75" customHeight="1" x14ac:dyDescent="0.3">
      <c r="B16" s="21" t="s">
        <v>28</v>
      </c>
      <c r="E16" s="54">
        <v>12</v>
      </c>
      <c r="F16" s="5">
        <f t="shared" ca="1" si="6"/>
        <v>0</v>
      </c>
      <c r="G16" s="5">
        <f t="shared" ca="1" si="7"/>
        <v>1010</v>
      </c>
      <c r="H16" s="5">
        <f t="shared" ca="1" si="8"/>
        <v>1010</v>
      </c>
      <c r="I16" s="5">
        <f t="shared" ca="1" si="9"/>
        <v>0</v>
      </c>
      <c r="J16" s="5">
        <f t="shared" ca="1" si="10"/>
        <v>0</v>
      </c>
      <c r="K16" s="5">
        <f t="shared" ca="1" si="11"/>
        <v>0</v>
      </c>
      <c r="L16" s="5">
        <f t="shared" ca="1" si="12"/>
        <v>0</v>
      </c>
      <c r="M16" s="6">
        <f t="shared" ca="1" si="5"/>
        <v>27.671232876712327</v>
      </c>
      <c r="O16" s="48">
        <f>$C$18</f>
        <v>1200</v>
      </c>
      <c r="P16" s="48">
        <v>10000</v>
      </c>
      <c r="Q16" s="23"/>
      <c r="R16" s="2" t="s">
        <v>25</v>
      </c>
      <c r="S16" s="2" t="s">
        <v>24</v>
      </c>
      <c r="T16" s="2" t="s">
        <v>23</v>
      </c>
      <c r="U16" s="41"/>
      <c r="V16" s="41"/>
      <c r="W16" s="41"/>
      <c r="X16" s="41"/>
      <c r="Y16" s="41"/>
      <c r="Z16" s="41"/>
      <c r="AA16" s="41"/>
      <c r="AB16" s="41"/>
      <c r="AC16" s="41"/>
      <c r="AD16" s="41"/>
      <c r="AE16" s="41"/>
      <c r="AF16" s="41"/>
      <c r="AG16" s="41"/>
      <c r="AH16" s="41"/>
      <c r="AI16" s="41"/>
      <c r="AJ16" s="41"/>
      <c r="AK16" s="41"/>
      <c r="AL16" s="41"/>
      <c r="AM16" s="41"/>
      <c r="AN16" s="41"/>
      <c r="AO16" s="41"/>
      <c r="AP16" s="41"/>
      <c r="AQ16" s="41"/>
      <c r="AR16" s="41"/>
      <c r="AS16" s="41"/>
      <c r="AT16" s="41"/>
      <c r="AU16" s="41"/>
      <c r="AV16" s="41"/>
      <c r="AW16" s="41"/>
      <c r="AX16" s="41"/>
      <c r="AY16" s="41"/>
      <c r="AZ16" s="41"/>
      <c r="BA16" s="41"/>
      <c r="BB16" s="41"/>
      <c r="BC16" s="41"/>
      <c r="BD16" s="41"/>
      <c r="BE16" s="41"/>
      <c r="BF16" s="41"/>
      <c r="BG16" s="41"/>
      <c r="BH16" s="41"/>
      <c r="BI16" s="41"/>
      <c r="BJ16" s="41"/>
      <c r="BK16" s="41"/>
      <c r="BL16" s="41"/>
      <c r="BM16" s="41"/>
      <c r="BN16" s="41"/>
      <c r="BO16" s="41"/>
      <c r="BP16" s="41"/>
      <c r="BQ16" s="41"/>
      <c r="BR16" s="41"/>
      <c r="BS16" s="41"/>
      <c r="BT16" s="41"/>
      <c r="BU16" s="41"/>
      <c r="BV16" s="41"/>
      <c r="BW16" s="41"/>
      <c r="BX16" s="41"/>
      <c r="BY16" s="41"/>
      <c r="BZ16" s="41"/>
      <c r="CA16" s="41"/>
      <c r="CB16" s="41"/>
      <c r="CC16" s="41"/>
      <c r="CD16" s="41"/>
      <c r="CE16" s="41"/>
      <c r="CF16" s="41"/>
      <c r="CG16" s="41"/>
      <c r="CH16" s="41"/>
      <c r="CI16" s="41"/>
      <c r="CJ16" s="41"/>
      <c r="CK16" s="41"/>
      <c r="CL16" s="41"/>
      <c r="CM16" s="41"/>
      <c r="CN16" s="41"/>
      <c r="CO16" s="41"/>
      <c r="CP16" s="41"/>
      <c r="CQ16" s="41"/>
      <c r="CR16" s="41"/>
      <c r="CS16" s="41"/>
      <c r="CT16" s="41"/>
      <c r="CU16" s="41"/>
      <c r="CV16" s="41"/>
      <c r="CW16" s="41"/>
      <c r="CX16" s="41"/>
      <c r="CY16" s="41"/>
      <c r="CZ16" s="41"/>
      <c r="DA16" s="41"/>
      <c r="DB16" s="41"/>
      <c r="DC16" s="41"/>
      <c r="DD16" s="41"/>
      <c r="DE16" s="41"/>
      <c r="DF16" s="41"/>
      <c r="DG16" s="41"/>
      <c r="DH16" s="41"/>
      <c r="DI16" s="41"/>
      <c r="DJ16" s="41"/>
      <c r="DK16" s="41"/>
      <c r="DL16" s="41"/>
      <c r="DM16" s="41"/>
      <c r="DN16" s="41"/>
      <c r="DO16" s="41"/>
    </row>
    <row r="17" spans="2:123" x14ac:dyDescent="0.3">
      <c r="B17" s="32" t="s">
        <v>15</v>
      </c>
      <c r="C17" s="5">
        <f>MIN(P3:P13)</f>
        <v>12921.643835616444</v>
      </c>
      <c r="E17" s="54">
        <v>13</v>
      </c>
      <c r="F17" s="5">
        <f t="shared" ca="1" si="6"/>
        <v>90</v>
      </c>
      <c r="G17" s="5">
        <f t="shared" ca="1" si="7"/>
        <v>1010</v>
      </c>
      <c r="H17" s="5">
        <f t="shared" ca="1" si="8"/>
        <v>920</v>
      </c>
      <c r="I17" s="5">
        <f t="shared" ca="1" si="9"/>
        <v>0</v>
      </c>
      <c r="J17" s="5">
        <f t="shared" ca="1" si="10"/>
        <v>0</v>
      </c>
      <c r="K17" s="5">
        <f t="shared" ca="1" si="11"/>
        <v>0</v>
      </c>
      <c r="L17" s="5">
        <f t="shared" ca="1" si="12"/>
        <v>0</v>
      </c>
      <c r="M17" s="6">
        <f t="shared" ca="1" si="5"/>
        <v>25.205479452054792</v>
      </c>
      <c r="O17" s="48">
        <f>O16</f>
        <v>1200</v>
      </c>
      <c r="P17" s="48">
        <f>C17</f>
        <v>12921.643835616444</v>
      </c>
      <c r="Q17" s="21"/>
      <c r="R17" s="2">
        <v>80</v>
      </c>
      <c r="S17" s="46">
        <v>0.1</v>
      </c>
      <c r="T17" s="2">
        <v>0</v>
      </c>
      <c r="U17" s="41"/>
      <c r="V17" s="41"/>
      <c r="W17" s="41"/>
      <c r="X17" s="41"/>
      <c r="Y17" s="41"/>
      <c r="Z17" s="41"/>
      <c r="AA17" s="41"/>
      <c r="AB17" s="41"/>
      <c r="AC17" s="41"/>
      <c r="AD17" s="41"/>
      <c r="AE17" s="41"/>
      <c r="AF17" s="41"/>
      <c r="AG17" s="41"/>
      <c r="AH17" s="41"/>
      <c r="AI17" s="41"/>
      <c r="AJ17" s="41"/>
      <c r="AK17" s="41"/>
      <c r="AL17" s="41"/>
      <c r="AM17" s="41"/>
      <c r="AN17" s="41"/>
      <c r="AO17" s="41"/>
      <c r="AP17" s="41"/>
      <c r="AQ17" s="41"/>
      <c r="AR17" s="41"/>
      <c r="AS17" s="41"/>
      <c r="AT17" s="41"/>
      <c r="AU17" s="41"/>
      <c r="AV17" s="41"/>
      <c r="AW17" s="41"/>
      <c r="AX17" s="41"/>
      <c r="AY17" s="41"/>
      <c r="AZ17" s="41"/>
      <c r="BA17" s="41"/>
      <c r="BB17" s="41"/>
      <c r="BC17" s="41"/>
      <c r="BD17" s="41"/>
      <c r="BE17" s="41"/>
      <c r="BF17" s="41"/>
      <c r="BG17" s="41"/>
      <c r="BH17" s="41"/>
      <c r="BI17" s="41"/>
      <c r="BJ17" s="41"/>
      <c r="BK17" s="41"/>
      <c r="BL17" s="41"/>
      <c r="BM17" s="41"/>
      <c r="BN17" s="41"/>
      <c r="BO17" s="41"/>
      <c r="BP17" s="41"/>
      <c r="BQ17" s="41"/>
      <c r="BR17" s="41"/>
      <c r="BS17" s="41"/>
      <c r="BT17" s="41"/>
      <c r="BU17" s="41"/>
      <c r="BV17" s="41"/>
      <c r="BW17" s="41"/>
      <c r="BX17" s="41"/>
      <c r="BY17" s="41"/>
      <c r="BZ17" s="41"/>
      <c r="CA17" s="41"/>
      <c r="CB17" s="41"/>
      <c r="CC17" s="41"/>
      <c r="CD17" s="41"/>
      <c r="CE17" s="41"/>
      <c r="CF17" s="41"/>
      <c r="CG17" s="41"/>
      <c r="CH17" s="41"/>
      <c r="CI17" s="41"/>
      <c r="CJ17" s="41"/>
      <c r="CK17" s="41"/>
      <c r="CL17" s="41"/>
      <c r="CM17" s="41"/>
      <c r="CN17" s="41"/>
      <c r="CO17" s="41"/>
      <c r="CP17" s="41"/>
      <c r="CQ17" s="41"/>
      <c r="CR17" s="41"/>
      <c r="CS17" s="41"/>
      <c r="CT17" s="41"/>
      <c r="CU17" s="41"/>
      <c r="CV17" s="41"/>
      <c r="CW17" s="41"/>
      <c r="CX17" s="41"/>
      <c r="CY17" s="41"/>
      <c r="CZ17" s="41"/>
      <c r="DA17" s="41"/>
      <c r="DB17" s="41"/>
      <c r="DC17" s="41"/>
      <c r="DD17" s="41"/>
      <c r="DE17" s="41"/>
      <c r="DF17" s="41"/>
      <c r="DG17" s="41"/>
      <c r="DH17" s="41"/>
      <c r="DI17" s="41"/>
      <c r="DJ17" s="41"/>
      <c r="DK17" s="41"/>
      <c r="DL17" s="41"/>
      <c r="DM17" s="41"/>
      <c r="DN17" s="41"/>
      <c r="DO17" s="41"/>
    </row>
    <row r="18" spans="2:123" ht="12.75" customHeight="1" x14ac:dyDescent="0.3">
      <c r="B18" s="32" t="s">
        <v>14</v>
      </c>
      <c r="C18" s="2">
        <f>INDEX(O3:O13,MATCH(C17,P3:P13,0))</f>
        <v>1200</v>
      </c>
      <c r="E18" s="54">
        <v>14</v>
      </c>
      <c r="F18" s="5">
        <f t="shared" ca="1" si="6"/>
        <v>110</v>
      </c>
      <c r="G18" s="5">
        <f t="shared" ca="1" si="7"/>
        <v>920</v>
      </c>
      <c r="H18" s="5">
        <f t="shared" ca="1" si="8"/>
        <v>810</v>
      </c>
      <c r="I18" s="5">
        <f t="shared" ca="1" si="9"/>
        <v>0</v>
      </c>
      <c r="J18" s="5">
        <f t="shared" ca="1" si="10"/>
        <v>0</v>
      </c>
      <c r="K18" s="5">
        <f t="shared" ca="1" si="11"/>
        <v>0</v>
      </c>
      <c r="L18" s="5">
        <f t="shared" ca="1" si="12"/>
        <v>0</v>
      </c>
      <c r="M18" s="6">
        <f t="shared" ca="1" si="5"/>
        <v>22.191780821917806</v>
      </c>
      <c r="O18" s="48">
        <f>O17</f>
        <v>1200</v>
      </c>
      <c r="P18" s="48">
        <v>24000</v>
      </c>
      <c r="Q18" s="21"/>
      <c r="R18" s="2">
        <v>90</v>
      </c>
      <c r="S18" s="46">
        <v>0.2</v>
      </c>
      <c r="T18" s="46">
        <f>S17+T17</f>
        <v>0.1</v>
      </c>
      <c r="U18" s="41"/>
      <c r="V18" s="41"/>
      <c r="W18" s="41"/>
      <c r="X18" s="41"/>
      <c r="Y18" s="41"/>
      <c r="Z18" s="41"/>
      <c r="AA18" s="41"/>
      <c r="AB18" s="41"/>
      <c r="AC18" s="41"/>
      <c r="AD18" s="41"/>
      <c r="AE18" s="41"/>
      <c r="AF18" s="41"/>
      <c r="AG18" s="41"/>
      <c r="AH18" s="41"/>
      <c r="AI18" s="41"/>
      <c r="AJ18" s="41"/>
      <c r="AK18" s="41"/>
      <c r="AL18" s="41"/>
      <c r="AM18" s="41"/>
      <c r="AN18" s="41"/>
      <c r="AO18" s="41"/>
      <c r="AP18" s="41"/>
      <c r="AQ18" s="41"/>
      <c r="AR18" s="41"/>
      <c r="AS18" s="41"/>
      <c r="AT18" s="41"/>
      <c r="AU18" s="41"/>
      <c r="AV18" s="41"/>
      <c r="AW18" s="41"/>
      <c r="AX18" s="41"/>
      <c r="AY18" s="41"/>
      <c r="AZ18" s="41"/>
      <c r="BA18" s="41"/>
      <c r="BB18" s="41"/>
      <c r="BC18" s="41"/>
      <c r="BD18" s="41"/>
      <c r="BE18" s="41"/>
      <c r="BF18" s="41"/>
      <c r="BG18" s="41"/>
      <c r="BH18" s="41"/>
      <c r="BI18" s="41"/>
      <c r="BJ18" s="41"/>
      <c r="BK18" s="41"/>
      <c r="BL18" s="41"/>
      <c r="BM18" s="41"/>
      <c r="BN18" s="41"/>
      <c r="BO18" s="41"/>
      <c r="BP18" s="41"/>
      <c r="BQ18" s="41"/>
      <c r="BR18" s="41"/>
      <c r="BS18" s="41"/>
      <c r="BT18" s="41"/>
      <c r="BU18" s="41"/>
      <c r="BV18" s="41"/>
      <c r="BW18" s="41"/>
      <c r="BX18" s="41"/>
      <c r="BY18" s="41"/>
      <c r="BZ18" s="41"/>
      <c r="CA18" s="41"/>
      <c r="CB18" s="41"/>
      <c r="CC18" s="41"/>
      <c r="CD18" s="41"/>
      <c r="CE18" s="41"/>
      <c r="CF18" s="41"/>
      <c r="CG18" s="41"/>
      <c r="CH18" s="41"/>
      <c r="CI18" s="41"/>
      <c r="CJ18" s="41"/>
      <c r="CK18" s="41"/>
      <c r="CL18" s="41"/>
      <c r="CM18" s="41"/>
      <c r="CN18" s="41"/>
      <c r="CO18" s="41"/>
      <c r="CP18" s="41"/>
      <c r="CQ18" s="41"/>
      <c r="CR18" s="41"/>
      <c r="CS18" s="41"/>
      <c r="CT18" s="41"/>
      <c r="CU18" s="41"/>
      <c r="CV18" s="41"/>
      <c r="CW18" s="41"/>
      <c r="CX18" s="41"/>
      <c r="CY18" s="41"/>
      <c r="CZ18" s="41"/>
      <c r="DA18" s="41"/>
      <c r="DB18" s="41"/>
      <c r="DC18" s="41"/>
      <c r="DD18" s="41"/>
      <c r="DE18" s="41"/>
      <c r="DF18" s="41"/>
      <c r="DG18" s="41"/>
      <c r="DH18" s="41"/>
      <c r="DI18" s="41"/>
      <c r="DJ18" s="41"/>
      <c r="DK18" s="41"/>
      <c r="DL18" s="41"/>
      <c r="DM18" s="41"/>
      <c r="DN18" s="41"/>
      <c r="DO18" s="41"/>
    </row>
    <row r="19" spans="2:123" ht="12.75" customHeight="1" x14ac:dyDescent="0.3">
      <c r="B19" s="21"/>
      <c r="E19" s="54">
        <v>15</v>
      </c>
      <c r="F19" s="5">
        <f t="shared" ca="1" si="6"/>
        <v>120</v>
      </c>
      <c r="G19" s="5">
        <f t="shared" ca="1" si="7"/>
        <v>810</v>
      </c>
      <c r="H19" s="5">
        <f t="shared" ca="1" si="8"/>
        <v>690</v>
      </c>
      <c r="I19" s="5">
        <f t="shared" ca="1" si="9"/>
        <v>0</v>
      </c>
      <c r="J19" s="5">
        <f t="shared" ca="1" si="10"/>
        <v>0</v>
      </c>
      <c r="K19" s="5">
        <f t="shared" ca="1" si="11"/>
        <v>0</v>
      </c>
      <c r="L19" s="5">
        <f t="shared" ca="1" si="12"/>
        <v>0</v>
      </c>
      <c r="M19" s="6">
        <f t="shared" ca="1" si="5"/>
        <v>18.904109589041095</v>
      </c>
      <c r="P19" s="43"/>
      <c r="Q19" s="21"/>
      <c r="R19" s="2">
        <v>100</v>
      </c>
      <c r="S19" s="46">
        <v>0.25</v>
      </c>
      <c r="T19" s="46">
        <f t="shared" ref="T19:T21" si="13">S18+T18</f>
        <v>0.30000000000000004</v>
      </c>
      <c r="U19" s="41"/>
      <c r="V19" s="41"/>
      <c r="W19" s="41"/>
      <c r="X19" s="41"/>
      <c r="Y19" s="41"/>
      <c r="Z19" s="41"/>
      <c r="AA19" s="41"/>
      <c r="AB19" s="41"/>
      <c r="AC19" s="41"/>
      <c r="AD19" s="41"/>
      <c r="AE19" s="41"/>
      <c r="AF19" s="41"/>
      <c r="AG19" s="41"/>
      <c r="AH19" s="41"/>
      <c r="AI19" s="41"/>
      <c r="AJ19" s="41"/>
      <c r="AK19" s="41"/>
      <c r="AL19" s="41"/>
      <c r="AM19" s="41"/>
      <c r="AN19" s="41"/>
      <c r="AO19" s="41"/>
      <c r="AP19" s="41"/>
      <c r="AQ19" s="41"/>
      <c r="AR19" s="41"/>
      <c r="AS19" s="41"/>
      <c r="AT19" s="41"/>
      <c r="AU19" s="41"/>
      <c r="AV19" s="41"/>
      <c r="AW19" s="41"/>
      <c r="AX19" s="41"/>
      <c r="AY19" s="41"/>
      <c r="AZ19" s="41"/>
      <c r="BA19" s="41"/>
      <c r="BB19" s="41"/>
      <c r="BC19" s="41"/>
      <c r="BD19" s="41"/>
      <c r="BE19" s="41"/>
      <c r="BF19" s="41"/>
      <c r="BG19" s="41"/>
      <c r="BH19" s="41"/>
      <c r="BI19" s="41"/>
      <c r="BJ19" s="41"/>
      <c r="BK19" s="41"/>
      <c r="BL19" s="41"/>
      <c r="BM19" s="41"/>
      <c r="BN19" s="41"/>
      <c r="BO19" s="41"/>
      <c r="BP19" s="41"/>
      <c r="BQ19" s="41"/>
      <c r="BR19" s="41"/>
      <c r="BS19" s="41"/>
      <c r="BT19" s="41"/>
      <c r="BU19" s="41"/>
      <c r="BV19" s="41"/>
      <c r="BW19" s="41"/>
      <c r="BX19" s="41"/>
      <c r="BY19" s="41"/>
      <c r="BZ19" s="41"/>
      <c r="CA19" s="41"/>
      <c r="CB19" s="41"/>
      <c r="CC19" s="41"/>
      <c r="CD19" s="41"/>
      <c r="CE19" s="41"/>
      <c r="CF19" s="41"/>
      <c r="CG19" s="41"/>
      <c r="CH19" s="41"/>
      <c r="CI19" s="41"/>
      <c r="CJ19" s="41"/>
      <c r="CK19" s="41"/>
      <c r="CL19" s="41"/>
      <c r="CM19" s="41"/>
      <c r="CN19" s="41"/>
      <c r="CO19" s="41"/>
      <c r="CP19" s="41"/>
      <c r="CQ19" s="41"/>
      <c r="CR19" s="41"/>
      <c r="CS19" s="41"/>
      <c r="CT19" s="41"/>
      <c r="CU19" s="41"/>
      <c r="CV19" s="41"/>
      <c r="CW19" s="41"/>
      <c r="CX19" s="41"/>
      <c r="CY19" s="41"/>
      <c r="CZ19" s="41"/>
      <c r="DA19" s="41"/>
      <c r="DB19" s="41"/>
      <c r="DC19" s="41"/>
      <c r="DD19" s="41"/>
      <c r="DE19" s="41"/>
      <c r="DF19" s="41"/>
      <c r="DG19" s="41"/>
      <c r="DH19" s="41"/>
      <c r="DI19" s="41"/>
      <c r="DJ19" s="41"/>
      <c r="DK19" s="41"/>
      <c r="DL19" s="41"/>
      <c r="DM19" s="41"/>
      <c r="DN19" s="41"/>
      <c r="DO19" s="41"/>
    </row>
    <row r="20" spans="2:123" ht="12.7" customHeight="1" x14ac:dyDescent="0.3">
      <c r="B20" s="44" t="s">
        <v>41</v>
      </c>
      <c r="D20" s="7"/>
      <c r="E20" s="54">
        <v>16</v>
      </c>
      <c r="F20" s="5">
        <f t="shared" ca="1" si="6"/>
        <v>120</v>
      </c>
      <c r="G20" s="5">
        <f t="shared" ca="1" si="7"/>
        <v>690</v>
      </c>
      <c r="H20" s="5">
        <f t="shared" ca="1" si="8"/>
        <v>570</v>
      </c>
      <c r="I20" s="5">
        <f t="shared" ca="1" si="9"/>
        <v>0</v>
      </c>
      <c r="J20" s="5">
        <f t="shared" ca="1" si="10"/>
        <v>0</v>
      </c>
      <c r="K20" s="5">
        <f t="shared" ca="1" si="11"/>
        <v>0</v>
      </c>
      <c r="L20" s="5">
        <f t="shared" ca="1" si="12"/>
        <v>0</v>
      </c>
      <c r="M20" s="6">
        <f t="shared" ca="1" si="5"/>
        <v>15.616438356164382</v>
      </c>
      <c r="O20" s="44" t="s">
        <v>41</v>
      </c>
      <c r="P20" s="43"/>
      <c r="Q20" s="47"/>
      <c r="R20" s="2">
        <v>110</v>
      </c>
      <c r="S20" s="46">
        <v>0.3</v>
      </c>
      <c r="T20" s="46">
        <f t="shared" si="13"/>
        <v>0.55000000000000004</v>
      </c>
      <c r="U20" s="41"/>
      <c r="V20" s="41"/>
      <c r="W20" s="41"/>
      <c r="X20" s="41"/>
      <c r="Y20" s="41"/>
      <c r="Z20" s="41"/>
      <c r="AA20" s="41"/>
      <c r="AB20" s="41"/>
      <c r="AC20" s="41"/>
      <c r="AD20" s="41"/>
      <c r="AE20" s="41"/>
      <c r="AF20" s="41"/>
      <c r="AG20" s="41"/>
      <c r="AH20" s="41"/>
      <c r="AI20" s="41"/>
      <c r="AJ20" s="41"/>
      <c r="AK20" s="41"/>
      <c r="AL20" s="41"/>
      <c r="AM20" s="41"/>
      <c r="AN20" s="41"/>
      <c r="AO20" s="41"/>
      <c r="AP20" s="41"/>
      <c r="AQ20" s="41"/>
      <c r="AR20" s="41"/>
      <c r="AS20" s="41"/>
      <c r="AT20" s="41"/>
      <c r="AU20" s="41"/>
      <c r="AV20" s="41"/>
      <c r="AW20" s="41"/>
      <c r="AX20" s="41"/>
      <c r="AY20" s="41"/>
      <c r="AZ20" s="41"/>
      <c r="BA20" s="41"/>
      <c r="BB20" s="41"/>
      <c r="BC20" s="41"/>
      <c r="BD20" s="41"/>
      <c r="BE20" s="41"/>
      <c r="BF20" s="41"/>
      <c r="BG20" s="41"/>
      <c r="BH20" s="41"/>
      <c r="BI20" s="41"/>
      <c r="BJ20" s="41"/>
      <c r="BK20" s="41"/>
      <c r="BL20" s="41"/>
      <c r="BM20" s="41"/>
      <c r="BN20" s="41"/>
      <c r="BO20" s="41"/>
      <c r="BP20" s="41"/>
      <c r="BQ20" s="41"/>
      <c r="BR20" s="41"/>
      <c r="BS20" s="41"/>
      <c r="BT20" s="41"/>
      <c r="BU20" s="41"/>
      <c r="BV20" s="41"/>
      <c r="BW20" s="41"/>
      <c r="BX20" s="41"/>
      <c r="BY20" s="41"/>
      <c r="BZ20" s="41"/>
      <c r="CA20" s="41"/>
      <c r="CB20" s="41"/>
      <c r="CC20" s="41"/>
      <c r="CD20" s="41"/>
      <c r="CE20" s="41"/>
      <c r="CF20" s="41"/>
      <c r="CG20" s="41"/>
      <c r="CH20" s="41"/>
      <c r="CI20" s="41"/>
      <c r="CJ20" s="41"/>
      <c r="CK20" s="41"/>
      <c r="CL20" s="41"/>
      <c r="CM20" s="41"/>
      <c r="CN20" s="41"/>
      <c r="CO20" s="41"/>
      <c r="CP20" s="41"/>
      <c r="CQ20" s="41"/>
      <c r="CR20" s="41"/>
      <c r="CS20" s="41"/>
      <c r="CT20" s="41"/>
      <c r="CU20" s="41"/>
      <c r="CV20" s="41"/>
      <c r="CW20" s="41"/>
      <c r="CX20" s="41"/>
      <c r="CY20" s="41"/>
      <c r="CZ20" s="41"/>
      <c r="DA20" s="41"/>
      <c r="DB20" s="41"/>
      <c r="DC20" s="41"/>
      <c r="DD20" s="41"/>
      <c r="DE20" s="41"/>
      <c r="DF20" s="41"/>
      <c r="DG20" s="41"/>
      <c r="DH20" s="41"/>
      <c r="DI20" s="41"/>
      <c r="DJ20" s="41"/>
      <c r="DK20" s="41"/>
      <c r="DL20" s="41"/>
      <c r="DM20" s="41"/>
      <c r="DN20" s="41"/>
      <c r="DO20" s="41"/>
    </row>
    <row r="21" spans="2:123" ht="13.25" customHeight="1" x14ac:dyDescent="0.3">
      <c r="B21" s="52" t="s">
        <v>15</v>
      </c>
      <c r="C21" s="5">
        <f>MIN(DO3:DO13)</f>
        <v>13751.172602739725</v>
      </c>
      <c r="E21" s="54">
        <v>17</v>
      </c>
      <c r="F21" s="5">
        <f t="shared" ca="1" si="6"/>
        <v>100</v>
      </c>
      <c r="G21" s="5">
        <f t="shared" ca="1" si="7"/>
        <v>570</v>
      </c>
      <c r="H21" s="5">
        <f t="shared" ca="1" si="8"/>
        <v>470</v>
      </c>
      <c r="I21" s="5">
        <f t="shared" ca="1" si="9"/>
        <v>0</v>
      </c>
      <c r="J21" s="5">
        <f t="shared" ca="1" si="10"/>
        <v>0</v>
      </c>
      <c r="K21" s="5">
        <f t="shared" ca="1" si="11"/>
        <v>0</v>
      </c>
      <c r="L21" s="5">
        <f t="shared" ca="1" si="12"/>
        <v>0</v>
      </c>
      <c r="M21" s="6">
        <f t="shared" ca="1" si="5"/>
        <v>12.876712328767123</v>
      </c>
      <c r="O21" s="48">
        <f>$C$22</f>
        <v>1300</v>
      </c>
      <c r="P21" s="48">
        <v>10000</v>
      </c>
      <c r="Q21" s="47"/>
      <c r="R21" s="2">
        <v>120</v>
      </c>
      <c r="S21" s="46">
        <v>0.15</v>
      </c>
      <c r="T21" s="46">
        <f t="shared" si="13"/>
        <v>0.85000000000000009</v>
      </c>
      <c r="U21" s="41"/>
      <c r="V21" s="41"/>
      <c r="W21" s="41"/>
      <c r="X21" s="41"/>
      <c r="Y21" s="41"/>
      <c r="Z21" s="41"/>
      <c r="AA21" s="41"/>
      <c r="AB21" s="41"/>
      <c r="AC21" s="41"/>
      <c r="AD21" s="41"/>
      <c r="AE21" s="41"/>
      <c r="AF21" s="41"/>
      <c r="AG21" s="41"/>
      <c r="AH21" s="41"/>
      <c r="AI21" s="41"/>
      <c r="AJ21" s="41"/>
      <c r="AK21" s="41"/>
      <c r="AL21" s="41"/>
      <c r="AM21" s="41"/>
      <c r="AN21" s="41"/>
      <c r="AO21" s="41"/>
      <c r="AP21" s="41"/>
      <c r="AQ21" s="41"/>
      <c r="AR21" s="41"/>
      <c r="AS21" s="41"/>
      <c r="AT21" s="41"/>
      <c r="AU21" s="41"/>
      <c r="AV21" s="41"/>
      <c r="AW21" s="41"/>
      <c r="AX21" s="41"/>
      <c r="AY21" s="41"/>
      <c r="AZ21" s="41"/>
      <c r="BA21" s="41"/>
      <c r="BB21" s="41"/>
      <c r="BC21" s="41"/>
      <c r="BD21" s="41"/>
      <c r="BE21" s="41"/>
      <c r="BF21" s="41"/>
      <c r="BG21" s="41"/>
      <c r="BH21" s="41"/>
      <c r="BI21" s="41"/>
      <c r="BJ21" s="41"/>
      <c r="BK21" s="41"/>
      <c r="BL21" s="41"/>
      <c r="BM21" s="41"/>
      <c r="BN21" s="41"/>
      <c r="BO21" s="41"/>
      <c r="BP21" s="41"/>
      <c r="BQ21" s="41"/>
      <c r="BR21" s="41"/>
      <c r="BS21" s="41"/>
      <c r="BT21" s="41"/>
      <c r="BU21" s="41"/>
      <c r="BV21" s="41"/>
      <c r="BW21" s="41"/>
      <c r="BX21" s="41"/>
      <c r="BY21" s="41"/>
      <c r="BZ21" s="41"/>
      <c r="CA21" s="41"/>
      <c r="CB21" s="41"/>
      <c r="CC21" s="41"/>
      <c r="CD21" s="41"/>
      <c r="CE21" s="41"/>
      <c r="CF21" s="41"/>
      <c r="CG21" s="41"/>
      <c r="CH21" s="41"/>
      <c r="CI21" s="41"/>
      <c r="CJ21" s="41"/>
      <c r="CK21" s="41"/>
      <c r="CL21" s="41"/>
      <c r="CM21" s="41"/>
      <c r="CN21" s="41"/>
      <c r="CO21" s="41"/>
      <c r="CP21" s="41"/>
      <c r="CQ21" s="41"/>
      <c r="CR21" s="41"/>
      <c r="CS21" s="41"/>
      <c r="CT21" s="41"/>
      <c r="CU21" s="41"/>
      <c r="CV21" s="41"/>
      <c r="CW21" s="41"/>
      <c r="CX21" s="41"/>
      <c r="CY21" s="41"/>
      <c r="CZ21" s="41"/>
      <c r="DA21" s="41"/>
      <c r="DB21" s="41"/>
      <c r="DC21" s="41"/>
      <c r="DD21" s="41"/>
      <c r="DE21" s="41"/>
      <c r="DF21" s="41"/>
      <c r="DG21" s="41"/>
      <c r="DH21" s="41"/>
      <c r="DI21" s="41"/>
      <c r="DJ21" s="41"/>
      <c r="DK21" s="41"/>
      <c r="DL21" s="41"/>
      <c r="DM21" s="41"/>
      <c r="DN21" s="41"/>
      <c r="DO21" s="41"/>
    </row>
    <row r="22" spans="2:123" ht="13.25" customHeight="1" x14ac:dyDescent="0.3">
      <c r="B22" s="52" t="s">
        <v>14</v>
      </c>
      <c r="C22" s="2">
        <f>INDEX(R3:R13,MATCH(C21,DO3:DO13,0))</f>
        <v>1300</v>
      </c>
      <c r="E22" s="54">
        <v>18</v>
      </c>
      <c r="F22" s="5">
        <f t="shared" ca="1" si="6"/>
        <v>110</v>
      </c>
      <c r="G22" s="5">
        <f t="shared" ca="1" si="7"/>
        <v>470</v>
      </c>
      <c r="H22" s="5">
        <f t="shared" ca="1" si="8"/>
        <v>360</v>
      </c>
      <c r="I22" s="5">
        <f t="shared" ca="1" si="9"/>
        <v>0</v>
      </c>
      <c r="J22" s="5">
        <f t="shared" ca="1" si="10"/>
        <v>0</v>
      </c>
      <c r="K22" s="5">
        <f t="shared" ca="1" si="11"/>
        <v>0</v>
      </c>
      <c r="L22" s="5">
        <f t="shared" ca="1" si="12"/>
        <v>0</v>
      </c>
      <c r="M22" s="6">
        <f t="shared" ca="1" si="5"/>
        <v>9.8630136986301373</v>
      </c>
      <c r="O22" s="48">
        <f>O21</f>
        <v>1300</v>
      </c>
      <c r="P22" s="48">
        <f>C21</f>
        <v>13751.172602739725</v>
      </c>
      <c r="Q22" s="4"/>
      <c r="S22" s="4"/>
      <c r="T22" s="4"/>
      <c r="U22" s="41"/>
      <c r="V22" s="41"/>
      <c r="W22" s="41"/>
      <c r="X22" s="41"/>
      <c r="Y22" s="41"/>
      <c r="Z22" s="41"/>
      <c r="AA22" s="41"/>
      <c r="AB22" s="41"/>
      <c r="AC22" s="41"/>
      <c r="AD22" s="41"/>
      <c r="AE22" s="41"/>
      <c r="AF22" s="41"/>
      <c r="AG22" s="41"/>
      <c r="AH22" s="41"/>
      <c r="AI22" s="41"/>
      <c r="AJ22" s="41"/>
      <c r="AK22" s="41"/>
      <c r="AL22" s="41"/>
      <c r="AM22" s="41"/>
      <c r="AN22" s="41"/>
      <c r="AO22" s="41"/>
      <c r="AP22" s="41"/>
      <c r="AQ22" s="41"/>
      <c r="AR22" s="41"/>
      <c r="AS22" s="41"/>
      <c r="AT22" s="41"/>
      <c r="AU22" s="41"/>
      <c r="AV22" s="41"/>
      <c r="AW22" s="41"/>
      <c r="AX22" s="41"/>
      <c r="AY22" s="41"/>
      <c r="AZ22" s="41"/>
      <c r="BA22" s="41"/>
      <c r="BB22" s="41"/>
      <c r="BC22" s="41"/>
      <c r="BD22" s="41"/>
      <c r="BE22" s="41"/>
      <c r="BF22" s="41"/>
      <c r="BG22" s="41"/>
      <c r="BH22" s="41"/>
      <c r="BI22" s="41"/>
      <c r="BJ22" s="41"/>
      <c r="BK22" s="41"/>
      <c r="BL22" s="41"/>
      <c r="BM22" s="41"/>
      <c r="BN22" s="41"/>
      <c r="BO22" s="41"/>
      <c r="BP22" s="41"/>
      <c r="BQ22" s="41"/>
      <c r="BR22" s="41"/>
      <c r="BS22" s="41"/>
      <c r="BT22" s="41"/>
      <c r="BU22" s="41"/>
      <c r="BV22" s="41"/>
      <c r="BW22" s="41"/>
      <c r="BX22" s="41"/>
      <c r="BY22" s="41"/>
      <c r="BZ22" s="41"/>
      <c r="CA22" s="41"/>
      <c r="CB22" s="41"/>
      <c r="CC22" s="41"/>
      <c r="CD22" s="41"/>
      <c r="CE22" s="41"/>
      <c r="CF22" s="41"/>
      <c r="CG22" s="41"/>
      <c r="CH22" s="41"/>
      <c r="CI22" s="41"/>
      <c r="CJ22" s="41"/>
      <c r="CK22" s="41"/>
      <c r="CL22" s="41"/>
      <c r="CM22" s="41"/>
      <c r="CN22" s="41"/>
      <c r="CO22" s="41"/>
      <c r="CP22" s="41"/>
      <c r="CQ22" s="41"/>
      <c r="CR22" s="41"/>
      <c r="CS22" s="41"/>
      <c r="CT22" s="41"/>
      <c r="CU22" s="41"/>
      <c r="CV22" s="41"/>
      <c r="CW22" s="41"/>
      <c r="CX22" s="41"/>
      <c r="CY22" s="41"/>
      <c r="CZ22" s="41"/>
      <c r="DA22" s="41"/>
      <c r="DB22" s="41"/>
      <c r="DC22" s="41"/>
      <c r="DD22" s="41"/>
      <c r="DE22" s="41"/>
      <c r="DF22" s="41"/>
      <c r="DG22" s="41"/>
      <c r="DH22" s="41"/>
      <c r="DI22" s="41"/>
      <c r="DJ22" s="41"/>
      <c r="DK22" s="41"/>
      <c r="DL22" s="41"/>
      <c r="DM22" s="41"/>
      <c r="DN22" s="41"/>
      <c r="DO22" s="41"/>
    </row>
    <row r="23" spans="2:123" ht="13.25" customHeight="1" x14ac:dyDescent="0.3">
      <c r="B23" s="21"/>
      <c r="E23" s="54">
        <v>19</v>
      </c>
      <c r="F23" s="5">
        <f t="shared" ca="1" si="6"/>
        <v>100</v>
      </c>
      <c r="G23" s="5">
        <f t="shared" ca="1" si="7"/>
        <v>360</v>
      </c>
      <c r="H23" s="5">
        <f t="shared" ca="1" si="8"/>
        <v>260</v>
      </c>
      <c r="I23" s="5">
        <f t="shared" ca="1" si="9"/>
        <v>0</v>
      </c>
      <c r="J23" s="5">
        <f t="shared" ca="1" si="10"/>
        <v>0</v>
      </c>
      <c r="K23" s="5">
        <f t="shared" ca="1" si="11"/>
        <v>0</v>
      </c>
      <c r="L23" s="5">
        <f t="shared" ca="1" si="12"/>
        <v>0</v>
      </c>
      <c r="M23" s="6">
        <f t="shared" ca="1" si="5"/>
        <v>7.1232876712328768</v>
      </c>
      <c r="O23" s="48">
        <f>O22</f>
        <v>1300</v>
      </c>
      <c r="P23" s="48">
        <v>24000</v>
      </c>
      <c r="Q23" s="4"/>
      <c r="S23" s="4"/>
      <c r="T23" s="4"/>
      <c r="U23" s="41"/>
      <c r="V23" s="41"/>
      <c r="W23" s="41"/>
      <c r="X23" s="41"/>
      <c r="Y23" s="41"/>
      <c r="Z23" s="41"/>
      <c r="AA23" s="41"/>
      <c r="AB23" s="41"/>
      <c r="AC23" s="41"/>
      <c r="AD23" s="41"/>
      <c r="AE23" s="41"/>
      <c r="AF23" s="41"/>
      <c r="AG23" s="41"/>
      <c r="AH23" s="41"/>
      <c r="AI23" s="41"/>
      <c r="AJ23" s="41"/>
      <c r="AK23" s="41"/>
      <c r="AL23" s="41"/>
      <c r="AM23" s="41"/>
      <c r="AN23" s="41"/>
      <c r="AO23" s="41"/>
      <c r="AP23" s="41"/>
      <c r="AQ23" s="41"/>
      <c r="AR23" s="41"/>
      <c r="AS23" s="41"/>
      <c r="AT23" s="41"/>
      <c r="AU23" s="41"/>
      <c r="AV23" s="41"/>
      <c r="AW23" s="41"/>
      <c r="AX23" s="41"/>
      <c r="AY23" s="41"/>
      <c r="AZ23" s="41"/>
      <c r="BA23" s="41"/>
      <c r="BB23" s="41"/>
      <c r="BC23" s="41"/>
      <c r="BD23" s="41"/>
      <c r="BE23" s="41"/>
      <c r="BF23" s="41"/>
      <c r="BG23" s="41"/>
      <c r="BH23" s="41"/>
      <c r="BI23" s="41"/>
      <c r="BJ23" s="41"/>
      <c r="BK23" s="41"/>
      <c r="BL23" s="41"/>
      <c r="BM23" s="41"/>
      <c r="BN23" s="41"/>
      <c r="BO23" s="41"/>
      <c r="BP23" s="41"/>
      <c r="BQ23" s="41"/>
      <c r="BR23" s="41"/>
      <c r="BS23" s="41"/>
      <c r="BT23" s="41"/>
      <c r="BU23" s="41"/>
      <c r="BV23" s="41"/>
      <c r="BW23" s="41"/>
      <c r="BX23" s="41"/>
      <c r="BY23" s="41"/>
      <c r="BZ23" s="41"/>
      <c r="CA23" s="41"/>
      <c r="CB23" s="41"/>
      <c r="CC23" s="41"/>
      <c r="CD23" s="41"/>
      <c r="CE23" s="41"/>
      <c r="CF23" s="41"/>
      <c r="CG23" s="41"/>
      <c r="CH23" s="41"/>
      <c r="CI23" s="41"/>
      <c r="CJ23" s="41"/>
      <c r="CK23" s="41"/>
      <c r="CL23" s="41"/>
      <c r="CM23" s="41"/>
      <c r="CN23" s="41"/>
      <c r="CO23" s="41"/>
      <c r="CP23" s="41"/>
      <c r="CQ23" s="41"/>
      <c r="CR23" s="41"/>
      <c r="CS23" s="41"/>
      <c r="CT23" s="41"/>
      <c r="CU23" s="41"/>
      <c r="CV23" s="41"/>
      <c r="CW23" s="41"/>
      <c r="CX23" s="41"/>
      <c r="CY23" s="41"/>
      <c r="CZ23" s="41"/>
      <c r="DA23" s="41"/>
      <c r="DB23" s="41"/>
      <c r="DC23" s="41"/>
      <c r="DD23" s="41"/>
      <c r="DE23" s="41"/>
      <c r="DF23" s="41"/>
      <c r="DG23" s="41"/>
      <c r="DH23" s="41"/>
      <c r="DI23" s="41"/>
      <c r="DJ23" s="41"/>
      <c r="DK23" s="41"/>
      <c r="DL23" s="41"/>
      <c r="DM23" s="41"/>
      <c r="DN23" s="41"/>
      <c r="DO23" s="41"/>
    </row>
    <row r="24" spans="2:123" ht="13.25" hidden="1" customHeight="1" x14ac:dyDescent="0.3">
      <c r="B24" s="21"/>
      <c r="E24" s="54">
        <v>20</v>
      </c>
      <c r="F24" s="5">
        <f t="shared" ca="1" si="6"/>
        <v>120</v>
      </c>
      <c r="G24" s="5">
        <f t="shared" ca="1" si="7"/>
        <v>260</v>
      </c>
      <c r="H24" s="5">
        <f t="shared" ca="1" si="8"/>
        <v>140</v>
      </c>
      <c r="I24" s="5">
        <f t="shared" ca="1" si="9"/>
        <v>0</v>
      </c>
      <c r="J24" s="5">
        <f t="shared" ca="1" si="10"/>
        <v>0</v>
      </c>
      <c r="K24" s="5">
        <f t="shared" ca="1" si="11"/>
        <v>0</v>
      </c>
      <c r="L24" s="5">
        <f t="shared" ca="1" si="12"/>
        <v>0</v>
      </c>
      <c r="M24" s="6">
        <f t="shared" ca="1" si="5"/>
        <v>3.8356164383561642</v>
      </c>
      <c r="O24" s="42"/>
      <c r="P24" s="42"/>
      <c r="R24" s="41"/>
      <c r="S24" s="41"/>
      <c r="T24" s="41"/>
      <c r="U24" s="41"/>
      <c r="V24" s="41"/>
      <c r="W24" s="41"/>
      <c r="X24" s="41"/>
      <c r="Y24" s="41"/>
      <c r="Z24" s="41"/>
      <c r="AA24" s="41"/>
      <c r="AB24" s="41"/>
      <c r="AC24" s="41"/>
      <c r="AD24" s="41"/>
      <c r="AE24" s="41"/>
      <c r="AF24" s="41"/>
      <c r="AG24" s="41"/>
      <c r="AH24" s="41"/>
      <c r="AI24" s="41"/>
      <c r="AJ24" s="41"/>
      <c r="AK24" s="41"/>
      <c r="AL24" s="41"/>
      <c r="AM24" s="41"/>
      <c r="AN24" s="41"/>
      <c r="AO24" s="41"/>
      <c r="AP24" s="41"/>
      <c r="AQ24" s="41"/>
      <c r="AR24" s="41"/>
      <c r="AS24" s="41"/>
      <c r="AT24" s="41"/>
      <c r="AU24" s="41"/>
      <c r="AV24" s="41"/>
      <c r="AW24" s="41"/>
      <c r="AX24" s="41"/>
      <c r="AY24" s="41"/>
      <c r="AZ24" s="41"/>
      <c r="BA24" s="41"/>
      <c r="BB24" s="41"/>
      <c r="BC24" s="41"/>
      <c r="BD24" s="41"/>
      <c r="BE24" s="41"/>
      <c r="BF24" s="41"/>
      <c r="BG24" s="41"/>
      <c r="BH24" s="41"/>
      <c r="BI24" s="41"/>
      <c r="BJ24" s="41"/>
      <c r="BK24" s="41"/>
      <c r="BL24" s="41"/>
      <c r="BM24" s="41"/>
      <c r="BN24" s="41"/>
      <c r="BO24" s="41"/>
      <c r="BP24" s="41"/>
      <c r="BQ24" s="41"/>
      <c r="BR24" s="41"/>
      <c r="BS24" s="41"/>
      <c r="BT24" s="41"/>
      <c r="BU24" s="41"/>
      <c r="BV24" s="41"/>
      <c r="BW24" s="41"/>
      <c r="BX24" s="41"/>
      <c r="BY24" s="41"/>
      <c r="BZ24" s="41"/>
      <c r="CA24" s="41"/>
      <c r="CB24" s="41"/>
      <c r="CC24" s="41"/>
      <c r="CD24" s="41"/>
      <c r="CE24" s="41"/>
      <c r="CF24" s="41"/>
      <c r="CG24" s="41"/>
      <c r="CH24" s="41"/>
      <c r="CI24" s="41"/>
      <c r="CJ24" s="41"/>
      <c r="CK24" s="41"/>
      <c r="CL24" s="41"/>
      <c r="CM24" s="41"/>
      <c r="CN24" s="41"/>
      <c r="CO24" s="41"/>
      <c r="CP24" s="41"/>
      <c r="CQ24" s="41"/>
      <c r="CR24" s="41"/>
      <c r="CS24" s="41"/>
      <c r="CT24" s="41"/>
      <c r="CU24" s="41"/>
      <c r="CV24" s="41"/>
      <c r="CW24" s="41"/>
      <c r="CX24" s="41"/>
      <c r="CY24" s="41"/>
      <c r="CZ24" s="41"/>
      <c r="DA24" s="41"/>
      <c r="DB24" s="41"/>
      <c r="DC24" s="41"/>
      <c r="DD24" s="41"/>
      <c r="DE24" s="41"/>
      <c r="DF24" s="41"/>
      <c r="DG24" s="41"/>
      <c r="DH24" s="41"/>
      <c r="DI24" s="41"/>
      <c r="DJ24" s="41"/>
      <c r="DK24" s="41"/>
      <c r="DL24" s="41"/>
      <c r="DM24" s="41"/>
      <c r="DN24" s="41"/>
      <c r="DO24" s="41"/>
    </row>
    <row r="25" spans="2:123" ht="13.25" hidden="1" customHeight="1" x14ac:dyDescent="0.3">
      <c r="B25" s="21"/>
      <c r="E25" s="54">
        <v>21</v>
      </c>
      <c r="F25" s="5">
        <f t="shared" ca="1" si="6"/>
        <v>90</v>
      </c>
      <c r="G25" s="5">
        <f t="shared" ca="1" si="7"/>
        <v>140</v>
      </c>
      <c r="H25" s="5">
        <f t="shared" ca="1" si="8"/>
        <v>50</v>
      </c>
      <c r="I25" s="5">
        <f t="shared" ca="1" si="9"/>
        <v>1</v>
      </c>
      <c r="J25" s="5">
        <f t="shared" ca="1" si="10"/>
        <v>0</v>
      </c>
      <c r="K25" s="5">
        <f t="shared" ca="1" si="11"/>
        <v>0</v>
      </c>
      <c r="L25" s="5">
        <f t="shared" ca="1" si="12"/>
        <v>200</v>
      </c>
      <c r="M25" s="6">
        <f t="shared" ca="1" si="5"/>
        <v>1.3698630136986301</v>
      </c>
      <c r="O25" s="42"/>
      <c r="P25" s="42"/>
      <c r="R25" s="41"/>
      <c r="S25" s="41"/>
      <c r="T25" s="41"/>
      <c r="U25" s="41"/>
      <c r="V25" s="41"/>
      <c r="W25" s="41"/>
      <c r="X25" s="41"/>
      <c r="Y25" s="41"/>
      <c r="Z25" s="41"/>
      <c r="AA25" s="41"/>
      <c r="AB25" s="41"/>
      <c r="AC25" s="41"/>
      <c r="AD25" s="41"/>
      <c r="AE25" s="41"/>
      <c r="AF25" s="41"/>
      <c r="AG25" s="41"/>
      <c r="AH25" s="41"/>
      <c r="AI25" s="41"/>
      <c r="AJ25" s="41"/>
      <c r="AK25" s="41"/>
      <c r="AL25" s="41"/>
      <c r="AM25" s="41"/>
      <c r="AN25" s="41"/>
      <c r="AO25" s="41"/>
      <c r="AP25" s="41"/>
      <c r="AQ25" s="41"/>
      <c r="AR25" s="41"/>
      <c r="AS25" s="41"/>
      <c r="AT25" s="41"/>
      <c r="AU25" s="41"/>
      <c r="AV25" s="41"/>
      <c r="AW25" s="41"/>
      <c r="AX25" s="41"/>
      <c r="AY25" s="41"/>
      <c r="AZ25" s="41"/>
      <c r="BA25" s="41"/>
      <c r="BB25" s="41"/>
      <c r="BC25" s="41"/>
      <c r="BD25" s="41"/>
      <c r="BE25" s="41"/>
      <c r="BF25" s="41"/>
      <c r="BG25" s="41"/>
      <c r="BH25" s="41"/>
      <c r="BI25" s="41"/>
      <c r="BJ25" s="41"/>
      <c r="BK25" s="41"/>
      <c r="BL25" s="41"/>
      <c r="BM25" s="41"/>
      <c r="BN25" s="41"/>
      <c r="BO25" s="41"/>
      <c r="BP25" s="41"/>
      <c r="BQ25" s="41"/>
      <c r="BR25" s="41"/>
      <c r="BS25" s="41"/>
      <c r="BT25" s="41"/>
      <c r="BU25" s="41"/>
      <c r="BV25" s="41"/>
      <c r="BW25" s="41"/>
      <c r="BX25" s="41"/>
      <c r="BY25" s="41"/>
      <c r="BZ25" s="41"/>
      <c r="CA25" s="41"/>
      <c r="CB25" s="41"/>
      <c r="CC25" s="41"/>
      <c r="CD25" s="41"/>
      <c r="CE25" s="41"/>
      <c r="CF25" s="41"/>
      <c r="CG25" s="41"/>
      <c r="CH25" s="41"/>
      <c r="CI25" s="41"/>
      <c r="CJ25" s="41"/>
      <c r="CK25" s="41"/>
      <c r="CL25" s="41"/>
      <c r="CM25" s="41"/>
      <c r="CN25" s="41"/>
      <c r="CO25" s="41"/>
      <c r="CP25" s="41"/>
      <c r="CQ25" s="41"/>
      <c r="CR25" s="41"/>
      <c r="CS25" s="41"/>
      <c r="CT25" s="41"/>
      <c r="CU25" s="41"/>
      <c r="CV25" s="41"/>
      <c r="CW25" s="41"/>
      <c r="CX25" s="41"/>
      <c r="CY25" s="41"/>
      <c r="CZ25" s="41"/>
      <c r="DA25" s="41"/>
      <c r="DB25" s="41"/>
      <c r="DC25" s="41"/>
      <c r="DD25" s="41"/>
      <c r="DE25" s="41"/>
      <c r="DF25" s="41"/>
      <c r="DG25" s="41"/>
      <c r="DH25" s="41"/>
      <c r="DI25" s="41"/>
      <c r="DJ25" s="41"/>
      <c r="DK25" s="41"/>
      <c r="DL25" s="41"/>
      <c r="DM25" s="41"/>
      <c r="DN25" s="41"/>
      <c r="DO25" s="41"/>
    </row>
    <row r="26" spans="2:123" ht="13.25" hidden="1" customHeight="1" x14ac:dyDescent="0.3">
      <c r="B26" s="21"/>
      <c r="E26" s="54">
        <v>22</v>
      </c>
      <c r="F26" s="5">
        <f t="shared" ca="1" si="6"/>
        <v>100</v>
      </c>
      <c r="G26" s="5">
        <f t="shared" ca="1" si="7"/>
        <v>1050</v>
      </c>
      <c r="H26" s="5">
        <f t="shared" ca="1" si="8"/>
        <v>950</v>
      </c>
      <c r="I26" s="5">
        <f t="shared" ca="1" si="9"/>
        <v>0</v>
      </c>
      <c r="J26" s="5">
        <f t="shared" ca="1" si="10"/>
        <v>0</v>
      </c>
      <c r="K26" s="5">
        <f t="shared" ca="1" si="11"/>
        <v>0</v>
      </c>
      <c r="L26" s="5">
        <f t="shared" ca="1" si="12"/>
        <v>0</v>
      </c>
      <c r="M26" s="6">
        <f t="shared" ca="1" si="5"/>
        <v>26.027397260273972</v>
      </c>
      <c r="O26" s="42"/>
      <c r="P26" s="42"/>
      <c r="R26" s="41"/>
      <c r="S26" s="41"/>
      <c r="T26" s="41"/>
      <c r="U26" s="41"/>
      <c r="V26" s="41"/>
      <c r="W26" s="41"/>
      <c r="X26" s="41"/>
      <c r="Y26" s="41"/>
      <c r="Z26" s="41"/>
      <c r="AA26" s="41"/>
      <c r="AB26" s="41"/>
      <c r="AC26" s="41"/>
      <c r="AD26" s="41"/>
      <c r="AE26" s="41"/>
      <c r="AF26" s="41"/>
      <c r="AG26" s="41"/>
      <c r="AH26" s="41"/>
      <c r="AI26" s="41"/>
      <c r="AJ26" s="41"/>
      <c r="AK26" s="41"/>
      <c r="AL26" s="41"/>
      <c r="AM26" s="41"/>
      <c r="AN26" s="41"/>
      <c r="AO26" s="41"/>
      <c r="AP26" s="41"/>
      <c r="AQ26" s="41"/>
      <c r="AR26" s="41"/>
      <c r="AS26" s="41"/>
      <c r="AT26" s="41"/>
      <c r="AU26" s="41"/>
      <c r="AV26" s="41"/>
      <c r="AW26" s="41"/>
      <c r="AX26" s="41"/>
      <c r="AY26" s="41"/>
      <c r="AZ26" s="41"/>
      <c r="BA26" s="41"/>
      <c r="BB26" s="41"/>
      <c r="BC26" s="41"/>
      <c r="BD26" s="41"/>
      <c r="BE26" s="41"/>
      <c r="BF26" s="41"/>
      <c r="BG26" s="41"/>
      <c r="BH26" s="41"/>
      <c r="BI26" s="41"/>
      <c r="BJ26" s="41"/>
      <c r="BK26" s="41"/>
      <c r="BL26" s="41"/>
      <c r="BM26" s="41"/>
      <c r="BN26" s="41"/>
      <c r="BO26" s="41"/>
      <c r="BP26" s="41"/>
      <c r="BQ26" s="41"/>
      <c r="BR26" s="41"/>
      <c r="BS26" s="41"/>
      <c r="BT26" s="41"/>
      <c r="BU26" s="41"/>
      <c r="BV26" s="41"/>
      <c r="BW26" s="41"/>
      <c r="BX26" s="41"/>
      <c r="BY26" s="41"/>
      <c r="BZ26" s="41"/>
      <c r="CA26" s="41"/>
      <c r="CB26" s="41"/>
      <c r="CC26" s="41"/>
      <c r="CD26" s="41"/>
      <c r="CE26" s="41"/>
      <c r="CF26" s="41"/>
      <c r="CG26" s="41"/>
      <c r="CH26" s="41"/>
      <c r="CI26" s="41"/>
      <c r="CJ26" s="41"/>
      <c r="CK26" s="41"/>
      <c r="CL26" s="41"/>
      <c r="CM26" s="41"/>
      <c r="CN26" s="41"/>
      <c r="CO26" s="41"/>
      <c r="CP26" s="41"/>
      <c r="CQ26" s="41"/>
      <c r="CR26" s="41"/>
      <c r="CS26" s="41"/>
      <c r="CT26" s="41"/>
      <c r="CU26" s="41"/>
      <c r="CV26" s="41"/>
      <c r="CW26" s="41"/>
      <c r="CX26" s="41"/>
      <c r="CY26" s="41"/>
      <c r="CZ26" s="41"/>
      <c r="DA26" s="41"/>
      <c r="DB26" s="41"/>
      <c r="DC26" s="41"/>
      <c r="DD26" s="41"/>
      <c r="DE26" s="41"/>
      <c r="DF26" s="41"/>
      <c r="DG26" s="41"/>
      <c r="DH26" s="41"/>
      <c r="DI26" s="41"/>
      <c r="DJ26" s="41"/>
      <c r="DK26" s="41"/>
      <c r="DL26" s="41"/>
      <c r="DM26" s="41"/>
      <c r="DN26" s="41"/>
      <c r="DO26" s="41"/>
    </row>
    <row r="27" spans="2:123" ht="13.25" hidden="1" customHeight="1" x14ac:dyDescent="0.35">
      <c r="B27" s="21"/>
      <c r="E27" s="54">
        <v>23</v>
      </c>
      <c r="F27" s="5">
        <f t="shared" ca="1" si="6"/>
        <v>100</v>
      </c>
      <c r="G27" s="5">
        <f t="shared" ca="1" si="7"/>
        <v>950</v>
      </c>
      <c r="H27" s="5">
        <f t="shared" ca="1" si="8"/>
        <v>850</v>
      </c>
      <c r="I27" s="5">
        <f t="shared" ca="1" si="9"/>
        <v>0</v>
      </c>
      <c r="J27" s="5">
        <f t="shared" ca="1" si="10"/>
        <v>0</v>
      </c>
      <c r="K27" s="5">
        <f t="shared" ca="1" si="11"/>
        <v>0</v>
      </c>
      <c r="L27" s="5">
        <f t="shared" ca="1" si="12"/>
        <v>0</v>
      </c>
      <c r="M27" s="6">
        <f t="shared" ca="1" si="5"/>
        <v>23.287671232876711</v>
      </c>
      <c r="O27" s="41"/>
      <c r="P27" s="41"/>
      <c r="Q27" s="41"/>
      <c r="R27" s="41"/>
      <c r="S27" s="41"/>
      <c r="T27" s="41"/>
      <c r="U27" s="41"/>
      <c r="V27" s="41"/>
      <c r="W27" s="41"/>
      <c r="X27" s="41"/>
      <c r="Y27" s="41"/>
      <c r="Z27" s="41"/>
      <c r="AA27" s="41"/>
      <c r="AB27" s="41"/>
      <c r="AC27" s="41"/>
      <c r="AD27" s="41"/>
      <c r="AE27" s="41"/>
      <c r="AF27" s="41"/>
      <c r="AG27" s="41"/>
      <c r="AH27" s="41"/>
      <c r="AI27" s="41"/>
      <c r="AJ27" s="41"/>
      <c r="AK27" s="41"/>
      <c r="AL27" s="41"/>
      <c r="AM27" s="41"/>
      <c r="AN27" s="41"/>
      <c r="AO27" s="41"/>
      <c r="AP27" s="41"/>
      <c r="AQ27" s="41"/>
      <c r="AR27" s="41"/>
      <c r="AS27" s="41"/>
      <c r="AT27" s="41"/>
      <c r="AU27" s="41"/>
      <c r="AV27" s="41"/>
      <c r="AW27" s="41"/>
      <c r="AX27" s="41"/>
      <c r="AY27" s="41"/>
      <c r="AZ27" s="41"/>
      <c r="BA27" s="41"/>
      <c r="BB27" s="41"/>
      <c r="BC27" s="41"/>
      <c r="BD27" s="41"/>
      <c r="BE27" s="41"/>
      <c r="BF27" s="41"/>
      <c r="BG27" s="41"/>
      <c r="BH27" s="41"/>
      <c r="BI27" s="41"/>
      <c r="BJ27" s="41"/>
      <c r="BK27" s="41"/>
      <c r="BL27" s="41"/>
      <c r="BM27" s="41"/>
      <c r="BN27" s="41"/>
      <c r="BO27" s="41"/>
      <c r="BP27" s="41"/>
      <c r="BQ27" s="41"/>
      <c r="BR27" s="41"/>
      <c r="BS27" s="41"/>
      <c r="BT27" s="41"/>
      <c r="BU27" s="41"/>
      <c r="BV27" s="41"/>
      <c r="BW27" s="41"/>
      <c r="BX27" s="41"/>
      <c r="BY27" s="41"/>
      <c r="BZ27" s="41"/>
      <c r="CA27" s="41"/>
      <c r="CB27" s="41"/>
      <c r="CC27" s="41"/>
      <c r="CD27" s="41"/>
      <c r="CE27" s="41"/>
      <c r="CF27" s="41"/>
      <c r="CG27" s="41"/>
      <c r="CH27" s="41"/>
      <c r="CI27" s="41"/>
      <c r="CJ27" s="41"/>
      <c r="CK27" s="41"/>
      <c r="CL27" s="41"/>
      <c r="CM27" s="41"/>
      <c r="CN27" s="41"/>
      <c r="CO27" s="41"/>
      <c r="CP27" s="41"/>
      <c r="CQ27" s="41"/>
      <c r="CR27" s="41"/>
      <c r="CS27" s="41"/>
      <c r="CT27" s="41"/>
      <c r="CU27" s="41"/>
      <c r="CV27" s="41"/>
      <c r="CW27" s="41"/>
      <c r="CX27" s="41"/>
      <c r="CY27" s="41"/>
      <c r="CZ27" s="41"/>
      <c r="DA27" s="41"/>
      <c r="DB27" s="41"/>
      <c r="DC27" s="41"/>
      <c r="DD27" s="41"/>
      <c r="DE27" s="41"/>
      <c r="DF27" s="41"/>
      <c r="DG27" s="41"/>
      <c r="DH27" s="41"/>
      <c r="DI27" s="41"/>
      <c r="DJ27" s="41"/>
      <c r="DK27" s="41"/>
      <c r="DL27" s="41"/>
      <c r="DM27" s="41"/>
      <c r="DN27" s="41"/>
      <c r="DO27" s="41"/>
      <c r="DP27" s="53"/>
      <c r="DQ27" s="53"/>
    </row>
    <row r="28" spans="2:123" ht="13.25" hidden="1" customHeight="1" x14ac:dyDescent="0.35">
      <c r="B28" s="21"/>
      <c r="E28" s="54">
        <v>24</v>
      </c>
      <c r="F28" s="5">
        <f t="shared" ca="1" si="6"/>
        <v>120</v>
      </c>
      <c r="G28" s="5">
        <f t="shared" ca="1" si="7"/>
        <v>850</v>
      </c>
      <c r="H28" s="5">
        <f t="shared" ca="1" si="8"/>
        <v>730</v>
      </c>
      <c r="I28" s="5">
        <f t="shared" ca="1" si="9"/>
        <v>0</v>
      </c>
      <c r="J28" s="5">
        <f t="shared" ca="1" si="10"/>
        <v>0</v>
      </c>
      <c r="K28" s="5">
        <f t="shared" ca="1" si="11"/>
        <v>0</v>
      </c>
      <c r="L28" s="5">
        <f t="shared" ca="1" si="12"/>
        <v>0</v>
      </c>
      <c r="M28" s="6">
        <f t="shared" ca="1" si="5"/>
        <v>20</v>
      </c>
      <c r="O28" s="41"/>
      <c r="P28" s="41"/>
      <c r="Q28" s="41"/>
      <c r="R28" s="41"/>
      <c r="S28" s="41"/>
      <c r="T28" s="41"/>
      <c r="U28" s="41"/>
      <c r="V28" s="41"/>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41"/>
      <c r="BG28" s="41"/>
      <c r="BH28" s="41"/>
      <c r="BI28" s="41"/>
      <c r="BJ28" s="41"/>
      <c r="BK28" s="41"/>
      <c r="BL28" s="41"/>
      <c r="BM28" s="41"/>
      <c r="BN28" s="41"/>
      <c r="BO28" s="41"/>
      <c r="BP28" s="41"/>
      <c r="BQ28" s="41"/>
      <c r="BR28" s="41"/>
      <c r="BS28" s="41"/>
      <c r="BT28" s="41"/>
      <c r="BU28" s="41"/>
      <c r="BV28" s="41"/>
      <c r="BW28" s="41"/>
      <c r="BX28" s="41"/>
      <c r="BY28" s="41"/>
      <c r="BZ28" s="41"/>
      <c r="CA28" s="41"/>
      <c r="CB28" s="41"/>
      <c r="CC28" s="41"/>
      <c r="CD28" s="41"/>
      <c r="CE28" s="41"/>
      <c r="CF28" s="41"/>
      <c r="CG28" s="41"/>
      <c r="CH28" s="41"/>
      <c r="CI28" s="41"/>
      <c r="CJ28" s="41"/>
      <c r="CK28" s="41"/>
      <c r="CL28" s="41"/>
      <c r="CM28" s="41"/>
      <c r="CN28" s="41"/>
      <c r="CO28" s="41"/>
      <c r="CP28" s="41"/>
      <c r="CQ28" s="41"/>
      <c r="CR28" s="41"/>
      <c r="CS28" s="41"/>
      <c r="CT28" s="41"/>
      <c r="CU28" s="41"/>
      <c r="CV28" s="41"/>
      <c r="CW28" s="41"/>
      <c r="CX28" s="41"/>
      <c r="CY28" s="41"/>
      <c r="CZ28" s="41"/>
      <c r="DA28" s="41"/>
      <c r="DB28" s="41"/>
      <c r="DC28" s="41"/>
      <c r="DD28" s="41"/>
      <c r="DE28" s="41"/>
      <c r="DF28" s="41"/>
      <c r="DG28" s="41"/>
      <c r="DH28" s="41"/>
      <c r="DI28" s="41"/>
      <c r="DJ28" s="41"/>
      <c r="DK28" s="41"/>
      <c r="DL28" s="41"/>
      <c r="DM28" s="41"/>
      <c r="DN28" s="41"/>
      <c r="DO28" s="41"/>
      <c r="DP28" s="53"/>
      <c r="DQ28" s="53"/>
    </row>
    <row r="29" spans="2:123" ht="13.25" hidden="1" customHeight="1" x14ac:dyDescent="0.3">
      <c r="B29" s="21"/>
      <c r="E29" s="54">
        <v>25</v>
      </c>
      <c r="F29" s="5">
        <f t="shared" ca="1" si="6"/>
        <v>110</v>
      </c>
      <c r="G29" s="5">
        <f t="shared" ca="1" si="7"/>
        <v>730</v>
      </c>
      <c r="H29" s="5">
        <f t="shared" ca="1" si="8"/>
        <v>620</v>
      </c>
      <c r="I29" s="5">
        <f t="shared" ca="1" si="9"/>
        <v>0</v>
      </c>
      <c r="J29" s="5">
        <f t="shared" ca="1" si="10"/>
        <v>0</v>
      </c>
      <c r="K29" s="5">
        <f t="shared" ca="1" si="11"/>
        <v>0</v>
      </c>
      <c r="L29" s="5">
        <f t="shared" ca="1" si="12"/>
        <v>0</v>
      </c>
      <c r="M29" s="6">
        <f t="shared" ca="1" si="5"/>
        <v>16.986301369863014</v>
      </c>
      <c r="O29" s="7"/>
      <c r="P29" s="11"/>
      <c r="R29" s="7"/>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c r="CW29" s="10"/>
      <c r="CX29" s="10"/>
      <c r="CY29" s="10"/>
      <c r="CZ29" s="10"/>
      <c r="DA29" s="10"/>
      <c r="DB29" s="10"/>
      <c r="DC29" s="10"/>
      <c r="DD29" s="10"/>
      <c r="DE29" s="10"/>
      <c r="DF29" s="10"/>
      <c r="DG29" s="10"/>
      <c r="DH29" s="10"/>
      <c r="DI29" s="10"/>
      <c r="DJ29" s="10"/>
      <c r="DK29" s="10"/>
      <c r="DL29" s="10"/>
      <c r="DM29" s="10"/>
      <c r="DN29" s="10"/>
      <c r="DO29" s="11"/>
    </row>
    <row r="30" spans="2:123" ht="13.25" hidden="1" customHeight="1" x14ac:dyDescent="0.3">
      <c r="B30" s="21"/>
      <c r="E30" s="54">
        <v>26</v>
      </c>
      <c r="F30" s="5">
        <f t="shared" ca="1" si="6"/>
        <v>100</v>
      </c>
      <c r="G30" s="5">
        <f t="shared" ca="1" si="7"/>
        <v>620</v>
      </c>
      <c r="H30" s="5">
        <f t="shared" ca="1" si="8"/>
        <v>520</v>
      </c>
      <c r="I30" s="5">
        <f t="shared" ca="1" si="9"/>
        <v>0</v>
      </c>
      <c r="J30" s="5">
        <f t="shared" ca="1" si="10"/>
        <v>0</v>
      </c>
      <c r="K30" s="5">
        <f t="shared" ca="1" si="11"/>
        <v>0</v>
      </c>
      <c r="L30" s="5">
        <f t="shared" ca="1" si="12"/>
        <v>0</v>
      </c>
      <c r="M30" s="6">
        <f t="shared" ca="1" si="5"/>
        <v>14.246575342465754</v>
      </c>
      <c r="O30" s="7"/>
      <c r="P30" s="11"/>
      <c r="R30" s="7"/>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c r="CW30" s="10"/>
      <c r="CX30" s="10"/>
      <c r="CY30" s="10"/>
      <c r="CZ30" s="10"/>
      <c r="DA30" s="10"/>
      <c r="DB30" s="10"/>
      <c r="DC30" s="10"/>
      <c r="DD30" s="10"/>
      <c r="DE30" s="10"/>
      <c r="DF30" s="10"/>
      <c r="DG30" s="10"/>
      <c r="DH30" s="10"/>
      <c r="DI30" s="10"/>
      <c r="DJ30" s="10"/>
      <c r="DK30" s="10"/>
      <c r="DL30" s="10"/>
      <c r="DM30" s="10"/>
      <c r="DN30" s="10"/>
      <c r="DO30" s="11"/>
      <c r="DP30" s="3"/>
      <c r="DQ30" s="3"/>
      <c r="DR30" s="3"/>
      <c r="DS30" s="3"/>
    </row>
    <row r="31" spans="2:123" ht="13.25" hidden="1" customHeight="1" x14ac:dyDescent="0.3">
      <c r="B31" s="21"/>
      <c r="E31" s="54">
        <v>27</v>
      </c>
      <c r="F31" s="5">
        <f t="shared" ca="1" si="6"/>
        <v>110</v>
      </c>
      <c r="G31" s="5">
        <f t="shared" ca="1" si="7"/>
        <v>520</v>
      </c>
      <c r="H31" s="5">
        <f t="shared" ca="1" si="8"/>
        <v>410</v>
      </c>
      <c r="I31" s="5">
        <f t="shared" ca="1" si="9"/>
        <v>0</v>
      </c>
      <c r="J31" s="5">
        <f t="shared" ca="1" si="10"/>
        <v>0</v>
      </c>
      <c r="K31" s="5">
        <f t="shared" ca="1" si="11"/>
        <v>0</v>
      </c>
      <c r="L31" s="5">
        <f t="shared" ca="1" si="12"/>
        <v>0</v>
      </c>
      <c r="M31" s="6">
        <f t="shared" ca="1" si="5"/>
        <v>11.232876712328766</v>
      </c>
      <c r="O31" s="7"/>
      <c r="P31" s="11"/>
      <c r="R31" s="7"/>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c r="CW31" s="10"/>
      <c r="CX31" s="10"/>
      <c r="CY31" s="10"/>
      <c r="CZ31" s="10"/>
      <c r="DA31" s="10"/>
      <c r="DB31" s="10"/>
      <c r="DC31" s="10"/>
      <c r="DD31" s="10"/>
      <c r="DE31" s="10"/>
      <c r="DF31" s="10"/>
      <c r="DG31" s="10"/>
      <c r="DH31" s="10"/>
      <c r="DI31" s="10"/>
      <c r="DJ31" s="10"/>
      <c r="DK31" s="10"/>
      <c r="DL31" s="10"/>
      <c r="DM31" s="10"/>
      <c r="DN31" s="10"/>
      <c r="DO31" s="11"/>
      <c r="DP31" s="3"/>
      <c r="DQ31" s="3"/>
      <c r="DR31" s="3"/>
      <c r="DS31" s="3"/>
    </row>
    <row r="32" spans="2:123" ht="13.25" hidden="1" customHeight="1" x14ac:dyDescent="0.3">
      <c r="B32" s="21"/>
      <c r="E32" s="54">
        <v>28</v>
      </c>
      <c r="F32" s="5">
        <f t="shared" ca="1" si="6"/>
        <v>110</v>
      </c>
      <c r="G32" s="5">
        <f t="shared" ca="1" si="7"/>
        <v>410</v>
      </c>
      <c r="H32" s="5">
        <f t="shared" ca="1" si="8"/>
        <v>300</v>
      </c>
      <c r="I32" s="5">
        <f t="shared" ca="1" si="9"/>
        <v>0</v>
      </c>
      <c r="J32" s="5">
        <f t="shared" ca="1" si="10"/>
        <v>0</v>
      </c>
      <c r="K32" s="5">
        <f t="shared" ca="1" si="11"/>
        <v>0</v>
      </c>
      <c r="L32" s="5">
        <f t="shared" ca="1" si="12"/>
        <v>0</v>
      </c>
      <c r="M32" s="6">
        <f t="shared" ca="1" si="5"/>
        <v>8.2191780821917799</v>
      </c>
      <c r="O32" s="7"/>
      <c r="P32" s="11"/>
      <c r="R32" s="7"/>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c r="CW32" s="10"/>
      <c r="CX32" s="10"/>
      <c r="CY32" s="10"/>
      <c r="CZ32" s="10"/>
      <c r="DA32" s="10"/>
      <c r="DB32" s="10"/>
      <c r="DC32" s="10"/>
      <c r="DD32" s="10"/>
      <c r="DE32" s="10"/>
      <c r="DF32" s="10"/>
      <c r="DG32" s="10"/>
      <c r="DH32" s="10"/>
      <c r="DI32" s="10"/>
      <c r="DJ32" s="10"/>
      <c r="DK32" s="10"/>
      <c r="DL32" s="10"/>
      <c r="DM32" s="10"/>
      <c r="DN32" s="10"/>
      <c r="DO32" s="11"/>
      <c r="DP32" s="3"/>
      <c r="DQ32" s="3"/>
      <c r="DR32" s="3"/>
      <c r="DS32" s="3"/>
    </row>
    <row r="33" spans="2:123" ht="13.25" hidden="1" customHeight="1" x14ac:dyDescent="0.3">
      <c r="B33" s="21"/>
      <c r="E33" s="54">
        <v>29</v>
      </c>
      <c r="F33" s="5">
        <f t="shared" ca="1" si="6"/>
        <v>100</v>
      </c>
      <c r="G33" s="5">
        <f t="shared" ca="1" si="7"/>
        <v>300</v>
      </c>
      <c r="H33" s="5">
        <f t="shared" ca="1" si="8"/>
        <v>200</v>
      </c>
      <c r="I33" s="5">
        <f t="shared" ca="1" si="9"/>
        <v>0</v>
      </c>
      <c r="J33" s="5">
        <f t="shared" ca="1" si="10"/>
        <v>0</v>
      </c>
      <c r="K33" s="5">
        <f t="shared" ca="1" si="11"/>
        <v>0</v>
      </c>
      <c r="L33" s="5">
        <f t="shared" ca="1" si="12"/>
        <v>0</v>
      </c>
      <c r="M33" s="6">
        <f t="shared" ca="1" si="5"/>
        <v>5.4794520547945202</v>
      </c>
      <c r="O33" s="7"/>
      <c r="P33" s="11"/>
      <c r="R33" s="7"/>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c r="CW33" s="10"/>
      <c r="CX33" s="10"/>
      <c r="CY33" s="10"/>
      <c r="CZ33" s="10"/>
      <c r="DA33" s="10"/>
      <c r="DB33" s="10"/>
      <c r="DC33" s="10"/>
      <c r="DD33" s="10"/>
      <c r="DE33" s="10"/>
      <c r="DF33" s="10"/>
      <c r="DG33" s="10"/>
      <c r="DH33" s="10"/>
      <c r="DI33" s="10"/>
      <c r="DJ33" s="10"/>
      <c r="DK33" s="10"/>
      <c r="DL33" s="10"/>
      <c r="DM33" s="10"/>
      <c r="DN33" s="10"/>
      <c r="DO33" s="11"/>
      <c r="DP33" s="3"/>
      <c r="DQ33" s="3"/>
      <c r="DR33" s="3"/>
      <c r="DS33" s="3"/>
    </row>
    <row r="34" spans="2:123" ht="13.25" hidden="1" customHeight="1" x14ac:dyDescent="0.3">
      <c r="B34" s="21"/>
      <c r="E34" s="54">
        <v>30</v>
      </c>
      <c r="F34" s="5">
        <f t="shared" ca="1" si="6"/>
        <v>120</v>
      </c>
      <c r="G34" s="5">
        <f t="shared" ca="1" si="7"/>
        <v>200</v>
      </c>
      <c r="H34" s="5">
        <f t="shared" ca="1" si="8"/>
        <v>80</v>
      </c>
      <c r="I34" s="5">
        <f t="shared" ca="1" si="9"/>
        <v>1</v>
      </c>
      <c r="J34" s="5">
        <f t="shared" ca="1" si="10"/>
        <v>0</v>
      </c>
      <c r="K34" s="5">
        <f t="shared" ca="1" si="11"/>
        <v>0</v>
      </c>
      <c r="L34" s="5">
        <f t="shared" ca="1" si="12"/>
        <v>200</v>
      </c>
      <c r="M34" s="6">
        <f t="shared" ca="1" si="5"/>
        <v>2.1917808219178081</v>
      </c>
      <c r="O34" s="7"/>
      <c r="P34" s="11"/>
      <c r="R34" s="7"/>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c r="CW34" s="10"/>
      <c r="CX34" s="10"/>
      <c r="CY34" s="10"/>
      <c r="CZ34" s="10"/>
      <c r="DA34" s="10"/>
      <c r="DB34" s="10"/>
      <c r="DC34" s="10"/>
      <c r="DD34" s="10"/>
      <c r="DE34" s="10"/>
      <c r="DF34" s="10"/>
      <c r="DG34" s="10"/>
      <c r="DH34" s="10"/>
      <c r="DI34" s="10"/>
      <c r="DJ34" s="10"/>
      <c r="DK34" s="10"/>
      <c r="DL34" s="10"/>
      <c r="DM34" s="10"/>
      <c r="DN34" s="10"/>
      <c r="DO34" s="11"/>
      <c r="DP34" s="3"/>
      <c r="DQ34" s="3"/>
      <c r="DR34" s="3"/>
      <c r="DS34" s="3"/>
    </row>
    <row r="35" spans="2:123" ht="13.25" hidden="1" customHeight="1" x14ac:dyDescent="0.3">
      <c r="B35" s="21"/>
      <c r="E35" s="54">
        <v>31</v>
      </c>
      <c r="F35" s="5">
        <f t="shared" ca="1" si="6"/>
        <v>90</v>
      </c>
      <c r="G35" s="5">
        <f t="shared" ca="1" si="7"/>
        <v>1080</v>
      </c>
      <c r="H35" s="5">
        <f t="shared" ca="1" si="8"/>
        <v>990</v>
      </c>
      <c r="I35" s="5">
        <f t="shared" ca="1" si="9"/>
        <v>0</v>
      </c>
      <c r="J35" s="5">
        <f t="shared" ca="1" si="10"/>
        <v>0</v>
      </c>
      <c r="K35" s="5">
        <f t="shared" ca="1" si="11"/>
        <v>0</v>
      </c>
      <c r="L35" s="5">
        <f t="shared" ca="1" si="12"/>
        <v>0</v>
      </c>
      <c r="M35" s="6">
        <f t="shared" ca="1" si="5"/>
        <v>27.123287671232877</v>
      </c>
      <c r="O35" s="7"/>
      <c r="P35" s="11"/>
      <c r="R35" s="7"/>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c r="CW35" s="10"/>
      <c r="CX35" s="10"/>
      <c r="CY35" s="10"/>
      <c r="CZ35" s="10"/>
      <c r="DA35" s="10"/>
      <c r="DB35" s="10"/>
      <c r="DC35" s="10"/>
      <c r="DD35" s="10"/>
      <c r="DE35" s="10"/>
      <c r="DF35" s="10"/>
      <c r="DG35" s="10"/>
      <c r="DH35" s="10"/>
      <c r="DI35" s="10"/>
      <c r="DJ35" s="10"/>
      <c r="DK35" s="10"/>
      <c r="DL35" s="10"/>
      <c r="DM35" s="10"/>
      <c r="DN35" s="10"/>
      <c r="DO35" s="11"/>
      <c r="DP35" s="3"/>
      <c r="DQ35" s="3"/>
      <c r="DR35" s="3"/>
      <c r="DS35" s="3"/>
    </row>
    <row r="36" spans="2:123" ht="13.25" hidden="1" customHeight="1" x14ac:dyDescent="0.3">
      <c r="B36" s="21"/>
      <c r="E36" s="54">
        <v>32</v>
      </c>
      <c r="F36" s="5">
        <f t="shared" ca="1" si="6"/>
        <v>110</v>
      </c>
      <c r="G36" s="5">
        <f t="shared" ca="1" si="7"/>
        <v>990</v>
      </c>
      <c r="H36" s="5">
        <f t="shared" ca="1" si="8"/>
        <v>880</v>
      </c>
      <c r="I36" s="5">
        <f t="shared" ca="1" si="9"/>
        <v>0</v>
      </c>
      <c r="J36" s="5">
        <f t="shared" ca="1" si="10"/>
        <v>0</v>
      </c>
      <c r="K36" s="5">
        <f t="shared" ca="1" si="11"/>
        <v>0</v>
      </c>
      <c r="L36" s="5">
        <f t="shared" ca="1" si="12"/>
        <v>0</v>
      </c>
      <c r="M36" s="6">
        <f t="shared" ca="1" si="5"/>
        <v>24.109589041095887</v>
      </c>
      <c r="O36" s="7"/>
      <c r="P36" s="11"/>
      <c r="R36" s="7"/>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c r="CW36" s="10"/>
      <c r="CX36" s="10"/>
      <c r="CY36" s="10"/>
      <c r="CZ36" s="10"/>
      <c r="DA36" s="10"/>
      <c r="DB36" s="10"/>
      <c r="DC36" s="10"/>
      <c r="DD36" s="10"/>
      <c r="DE36" s="10"/>
      <c r="DF36" s="10"/>
      <c r="DG36" s="10"/>
      <c r="DH36" s="10"/>
      <c r="DI36" s="10"/>
      <c r="DJ36" s="10"/>
      <c r="DK36" s="10"/>
      <c r="DL36" s="10"/>
      <c r="DM36" s="10"/>
      <c r="DN36" s="10"/>
      <c r="DO36" s="11"/>
      <c r="DP36" s="3"/>
      <c r="DQ36" s="3"/>
      <c r="DR36" s="3"/>
      <c r="DS36" s="3"/>
    </row>
    <row r="37" spans="2:123" ht="13.25" hidden="1" customHeight="1" x14ac:dyDescent="0.3">
      <c r="B37" s="21"/>
      <c r="E37" s="54">
        <v>33</v>
      </c>
      <c r="F37" s="5">
        <f t="shared" ca="1" si="6"/>
        <v>90</v>
      </c>
      <c r="G37" s="5">
        <f t="shared" ca="1" si="7"/>
        <v>880</v>
      </c>
      <c r="H37" s="5">
        <f t="shared" ca="1" si="8"/>
        <v>790</v>
      </c>
      <c r="I37" s="5">
        <f t="shared" ca="1" si="9"/>
        <v>0</v>
      </c>
      <c r="J37" s="5">
        <f t="shared" ca="1" si="10"/>
        <v>0</v>
      </c>
      <c r="K37" s="5">
        <f t="shared" ca="1" si="11"/>
        <v>0</v>
      </c>
      <c r="L37" s="5">
        <f t="shared" ca="1" si="12"/>
        <v>0</v>
      </c>
      <c r="M37" s="6">
        <f t="shared" ca="1" si="5"/>
        <v>21.643835616438356</v>
      </c>
      <c r="O37" s="7"/>
      <c r="P37" s="11"/>
      <c r="R37" s="7"/>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10"/>
      <c r="CQ37" s="10"/>
      <c r="CR37" s="10"/>
      <c r="CS37" s="10"/>
      <c r="CT37" s="10"/>
      <c r="CU37" s="10"/>
      <c r="CV37" s="10"/>
      <c r="CW37" s="10"/>
      <c r="CX37" s="10"/>
      <c r="CY37" s="10"/>
      <c r="CZ37" s="10"/>
      <c r="DA37" s="10"/>
      <c r="DB37" s="10"/>
      <c r="DC37" s="10"/>
      <c r="DD37" s="10"/>
      <c r="DE37" s="10"/>
      <c r="DF37" s="10"/>
      <c r="DG37" s="10"/>
      <c r="DH37" s="10"/>
      <c r="DI37" s="10"/>
      <c r="DJ37" s="10"/>
      <c r="DK37" s="10"/>
      <c r="DL37" s="10"/>
      <c r="DM37" s="10"/>
      <c r="DN37" s="10"/>
      <c r="DO37" s="11"/>
      <c r="DP37" s="3"/>
      <c r="DQ37" s="3"/>
      <c r="DR37" s="3"/>
      <c r="DS37" s="3"/>
    </row>
    <row r="38" spans="2:123" ht="13.25" hidden="1" customHeight="1" x14ac:dyDescent="0.3">
      <c r="B38" s="21"/>
      <c r="E38" s="54">
        <v>34</v>
      </c>
      <c r="F38" s="5">
        <f t="shared" ca="1" si="6"/>
        <v>0</v>
      </c>
      <c r="G38" s="5">
        <f t="shared" ca="1" si="7"/>
        <v>790</v>
      </c>
      <c r="H38" s="5">
        <f t="shared" ca="1" si="8"/>
        <v>790</v>
      </c>
      <c r="I38" s="5">
        <f t="shared" ca="1" si="9"/>
        <v>0</v>
      </c>
      <c r="J38" s="5">
        <f t="shared" ca="1" si="10"/>
        <v>0</v>
      </c>
      <c r="K38" s="5">
        <f t="shared" ca="1" si="11"/>
        <v>0</v>
      </c>
      <c r="L38" s="5">
        <f t="shared" ca="1" si="12"/>
        <v>0</v>
      </c>
      <c r="M38" s="6">
        <f t="shared" ca="1" si="5"/>
        <v>21.643835616438356</v>
      </c>
      <c r="O38" s="7"/>
      <c r="P38" s="11"/>
      <c r="R38" s="7"/>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c r="CW38" s="10"/>
      <c r="CX38" s="10"/>
      <c r="CY38" s="10"/>
      <c r="CZ38" s="10"/>
      <c r="DA38" s="10"/>
      <c r="DB38" s="10"/>
      <c r="DC38" s="10"/>
      <c r="DD38" s="10"/>
      <c r="DE38" s="10"/>
      <c r="DF38" s="10"/>
      <c r="DG38" s="10"/>
      <c r="DH38" s="10"/>
      <c r="DI38" s="10"/>
      <c r="DJ38" s="10"/>
      <c r="DK38" s="10"/>
      <c r="DL38" s="10"/>
      <c r="DM38" s="10"/>
      <c r="DN38" s="10"/>
      <c r="DO38" s="11"/>
      <c r="DP38" s="3"/>
      <c r="DQ38" s="3"/>
      <c r="DR38" s="3"/>
      <c r="DS38" s="3"/>
    </row>
    <row r="39" spans="2:123" ht="13.25" hidden="1" customHeight="1" x14ac:dyDescent="0.3">
      <c r="B39" s="21"/>
      <c r="E39" s="54">
        <v>35</v>
      </c>
      <c r="F39" s="5">
        <f t="shared" ca="1" si="6"/>
        <v>0</v>
      </c>
      <c r="G39" s="5">
        <f t="shared" ca="1" si="7"/>
        <v>790</v>
      </c>
      <c r="H39" s="5">
        <f t="shared" ca="1" si="8"/>
        <v>790</v>
      </c>
      <c r="I39" s="5">
        <f t="shared" ca="1" si="9"/>
        <v>0</v>
      </c>
      <c r="J39" s="5">
        <f t="shared" ca="1" si="10"/>
        <v>0</v>
      </c>
      <c r="K39" s="5">
        <f t="shared" ca="1" si="11"/>
        <v>0</v>
      </c>
      <c r="L39" s="5">
        <f t="shared" ca="1" si="12"/>
        <v>0</v>
      </c>
      <c r="M39" s="6">
        <f t="shared" ca="1" si="5"/>
        <v>21.643835616438356</v>
      </c>
      <c r="O39" s="7"/>
      <c r="P39" s="11"/>
      <c r="R39" s="7"/>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10"/>
      <c r="CQ39" s="10"/>
      <c r="CR39" s="10"/>
      <c r="CS39" s="10"/>
      <c r="CT39" s="10"/>
      <c r="CU39" s="10"/>
      <c r="CV39" s="10"/>
      <c r="CW39" s="10"/>
      <c r="CX39" s="10"/>
      <c r="CY39" s="10"/>
      <c r="CZ39" s="10"/>
      <c r="DA39" s="10"/>
      <c r="DB39" s="10"/>
      <c r="DC39" s="10"/>
      <c r="DD39" s="10"/>
      <c r="DE39" s="10"/>
      <c r="DF39" s="10"/>
      <c r="DG39" s="10"/>
      <c r="DH39" s="10"/>
      <c r="DI39" s="10"/>
      <c r="DJ39" s="10"/>
      <c r="DK39" s="10"/>
      <c r="DL39" s="10"/>
      <c r="DM39" s="10"/>
      <c r="DN39" s="10"/>
      <c r="DO39" s="11"/>
      <c r="DP39" s="3"/>
      <c r="DQ39" s="3"/>
      <c r="DR39" s="3"/>
      <c r="DS39" s="3"/>
    </row>
    <row r="40" spans="2:123" ht="13.25" hidden="1" customHeight="1" x14ac:dyDescent="0.3">
      <c r="B40" s="21"/>
      <c r="E40" s="54">
        <v>36</v>
      </c>
      <c r="F40" s="5">
        <f t="shared" ca="1" si="6"/>
        <v>0</v>
      </c>
      <c r="G40" s="5">
        <f t="shared" ca="1" si="7"/>
        <v>790</v>
      </c>
      <c r="H40" s="5">
        <f t="shared" ca="1" si="8"/>
        <v>790</v>
      </c>
      <c r="I40" s="5">
        <f t="shared" ca="1" si="9"/>
        <v>0</v>
      </c>
      <c r="J40" s="5">
        <f t="shared" ca="1" si="10"/>
        <v>0</v>
      </c>
      <c r="K40" s="5">
        <f t="shared" ca="1" si="11"/>
        <v>0</v>
      </c>
      <c r="L40" s="5">
        <f t="shared" ca="1" si="12"/>
        <v>0</v>
      </c>
      <c r="M40" s="6">
        <f t="shared" ca="1" si="5"/>
        <v>21.643835616438356</v>
      </c>
      <c r="O40" s="7"/>
      <c r="P40" s="11"/>
      <c r="R40" s="7"/>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c r="CW40" s="10"/>
      <c r="CX40" s="10"/>
      <c r="CY40" s="10"/>
      <c r="CZ40" s="10"/>
      <c r="DA40" s="10"/>
      <c r="DB40" s="10"/>
      <c r="DC40" s="10"/>
      <c r="DD40" s="10"/>
      <c r="DE40" s="10"/>
      <c r="DF40" s="10"/>
      <c r="DG40" s="10"/>
      <c r="DH40" s="10"/>
      <c r="DI40" s="10"/>
      <c r="DJ40" s="10"/>
      <c r="DK40" s="10"/>
      <c r="DL40" s="10"/>
      <c r="DM40" s="10"/>
      <c r="DN40" s="10"/>
      <c r="DO40" s="11"/>
      <c r="DP40" s="3"/>
      <c r="DQ40" s="3"/>
      <c r="DR40" s="3"/>
      <c r="DS40" s="3"/>
    </row>
    <row r="41" spans="2:123" ht="13.25" hidden="1" customHeight="1" x14ac:dyDescent="0.3">
      <c r="B41" s="21"/>
      <c r="E41" s="54">
        <v>37</v>
      </c>
      <c r="F41" s="5">
        <f t="shared" ca="1" si="6"/>
        <v>100</v>
      </c>
      <c r="G41" s="5">
        <f t="shared" ca="1" si="7"/>
        <v>790</v>
      </c>
      <c r="H41" s="5">
        <f t="shared" ca="1" si="8"/>
        <v>690</v>
      </c>
      <c r="I41" s="5">
        <f t="shared" ca="1" si="9"/>
        <v>0</v>
      </c>
      <c r="J41" s="5">
        <f t="shared" ca="1" si="10"/>
        <v>0</v>
      </c>
      <c r="K41" s="5">
        <f t="shared" ca="1" si="11"/>
        <v>0</v>
      </c>
      <c r="L41" s="5">
        <f t="shared" ca="1" si="12"/>
        <v>0</v>
      </c>
      <c r="M41" s="6">
        <f t="shared" ca="1" si="5"/>
        <v>18.904109589041095</v>
      </c>
      <c r="O41" s="7"/>
      <c r="P41" s="11"/>
      <c r="R41" s="7"/>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10"/>
      <c r="CI41" s="10"/>
      <c r="CJ41" s="10"/>
      <c r="CK41" s="10"/>
      <c r="CL41" s="10"/>
      <c r="CM41" s="10"/>
      <c r="CN41" s="10"/>
      <c r="CO41" s="10"/>
      <c r="CP41" s="10"/>
      <c r="CQ41" s="10"/>
      <c r="CR41" s="10"/>
      <c r="CS41" s="10"/>
      <c r="CT41" s="10"/>
      <c r="CU41" s="10"/>
      <c r="CV41" s="10"/>
      <c r="CW41" s="10"/>
      <c r="CX41" s="10"/>
      <c r="CY41" s="10"/>
      <c r="CZ41" s="10"/>
      <c r="DA41" s="10"/>
      <c r="DB41" s="10"/>
      <c r="DC41" s="10"/>
      <c r="DD41" s="10"/>
      <c r="DE41" s="10"/>
      <c r="DF41" s="10"/>
      <c r="DG41" s="10"/>
      <c r="DH41" s="10"/>
      <c r="DI41" s="10"/>
      <c r="DJ41" s="10"/>
      <c r="DK41" s="10"/>
      <c r="DL41" s="10"/>
      <c r="DM41" s="10"/>
      <c r="DN41" s="10"/>
      <c r="DO41" s="11"/>
      <c r="DP41" s="3"/>
      <c r="DQ41" s="3"/>
      <c r="DR41" s="3"/>
      <c r="DS41" s="3"/>
    </row>
    <row r="42" spans="2:123" ht="13.25" hidden="1" customHeight="1" x14ac:dyDescent="0.3">
      <c r="B42" s="21"/>
      <c r="E42" s="54">
        <v>38</v>
      </c>
      <c r="F42" s="5">
        <f t="shared" ca="1" si="6"/>
        <v>120</v>
      </c>
      <c r="G42" s="5">
        <f t="shared" ca="1" si="7"/>
        <v>690</v>
      </c>
      <c r="H42" s="5">
        <f t="shared" ca="1" si="8"/>
        <v>570</v>
      </c>
      <c r="I42" s="5">
        <f t="shared" ca="1" si="9"/>
        <v>0</v>
      </c>
      <c r="J42" s="5">
        <f t="shared" ca="1" si="10"/>
        <v>0</v>
      </c>
      <c r="K42" s="5">
        <f t="shared" ca="1" si="11"/>
        <v>0</v>
      </c>
      <c r="L42" s="5">
        <f t="shared" ca="1" si="12"/>
        <v>0</v>
      </c>
      <c r="M42" s="6">
        <f t="shared" ca="1" si="5"/>
        <v>15.616438356164382</v>
      </c>
      <c r="O42" s="7"/>
      <c r="P42" s="11"/>
      <c r="R42" s="7"/>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c r="CW42" s="10"/>
      <c r="CX42" s="10"/>
      <c r="CY42" s="10"/>
      <c r="CZ42" s="10"/>
      <c r="DA42" s="10"/>
      <c r="DB42" s="10"/>
      <c r="DC42" s="10"/>
      <c r="DD42" s="10"/>
      <c r="DE42" s="10"/>
      <c r="DF42" s="10"/>
      <c r="DG42" s="10"/>
      <c r="DH42" s="10"/>
      <c r="DI42" s="10"/>
      <c r="DJ42" s="10"/>
      <c r="DK42" s="10"/>
      <c r="DL42" s="10"/>
      <c r="DM42" s="10"/>
      <c r="DN42" s="10"/>
      <c r="DO42" s="11"/>
      <c r="DP42" s="3"/>
      <c r="DQ42" s="3"/>
      <c r="DR42" s="3"/>
      <c r="DS42" s="3"/>
    </row>
    <row r="43" spans="2:123" ht="13.25" hidden="1" customHeight="1" x14ac:dyDescent="0.3">
      <c r="B43" s="21"/>
      <c r="E43" s="54">
        <v>39</v>
      </c>
      <c r="F43" s="5">
        <f t="shared" ca="1" si="6"/>
        <v>110</v>
      </c>
      <c r="G43" s="5">
        <f t="shared" ca="1" si="7"/>
        <v>570</v>
      </c>
      <c r="H43" s="5">
        <f t="shared" ca="1" si="8"/>
        <v>460</v>
      </c>
      <c r="I43" s="5">
        <f t="shared" ca="1" si="9"/>
        <v>0</v>
      </c>
      <c r="J43" s="5">
        <f t="shared" ca="1" si="10"/>
        <v>0</v>
      </c>
      <c r="K43" s="5">
        <f t="shared" ca="1" si="11"/>
        <v>0</v>
      </c>
      <c r="L43" s="5">
        <f t="shared" ca="1" si="12"/>
        <v>0</v>
      </c>
      <c r="M43" s="6">
        <f t="shared" ca="1" si="5"/>
        <v>12.602739726027396</v>
      </c>
      <c r="O43" s="7"/>
      <c r="P43" s="11"/>
      <c r="R43" s="7"/>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c r="CW43" s="10"/>
      <c r="CX43" s="10"/>
      <c r="CY43" s="10"/>
      <c r="CZ43" s="10"/>
      <c r="DA43" s="10"/>
      <c r="DB43" s="10"/>
      <c r="DC43" s="10"/>
      <c r="DD43" s="10"/>
      <c r="DE43" s="10"/>
      <c r="DF43" s="10"/>
      <c r="DG43" s="10"/>
      <c r="DH43" s="10"/>
      <c r="DI43" s="10"/>
      <c r="DJ43" s="10"/>
      <c r="DK43" s="10"/>
      <c r="DL43" s="10"/>
      <c r="DM43" s="10"/>
      <c r="DN43" s="10"/>
      <c r="DO43" s="11"/>
      <c r="DP43" s="3"/>
      <c r="DQ43" s="3"/>
      <c r="DR43" s="3"/>
      <c r="DS43" s="3"/>
    </row>
    <row r="44" spans="2:123" ht="13.25" hidden="1" customHeight="1" x14ac:dyDescent="0.3">
      <c r="B44" s="21"/>
      <c r="E44" s="54">
        <v>40</v>
      </c>
      <c r="F44" s="5">
        <f t="shared" ca="1" si="6"/>
        <v>100</v>
      </c>
      <c r="G44" s="5">
        <f t="shared" ca="1" si="7"/>
        <v>460</v>
      </c>
      <c r="H44" s="5">
        <f t="shared" ca="1" si="8"/>
        <v>360</v>
      </c>
      <c r="I44" s="5">
        <f t="shared" ca="1" si="9"/>
        <v>0</v>
      </c>
      <c r="J44" s="5">
        <f t="shared" ca="1" si="10"/>
        <v>0</v>
      </c>
      <c r="K44" s="5">
        <f t="shared" ca="1" si="11"/>
        <v>0</v>
      </c>
      <c r="L44" s="5">
        <f t="shared" ca="1" si="12"/>
        <v>0</v>
      </c>
      <c r="M44" s="6">
        <f t="shared" ca="1" si="5"/>
        <v>9.8630136986301373</v>
      </c>
      <c r="O44" s="7"/>
      <c r="P44" s="11"/>
      <c r="R44" s="7"/>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c r="CW44" s="10"/>
      <c r="CX44" s="10"/>
      <c r="CY44" s="10"/>
      <c r="CZ44" s="10"/>
      <c r="DA44" s="10"/>
      <c r="DB44" s="10"/>
      <c r="DC44" s="10"/>
      <c r="DD44" s="10"/>
      <c r="DE44" s="10"/>
      <c r="DF44" s="10"/>
      <c r="DG44" s="10"/>
      <c r="DH44" s="10"/>
      <c r="DI44" s="10"/>
      <c r="DJ44" s="10"/>
      <c r="DK44" s="10"/>
      <c r="DL44" s="10"/>
      <c r="DM44" s="10"/>
      <c r="DN44" s="10"/>
      <c r="DO44" s="11"/>
      <c r="DP44" s="3"/>
      <c r="DQ44" s="3"/>
      <c r="DR44" s="3"/>
      <c r="DS44" s="3"/>
    </row>
    <row r="45" spans="2:123" ht="13.25" hidden="1" customHeight="1" x14ac:dyDescent="0.3">
      <c r="B45" s="21"/>
      <c r="E45" s="54">
        <v>41</v>
      </c>
      <c r="F45" s="5">
        <f t="shared" ca="1" si="6"/>
        <v>120</v>
      </c>
      <c r="G45" s="5">
        <f t="shared" ca="1" si="7"/>
        <v>360</v>
      </c>
      <c r="H45" s="5">
        <f t="shared" ca="1" si="8"/>
        <v>240</v>
      </c>
      <c r="I45" s="5">
        <f t="shared" ca="1" si="9"/>
        <v>0</v>
      </c>
      <c r="J45" s="5">
        <f t="shared" ca="1" si="10"/>
        <v>0</v>
      </c>
      <c r="K45" s="5">
        <f t="shared" ca="1" si="11"/>
        <v>0</v>
      </c>
      <c r="L45" s="5">
        <f t="shared" ca="1" si="12"/>
        <v>0</v>
      </c>
      <c r="M45" s="6">
        <f t="shared" ca="1" si="5"/>
        <v>6.5753424657534243</v>
      </c>
      <c r="O45" s="7"/>
      <c r="P45" s="11"/>
      <c r="R45" s="7"/>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c r="CW45" s="10"/>
      <c r="CX45" s="10"/>
      <c r="CY45" s="10"/>
      <c r="CZ45" s="10"/>
      <c r="DA45" s="10"/>
      <c r="DB45" s="10"/>
      <c r="DC45" s="10"/>
      <c r="DD45" s="10"/>
      <c r="DE45" s="10"/>
      <c r="DF45" s="10"/>
      <c r="DG45" s="10"/>
      <c r="DH45" s="10"/>
      <c r="DI45" s="10"/>
      <c r="DJ45" s="10"/>
      <c r="DK45" s="10"/>
      <c r="DL45" s="10"/>
      <c r="DM45" s="10"/>
      <c r="DN45" s="10"/>
      <c r="DO45" s="11"/>
      <c r="DP45" s="3"/>
      <c r="DQ45" s="3"/>
      <c r="DR45" s="3"/>
      <c r="DS45" s="3"/>
    </row>
    <row r="46" spans="2:123" ht="13.25" hidden="1" customHeight="1" x14ac:dyDescent="0.3">
      <c r="B46" s="21"/>
      <c r="E46" s="54">
        <v>42</v>
      </c>
      <c r="F46" s="5">
        <f t="shared" ca="1" si="6"/>
        <v>120</v>
      </c>
      <c r="G46" s="5">
        <f t="shared" ca="1" si="7"/>
        <v>240</v>
      </c>
      <c r="H46" s="5">
        <f t="shared" ca="1" si="8"/>
        <v>120</v>
      </c>
      <c r="I46" s="5">
        <f t="shared" ca="1" si="9"/>
        <v>0</v>
      </c>
      <c r="J46" s="5">
        <f t="shared" ca="1" si="10"/>
        <v>0</v>
      </c>
      <c r="K46" s="5">
        <f t="shared" ca="1" si="11"/>
        <v>0</v>
      </c>
      <c r="L46" s="5">
        <f t="shared" ca="1" si="12"/>
        <v>0</v>
      </c>
      <c r="M46" s="6">
        <f t="shared" ca="1" si="5"/>
        <v>3.2876712328767121</v>
      </c>
      <c r="O46" s="7"/>
      <c r="P46" s="11"/>
      <c r="R46" s="7"/>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c r="CW46" s="10"/>
      <c r="CX46" s="10"/>
      <c r="CY46" s="10"/>
      <c r="CZ46" s="10"/>
      <c r="DA46" s="10"/>
      <c r="DB46" s="10"/>
      <c r="DC46" s="10"/>
      <c r="DD46" s="10"/>
      <c r="DE46" s="10"/>
      <c r="DF46" s="10"/>
      <c r="DG46" s="10"/>
      <c r="DH46" s="10"/>
      <c r="DI46" s="10"/>
      <c r="DJ46" s="10"/>
      <c r="DK46" s="10"/>
      <c r="DL46" s="10"/>
      <c r="DM46" s="10"/>
      <c r="DN46" s="10"/>
      <c r="DO46" s="11"/>
      <c r="DP46" s="3"/>
      <c r="DQ46" s="3"/>
      <c r="DR46" s="3"/>
      <c r="DS46" s="3"/>
    </row>
    <row r="47" spans="2:123" ht="13.25" hidden="1" customHeight="1" x14ac:dyDescent="0.3">
      <c r="B47" s="21"/>
      <c r="E47" s="54">
        <v>43</v>
      </c>
      <c r="F47" s="5">
        <f t="shared" ca="1" si="6"/>
        <v>120</v>
      </c>
      <c r="G47" s="5">
        <f t="shared" ca="1" si="7"/>
        <v>120</v>
      </c>
      <c r="H47" s="5">
        <f t="shared" ca="1" si="8"/>
        <v>0</v>
      </c>
      <c r="I47" s="5">
        <f t="shared" ca="1" si="9"/>
        <v>1</v>
      </c>
      <c r="J47" s="5">
        <f t="shared" ca="1" si="10"/>
        <v>0</v>
      </c>
      <c r="K47" s="5">
        <f t="shared" ca="1" si="11"/>
        <v>0</v>
      </c>
      <c r="L47" s="5">
        <f t="shared" ca="1" si="12"/>
        <v>200</v>
      </c>
      <c r="M47" s="6">
        <f t="shared" ca="1" si="5"/>
        <v>0</v>
      </c>
      <c r="O47" s="7"/>
      <c r="P47" s="11"/>
      <c r="R47" s="7"/>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c r="CW47" s="10"/>
      <c r="CX47" s="10"/>
      <c r="CY47" s="10"/>
      <c r="CZ47" s="10"/>
      <c r="DA47" s="10"/>
      <c r="DB47" s="10"/>
      <c r="DC47" s="10"/>
      <c r="DD47" s="10"/>
      <c r="DE47" s="10"/>
      <c r="DF47" s="10"/>
      <c r="DG47" s="10"/>
      <c r="DH47" s="10"/>
      <c r="DI47" s="10"/>
      <c r="DJ47" s="10"/>
      <c r="DK47" s="10"/>
      <c r="DL47" s="10"/>
      <c r="DM47" s="10"/>
      <c r="DN47" s="10"/>
      <c r="DO47" s="11"/>
      <c r="DP47" s="3"/>
      <c r="DQ47" s="3"/>
      <c r="DR47" s="3"/>
      <c r="DS47" s="3"/>
    </row>
    <row r="48" spans="2:123" ht="13.25" hidden="1" customHeight="1" x14ac:dyDescent="0.3">
      <c r="B48" s="21"/>
      <c r="E48" s="54">
        <v>44</v>
      </c>
      <c r="F48" s="5">
        <f t="shared" ca="1" si="6"/>
        <v>120</v>
      </c>
      <c r="G48" s="5">
        <f t="shared" ca="1" si="7"/>
        <v>1000</v>
      </c>
      <c r="H48" s="5">
        <f t="shared" ca="1" si="8"/>
        <v>880</v>
      </c>
      <c r="I48" s="5">
        <f t="shared" ca="1" si="9"/>
        <v>0</v>
      </c>
      <c r="J48" s="5">
        <f t="shared" ca="1" si="10"/>
        <v>0</v>
      </c>
      <c r="K48" s="5">
        <f t="shared" ca="1" si="11"/>
        <v>0</v>
      </c>
      <c r="L48" s="5">
        <f t="shared" ca="1" si="12"/>
        <v>0</v>
      </c>
      <c r="M48" s="6">
        <f t="shared" ca="1" si="5"/>
        <v>24.109589041095887</v>
      </c>
      <c r="O48" s="7"/>
      <c r="P48" s="11"/>
      <c r="R48" s="7"/>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c r="CW48" s="10"/>
      <c r="CX48" s="10"/>
      <c r="CY48" s="10"/>
      <c r="CZ48" s="10"/>
      <c r="DA48" s="10"/>
      <c r="DB48" s="10"/>
      <c r="DC48" s="10"/>
      <c r="DD48" s="10"/>
      <c r="DE48" s="10"/>
      <c r="DF48" s="10"/>
      <c r="DG48" s="10"/>
      <c r="DH48" s="10"/>
      <c r="DI48" s="10"/>
      <c r="DJ48" s="10"/>
      <c r="DK48" s="10"/>
      <c r="DL48" s="10"/>
      <c r="DM48" s="10"/>
      <c r="DN48" s="10"/>
      <c r="DO48" s="11"/>
      <c r="DP48" s="3"/>
      <c r="DQ48" s="3"/>
      <c r="DR48" s="3"/>
      <c r="DS48" s="3"/>
    </row>
    <row r="49" spans="2:123" ht="13.25" hidden="1" customHeight="1" x14ac:dyDescent="0.3">
      <c r="B49" s="21"/>
      <c r="E49" s="54">
        <v>45</v>
      </c>
      <c r="F49" s="5">
        <f t="shared" ca="1" si="6"/>
        <v>100</v>
      </c>
      <c r="G49" s="5">
        <f t="shared" ca="1" si="7"/>
        <v>880</v>
      </c>
      <c r="H49" s="5">
        <f t="shared" ca="1" si="8"/>
        <v>780</v>
      </c>
      <c r="I49" s="5">
        <f t="shared" ca="1" si="9"/>
        <v>0</v>
      </c>
      <c r="J49" s="5">
        <f t="shared" ca="1" si="10"/>
        <v>0</v>
      </c>
      <c r="K49" s="5">
        <f t="shared" ca="1" si="11"/>
        <v>0</v>
      </c>
      <c r="L49" s="5">
        <f t="shared" ca="1" si="12"/>
        <v>0</v>
      </c>
      <c r="M49" s="6">
        <f t="shared" ca="1" si="5"/>
        <v>21.36986301369863</v>
      </c>
      <c r="O49" s="7"/>
      <c r="P49" s="11"/>
      <c r="R49" s="7"/>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c r="CW49" s="10"/>
      <c r="CX49" s="10"/>
      <c r="CY49" s="10"/>
      <c r="CZ49" s="10"/>
      <c r="DA49" s="10"/>
      <c r="DB49" s="10"/>
      <c r="DC49" s="10"/>
      <c r="DD49" s="10"/>
      <c r="DE49" s="10"/>
      <c r="DF49" s="10"/>
      <c r="DG49" s="10"/>
      <c r="DH49" s="10"/>
      <c r="DI49" s="10"/>
      <c r="DJ49" s="10"/>
      <c r="DK49" s="10"/>
      <c r="DL49" s="10"/>
      <c r="DM49" s="10"/>
      <c r="DN49" s="10"/>
      <c r="DO49" s="11"/>
      <c r="DP49" s="3"/>
      <c r="DQ49" s="3"/>
      <c r="DR49" s="3"/>
      <c r="DS49" s="3"/>
    </row>
    <row r="50" spans="2:123" ht="13.25" hidden="1" customHeight="1" x14ac:dyDescent="0.3">
      <c r="B50" s="21"/>
      <c r="E50" s="54">
        <v>46</v>
      </c>
      <c r="F50" s="5">
        <f t="shared" ca="1" si="6"/>
        <v>110</v>
      </c>
      <c r="G50" s="5">
        <f t="shared" ca="1" si="7"/>
        <v>780</v>
      </c>
      <c r="H50" s="5">
        <f t="shared" ca="1" si="8"/>
        <v>670</v>
      </c>
      <c r="I50" s="5">
        <f t="shared" ca="1" si="9"/>
        <v>0</v>
      </c>
      <c r="J50" s="5">
        <f t="shared" ca="1" si="10"/>
        <v>0</v>
      </c>
      <c r="K50" s="5">
        <f t="shared" ca="1" si="11"/>
        <v>0</v>
      </c>
      <c r="L50" s="5">
        <f t="shared" ca="1" si="12"/>
        <v>0</v>
      </c>
      <c r="M50" s="6">
        <f t="shared" ca="1" si="5"/>
        <v>18.356164383561644</v>
      </c>
      <c r="O50" s="7"/>
      <c r="P50" s="11"/>
      <c r="R50" s="7"/>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c r="CW50" s="10"/>
      <c r="CX50" s="10"/>
      <c r="CY50" s="10"/>
      <c r="CZ50" s="10"/>
      <c r="DA50" s="10"/>
      <c r="DB50" s="10"/>
      <c r="DC50" s="10"/>
      <c r="DD50" s="10"/>
      <c r="DE50" s="10"/>
      <c r="DF50" s="10"/>
      <c r="DG50" s="10"/>
      <c r="DH50" s="10"/>
      <c r="DI50" s="10"/>
      <c r="DJ50" s="10"/>
      <c r="DK50" s="10"/>
      <c r="DL50" s="10"/>
      <c r="DM50" s="10"/>
      <c r="DN50" s="10"/>
      <c r="DO50" s="11"/>
      <c r="DP50" s="3"/>
      <c r="DQ50" s="3"/>
      <c r="DR50" s="3"/>
      <c r="DS50" s="3"/>
    </row>
    <row r="51" spans="2:123" ht="13.25" hidden="1" customHeight="1" x14ac:dyDescent="0.3">
      <c r="B51" s="21"/>
      <c r="E51" s="54">
        <v>47</v>
      </c>
      <c r="F51" s="5">
        <f t="shared" ca="1" si="6"/>
        <v>120</v>
      </c>
      <c r="G51" s="5">
        <f t="shared" ca="1" si="7"/>
        <v>670</v>
      </c>
      <c r="H51" s="5">
        <f t="shared" ca="1" si="8"/>
        <v>550</v>
      </c>
      <c r="I51" s="5">
        <f t="shared" ca="1" si="9"/>
        <v>0</v>
      </c>
      <c r="J51" s="5">
        <f t="shared" ca="1" si="10"/>
        <v>0</v>
      </c>
      <c r="K51" s="5">
        <f t="shared" ca="1" si="11"/>
        <v>0</v>
      </c>
      <c r="L51" s="5">
        <f t="shared" ca="1" si="12"/>
        <v>0</v>
      </c>
      <c r="M51" s="6">
        <f t="shared" ca="1" si="5"/>
        <v>15.068493150684931</v>
      </c>
      <c r="O51" s="7"/>
      <c r="P51" s="11"/>
      <c r="R51" s="7"/>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c r="CW51" s="10"/>
      <c r="CX51" s="10"/>
      <c r="CY51" s="10"/>
      <c r="CZ51" s="10"/>
      <c r="DA51" s="10"/>
      <c r="DB51" s="10"/>
      <c r="DC51" s="10"/>
      <c r="DD51" s="10"/>
      <c r="DE51" s="10"/>
      <c r="DF51" s="10"/>
      <c r="DG51" s="10"/>
      <c r="DH51" s="10"/>
      <c r="DI51" s="10"/>
      <c r="DJ51" s="10"/>
      <c r="DK51" s="10"/>
      <c r="DL51" s="10"/>
      <c r="DM51" s="10"/>
      <c r="DN51" s="10"/>
      <c r="DO51" s="11"/>
      <c r="DP51" s="3"/>
      <c r="DQ51" s="3"/>
      <c r="DR51" s="3"/>
      <c r="DS51" s="3"/>
    </row>
    <row r="52" spans="2:123" ht="13.25" hidden="1" customHeight="1" x14ac:dyDescent="0.3">
      <c r="B52" s="21"/>
      <c r="E52" s="54">
        <v>48</v>
      </c>
      <c r="F52" s="5">
        <f t="shared" ca="1" si="6"/>
        <v>120</v>
      </c>
      <c r="G52" s="5">
        <f t="shared" ca="1" si="7"/>
        <v>550</v>
      </c>
      <c r="H52" s="5">
        <f t="shared" ca="1" si="8"/>
        <v>430</v>
      </c>
      <c r="I52" s="5">
        <f t="shared" ca="1" si="9"/>
        <v>0</v>
      </c>
      <c r="J52" s="5">
        <f t="shared" ca="1" si="10"/>
        <v>0</v>
      </c>
      <c r="K52" s="5">
        <f t="shared" ca="1" si="11"/>
        <v>0</v>
      </c>
      <c r="L52" s="5">
        <f t="shared" ca="1" si="12"/>
        <v>0</v>
      </c>
      <c r="M52" s="6">
        <f t="shared" ca="1" si="5"/>
        <v>11.780821917808218</v>
      </c>
      <c r="O52" s="7"/>
      <c r="P52" s="11"/>
      <c r="R52" s="7"/>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c r="CW52" s="10"/>
      <c r="CX52" s="10"/>
      <c r="CY52" s="10"/>
      <c r="CZ52" s="10"/>
      <c r="DA52" s="10"/>
      <c r="DB52" s="10"/>
      <c r="DC52" s="10"/>
      <c r="DD52" s="10"/>
      <c r="DE52" s="10"/>
      <c r="DF52" s="10"/>
      <c r="DG52" s="10"/>
      <c r="DH52" s="10"/>
      <c r="DI52" s="10"/>
      <c r="DJ52" s="10"/>
      <c r="DK52" s="10"/>
      <c r="DL52" s="10"/>
      <c r="DM52" s="10"/>
      <c r="DN52" s="10"/>
      <c r="DO52" s="11"/>
      <c r="DP52" s="3"/>
      <c r="DQ52" s="3"/>
      <c r="DR52" s="3"/>
      <c r="DS52" s="3"/>
    </row>
    <row r="53" spans="2:123" ht="13.25" hidden="1" customHeight="1" x14ac:dyDescent="0.3">
      <c r="B53" s="21"/>
      <c r="E53" s="54">
        <v>49</v>
      </c>
      <c r="F53" s="5">
        <f t="shared" ca="1" si="6"/>
        <v>110</v>
      </c>
      <c r="G53" s="5">
        <f t="shared" ca="1" si="7"/>
        <v>430</v>
      </c>
      <c r="H53" s="5">
        <f t="shared" ca="1" si="8"/>
        <v>320</v>
      </c>
      <c r="I53" s="5">
        <f t="shared" ca="1" si="9"/>
        <v>0</v>
      </c>
      <c r="J53" s="5">
        <f t="shared" ca="1" si="10"/>
        <v>0</v>
      </c>
      <c r="K53" s="5">
        <f t="shared" ca="1" si="11"/>
        <v>0</v>
      </c>
      <c r="L53" s="5">
        <f t="shared" ca="1" si="12"/>
        <v>0</v>
      </c>
      <c r="M53" s="6">
        <f t="shared" ca="1" si="5"/>
        <v>8.7671232876712324</v>
      </c>
      <c r="O53" s="7"/>
      <c r="P53" s="11"/>
      <c r="R53" s="7"/>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c r="CW53" s="10"/>
      <c r="CX53" s="10"/>
      <c r="CY53" s="10"/>
      <c r="CZ53" s="10"/>
      <c r="DA53" s="10"/>
      <c r="DB53" s="10"/>
      <c r="DC53" s="10"/>
      <c r="DD53" s="10"/>
      <c r="DE53" s="10"/>
      <c r="DF53" s="10"/>
      <c r="DG53" s="10"/>
      <c r="DH53" s="10"/>
      <c r="DI53" s="10"/>
      <c r="DJ53" s="10"/>
      <c r="DK53" s="10"/>
      <c r="DL53" s="10"/>
      <c r="DM53" s="10"/>
      <c r="DN53" s="10"/>
      <c r="DO53" s="11"/>
      <c r="DP53" s="3"/>
      <c r="DQ53" s="3"/>
      <c r="DR53" s="3"/>
      <c r="DS53" s="3"/>
    </row>
    <row r="54" spans="2:123" ht="13.25" hidden="1" customHeight="1" x14ac:dyDescent="0.3">
      <c r="B54" s="21"/>
      <c r="E54" s="54">
        <v>50</v>
      </c>
      <c r="F54" s="5">
        <f t="shared" ca="1" si="6"/>
        <v>120</v>
      </c>
      <c r="G54" s="5">
        <f t="shared" ca="1" si="7"/>
        <v>320</v>
      </c>
      <c r="H54" s="5">
        <f t="shared" ca="1" si="8"/>
        <v>200</v>
      </c>
      <c r="I54" s="5">
        <f t="shared" ca="1" si="9"/>
        <v>0</v>
      </c>
      <c r="J54" s="5">
        <f t="shared" ca="1" si="10"/>
        <v>0</v>
      </c>
      <c r="K54" s="5">
        <f t="shared" ca="1" si="11"/>
        <v>0</v>
      </c>
      <c r="L54" s="5">
        <f t="shared" ca="1" si="12"/>
        <v>0</v>
      </c>
      <c r="M54" s="6">
        <f t="shared" ca="1" si="5"/>
        <v>5.4794520547945202</v>
      </c>
      <c r="O54" s="7"/>
      <c r="P54" s="7"/>
      <c r="R54" s="7"/>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c r="CW54" s="10"/>
      <c r="CX54" s="10"/>
      <c r="CY54" s="10"/>
      <c r="CZ54" s="10"/>
      <c r="DA54" s="10"/>
      <c r="DB54" s="10"/>
      <c r="DC54" s="10"/>
      <c r="DD54" s="10"/>
      <c r="DE54" s="10"/>
      <c r="DF54" s="10"/>
      <c r="DG54" s="10"/>
      <c r="DH54" s="10"/>
      <c r="DI54" s="10"/>
      <c r="DJ54" s="10"/>
      <c r="DK54" s="10"/>
      <c r="DL54" s="10"/>
      <c r="DM54" s="10"/>
      <c r="DN54" s="10"/>
      <c r="DO54" s="7"/>
      <c r="DP54" s="3"/>
      <c r="DQ54" s="3"/>
      <c r="DR54" s="3"/>
      <c r="DS54" s="3"/>
    </row>
    <row r="55" spans="2:123" ht="13.25" hidden="1" customHeight="1" x14ac:dyDescent="0.3">
      <c r="B55" s="21"/>
      <c r="E55" s="54">
        <v>51</v>
      </c>
      <c r="F55" s="5">
        <f t="shared" ca="1" si="6"/>
        <v>120</v>
      </c>
      <c r="G55" s="5">
        <f t="shared" ca="1" si="7"/>
        <v>200</v>
      </c>
      <c r="H55" s="5">
        <f t="shared" ca="1" si="8"/>
        <v>80</v>
      </c>
      <c r="I55" s="5">
        <f t="shared" ca="1" si="9"/>
        <v>1</v>
      </c>
      <c r="J55" s="5">
        <f t="shared" ca="1" si="10"/>
        <v>0</v>
      </c>
      <c r="K55" s="5">
        <f t="shared" ca="1" si="11"/>
        <v>0</v>
      </c>
      <c r="L55" s="5">
        <f t="shared" ca="1" si="12"/>
        <v>200</v>
      </c>
      <c r="M55" s="6">
        <f t="shared" ca="1" si="5"/>
        <v>2.1917808219178081</v>
      </c>
      <c r="O55" s="7"/>
      <c r="P55" s="7"/>
      <c r="R55" s="7"/>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c r="CW55" s="10"/>
      <c r="CX55" s="10"/>
      <c r="CY55" s="10"/>
      <c r="CZ55" s="10"/>
      <c r="DA55" s="10"/>
      <c r="DB55" s="10"/>
      <c r="DC55" s="10"/>
      <c r="DD55" s="10"/>
      <c r="DE55" s="10"/>
      <c r="DF55" s="10"/>
      <c r="DG55" s="10"/>
      <c r="DH55" s="10"/>
      <c r="DI55" s="10"/>
      <c r="DJ55" s="10"/>
      <c r="DK55" s="10"/>
      <c r="DL55" s="10"/>
      <c r="DM55" s="10"/>
      <c r="DN55" s="10"/>
      <c r="DO55" s="7"/>
      <c r="DP55" s="3"/>
      <c r="DQ55" s="3"/>
      <c r="DR55" s="3"/>
      <c r="DS55" s="3"/>
    </row>
    <row r="56" spans="2:123" ht="13.25" hidden="1" customHeight="1" x14ac:dyDescent="0.3">
      <c r="B56" s="21"/>
      <c r="E56" s="54">
        <v>52</v>
      </c>
      <c r="F56" s="5">
        <f t="shared" ca="1" si="6"/>
        <v>90</v>
      </c>
      <c r="G56" s="5">
        <f t="shared" ca="1" si="7"/>
        <v>1080</v>
      </c>
      <c r="H56" s="5">
        <f t="shared" ca="1" si="8"/>
        <v>990</v>
      </c>
      <c r="I56" s="5">
        <f t="shared" ca="1" si="9"/>
        <v>0</v>
      </c>
      <c r="J56" s="5">
        <f t="shared" ca="1" si="10"/>
        <v>0</v>
      </c>
      <c r="K56" s="5">
        <f t="shared" ca="1" si="11"/>
        <v>0</v>
      </c>
      <c r="L56" s="5">
        <f t="shared" ca="1" si="12"/>
        <v>0</v>
      </c>
      <c r="M56" s="6">
        <f t="shared" ca="1" si="5"/>
        <v>27.123287671232877</v>
      </c>
      <c r="O56" s="7"/>
      <c r="P56" s="7"/>
      <c r="R56" s="7"/>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c r="CI56" s="10"/>
      <c r="CJ56" s="10"/>
      <c r="CK56" s="10"/>
      <c r="CL56" s="10"/>
      <c r="CM56" s="10"/>
      <c r="CN56" s="10"/>
      <c r="CO56" s="10"/>
      <c r="CP56" s="10"/>
      <c r="CQ56" s="10"/>
      <c r="CR56" s="10"/>
      <c r="CS56" s="10"/>
      <c r="CT56" s="10"/>
      <c r="CU56" s="10"/>
      <c r="CV56" s="10"/>
      <c r="CW56" s="10"/>
      <c r="CX56" s="10"/>
      <c r="CY56" s="10"/>
      <c r="CZ56" s="10"/>
      <c r="DA56" s="10"/>
      <c r="DB56" s="10"/>
      <c r="DC56" s="10"/>
      <c r="DD56" s="10"/>
      <c r="DE56" s="10"/>
      <c r="DF56" s="10"/>
      <c r="DG56" s="10"/>
      <c r="DH56" s="10"/>
      <c r="DI56" s="10"/>
      <c r="DJ56" s="10"/>
      <c r="DK56" s="10"/>
      <c r="DL56" s="10"/>
      <c r="DM56" s="10"/>
      <c r="DN56" s="10"/>
      <c r="DO56" s="7"/>
      <c r="DP56" s="3"/>
      <c r="DQ56" s="3"/>
      <c r="DR56" s="3"/>
      <c r="DS56" s="3"/>
    </row>
    <row r="57" spans="2:123" ht="13.25" hidden="1" customHeight="1" x14ac:dyDescent="0.3">
      <c r="B57" s="21"/>
      <c r="E57" s="54">
        <v>53</v>
      </c>
      <c r="F57" s="5">
        <f t="shared" ca="1" si="6"/>
        <v>110</v>
      </c>
      <c r="G57" s="5">
        <f t="shared" ca="1" si="7"/>
        <v>990</v>
      </c>
      <c r="H57" s="5">
        <f t="shared" ca="1" si="8"/>
        <v>880</v>
      </c>
      <c r="I57" s="5">
        <f t="shared" ca="1" si="9"/>
        <v>0</v>
      </c>
      <c r="J57" s="5">
        <f t="shared" ca="1" si="10"/>
        <v>0</v>
      </c>
      <c r="K57" s="5">
        <f t="shared" ca="1" si="11"/>
        <v>0</v>
      </c>
      <c r="L57" s="5">
        <f t="shared" ca="1" si="12"/>
        <v>0</v>
      </c>
      <c r="M57" s="6">
        <f t="shared" ca="1" si="5"/>
        <v>24.109589041095887</v>
      </c>
      <c r="O57" s="7"/>
      <c r="P57" s="7"/>
      <c r="R57" s="7"/>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0"/>
      <c r="BU57" s="10"/>
      <c r="BV57" s="10"/>
      <c r="BW57" s="10"/>
      <c r="BX57" s="10"/>
      <c r="BY57" s="10"/>
      <c r="BZ57" s="10"/>
      <c r="CA57" s="10"/>
      <c r="CB57" s="10"/>
      <c r="CC57" s="10"/>
      <c r="CD57" s="10"/>
      <c r="CE57" s="10"/>
      <c r="CF57" s="10"/>
      <c r="CG57" s="10"/>
      <c r="CH57" s="10"/>
      <c r="CI57" s="10"/>
      <c r="CJ57" s="10"/>
      <c r="CK57" s="10"/>
      <c r="CL57" s="10"/>
      <c r="CM57" s="10"/>
      <c r="CN57" s="10"/>
      <c r="CO57" s="10"/>
      <c r="CP57" s="10"/>
      <c r="CQ57" s="10"/>
      <c r="CR57" s="10"/>
      <c r="CS57" s="10"/>
      <c r="CT57" s="10"/>
      <c r="CU57" s="10"/>
      <c r="CV57" s="10"/>
      <c r="CW57" s="10"/>
      <c r="CX57" s="10"/>
      <c r="CY57" s="10"/>
      <c r="CZ57" s="10"/>
      <c r="DA57" s="10"/>
      <c r="DB57" s="10"/>
      <c r="DC57" s="10"/>
      <c r="DD57" s="10"/>
      <c r="DE57" s="10"/>
      <c r="DF57" s="10"/>
      <c r="DG57" s="10"/>
      <c r="DH57" s="10"/>
      <c r="DI57" s="10"/>
      <c r="DJ57" s="10"/>
      <c r="DK57" s="10"/>
      <c r="DL57" s="10"/>
      <c r="DM57" s="10"/>
      <c r="DN57" s="10"/>
      <c r="DO57" s="7"/>
      <c r="DP57" s="3"/>
      <c r="DQ57" s="3"/>
      <c r="DR57" s="3"/>
      <c r="DS57" s="3"/>
    </row>
    <row r="58" spans="2:123" ht="13.25" hidden="1" customHeight="1" x14ac:dyDescent="0.3">
      <c r="B58" s="21"/>
      <c r="E58" s="54">
        <v>54</v>
      </c>
      <c r="F58" s="5">
        <f t="shared" ca="1" si="6"/>
        <v>100</v>
      </c>
      <c r="G58" s="5">
        <f t="shared" ca="1" si="7"/>
        <v>880</v>
      </c>
      <c r="H58" s="5">
        <f t="shared" ca="1" si="8"/>
        <v>780</v>
      </c>
      <c r="I58" s="5">
        <f t="shared" ca="1" si="9"/>
        <v>0</v>
      </c>
      <c r="J58" s="5">
        <f t="shared" ca="1" si="10"/>
        <v>0</v>
      </c>
      <c r="K58" s="5">
        <f t="shared" ca="1" si="11"/>
        <v>0</v>
      </c>
      <c r="L58" s="5">
        <f t="shared" ca="1" si="12"/>
        <v>0</v>
      </c>
      <c r="M58" s="6">
        <f t="shared" ca="1" si="5"/>
        <v>21.36986301369863</v>
      </c>
      <c r="O58" s="7"/>
      <c r="P58" s="7"/>
      <c r="R58" s="7"/>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c r="CI58" s="10"/>
      <c r="CJ58" s="10"/>
      <c r="CK58" s="10"/>
      <c r="CL58" s="10"/>
      <c r="CM58" s="10"/>
      <c r="CN58" s="10"/>
      <c r="CO58" s="10"/>
      <c r="CP58" s="10"/>
      <c r="CQ58" s="10"/>
      <c r="CR58" s="10"/>
      <c r="CS58" s="10"/>
      <c r="CT58" s="10"/>
      <c r="CU58" s="10"/>
      <c r="CV58" s="10"/>
      <c r="CW58" s="10"/>
      <c r="CX58" s="10"/>
      <c r="CY58" s="10"/>
      <c r="CZ58" s="10"/>
      <c r="DA58" s="10"/>
      <c r="DB58" s="10"/>
      <c r="DC58" s="10"/>
      <c r="DD58" s="10"/>
      <c r="DE58" s="10"/>
      <c r="DF58" s="10"/>
      <c r="DG58" s="10"/>
      <c r="DH58" s="10"/>
      <c r="DI58" s="10"/>
      <c r="DJ58" s="10"/>
      <c r="DK58" s="10"/>
      <c r="DL58" s="10"/>
      <c r="DM58" s="10"/>
      <c r="DN58" s="10"/>
      <c r="DO58" s="7"/>
      <c r="DP58" s="3"/>
      <c r="DQ58" s="3"/>
      <c r="DR58" s="3"/>
      <c r="DS58" s="3"/>
    </row>
    <row r="59" spans="2:123" ht="13.25" hidden="1" customHeight="1" x14ac:dyDescent="0.3">
      <c r="B59" s="21"/>
      <c r="E59" s="54">
        <v>55</v>
      </c>
      <c r="F59" s="5">
        <f t="shared" ca="1" si="6"/>
        <v>110</v>
      </c>
      <c r="G59" s="5">
        <f t="shared" ca="1" si="7"/>
        <v>780</v>
      </c>
      <c r="H59" s="5">
        <f t="shared" ca="1" si="8"/>
        <v>670</v>
      </c>
      <c r="I59" s="5">
        <f t="shared" ca="1" si="9"/>
        <v>0</v>
      </c>
      <c r="J59" s="5">
        <f t="shared" ca="1" si="10"/>
        <v>0</v>
      </c>
      <c r="K59" s="5">
        <f t="shared" ca="1" si="11"/>
        <v>0</v>
      </c>
      <c r="L59" s="5">
        <f t="shared" ca="1" si="12"/>
        <v>0</v>
      </c>
      <c r="M59" s="6">
        <f t="shared" ca="1" si="5"/>
        <v>18.356164383561644</v>
      </c>
      <c r="O59" s="7"/>
      <c r="P59" s="7"/>
      <c r="R59" s="7"/>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0"/>
      <c r="BU59" s="10"/>
      <c r="BV59" s="10"/>
      <c r="BW59" s="10"/>
      <c r="BX59" s="10"/>
      <c r="BY59" s="10"/>
      <c r="BZ59" s="10"/>
      <c r="CA59" s="10"/>
      <c r="CB59" s="10"/>
      <c r="CC59" s="10"/>
      <c r="CD59" s="10"/>
      <c r="CE59" s="10"/>
      <c r="CF59" s="10"/>
      <c r="CG59" s="10"/>
      <c r="CH59" s="10"/>
      <c r="CI59" s="10"/>
      <c r="CJ59" s="10"/>
      <c r="CK59" s="10"/>
      <c r="CL59" s="10"/>
      <c r="CM59" s="10"/>
      <c r="CN59" s="10"/>
      <c r="CO59" s="10"/>
      <c r="CP59" s="10"/>
      <c r="CQ59" s="10"/>
      <c r="CR59" s="10"/>
      <c r="CS59" s="10"/>
      <c r="CT59" s="10"/>
      <c r="CU59" s="10"/>
      <c r="CV59" s="10"/>
      <c r="CW59" s="10"/>
      <c r="CX59" s="10"/>
      <c r="CY59" s="10"/>
      <c r="CZ59" s="10"/>
      <c r="DA59" s="10"/>
      <c r="DB59" s="10"/>
      <c r="DC59" s="10"/>
      <c r="DD59" s="10"/>
      <c r="DE59" s="10"/>
      <c r="DF59" s="10"/>
      <c r="DG59" s="10"/>
      <c r="DH59" s="10"/>
      <c r="DI59" s="10"/>
      <c r="DJ59" s="10"/>
      <c r="DK59" s="10"/>
      <c r="DL59" s="10"/>
      <c r="DM59" s="10"/>
      <c r="DN59" s="10"/>
      <c r="DO59" s="7"/>
      <c r="DP59" s="3"/>
      <c r="DQ59" s="3"/>
      <c r="DR59" s="3"/>
      <c r="DS59" s="3"/>
    </row>
    <row r="60" spans="2:123" ht="13.25" hidden="1" customHeight="1" x14ac:dyDescent="0.3">
      <c r="B60" s="21"/>
      <c r="E60" s="54">
        <v>56</v>
      </c>
      <c r="F60" s="5">
        <f t="shared" ca="1" si="6"/>
        <v>120</v>
      </c>
      <c r="G60" s="5">
        <f t="shared" ca="1" si="7"/>
        <v>670</v>
      </c>
      <c r="H60" s="5">
        <f t="shared" ca="1" si="8"/>
        <v>550</v>
      </c>
      <c r="I60" s="5">
        <f t="shared" ca="1" si="9"/>
        <v>0</v>
      </c>
      <c r="J60" s="5">
        <f t="shared" ca="1" si="10"/>
        <v>0</v>
      </c>
      <c r="K60" s="5">
        <f t="shared" ca="1" si="11"/>
        <v>0</v>
      </c>
      <c r="L60" s="5">
        <f t="shared" ca="1" si="12"/>
        <v>0</v>
      </c>
      <c r="M60" s="6">
        <f t="shared" ca="1" si="5"/>
        <v>15.068493150684931</v>
      </c>
      <c r="O60" s="7"/>
      <c r="P60" s="7"/>
      <c r="R60" s="7"/>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c r="CF60" s="10"/>
      <c r="CG60" s="10"/>
      <c r="CH60" s="10"/>
      <c r="CI60" s="10"/>
      <c r="CJ60" s="10"/>
      <c r="CK60" s="10"/>
      <c r="CL60" s="10"/>
      <c r="CM60" s="10"/>
      <c r="CN60" s="10"/>
      <c r="CO60" s="10"/>
      <c r="CP60" s="10"/>
      <c r="CQ60" s="10"/>
      <c r="CR60" s="10"/>
      <c r="CS60" s="10"/>
      <c r="CT60" s="10"/>
      <c r="CU60" s="10"/>
      <c r="CV60" s="10"/>
      <c r="CW60" s="10"/>
      <c r="CX60" s="10"/>
      <c r="CY60" s="10"/>
      <c r="CZ60" s="10"/>
      <c r="DA60" s="10"/>
      <c r="DB60" s="10"/>
      <c r="DC60" s="10"/>
      <c r="DD60" s="10"/>
      <c r="DE60" s="10"/>
      <c r="DF60" s="10"/>
      <c r="DG60" s="10"/>
      <c r="DH60" s="10"/>
      <c r="DI60" s="10"/>
      <c r="DJ60" s="10"/>
      <c r="DK60" s="10"/>
      <c r="DL60" s="10"/>
      <c r="DM60" s="10"/>
      <c r="DN60" s="10"/>
      <c r="DO60" s="7"/>
      <c r="DP60" s="3"/>
      <c r="DQ60" s="3"/>
      <c r="DR60" s="3"/>
      <c r="DS60" s="3"/>
    </row>
    <row r="61" spans="2:123" ht="13.25" hidden="1" customHeight="1" x14ac:dyDescent="0.3">
      <c r="B61" s="21"/>
      <c r="E61" s="54">
        <v>57</v>
      </c>
      <c r="F61" s="5">
        <f t="shared" ca="1" si="6"/>
        <v>110</v>
      </c>
      <c r="G61" s="5">
        <f t="shared" ca="1" si="7"/>
        <v>550</v>
      </c>
      <c r="H61" s="5">
        <f t="shared" ca="1" si="8"/>
        <v>440</v>
      </c>
      <c r="I61" s="5">
        <f t="shared" ca="1" si="9"/>
        <v>0</v>
      </c>
      <c r="J61" s="5">
        <f t="shared" ca="1" si="10"/>
        <v>0</v>
      </c>
      <c r="K61" s="5">
        <f t="shared" ca="1" si="11"/>
        <v>0</v>
      </c>
      <c r="L61" s="5">
        <f t="shared" ca="1" si="12"/>
        <v>0</v>
      </c>
      <c r="M61" s="6">
        <f t="shared" ca="1" si="5"/>
        <v>12.054794520547944</v>
      </c>
      <c r="O61" s="7"/>
      <c r="P61" s="7"/>
      <c r="R61" s="7"/>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c r="BQ61" s="10"/>
      <c r="BR61" s="10"/>
      <c r="BS61" s="10"/>
      <c r="BT61" s="10"/>
      <c r="BU61" s="10"/>
      <c r="BV61" s="10"/>
      <c r="BW61" s="10"/>
      <c r="BX61" s="10"/>
      <c r="BY61" s="10"/>
      <c r="BZ61" s="10"/>
      <c r="CA61" s="10"/>
      <c r="CB61" s="10"/>
      <c r="CC61" s="10"/>
      <c r="CD61" s="10"/>
      <c r="CE61" s="10"/>
      <c r="CF61" s="10"/>
      <c r="CG61" s="10"/>
      <c r="CH61" s="10"/>
      <c r="CI61" s="10"/>
      <c r="CJ61" s="10"/>
      <c r="CK61" s="10"/>
      <c r="CL61" s="10"/>
      <c r="CM61" s="10"/>
      <c r="CN61" s="10"/>
      <c r="CO61" s="10"/>
      <c r="CP61" s="10"/>
      <c r="CQ61" s="10"/>
      <c r="CR61" s="10"/>
      <c r="CS61" s="10"/>
      <c r="CT61" s="10"/>
      <c r="CU61" s="10"/>
      <c r="CV61" s="10"/>
      <c r="CW61" s="10"/>
      <c r="CX61" s="10"/>
      <c r="CY61" s="10"/>
      <c r="CZ61" s="10"/>
      <c r="DA61" s="10"/>
      <c r="DB61" s="10"/>
      <c r="DC61" s="10"/>
      <c r="DD61" s="10"/>
      <c r="DE61" s="10"/>
      <c r="DF61" s="10"/>
      <c r="DG61" s="10"/>
      <c r="DH61" s="10"/>
      <c r="DI61" s="10"/>
      <c r="DJ61" s="10"/>
      <c r="DK61" s="10"/>
      <c r="DL61" s="10"/>
      <c r="DM61" s="10"/>
      <c r="DN61" s="10"/>
      <c r="DO61" s="7"/>
      <c r="DP61" s="3"/>
      <c r="DQ61" s="3"/>
      <c r="DR61" s="3"/>
      <c r="DS61" s="3"/>
    </row>
    <row r="62" spans="2:123" ht="13.25" hidden="1" customHeight="1" x14ac:dyDescent="0.3">
      <c r="B62" s="21"/>
      <c r="E62" s="54">
        <v>58</v>
      </c>
      <c r="F62" s="5">
        <f t="shared" ca="1" si="6"/>
        <v>110</v>
      </c>
      <c r="G62" s="5">
        <f t="shared" ca="1" si="7"/>
        <v>440</v>
      </c>
      <c r="H62" s="5">
        <f t="shared" ca="1" si="8"/>
        <v>330</v>
      </c>
      <c r="I62" s="5">
        <f t="shared" ca="1" si="9"/>
        <v>0</v>
      </c>
      <c r="J62" s="5">
        <f t="shared" ca="1" si="10"/>
        <v>0</v>
      </c>
      <c r="K62" s="5">
        <f t="shared" ca="1" si="11"/>
        <v>0</v>
      </c>
      <c r="L62" s="5">
        <f t="shared" ca="1" si="12"/>
        <v>0</v>
      </c>
      <c r="M62" s="6">
        <f t="shared" ca="1" si="5"/>
        <v>9.0410958904109577</v>
      </c>
      <c r="O62" s="7"/>
      <c r="P62" s="7"/>
      <c r="R62" s="7"/>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c r="CF62" s="10"/>
      <c r="CG62" s="10"/>
      <c r="CH62" s="10"/>
      <c r="CI62" s="10"/>
      <c r="CJ62" s="10"/>
      <c r="CK62" s="10"/>
      <c r="CL62" s="10"/>
      <c r="CM62" s="10"/>
      <c r="CN62" s="10"/>
      <c r="CO62" s="10"/>
      <c r="CP62" s="10"/>
      <c r="CQ62" s="10"/>
      <c r="CR62" s="10"/>
      <c r="CS62" s="10"/>
      <c r="CT62" s="10"/>
      <c r="CU62" s="10"/>
      <c r="CV62" s="10"/>
      <c r="CW62" s="10"/>
      <c r="CX62" s="10"/>
      <c r="CY62" s="10"/>
      <c r="CZ62" s="10"/>
      <c r="DA62" s="10"/>
      <c r="DB62" s="10"/>
      <c r="DC62" s="10"/>
      <c r="DD62" s="10"/>
      <c r="DE62" s="10"/>
      <c r="DF62" s="10"/>
      <c r="DG62" s="10"/>
      <c r="DH62" s="10"/>
      <c r="DI62" s="10"/>
      <c r="DJ62" s="10"/>
      <c r="DK62" s="10"/>
      <c r="DL62" s="10"/>
      <c r="DM62" s="10"/>
      <c r="DN62" s="10"/>
      <c r="DO62" s="7"/>
      <c r="DP62" s="3"/>
      <c r="DQ62" s="3"/>
      <c r="DR62" s="3"/>
      <c r="DS62" s="3"/>
    </row>
    <row r="63" spans="2:123" ht="13.25" hidden="1" customHeight="1" x14ac:dyDescent="0.3">
      <c r="B63" s="21"/>
      <c r="E63" s="54">
        <v>59</v>
      </c>
      <c r="F63" s="5">
        <f t="shared" ca="1" si="6"/>
        <v>0</v>
      </c>
      <c r="G63" s="5">
        <f t="shared" ca="1" si="7"/>
        <v>330</v>
      </c>
      <c r="H63" s="5">
        <f t="shared" ca="1" si="8"/>
        <v>330</v>
      </c>
      <c r="I63" s="5">
        <f t="shared" ca="1" si="9"/>
        <v>0</v>
      </c>
      <c r="J63" s="5">
        <f t="shared" ca="1" si="10"/>
        <v>0</v>
      </c>
      <c r="K63" s="5">
        <f t="shared" ca="1" si="11"/>
        <v>0</v>
      </c>
      <c r="L63" s="5">
        <f t="shared" ca="1" si="12"/>
        <v>0</v>
      </c>
      <c r="M63" s="6">
        <f t="shared" ca="1" si="5"/>
        <v>9.0410958904109577</v>
      </c>
      <c r="O63" s="7"/>
      <c r="P63" s="7"/>
      <c r="R63" s="7"/>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c r="BR63" s="10"/>
      <c r="BS63" s="10"/>
      <c r="BT63" s="10"/>
      <c r="BU63" s="10"/>
      <c r="BV63" s="10"/>
      <c r="BW63" s="10"/>
      <c r="BX63" s="10"/>
      <c r="BY63" s="10"/>
      <c r="BZ63" s="10"/>
      <c r="CA63" s="10"/>
      <c r="CB63" s="10"/>
      <c r="CC63" s="10"/>
      <c r="CD63" s="10"/>
      <c r="CE63" s="10"/>
      <c r="CF63" s="10"/>
      <c r="CG63" s="10"/>
      <c r="CH63" s="10"/>
      <c r="CI63" s="10"/>
      <c r="CJ63" s="10"/>
      <c r="CK63" s="10"/>
      <c r="CL63" s="10"/>
      <c r="CM63" s="10"/>
      <c r="CN63" s="10"/>
      <c r="CO63" s="10"/>
      <c r="CP63" s="10"/>
      <c r="CQ63" s="10"/>
      <c r="CR63" s="10"/>
      <c r="CS63" s="10"/>
      <c r="CT63" s="10"/>
      <c r="CU63" s="10"/>
      <c r="CV63" s="10"/>
      <c r="CW63" s="10"/>
      <c r="CX63" s="10"/>
      <c r="CY63" s="10"/>
      <c r="CZ63" s="10"/>
      <c r="DA63" s="10"/>
      <c r="DB63" s="10"/>
      <c r="DC63" s="10"/>
      <c r="DD63" s="10"/>
      <c r="DE63" s="10"/>
      <c r="DF63" s="10"/>
      <c r="DG63" s="10"/>
      <c r="DH63" s="10"/>
      <c r="DI63" s="10"/>
      <c r="DJ63" s="10"/>
      <c r="DK63" s="10"/>
      <c r="DL63" s="10"/>
      <c r="DM63" s="10"/>
      <c r="DN63" s="10"/>
      <c r="DO63" s="7"/>
      <c r="DP63" s="3"/>
      <c r="DQ63" s="3"/>
      <c r="DR63" s="3"/>
      <c r="DS63" s="3"/>
    </row>
    <row r="64" spans="2:123" ht="13.25" hidden="1" customHeight="1" x14ac:dyDescent="0.3">
      <c r="B64" s="21"/>
      <c r="E64" s="54">
        <v>60</v>
      </c>
      <c r="F64" s="5">
        <f t="shared" ca="1" si="6"/>
        <v>120</v>
      </c>
      <c r="G64" s="5">
        <f t="shared" ca="1" si="7"/>
        <v>330</v>
      </c>
      <c r="H64" s="5">
        <f t="shared" ca="1" si="8"/>
        <v>210</v>
      </c>
      <c r="I64" s="5">
        <f t="shared" ca="1" si="9"/>
        <v>0</v>
      </c>
      <c r="J64" s="5">
        <f t="shared" ca="1" si="10"/>
        <v>0</v>
      </c>
      <c r="K64" s="5">
        <f t="shared" ca="1" si="11"/>
        <v>0</v>
      </c>
      <c r="L64" s="5">
        <f t="shared" ca="1" si="12"/>
        <v>0</v>
      </c>
      <c r="M64" s="6">
        <f t="shared" ca="1" si="5"/>
        <v>5.7534246575342465</v>
      </c>
      <c r="O64" s="7"/>
      <c r="P64" s="7"/>
      <c r="R64" s="7"/>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c r="BP64" s="10"/>
      <c r="BQ64" s="10"/>
      <c r="BR64" s="10"/>
      <c r="BS64" s="10"/>
      <c r="BT64" s="10"/>
      <c r="BU64" s="10"/>
      <c r="BV64" s="10"/>
      <c r="BW64" s="10"/>
      <c r="BX64" s="10"/>
      <c r="BY64" s="10"/>
      <c r="BZ64" s="10"/>
      <c r="CA64" s="10"/>
      <c r="CB64" s="10"/>
      <c r="CC64" s="10"/>
      <c r="CD64" s="10"/>
      <c r="CE64" s="10"/>
      <c r="CF64" s="10"/>
      <c r="CG64" s="10"/>
      <c r="CH64" s="10"/>
      <c r="CI64" s="10"/>
      <c r="CJ64" s="10"/>
      <c r="CK64" s="10"/>
      <c r="CL64" s="10"/>
      <c r="CM64" s="10"/>
      <c r="CN64" s="10"/>
      <c r="CO64" s="10"/>
      <c r="CP64" s="10"/>
      <c r="CQ64" s="10"/>
      <c r="CR64" s="10"/>
      <c r="CS64" s="10"/>
      <c r="CT64" s="10"/>
      <c r="CU64" s="10"/>
      <c r="CV64" s="10"/>
      <c r="CW64" s="10"/>
      <c r="CX64" s="10"/>
      <c r="CY64" s="10"/>
      <c r="CZ64" s="10"/>
      <c r="DA64" s="10"/>
      <c r="DB64" s="10"/>
      <c r="DC64" s="10"/>
      <c r="DD64" s="10"/>
      <c r="DE64" s="10"/>
      <c r="DF64" s="10"/>
      <c r="DG64" s="10"/>
      <c r="DH64" s="10"/>
      <c r="DI64" s="10"/>
      <c r="DJ64" s="10"/>
      <c r="DK64" s="10"/>
      <c r="DL64" s="10"/>
      <c r="DM64" s="10"/>
      <c r="DN64" s="10"/>
      <c r="DO64" s="7"/>
      <c r="DP64" s="3"/>
      <c r="DQ64" s="3"/>
      <c r="DR64" s="3"/>
      <c r="DS64" s="3"/>
    </row>
    <row r="65" spans="2:123" ht="13.25" hidden="1" customHeight="1" x14ac:dyDescent="0.3">
      <c r="B65" s="21"/>
      <c r="E65" s="54">
        <v>61</v>
      </c>
      <c r="F65" s="5">
        <f t="shared" ca="1" si="6"/>
        <v>120</v>
      </c>
      <c r="G65" s="5">
        <f t="shared" ca="1" si="7"/>
        <v>210</v>
      </c>
      <c r="H65" s="5">
        <f t="shared" ca="1" si="8"/>
        <v>90</v>
      </c>
      <c r="I65" s="5">
        <f t="shared" ca="1" si="9"/>
        <v>1</v>
      </c>
      <c r="J65" s="5">
        <f t="shared" ca="1" si="10"/>
        <v>0</v>
      </c>
      <c r="K65" s="5">
        <f t="shared" ca="1" si="11"/>
        <v>0</v>
      </c>
      <c r="L65" s="5">
        <f t="shared" ca="1" si="12"/>
        <v>200</v>
      </c>
      <c r="M65" s="6">
        <f t="shared" ca="1" si="5"/>
        <v>2.4657534246575343</v>
      </c>
      <c r="O65" s="7"/>
      <c r="P65" s="7"/>
      <c r="R65" s="7"/>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10"/>
      <c r="BR65" s="10"/>
      <c r="BS65" s="10"/>
      <c r="BT65" s="10"/>
      <c r="BU65" s="10"/>
      <c r="BV65" s="10"/>
      <c r="BW65" s="10"/>
      <c r="BX65" s="10"/>
      <c r="BY65" s="10"/>
      <c r="BZ65" s="10"/>
      <c r="CA65" s="10"/>
      <c r="CB65" s="10"/>
      <c r="CC65" s="10"/>
      <c r="CD65" s="10"/>
      <c r="CE65" s="10"/>
      <c r="CF65" s="10"/>
      <c r="CG65" s="10"/>
      <c r="CH65" s="10"/>
      <c r="CI65" s="10"/>
      <c r="CJ65" s="10"/>
      <c r="CK65" s="10"/>
      <c r="CL65" s="10"/>
      <c r="CM65" s="10"/>
      <c r="CN65" s="10"/>
      <c r="CO65" s="10"/>
      <c r="CP65" s="10"/>
      <c r="CQ65" s="10"/>
      <c r="CR65" s="10"/>
      <c r="CS65" s="10"/>
      <c r="CT65" s="10"/>
      <c r="CU65" s="10"/>
      <c r="CV65" s="10"/>
      <c r="CW65" s="10"/>
      <c r="CX65" s="10"/>
      <c r="CY65" s="10"/>
      <c r="CZ65" s="10"/>
      <c r="DA65" s="10"/>
      <c r="DB65" s="10"/>
      <c r="DC65" s="10"/>
      <c r="DD65" s="10"/>
      <c r="DE65" s="10"/>
      <c r="DF65" s="10"/>
      <c r="DG65" s="10"/>
      <c r="DH65" s="10"/>
      <c r="DI65" s="10"/>
      <c r="DJ65" s="10"/>
      <c r="DK65" s="10"/>
      <c r="DL65" s="10"/>
      <c r="DM65" s="10"/>
      <c r="DN65" s="10"/>
      <c r="DO65" s="7"/>
      <c r="DP65" s="3"/>
      <c r="DQ65" s="3"/>
      <c r="DR65" s="3"/>
      <c r="DS65" s="3"/>
    </row>
    <row r="66" spans="2:123" ht="13.25" hidden="1" customHeight="1" x14ac:dyDescent="0.3">
      <c r="B66" s="21"/>
      <c r="E66" s="54">
        <v>62</v>
      </c>
      <c r="F66" s="5">
        <f t="shared" ca="1" si="6"/>
        <v>110</v>
      </c>
      <c r="G66" s="5">
        <f t="shared" ca="1" si="7"/>
        <v>1090</v>
      </c>
      <c r="H66" s="5">
        <f t="shared" ca="1" si="8"/>
        <v>980</v>
      </c>
      <c r="I66" s="5">
        <f t="shared" ca="1" si="9"/>
        <v>0</v>
      </c>
      <c r="J66" s="5">
        <f t="shared" ca="1" si="10"/>
        <v>0</v>
      </c>
      <c r="K66" s="5">
        <f t="shared" ca="1" si="11"/>
        <v>0</v>
      </c>
      <c r="L66" s="5">
        <f t="shared" ca="1" si="12"/>
        <v>0</v>
      </c>
      <c r="M66" s="6">
        <f t="shared" ca="1" si="5"/>
        <v>26.849315068493148</v>
      </c>
      <c r="O66" s="7"/>
      <c r="P66" s="7"/>
      <c r="R66" s="7"/>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c r="CI66" s="10"/>
      <c r="CJ66" s="10"/>
      <c r="CK66" s="10"/>
      <c r="CL66" s="10"/>
      <c r="CM66" s="10"/>
      <c r="CN66" s="10"/>
      <c r="CO66" s="10"/>
      <c r="CP66" s="10"/>
      <c r="CQ66" s="10"/>
      <c r="CR66" s="10"/>
      <c r="CS66" s="10"/>
      <c r="CT66" s="10"/>
      <c r="CU66" s="10"/>
      <c r="CV66" s="10"/>
      <c r="CW66" s="10"/>
      <c r="CX66" s="10"/>
      <c r="CY66" s="10"/>
      <c r="CZ66" s="10"/>
      <c r="DA66" s="10"/>
      <c r="DB66" s="10"/>
      <c r="DC66" s="10"/>
      <c r="DD66" s="10"/>
      <c r="DE66" s="10"/>
      <c r="DF66" s="10"/>
      <c r="DG66" s="10"/>
      <c r="DH66" s="10"/>
      <c r="DI66" s="10"/>
      <c r="DJ66" s="10"/>
      <c r="DK66" s="10"/>
      <c r="DL66" s="10"/>
      <c r="DM66" s="10"/>
      <c r="DN66" s="10"/>
      <c r="DO66" s="7"/>
      <c r="DP66" s="3"/>
      <c r="DQ66" s="3"/>
      <c r="DR66" s="3"/>
      <c r="DS66" s="3"/>
    </row>
    <row r="67" spans="2:123" ht="13.25" hidden="1" customHeight="1" x14ac:dyDescent="0.3">
      <c r="B67" s="21"/>
      <c r="E67" s="54">
        <v>63</v>
      </c>
      <c r="F67" s="5">
        <f t="shared" ca="1" si="6"/>
        <v>120</v>
      </c>
      <c r="G67" s="5">
        <f t="shared" ca="1" si="7"/>
        <v>980</v>
      </c>
      <c r="H67" s="5">
        <f t="shared" ca="1" si="8"/>
        <v>860</v>
      </c>
      <c r="I67" s="5">
        <f t="shared" ca="1" si="9"/>
        <v>0</v>
      </c>
      <c r="J67" s="5">
        <f t="shared" ca="1" si="10"/>
        <v>0</v>
      </c>
      <c r="K67" s="5">
        <f t="shared" ca="1" si="11"/>
        <v>0</v>
      </c>
      <c r="L67" s="5">
        <f t="shared" ca="1" si="12"/>
        <v>0</v>
      </c>
      <c r="M67" s="6">
        <f t="shared" ca="1" si="5"/>
        <v>23.561643835616437</v>
      </c>
      <c r="O67" s="7"/>
      <c r="P67" s="7"/>
      <c r="R67" s="7"/>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c r="BU67" s="10"/>
      <c r="BV67" s="10"/>
      <c r="BW67" s="10"/>
      <c r="BX67" s="10"/>
      <c r="BY67" s="10"/>
      <c r="BZ67" s="10"/>
      <c r="CA67" s="10"/>
      <c r="CB67" s="10"/>
      <c r="CC67" s="10"/>
      <c r="CD67" s="10"/>
      <c r="CE67" s="10"/>
      <c r="CF67" s="10"/>
      <c r="CG67" s="10"/>
      <c r="CH67" s="10"/>
      <c r="CI67" s="10"/>
      <c r="CJ67" s="10"/>
      <c r="CK67" s="10"/>
      <c r="CL67" s="10"/>
      <c r="CM67" s="10"/>
      <c r="CN67" s="10"/>
      <c r="CO67" s="10"/>
      <c r="CP67" s="10"/>
      <c r="CQ67" s="10"/>
      <c r="CR67" s="10"/>
      <c r="CS67" s="10"/>
      <c r="CT67" s="10"/>
      <c r="CU67" s="10"/>
      <c r="CV67" s="10"/>
      <c r="CW67" s="10"/>
      <c r="CX67" s="10"/>
      <c r="CY67" s="10"/>
      <c r="CZ67" s="10"/>
      <c r="DA67" s="10"/>
      <c r="DB67" s="10"/>
      <c r="DC67" s="10"/>
      <c r="DD67" s="10"/>
      <c r="DE67" s="10"/>
      <c r="DF67" s="10"/>
      <c r="DG67" s="10"/>
      <c r="DH67" s="10"/>
      <c r="DI67" s="10"/>
      <c r="DJ67" s="10"/>
      <c r="DK67" s="10"/>
      <c r="DL67" s="10"/>
      <c r="DM67" s="10"/>
      <c r="DN67" s="10"/>
      <c r="DO67" s="7"/>
      <c r="DP67" s="3"/>
      <c r="DQ67" s="3"/>
      <c r="DR67" s="3"/>
      <c r="DS67" s="3"/>
    </row>
    <row r="68" spans="2:123" ht="13.25" hidden="1" customHeight="1" x14ac:dyDescent="0.3">
      <c r="B68" s="21"/>
      <c r="E68" s="54">
        <v>64</v>
      </c>
      <c r="F68" s="5">
        <f t="shared" ca="1" si="6"/>
        <v>120</v>
      </c>
      <c r="G68" s="5">
        <f t="shared" ca="1" si="7"/>
        <v>860</v>
      </c>
      <c r="H68" s="5">
        <f t="shared" ca="1" si="8"/>
        <v>740</v>
      </c>
      <c r="I68" s="5">
        <f t="shared" ca="1" si="9"/>
        <v>0</v>
      </c>
      <c r="J68" s="5">
        <f t="shared" ca="1" si="10"/>
        <v>0</v>
      </c>
      <c r="K68" s="5">
        <f t="shared" ca="1" si="11"/>
        <v>0</v>
      </c>
      <c r="L68" s="5">
        <f t="shared" ca="1" si="12"/>
        <v>0</v>
      </c>
      <c r="M68" s="6">
        <f t="shared" ca="1" si="5"/>
        <v>20.273972602739725</v>
      </c>
      <c r="DP68" s="3"/>
      <c r="DQ68" s="3"/>
      <c r="DR68" s="3"/>
      <c r="DS68" s="3"/>
    </row>
    <row r="69" spans="2:123" ht="13.25" hidden="1" customHeight="1" x14ac:dyDescent="0.3">
      <c r="B69" s="21"/>
      <c r="E69" s="54">
        <v>65</v>
      </c>
      <c r="F69" s="5">
        <f t="shared" ref="F69:F132" ca="1" si="14">INDEX($R$18:$R$22,MATCH(RAND(),$T$17:$T$22,1))</f>
        <v>120</v>
      </c>
      <c r="G69" s="5">
        <f t="shared" ca="1" si="7"/>
        <v>740</v>
      </c>
      <c r="H69" s="5">
        <f t="shared" ca="1" si="8"/>
        <v>620</v>
      </c>
      <c r="I69" s="5">
        <f t="shared" ca="1" si="9"/>
        <v>0</v>
      </c>
      <c r="J69" s="5">
        <f t="shared" ca="1" si="10"/>
        <v>0</v>
      </c>
      <c r="K69" s="5">
        <f t="shared" ca="1" si="11"/>
        <v>0</v>
      </c>
      <c r="L69" s="5">
        <f t="shared" ca="1" si="12"/>
        <v>0</v>
      </c>
      <c r="M69" s="6">
        <f t="shared" ref="M69:M132" ca="1" si="15">H69*$C$7</f>
        <v>16.986301369863014</v>
      </c>
    </row>
    <row r="70" spans="2:123" ht="13.25" hidden="1" customHeight="1" x14ac:dyDescent="0.3">
      <c r="B70" s="21"/>
      <c r="E70" s="54">
        <v>66</v>
      </c>
      <c r="F70" s="5">
        <f t="shared" ca="1" si="14"/>
        <v>100</v>
      </c>
      <c r="G70" s="5">
        <f t="shared" ref="G70:G133" ca="1" si="16">H69+$C$9*I69</f>
        <v>620</v>
      </c>
      <c r="H70" s="5">
        <f t="shared" ref="H70:H133" ca="1" si="17">IF(G70-F70&gt;0,G70-F70,0)</f>
        <v>520</v>
      </c>
      <c r="I70" s="5">
        <f t="shared" ref="I70:I133" ca="1" si="18">IF(H70&lt;$C$3,1,0)</f>
        <v>0</v>
      </c>
      <c r="J70" s="5">
        <f t="shared" ref="J70:J133" ca="1" si="19">-MIN(0,G70-F70)</f>
        <v>0</v>
      </c>
      <c r="K70" s="5">
        <f t="shared" ref="K70:K133" ca="1" si="20">J70*$C$8</f>
        <v>0</v>
      </c>
      <c r="L70" s="5">
        <f t="shared" ref="L70:L133" ca="1" si="21">$C$4*I70</f>
        <v>0</v>
      </c>
      <c r="M70" s="6">
        <f t="shared" ca="1" si="15"/>
        <v>14.246575342465754</v>
      </c>
    </row>
    <row r="71" spans="2:123" ht="13.25" hidden="1" customHeight="1" x14ac:dyDescent="0.3">
      <c r="B71" s="21"/>
      <c r="E71" s="54">
        <v>67</v>
      </c>
      <c r="F71" s="5">
        <f t="shared" ca="1" si="14"/>
        <v>100</v>
      </c>
      <c r="G71" s="5">
        <f t="shared" ca="1" si="16"/>
        <v>520</v>
      </c>
      <c r="H71" s="5">
        <f t="shared" ca="1" si="17"/>
        <v>420</v>
      </c>
      <c r="I71" s="5">
        <f t="shared" ca="1" si="18"/>
        <v>0</v>
      </c>
      <c r="J71" s="5">
        <f t="shared" ca="1" si="19"/>
        <v>0</v>
      </c>
      <c r="K71" s="5">
        <f t="shared" ca="1" si="20"/>
        <v>0</v>
      </c>
      <c r="L71" s="5">
        <f t="shared" ca="1" si="21"/>
        <v>0</v>
      </c>
      <c r="M71" s="6">
        <f t="shared" ca="1" si="15"/>
        <v>11.506849315068493</v>
      </c>
    </row>
    <row r="72" spans="2:123" ht="13.25" hidden="1" customHeight="1" x14ac:dyDescent="0.3">
      <c r="B72" s="21"/>
      <c r="E72" s="54">
        <v>68</v>
      </c>
      <c r="F72" s="5">
        <f t="shared" ca="1" si="14"/>
        <v>120</v>
      </c>
      <c r="G72" s="5">
        <f t="shared" ca="1" si="16"/>
        <v>420</v>
      </c>
      <c r="H72" s="5">
        <f t="shared" ca="1" si="17"/>
        <v>300</v>
      </c>
      <c r="I72" s="5">
        <f t="shared" ca="1" si="18"/>
        <v>0</v>
      </c>
      <c r="J72" s="5">
        <f t="shared" ca="1" si="19"/>
        <v>0</v>
      </c>
      <c r="K72" s="5">
        <f t="shared" ca="1" si="20"/>
        <v>0</v>
      </c>
      <c r="L72" s="5">
        <f t="shared" ca="1" si="21"/>
        <v>0</v>
      </c>
      <c r="M72" s="6">
        <f t="shared" ca="1" si="15"/>
        <v>8.2191780821917799</v>
      </c>
    </row>
    <row r="73" spans="2:123" ht="13.25" hidden="1" customHeight="1" x14ac:dyDescent="0.3">
      <c r="B73" s="21"/>
      <c r="E73" s="54">
        <v>69</v>
      </c>
      <c r="F73" s="5">
        <f t="shared" ca="1" si="14"/>
        <v>100</v>
      </c>
      <c r="G73" s="5">
        <f t="shared" ca="1" si="16"/>
        <v>300</v>
      </c>
      <c r="H73" s="5">
        <f t="shared" ca="1" si="17"/>
        <v>200</v>
      </c>
      <c r="I73" s="5">
        <f t="shared" ca="1" si="18"/>
        <v>0</v>
      </c>
      <c r="J73" s="5">
        <f t="shared" ca="1" si="19"/>
        <v>0</v>
      </c>
      <c r="K73" s="5">
        <f t="shared" ca="1" si="20"/>
        <v>0</v>
      </c>
      <c r="L73" s="5">
        <f t="shared" ca="1" si="21"/>
        <v>0</v>
      </c>
      <c r="M73" s="6">
        <f t="shared" ca="1" si="15"/>
        <v>5.4794520547945202</v>
      </c>
    </row>
    <row r="74" spans="2:123" ht="13.25" hidden="1" customHeight="1" x14ac:dyDescent="0.3">
      <c r="B74" s="21"/>
      <c r="E74" s="54">
        <v>70</v>
      </c>
      <c r="F74" s="5">
        <f t="shared" ca="1" si="14"/>
        <v>0</v>
      </c>
      <c r="G74" s="5">
        <f t="shared" ca="1" si="16"/>
        <v>200</v>
      </c>
      <c r="H74" s="5">
        <f t="shared" ca="1" si="17"/>
        <v>200</v>
      </c>
      <c r="I74" s="5">
        <f t="shared" ca="1" si="18"/>
        <v>0</v>
      </c>
      <c r="J74" s="5">
        <f t="shared" ca="1" si="19"/>
        <v>0</v>
      </c>
      <c r="K74" s="5">
        <f t="shared" ca="1" si="20"/>
        <v>0</v>
      </c>
      <c r="L74" s="5">
        <f t="shared" ca="1" si="21"/>
        <v>0</v>
      </c>
      <c r="M74" s="6">
        <f t="shared" ca="1" si="15"/>
        <v>5.4794520547945202</v>
      </c>
    </row>
    <row r="75" spans="2:123" ht="13.25" hidden="1" customHeight="1" x14ac:dyDescent="0.3">
      <c r="B75" s="21"/>
      <c r="E75" s="54">
        <v>71</v>
      </c>
      <c r="F75" s="5">
        <f t="shared" ca="1" si="14"/>
        <v>100</v>
      </c>
      <c r="G75" s="5">
        <f t="shared" ca="1" si="16"/>
        <v>200</v>
      </c>
      <c r="H75" s="5">
        <f t="shared" ca="1" si="17"/>
        <v>100</v>
      </c>
      <c r="I75" s="5">
        <f t="shared" ca="1" si="18"/>
        <v>0</v>
      </c>
      <c r="J75" s="5">
        <f t="shared" ca="1" si="19"/>
        <v>0</v>
      </c>
      <c r="K75" s="5">
        <f t="shared" ca="1" si="20"/>
        <v>0</v>
      </c>
      <c r="L75" s="5">
        <f t="shared" ca="1" si="21"/>
        <v>0</v>
      </c>
      <c r="M75" s="6">
        <f t="shared" ca="1" si="15"/>
        <v>2.7397260273972601</v>
      </c>
    </row>
    <row r="76" spans="2:123" ht="13.25" hidden="1" customHeight="1" x14ac:dyDescent="0.3">
      <c r="B76" s="21"/>
      <c r="E76" s="54">
        <v>72</v>
      </c>
      <c r="F76" s="5">
        <f t="shared" ca="1" si="14"/>
        <v>110</v>
      </c>
      <c r="G76" s="5">
        <f t="shared" ca="1" si="16"/>
        <v>100</v>
      </c>
      <c r="H76" s="5">
        <f t="shared" ca="1" si="17"/>
        <v>0</v>
      </c>
      <c r="I76" s="5">
        <f t="shared" ca="1" si="18"/>
        <v>1</v>
      </c>
      <c r="J76" s="5">
        <f t="shared" ca="1" si="19"/>
        <v>10</v>
      </c>
      <c r="K76" s="5">
        <f t="shared" ca="1" si="20"/>
        <v>500</v>
      </c>
      <c r="L76" s="5">
        <f t="shared" ca="1" si="21"/>
        <v>200</v>
      </c>
      <c r="M76" s="6">
        <f t="shared" ca="1" si="15"/>
        <v>0</v>
      </c>
    </row>
    <row r="77" spans="2:123" ht="13.25" hidden="1" customHeight="1" x14ac:dyDescent="0.3">
      <c r="B77" s="21"/>
      <c r="E77" s="54">
        <v>73</v>
      </c>
      <c r="F77" s="5">
        <f t="shared" ca="1" si="14"/>
        <v>100</v>
      </c>
      <c r="G77" s="5">
        <f t="shared" ca="1" si="16"/>
        <v>1000</v>
      </c>
      <c r="H77" s="5">
        <f t="shared" ca="1" si="17"/>
        <v>900</v>
      </c>
      <c r="I77" s="5">
        <f t="shared" ca="1" si="18"/>
        <v>0</v>
      </c>
      <c r="J77" s="5">
        <f t="shared" ca="1" si="19"/>
        <v>0</v>
      </c>
      <c r="K77" s="5">
        <f t="shared" ca="1" si="20"/>
        <v>0</v>
      </c>
      <c r="L77" s="5">
        <f t="shared" ca="1" si="21"/>
        <v>0</v>
      </c>
      <c r="M77" s="6">
        <f t="shared" ca="1" si="15"/>
        <v>24.657534246575342</v>
      </c>
    </row>
    <row r="78" spans="2:123" ht="13.25" hidden="1" customHeight="1" x14ac:dyDescent="0.3">
      <c r="B78" s="21"/>
      <c r="E78" s="54">
        <v>74</v>
      </c>
      <c r="F78" s="5">
        <f t="shared" ca="1" si="14"/>
        <v>100</v>
      </c>
      <c r="G78" s="5">
        <f t="shared" ca="1" si="16"/>
        <v>900</v>
      </c>
      <c r="H78" s="5">
        <f t="shared" ca="1" si="17"/>
        <v>800</v>
      </c>
      <c r="I78" s="5">
        <f t="shared" ca="1" si="18"/>
        <v>0</v>
      </c>
      <c r="J78" s="5">
        <f t="shared" ca="1" si="19"/>
        <v>0</v>
      </c>
      <c r="K78" s="5">
        <f t="shared" ca="1" si="20"/>
        <v>0</v>
      </c>
      <c r="L78" s="5">
        <f t="shared" ca="1" si="21"/>
        <v>0</v>
      </c>
      <c r="M78" s="6">
        <f t="shared" ca="1" si="15"/>
        <v>21.917808219178081</v>
      </c>
    </row>
    <row r="79" spans="2:123" ht="13.25" hidden="1" customHeight="1" x14ac:dyDescent="0.3">
      <c r="B79" s="21"/>
      <c r="E79" s="54">
        <v>75</v>
      </c>
      <c r="F79" s="5">
        <f t="shared" ca="1" si="14"/>
        <v>100</v>
      </c>
      <c r="G79" s="5">
        <f t="shared" ca="1" si="16"/>
        <v>800</v>
      </c>
      <c r="H79" s="5">
        <f t="shared" ca="1" si="17"/>
        <v>700</v>
      </c>
      <c r="I79" s="5">
        <f t="shared" ca="1" si="18"/>
        <v>0</v>
      </c>
      <c r="J79" s="5">
        <f t="shared" ca="1" si="19"/>
        <v>0</v>
      </c>
      <c r="K79" s="5">
        <f t="shared" ca="1" si="20"/>
        <v>0</v>
      </c>
      <c r="L79" s="5">
        <f t="shared" ca="1" si="21"/>
        <v>0</v>
      </c>
      <c r="M79" s="6">
        <f t="shared" ca="1" si="15"/>
        <v>19.17808219178082</v>
      </c>
    </row>
    <row r="80" spans="2:123" ht="13.25" hidden="1" customHeight="1" x14ac:dyDescent="0.3">
      <c r="B80" s="21"/>
      <c r="E80" s="54">
        <v>76</v>
      </c>
      <c r="F80" s="5">
        <f t="shared" ca="1" si="14"/>
        <v>0</v>
      </c>
      <c r="G80" s="5">
        <f t="shared" ca="1" si="16"/>
        <v>700</v>
      </c>
      <c r="H80" s="5">
        <f t="shared" ca="1" si="17"/>
        <v>700</v>
      </c>
      <c r="I80" s="5">
        <f t="shared" ca="1" si="18"/>
        <v>0</v>
      </c>
      <c r="J80" s="5">
        <f t="shared" ca="1" si="19"/>
        <v>0</v>
      </c>
      <c r="K80" s="5">
        <f t="shared" ca="1" si="20"/>
        <v>0</v>
      </c>
      <c r="L80" s="5">
        <f t="shared" ca="1" si="21"/>
        <v>0</v>
      </c>
      <c r="M80" s="6">
        <f t="shared" ca="1" si="15"/>
        <v>19.17808219178082</v>
      </c>
    </row>
    <row r="81" spans="2:13" ht="13.25" hidden="1" customHeight="1" x14ac:dyDescent="0.3">
      <c r="B81" s="21"/>
      <c r="E81" s="54">
        <v>77</v>
      </c>
      <c r="F81" s="5">
        <f t="shared" ca="1" si="14"/>
        <v>100</v>
      </c>
      <c r="G81" s="5">
        <f t="shared" ca="1" si="16"/>
        <v>700</v>
      </c>
      <c r="H81" s="5">
        <f t="shared" ca="1" si="17"/>
        <v>600</v>
      </c>
      <c r="I81" s="5">
        <f t="shared" ca="1" si="18"/>
        <v>0</v>
      </c>
      <c r="J81" s="5">
        <f t="shared" ca="1" si="19"/>
        <v>0</v>
      </c>
      <c r="K81" s="5">
        <f t="shared" ca="1" si="20"/>
        <v>0</v>
      </c>
      <c r="L81" s="5">
        <f t="shared" ca="1" si="21"/>
        <v>0</v>
      </c>
      <c r="M81" s="6">
        <f t="shared" ca="1" si="15"/>
        <v>16.43835616438356</v>
      </c>
    </row>
    <row r="82" spans="2:13" ht="13.25" hidden="1" customHeight="1" x14ac:dyDescent="0.3">
      <c r="B82" s="21"/>
      <c r="E82" s="54">
        <v>78</v>
      </c>
      <c r="F82" s="5">
        <f t="shared" ca="1" si="14"/>
        <v>110</v>
      </c>
      <c r="G82" s="5">
        <f t="shared" ca="1" si="16"/>
        <v>600</v>
      </c>
      <c r="H82" s="5">
        <f t="shared" ca="1" si="17"/>
        <v>490</v>
      </c>
      <c r="I82" s="5">
        <f t="shared" ca="1" si="18"/>
        <v>0</v>
      </c>
      <c r="J82" s="5">
        <f t="shared" ca="1" si="19"/>
        <v>0</v>
      </c>
      <c r="K82" s="5">
        <f t="shared" ca="1" si="20"/>
        <v>0</v>
      </c>
      <c r="L82" s="5">
        <f t="shared" ca="1" si="21"/>
        <v>0</v>
      </c>
      <c r="M82" s="6">
        <f t="shared" ca="1" si="15"/>
        <v>13.424657534246574</v>
      </c>
    </row>
    <row r="83" spans="2:13" ht="13.25" hidden="1" customHeight="1" x14ac:dyDescent="0.3">
      <c r="B83" s="21"/>
      <c r="E83" s="54">
        <v>79</v>
      </c>
      <c r="F83" s="5">
        <f t="shared" ca="1" si="14"/>
        <v>110</v>
      </c>
      <c r="G83" s="5">
        <f t="shared" ca="1" si="16"/>
        <v>490</v>
      </c>
      <c r="H83" s="5">
        <f t="shared" ca="1" si="17"/>
        <v>380</v>
      </c>
      <c r="I83" s="5">
        <f t="shared" ca="1" si="18"/>
        <v>0</v>
      </c>
      <c r="J83" s="5">
        <f t="shared" ca="1" si="19"/>
        <v>0</v>
      </c>
      <c r="K83" s="5">
        <f t="shared" ca="1" si="20"/>
        <v>0</v>
      </c>
      <c r="L83" s="5">
        <f t="shared" ca="1" si="21"/>
        <v>0</v>
      </c>
      <c r="M83" s="6">
        <f t="shared" ca="1" si="15"/>
        <v>10.410958904109588</v>
      </c>
    </row>
    <row r="84" spans="2:13" ht="13.25" hidden="1" customHeight="1" x14ac:dyDescent="0.3">
      <c r="B84" s="21"/>
      <c r="E84" s="54">
        <v>80</v>
      </c>
      <c r="F84" s="5">
        <f t="shared" ca="1" si="14"/>
        <v>110</v>
      </c>
      <c r="G84" s="5">
        <f t="shared" ca="1" si="16"/>
        <v>380</v>
      </c>
      <c r="H84" s="5">
        <f t="shared" ca="1" si="17"/>
        <v>270</v>
      </c>
      <c r="I84" s="5">
        <f t="shared" ca="1" si="18"/>
        <v>0</v>
      </c>
      <c r="J84" s="5">
        <f t="shared" ca="1" si="19"/>
        <v>0</v>
      </c>
      <c r="K84" s="5">
        <f t="shared" ca="1" si="20"/>
        <v>0</v>
      </c>
      <c r="L84" s="5">
        <f t="shared" ca="1" si="21"/>
        <v>0</v>
      </c>
      <c r="M84" s="6">
        <f t="shared" ca="1" si="15"/>
        <v>7.3972602739726021</v>
      </c>
    </row>
    <row r="85" spans="2:13" ht="13.25" hidden="1" customHeight="1" x14ac:dyDescent="0.3">
      <c r="B85" s="21"/>
      <c r="E85" s="54">
        <v>81</v>
      </c>
      <c r="F85" s="5">
        <f t="shared" ca="1" si="14"/>
        <v>120</v>
      </c>
      <c r="G85" s="5">
        <f t="shared" ca="1" si="16"/>
        <v>270</v>
      </c>
      <c r="H85" s="5">
        <f t="shared" ca="1" si="17"/>
        <v>150</v>
      </c>
      <c r="I85" s="5">
        <f t="shared" ca="1" si="18"/>
        <v>0</v>
      </c>
      <c r="J85" s="5">
        <f t="shared" ca="1" si="19"/>
        <v>0</v>
      </c>
      <c r="K85" s="5">
        <f t="shared" ca="1" si="20"/>
        <v>0</v>
      </c>
      <c r="L85" s="5">
        <f t="shared" ca="1" si="21"/>
        <v>0</v>
      </c>
      <c r="M85" s="6">
        <f t="shared" ca="1" si="15"/>
        <v>4.10958904109589</v>
      </c>
    </row>
    <row r="86" spans="2:13" ht="13.25" hidden="1" customHeight="1" x14ac:dyDescent="0.3">
      <c r="B86" s="21"/>
      <c r="E86" s="54">
        <v>82</v>
      </c>
      <c r="F86" s="5">
        <f t="shared" ca="1" si="14"/>
        <v>110</v>
      </c>
      <c r="G86" s="5">
        <f t="shared" ca="1" si="16"/>
        <v>150</v>
      </c>
      <c r="H86" s="5">
        <f t="shared" ca="1" si="17"/>
        <v>40</v>
      </c>
      <c r="I86" s="5">
        <f t="shared" ca="1" si="18"/>
        <v>1</v>
      </c>
      <c r="J86" s="5">
        <f t="shared" ca="1" si="19"/>
        <v>0</v>
      </c>
      <c r="K86" s="5">
        <f t="shared" ca="1" si="20"/>
        <v>0</v>
      </c>
      <c r="L86" s="5">
        <f t="shared" ca="1" si="21"/>
        <v>200</v>
      </c>
      <c r="M86" s="6">
        <f t="shared" ca="1" si="15"/>
        <v>1.095890410958904</v>
      </c>
    </row>
    <row r="87" spans="2:13" ht="13.25" hidden="1" customHeight="1" x14ac:dyDescent="0.3">
      <c r="B87" s="21"/>
      <c r="E87" s="54">
        <v>83</v>
      </c>
      <c r="F87" s="5">
        <f t="shared" ca="1" si="14"/>
        <v>120</v>
      </c>
      <c r="G87" s="5">
        <f t="shared" ca="1" si="16"/>
        <v>1040</v>
      </c>
      <c r="H87" s="5">
        <f t="shared" ca="1" si="17"/>
        <v>920</v>
      </c>
      <c r="I87" s="5">
        <f t="shared" ca="1" si="18"/>
        <v>0</v>
      </c>
      <c r="J87" s="5">
        <f t="shared" ca="1" si="19"/>
        <v>0</v>
      </c>
      <c r="K87" s="5">
        <f t="shared" ca="1" si="20"/>
        <v>0</v>
      </c>
      <c r="L87" s="5">
        <f t="shared" ca="1" si="21"/>
        <v>0</v>
      </c>
      <c r="M87" s="6">
        <f t="shared" ca="1" si="15"/>
        <v>25.205479452054792</v>
      </c>
    </row>
    <row r="88" spans="2:13" ht="13.25" hidden="1" customHeight="1" x14ac:dyDescent="0.3">
      <c r="B88" s="21"/>
      <c r="E88" s="54">
        <v>84</v>
      </c>
      <c r="F88" s="5">
        <f t="shared" ca="1" si="14"/>
        <v>120</v>
      </c>
      <c r="G88" s="5">
        <f t="shared" ca="1" si="16"/>
        <v>920</v>
      </c>
      <c r="H88" s="5">
        <f t="shared" ca="1" si="17"/>
        <v>800</v>
      </c>
      <c r="I88" s="5">
        <f t="shared" ca="1" si="18"/>
        <v>0</v>
      </c>
      <c r="J88" s="5">
        <f t="shared" ca="1" si="19"/>
        <v>0</v>
      </c>
      <c r="K88" s="5">
        <f t="shared" ca="1" si="20"/>
        <v>0</v>
      </c>
      <c r="L88" s="5">
        <f t="shared" ca="1" si="21"/>
        <v>0</v>
      </c>
      <c r="M88" s="6">
        <f t="shared" ca="1" si="15"/>
        <v>21.917808219178081</v>
      </c>
    </row>
    <row r="89" spans="2:13" ht="13.25" hidden="1" customHeight="1" x14ac:dyDescent="0.3">
      <c r="B89" s="21"/>
      <c r="E89" s="54">
        <v>85</v>
      </c>
      <c r="F89" s="5">
        <f t="shared" ca="1" si="14"/>
        <v>110</v>
      </c>
      <c r="G89" s="5">
        <f t="shared" ca="1" si="16"/>
        <v>800</v>
      </c>
      <c r="H89" s="5">
        <f t="shared" ca="1" si="17"/>
        <v>690</v>
      </c>
      <c r="I89" s="5">
        <f t="shared" ca="1" si="18"/>
        <v>0</v>
      </c>
      <c r="J89" s="5">
        <f t="shared" ca="1" si="19"/>
        <v>0</v>
      </c>
      <c r="K89" s="5">
        <f t="shared" ca="1" si="20"/>
        <v>0</v>
      </c>
      <c r="L89" s="5">
        <f t="shared" ca="1" si="21"/>
        <v>0</v>
      </c>
      <c r="M89" s="6">
        <f t="shared" ca="1" si="15"/>
        <v>18.904109589041095</v>
      </c>
    </row>
    <row r="90" spans="2:13" ht="13.25" hidden="1" customHeight="1" x14ac:dyDescent="0.3">
      <c r="B90" s="21"/>
      <c r="E90" s="54">
        <v>86</v>
      </c>
      <c r="F90" s="5">
        <f t="shared" ca="1" si="14"/>
        <v>0</v>
      </c>
      <c r="G90" s="5">
        <f t="shared" ca="1" si="16"/>
        <v>690</v>
      </c>
      <c r="H90" s="5">
        <f t="shared" ca="1" si="17"/>
        <v>690</v>
      </c>
      <c r="I90" s="5">
        <f t="shared" ca="1" si="18"/>
        <v>0</v>
      </c>
      <c r="J90" s="5">
        <f t="shared" ca="1" si="19"/>
        <v>0</v>
      </c>
      <c r="K90" s="5">
        <f t="shared" ca="1" si="20"/>
        <v>0</v>
      </c>
      <c r="L90" s="5">
        <f t="shared" ca="1" si="21"/>
        <v>0</v>
      </c>
      <c r="M90" s="6">
        <f t="shared" ca="1" si="15"/>
        <v>18.904109589041095</v>
      </c>
    </row>
    <row r="91" spans="2:13" ht="13.25" hidden="1" customHeight="1" x14ac:dyDescent="0.3">
      <c r="B91" s="21"/>
      <c r="E91" s="54">
        <v>87</v>
      </c>
      <c r="F91" s="5">
        <f t="shared" ca="1" si="14"/>
        <v>110</v>
      </c>
      <c r="G91" s="5">
        <f t="shared" ca="1" si="16"/>
        <v>690</v>
      </c>
      <c r="H91" s="5">
        <f t="shared" ca="1" si="17"/>
        <v>580</v>
      </c>
      <c r="I91" s="5">
        <f t="shared" ca="1" si="18"/>
        <v>0</v>
      </c>
      <c r="J91" s="5">
        <f t="shared" ca="1" si="19"/>
        <v>0</v>
      </c>
      <c r="K91" s="5">
        <f t="shared" ca="1" si="20"/>
        <v>0</v>
      </c>
      <c r="L91" s="5">
        <f t="shared" ca="1" si="21"/>
        <v>0</v>
      </c>
      <c r="M91" s="6">
        <f t="shared" ca="1" si="15"/>
        <v>15.890410958904109</v>
      </c>
    </row>
    <row r="92" spans="2:13" ht="13.25" hidden="1" customHeight="1" x14ac:dyDescent="0.3">
      <c r="B92" s="21"/>
      <c r="E92" s="54">
        <v>88</v>
      </c>
      <c r="F92" s="5">
        <f t="shared" ca="1" si="14"/>
        <v>120</v>
      </c>
      <c r="G92" s="5">
        <f t="shared" ca="1" si="16"/>
        <v>580</v>
      </c>
      <c r="H92" s="5">
        <f t="shared" ca="1" si="17"/>
        <v>460</v>
      </c>
      <c r="I92" s="5">
        <f t="shared" ca="1" si="18"/>
        <v>0</v>
      </c>
      <c r="J92" s="5">
        <f t="shared" ca="1" si="19"/>
        <v>0</v>
      </c>
      <c r="K92" s="5">
        <f t="shared" ca="1" si="20"/>
        <v>0</v>
      </c>
      <c r="L92" s="5">
        <f t="shared" ca="1" si="21"/>
        <v>0</v>
      </c>
      <c r="M92" s="6">
        <f t="shared" ca="1" si="15"/>
        <v>12.602739726027396</v>
      </c>
    </row>
    <row r="93" spans="2:13" ht="13.25" hidden="1" customHeight="1" x14ac:dyDescent="0.3">
      <c r="B93" s="21"/>
      <c r="E93" s="54">
        <v>89</v>
      </c>
      <c r="F93" s="5">
        <f t="shared" ca="1" si="14"/>
        <v>120</v>
      </c>
      <c r="G93" s="5">
        <f t="shared" ca="1" si="16"/>
        <v>460</v>
      </c>
      <c r="H93" s="5">
        <f t="shared" ca="1" si="17"/>
        <v>340</v>
      </c>
      <c r="I93" s="5">
        <f t="shared" ca="1" si="18"/>
        <v>0</v>
      </c>
      <c r="J93" s="5">
        <f t="shared" ca="1" si="19"/>
        <v>0</v>
      </c>
      <c r="K93" s="5">
        <f t="shared" ca="1" si="20"/>
        <v>0</v>
      </c>
      <c r="L93" s="5">
        <f t="shared" ca="1" si="21"/>
        <v>0</v>
      </c>
      <c r="M93" s="6">
        <f t="shared" ca="1" si="15"/>
        <v>9.3150684931506849</v>
      </c>
    </row>
    <row r="94" spans="2:13" ht="13.25" hidden="1" customHeight="1" x14ac:dyDescent="0.3">
      <c r="B94" s="21"/>
      <c r="E94" s="54">
        <v>90</v>
      </c>
      <c r="F94" s="5">
        <f t="shared" ca="1" si="14"/>
        <v>120</v>
      </c>
      <c r="G94" s="5">
        <f t="shared" ca="1" si="16"/>
        <v>340</v>
      </c>
      <c r="H94" s="5">
        <f t="shared" ca="1" si="17"/>
        <v>220</v>
      </c>
      <c r="I94" s="5">
        <f t="shared" ca="1" si="18"/>
        <v>0</v>
      </c>
      <c r="J94" s="5">
        <f t="shared" ca="1" si="19"/>
        <v>0</v>
      </c>
      <c r="K94" s="5">
        <f t="shared" ca="1" si="20"/>
        <v>0</v>
      </c>
      <c r="L94" s="5">
        <f t="shared" ca="1" si="21"/>
        <v>0</v>
      </c>
      <c r="M94" s="6">
        <f t="shared" ca="1" si="15"/>
        <v>6.0273972602739718</v>
      </c>
    </row>
    <row r="95" spans="2:13" ht="13.25" hidden="1" customHeight="1" x14ac:dyDescent="0.3">
      <c r="B95" s="21"/>
      <c r="E95" s="54">
        <v>91</v>
      </c>
      <c r="F95" s="5">
        <f t="shared" ca="1" si="14"/>
        <v>110</v>
      </c>
      <c r="G95" s="5">
        <f t="shared" ca="1" si="16"/>
        <v>220</v>
      </c>
      <c r="H95" s="5">
        <f t="shared" ca="1" si="17"/>
        <v>110</v>
      </c>
      <c r="I95" s="5">
        <f t="shared" ca="1" si="18"/>
        <v>0</v>
      </c>
      <c r="J95" s="5">
        <f t="shared" ca="1" si="19"/>
        <v>0</v>
      </c>
      <c r="K95" s="5">
        <f t="shared" ca="1" si="20"/>
        <v>0</v>
      </c>
      <c r="L95" s="5">
        <f t="shared" ca="1" si="21"/>
        <v>0</v>
      </c>
      <c r="M95" s="6">
        <f t="shared" ca="1" si="15"/>
        <v>3.0136986301369859</v>
      </c>
    </row>
    <row r="96" spans="2:13" ht="13.25" hidden="1" customHeight="1" x14ac:dyDescent="0.3">
      <c r="B96" s="21"/>
      <c r="E96" s="54">
        <v>92</v>
      </c>
      <c r="F96" s="5">
        <f t="shared" ca="1" si="14"/>
        <v>110</v>
      </c>
      <c r="G96" s="5">
        <f t="shared" ca="1" si="16"/>
        <v>110</v>
      </c>
      <c r="H96" s="5">
        <f t="shared" ca="1" si="17"/>
        <v>0</v>
      </c>
      <c r="I96" s="5">
        <f t="shared" ca="1" si="18"/>
        <v>1</v>
      </c>
      <c r="J96" s="5">
        <f t="shared" ca="1" si="19"/>
        <v>0</v>
      </c>
      <c r="K96" s="5">
        <f t="shared" ca="1" si="20"/>
        <v>0</v>
      </c>
      <c r="L96" s="5">
        <f t="shared" ca="1" si="21"/>
        <v>200</v>
      </c>
      <c r="M96" s="6">
        <f t="shared" ca="1" si="15"/>
        <v>0</v>
      </c>
    </row>
    <row r="97" spans="2:13" ht="13.25" hidden="1" customHeight="1" x14ac:dyDescent="0.3">
      <c r="B97" s="21"/>
      <c r="E97" s="54">
        <v>93</v>
      </c>
      <c r="F97" s="5">
        <f t="shared" ca="1" si="14"/>
        <v>0</v>
      </c>
      <c r="G97" s="5">
        <f t="shared" ca="1" si="16"/>
        <v>1000</v>
      </c>
      <c r="H97" s="5">
        <f t="shared" ca="1" si="17"/>
        <v>1000</v>
      </c>
      <c r="I97" s="5">
        <f t="shared" ca="1" si="18"/>
        <v>0</v>
      </c>
      <c r="J97" s="5">
        <f t="shared" ca="1" si="19"/>
        <v>0</v>
      </c>
      <c r="K97" s="5">
        <f t="shared" ca="1" si="20"/>
        <v>0</v>
      </c>
      <c r="L97" s="5">
        <f t="shared" ca="1" si="21"/>
        <v>0</v>
      </c>
      <c r="M97" s="6">
        <f t="shared" ca="1" si="15"/>
        <v>27.397260273972602</v>
      </c>
    </row>
    <row r="98" spans="2:13" ht="13.25" hidden="1" customHeight="1" x14ac:dyDescent="0.3">
      <c r="B98" s="21"/>
      <c r="E98" s="54">
        <v>94</v>
      </c>
      <c r="F98" s="5">
        <f t="shared" ca="1" si="14"/>
        <v>90</v>
      </c>
      <c r="G98" s="5">
        <f t="shared" ca="1" si="16"/>
        <v>1000</v>
      </c>
      <c r="H98" s="5">
        <f t="shared" ca="1" si="17"/>
        <v>910</v>
      </c>
      <c r="I98" s="5">
        <f t="shared" ca="1" si="18"/>
        <v>0</v>
      </c>
      <c r="J98" s="5">
        <f t="shared" ca="1" si="19"/>
        <v>0</v>
      </c>
      <c r="K98" s="5">
        <f t="shared" ca="1" si="20"/>
        <v>0</v>
      </c>
      <c r="L98" s="5">
        <f t="shared" ca="1" si="21"/>
        <v>0</v>
      </c>
      <c r="M98" s="6">
        <f t="shared" ca="1" si="15"/>
        <v>24.931506849315067</v>
      </c>
    </row>
    <row r="99" spans="2:13" ht="13.25" hidden="1" customHeight="1" x14ac:dyDescent="0.3">
      <c r="B99" s="21"/>
      <c r="E99" s="54">
        <v>95</v>
      </c>
      <c r="F99" s="5">
        <f t="shared" ca="1" si="14"/>
        <v>100</v>
      </c>
      <c r="G99" s="5">
        <f t="shared" ca="1" si="16"/>
        <v>910</v>
      </c>
      <c r="H99" s="5">
        <f t="shared" ca="1" si="17"/>
        <v>810</v>
      </c>
      <c r="I99" s="5">
        <f t="shared" ca="1" si="18"/>
        <v>0</v>
      </c>
      <c r="J99" s="5">
        <f t="shared" ca="1" si="19"/>
        <v>0</v>
      </c>
      <c r="K99" s="5">
        <f t="shared" ca="1" si="20"/>
        <v>0</v>
      </c>
      <c r="L99" s="5">
        <f t="shared" ca="1" si="21"/>
        <v>0</v>
      </c>
      <c r="M99" s="6">
        <f t="shared" ca="1" si="15"/>
        <v>22.191780821917806</v>
      </c>
    </row>
    <row r="100" spans="2:13" ht="13.25" hidden="1" customHeight="1" x14ac:dyDescent="0.3">
      <c r="B100" s="21"/>
      <c r="E100" s="54">
        <v>96</v>
      </c>
      <c r="F100" s="5">
        <f t="shared" ca="1" si="14"/>
        <v>120</v>
      </c>
      <c r="G100" s="5">
        <f t="shared" ca="1" si="16"/>
        <v>810</v>
      </c>
      <c r="H100" s="5">
        <f t="shared" ca="1" si="17"/>
        <v>690</v>
      </c>
      <c r="I100" s="5">
        <f t="shared" ca="1" si="18"/>
        <v>0</v>
      </c>
      <c r="J100" s="5">
        <f t="shared" ca="1" si="19"/>
        <v>0</v>
      </c>
      <c r="K100" s="5">
        <f t="shared" ca="1" si="20"/>
        <v>0</v>
      </c>
      <c r="L100" s="5">
        <f t="shared" ca="1" si="21"/>
        <v>0</v>
      </c>
      <c r="M100" s="6">
        <f t="shared" ca="1" si="15"/>
        <v>18.904109589041095</v>
      </c>
    </row>
    <row r="101" spans="2:13" ht="13.25" hidden="1" customHeight="1" x14ac:dyDescent="0.3">
      <c r="B101" s="21"/>
      <c r="E101" s="54">
        <v>97</v>
      </c>
      <c r="F101" s="5">
        <f t="shared" ca="1" si="14"/>
        <v>100</v>
      </c>
      <c r="G101" s="5">
        <f t="shared" ca="1" si="16"/>
        <v>690</v>
      </c>
      <c r="H101" s="5">
        <f t="shared" ca="1" si="17"/>
        <v>590</v>
      </c>
      <c r="I101" s="5">
        <f t="shared" ca="1" si="18"/>
        <v>0</v>
      </c>
      <c r="J101" s="5">
        <f t="shared" ca="1" si="19"/>
        <v>0</v>
      </c>
      <c r="K101" s="5">
        <f t="shared" ca="1" si="20"/>
        <v>0</v>
      </c>
      <c r="L101" s="5">
        <f t="shared" ca="1" si="21"/>
        <v>0</v>
      </c>
      <c r="M101" s="6">
        <f t="shared" ca="1" si="15"/>
        <v>16.164383561643834</v>
      </c>
    </row>
    <row r="102" spans="2:13" ht="13.25" hidden="1" customHeight="1" x14ac:dyDescent="0.3">
      <c r="B102" s="21"/>
      <c r="E102" s="54">
        <v>98</v>
      </c>
      <c r="F102" s="5">
        <f t="shared" ca="1" si="14"/>
        <v>120</v>
      </c>
      <c r="G102" s="5">
        <f t="shared" ca="1" si="16"/>
        <v>590</v>
      </c>
      <c r="H102" s="5">
        <f t="shared" ca="1" si="17"/>
        <v>470</v>
      </c>
      <c r="I102" s="5">
        <f t="shared" ca="1" si="18"/>
        <v>0</v>
      </c>
      <c r="J102" s="5">
        <f t="shared" ca="1" si="19"/>
        <v>0</v>
      </c>
      <c r="K102" s="5">
        <f t="shared" ca="1" si="20"/>
        <v>0</v>
      </c>
      <c r="L102" s="5">
        <f t="shared" ca="1" si="21"/>
        <v>0</v>
      </c>
      <c r="M102" s="6">
        <f t="shared" ca="1" si="15"/>
        <v>12.876712328767123</v>
      </c>
    </row>
    <row r="103" spans="2:13" ht="13.25" hidden="1" customHeight="1" x14ac:dyDescent="0.3">
      <c r="B103" s="21"/>
      <c r="E103" s="54">
        <v>99</v>
      </c>
      <c r="F103" s="5">
        <f t="shared" ca="1" si="14"/>
        <v>0</v>
      </c>
      <c r="G103" s="5">
        <f t="shared" ca="1" si="16"/>
        <v>470</v>
      </c>
      <c r="H103" s="5">
        <f t="shared" ca="1" si="17"/>
        <v>470</v>
      </c>
      <c r="I103" s="5">
        <f t="shared" ca="1" si="18"/>
        <v>0</v>
      </c>
      <c r="J103" s="5">
        <f t="shared" ca="1" si="19"/>
        <v>0</v>
      </c>
      <c r="K103" s="5">
        <f t="shared" ca="1" si="20"/>
        <v>0</v>
      </c>
      <c r="L103" s="5">
        <f t="shared" ca="1" si="21"/>
        <v>0</v>
      </c>
      <c r="M103" s="6">
        <f t="shared" ca="1" si="15"/>
        <v>12.876712328767123</v>
      </c>
    </row>
    <row r="104" spans="2:13" ht="13.25" hidden="1" customHeight="1" x14ac:dyDescent="0.3">
      <c r="B104" s="21"/>
      <c r="E104" s="54">
        <v>100</v>
      </c>
      <c r="F104" s="5">
        <f t="shared" ca="1" si="14"/>
        <v>110</v>
      </c>
      <c r="G104" s="5">
        <f t="shared" ca="1" si="16"/>
        <v>470</v>
      </c>
      <c r="H104" s="5">
        <f t="shared" ca="1" si="17"/>
        <v>360</v>
      </c>
      <c r="I104" s="5">
        <f t="shared" ca="1" si="18"/>
        <v>0</v>
      </c>
      <c r="J104" s="5">
        <f t="shared" ca="1" si="19"/>
        <v>0</v>
      </c>
      <c r="K104" s="5">
        <f t="shared" ca="1" si="20"/>
        <v>0</v>
      </c>
      <c r="L104" s="5">
        <f t="shared" ca="1" si="21"/>
        <v>0</v>
      </c>
      <c r="M104" s="6">
        <f t="shared" ca="1" si="15"/>
        <v>9.8630136986301373</v>
      </c>
    </row>
    <row r="105" spans="2:13" ht="13.25" hidden="1" customHeight="1" x14ac:dyDescent="0.3">
      <c r="B105" s="21"/>
      <c r="E105" s="54">
        <v>101</v>
      </c>
      <c r="F105" s="5">
        <f t="shared" ca="1" si="14"/>
        <v>110</v>
      </c>
      <c r="G105" s="5">
        <f t="shared" ca="1" si="16"/>
        <v>360</v>
      </c>
      <c r="H105" s="5">
        <f t="shared" ca="1" si="17"/>
        <v>250</v>
      </c>
      <c r="I105" s="5">
        <f t="shared" ca="1" si="18"/>
        <v>0</v>
      </c>
      <c r="J105" s="5">
        <f t="shared" ca="1" si="19"/>
        <v>0</v>
      </c>
      <c r="K105" s="5">
        <f t="shared" ca="1" si="20"/>
        <v>0</v>
      </c>
      <c r="L105" s="5">
        <f t="shared" ca="1" si="21"/>
        <v>0</v>
      </c>
      <c r="M105" s="6">
        <f t="shared" ca="1" si="15"/>
        <v>6.8493150684931505</v>
      </c>
    </row>
    <row r="106" spans="2:13" ht="13.25" hidden="1" customHeight="1" x14ac:dyDescent="0.3">
      <c r="B106" s="21"/>
      <c r="E106" s="54">
        <v>102</v>
      </c>
      <c r="F106" s="5">
        <f t="shared" ca="1" si="14"/>
        <v>120</v>
      </c>
      <c r="G106" s="5">
        <f t="shared" ca="1" si="16"/>
        <v>250</v>
      </c>
      <c r="H106" s="5">
        <f t="shared" ca="1" si="17"/>
        <v>130</v>
      </c>
      <c r="I106" s="5">
        <f t="shared" ca="1" si="18"/>
        <v>0</v>
      </c>
      <c r="J106" s="5">
        <f t="shared" ca="1" si="19"/>
        <v>0</v>
      </c>
      <c r="K106" s="5">
        <f t="shared" ca="1" si="20"/>
        <v>0</v>
      </c>
      <c r="L106" s="5">
        <f t="shared" ca="1" si="21"/>
        <v>0</v>
      </c>
      <c r="M106" s="6">
        <f t="shared" ca="1" si="15"/>
        <v>3.5616438356164384</v>
      </c>
    </row>
    <row r="107" spans="2:13" ht="13.25" hidden="1" customHeight="1" x14ac:dyDescent="0.3">
      <c r="B107" s="21"/>
      <c r="E107" s="54">
        <v>103</v>
      </c>
      <c r="F107" s="5">
        <f t="shared" ca="1" si="14"/>
        <v>90</v>
      </c>
      <c r="G107" s="5">
        <f t="shared" ca="1" si="16"/>
        <v>130</v>
      </c>
      <c r="H107" s="5">
        <f t="shared" ca="1" si="17"/>
        <v>40</v>
      </c>
      <c r="I107" s="5">
        <f t="shared" ca="1" si="18"/>
        <v>1</v>
      </c>
      <c r="J107" s="5">
        <f t="shared" ca="1" si="19"/>
        <v>0</v>
      </c>
      <c r="K107" s="5">
        <f t="shared" ca="1" si="20"/>
        <v>0</v>
      </c>
      <c r="L107" s="5">
        <f t="shared" ca="1" si="21"/>
        <v>200</v>
      </c>
      <c r="M107" s="6">
        <f t="shared" ca="1" si="15"/>
        <v>1.095890410958904</v>
      </c>
    </row>
    <row r="108" spans="2:13" ht="13.25" hidden="1" customHeight="1" x14ac:dyDescent="0.3">
      <c r="B108" s="21"/>
      <c r="E108" s="54">
        <v>104</v>
      </c>
      <c r="F108" s="5">
        <f t="shared" ca="1" si="14"/>
        <v>120</v>
      </c>
      <c r="G108" s="5">
        <f t="shared" ca="1" si="16"/>
        <v>1040</v>
      </c>
      <c r="H108" s="5">
        <f t="shared" ca="1" si="17"/>
        <v>920</v>
      </c>
      <c r="I108" s="5">
        <f t="shared" ca="1" si="18"/>
        <v>0</v>
      </c>
      <c r="J108" s="5">
        <f t="shared" ca="1" si="19"/>
        <v>0</v>
      </c>
      <c r="K108" s="5">
        <f t="shared" ca="1" si="20"/>
        <v>0</v>
      </c>
      <c r="L108" s="5">
        <f t="shared" ca="1" si="21"/>
        <v>0</v>
      </c>
      <c r="M108" s="6">
        <f t="shared" ca="1" si="15"/>
        <v>25.205479452054792</v>
      </c>
    </row>
    <row r="109" spans="2:13" ht="13.25" hidden="1" customHeight="1" x14ac:dyDescent="0.3">
      <c r="B109" s="21"/>
      <c r="E109" s="54">
        <v>105</v>
      </c>
      <c r="F109" s="5">
        <f t="shared" ca="1" si="14"/>
        <v>100</v>
      </c>
      <c r="G109" s="5">
        <f t="shared" ca="1" si="16"/>
        <v>920</v>
      </c>
      <c r="H109" s="5">
        <f t="shared" ca="1" si="17"/>
        <v>820</v>
      </c>
      <c r="I109" s="5">
        <f t="shared" ca="1" si="18"/>
        <v>0</v>
      </c>
      <c r="J109" s="5">
        <f t="shared" ca="1" si="19"/>
        <v>0</v>
      </c>
      <c r="K109" s="5">
        <f t="shared" ca="1" si="20"/>
        <v>0</v>
      </c>
      <c r="L109" s="5">
        <f t="shared" ca="1" si="21"/>
        <v>0</v>
      </c>
      <c r="M109" s="6">
        <f t="shared" ca="1" si="15"/>
        <v>22.465753424657532</v>
      </c>
    </row>
    <row r="110" spans="2:13" ht="13.25" hidden="1" customHeight="1" x14ac:dyDescent="0.3">
      <c r="B110" s="21"/>
      <c r="E110" s="54">
        <v>106</v>
      </c>
      <c r="F110" s="5">
        <f t="shared" ca="1" si="14"/>
        <v>100</v>
      </c>
      <c r="G110" s="5">
        <f t="shared" ca="1" si="16"/>
        <v>820</v>
      </c>
      <c r="H110" s="5">
        <f t="shared" ca="1" si="17"/>
        <v>720</v>
      </c>
      <c r="I110" s="5">
        <f t="shared" ca="1" si="18"/>
        <v>0</v>
      </c>
      <c r="J110" s="5">
        <f t="shared" ca="1" si="19"/>
        <v>0</v>
      </c>
      <c r="K110" s="5">
        <f t="shared" ca="1" si="20"/>
        <v>0</v>
      </c>
      <c r="L110" s="5">
        <f t="shared" ca="1" si="21"/>
        <v>0</v>
      </c>
      <c r="M110" s="6">
        <f t="shared" ca="1" si="15"/>
        <v>19.726027397260275</v>
      </c>
    </row>
    <row r="111" spans="2:13" ht="13.25" hidden="1" customHeight="1" x14ac:dyDescent="0.3">
      <c r="B111" s="21"/>
      <c r="E111" s="54">
        <v>107</v>
      </c>
      <c r="F111" s="5">
        <f t="shared" ca="1" si="14"/>
        <v>90</v>
      </c>
      <c r="G111" s="5">
        <f t="shared" ca="1" si="16"/>
        <v>720</v>
      </c>
      <c r="H111" s="5">
        <f t="shared" ca="1" si="17"/>
        <v>630</v>
      </c>
      <c r="I111" s="5">
        <f t="shared" ca="1" si="18"/>
        <v>0</v>
      </c>
      <c r="J111" s="5">
        <f t="shared" ca="1" si="19"/>
        <v>0</v>
      </c>
      <c r="K111" s="5">
        <f t="shared" ca="1" si="20"/>
        <v>0</v>
      </c>
      <c r="L111" s="5">
        <f t="shared" ca="1" si="21"/>
        <v>0</v>
      </c>
      <c r="M111" s="6">
        <f t="shared" ca="1" si="15"/>
        <v>17.260273972602739</v>
      </c>
    </row>
    <row r="112" spans="2:13" ht="13.25" hidden="1" customHeight="1" x14ac:dyDescent="0.3">
      <c r="B112" s="21"/>
      <c r="E112" s="54">
        <v>108</v>
      </c>
      <c r="F112" s="5">
        <f t="shared" ca="1" si="14"/>
        <v>110</v>
      </c>
      <c r="G112" s="5">
        <f t="shared" ca="1" si="16"/>
        <v>630</v>
      </c>
      <c r="H112" s="5">
        <f t="shared" ca="1" si="17"/>
        <v>520</v>
      </c>
      <c r="I112" s="5">
        <f t="shared" ca="1" si="18"/>
        <v>0</v>
      </c>
      <c r="J112" s="5">
        <f t="shared" ca="1" si="19"/>
        <v>0</v>
      </c>
      <c r="K112" s="5">
        <f t="shared" ca="1" si="20"/>
        <v>0</v>
      </c>
      <c r="L112" s="5">
        <f t="shared" ca="1" si="21"/>
        <v>0</v>
      </c>
      <c r="M112" s="6">
        <f t="shared" ca="1" si="15"/>
        <v>14.246575342465754</v>
      </c>
    </row>
    <row r="113" spans="2:13" ht="13.25" hidden="1" customHeight="1" x14ac:dyDescent="0.3">
      <c r="B113" s="21"/>
      <c r="E113" s="54">
        <v>109</v>
      </c>
      <c r="F113" s="5">
        <f t="shared" ca="1" si="14"/>
        <v>120</v>
      </c>
      <c r="G113" s="5">
        <f t="shared" ca="1" si="16"/>
        <v>520</v>
      </c>
      <c r="H113" s="5">
        <f t="shared" ca="1" si="17"/>
        <v>400</v>
      </c>
      <c r="I113" s="5">
        <f t="shared" ca="1" si="18"/>
        <v>0</v>
      </c>
      <c r="J113" s="5">
        <f t="shared" ca="1" si="19"/>
        <v>0</v>
      </c>
      <c r="K113" s="5">
        <f t="shared" ca="1" si="20"/>
        <v>0</v>
      </c>
      <c r="L113" s="5">
        <f t="shared" ca="1" si="21"/>
        <v>0</v>
      </c>
      <c r="M113" s="6">
        <f t="shared" ca="1" si="15"/>
        <v>10.95890410958904</v>
      </c>
    </row>
    <row r="114" spans="2:13" ht="13.25" hidden="1" customHeight="1" x14ac:dyDescent="0.3">
      <c r="B114" s="21"/>
      <c r="E114" s="54">
        <v>110</v>
      </c>
      <c r="F114" s="5">
        <f t="shared" ca="1" si="14"/>
        <v>110</v>
      </c>
      <c r="G114" s="5">
        <f t="shared" ca="1" si="16"/>
        <v>400</v>
      </c>
      <c r="H114" s="5">
        <f t="shared" ca="1" si="17"/>
        <v>290</v>
      </c>
      <c r="I114" s="5">
        <f t="shared" ca="1" si="18"/>
        <v>0</v>
      </c>
      <c r="J114" s="5">
        <f t="shared" ca="1" si="19"/>
        <v>0</v>
      </c>
      <c r="K114" s="5">
        <f t="shared" ca="1" si="20"/>
        <v>0</v>
      </c>
      <c r="L114" s="5">
        <f t="shared" ca="1" si="21"/>
        <v>0</v>
      </c>
      <c r="M114" s="6">
        <f t="shared" ca="1" si="15"/>
        <v>7.9452054794520546</v>
      </c>
    </row>
    <row r="115" spans="2:13" ht="13.25" hidden="1" customHeight="1" x14ac:dyDescent="0.3">
      <c r="B115" s="21"/>
      <c r="E115" s="54">
        <v>111</v>
      </c>
      <c r="F115" s="5">
        <f t="shared" ca="1" si="14"/>
        <v>120</v>
      </c>
      <c r="G115" s="5">
        <f t="shared" ca="1" si="16"/>
        <v>290</v>
      </c>
      <c r="H115" s="5">
        <f t="shared" ca="1" si="17"/>
        <v>170</v>
      </c>
      <c r="I115" s="5">
        <f t="shared" ca="1" si="18"/>
        <v>0</v>
      </c>
      <c r="J115" s="5">
        <f t="shared" ca="1" si="19"/>
        <v>0</v>
      </c>
      <c r="K115" s="5">
        <f t="shared" ca="1" si="20"/>
        <v>0</v>
      </c>
      <c r="L115" s="5">
        <f t="shared" ca="1" si="21"/>
        <v>0</v>
      </c>
      <c r="M115" s="6">
        <f t="shared" ca="1" si="15"/>
        <v>4.6575342465753424</v>
      </c>
    </row>
    <row r="116" spans="2:13" ht="13.25" hidden="1" customHeight="1" x14ac:dyDescent="0.3">
      <c r="B116" s="21"/>
      <c r="E116" s="54">
        <v>112</v>
      </c>
      <c r="F116" s="5">
        <f t="shared" ca="1" si="14"/>
        <v>90</v>
      </c>
      <c r="G116" s="5">
        <f t="shared" ca="1" si="16"/>
        <v>170</v>
      </c>
      <c r="H116" s="5">
        <f t="shared" ca="1" si="17"/>
        <v>80</v>
      </c>
      <c r="I116" s="5">
        <f t="shared" ca="1" si="18"/>
        <v>1</v>
      </c>
      <c r="J116" s="5">
        <f t="shared" ca="1" si="19"/>
        <v>0</v>
      </c>
      <c r="K116" s="5">
        <f t="shared" ca="1" si="20"/>
        <v>0</v>
      </c>
      <c r="L116" s="5">
        <f t="shared" ca="1" si="21"/>
        <v>200</v>
      </c>
      <c r="M116" s="6">
        <f t="shared" ca="1" si="15"/>
        <v>2.1917808219178081</v>
      </c>
    </row>
    <row r="117" spans="2:13" ht="13.25" hidden="1" customHeight="1" x14ac:dyDescent="0.3">
      <c r="B117" s="21"/>
      <c r="E117" s="54">
        <v>113</v>
      </c>
      <c r="F117" s="5">
        <f t="shared" ca="1" si="14"/>
        <v>100</v>
      </c>
      <c r="G117" s="5">
        <f t="shared" ca="1" si="16"/>
        <v>1080</v>
      </c>
      <c r="H117" s="5">
        <f t="shared" ca="1" si="17"/>
        <v>980</v>
      </c>
      <c r="I117" s="5">
        <f t="shared" ca="1" si="18"/>
        <v>0</v>
      </c>
      <c r="J117" s="5">
        <f t="shared" ca="1" si="19"/>
        <v>0</v>
      </c>
      <c r="K117" s="5">
        <f t="shared" ca="1" si="20"/>
        <v>0</v>
      </c>
      <c r="L117" s="5">
        <f t="shared" ca="1" si="21"/>
        <v>0</v>
      </c>
      <c r="M117" s="6">
        <f t="shared" ca="1" si="15"/>
        <v>26.849315068493148</v>
      </c>
    </row>
    <row r="118" spans="2:13" ht="13.25" hidden="1" customHeight="1" x14ac:dyDescent="0.3">
      <c r="B118" s="21"/>
      <c r="E118" s="54">
        <v>114</v>
      </c>
      <c r="F118" s="5">
        <f t="shared" ca="1" si="14"/>
        <v>120</v>
      </c>
      <c r="G118" s="5">
        <f t="shared" ca="1" si="16"/>
        <v>980</v>
      </c>
      <c r="H118" s="5">
        <f t="shared" ca="1" si="17"/>
        <v>860</v>
      </c>
      <c r="I118" s="5">
        <f t="shared" ca="1" si="18"/>
        <v>0</v>
      </c>
      <c r="J118" s="5">
        <f t="shared" ca="1" si="19"/>
        <v>0</v>
      </c>
      <c r="K118" s="5">
        <f t="shared" ca="1" si="20"/>
        <v>0</v>
      </c>
      <c r="L118" s="5">
        <f t="shared" ca="1" si="21"/>
        <v>0</v>
      </c>
      <c r="M118" s="6">
        <f t="shared" ca="1" si="15"/>
        <v>23.561643835616437</v>
      </c>
    </row>
    <row r="119" spans="2:13" ht="13.25" hidden="1" customHeight="1" x14ac:dyDescent="0.3">
      <c r="B119" s="21"/>
      <c r="E119" s="54">
        <v>115</v>
      </c>
      <c r="F119" s="5">
        <f t="shared" ca="1" si="14"/>
        <v>120</v>
      </c>
      <c r="G119" s="5">
        <f t="shared" ca="1" si="16"/>
        <v>860</v>
      </c>
      <c r="H119" s="5">
        <f t="shared" ca="1" si="17"/>
        <v>740</v>
      </c>
      <c r="I119" s="5">
        <f t="shared" ca="1" si="18"/>
        <v>0</v>
      </c>
      <c r="J119" s="5">
        <f t="shared" ca="1" si="19"/>
        <v>0</v>
      </c>
      <c r="K119" s="5">
        <f t="shared" ca="1" si="20"/>
        <v>0</v>
      </c>
      <c r="L119" s="5">
        <f t="shared" ca="1" si="21"/>
        <v>0</v>
      </c>
      <c r="M119" s="6">
        <f t="shared" ca="1" si="15"/>
        <v>20.273972602739725</v>
      </c>
    </row>
    <row r="120" spans="2:13" ht="13.25" hidden="1" customHeight="1" x14ac:dyDescent="0.3">
      <c r="B120" s="21"/>
      <c r="E120" s="54">
        <v>116</v>
      </c>
      <c r="F120" s="5">
        <f t="shared" ca="1" si="14"/>
        <v>100</v>
      </c>
      <c r="G120" s="5">
        <f t="shared" ca="1" si="16"/>
        <v>740</v>
      </c>
      <c r="H120" s="5">
        <f t="shared" ca="1" si="17"/>
        <v>640</v>
      </c>
      <c r="I120" s="5">
        <f t="shared" ca="1" si="18"/>
        <v>0</v>
      </c>
      <c r="J120" s="5">
        <f t="shared" ca="1" si="19"/>
        <v>0</v>
      </c>
      <c r="K120" s="5">
        <f t="shared" ca="1" si="20"/>
        <v>0</v>
      </c>
      <c r="L120" s="5">
        <f t="shared" ca="1" si="21"/>
        <v>0</v>
      </c>
      <c r="M120" s="6">
        <f t="shared" ca="1" si="15"/>
        <v>17.534246575342465</v>
      </c>
    </row>
    <row r="121" spans="2:13" ht="13.25" hidden="1" customHeight="1" x14ac:dyDescent="0.3">
      <c r="B121" s="21"/>
      <c r="E121" s="54">
        <v>117</v>
      </c>
      <c r="F121" s="5">
        <f t="shared" ca="1" si="14"/>
        <v>110</v>
      </c>
      <c r="G121" s="5">
        <f t="shared" ca="1" si="16"/>
        <v>640</v>
      </c>
      <c r="H121" s="5">
        <f t="shared" ca="1" si="17"/>
        <v>530</v>
      </c>
      <c r="I121" s="5">
        <f t="shared" ca="1" si="18"/>
        <v>0</v>
      </c>
      <c r="J121" s="5">
        <f t="shared" ca="1" si="19"/>
        <v>0</v>
      </c>
      <c r="K121" s="5">
        <f t="shared" ca="1" si="20"/>
        <v>0</v>
      </c>
      <c r="L121" s="5">
        <f t="shared" ca="1" si="21"/>
        <v>0</v>
      </c>
      <c r="M121" s="6">
        <f t="shared" ca="1" si="15"/>
        <v>14.520547945205479</v>
      </c>
    </row>
    <row r="122" spans="2:13" ht="13.25" hidden="1" customHeight="1" x14ac:dyDescent="0.3">
      <c r="B122" s="21"/>
      <c r="E122" s="54">
        <v>118</v>
      </c>
      <c r="F122" s="5">
        <f t="shared" ca="1" si="14"/>
        <v>120</v>
      </c>
      <c r="G122" s="5">
        <f t="shared" ca="1" si="16"/>
        <v>530</v>
      </c>
      <c r="H122" s="5">
        <f t="shared" ca="1" si="17"/>
        <v>410</v>
      </c>
      <c r="I122" s="5">
        <f t="shared" ca="1" si="18"/>
        <v>0</v>
      </c>
      <c r="J122" s="5">
        <f t="shared" ca="1" si="19"/>
        <v>0</v>
      </c>
      <c r="K122" s="5">
        <f t="shared" ca="1" si="20"/>
        <v>0</v>
      </c>
      <c r="L122" s="5">
        <f t="shared" ca="1" si="21"/>
        <v>0</v>
      </c>
      <c r="M122" s="6">
        <f t="shared" ca="1" si="15"/>
        <v>11.232876712328766</v>
      </c>
    </row>
    <row r="123" spans="2:13" ht="13.25" hidden="1" customHeight="1" x14ac:dyDescent="0.3">
      <c r="B123" s="21"/>
      <c r="E123" s="54">
        <v>119</v>
      </c>
      <c r="F123" s="5">
        <f t="shared" ca="1" si="14"/>
        <v>0</v>
      </c>
      <c r="G123" s="5">
        <f t="shared" ca="1" si="16"/>
        <v>410</v>
      </c>
      <c r="H123" s="5">
        <f t="shared" ca="1" si="17"/>
        <v>410</v>
      </c>
      <c r="I123" s="5">
        <f t="shared" ca="1" si="18"/>
        <v>0</v>
      </c>
      <c r="J123" s="5">
        <f t="shared" ca="1" si="19"/>
        <v>0</v>
      </c>
      <c r="K123" s="5">
        <f t="shared" ca="1" si="20"/>
        <v>0</v>
      </c>
      <c r="L123" s="5">
        <f t="shared" ca="1" si="21"/>
        <v>0</v>
      </c>
      <c r="M123" s="6">
        <f t="shared" ca="1" si="15"/>
        <v>11.232876712328766</v>
      </c>
    </row>
    <row r="124" spans="2:13" ht="13.25" hidden="1" customHeight="1" x14ac:dyDescent="0.3">
      <c r="B124" s="21"/>
      <c r="E124" s="54">
        <v>120</v>
      </c>
      <c r="F124" s="5">
        <f t="shared" ca="1" si="14"/>
        <v>110</v>
      </c>
      <c r="G124" s="5">
        <f t="shared" ca="1" si="16"/>
        <v>410</v>
      </c>
      <c r="H124" s="5">
        <f t="shared" ca="1" si="17"/>
        <v>300</v>
      </c>
      <c r="I124" s="5">
        <f t="shared" ca="1" si="18"/>
        <v>0</v>
      </c>
      <c r="J124" s="5">
        <f t="shared" ca="1" si="19"/>
        <v>0</v>
      </c>
      <c r="K124" s="5">
        <f t="shared" ca="1" si="20"/>
        <v>0</v>
      </c>
      <c r="L124" s="5">
        <f t="shared" ca="1" si="21"/>
        <v>0</v>
      </c>
      <c r="M124" s="6">
        <f t="shared" ca="1" si="15"/>
        <v>8.2191780821917799</v>
      </c>
    </row>
    <row r="125" spans="2:13" ht="13.25" hidden="1" customHeight="1" x14ac:dyDescent="0.3">
      <c r="B125" s="21"/>
      <c r="E125" s="54">
        <v>121</v>
      </c>
      <c r="F125" s="5">
        <f t="shared" ca="1" si="14"/>
        <v>110</v>
      </c>
      <c r="G125" s="5">
        <f t="shared" ca="1" si="16"/>
        <v>300</v>
      </c>
      <c r="H125" s="5">
        <f t="shared" ca="1" si="17"/>
        <v>190</v>
      </c>
      <c r="I125" s="5">
        <f t="shared" ca="1" si="18"/>
        <v>0</v>
      </c>
      <c r="J125" s="5">
        <f t="shared" ca="1" si="19"/>
        <v>0</v>
      </c>
      <c r="K125" s="5">
        <f t="shared" ca="1" si="20"/>
        <v>0</v>
      </c>
      <c r="L125" s="5">
        <f t="shared" ca="1" si="21"/>
        <v>0</v>
      </c>
      <c r="M125" s="6">
        <f t="shared" ca="1" si="15"/>
        <v>5.205479452054794</v>
      </c>
    </row>
    <row r="126" spans="2:13" ht="13.25" hidden="1" customHeight="1" x14ac:dyDescent="0.3">
      <c r="B126" s="21"/>
      <c r="E126" s="54">
        <v>122</v>
      </c>
      <c r="F126" s="5">
        <f t="shared" ca="1" si="14"/>
        <v>120</v>
      </c>
      <c r="G126" s="5">
        <f t="shared" ca="1" si="16"/>
        <v>190</v>
      </c>
      <c r="H126" s="5">
        <f t="shared" ca="1" si="17"/>
        <v>70</v>
      </c>
      <c r="I126" s="5">
        <f t="shared" ca="1" si="18"/>
        <v>1</v>
      </c>
      <c r="J126" s="5">
        <f t="shared" ca="1" si="19"/>
        <v>0</v>
      </c>
      <c r="K126" s="5">
        <f t="shared" ca="1" si="20"/>
        <v>0</v>
      </c>
      <c r="L126" s="5">
        <f t="shared" ca="1" si="21"/>
        <v>200</v>
      </c>
      <c r="M126" s="6">
        <f t="shared" ca="1" si="15"/>
        <v>1.9178082191780821</v>
      </c>
    </row>
    <row r="127" spans="2:13" ht="13.25" hidden="1" customHeight="1" x14ac:dyDescent="0.3">
      <c r="B127" s="21"/>
      <c r="E127" s="54">
        <v>123</v>
      </c>
      <c r="F127" s="5">
        <f t="shared" ca="1" si="14"/>
        <v>120</v>
      </c>
      <c r="G127" s="5">
        <f t="shared" ca="1" si="16"/>
        <v>1070</v>
      </c>
      <c r="H127" s="5">
        <f t="shared" ca="1" si="17"/>
        <v>950</v>
      </c>
      <c r="I127" s="5">
        <f t="shared" ca="1" si="18"/>
        <v>0</v>
      </c>
      <c r="J127" s="5">
        <f t="shared" ca="1" si="19"/>
        <v>0</v>
      </c>
      <c r="K127" s="5">
        <f t="shared" ca="1" si="20"/>
        <v>0</v>
      </c>
      <c r="L127" s="5">
        <f t="shared" ca="1" si="21"/>
        <v>0</v>
      </c>
      <c r="M127" s="6">
        <f t="shared" ca="1" si="15"/>
        <v>26.027397260273972</v>
      </c>
    </row>
    <row r="128" spans="2:13" ht="13.25" hidden="1" customHeight="1" x14ac:dyDescent="0.3">
      <c r="B128" s="21"/>
      <c r="E128" s="54">
        <v>124</v>
      </c>
      <c r="F128" s="5">
        <f t="shared" ca="1" si="14"/>
        <v>0</v>
      </c>
      <c r="G128" s="5">
        <f t="shared" ca="1" si="16"/>
        <v>950</v>
      </c>
      <c r="H128" s="5">
        <f t="shared" ca="1" si="17"/>
        <v>950</v>
      </c>
      <c r="I128" s="5">
        <f t="shared" ca="1" si="18"/>
        <v>0</v>
      </c>
      <c r="J128" s="5">
        <f t="shared" ca="1" si="19"/>
        <v>0</v>
      </c>
      <c r="K128" s="5">
        <f t="shared" ca="1" si="20"/>
        <v>0</v>
      </c>
      <c r="L128" s="5">
        <f t="shared" ca="1" si="21"/>
        <v>0</v>
      </c>
      <c r="M128" s="6">
        <f t="shared" ca="1" si="15"/>
        <v>26.027397260273972</v>
      </c>
    </row>
    <row r="129" spans="2:13" ht="13.25" hidden="1" customHeight="1" x14ac:dyDescent="0.3">
      <c r="B129" s="21"/>
      <c r="E129" s="54">
        <v>125</v>
      </c>
      <c r="F129" s="5">
        <f t="shared" ca="1" si="14"/>
        <v>90</v>
      </c>
      <c r="G129" s="5">
        <f t="shared" ca="1" si="16"/>
        <v>950</v>
      </c>
      <c r="H129" s="5">
        <f t="shared" ca="1" si="17"/>
        <v>860</v>
      </c>
      <c r="I129" s="5">
        <f t="shared" ca="1" si="18"/>
        <v>0</v>
      </c>
      <c r="J129" s="5">
        <f t="shared" ca="1" si="19"/>
        <v>0</v>
      </c>
      <c r="K129" s="5">
        <f t="shared" ca="1" si="20"/>
        <v>0</v>
      </c>
      <c r="L129" s="5">
        <f t="shared" ca="1" si="21"/>
        <v>0</v>
      </c>
      <c r="M129" s="6">
        <f t="shared" ca="1" si="15"/>
        <v>23.561643835616437</v>
      </c>
    </row>
    <row r="130" spans="2:13" ht="13.25" hidden="1" customHeight="1" x14ac:dyDescent="0.3">
      <c r="B130" s="21"/>
      <c r="E130" s="54">
        <v>126</v>
      </c>
      <c r="F130" s="5">
        <f t="shared" ca="1" si="14"/>
        <v>0</v>
      </c>
      <c r="G130" s="5">
        <f t="shared" ca="1" si="16"/>
        <v>860</v>
      </c>
      <c r="H130" s="5">
        <f t="shared" ca="1" si="17"/>
        <v>860</v>
      </c>
      <c r="I130" s="5">
        <f t="shared" ca="1" si="18"/>
        <v>0</v>
      </c>
      <c r="J130" s="5">
        <f t="shared" ca="1" si="19"/>
        <v>0</v>
      </c>
      <c r="K130" s="5">
        <f t="shared" ca="1" si="20"/>
        <v>0</v>
      </c>
      <c r="L130" s="5">
        <f t="shared" ca="1" si="21"/>
        <v>0</v>
      </c>
      <c r="M130" s="6">
        <f t="shared" ca="1" si="15"/>
        <v>23.561643835616437</v>
      </c>
    </row>
    <row r="131" spans="2:13" ht="13.25" hidden="1" customHeight="1" x14ac:dyDescent="0.3">
      <c r="B131" s="21"/>
      <c r="E131" s="54">
        <v>127</v>
      </c>
      <c r="F131" s="5">
        <f t="shared" ca="1" si="14"/>
        <v>110</v>
      </c>
      <c r="G131" s="5">
        <f t="shared" ca="1" si="16"/>
        <v>860</v>
      </c>
      <c r="H131" s="5">
        <f t="shared" ca="1" si="17"/>
        <v>750</v>
      </c>
      <c r="I131" s="5">
        <f t="shared" ca="1" si="18"/>
        <v>0</v>
      </c>
      <c r="J131" s="5">
        <f t="shared" ca="1" si="19"/>
        <v>0</v>
      </c>
      <c r="K131" s="5">
        <f t="shared" ca="1" si="20"/>
        <v>0</v>
      </c>
      <c r="L131" s="5">
        <f t="shared" ca="1" si="21"/>
        <v>0</v>
      </c>
      <c r="M131" s="6">
        <f t="shared" ca="1" si="15"/>
        <v>20.547945205479451</v>
      </c>
    </row>
    <row r="132" spans="2:13" ht="13.25" hidden="1" customHeight="1" x14ac:dyDescent="0.3">
      <c r="B132" s="21"/>
      <c r="E132" s="54">
        <v>128</v>
      </c>
      <c r="F132" s="5">
        <f t="shared" ca="1" si="14"/>
        <v>110</v>
      </c>
      <c r="G132" s="5">
        <f t="shared" ca="1" si="16"/>
        <v>750</v>
      </c>
      <c r="H132" s="5">
        <f t="shared" ca="1" si="17"/>
        <v>640</v>
      </c>
      <c r="I132" s="5">
        <f t="shared" ca="1" si="18"/>
        <v>0</v>
      </c>
      <c r="J132" s="5">
        <f t="shared" ca="1" si="19"/>
        <v>0</v>
      </c>
      <c r="K132" s="5">
        <f t="shared" ca="1" si="20"/>
        <v>0</v>
      </c>
      <c r="L132" s="5">
        <f t="shared" ca="1" si="21"/>
        <v>0</v>
      </c>
      <c r="M132" s="6">
        <f t="shared" ca="1" si="15"/>
        <v>17.534246575342465</v>
      </c>
    </row>
    <row r="133" spans="2:13" ht="13.25" hidden="1" customHeight="1" x14ac:dyDescent="0.3">
      <c r="B133" s="21"/>
      <c r="E133" s="54">
        <v>129</v>
      </c>
      <c r="F133" s="5">
        <f t="shared" ref="F133:F196" ca="1" si="22">INDEX($R$18:$R$22,MATCH(RAND(),$T$17:$T$22,1))</f>
        <v>110</v>
      </c>
      <c r="G133" s="5">
        <f t="shared" ca="1" si="16"/>
        <v>640</v>
      </c>
      <c r="H133" s="5">
        <f t="shared" ca="1" si="17"/>
        <v>530</v>
      </c>
      <c r="I133" s="5">
        <f t="shared" ca="1" si="18"/>
        <v>0</v>
      </c>
      <c r="J133" s="5">
        <f t="shared" ca="1" si="19"/>
        <v>0</v>
      </c>
      <c r="K133" s="5">
        <f t="shared" ca="1" si="20"/>
        <v>0</v>
      </c>
      <c r="L133" s="5">
        <f t="shared" ca="1" si="21"/>
        <v>0</v>
      </c>
      <c r="M133" s="6">
        <f t="shared" ref="M133:M196" ca="1" si="23">H133*$C$7</f>
        <v>14.520547945205479</v>
      </c>
    </row>
    <row r="134" spans="2:13" ht="13.25" hidden="1" customHeight="1" x14ac:dyDescent="0.3">
      <c r="B134" s="21"/>
      <c r="E134" s="54">
        <v>130</v>
      </c>
      <c r="F134" s="5">
        <f t="shared" ca="1" si="22"/>
        <v>110</v>
      </c>
      <c r="G134" s="5">
        <f t="shared" ref="G134:G197" ca="1" si="24">H133+$C$9*I133</f>
        <v>530</v>
      </c>
      <c r="H134" s="5">
        <f t="shared" ref="H134:H197" ca="1" si="25">IF(G134-F134&gt;0,G134-F134,0)</f>
        <v>420</v>
      </c>
      <c r="I134" s="5">
        <f t="shared" ref="I134:I197" ca="1" si="26">IF(H134&lt;$C$3,1,0)</f>
        <v>0</v>
      </c>
      <c r="J134" s="5">
        <f t="shared" ref="J134:J197" ca="1" si="27">-MIN(0,G134-F134)</f>
        <v>0</v>
      </c>
      <c r="K134" s="5">
        <f t="shared" ref="K134:K197" ca="1" si="28">J134*$C$8</f>
        <v>0</v>
      </c>
      <c r="L134" s="5">
        <f t="shared" ref="L134:L197" ca="1" si="29">$C$4*I134</f>
        <v>0</v>
      </c>
      <c r="M134" s="6">
        <f t="shared" ca="1" si="23"/>
        <v>11.506849315068493</v>
      </c>
    </row>
    <row r="135" spans="2:13" ht="13.25" hidden="1" customHeight="1" x14ac:dyDescent="0.3">
      <c r="B135" s="21"/>
      <c r="E135" s="54">
        <v>131</v>
      </c>
      <c r="F135" s="5">
        <f t="shared" ca="1" si="22"/>
        <v>110</v>
      </c>
      <c r="G135" s="5">
        <f t="shared" ca="1" si="24"/>
        <v>420</v>
      </c>
      <c r="H135" s="5">
        <f t="shared" ca="1" si="25"/>
        <v>310</v>
      </c>
      <c r="I135" s="5">
        <f t="shared" ca="1" si="26"/>
        <v>0</v>
      </c>
      <c r="J135" s="5">
        <f t="shared" ca="1" si="27"/>
        <v>0</v>
      </c>
      <c r="K135" s="5">
        <f t="shared" ca="1" si="28"/>
        <v>0</v>
      </c>
      <c r="L135" s="5">
        <f t="shared" ca="1" si="29"/>
        <v>0</v>
      </c>
      <c r="M135" s="6">
        <f t="shared" ca="1" si="23"/>
        <v>8.493150684931507</v>
      </c>
    </row>
    <row r="136" spans="2:13" ht="13.25" hidden="1" customHeight="1" x14ac:dyDescent="0.3">
      <c r="B136" s="21"/>
      <c r="E136" s="54">
        <v>132</v>
      </c>
      <c r="F136" s="5">
        <f t="shared" ca="1" si="22"/>
        <v>0</v>
      </c>
      <c r="G136" s="5">
        <f t="shared" ca="1" si="24"/>
        <v>310</v>
      </c>
      <c r="H136" s="5">
        <f t="shared" ca="1" si="25"/>
        <v>310</v>
      </c>
      <c r="I136" s="5">
        <f t="shared" ca="1" si="26"/>
        <v>0</v>
      </c>
      <c r="J136" s="5">
        <f t="shared" ca="1" si="27"/>
        <v>0</v>
      </c>
      <c r="K136" s="5">
        <f t="shared" ca="1" si="28"/>
        <v>0</v>
      </c>
      <c r="L136" s="5">
        <f t="shared" ca="1" si="29"/>
        <v>0</v>
      </c>
      <c r="M136" s="6">
        <f t="shared" ca="1" si="23"/>
        <v>8.493150684931507</v>
      </c>
    </row>
    <row r="137" spans="2:13" ht="13.25" hidden="1" customHeight="1" x14ac:dyDescent="0.3">
      <c r="B137" s="21"/>
      <c r="E137" s="54">
        <v>133</v>
      </c>
      <c r="F137" s="5">
        <f t="shared" ca="1" si="22"/>
        <v>0</v>
      </c>
      <c r="G137" s="5">
        <f t="shared" ca="1" si="24"/>
        <v>310</v>
      </c>
      <c r="H137" s="5">
        <f t="shared" ca="1" si="25"/>
        <v>310</v>
      </c>
      <c r="I137" s="5">
        <f t="shared" ca="1" si="26"/>
        <v>0</v>
      </c>
      <c r="J137" s="5">
        <f t="shared" ca="1" si="27"/>
        <v>0</v>
      </c>
      <c r="K137" s="5">
        <f t="shared" ca="1" si="28"/>
        <v>0</v>
      </c>
      <c r="L137" s="5">
        <f t="shared" ca="1" si="29"/>
        <v>0</v>
      </c>
      <c r="M137" s="6">
        <f t="shared" ca="1" si="23"/>
        <v>8.493150684931507</v>
      </c>
    </row>
    <row r="138" spans="2:13" ht="13.25" hidden="1" customHeight="1" x14ac:dyDescent="0.3">
      <c r="B138" s="21"/>
      <c r="E138" s="54">
        <v>134</v>
      </c>
      <c r="F138" s="5">
        <f t="shared" ca="1" si="22"/>
        <v>90</v>
      </c>
      <c r="G138" s="5">
        <f t="shared" ca="1" si="24"/>
        <v>310</v>
      </c>
      <c r="H138" s="5">
        <f t="shared" ca="1" si="25"/>
        <v>220</v>
      </c>
      <c r="I138" s="5">
        <f t="shared" ca="1" si="26"/>
        <v>0</v>
      </c>
      <c r="J138" s="5">
        <f t="shared" ca="1" si="27"/>
        <v>0</v>
      </c>
      <c r="K138" s="5">
        <f t="shared" ca="1" si="28"/>
        <v>0</v>
      </c>
      <c r="L138" s="5">
        <f t="shared" ca="1" si="29"/>
        <v>0</v>
      </c>
      <c r="M138" s="6">
        <f t="shared" ca="1" si="23"/>
        <v>6.0273972602739718</v>
      </c>
    </row>
    <row r="139" spans="2:13" ht="13.25" hidden="1" customHeight="1" x14ac:dyDescent="0.3">
      <c r="B139" s="21"/>
      <c r="E139" s="54">
        <v>135</v>
      </c>
      <c r="F139" s="5">
        <f t="shared" ca="1" si="22"/>
        <v>120</v>
      </c>
      <c r="G139" s="5">
        <f t="shared" ca="1" si="24"/>
        <v>220</v>
      </c>
      <c r="H139" s="5">
        <f t="shared" ca="1" si="25"/>
        <v>100</v>
      </c>
      <c r="I139" s="5">
        <f t="shared" ca="1" si="26"/>
        <v>0</v>
      </c>
      <c r="J139" s="5">
        <f t="shared" ca="1" si="27"/>
        <v>0</v>
      </c>
      <c r="K139" s="5">
        <f t="shared" ca="1" si="28"/>
        <v>0</v>
      </c>
      <c r="L139" s="5">
        <f t="shared" ca="1" si="29"/>
        <v>0</v>
      </c>
      <c r="M139" s="6">
        <f t="shared" ca="1" si="23"/>
        <v>2.7397260273972601</v>
      </c>
    </row>
    <row r="140" spans="2:13" ht="13.25" hidden="1" customHeight="1" x14ac:dyDescent="0.3">
      <c r="B140" s="21"/>
      <c r="E140" s="54">
        <v>136</v>
      </c>
      <c r="F140" s="5">
        <f t="shared" ca="1" si="22"/>
        <v>100</v>
      </c>
      <c r="G140" s="5">
        <f t="shared" ca="1" si="24"/>
        <v>100</v>
      </c>
      <c r="H140" s="5">
        <f t="shared" ca="1" si="25"/>
        <v>0</v>
      </c>
      <c r="I140" s="5">
        <f t="shared" ca="1" si="26"/>
        <v>1</v>
      </c>
      <c r="J140" s="5">
        <f t="shared" ca="1" si="27"/>
        <v>0</v>
      </c>
      <c r="K140" s="5">
        <f t="shared" ca="1" si="28"/>
        <v>0</v>
      </c>
      <c r="L140" s="5">
        <f t="shared" ca="1" si="29"/>
        <v>200</v>
      </c>
      <c r="M140" s="6">
        <f t="shared" ca="1" si="23"/>
        <v>0</v>
      </c>
    </row>
    <row r="141" spans="2:13" ht="13.25" hidden="1" customHeight="1" x14ac:dyDescent="0.3">
      <c r="B141" s="21"/>
      <c r="E141" s="54">
        <v>137</v>
      </c>
      <c r="F141" s="5">
        <f t="shared" ca="1" si="22"/>
        <v>120</v>
      </c>
      <c r="G141" s="5">
        <f t="shared" ca="1" si="24"/>
        <v>1000</v>
      </c>
      <c r="H141" s="5">
        <f t="shared" ca="1" si="25"/>
        <v>880</v>
      </c>
      <c r="I141" s="5">
        <f t="shared" ca="1" si="26"/>
        <v>0</v>
      </c>
      <c r="J141" s="5">
        <f t="shared" ca="1" si="27"/>
        <v>0</v>
      </c>
      <c r="K141" s="5">
        <f t="shared" ca="1" si="28"/>
        <v>0</v>
      </c>
      <c r="L141" s="5">
        <f t="shared" ca="1" si="29"/>
        <v>0</v>
      </c>
      <c r="M141" s="6">
        <f t="shared" ca="1" si="23"/>
        <v>24.109589041095887</v>
      </c>
    </row>
    <row r="142" spans="2:13" ht="13.25" hidden="1" customHeight="1" x14ac:dyDescent="0.3">
      <c r="B142" s="21"/>
      <c r="E142" s="54">
        <v>138</v>
      </c>
      <c r="F142" s="5">
        <f t="shared" ca="1" si="22"/>
        <v>100</v>
      </c>
      <c r="G142" s="5">
        <f t="shared" ca="1" si="24"/>
        <v>880</v>
      </c>
      <c r="H142" s="5">
        <f t="shared" ca="1" si="25"/>
        <v>780</v>
      </c>
      <c r="I142" s="5">
        <f t="shared" ca="1" si="26"/>
        <v>0</v>
      </c>
      <c r="J142" s="5">
        <f t="shared" ca="1" si="27"/>
        <v>0</v>
      </c>
      <c r="K142" s="5">
        <f t="shared" ca="1" si="28"/>
        <v>0</v>
      </c>
      <c r="L142" s="5">
        <f t="shared" ca="1" si="29"/>
        <v>0</v>
      </c>
      <c r="M142" s="6">
        <f t="shared" ca="1" si="23"/>
        <v>21.36986301369863</v>
      </c>
    </row>
    <row r="143" spans="2:13" ht="13.25" hidden="1" customHeight="1" x14ac:dyDescent="0.3">
      <c r="B143" s="21"/>
      <c r="E143" s="54">
        <v>139</v>
      </c>
      <c r="F143" s="5">
        <f t="shared" ca="1" si="22"/>
        <v>120</v>
      </c>
      <c r="G143" s="5">
        <f t="shared" ca="1" si="24"/>
        <v>780</v>
      </c>
      <c r="H143" s="5">
        <f t="shared" ca="1" si="25"/>
        <v>660</v>
      </c>
      <c r="I143" s="5">
        <f t="shared" ca="1" si="26"/>
        <v>0</v>
      </c>
      <c r="J143" s="5">
        <f t="shared" ca="1" si="27"/>
        <v>0</v>
      </c>
      <c r="K143" s="5">
        <f t="shared" ca="1" si="28"/>
        <v>0</v>
      </c>
      <c r="L143" s="5">
        <f t="shared" ca="1" si="29"/>
        <v>0</v>
      </c>
      <c r="M143" s="6">
        <f t="shared" ca="1" si="23"/>
        <v>18.082191780821915</v>
      </c>
    </row>
    <row r="144" spans="2:13" ht="13.25" hidden="1" customHeight="1" x14ac:dyDescent="0.3">
      <c r="B144" s="21"/>
      <c r="E144" s="54">
        <v>140</v>
      </c>
      <c r="F144" s="5">
        <f t="shared" ca="1" si="22"/>
        <v>0</v>
      </c>
      <c r="G144" s="5">
        <f t="shared" ca="1" si="24"/>
        <v>660</v>
      </c>
      <c r="H144" s="5">
        <f t="shared" ca="1" si="25"/>
        <v>660</v>
      </c>
      <c r="I144" s="5">
        <f t="shared" ca="1" si="26"/>
        <v>0</v>
      </c>
      <c r="J144" s="5">
        <f t="shared" ca="1" si="27"/>
        <v>0</v>
      </c>
      <c r="K144" s="5">
        <f t="shared" ca="1" si="28"/>
        <v>0</v>
      </c>
      <c r="L144" s="5">
        <f t="shared" ca="1" si="29"/>
        <v>0</v>
      </c>
      <c r="M144" s="6">
        <f t="shared" ca="1" si="23"/>
        <v>18.082191780821915</v>
      </c>
    </row>
    <row r="145" spans="2:13" ht="13.25" hidden="1" customHeight="1" x14ac:dyDescent="0.3">
      <c r="B145" s="21"/>
      <c r="E145" s="54">
        <v>141</v>
      </c>
      <c r="F145" s="5">
        <f t="shared" ca="1" si="22"/>
        <v>100</v>
      </c>
      <c r="G145" s="5">
        <f t="shared" ca="1" si="24"/>
        <v>660</v>
      </c>
      <c r="H145" s="5">
        <f t="shared" ca="1" si="25"/>
        <v>560</v>
      </c>
      <c r="I145" s="5">
        <f t="shared" ca="1" si="26"/>
        <v>0</v>
      </c>
      <c r="J145" s="5">
        <f t="shared" ca="1" si="27"/>
        <v>0</v>
      </c>
      <c r="K145" s="5">
        <f t="shared" ca="1" si="28"/>
        <v>0</v>
      </c>
      <c r="L145" s="5">
        <f t="shared" ca="1" si="29"/>
        <v>0</v>
      </c>
      <c r="M145" s="6">
        <f t="shared" ca="1" si="23"/>
        <v>15.342465753424657</v>
      </c>
    </row>
    <row r="146" spans="2:13" ht="13.25" hidden="1" customHeight="1" x14ac:dyDescent="0.3">
      <c r="B146" s="21"/>
      <c r="E146" s="54">
        <v>142</v>
      </c>
      <c r="F146" s="5">
        <f t="shared" ca="1" si="22"/>
        <v>110</v>
      </c>
      <c r="G146" s="5">
        <f t="shared" ca="1" si="24"/>
        <v>560</v>
      </c>
      <c r="H146" s="5">
        <f t="shared" ca="1" si="25"/>
        <v>450</v>
      </c>
      <c r="I146" s="5">
        <f t="shared" ca="1" si="26"/>
        <v>0</v>
      </c>
      <c r="J146" s="5">
        <f t="shared" ca="1" si="27"/>
        <v>0</v>
      </c>
      <c r="K146" s="5">
        <f t="shared" ca="1" si="28"/>
        <v>0</v>
      </c>
      <c r="L146" s="5">
        <f t="shared" ca="1" si="29"/>
        <v>0</v>
      </c>
      <c r="M146" s="6">
        <f t="shared" ca="1" si="23"/>
        <v>12.328767123287671</v>
      </c>
    </row>
    <row r="147" spans="2:13" ht="13.25" hidden="1" customHeight="1" x14ac:dyDescent="0.3">
      <c r="B147" s="21"/>
      <c r="E147" s="54">
        <v>143</v>
      </c>
      <c r="F147" s="5">
        <f t="shared" ca="1" si="22"/>
        <v>110</v>
      </c>
      <c r="G147" s="5">
        <f t="shared" ca="1" si="24"/>
        <v>450</v>
      </c>
      <c r="H147" s="5">
        <f t="shared" ca="1" si="25"/>
        <v>340</v>
      </c>
      <c r="I147" s="5">
        <f t="shared" ca="1" si="26"/>
        <v>0</v>
      </c>
      <c r="J147" s="5">
        <f t="shared" ca="1" si="27"/>
        <v>0</v>
      </c>
      <c r="K147" s="5">
        <f t="shared" ca="1" si="28"/>
        <v>0</v>
      </c>
      <c r="L147" s="5">
        <f t="shared" ca="1" si="29"/>
        <v>0</v>
      </c>
      <c r="M147" s="6">
        <f t="shared" ca="1" si="23"/>
        <v>9.3150684931506849</v>
      </c>
    </row>
    <row r="148" spans="2:13" ht="13.25" hidden="1" customHeight="1" x14ac:dyDescent="0.3">
      <c r="B148" s="21"/>
      <c r="E148" s="54">
        <v>144</v>
      </c>
      <c r="F148" s="5">
        <f t="shared" ca="1" si="22"/>
        <v>0</v>
      </c>
      <c r="G148" s="5">
        <f t="shared" ca="1" si="24"/>
        <v>340</v>
      </c>
      <c r="H148" s="5">
        <f t="shared" ca="1" si="25"/>
        <v>340</v>
      </c>
      <c r="I148" s="5">
        <f t="shared" ca="1" si="26"/>
        <v>0</v>
      </c>
      <c r="J148" s="5">
        <f t="shared" ca="1" si="27"/>
        <v>0</v>
      </c>
      <c r="K148" s="5">
        <f t="shared" ca="1" si="28"/>
        <v>0</v>
      </c>
      <c r="L148" s="5">
        <f t="shared" ca="1" si="29"/>
        <v>0</v>
      </c>
      <c r="M148" s="6">
        <f t="shared" ca="1" si="23"/>
        <v>9.3150684931506849</v>
      </c>
    </row>
    <row r="149" spans="2:13" ht="13.25" hidden="1" customHeight="1" x14ac:dyDescent="0.3">
      <c r="B149" s="21"/>
      <c r="E149" s="54">
        <v>145</v>
      </c>
      <c r="F149" s="5">
        <f t="shared" ca="1" si="22"/>
        <v>100</v>
      </c>
      <c r="G149" s="5">
        <f t="shared" ca="1" si="24"/>
        <v>340</v>
      </c>
      <c r="H149" s="5">
        <f t="shared" ca="1" si="25"/>
        <v>240</v>
      </c>
      <c r="I149" s="5">
        <f t="shared" ca="1" si="26"/>
        <v>0</v>
      </c>
      <c r="J149" s="5">
        <f t="shared" ca="1" si="27"/>
        <v>0</v>
      </c>
      <c r="K149" s="5">
        <f t="shared" ca="1" si="28"/>
        <v>0</v>
      </c>
      <c r="L149" s="5">
        <f t="shared" ca="1" si="29"/>
        <v>0</v>
      </c>
      <c r="M149" s="6">
        <f t="shared" ca="1" si="23"/>
        <v>6.5753424657534243</v>
      </c>
    </row>
    <row r="150" spans="2:13" ht="13.25" hidden="1" customHeight="1" x14ac:dyDescent="0.3">
      <c r="B150" s="21"/>
      <c r="E150" s="54">
        <v>146</v>
      </c>
      <c r="F150" s="5">
        <f t="shared" ca="1" si="22"/>
        <v>100</v>
      </c>
      <c r="G150" s="5">
        <f t="shared" ca="1" si="24"/>
        <v>240</v>
      </c>
      <c r="H150" s="5">
        <f t="shared" ca="1" si="25"/>
        <v>140</v>
      </c>
      <c r="I150" s="5">
        <f t="shared" ca="1" si="26"/>
        <v>0</v>
      </c>
      <c r="J150" s="5">
        <f t="shared" ca="1" si="27"/>
        <v>0</v>
      </c>
      <c r="K150" s="5">
        <f t="shared" ca="1" si="28"/>
        <v>0</v>
      </c>
      <c r="L150" s="5">
        <f t="shared" ca="1" si="29"/>
        <v>0</v>
      </c>
      <c r="M150" s="6">
        <f t="shared" ca="1" si="23"/>
        <v>3.8356164383561642</v>
      </c>
    </row>
    <row r="151" spans="2:13" ht="13.25" hidden="1" customHeight="1" x14ac:dyDescent="0.3">
      <c r="B151" s="21"/>
      <c r="E151" s="54">
        <v>147</v>
      </c>
      <c r="F151" s="5">
        <f t="shared" ca="1" si="22"/>
        <v>110</v>
      </c>
      <c r="G151" s="5">
        <f t="shared" ca="1" si="24"/>
        <v>140</v>
      </c>
      <c r="H151" s="5">
        <f t="shared" ca="1" si="25"/>
        <v>30</v>
      </c>
      <c r="I151" s="5">
        <f t="shared" ca="1" si="26"/>
        <v>1</v>
      </c>
      <c r="J151" s="5">
        <f t="shared" ca="1" si="27"/>
        <v>0</v>
      </c>
      <c r="K151" s="5">
        <f t="shared" ca="1" si="28"/>
        <v>0</v>
      </c>
      <c r="L151" s="5">
        <f t="shared" ca="1" si="29"/>
        <v>200</v>
      </c>
      <c r="M151" s="6">
        <f t="shared" ca="1" si="23"/>
        <v>0.82191780821917804</v>
      </c>
    </row>
    <row r="152" spans="2:13" ht="13.25" hidden="1" customHeight="1" x14ac:dyDescent="0.3">
      <c r="B152" s="21"/>
      <c r="E152" s="54">
        <v>148</v>
      </c>
      <c r="F152" s="5">
        <f t="shared" ca="1" si="22"/>
        <v>0</v>
      </c>
      <c r="G152" s="5">
        <f t="shared" ca="1" si="24"/>
        <v>1030</v>
      </c>
      <c r="H152" s="5">
        <f t="shared" ca="1" si="25"/>
        <v>1030</v>
      </c>
      <c r="I152" s="5">
        <f t="shared" ca="1" si="26"/>
        <v>0</v>
      </c>
      <c r="J152" s="5">
        <f t="shared" ca="1" si="27"/>
        <v>0</v>
      </c>
      <c r="K152" s="5">
        <f t="shared" ca="1" si="28"/>
        <v>0</v>
      </c>
      <c r="L152" s="5">
        <f t="shared" ca="1" si="29"/>
        <v>0</v>
      </c>
      <c r="M152" s="6">
        <f t="shared" ca="1" si="23"/>
        <v>28.219178082191778</v>
      </c>
    </row>
    <row r="153" spans="2:13" ht="13.25" hidden="1" customHeight="1" x14ac:dyDescent="0.3">
      <c r="B153" s="21"/>
      <c r="E153" s="54">
        <v>149</v>
      </c>
      <c r="F153" s="5">
        <f t="shared" ca="1" si="22"/>
        <v>110</v>
      </c>
      <c r="G153" s="5">
        <f t="shared" ca="1" si="24"/>
        <v>1030</v>
      </c>
      <c r="H153" s="5">
        <f t="shared" ca="1" si="25"/>
        <v>920</v>
      </c>
      <c r="I153" s="5">
        <f t="shared" ca="1" si="26"/>
        <v>0</v>
      </c>
      <c r="J153" s="5">
        <f t="shared" ca="1" si="27"/>
        <v>0</v>
      </c>
      <c r="K153" s="5">
        <f t="shared" ca="1" si="28"/>
        <v>0</v>
      </c>
      <c r="L153" s="5">
        <f t="shared" ca="1" si="29"/>
        <v>0</v>
      </c>
      <c r="M153" s="6">
        <f t="shared" ca="1" si="23"/>
        <v>25.205479452054792</v>
      </c>
    </row>
    <row r="154" spans="2:13" ht="13.25" hidden="1" customHeight="1" x14ac:dyDescent="0.3">
      <c r="B154" s="21"/>
      <c r="E154" s="54">
        <v>150</v>
      </c>
      <c r="F154" s="5">
        <f t="shared" ca="1" si="22"/>
        <v>0</v>
      </c>
      <c r="G154" s="5">
        <f t="shared" ca="1" si="24"/>
        <v>920</v>
      </c>
      <c r="H154" s="5">
        <f t="shared" ca="1" si="25"/>
        <v>920</v>
      </c>
      <c r="I154" s="5">
        <f t="shared" ca="1" si="26"/>
        <v>0</v>
      </c>
      <c r="J154" s="5">
        <f t="shared" ca="1" si="27"/>
        <v>0</v>
      </c>
      <c r="K154" s="5">
        <f t="shared" ca="1" si="28"/>
        <v>0</v>
      </c>
      <c r="L154" s="5">
        <f t="shared" ca="1" si="29"/>
        <v>0</v>
      </c>
      <c r="M154" s="6">
        <f t="shared" ca="1" si="23"/>
        <v>25.205479452054792</v>
      </c>
    </row>
    <row r="155" spans="2:13" ht="13.25" hidden="1" customHeight="1" x14ac:dyDescent="0.3">
      <c r="B155" s="21"/>
      <c r="E155" s="54">
        <v>151</v>
      </c>
      <c r="F155" s="5">
        <f t="shared" ca="1" si="22"/>
        <v>110</v>
      </c>
      <c r="G155" s="5">
        <f t="shared" ca="1" si="24"/>
        <v>920</v>
      </c>
      <c r="H155" s="5">
        <f t="shared" ca="1" si="25"/>
        <v>810</v>
      </c>
      <c r="I155" s="5">
        <f t="shared" ca="1" si="26"/>
        <v>0</v>
      </c>
      <c r="J155" s="5">
        <f t="shared" ca="1" si="27"/>
        <v>0</v>
      </c>
      <c r="K155" s="5">
        <f t="shared" ca="1" si="28"/>
        <v>0</v>
      </c>
      <c r="L155" s="5">
        <f t="shared" ca="1" si="29"/>
        <v>0</v>
      </c>
      <c r="M155" s="6">
        <f t="shared" ca="1" si="23"/>
        <v>22.191780821917806</v>
      </c>
    </row>
    <row r="156" spans="2:13" ht="13.25" hidden="1" customHeight="1" x14ac:dyDescent="0.3">
      <c r="B156" s="21"/>
      <c r="E156" s="54">
        <v>152</v>
      </c>
      <c r="F156" s="5">
        <f t="shared" ca="1" si="22"/>
        <v>120</v>
      </c>
      <c r="G156" s="5">
        <f t="shared" ca="1" si="24"/>
        <v>810</v>
      </c>
      <c r="H156" s="5">
        <f t="shared" ca="1" si="25"/>
        <v>690</v>
      </c>
      <c r="I156" s="5">
        <f t="shared" ca="1" si="26"/>
        <v>0</v>
      </c>
      <c r="J156" s="5">
        <f t="shared" ca="1" si="27"/>
        <v>0</v>
      </c>
      <c r="K156" s="5">
        <f t="shared" ca="1" si="28"/>
        <v>0</v>
      </c>
      <c r="L156" s="5">
        <f t="shared" ca="1" si="29"/>
        <v>0</v>
      </c>
      <c r="M156" s="6">
        <f t="shared" ca="1" si="23"/>
        <v>18.904109589041095</v>
      </c>
    </row>
    <row r="157" spans="2:13" ht="13.25" hidden="1" customHeight="1" x14ac:dyDescent="0.3">
      <c r="B157" s="21"/>
      <c r="E157" s="54">
        <v>153</v>
      </c>
      <c r="F157" s="5">
        <f t="shared" ca="1" si="22"/>
        <v>100</v>
      </c>
      <c r="G157" s="5">
        <f t="shared" ca="1" si="24"/>
        <v>690</v>
      </c>
      <c r="H157" s="5">
        <f t="shared" ca="1" si="25"/>
        <v>590</v>
      </c>
      <c r="I157" s="5">
        <f t="shared" ca="1" si="26"/>
        <v>0</v>
      </c>
      <c r="J157" s="5">
        <f t="shared" ca="1" si="27"/>
        <v>0</v>
      </c>
      <c r="K157" s="5">
        <f t="shared" ca="1" si="28"/>
        <v>0</v>
      </c>
      <c r="L157" s="5">
        <f t="shared" ca="1" si="29"/>
        <v>0</v>
      </c>
      <c r="M157" s="6">
        <f t="shared" ca="1" si="23"/>
        <v>16.164383561643834</v>
      </c>
    </row>
    <row r="158" spans="2:13" ht="13.25" hidden="1" customHeight="1" x14ac:dyDescent="0.3">
      <c r="B158" s="21"/>
      <c r="E158" s="54">
        <v>154</v>
      </c>
      <c r="F158" s="5">
        <f t="shared" ca="1" si="22"/>
        <v>90</v>
      </c>
      <c r="G158" s="5">
        <f t="shared" ca="1" si="24"/>
        <v>590</v>
      </c>
      <c r="H158" s="5">
        <f t="shared" ca="1" si="25"/>
        <v>500</v>
      </c>
      <c r="I158" s="5">
        <f t="shared" ca="1" si="26"/>
        <v>0</v>
      </c>
      <c r="J158" s="5">
        <f t="shared" ca="1" si="27"/>
        <v>0</v>
      </c>
      <c r="K158" s="5">
        <f t="shared" ca="1" si="28"/>
        <v>0</v>
      </c>
      <c r="L158" s="5">
        <f t="shared" ca="1" si="29"/>
        <v>0</v>
      </c>
      <c r="M158" s="6">
        <f t="shared" ca="1" si="23"/>
        <v>13.698630136986301</v>
      </c>
    </row>
    <row r="159" spans="2:13" ht="13.25" hidden="1" customHeight="1" x14ac:dyDescent="0.3">
      <c r="B159" s="21"/>
      <c r="E159" s="54">
        <v>155</v>
      </c>
      <c r="F159" s="5">
        <f t="shared" ca="1" si="22"/>
        <v>0</v>
      </c>
      <c r="G159" s="5">
        <f t="shared" ca="1" si="24"/>
        <v>500</v>
      </c>
      <c r="H159" s="5">
        <f t="shared" ca="1" si="25"/>
        <v>500</v>
      </c>
      <c r="I159" s="5">
        <f t="shared" ca="1" si="26"/>
        <v>0</v>
      </c>
      <c r="J159" s="5">
        <f t="shared" ca="1" si="27"/>
        <v>0</v>
      </c>
      <c r="K159" s="5">
        <f t="shared" ca="1" si="28"/>
        <v>0</v>
      </c>
      <c r="L159" s="5">
        <f t="shared" ca="1" si="29"/>
        <v>0</v>
      </c>
      <c r="M159" s="6">
        <f t="shared" ca="1" si="23"/>
        <v>13.698630136986301</v>
      </c>
    </row>
    <row r="160" spans="2:13" ht="13.25" hidden="1" customHeight="1" x14ac:dyDescent="0.3">
      <c r="B160" s="21"/>
      <c r="E160" s="54">
        <v>156</v>
      </c>
      <c r="F160" s="5">
        <f t="shared" ca="1" si="22"/>
        <v>100</v>
      </c>
      <c r="G160" s="5">
        <f t="shared" ca="1" si="24"/>
        <v>500</v>
      </c>
      <c r="H160" s="5">
        <f t="shared" ca="1" si="25"/>
        <v>400</v>
      </c>
      <c r="I160" s="5">
        <f t="shared" ca="1" si="26"/>
        <v>0</v>
      </c>
      <c r="J160" s="5">
        <f t="shared" ca="1" si="27"/>
        <v>0</v>
      </c>
      <c r="K160" s="5">
        <f t="shared" ca="1" si="28"/>
        <v>0</v>
      </c>
      <c r="L160" s="5">
        <f t="shared" ca="1" si="29"/>
        <v>0</v>
      </c>
      <c r="M160" s="6">
        <f t="shared" ca="1" si="23"/>
        <v>10.95890410958904</v>
      </c>
    </row>
    <row r="161" spans="2:13" ht="13.25" hidden="1" customHeight="1" x14ac:dyDescent="0.3">
      <c r="B161" s="21"/>
      <c r="E161" s="54">
        <v>157</v>
      </c>
      <c r="F161" s="5">
        <f t="shared" ca="1" si="22"/>
        <v>120</v>
      </c>
      <c r="G161" s="5">
        <f t="shared" ca="1" si="24"/>
        <v>400</v>
      </c>
      <c r="H161" s="5">
        <f t="shared" ca="1" si="25"/>
        <v>280</v>
      </c>
      <c r="I161" s="5">
        <f t="shared" ca="1" si="26"/>
        <v>0</v>
      </c>
      <c r="J161" s="5">
        <f t="shared" ca="1" si="27"/>
        <v>0</v>
      </c>
      <c r="K161" s="5">
        <f t="shared" ca="1" si="28"/>
        <v>0</v>
      </c>
      <c r="L161" s="5">
        <f t="shared" ca="1" si="29"/>
        <v>0</v>
      </c>
      <c r="M161" s="6">
        <f t="shared" ca="1" si="23"/>
        <v>7.6712328767123283</v>
      </c>
    </row>
    <row r="162" spans="2:13" ht="13.25" hidden="1" customHeight="1" x14ac:dyDescent="0.3">
      <c r="B162" s="21"/>
      <c r="E162" s="54">
        <v>158</v>
      </c>
      <c r="F162" s="5">
        <f t="shared" ca="1" si="22"/>
        <v>100</v>
      </c>
      <c r="G162" s="5">
        <f t="shared" ca="1" si="24"/>
        <v>280</v>
      </c>
      <c r="H162" s="5">
        <f t="shared" ca="1" si="25"/>
        <v>180</v>
      </c>
      <c r="I162" s="5">
        <f t="shared" ca="1" si="26"/>
        <v>0</v>
      </c>
      <c r="J162" s="5">
        <f t="shared" ca="1" si="27"/>
        <v>0</v>
      </c>
      <c r="K162" s="5">
        <f t="shared" ca="1" si="28"/>
        <v>0</v>
      </c>
      <c r="L162" s="5">
        <f t="shared" ca="1" si="29"/>
        <v>0</v>
      </c>
      <c r="M162" s="6">
        <f t="shared" ca="1" si="23"/>
        <v>4.9315068493150687</v>
      </c>
    </row>
    <row r="163" spans="2:13" ht="13.25" hidden="1" customHeight="1" x14ac:dyDescent="0.3">
      <c r="B163" s="21"/>
      <c r="E163" s="54">
        <v>159</v>
      </c>
      <c r="F163" s="5">
        <f t="shared" ca="1" si="22"/>
        <v>90</v>
      </c>
      <c r="G163" s="5">
        <f t="shared" ca="1" si="24"/>
        <v>180</v>
      </c>
      <c r="H163" s="5">
        <f t="shared" ca="1" si="25"/>
        <v>90</v>
      </c>
      <c r="I163" s="5">
        <f t="shared" ca="1" si="26"/>
        <v>1</v>
      </c>
      <c r="J163" s="5">
        <f t="shared" ca="1" si="27"/>
        <v>0</v>
      </c>
      <c r="K163" s="5">
        <f t="shared" ca="1" si="28"/>
        <v>0</v>
      </c>
      <c r="L163" s="5">
        <f t="shared" ca="1" si="29"/>
        <v>200</v>
      </c>
      <c r="M163" s="6">
        <f t="shared" ca="1" si="23"/>
        <v>2.4657534246575343</v>
      </c>
    </row>
    <row r="164" spans="2:13" ht="13.25" hidden="1" customHeight="1" x14ac:dyDescent="0.3">
      <c r="B164" s="21"/>
      <c r="E164" s="54">
        <v>160</v>
      </c>
      <c r="F164" s="5">
        <f t="shared" ca="1" si="22"/>
        <v>100</v>
      </c>
      <c r="G164" s="5">
        <f t="shared" ca="1" si="24"/>
        <v>1090</v>
      </c>
      <c r="H164" s="5">
        <f t="shared" ca="1" si="25"/>
        <v>990</v>
      </c>
      <c r="I164" s="5">
        <f t="shared" ca="1" si="26"/>
        <v>0</v>
      </c>
      <c r="J164" s="5">
        <f t="shared" ca="1" si="27"/>
        <v>0</v>
      </c>
      <c r="K164" s="5">
        <f t="shared" ca="1" si="28"/>
        <v>0</v>
      </c>
      <c r="L164" s="5">
        <f t="shared" ca="1" si="29"/>
        <v>0</v>
      </c>
      <c r="M164" s="6">
        <f t="shared" ca="1" si="23"/>
        <v>27.123287671232877</v>
      </c>
    </row>
    <row r="165" spans="2:13" ht="13.25" hidden="1" customHeight="1" x14ac:dyDescent="0.3">
      <c r="B165" s="21"/>
      <c r="E165" s="54">
        <v>161</v>
      </c>
      <c r="F165" s="5">
        <f t="shared" ca="1" si="22"/>
        <v>120</v>
      </c>
      <c r="G165" s="5">
        <f t="shared" ca="1" si="24"/>
        <v>990</v>
      </c>
      <c r="H165" s="5">
        <f t="shared" ca="1" si="25"/>
        <v>870</v>
      </c>
      <c r="I165" s="5">
        <f t="shared" ca="1" si="26"/>
        <v>0</v>
      </c>
      <c r="J165" s="5">
        <f t="shared" ca="1" si="27"/>
        <v>0</v>
      </c>
      <c r="K165" s="5">
        <f t="shared" ca="1" si="28"/>
        <v>0</v>
      </c>
      <c r="L165" s="5">
        <f t="shared" ca="1" si="29"/>
        <v>0</v>
      </c>
      <c r="M165" s="6">
        <f t="shared" ca="1" si="23"/>
        <v>23.835616438356162</v>
      </c>
    </row>
    <row r="166" spans="2:13" ht="13.25" hidden="1" customHeight="1" x14ac:dyDescent="0.3">
      <c r="B166" s="21"/>
      <c r="E166" s="54">
        <v>162</v>
      </c>
      <c r="F166" s="5">
        <f t="shared" ca="1" si="22"/>
        <v>120</v>
      </c>
      <c r="G166" s="5">
        <f t="shared" ca="1" si="24"/>
        <v>870</v>
      </c>
      <c r="H166" s="5">
        <f t="shared" ca="1" si="25"/>
        <v>750</v>
      </c>
      <c r="I166" s="5">
        <f t="shared" ca="1" si="26"/>
        <v>0</v>
      </c>
      <c r="J166" s="5">
        <f t="shared" ca="1" si="27"/>
        <v>0</v>
      </c>
      <c r="K166" s="5">
        <f t="shared" ca="1" si="28"/>
        <v>0</v>
      </c>
      <c r="L166" s="5">
        <f t="shared" ca="1" si="29"/>
        <v>0</v>
      </c>
      <c r="M166" s="6">
        <f t="shared" ca="1" si="23"/>
        <v>20.547945205479451</v>
      </c>
    </row>
    <row r="167" spans="2:13" ht="13.25" hidden="1" customHeight="1" x14ac:dyDescent="0.3">
      <c r="B167" s="21"/>
      <c r="E167" s="54">
        <v>163</v>
      </c>
      <c r="F167" s="5">
        <f t="shared" ca="1" si="22"/>
        <v>90</v>
      </c>
      <c r="G167" s="5">
        <f t="shared" ca="1" si="24"/>
        <v>750</v>
      </c>
      <c r="H167" s="5">
        <f t="shared" ca="1" si="25"/>
        <v>660</v>
      </c>
      <c r="I167" s="5">
        <f t="shared" ca="1" si="26"/>
        <v>0</v>
      </c>
      <c r="J167" s="5">
        <f t="shared" ca="1" si="27"/>
        <v>0</v>
      </c>
      <c r="K167" s="5">
        <f t="shared" ca="1" si="28"/>
        <v>0</v>
      </c>
      <c r="L167" s="5">
        <f t="shared" ca="1" si="29"/>
        <v>0</v>
      </c>
      <c r="M167" s="6">
        <f t="shared" ca="1" si="23"/>
        <v>18.082191780821915</v>
      </c>
    </row>
    <row r="168" spans="2:13" ht="13.25" hidden="1" customHeight="1" x14ac:dyDescent="0.3">
      <c r="B168" s="21"/>
      <c r="E168" s="54">
        <v>164</v>
      </c>
      <c r="F168" s="5">
        <f t="shared" ca="1" si="22"/>
        <v>100</v>
      </c>
      <c r="G168" s="5">
        <f t="shared" ca="1" si="24"/>
        <v>660</v>
      </c>
      <c r="H168" s="5">
        <f t="shared" ca="1" si="25"/>
        <v>560</v>
      </c>
      <c r="I168" s="5">
        <f t="shared" ca="1" si="26"/>
        <v>0</v>
      </c>
      <c r="J168" s="5">
        <f t="shared" ca="1" si="27"/>
        <v>0</v>
      </c>
      <c r="K168" s="5">
        <f t="shared" ca="1" si="28"/>
        <v>0</v>
      </c>
      <c r="L168" s="5">
        <f t="shared" ca="1" si="29"/>
        <v>0</v>
      </c>
      <c r="M168" s="6">
        <f t="shared" ca="1" si="23"/>
        <v>15.342465753424657</v>
      </c>
    </row>
    <row r="169" spans="2:13" ht="13.25" hidden="1" customHeight="1" x14ac:dyDescent="0.3">
      <c r="B169" s="21"/>
      <c r="E169" s="54">
        <v>165</v>
      </c>
      <c r="F169" s="5">
        <f t="shared" ca="1" si="22"/>
        <v>120</v>
      </c>
      <c r="G169" s="5">
        <f t="shared" ca="1" si="24"/>
        <v>560</v>
      </c>
      <c r="H169" s="5">
        <f t="shared" ca="1" si="25"/>
        <v>440</v>
      </c>
      <c r="I169" s="5">
        <f t="shared" ca="1" si="26"/>
        <v>0</v>
      </c>
      <c r="J169" s="5">
        <f t="shared" ca="1" si="27"/>
        <v>0</v>
      </c>
      <c r="K169" s="5">
        <f t="shared" ca="1" si="28"/>
        <v>0</v>
      </c>
      <c r="L169" s="5">
        <f t="shared" ca="1" si="29"/>
        <v>0</v>
      </c>
      <c r="M169" s="6">
        <f t="shared" ca="1" si="23"/>
        <v>12.054794520547944</v>
      </c>
    </row>
    <row r="170" spans="2:13" ht="13.25" hidden="1" customHeight="1" x14ac:dyDescent="0.3">
      <c r="B170" s="21"/>
      <c r="E170" s="54">
        <v>166</v>
      </c>
      <c r="F170" s="5">
        <f t="shared" ca="1" si="22"/>
        <v>0</v>
      </c>
      <c r="G170" s="5">
        <f t="shared" ca="1" si="24"/>
        <v>440</v>
      </c>
      <c r="H170" s="5">
        <f t="shared" ca="1" si="25"/>
        <v>440</v>
      </c>
      <c r="I170" s="5">
        <f t="shared" ca="1" si="26"/>
        <v>0</v>
      </c>
      <c r="J170" s="5">
        <f t="shared" ca="1" si="27"/>
        <v>0</v>
      </c>
      <c r="K170" s="5">
        <f t="shared" ca="1" si="28"/>
        <v>0</v>
      </c>
      <c r="L170" s="5">
        <f t="shared" ca="1" si="29"/>
        <v>0</v>
      </c>
      <c r="M170" s="6">
        <f t="shared" ca="1" si="23"/>
        <v>12.054794520547944</v>
      </c>
    </row>
    <row r="171" spans="2:13" ht="13.25" hidden="1" customHeight="1" x14ac:dyDescent="0.3">
      <c r="B171" s="21"/>
      <c r="E171" s="54">
        <v>167</v>
      </c>
      <c r="F171" s="5">
        <f t="shared" ca="1" si="22"/>
        <v>110</v>
      </c>
      <c r="G171" s="5">
        <f t="shared" ca="1" si="24"/>
        <v>440</v>
      </c>
      <c r="H171" s="5">
        <f t="shared" ca="1" si="25"/>
        <v>330</v>
      </c>
      <c r="I171" s="5">
        <f t="shared" ca="1" si="26"/>
        <v>0</v>
      </c>
      <c r="J171" s="5">
        <f t="shared" ca="1" si="27"/>
        <v>0</v>
      </c>
      <c r="K171" s="5">
        <f t="shared" ca="1" si="28"/>
        <v>0</v>
      </c>
      <c r="L171" s="5">
        <f t="shared" ca="1" si="29"/>
        <v>0</v>
      </c>
      <c r="M171" s="6">
        <f t="shared" ca="1" si="23"/>
        <v>9.0410958904109577</v>
      </c>
    </row>
    <row r="172" spans="2:13" ht="13.25" hidden="1" customHeight="1" x14ac:dyDescent="0.3">
      <c r="B172" s="21"/>
      <c r="E172" s="54">
        <v>168</v>
      </c>
      <c r="F172" s="5">
        <f t="shared" ca="1" si="22"/>
        <v>100</v>
      </c>
      <c r="G172" s="5">
        <f t="shared" ca="1" si="24"/>
        <v>330</v>
      </c>
      <c r="H172" s="5">
        <f t="shared" ca="1" si="25"/>
        <v>230</v>
      </c>
      <c r="I172" s="5">
        <f t="shared" ca="1" si="26"/>
        <v>0</v>
      </c>
      <c r="J172" s="5">
        <f t="shared" ca="1" si="27"/>
        <v>0</v>
      </c>
      <c r="K172" s="5">
        <f t="shared" ca="1" si="28"/>
        <v>0</v>
      </c>
      <c r="L172" s="5">
        <f t="shared" ca="1" si="29"/>
        <v>0</v>
      </c>
      <c r="M172" s="6">
        <f t="shared" ca="1" si="23"/>
        <v>6.3013698630136981</v>
      </c>
    </row>
    <row r="173" spans="2:13" ht="13.25" hidden="1" customHeight="1" x14ac:dyDescent="0.3">
      <c r="B173" s="21"/>
      <c r="E173" s="54">
        <v>169</v>
      </c>
      <c r="F173" s="5">
        <f t="shared" ca="1" si="22"/>
        <v>100</v>
      </c>
      <c r="G173" s="5">
        <f t="shared" ca="1" si="24"/>
        <v>230</v>
      </c>
      <c r="H173" s="5">
        <f t="shared" ca="1" si="25"/>
        <v>130</v>
      </c>
      <c r="I173" s="5">
        <f t="shared" ca="1" si="26"/>
        <v>0</v>
      </c>
      <c r="J173" s="5">
        <f t="shared" ca="1" si="27"/>
        <v>0</v>
      </c>
      <c r="K173" s="5">
        <f t="shared" ca="1" si="28"/>
        <v>0</v>
      </c>
      <c r="L173" s="5">
        <f t="shared" ca="1" si="29"/>
        <v>0</v>
      </c>
      <c r="M173" s="6">
        <f t="shared" ca="1" si="23"/>
        <v>3.5616438356164384</v>
      </c>
    </row>
    <row r="174" spans="2:13" ht="13.25" hidden="1" customHeight="1" x14ac:dyDescent="0.3">
      <c r="B174" s="21"/>
      <c r="E174" s="54">
        <v>170</v>
      </c>
      <c r="F174" s="5">
        <f t="shared" ca="1" si="22"/>
        <v>100</v>
      </c>
      <c r="G174" s="5">
        <f t="shared" ca="1" si="24"/>
        <v>130</v>
      </c>
      <c r="H174" s="5">
        <f t="shared" ca="1" si="25"/>
        <v>30</v>
      </c>
      <c r="I174" s="5">
        <f t="shared" ca="1" si="26"/>
        <v>1</v>
      </c>
      <c r="J174" s="5">
        <f t="shared" ca="1" si="27"/>
        <v>0</v>
      </c>
      <c r="K174" s="5">
        <f t="shared" ca="1" si="28"/>
        <v>0</v>
      </c>
      <c r="L174" s="5">
        <f t="shared" ca="1" si="29"/>
        <v>200</v>
      </c>
      <c r="M174" s="6">
        <f t="shared" ca="1" si="23"/>
        <v>0.82191780821917804</v>
      </c>
    </row>
    <row r="175" spans="2:13" ht="13.25" hidden="1" customHeight="1" x14ac:dyDescent="0.3">
      <c r="B175" s="21"/>
      <c r="E175" s="54">
        <v>171</v>
      </c>
      <c r="F175" s="5">
        <f t="shared" ca="1" si="22"/>
        <v>110</v>
      </c>
      <c r="G175" s="5">
        <f t="shared" ca="1" si="24"/>
        <v>1030</v>
      </c>
      <c r="H175" s="5">
        <f t="shared" ca="1" si="25"/>
        <v>920</v>
      </c>
      <c r="I175" s="5">
        <f t="shared" ca="1" si="26"/>
        <v>0</v>
      </c>
      <c r="J175" s="5">
        <f t="shared" ca="1" si="27"/>
        <v>0</v>
      </c>
      <c r="K175" s="5">
        <f t="shared" ca="1" si="28"/>
        <v>0</v>
      </c>
      <c r="L175" s="5">
        <f t="shared" ca="1" si="29"/>
        <v>0</v>
      </c>
      <c r="M175" s="6">
        <f t="shared" ca="1" si="23"/>
        <v>25.205479452054792</v>
      </c>
    </row>
    <row r="176" spans="2:13" ht="13.25" hidden="1" customHeight="1" x14ac:dyDescent="0.3">
      <c r="B176" s="21"/>
      <c r="E176" s="54">
        <v>172</v>
      </c>
      <c r="F176" s="5">
        <f t="shared" ca="1" si="22"/>
        <v>90</v>
      </c>
      <c r="G176" s="5">
        <f t="shared" ca="1" si="24"/>
        <v>920</v>
      </c>
      <c r="H176" s="5">
        <f t="shared" ca="1" si="25"/>
        <v>830</v>
      </c>
      <c r="I176" s="5">
        <f t="shared" ca="1" si="26"/>
        <v>0</v>
      </c>
      <c r="J176" s="5">
        <f t="shared" ca="1" si="27"/>
        <v>0</v>
      </c>
      <c r="K176" s="5">
        <f t="shared" ca="1" si="28"/>
        <v>0</v>
      </c>
      <c r="L176" s="5">
        <f t="shared" ca="1" si="29"/>
        <v>0</v>
      </c>
      <c r="M176" s="6">
        <f t="shared" ca="1" si="23"/>
        <v>22.739726027397261</v>
      </c>
    </row>
    <row r="177" spans="2:13" ht="13.25" hidden="1" customHeight="1" x14ac:dyDescent="0.3">
      <c r="B177" s="21"/>
      <c r="E177" s="54">
        <v>173</v>
      </c>
      <c r="F177" s="5">
        <f t="shared" ca="1" si="22"/>
        <v>120</v>
      </c>
      <c r="G177" s="5">
        <f t="shared" ca="1" si="24"/>
        <v>830</v>
      </c>
      <c r="H177" s="5">
        <f t="shared" ca="1" si="25"/>
        <v>710</v>
      </c>
      <c r="I177" s="5">
        <f t="shared" ca="1" si="26"/>
        <v>0</v>
      </c>
      <c r="J177" s="5">
        <f t="shared" ca="1" si="27"/>
        <v>0</v>
      </c>
      <c r="K177" s="5">
        <f t="shared" ca="1" si="28"/>
        <v>0</v>
      </c>
      <c r="L177" s="5">
        <f t="shared" ca="1" si="29"/>
        <v>0</v>
      </c>
      <c r="M177" s="6">
        <f t="shared" ca="1" si="23"/>
        <v>19.452054794520546</v>
      </c>
    </row>
    <row r="178" spans="2:13" ht="13.25" hidden="1" customHeight="1" x14ac:dyDescent="0.3">
      <c r="B178" s="21"/>
      <c r="E178" s="54">
        <v>174</v>
      </c>
      <c r="F178" s="5">
        <f t="shared" ca="1" si="22"/>
        <v>120</v>
      </c>
      <c r="G178" s="5">
        <f t="shared" ca="1" si="24"/>
        <v>710</v>
      </c>
      <c r="H178" s="5">
        <f t="shared" ca="1" si="25"/>
        <v>590</v>
      </c>
      <c r="I178" s="5">
        <f t="shared" ca="1" si="26"/>
        <v>0</v>
      </c>
      <c r="J178" s="5">
        <f t="shared" ca="1" si="27"/>
        <v>0</v>
      </c>
      <c r="K178" s="5">
        <f t="shared" ca="1" si="28"/>
        <v>0</v>
      </c>
      <c r="L178" s="5">
        <f t="shared" ca="1" si="29"/>
        <v>0</v>
      </c>
      <c r="M178" s="6">
        <f t="shared" ca="1" si="23"/>
        <v>16.164383561643834</v>
      </c>
    </row>
    <row r="179" spans="2:13" ht="13.25" hidden="1" customHeight="1" x14ac:dyDescent="0.3">
      <c r="B179" s="21"/>
      <c r="E179" s="54">
        <v>175</v>
      </c>
      <c r="F179" s="5">
        <f t="shared" ca="1" si="22"/>
        <v>100</v>
      </c>
      <c r="G179" s="5">
        <f t="shared" ca="1" si="24"/>
        <v>590</v>
      </c>
      <c r="H179" s="5">
        <f t="shared" ca="1" si="25"/>
        <v>490</v>
      </c>
      <c r="I179" s="5">
        <f t="shared" ca="1" si="26"/>
        <v>0</v>
      </c>
      <c r="J179" s="5">
        <f t="shared" ca="1" si="27"/>
        <v>0</v>
      </c>
      <c r="K179" s="5">
        <f t="shared" ca="1" si="28"/>
        <v>0</v>
      </c>
      <c r="L179" s="5">
        <f t="shared" ca="1" si="29"/>
        <v>0</v>
      </c>
      <c r="M179" s="6">
        <f t="shared" ca="1" si="23"/>
        <v>13.424657534246574</v>
      </c>
    </row>
    <row r="180" spans="2:13" ht="13.25" hidden="1" customHeight="1" x14ac:dyDescent="0.3">
      <c r="B180" s="21"/>
      <c r="E180" s="54">
        <v>176</v>
      </c>
      <c r="F180" s="5">
        <f t="shared" ca="1" si="22"/>
        <v>0</v>
      </c>
      <c r="G180" s="5">
        <f t="shared" ca="1" si="24"/>
        <v>490</v>
      </c>
      <c r="H180" s="5">
        <f t="shared" ca="1" si="25"/>
        <v>490</v>
      </c>
      <c r="I180" s="5">
        <f t="shared" ca="1" si="26"/>
        <v>0</v>
      </c>
      <c r="J180" s="5">
        <f t="shared" ca="1" si="27"/>
        <v>0</v>
      </c>
      <c r="K180" s="5">
        <f t="shared" ca="1" si="28"/>
        <v>0</v>
      </c>
      <c r="L180" s="5">
        <f t="shared" ca="1" si="29"/>
        <v>0</v>
      </c>
      <c r="M180" s="6">
        <f t="shared" ca="1" si="23"/>
        <v>13.424657534246574</v>
      </c>
    </row>
    <row r="181" spans="2:13" ht="13.25" hidden="1" customHeight="1" x14ac:dyDescent="0.3">
      <c r="B181" s="21"/>
      <c r="E181" s="54">
        <v>177</v>
      </c>
      <c r="F181" s="5">
        <f t="shared" ca="1" si="22"/>
        <v>0</v>
      </c>
      <c r="G181" s="5">
        <f t="shared" ca="1" si="24"/>
        <v>490</v>
      </c>
      <c r="H181" s="5">
        <f t="shared" ca="1" si="25"/>
        <v>490</v>
      </c>
      <c r="I181" s="5">
        <f t="shared" ca="1" si="26"/>
        <v>0</v>
      </c>
      <c r="J181" s="5">
        <f t="shared" ca="1" si="27"/>
        <v>0</v>
      </c>
      <c r="K181" s="5">
        <f t="shared" ca="1" si="28"/>
        <v>0</v>
      </c>
      <c r="L181" s="5">
        <f t="shared" ca="1" si="29"/>
        <v>0</v>
      </c>
      <c r="M181" s="6">
        <f t="shared" ca="1" si="23"/>
        <v>13.424657534246574</v>
      </c>
    </row>
    <row r="182" spans="2:13" ht="13.25" hidden="1" customHeight="1" x14ac:dyDescent="0.3">
      <c r="B182" s="21"/>
      <c r="E182" s="54">
        <v>178</v>
      </c>
      <c r="F182" s="5">
        <f t="shared" ca="1" si="22"/>
        <v>0</v>
      </c>
      <c r="G182" s="5">
        <f t="shared" ca="1" si="24"/>
        <v>490</v>
      </c>
      <c r="H182" s="5">
        <f t="shared" ca="1" si="25"/>
        <v>490</v>
      </c>
      <c r="I182" s="5">
        <f t="shared" ca="1" si="26"/>
        <v>0</v>
      </c>
      <c r="J182" s="5">
        <f t="shared" ca="1" si="27"/>
        <v>0</v>
      </c>
      <c r="K182" s="5">
        <f t="shared" ca="1" si="28"/>
        <v>0</v>
      </c>
      <c r="L182" s="5">
        <f t="shared" ca="1" si="29"/>
        <v>0</v>
      </c>
      <c r="M182" s="6">
        <f t="shared" ca="1" si="23"/>
        <v>13.424657534246574</v>
      </c>
    </row>
    <row r="183" spans="2:13" ht="13.25" hidden="1" customHeight="1" x14ac:dyDescent="0.3">
      <c r="B183" s="21"/>
      <c r="E183" s="54">
        <v>179</v>
      </c>
      <c r="F183" s="5">
        <f t="shared" ca="1" si="22"/>
        <v>100</v>
      </c>
      <c r="G183" s="5">
        <f t="shared" ca="1" si="24"/>
        <v>490</v>
      </c>
      <c r="H183" s="5">
        <f t="shared" ca="1" si="25"/>
        <v>390</v>
      </c>
      <c r="I183" s="5">
        <f t="shared" ca="1" si="26"/>
        <v>0</v>
      </c>
      <c r="J183" s="5">
        <f t="shared" ca="1" si="27"/>
        <v>0</v>
      </c>
      <c r="K183" s="5">
        <f t="shared" ca="1" si="28"/>
        <v>0</v>
      </c>
      <c r="L183" s="5">
        <f t="shared" ca="1" si="29"/>
        <v>0</v>
      </c>
      <c r="M183" s="6">
        <f t="shared" ca="1" si="23"/>
        <v>10.684931506849315</v>
      </c>
    </row>
    <row r="184" spans="2:13" ht="13.25" hidden="1" customHeight="1" x14ac:dyDescent="0.3">
      <c r="B184" s="21"/>
      <c r="E184" s="54">
        <v>180</v>
      </c>
      <c r="F184" s="5">
        <f t="shared" ca="1" si="22"/>
        <v>100</v>
      </c>
      <c r="G184" s="5">
        <f t="shared" ca="1" si="24"/>
        <v>390</v>
      </c>
      <c r="H184" s="5">
        <f t="shared" ca="1" si="25"/>
        <v>290</v>
      </c>
      <c r="I184" s="5">
        <f t="shared" ca="1" si="26"/>
        <v>0</v>
      </c>
      <c r="J184" s="5">
        <f t="shared" ca="1" si="27"/>
        <v>0</v>
      </c>
      <c r="K184" s="5">
        <f t="shared" ca="1" si="28"/>
        <v>0</v>
      </c>
      <c r="L184" s="5">
        <f t="shared" ca="1" si="29"/>
        <v>0</v>
      </c>
      <c r="M184" s="6">
        <f t="shared" ca="1" si="23"/>
        <v>7.9452054794520546</v>
      </c>
    </row>
    <row r="185" spans="2:13" ht="13.25" hidden="1" customHeight="1" x14ac:dyDescent="0.3">
      <c r="B185" s="21"/>
      <c r="E185" s="54">
        <v>181</v>
      </c>
      <c r="F185" s="5">
        <f t="shared" ca="1" si="22"/>
        <v>100</v>
      </c>
      <c r="G185" s="5">
        <f t="shared" ca="1" si="24"/>
        <v>290</v>
      </c>
      <c r="H185" s="5">
        <f t="shared" ca="1" si="25"/>
        <v>190</v>
      </c>
      <c r="I185" s="5">
        <f t="shared" ca="1" si="26"/>
        <v>0</v>
      </c>
      <c r="J185" s="5">
        <f t="shared" ca="1" si="27"/>
        <v>0</v>
      </c>
      <c r="K185" s="5">
        <f t="shared" ca="1" si="28"/>
        <v>0</v>
      </c>
      <c r="L185" s="5">
        <f t="shared" ca="1" si="29"/>
        <v>0</v>
      </c>
      <c r="M185" s="6">
        <f t="shared" ca="1" si="23"/>
        <v>5.205479452054794</v>
      </c>
    </row>
    <row r="186" spans="2:13" ht="13.25" hidden="1" customHeight="1" x14ac:dyDescent="0.3">
      <c r="B186" s="21"/>
      <c r="E186" s="54">
        <v>182</v>
      </c>
      <c r="F186" s="5">
        <f t="shared" ca="1" si="22"/>
        <v>110</v>
      </c>
      <c r="G186" s="5">
        <f t="shared" ca="1" si="24"/>
        <v>190</v>
      </c>
      <c r="H186" s="5">
        <f t="shared" ca="1" si="25"/>
        <v>80</v>
      </c>
      <c r="I186" s="5">
        <f t="shared" ca="1" si="26"/>
        <v>1</v>
      </c>
      <c r="J186" s="5">
        <f t="shared" ca="1" si="27"/>
        <v>0</v>
      </c>
      <c r="K186" s="5">
        <f t="shared" ca="1" si="28"/>
        <v>0</v>
      </c>
      <c r="L186" s="5">
        <f t="shared" ca="1" si="29"/>
        <v>200</v>
      </c>
      <c r="M186" s="6">
        <f t="shared" ca="1" si="23"/>
        <v>2.1917808219178081</v>
      </c>
    </row>
    <row r="187" spans="2:13" ht="13.25" hidden="1" customHeight="1" x14ac:dyDescent="0.3">
      <c r="B187" s="21"/>
      <c r="E187" s="54">
        <v>183</v>
      </c>
      <c r="F187" s="5">
        <f t="shared" ca="1" si="22"/>
        <v>120</v>
      </c>
      <c r="G187" s="5">
        <f t="shared" ca="1" si="24"/>
        <v>1080</v>
      </c>
      <c r="H187" s="5">
        <f t="shared" ca="1" si="25"/>
        <v>960</v>
      </c>
      <c r="I187" s="5">
        <f t="shared" ca="1" si="26"/>
        <v>0</v>
      </c>
      <c r="J187" s="5">
        <f t="shared" ca="1" si="27"/>
        <v>0</v>
      </c>
      <c r="K187" s="5">
        <f t="shared" ca="1" si="28"/>
        <v>0</v>
      </c>
      <c r="L187" s="5">
        <f t="shared" ca="1" si="29"/>
        <v>0</v>
      </c>
      <c r="M187" s="6">
        <f t="shared" ca="1" si="23"/>
        <v>26.301369863013697</v>
      </c>
    </row>
    <row r="188" spans="2:13" ht="13.25" hidden="1" customHeight="1" x14ac:dyDescent="0.3">
      <c r="B188" s="21"/>
      <c r="E188" s="54">
        <v>184</v>
      </c>
      <c r="F188" s="5">
        <f t="shared" ca="1" si="22"/>
        <v>120</v>
      </c>
      <c r="G188" s="5">
        <f t="shared" ca="1" si="24"/>
        <v>960</v>
      </c>
      <c r="H188" s="5">
        <f t="shared" ca="1" si="25"/>
        <v>840</v>
      </c>
      <c r="I188" s="5">
        <f t="shared" ca="1" si="26"/>
        <v>0</v>
      </c>
      <c r="J188" s="5">
        <f t="shared" ca="1" si="27"/>
        <v>0</v>
      </c>
      <c r="K188" s="5">
        <f t="shared" ca="1" si="28"/>
        <v>0</v>
      </c>
      <c r="L188" s="5">
        <f t="shared" ca="1" si="29"/>
        <v>0</v>
      </c>
      <c r="M188" s="6">
        <f t="shared" ca="1" si="23"/>
        <v>23.013698630136986</v>
      </c>
    </row>
    <row r="189" spans="2:13" ht="13.25" hidden="1" customHeight="1" x14ac:dyDescent="0.3">
      <c r="B189" s="21"/>
      <c r="E189" s="54">
        <v>185</v>
      </c>
      <c r="F189" s="5">
        <f t="shared" ca="1" si="22"/>
        <v>110</v>
      </c>
      <c r="G189" s="5">
        <f t="shared" ca="1" si="24"/>
        <v>840</v>
      </c>
      <c r="H189" s="5">
        <f t="shared" ca="1" si="25"/>
        <v>730</v>
      </c>
      <c r="I189" s="5">
        <f t="shared" ca="1" si="26"/>
        <v>0</v>
      </c>
      <c r="J189" s="5">
        <f t="shared" ca="1" si="27"/>
        <v>0</v>
      </c>
      <c r="K189" s="5">
        <f t="shared" ca="1" si="28"/>
        <v>0</v>
      </c>
      <c r="L189" s="5">
        <f t="shared" ca="1" si="29"/>
        <v>0</v>
      </c>
      <c r="M189" s="6">
        <f t="shared" ca="1" si="23"/>
        <v>20</v>
      </c>
    </row>
    <row r="190" spans="2:13" ht="13.25" hidden="1" customHeight="1" x14ac:dyDescent="0.3">
      <c r="B190" s="21"/>
      <c r="E190" s="54">
        <v>186</v>
      </c>
      <c r="F190" s="5">
        <f t="shared" ca="1" si="22"/>
        <v>120</v>
      </c>
      <c r="G190" s="5">
        <f t="shared" ca="1" si="24"/>
        <v>730</v>
      </c>
      <c r="H190" s="5">
        <f t="shared" ca="1" si="25"/>
        <v>610</v>
      </c>
      <c r="I190" s="5">
        <f t="shared" ca="1" si="26"/>
        <v>0</v>
      </c>
      <c r="J190" s="5">
        <f t="shared" ca="1" si="27"/>
        <v>0</v>
      </c>
      <c r="K190" s="5">
        <f t="shared" ca="1" si="28"/>
        <v>0</v>
      </c>
      <c r="L190" s="5">
        <f t="shared" ca="1" si="29"/>
        <v>0</v>
      </c>
      <c r="M190" s="6">
        <f t="shared" ca="1" si="23"/>
        <v>16.712328767123285</v>
      </c>
    </row>
    <row r="191" spans="2:13" ht="13.25" hidden="1" customHeight="1" x14ac:dyDescent="0.3">
      <c r="B191" s="21"/>
      <c r="E191" s="54">
        <v>187</v>
      </c>
      <c r="F191" s="5">
        <f t="shared" ca="1" si="22"/>
        <v>120</v>
      </c>
      <c r="G191" s="5">
        <f t="shared" ca="1" si="24"/>
        <v>610</v>
      </c>
      <c r="H191" s="5">
        <f t="shared" ca="1" si="25"/>
        <v>490</v>
      </c>
      <c r="I191" s="5">
        <f t="shared" ca="1" si="26"/>
        <v>0</v>
      </c>
      <c r="J191" s="5">
        <f t="shared" ca="1" si="27"/>
        <v>0</v>
      </c>
      <c r="K191" s="5">
        <f t="shared" ca="1" si="28"/>
        <v>0</v>
      </c>
      <c r="L191" s="5">
        <f t="shared" ca="1" si="29"/>
        <v>0</v>
      </c>
      <c r="M191" s="6">
        <f t="shared" ca="1" si="23"/>
        <v>13.424657534246574</v>
      </c>
    </row>
    <row r="192" spans="2:13" ht="13.25" hidden="1" customHeight="1" x14ac:dyDescent="0.3">
      <c r="B192" s="21"/>
      <c r="E192" s="54">
        <v>188</v>
      </c>
      <c r="F192" s="5">
        <f t="shared" ca="1" si="22"/>
        <v>100</v>
      </c>
      <c r="G192" s="5">
        <f t="shared" ca="1" si="24"/>
        <v>490</v>
      </c>
      <c r="H192" s="5">
        <f t="shared" ca="1" si="25"/>
        <v>390</v>
      </c>
      <c r="I192" s="5">
        <f t="shared" ca="1" si="26"/>
        <v>0</v>
      </c>
      <c r="J192" s="5">
        <f t="shared" ca="1" si="27"/>
        <v>0</v>
      </c>
      <c r="K192" s="5">
        <f t="shared" ca="1" si="28"/>
        <v>0</v>
      </c>
      <c r="L192" s="5">
        <f t="shared" ca="1" si="29"/>
        <v>0</v>
      </c>
      <c r="M192" s="6">
        <f t="shared" ca="1" si="23"/>
        <v>10.684931506849315</v>
      </c>
    </row>
    <row r="193" spans="2:13" ht="13.25" hidden="1" customHeight="1" x14ac:dyDescent="0.3">
      <c r="B193" s="21"/>
      <c r="E193" s="54">
        <v>189</v>
      </c>
      <c r="F193" s="5">
        <f t="shared" ca="1" si="22"/>
        <v>110</v>
      </c>
      <c r="G193" s="5">
        <f t="shared" ca="1" si="24"/>
        <v>390</v>
      </c>
      <c r="H193" s="5">
        <f t="shared" ca="1" si="25"/>
        <v>280</v>
      </c>
      <c r="I193" s="5">
        <f t="shared" ca="1" si="26"/>
        <v>0</v>
      </c>
      <c r="J193" s="5">
        <f t="shared" ca="1" si="27"/>
        <v>0</v>
      </c>
      <c r="K193" s="5">
        <f t="shared" ca="1" si="28"/>
        <v>0</v>
      </c>
      <c r="L193" s="5">
        <f t="shared" ca="1" si="29"/>
        <v>0</v>
      </c>
      <c r="M193" s="6">
        <f t="shared" ca="1" si="23"/>
        <v>7.6712328767123283</v>
      </c>
    </row>
    <row r="194" spans="2:13" ht="13.25" hidden="1" customHeight="1" x14ac:dyDescent="0.3">
      <c r="B194" s="21"/>
      <c r="E194" s="54">
        <v>190</v>
      </c>
      <c r="F194" s="5">
        <f t="shared" ca="1" si="22"/>
        <v>120</v>
      </c>
      <c r="G194" s="5">
        <f t="shared" ca="1" si="24"/>
        <v>280</v>
      </c>
      <c r="H194" s="5">
        <f t="shared" ca="1" si="25"/>
        <v>160</v>
      </c>
      <c r="I194" s="5">
        <f t="shared" ca="1" si="26"/>
        <v>0</v>
      </c>
      <c r="J194" s="5">
        <f t="shared" ca="1" si="27"/>
        <v>0</v>
      </c>
      <c r="K194" s="5">
        <f t="shared" ca="1" si="28"/>
        <v>0</v>
      </c>
      <c r="L194" s="5">
        <f t="shared" ca="1" si="29"/>
        <v>0</v>
      </c>
      <c r="M194" s="6">
        <f t="shared" ca="1" si="23"/>
        <v>4.3835616438356162</v>
      </c>
    </row>
    <row r="195" spans="2:13" ht="13.25" hidden="1" customHeight="1" x14ac:dyDescent="0.3">
      <c r="B195" s="21"/>
      <c r="E195" s="54">
        <v>191</v>
      </c>
      <c r="F195" s="5">
        <f t="shared" ca="1" si="22"/>
        <v>0</v>
      </c>
      <c r="G195" s="5">
        <f t="shared" ca="1" si="24"/>
        <v>160</v>
      </c>
      <c r="H195" s="5">
        <f t="shared" ca="1" si="25"/>
        <v>160</v>
      </c>
      <c r="I195" s="5">
        <f t="shared" ca="1" si="26"/>
        <v>0</v>
      </c>
      <c r="J195" s="5">
        <f t="shared" ca="1" si="27"/>
        <v>0</v>
      </c>
      <c r="K195" s="5">
        <f t="shared" ca="1" si="28"/>
        <v>0</v>
      </c>
      <c r="L195" s="5">
        <f t="shared" ca="1" si="29"/>
        <v>0</v>
      </c>
      <c r="M195" s="6">
        <f t="shared" ca="1" si="23"/>
        <v>4.3835616438356162</v>
      </c>
    </row>
    <row r="196" spans="2:13" ht="13.25" hidden="1" customHeight="1" x14ac:dyDescent="0.3">
      <c r="B196" s="21"/>
      <c r="E196" s="54">
        <v>192</v>
      </c>
      <c r="F196" s="5">
        <f t="shared" ca="1" si="22"/>
        <v>120</v>
      </c>
      <c r="G196" s="5">
        <f t="shared" ca="1" si="24"/>
        <v>160</v>
      </c>
      <c r="H196" s="5">
        <f t="shared" ca="1" si="25"/>
        <v>40</v>
      </c>
      <c r="I196" s="5">
        <f t="shared" ca="1" si="26"/>
        <v>1</v>
      </c>
      <c r="J196" s="5">
        <f t="shared" ca="1" si="27"/>
        <v>0</v>
      </c>
      <c r="K196" s="5">
        <f t="shared" ca="1" si="28"/>
        <v>0</v>
      </c>
      <c r="L196" s="5">
        <f t="shared" ca="1" si="29"/>
        <v>200</v>
      </c>
      <c r="M196" s="6">
        <f t="shared" ca="1" si="23"/>
        <v>1.095890410958904</v>
      </c>
    </row>
    <row r="197" spans="2:13" ht="13.25" hidden="1" customHeight="1" x14ac:dyDescent="0.3">
      <c r="B197" s="21"/>
      <c r="E197" s="54">
        <v>193</v>
      </c>
      <c r="F197" s="5">
        <f t="shared" ref="F197:F260" ca="1" si="30">INDEX($R$18:$R$22,MATCH(RAND(),$T$17:$T$22,1))</f>
        <v>110</v>
      </c>
      <c r="G197" s="5">
        <f t="shared" ca="1" si="24"/>
        <v>1040</v>
      </c>
      <c r="H197" s="5">
        <f t="shared" ca="1" si="25"/>
        <v>930</v>
      </c>
      <c r="I197" s="5">
        <f t="shared" ca="1" si="26"/>
        <v>0</v>
      </c>
      <c r="J197" s="5">
        <f t="shared" ca="1" si="27"/>
        <v>0</v>
      </c>
      <c r="K197" s="5">
        <f t="shared" ca="1" si="28"/>
        <v>0</v>
      </c>
      <c r="L197" s="5">
        <f t="shared" ca="1" si="29"/>
        <v>0</v>
      </c>
      <c r="M197" s="6">
        <f t="shared" ref="M197:M260" ca="1" si="31">H197*$C$7</f>
        <v>25.479452054794518</v>
      </c>
    </row>
    <row r="198" spans="2:13" ht="13.25" hidden="1" customHeight="1" x14ac:dyDescent="0.3">
      <c r="B198" s="21"/>
      <c r="E198" s="54">
        <v>194</v>
      </c>
      <c r="F198" s="5">
        <f t="shared" ca="1" si="30"/>
        <v>100</v>
      </c>
      <c r="G198" s="5">
        <f t="shared" ref="G198:G261" ca="1" si="32">H197+$C$9*I197</f>
        <v>930</v>
      </c>
      <c r="H198" s="5">
        <f t="shared" ref="H198:H261" ca="1" si="33">IF(G198-F198&gt;0,G198-F198,0)</f>
        <v>830</v>
      </c>
      <c r="I198" s="5">
        <f t="shared" ref="I198:I261" ca="1" si="34">IF(H198&lt;$C$3,1,0)</f>
        <v>0</v>
      </c>
      <c r="J198" s="5">
        <f t="shared" ref="J198:J261" ca="1" si="35">-MIN(0,G198-F198)</f>
        <v>0</v>
      </c>
      <c r="K198" s="5">
        <f t="shared" ref="K198:K261" ca="1" si="36">J198*$C$8</f>
        <v>0</v>
      </c>
      <c r="L198" s="5">
        <f t="shared" ref="L198:L261" ca="1" si="37">$C$4*I198</f>
        <v>0</v>
      </c>
      <c r="M198" s="6">
        <f t="shared" ca="1" si="31"/>
        <v>22.739726027397261</v>
      </c>
    </row>
    <row r="199" spans="2:13" ht="13.25" hidden="1" customHeight="1" x14ac:dyDescent="0.3">
      <c r="B199" s="21"/>
      <c r="E199" s="54">
        <v>195</v>
      </c>
      <c r="F199" s="5">
        <f t="shared" ca="1" si="30"/>
        <v>110</v>
      </c>
      <c r="G199" s="5">
        <f t="shared" ca="1" si="32"/>
        <v>830</v>
      </c>
      <c r="H199" s="5">
        <f t="shared" ca="1" si="33"/>
        <v>720</v>
      </c>
      <c r="I199" s="5">
        <f t="shared" ca="1" si="34"/>
        <v>0</v>
      </c>
      <c r="J199" s="5">
        <f t="shared" ca="1" si="35"/>
        <v>0</v>
      </c>
      <c r="K199" s="5">
        <f t="shared" ca="1" si="36"/>
        <v>0</v>
      </c>
      <c r="L199" s="5">
        <f t="shared" ca="1" si="37"/>
        <v>0</v>
      </c>
      <c r="M199" s="6">
        <f t="shared" ca="1" si="31"/>
        <v>19.726027397260275</v>
      </c>
    </row>
    <row r="200" spans="2:13" ht="13.25" hidden="1" customHeight="1" x14ac:dyDescent="0.3">
      <c r="B200" s="21"/>
      <c r="E200" s="54">
        <v>196</v>
      </c>
      <c r="F200" s="5">
        <f t="shared" ca="1" si="30"/>
        <v>0</v>
      </c>
      <c r="G200" s="5">
        <f t="shared" ca="1" si="32"/>
        <v>720</v>
      </c>
      <c r="H200" s="5">
        <f t="shared" ca="1" si="33"/>
        <v>720</v>
      </c>
      <c r="I200" s="5">
        <f t="shared" ca="1" si="34"/>
        <v>0</v>
      </c>
      <c r="J200" s="5">
        <f t="shared" ca="1" si="35"/>
        <v>0</v>
      </c>
      <c r="K200" s="5">
        <f t="shared" ca="1" si="36"/>
        <v>0</v>
      </c>
      <c r="L200" s="5">
        <f t="shared" ca="1" si="37"/>
        <v>0</v>
      </c>
      <c r="M200" s="6">
        <f t="shared" ca="1" si="31"/>
        <v>19.726027397260275</v>
      </c>
    </row>
    <row r="201" spans="2:13" ht="13.25" hidden="1" customHeight="1" x14ac:dyDescent="0.3">
      <c r="B201" s="21"/>
      <c r="E201" s="54">
        <v>197</v>
      </c>
      <c r="F201" s="5">
        <f t="shared" ca="1" si="30"/>
        <v>110</v>
      </c>
      <c r="G201" s="5">
        <f t="shared" ca="1" si="32"/>
        <v>720</v>
      </c>
      <c r="H201" s="5">
        <f t="shared" ca="1" si="33"/>
        <v>610</v>
      </c>
      <c r="I201" s="5">
        <f t="shared" ca="1" si="34"/>
        <v>0</v>
      </c>
      <c r="J201" s="5">
        <f t="shared" ca="1" si="35"/>
        <v>0</v>
      </c>
      <c r="K201" s="5">
        <f t="shared" ca="1" si="36"/>
        <v>0</v>
      </c>
      <c r="L201" s="5">
        <f t="shared" ca="1" si="37"/>
        <v>0</v>
      </c>
      <c r="M201" s="6">
        <f t="shared" ca="1" si="31"/>
        <v>16.712328767123285</v>
      </c>
    </row>
    <row r="202" spans="2:13" ht="13.25" hidden="1" customHeight="1" x14ac:dyDescent="0.3">
      <c r="B202" s="21"/>
      <c r="E202" s="54">
        <v>198</v>
      </c>
      <c r="F202" s="5">
        <f t="shared" ca="1" si="30"/>
        <v>100</v>
      </c>
      <c r="G202" s="5">
        <f t="shared" ca="1" si="32"/>
        <v>610</v>
      </c>
      <c r="H202" s="5">
        <f t="shared" ca="1" si="33"/>
        <v>510</v>
      </c>
      <c r="I202" s="5">
        <f t="shared" ca="1" si="34"/>
        <v>0</v>
      </c>
      <c r="J202" s="5">
        <f t="shared" ca="1" si="35"/>
        <v>0</v>
      </c>
      <c r="K202" s="5">
        <f t="shared" ca="1" si="36"/>
        <v>0</v>
      </c>
      <c r="L202" s="5">
        <f t="shared" ca="1" si="37"/>
        <v>0</v>
      </c>
      <c r="M202" s="6">
        <f t="shared" ca="1" si="31"/>
        <v>13.972602739726026</v>
      </c>
    </row>
    <row r="203" spans="2:13" ht="13.25" hidden="1" customHeight="1" x14ac:dyDescent="0.3">
      <c r="B203" s="21"/>
      <c r="E203" s="54">
        <v>199</v>
      </c>
      <c r="F203" s="5">
        <f t="shared" ca="1" si="30"/>
        <v>100</v>
      </c>
      <c r="G203" s="5">
        <f t="shared" ca="1" si="32"/>
        <v>510</v>
      </c>
      <c r="H203" s="5">
        <f t="shared" ca="1" si="33"/>
        <v>410</v>
      </c>
      <c r="I203" s="5">
        <f t="shared" ca="1" si="34"/>
        <v>0</v>
      </c>
      <c r="J203" s="5">
        <f t="shared" ca="1" si="35"/>
        <v>0</v>
      </c>
      <c r="K203" s="5">
        <f t="shared" ca="1" si="36"/>
        <v>0</v>
      </c>
      <c r="L203" s="5">
        <f t="shared" ca="1" si="37"/>
        <v>0</v>
      </c>
      <c r="M203" s="6">
        <f t="shared" ca="1" si="31"/>
        <v>11.232876712328766</v>
      </c>
    </row>
    <row r="204" spans="2:13" ht="13.25" hidden="1" customHeight="1" x14ac:dyDescent="0.3">
      <c r="B204" s="21"/>
      <c r="E204" s="54">
        <v>200</v>
      </c>
      <c r="F204" s="5">
        <f t="shared" ca="1" si="30"/>
        <v>100</v>
      </c>
      <c r="G204" s="5">
        <f t="shared" ca="1" si="32"/>
        <v>410</v>
      </c>
      <c r="H204" s="5">
        <f t="shared" ca="1" si="33"/>
        <v>310</v>
      </c>
      <c r="I204" s="5">
        <f t="shared" ca="1" si="34"/>
        <v>0</v>
      </c>
      <c r="J204" s="5">
        <f t="shared" ca="1" si="35"/>
        <v>0</v>
      </c>
      <c r="K204" s="5">
        <f t="shared" ca="1" si="36"/>
        <v>0</v>
      </c>
      <c r="L204" s="5">
        <f t="shared" ca="1" si="37"/>
        <v>0</v>
      </c>
      <c r="M204" s="6">
        <f t="shared" ca="1" si="31"/>
        <v>8.493150684931507</v>
      </c>
    </row>
    <row r="205" spans="2:13" ht="13.25" hidden="1" customHeight="1" x14ac:dyDescent="0.3">
      <c r="B205" s="21"/>
      <c r="E205" s="54">
        <v>201</v>
      </c>
      <c r="F205" s="5">
        <f t="shared" ca="1" si="30"/>
        <v>120</v>
      </c>
      <c r="G205" s="5">
        <f t="shared" ca="1" si="32"/>
        <v>310</v>
      </c>
      <c r="H205" s="5">
        <f t="shared" ca="1" si="33"/>
        <v>190</v>
      </c>
      <c r="I205" s="5">
        <f t="shared" ca="1" si="34"/>
        <v>0</v>
      </c>
      <c r="J205" s="5">
        <f t="shared" ca="1" si="35"/>
        <v>0</v>
      </c>
      <c r="K205" s="5">
        <f t="shared" ca="1" si="36"/>
        <v>0</v>
      </c>
      <c r="L205" s="5">
        <f t="shared" ca="1" si="37"/>
        <v>0</v>
      </c>
      <c r="M205" s="6">
        <f t="shared" ca="1" si="31"/>
        <v>5.205479452054794</v>
      </c>
    </row>
    <row r="206" spans="2:13" ht="13.25" hidden="1" customHeight="1" x14ac:dyDescent="0.3">
      <c r="B206" s="21"/>
      <c r="E206" s="54">
        <v>202</v>
      </c>
      <c r="F206" s="5">
        <f t="shared" ca="1" si="30"/>
        <v>110</v>
      </c>
      <c r="G206" s="5">
        <f t="shared" ca="1" si="32"/>
        <v>190</v>
      </c>
      <c r="H206" s="5">
        <f t="shared" ca="1" si="33"/>
        <v>80</v>
      </c>
      <c r="I206" s="5">
        <f t="shared" ca="1" si="34"/>
        <v>1</v>
      </c>
      <c r="J206" s="5">
        <f t="shared" ca="1" si="35"/>
        <v>0</v>
      </c>
      <c r="K206" s="5">
        <f t="shared" ca="1" si="36"/>
        <v>0</v>
      </c>
      <c r="L206" s="5">
        <f t="shared" ca="1" si="37"/>
        <v>200</v>
      </c>
      <c r="M206" s="6">
        <f t="shared" ca="1" si="31"/>
        <v>2.1917808219178081</v>
      </c>
    </row>
    <row r="207" spans="2:13" ht="13.25" hidden="1" customHeight="1" x14ac:dyDescent="0.3">
      <c r="B207" s="21"/>
      <c r="E207" s="54">
        <v>203</v>
      </c>
      <c r="F207" s="5">
        <f t="shared" ca="1" si="30"/>
        <v>120</v>
      </c>
      <c r="G207" s="5">
        <f t="shared" ca="1" si="32"/>
        <v>1080</v>
      </c>
      <c r="H207" s="5">
        <f t="shared" ca="1" si="33"/>
        <v>960</v>
      </c>
      <c r="I207" s="5">
        <f t="shared" ca="1" si="34"/>
        <v>0</v>
      </c>
      <c r="J207" s="5">
        <f t="shared" ca="1" si="35"/>
        <v>0</v>
      </c>
      <c r="K207" s="5">
        <f t="shared" ca="1" si="36"/>
        <v>0</v>
      </c>
      <c r="L207" s="5">
        <f t="shared" ca="1" si="37"/>
        <v>0</v>
      </c>
      <c r="M207" s="6">
        <f t="shared" ca="1" si="31"/>
        <v>26.301369863013697</v>
      </c>
    </row>
    <row r="208" spans="2:13" ht="13.25" hidden="1" customHeight="1" x14ac:dyDescent="0.3">
      <c r="B208" s="21"/>
      <c r="E208" s="54">
        <v>204</v>
      </c>
      <c r="F208" s="5">
        <f t="shared" ca="1" si="30"/>
        <v>110</v>
      </c>
      <c r="G208" s="5">
        <f t="shared" ca="1" si="32"/>
        <v>960</v>
      </c>
      <c r="H208" s="5">
        <f t="shared" ca="1" si="33"/>
        <v>850</v>
      </c>
      <c r="I208" s="5">
        <f t="shared" ca="1" si="34"/>
        <v>0</v>
      </c>
      <c r="J208" s="5">
        <f t="shared" ca="1" si="35"/>
        <v>0</v>
      </c>
      <c r="K208" s="5">
        <f t="shared" ca="1" si="36"/>
        <v>0</v>
      </c>
      <c r="L208" s="5">
        <f t="shared" ca="1" si="37"/>
        <v>0</v>
      </c>
      <c r="M208" s="6">
        <f t="shared" ca="1" si="31"/>
        <v>23.287671232876711</v>
      </c>
    </row>
    <row r="209" spans="2:13" ht="13.25" hidden="1" customHeight="1" x14ac:dyDescent="0.3">
      <c r="B209" s="21"/>
      <c r="E209" s="54">
        <v>205</v>
      </c>
      <c r="F209" s="5">
        <f t="shared" ca="1" si="30"/>
        <v>110</v>
      </c>
      <c r="G209" s="5">
        <f t="shared" ca="1" si="32"/>
        <v>850</v>
      </c>
      <c r="H209" s="5">
        <f t="shared" ca="1" si="33"/>
        <v>740</v>
      </c>
      <c r="I209" s="5">
        <f t="shared" ca="1" si="34"/>
        <v>0</v>
      </c>
      <c r="J209" s="5">
        <f t="shared" ca="1" si="35"/>
        <v>0</v>
      </c>
      <c r="K209" s="5">
        <f t="shared" ca="1" si="36"/>
        <v>0</v>
      </c>
      <c r="L209" s="5">
        <f t="shared" ca="1" si="37"/>
        <v>0</v>
      </c>
      <c r="M209" s="6">
        <f t="shared" ca="1" si="31"/>
        <v>20.273972602739725</v>
      </c>
    </row>
    <row r="210" spans="2:13" ht="13.25" hidden="1" customHeight="1" x14ac:dyDescent="0.3">
      <c r="B210" s="21"/>
      <c r="E210" s="54">
        <v>206</v>
      </c>
      <c r="F210" s="5">
        <f t="shared" ca="1" si="30"/>
        <v>120</v>
      </c>
      <c r="G210" s="5">
        <f t="shared" ca="1" si="32"/>
        <v>740</v>
      </c>
      <c r="H210" s="5">
        <f t="shared" ca="1" si="33"/>
        <v>620</v>
      </c>
      <c r="I210" s="5">
        <f t="shared" ca="1" si="34"/>
        <v>0</v>
      </c>
      <c r="J210" s="5">
        <f t="shared" ca="1" si="35"/>
        <v>0</v>
      </c>
      <c r="K210" s="5">
        <f t="shared" ca="1" si="36"/>
        <v>0</v>
      </c>
      <c r="L210" s="5">
        <f t="shared" ca="1" si="37"/>
        <v>0</v>
      </c>
      <c r="M210" s="6">
        <f t="shared" ca="1" si="31"/>
        <v>16.986301369863014</v>
      </c>
    </row>
    <row r="211" spans="2:13" ht="13.25" hidden="1" customHeight="1" x14ac:dyDescent="0.3">
      <c r="B211" s="21"/>
      <c r="E211" s="54">
        <v>207</v>
      </c>
      <c r="F211" s="5">
        <f t="shared" ca="1" si="30"/>
        <v>100</v>
      </c>
      <c r="G211" s="5">
        <f t="shared" ca="1" si="32"/>
        <v>620</v>
      </c>
      <c r="H211" s="5">
        <f t="shared" ca="1" si="33"/>
        <v>520</v>
      </c>
      <c r="I211" s="5">
        <f t="shared" ca="1" si="34"/>
        <v>0</v>
      </c>
      <c r="J211" s="5">
        <f t="shared" ca="1" si="35"/>
        <v>0</v>
      </c>
      <c r="K211" s="5">
        <f t="shared" ca="1" si="36"/>
        <v>0</v>
      </c>
      <c r="L211" s="5">
        <f t="shared" ca="1" si="37"/>
        <v>0</v>
      </c>
      <c r="M211" s="6">
        <f t="shared" ca="1" si="31"/>
        <v>14.246575342465754</v>
      </c>
    </row>
    <row r="212" spans="2:13" ht="13.25" hidden="1" customHeight="1" x14ac:dyDescent="0.3">
      <c r="B212" s="21"/>
      <c r="E212" s="54">
        <v>208</v>
      </c>
      <c r="F212" s="5">
        <f t="shared" ca="1" si="30"/>
        <v>100</v>
      </c>
      <c r="G212" s="5">
        <f t="shared" ca="1" si="32"/>
        <v>520</v>
      </c>
      <c r="H212" s="5">
        <f t="shared" ca="1" si="33"/>
        <v>420</v>
      </c>
      <c r="I212" s="5">
        <f t="shared" ca="1" si="34"/>
        <v>0</v>
      </c>
      <c r="J212" s="5">
        <f t="shared" ca="1" si="35"/>
        <v>0</v>
      </c>
      <c r="K212" s="5">
        <f t="shared" ca="1" si="36"/>
        <v>0</v>
      </c>
      <c r="L212" s="5">
        <f t="shared" ca="1" si="37"/>
        <v>0</v>
      </c>
      <c r="M212" s="6">
        <f t="shared" ca="1" si="31"/>
        <v>11.506849315068493</v>
      </c>
    </row>
    <row r="213" spans="2:13" ht="13.25" hidden="1" customHeight="1" x14ac:dyDescent="0.3">
      <c r="B213" s="21"/>
      <c r="E213" s="54">
        <v>209</v>
      </c>
      <c r="F213" s="5">
        <f t="shared" ca="1" si="30"/>
        <v>120</v>
      </c>
      <c r="G213" s="5">
        <f t="shared" ca="1" si="32"/>
        <v>420</v>
      </c>
      <c r="H213" s="5">
        <f t="shared" ca="1" si="33"/>
        <v>300</v>
      </c>
      <c r="I213" s="5">
        <f t="shared" ca="1" si="34"/>
        <v>0</v>
      </c>
      <c r="J213" s="5">
        <f t="shared" ca="1" si="35"/>
        <v>0</v>
      </c>
      <c r="K213" s="5">
        <f t="shared" ca="1" si="36"/>
        <v>0</v>
      </c>
      <c r="L213" s="5">
        <f t="shared" ca="1" si="37"/>
        <v>0</v>
      </c>
      <c r="M213" s="6">
        <f t="shared" ca="1" si="31"/>
        <v>8.2191780821917799</v>
      </c>
    </row>
    <row r="214" spans="2:13" ht="13.25" hidden="1" customHeight="1" x14ac:dyDescent="0.3">
      <c r="B214" s="21"/>
      <c r="E214" s="54">
        <v>210</v>
      </c>
      <c r="F214" s="5">
        <f t="shared" ca="1" si="30"/>
        <v>120</v>
      </c>
      <c r="G214" s="5">
        <f t="shared" ca="1" si="32"/>
        <v>300</v>
      </c>
      <c r="H214" s="5">
        <f t="shared" ca="1" si="33"/>
        <v>180</v>
      </c>
      <c r="I214" s="5">
        <f t="shared" ca="1" si="34"/>
        <v>0</v>
      </c>
      <c r="J214" s="5">
        <f t="shared" ca="1" si="35"/>
        <v>0</v>
      </c>
      <c r="K214" s="5">
        <f t="shared" ca="1" si="36"/>
        <v>0</v>
      </c>
      <c r="L214" s="5">
        <f t="shared" ca="1" si="37"/>
        <v>0</v>
      </c>
      <c r="M214" s="6">
        <f t="shared" ca="1" si="31"/>
        <v>4.9315068493150687</v>
      </c>
    </row>
    <row r="215" spans="2:13" ht="13.25" hidden="1" customHeight="1" x14ac:dyDescent="0.3">
      <c r="B215" s="21"/>
      <c r="E215" s="54">
        <v>211</v>
      </c>
      <c r="F215" s="5">
        <f t="shared" ca="1" si="30"/>
        <v>90</v>
      </c>
      <c r="G215" s="5">
        <f t="shared" ca="1" si="32"/>
        <v>180</v>
      </c>
      <c r="H215" s="5">
        <f t="shared" ca="1" si="33"/>
        <v>90</v>
      </c>
      <c r="I215" s="5">
        <f t="shared" ca="1" si="34"/>
        <v>1</v>
      </c>
      <c r="J215" s="5">
        <f t="shared" ca="1" si="35"/>
        <v>0</v>
      </c>
      <c r="K215" s="5">
        <f t="shared" ca="1" si="36"/>
        <v>0</v>
      </c>
      <c r="L215" s="5">
        <f t="shared" ca="1" si="37"/>
        <v>200</v>
      </c>
      <c r="M215" s="6">
        <f t="shared" ca="1" si="31"/>
        <v>2.4657534246575343</v>
      </c>
    </row>
    <row r="216" spans="2:13" ht="13.25" hidden="1" customHeight="1" x14ac:dyDescent="0.3">
      <c r="B216" s="21"/>
      <c r="E216" s="54">
        <v>212</v>
      </c>
      <c r="F216" s="5">
        <f t="shared" ca="1" si="30"/>
        <v>120</v>
      </c>
      <c r="G216" s="5">
        <f t="shared" ca="1" si="32"/>
        <v>1090</v>
      </c>
      <c r="H216" s="5">
        <f t="shared" ca="1" si="33"/>
        <v>970</v>
      </c>
      <c r="I216" s="5">
        <f t="shared" ca="1" si="34"/>
        <v>0</v>
      </c>
      <c r="J216" s="5">
        <f t="shared" ca="1" si="35"/>
        <v>0</v>
      </c>
      <c r="K216" s="5">
        <f t="shared" ca="1" si="36"/>
        <v>0</v>
      </c>
      <c r="L216" s="5">
        <f t="shared" ca="1" si="37"/>
        <v>0</v>
      </c>
      <c r="M216" s="6">
        <f t="shared" ca="1" si="31"/>
        <v>26.575342465753423</v>
      </c>
    </row>
    <row r="217" spans="2:13" ht="13.25" hidden="1" customHeight="1" x14ac:dyDescent="0.3">
      <c r="B217" s="21"/>
      <c r="E217" s="54">
        <v>213</v>
      </c>
      <c r="F217" s="5">
        <f t="shared" ca="1" si="30"/>
        <v>100</v>
      </c>
      <c r="G217" s="5">
        <f t="shared" ca="1" si="32"/>
        <v>970</v>
      </c>
      <c r="H217" s="5">
        <f t="shared" ca="1" si="33"/>
        <v>870</v>
      </c>
      <c r="I217" s="5">
        <f t="shared" ca="1" si="34"/>
        <v>0</v>
      </c>
      <c r="J217" s="5">
        <f t="shared" ca="1" si="35"/>
        <v>0</v>
      </c>
      <c r="K217" s="5">
        <f t="shared" ca="1" si="36"/>
        <v>0</v>
      </c>
      <c r="L217" s="5">
        <f t="shared" ca="1" si="37"/>
        <v>0</v>
      </c>
      <c r="M217" s="6">
        <f t="shared" ca="1" si="31"/>
        <v>23.835616438356162</v>
      </c>
    </row>
    <row r="218" spans="2:13" ht="13.25" hidden="1" customHeight="1" x14ac:dyDescent="0.3">
      <c r="B218" s="21"/>
      <c r="E218" s="54">
        <v>214</v>
      </c>
      <c r="F218" s="5">
        <f t="shared" ca="1" si="30"/>
        <v>0</v>
      </c>
      <c r="G218" s="5">
        <f t="shared" ca="1" si="32"/>
        <v>870</v>
      </c>
      <c r="H218" s="5">
        <f t="shared" ca="1" si="33"/>
        <v>870</v>
      </c>
      <c r="I218" s="5">
        <f t="shared" ca="1" si="34"/>
        <v>0</v>
      </c>
      <c r="J218" s="5">
        <f t="shared" ca="1" si="35"/>
        <v>0</v>
      </c>
      <c r="K218" s="5">
        <f t="shared" ca="1" si="36"/>
        <v>0</v>
      </c>
      <c r="L218" s="5">
        <f t="shared" ca="1" si="37"/>
        <v>0</v>
      </c>
      <c r="M218" s="6">
        <f t="shared" ca="1" si="31"/>
        <v>23.835616438356162</v>
      </c>
    </row>
    <row r="219" spans="2:13" ht="13.25" hidden="1" customHeight="1" x14ac:dyDescent="0.3">
      <c r="B219" s="21"/>
      <c r="E219" s="54">
        <v>215</v>
      </c>
      <c r="F219" s="5">
        <f t="shared" ca="1" si="30"/>
        <v>120</v>
      </c>
      <c r="G219" s="5">
        <f t="shared" ca="1" si="32"/>
        <v>870</v>
      </c>
      <c r="H219" s="5">
        <f t="shared" ca="1" si="33"/>
        <v>750</v>
      </c>
      <c r="I219" s="5">
        <f t="shared" ca="1" si="34"/>
        <v>0</v>
      </c>
      <c r="J219" s="5">
        <f t="shared" ca="1" si="35"/>
        <v>0</v>
      </c>
      <c r="K219" s="5">
        <f t="shared" ca="1" si="36"/>
        <v>0</v>
      </c>
      <c r="L219" s="5">
        <f t="shared" ca="1" si="37"/>
        <v>0</v>
      </c>
      <c r="M219" s="6">
        <f t="shared" ca="1" si="31"/>
        <v>20.547945205479451</v>
      </c>
    </row>
    <row r="220" spans="2:13" ht="13.25" hidden="1" customHeight="1" x14ac:dyDescent="0.3">
      <c r="B220" s="21"/>
      <c r="E220" s="54">
        <v>216</v>
      </c>
      <c r="F220" s="5">
        <f t="shared" ca="1" si="30"/>
        <v>110</v>
      </c>
      <c r="G220" s="5">
        <f t="shared" ca="1" si="32"/>
        <v>750</v>
      </c>
      <c r="H220" s="5">
        <f t="shared" ca="1" si="33"/>
        <v>640</v>
      </c>
      <c r="I220" s="5">
        <f t="shared" ca="1" si="34"/>
        <v>0</v>
      </c>
      <c r="J220" s="5">
        <f t="shared" ca="1" si="35"/>
        <v>0</v>
      </c>
      <c r="K220" s="5">
        <f t="shared" ca="1" si="36"/>
        <v>0</v>
      </c>
      <c r="L220" s="5">
        <f t="shared" ca="1" si="37"/>
        <v>0</v>
      </c>
      <c r="M220" s="6">
        <f t="shared" ca="1" si="31"/>
        <v>17.534246575342465</v>
      </c>
    </row>
    <row r="221" spans="2:13" ht="13.25" hidden="1" customHeight="1" x14ac:dyDescent="0.3">
      <c r="B221" s="21"/>
      <c r="E221" s="54">
        <v>217</v>
      </c>
      <c r="F221" s="5">
        <f t="shared" ca="1" si="30"/>
        <v>0</v>
      </c>
      <c r="G221" s="5">
        <f t="shared" ca="1" si="32"/>
        <v>640</v>
      </c>
      <c r="H221" s="5">
        <f t="shared" ca="1" si="33"/>
        <v>640</v>
      </c>
      <c r="I221" s="5">
        <f t="shared" ca="1" si="34"/>
        <v>0</v>
      </c>
      <c r="J221" s="5">
        <f t="shared" ca="1" si="35"/>
        <v>0</v>
      </c>
      <c r="K221" s="5">
        <f t="shared" ca="1" si="36"/>
        <v>0</v>
      </c>
      <c r="L221" s="5">
        <f t="shared" ca="1" si="37"/>
        <v>0</v>
      </c>
      <c r="M221" s="6">
        <f t="shared" ca="1" si="31"/>
        <v>17.534246575342465</v>
      </c>
    </row>
    <row r="222" spans="2:13" ht="13.25" hidden="1" customHeight="1" x14ac:dyDescent="0.3">
      <c r="B222" s="21"/>
      <c r="E222" s="54">
        <v>218</v>
      </c>
      <c r="F222" s="5">
        <f t="shared" ca="1" si="30"/>
        <v>110</v>
      </c>
      <c r="G222" s="5">
        <f t="shared" ca="1" si="32"/>
        <v>640</v>
      </c>
      <c r="H222" s="5">
        <f t="shared" ca="1" si="33"/>
        <v>530</v>
      </c>
      <c r="I222" s="5">
        <f t="shared" ca="1" si="34"/>
        <v>0</v>
      </c>
      <c r="J222" s="5">
        <f t="shared" ca="1" si="35"/>
        <v>0</v>
      </c>
      <c r="K222" s="5">
        <f t="shared" ca="1" si="36"/>
        <v>0</v>
      </c>
      <c r="L222" s="5">
        <f t="shared" ca="1" si="37"/>
        <v>0</v>
      </c>
      <c r="M222" s="6">
        <f t="shared" ca="1" si="31"/>
        <v>14.520547945205479</v>
      </c>
    </row>
    <row r="223" spans="2:13" ht="13.25" hidden="1" customHeight="1" x14ac:dyDescent="0.3">
      <c r="B223" s="21"/>
      <c r="E223" s="54">
        <v>219</v>
      </c>
      <c r="F223" s="5">
        <f t="shared" ca="1" si="30"/>
        <v>110</v>
      </c>
      <c r="G223" s="5">
        <f t="shared" ca="1" si="32"/>
        <v>530</v>
      </c>
      <c r="H223" s="5">
        <f t="shared" ca="1" si="33"/>
        <v>420</v>
      </c>
      <c r="I223" s="5">
        <f t="shared" ca="1" si="34"/>
        <v>0</v>
      </c>
      <c r="J223" s="5">
        <f t="shared" ca="1" si="35"/>
        <v>0</v>
      </c>
      <c r="K223" s="5">
        <f t="shared" ca="1" si="36"/>
        <v>0</v>
      </c>
      <c r="L223" s="5">
        <f t="shared" ca="1" si="37"/>
        <v>0</v>
      </c>
      <c r="M223" s="6">
        <f t="shared" ca="1" si="31"/>
        <v>11.506849315068493</v>
      </c>
    </row>
    <row r="224" spans="2:13" ht="13.25" hidden="1" customHeight="1" x14ac:dyDescent="0.3">
      <c r="B224" s="21"/>
      <c r="E224" s="54">
        <v>220</v>
      </c>
      <c r="F224" s="5">
        <f t="shared" ca="1" si="30"/>
        <v>110</v>
      </c>
      <c r="G224" s="5">
        <f t="shared" ca="1" si="32"/>
        <v>420</v>
      </c>
      <c r="H224" s="5">
        <f t="shared" ca="1" si="33"/>
        <v>310</v>
      </c>
      <c r="I224" s="5">
        <f t="shared" ca="1" si="34"/>
        <v>0</v>
      </c>
      <c r="J224" s="5">
        <f t="shared" ca="1" si="35"/>
        <v>0</v>
      </c>
      <c r="K224" s="5">
        <f t="shared" ca="1" si="36"/>
        <v>0</v>
      </c>
      <c r="L224" s="5">
        <f t="shared" ca="1" si="37"/>
        <v>0</v>
      </c>
      <c r="M224" s="6">
        <f t="shared" ca="1" si="31"/>
        <v>8.493150684931507</v>
      </c>
    </row>
    <row r="225" spans="2:13" ht="13.25" hidden="1" customHeight="1" x14ac:dyDescent="0.3">
      <c r="B225" s="21"/>
      <c r="E225" s="54">
        <v>221</v>
      </c>
      <c r="F225" s="5">
        <f t="shared" ca="1" si="30"/>
        <v>100</v>
      </c>
      <c r="G225" s="5">
        <f t="shared" ca="1" si="32"/>
        <v>310</v>
      </c>
      <c r="H225" s="5">
        <f t="shared" ca="1" si="33"/>
        <v>210</v>
      </c>
      <c r="I225" s="5">
        <f t="shared" ca="1" si="34"/>
        <v>0</v>
      </c>
      <c r="J225" s="5">
        <f t="shared" ca="1" si="35"/>
        <v>0</v>
      </c>
      <c r="K225" s="5">
        <f t="shared" ca="1" si="36"/>
        <v>0</v>
      </c>
      <c r="L225" s="5">
        <f t="shared" ca="1" si="37"/>
        <v>0</v>
      </c>
      <c r="M225" s="6">
        <f t="shared" ca="1" si="31"/>
        <v>5.7534246575342465</v>
      </c>
    </row>
    <row r="226" spans="2:13" ht="13.25" hidden="1" customHeight="1" x14ac:dyDescent="0.3">
      <c r="B226" s="21"/>
      <c r="E226" s="54">
        <v>222</v>
      </c>
      <c r="F226" s="5">
        <f t="shared" ca="1" si="30"/>
        <v>100</v>
      </c>
      <c r="G226" s="5">
        <f t="shared" ca="1" si="32"/>
        <v>210</v>
      </c>
      <c r="H226" s="5">
        <f t="shared" ca="1" si="33"/>
        <v>110</v>
      </c>
      <c r="I226" s="5">
        <f t="shared" ca="1" si="34"/>
        <v>0</v>
      </c>
      <c r="J226" s="5">
        <f t="shared" ca="1" si="35"/>
        <v>0</v>
      </c>
      <c r="K226" s="5">
        <f t="shared" ca="1" si="36"/>
        <v>0</v>
      </c>
      <c r="L226" s="5">
        <f t="shared" ca="1" si="37"/>
        <v>0</v>
      </c>
      <c r="M226" s="6">
        <f t="shared" ca="1" si="31"/>
        <v>3.0136986301369859</v>
      </c>
    </row>
    <row r="227" spans="2:13" ht="13.25" hidden="1" customHeight="1" x14ac:dyDescent="0.3">
      <c r="B227" s="21"/>
      <c r="E227" s="54">
        <v>223</v>
      </c>
      <c r="F227" s="5">
        <f t="shared" ca="1" si="30"/>
        <v>100</v>
      </c>
      <c r="G227" s="5">
        <f t="shared" ca="1" si="32"/>
        <v>110</v>
      </c>
      <c r="H227" s="5">
        <f t="shared" ca="1" si="33"/>
        <v>10</v>
      </c>
      <c r="I227" s="5">
        <f t="shared" ca="1" si="34"/>
        <v>1</v>
      </c>
      <c r="J227" s="5">
        <f t="shared" ca="1" si="35"/>
        <v>0</v>
      </c>
      <c r="K227" s="5">
        <f t="shared" ca="1" si="36"/>
        <v>0</v>
      </c>
      <c r="L227" s="5">
        <f t="shared" ca="1" si="37"/>
        <v>200</v>
      </c>
      <c r="M227" s="6">
        <f t="shared" ca="1" si="31"/>
        <v>0.27397260273972601</v>
      </c>
    </row>
    <row r="228" spans="2:13" ht="13.25" hidden="1" customHeight="1" x14ac:dyDescent="0.3">
      <c r="B228" s="21"/>
      <c r="E228" s="54">
        <v>224</v>
      </c>
      <c r="F228" s="5">
        <f t="shared" ca="1" si="30"/>
        <v>90</v>
      </c>
      <c r="G228" s="5">
        <f t="shared" ca="1" si="32"/>
        <v>1010</v>
      </c>
      <c r="H228" s="5">
        <f t="shared" ca="1" si="33"/>
        <v>920</v>
      </c>
      <c r="I228" s="5">
        <f t="shared" ca="1" si="34"/>
        <v>0</v>
      </c>
      <c r="J228" s="5">
        <f t="shared" ca="1" si="35"/>
        <v>0</v>
      </c>
      <c r="K228" s="5">
        <f t="shared" ca="1" si="36"/>
        <v>0</v>
      </c>
      <c r="L228" s="5">
        <f t="shared" ca="1" si="37"/>
        <v>0</v>
      </c>
      <c r="M228" s="6">
        <f t="shared" ca="1" si="31"/>
        <v>25.205479452054792</v>
      </c>
    </row>
    <row r="229" spans="2:13" ht="13.25" hidden="1" customHeight="1" x14ac:dyDescent="0.3">
      <c r="B229" s="21"/>
      <c r="E229" s="54">
        <v>225</v>
      </c>
      <c r="F229" s="5">
        <f t="shared" ca="1" si="30"/>
        <v>90</v>
      </c>
      <c r="G229" s="5">
        <f t="shared" ca="1" si="32"/>
        <v>920</v>
      </c>
      <c r="H229" s="5">
        <f t="shared" ca="1" si="33"/>
        <v>830</v>
      </c>
      <c r="I229" s="5">
        <f t="shared" ca="1" si="34"/>
        <v>0</v>
      </c>
      <c r="J229" s="5">
        <f t="shared" ca="1" si="35"/>
        <v>0</v>
      </c>
      <c r="K229" s="5">
        <f t="shared" ca="1" si="36"/>
        <v>0</v>
      </c>
      <c r="L229" s="5">
        <f t="shared" ca="1" si="37"/>
        <v>0</v>
      </c>
      <c r="M229" s="6">
        <f t="shared" ca="1" si="31"/>
        <v>22.739726027397261</v>
      </c>
    </row>
    <row r="230" spans="2:13" ht="13.25" hidden="1" customHeight="1" x14ac:dyDescent="0.3">
      <c r="B230" s="21"/>
      <c r="E230" s="54">
        <v>226</v>
      </c>
      <c r="F230" s="5">
        <f t="shared" ca="1" si="30"/>
        <v>0</v>
      </c>
      <c r="G230" s="5">
        <f t="shared" ca="1" si="32"/>
        <v>830</v>
      </c>
      <c r="H230" s="5">
        <f t="shared" ca="1" si="33"/>
        <v>830</v>
      </c>
      <c r="I230" s="5">
        <f t="shared" ca="1" si="34"/>
        <v>0</v>
      </c>
      <c r="J230" s="5">
        <f t="shared" ca="1" si="35"/>
        <v>0</v>
      </c>
      <c r="K230" s="5">
        <f t="shared" ca="1" si="36"/>
        <v>0</v>
      </c>
      <c r="L230" s="5">
        <f t="shared" ca="1" si="37"/>
        <v>0</v>
      </c>
      <c r="M230" s="6">
        <f t="shared" ca="1" si="31"/>
        <v>22.739726027397261</v>
      </c>
    </row>
    <row r="231" spans="2:13" ht="13.25" hidden="1" customHeight="1" x14ac:dyDescent="0.3">
      <c r="B231" s="21"/>
      <c r="E231" s="54">
        <v>227</v>
      </c>
      <c r="F231" s="5">
        <f t="shared" ca="1" si="30"/>
        <v>100</v>
      </c>
      <c r="G231" s="5">
        <f t="shared" ca="1" si="32"/>
        <v>830</v>
      </c>
      <c r="H231" s="5">
        <f t="shared" ca="1" si="33"/>
        <v>730</v>
      </c>
      <c r="I231" s="5">
        <f t="shared" ca="1" si="34"/>
        <v>0</v>
      </c>
      <c r="J231" s="5">
        <f t="shared" ca="1" si="35"/>
        <v>0</v>
      </c>
      <c r="K231" s="5">
        <f t="shared" ca="1" si="36"/>
        <v>0</v>
      </c>
      <c r="L231" s="5">
        <f t="shared" ca="1" si="37"/>
        <v>0</v>
      </c>
      <c r="M231" s="6">
        <f t="shared" ca="1" si="31"/>
        <v>20</v>
      </c>
    </row>
    <row r="232" spans="2:13" ht="13.25" hidden="1" customHeight="1" x14ac:dyDescent="0.3">
      <c r="B232" s="21"/>
      <c r="E232" s="54">
        <v>228</v>
      </c>
      <c r="F232" s="5">
        <f t="shared" ca="1" si="30"/>
        <v>120</v>
      </c>
      <c r="G232" s="5">
        <f t="shared" ca="1" si="32"/>
        <v>730</v>
      </c>
      <c r="H232" s="5">
        <f t="shared" ca="1" si="33"/>
        <v>610</v>
      </c>
      <c r="I232" s="5">
        <f t="shared" ca="1" si="34"/>
        <v>0</v>
      </c>
      <c r="J232" s="5">
        <f t="shared" ca="1" si="35"/>
        <v>0</v>
      </c>
      <c r="K232" s="5">
        <f t="shared" ca="1" si="36"/>
        <v>0</v>
      </c>
      <c r="L232" s="5">
        <f t="shared" ca="1" si="37"/>
        <v>0</v>
      </c>
      <c r="M232" s="6">
        <f t="shared" ca="1" si="31"/>
        <v>16.712328767123285</v>
      </c>
    </row>
    <row r="233" spans="2:13" ht="13.25" hidden="1" customHeight="1" x14ac:dyDescent="0.3">
      <c r="B233" s="21"/>
      <c r="E233" s="54">
        <v>229</v>
      </c>
      <c r="F233" s="5">
        <f t="shared" ca="1" si="30"/>
        <v>90</v>
      </c>
      <c r="G233" s="5">
        <f t="shared" ca="1" si="32"/>
        <v>610</v>
      </c>
      <c r="H233" s="5">
        <f t="shared" ca="1" si="33"/>
        <v>520</v>
      </c>
      <c r="I233" s="5">
        <f t="shared" ca="1" si="34"/>
        <v>0</v>
      </c>
      <c r="J233" s="5">
        <f t="shared" ca="1" si="35"/>
        <v>0</v>
      </c>
      <c r="K233" s="5">
        <f t="shared" ca="1" si="36"/>
        <v>0</v>
      </c>
      <c r="L233" s="5">
        <f t="shared" ca="1" si="37"/>
        <v>0</v>
      </c>
      <c r="M233" s="6">
        <f t="shared" ca="1" si="31"/>
        <v>14.246575342465754</v>
      </c>
    </row>
    <row r="234" spans="2:13" ht="13.25" hidden="1" customHeight="1" x14ac:dyDescent="0.3">
      <c r="B234" s="21"/>
      <c r="E234" s="54">
        <v>230</v>
      </c>
      <c r="F234" s="5">
        <f t="shared" ca="1" si="30"/>
        <v>110</v>
      </c>
      <c r="G234" s="5">
        <f t="shared" ca="1" si="32"/>
        <v>520</v>
      </c>
      <c r="H234" s="5">
        <f t="shared" ca="1" si="33"/>
        <v>410</v>
      </c>
      <c r="I234" s="5">
        <f t="shared" ca="1" si="34"/>
        <v>0</v>
      </c>
      <c r="J234" s="5">
        <f t="shared" ca="1" si="35"/>
        <v>0</v>
      </c>
      <c r="K234" s="5">
        <f t="shared" ca="1" si="36"/>
        <v>0</v>
      </c>
      <c r="L234" s="5">
        <f t="shared" ca="1" si="37"/>
        <v>0</v>
      </c>
      <c r="M234" s="6">
        <f t="shared" ca="1" si="31"/>
        <v>11.232876712328766</v>
      </c>
    </row>
    <row r="235" spans="2:13" ht="13.25" hidden="1" customHeight="1" x14ac:dyDescent="0.3">
      <c r="B235" s="21"/>
      <c r="E235" s="54">
        <v>231</v>
      </c>
      <c r="F235" s="5">
        <f t="shared" ca="1" si="30"/>
        <v>0</v>
      </c>
      <c r="G235" s="5">
        <f t="shared" ca="1" si="32"/>
        <v>410</v>
      </c>
      <c r="H235" s="5">
        <f t="shared" ca="1" si="33"/>
        <v>410</v>
      </c>
      <c r="I235" s="5">
        <f t="shared" ca="1" si="34"/>
        <v>0</v>
      </c>
      <c r="J235" s="5">
        <f t="shared" ca="1" si="35"/>
        <v>0</v>
      </c>
      <c r="K235" s="5">
        <f t="shared" ca="1" si="36"/>
        <v>0</v>
      </c>
      <c r="L235" s="5">
        <f t="shared" ca="1" si="37"/>
        <v>0</v>
      </c>
      <c r="M235" s="6">
        <f t="shared" ca="1" si="31"/>
        <v>11.232876712328766</v>
      </c>
    </row>
    <row r="236" spans="2:13" ht="13.25" hidden="1" customHeight="1" x14ac:dyDescent="0.3">
      <c r="B236" s="21"/>
      <c r="E236" s="54">
        <v>232</v>
      </c>
      <c r="F236" s="5">
        <f t="shared" ca="1" si="30"/>
        <v>110</v>
      </c>
      <c r="G236" s="5">
        <f t="shared" ca="1" si="32"/>
        <v>410</v>
      </c>
      <c r="H236" s="5">
        <f t="shared" ca="1" si="33"/>
        <v>300</v>
      </c>
      <c r="I236" s="5">
        <f t="shared" ca="1" si="34"/>
        <v>0</v>
      </c>
      <c r="J236" s="5">
        <f t="shared" ca="1" si="35"/>
        <v>0</v>
      </c>
      <c r="K236" s="5">
        <f t="shared" ca="1" si="36"/>
        <v>0</v>
      </c>
      <c r="L236" s="5">
        <f t="shared" ca="1" si="37"/>
        <v>0</v>
      </c>
      <c r="M236" s="6">
        <f t="shared" ca="1" si="31"/>
        <v>8.2191780821917799</v>
      </c>
    </row>
    <row r="237" spans="2:13" ht="13.25" hidden="1" customHeight="1" x14ac:dyDescent="0.3">
      <c r="B237" s="21"/>
      <c r="E237" s="54">
        <v>233</v>
      </c>
      <c r="F237" s="5">
        <f t="shared" ca="1" si="30"/>
        <v>90</v>
      </c>
      <c r="G237" s="5">
        <f t="shared" ca="1" si="32"/>
        <v>300</v>
      </c>
      <c r="H237" s="5">
        <f t="shared" ca="1" si="33"/>
        <v>210</v>
      </c>
      <c r="I237" s="5">
        <f t="shared" ca="1" si="34"/>
        <v>0</v>
      </c>
      <c r="J237" s="5">
        <f t="shared" ca="1" si="35"/>
        <v>0</v>
      </c>
      <c r="K237" s="5">
        <f t="shared" ca="1" si="36"/>
        <v>0</v>
      </c>
      <c r="L237" s="5">
        <f t="shared" ca="1" si="37"/>
        <v>0</v>
      </c>
      <c r="M237" s="6">
        <f t="shared" ca="1" si="31"/>
        <v>5.7534246575342465</v>
      </c>
    </row>
    <row r="238" spans="2:13" ht="13.25" hidden="1" customHeight="1" x14ac:dyDescent="0.3">
      <c r="B238" s="21"/>
      <c r="E238" s="54">
        <v>234</v>
      </c>
      <c r="F238" s="5">
        <f t="shared" ca="1" si="30"/>
        <v>120</v>
      </c>
      <c r="G238" s="5">
        <f t="shared" ca="1" si="32"/>
        <v>210</v>
      </c>
      <c r="H238" s="5">
        <f t="shared" ca="1" si="33"/>
        <v>90</v>
      </c>
      <c r="I238" s="5">
        <f t="shared" ca="1" si="34"/>
        <v>1</v>
      </c>
      <c r="J238" s="5">
        <f t="shared" ca="1" si="35"/>
        <v>0</v>
      </c>
      <c r="K238" s="5">
        <f t="shared" ca="1" si="36"/>
        <v>0</v>
      </c>
      <c r="L238" s="5">
        <f t="shared" ca="1" si="37"/>
        <v>200</v>
      </c>
      <c r="M238" s="6">
        <f t="shared" ca="1" si="31"/>
        <v>2.4657534246575343</v>
      </c>
    </row>
    <row r="239" spans="2:13" ht="13.25" hidden="1" customHeight="1" x14ac:dyDescent="0.3">
      <c r="B239" s="21"/>
      <c r="E239" s="54">
        <v>235</v>
      </c>
      <c r="F239" s="5">
        <f t="shared" ca="1" si="30"/>
        <v>120</v>
      </c>
      <c r="G239" s="5">
        <f t="shared" ca="1" si="32"/>
        <v>1090</v>
      </c>
      <c r="H239" s="5">
        <f t="shared" ca="1" si="33"/>
        <v>970</v>
      </c>
      <c r="I239" s="5">
        <f t="shared" ca="1" si="34"/>
        <v>0</v>
      </c>
      <c r="J239" s="5">
        <f t="shared" ca="1" si="35"/>
        <v>0</v>
      </c>
      <c r="K239" s="5">
        <f t="shared" ca="1" si="36"/>
        <v>0</v>
      </c>
      <c r="L239" s="5">
        <f t="shared" ca="1" si="37"/>
        <v>0</v>
      </c>
      <c r="M239" s="6">
        <f t="shared" ca="1" si="31"/>
        <v>26.575342465753423</v>
      </c>
    </row>
    <row r="240" spans="2:13" ht="13.25" hidden="1" customHeight="1" x14ac:dyDescent="0.3">
      <c r="B240" s="21"/>
      <c r="E240" s="54">
        <v>236</v>
      </c>
      <c r="F240" s="5">
        <f t="shared" ca="1" si="30"/>
        <v>90</v>
      </c>
      <c r="G240" s="5">
        <f t="shared" ca="1" si="32"/>
        <v>970</v>
      </c>
      <c r="H240" s="5">
        <f t="shared" ca="1" si="33"/>
        <v>880</v>
      </c>
      <c r="I240" s="5">
        <f t="shared" ca="1" si="34"/>
        <v>0</v>
      </c>
      <c r="J240" s="5">
        <f t="shared" ca="1" si="35"/>
        <v>0</v>
      </c>
      <c r="K240" s="5">
        <f t="shared" ca="1" si="36"/>
        <v>0</v>
      </c>
      <c r="L240" s="5">
        <f t="shared" ca="1" si="37"/>
        <v>0</v>
      </c>
      <c r="M240" s="6">
        <f t="shared" ca="1" si="31"/>
        <v>24.109589041095887</v>
      </c>
    </row>
    <row r="241" spans="2:13" ht="13.25" hidden="1" customHeight="1" x14ac:dyDescent="0.3">
      <c r="B241" s="21"/>
      <c r="E241" s="54">
        <v>237</v>
      </c>
      <c r="F241" s="5">
        <f t="shared" ca="1" si="30"/>
        <v>120</v>
      </c>
      <c r="G241" s="5">
        <f t="shared" ca="1" si="32"/>
        <v>880</v>
      </c>
      <c r="H241" s="5">
        <f t="shared" ca="1" si="33"/>
        <v>760</v>
      </c>
      <c r="I241" s="5">
        <f t="shared" ca="1" si="34"/>
        <v>0</v>
      </c>
      <c r="J241" s="5">
        <f t="shared" ca="1" si="35"/>
        <v>0</v>
      </c>
      <c r="K241" s="5">
        <f t="shared" ca="1" si="36"/>
        <v>0</v>
      </c>
      <c r="L241" s="5">
        <f t="shared" ca="1" si="37"/>
        <v>0</v>
      </c>
      <c r="M241" s="6">
        <f t="shared" ca="1" si="31"/>
        <v>20.821917808219176</v>
      </c>
    </row>
    <row r="242" spans="2:13" ht="13.25" hidden="1" customHeight="1" x14ac:dyDescent="0.3">
      <c r="B242" s="21"/>
      <c r="E242" s="54">
        <v>238</v>
      </c>
      <c r="F242" s="5">
        <f t="shared" ca="1" si="30"/>
        <v>110</v>
      </c>
      <c r="G242" s="5">
        <f t="shared" ca="1" si="32"/>
        <v>760</v>
      </c>
      <c r="H242" s="5">
        <f t="shared" ca="1" si="33"/>
        <v>650</v>
      </c>
      <c r="I242" s="5">
        <f t="shared" ca="1" si="34"/>
        <v>0</v>
      </c>
      <c r="J242" s="5">
        <f t="shared" ca="1" si="35"/>
        <v>0</v>
      </c>
      <c r="K242" s="5">
        <f t="shared" ca="1" si="36"/>
        <v>0</v>
      </c>
      <c r="L242" s="5">
        <f t="shared" ca="1" si="37"/>
        <v>0</v>
      </c>
      <c r="M242" s="6">
        <f t="shared" ca="1" si="31"/>
        <v>17.80821917808219</v>
      </c>
    </row>
    <row r="243" spans="2:13" ht="13.25" hidden="1" customHeight="1" x14ac:dyDescent="0.3">
      <c r="B243" s="21"/>
      <c r="E243" s="54">
        <v>239</v>
      </c>
      <c r="F243" s="5">
        <f t="shared" ca="1" si="30"/>
        <v>0</v>
      </c>
      <c r="G243" s="5">
        <f t="shared" ca="1" si="32"/>
        <v>650</v>
      </c>
      <c r="H243" s="5">
        <f t="shared" ca="1" si="33"/>
        <v>650</v>
      </c>
      <c r="I243" s="5">
        <f t="shared" ca="1" si="34"/>
        <v>0</v>
      </c>
      <c r="J243" s="5">
        <f t="shared" ca="1" si="35"/>
        <v>0</v>
      </c>
      <c r="K243" s="5">
        <f t="shared" ca="1" si="36"/>
        <v>0</v>
      </c>
      <c r="L243" s="5">
        <f t="shared" ca="1" si="37"/>
        <v>0</v>
      </c>
      <c r="M243" s="6">
        <f t="shared" ca="1" si="31"/>
        <v>17.80821917808219</v>
      </c>
    </row>
    <row r="244" spans="2:13" ht="13.25" hidden="1" customHeight="1" x14ac:dyDescent="0.3">
      <c r="B244" s="21"/>
      <c r="E244" s="54">
        <v>240</v>
      </c>
      <c r="F244" s="5">
        <f t="shared" ca="1" si="30"/>
        <v>110</v>
      </c>
      <c r="G244" s="5">
        <f t="shared" ca="1" si="32"/>
        <v>650</v>
      </c>
      <c r="H244" s="5">
        <f t="shared" ca="1" si="33"/>
        <v>540</v>
      </c>
      <c r="I244" s="5">
        <f t="shared" ca="1" si="34"/>
        <v>0</v>
      </c>
      <c r="J244" s="5">
        <f t="shared" ca="1" si="35"/>
        <v>0</v>
      </c>
      <c r="K244" s="5">
        <f t="shared" ca="1" si="36"/>
        <v>0</v>
      </c>
      <c r="L244" s="5">
        <f t="shared" ca="1" si="37"/>
        <v>0</v>
      </c>
      <c r="M244" s="6">
        <f t="shared" ca="1" si="31"/>
        <v>14.794520547945204</v>
      </c>
    </row>
    <row r="245" spans="2:13" ht="13.25" hidden="1" customHeight="1" x14ac:dyDescent="0.3">
      <c r="B245" s="21"/>
      <c r="E245" s="54">
        <v>241</v>
      </c>
      <c r="F245" s="5">
        <f t="shared" ca="1" si="30"/>
        <v>100</v>
      </c>
      <c r="G245" s="5">
        <f t="shared" ca="1" si="32"/>
        <v>540</v>
      </c>
      <c r="H245" s="5">
        <f t="shared" ca="1" si="33"/>
        <v>440</v>
      </c>
      <c r="I245" s="5">
        <f t="shared" ca="1" si="34"/>
        <v>0</v>
      </c>
      <c r="J245" s="5">
        <f t="shared" ca="1" si="35"/>
        <v>0</v>
      </c>
      <c r="K245" s="5">
        <f t="shared" ca="1" si="36"/>
        <v>0</v>
      </c>
      <c r="L245" s="5">
        <f t="shared" ca="1" si="37"/>
        <v>0</v>
      </c>
      <c r="M245" s="6">
        <f t="shared" ca="1" si="31"/>
        <v>12.054794520547944</v>
      </c>
    </row>
    <row r="246" spans="2:13" ht="13.25" hidden="1" customHeight="1" x14ac:dyDescent="0.3">
      <c r="B246" s="21"/>
      <c r="E246" s="54">
        <v>242</v>
      </c>
      <c r="F246" s="5">
        <f t="shared" ca="1" si="30"/>
        <v>100</v>
      </c>
      <c r="G246" s="5">
        <f t="shared" ca="1" si="32"/>
        <v>440</v>
      </c>
      <c r="H246" s="5">
        <f t="shared" ca="1" si="33"/>
        <v>340</v>
      </c>
      <c r="I246" s="5">
        <f t="shared" ca="1" si="34"/>
        <v>0</v>
      </c>
      <c r="J246" s="5">
        <f t="shared" ca="1" si="35"/>
        <v>0</v>
      </c>
      <c r="K246" s="5">
        <f t="shared" ca="1" si="36"/>
        <v>0</v>
      </c>
      <c r="L246" s="5">
        <f t="shared" ca="1" si="37"/>
        <v>0</v>
      </c>
      <c r="M246" s="6">
        <f t="shared" ca="1" si="31"/>
        <v>9.3150684931506849</v>
      </c>
    </row>
    <row r="247" spans="2:13" ht="13.25" hidden="1" customHeight="1" x14ac:dyDescent="0.3">
      <c r="B247" s="21"/>
      <c r="E247" s="54">
        <v>243</v>
      </c>
      <c r="F247" s="5">
        <f t="shared" ca="1" si="30"/>
        <v>120</v>
      </c>
      <c r="G247" s="5">
        <f t="shared" ca="1" si="32"/>
        <v>340</v>
      </c>
      <c r="H247" s="5">
        <f t="shared" ca="1" si="33"/>
        <v>220</v>
      </c>
      <c r="I247" s="5">
        <f t="shared" ca="1" si="34"/>
        <v>0</v>
      </c>
      <c r="J247" s="5">
        <f t="shared" ca="1" si="35"/>
        <v>0</v>
      </c>
      <c r="K247" s="5">
        <f t="shared" ca="1" si="36"/>
        <v>0</v>
      </c>
      <c r="L247" s="5">
        <f t="shared" ca="1" si="37"/>
        <v>0</v>
      </c>
      <c r="M247" s="6">
        <f t="shared" ca="1" si="31"/>
        <v>6.0273972602739718</v>
      </c>
    </row>
    <row r="248" spans="2:13" ht="13.25" hidden="1" customHeight="1" x14ac:dyDescent="0.3">
      <c r="B248" s="21"/>
      <c r="E248" s="54">
        <v>244</v>
      </c>
      <c r="F248" s="5">
        <f t="shared" ca="1" si="30"/>
        <v>100</v>
      </c>
      <c r="G248" s="5">
        <f t="shared" ca="1" si="32"/>
        <v>220</v>
      </c>
      <c r="H248" s="5">
        <f t="shared" ca="1" si="33"/>
        <v>120</v>
      </c>
      <c r="I248" s="5">
        <f t="shared" ca="1" si="34"/>
        <v>0</v>
      </c>
      <c r="J248" s="5">
        <f t="shared" ca="1" si="35"/>
        <v>0</v>
      </c>
      <c r="K248" s="5">
        <f t="shared" ca="1" si="36"/>
        <v>0</v>
      </c>
      <c r="L248" s="5">
        <f t="shared" ca="1" si="37"/>
        <v>0</v>
      </c>
      <c r="M248" s="6">
        <f t="shared" ca="1" si="31"/>
        <v>3.2876712328767121</v>
      </c>
    </row>
    <row r="249" spans="2:13" ht="13.25" hidden="1" customHeight="1" x14ac:dyDescent="0.3">
      <c r="B249" s="21"/>
      <c r="E249" s="54">
        <v>245</v>
      </c>
      <c r="F249" s="5">
        <f t="shared" ca="1" si="30"/>
        <v>100</v>
      </c>
      <c r="G249" s="5">
        <f t="shared" ca="1" si="32"/>
        <v>120</v>
      </c>
      <c r="H249" s="5">
        <f t="shared" ca="1" si="33"/>
        <v>20</v>
      </c>
      <c r="I249" s="5">
        <f t="shared" ca="1" si="34"/>
        <v>1</v>
      </c>
      <c r="J249" s="5">
        <f t="shared" ca="1" si="35"/>
        <v>0</v>
      </c>
      <c r="K249" s="5">
        <f t="shared" ca="1" si="36"/>
        <v>0</v>
      </c>
      <c r="L249" s="5">
        <f t="shared" ca="1" si="37"/>
        <v>200</v>
      </c>
      <c r="M249" s="6">
        <f t="shared" ca="1" si="31"/>
        <v>0.54794520547945202</v>
      </c>
    </row>
    <row r="250" spans="2:13" ht="13.25" hidden="1" customHeight="1" x14ac:dyDescent="0.3">
      <c r="B250" s="21"/>
      <c r="E250" s="54">
        <v>246</v>
      </c>
      <c r="F250" s="5">
        <f t="shared" ca="1" si="30"/>
        <v>100</v>
      </c>
      <c r="G250" s="5">
        <f t="shared" ca="1" si="32"/>
        <v>1020</v>
      </c>
      <c r="H250" s="5">
        <f t="shared" ca="1" si="33"/>
        <v>920</v>
      </c>
      <c r="I250" s="5">
        <f t="shared" ca="1" si="34"/>
        <v>0</v>
      </c>
      <c r="J250" s="5">
        <f t="shared" ca="1" si="35"/>
        <v>0</v>
      </c>
      <c r="K250" s="5">
        <f t="shared" ca="1" si="36"/>
        <v>0</v>
      </c>
      <c r="L250" s="5">
        <f t="shared" ca="1" si="37"/>
        <v>0</v>
      </c>
      <c r="M250" s="6">
        <f t="shared" ca="1" si="31"/>
        <v>25.205479452054792</v>
      </c>
    </row>
    <row r="251" spans="2:13" ht="13.25" hidden="1" customHeight="1" x14ac:dyDescent="0.3">
      <c r="B251" s="21"/>
      <c r="E251" s="54">
        <v>247</v>
      </c>
      <c r="F251" s="5">
        <f t="shared" ca="1" si="30"/>
        <v>110</v>
      </c>
      <c r="G251" s="5">
        <f t="shared" ca="1" si="32"/>
        <v>920</v>
      </c>
      <c r="H251" s="5">
        <f t="shared" ca="1" si="33"/>
        <v>810</v>
      </c>
      <c r="I251" s="5">
        <f t="shared" ca="1" si="34"/>
        <v>0</v>
      </c>
      <c r="J251" s="5">
        <f t="shared" ca="1" si="35"/>
        <v>0</v>
      </c>
      <c r="K251" s="5">
        <f t="shared" ca="1" si="36"/>
        <v>0</v>
      </c>
      <c r="L251" s="5">
        <f t="shared" ca="1" si="37"/>
        <v>0</v>
      </c>
      <c r="M251" s="6">
        <f t="shared" ca="1" si="31"/>
        <v>22.191780821917806</v>
      </c>
    </row>
    <row r="252" spans="2:13" ht="13.25" hidden="1" customHeight="1" x14ac:dyDescent="0.3">
      <c r="B252" s="21"/>
      <c r="E252" s="54">
        <v>248</v>
      </c>
      <c r="F252" s="5">
        <f t="shared" ca="1" si="30"/>
        <v>90</v>
      </c>
      <c r="G252" s="5">
        <f t="shared" ca="1" si="32"/>
        <v>810</v>
      </c>
      <c r="H252" s="5">
        <f t="shared" ca="1" si="33"/>
        <v>720</v>
      </c>
      <c r="I252" s="5">
        <f t="shared" ca="1" si="34"/>
        <v>0</v>
      </c>
      <c r="J252" s="5">
        <f t="shared" ca="1" si="35"/>
        <v>0</v>
      </c>
      <c r="K252" s="5">
        <f t="shared" ca="1" si="36"/>
        <v>0</v>
      </c>
      <c r="L252" s="5">
        <f t="shared" ca="1" si="37"/>
        <v>0</v>
      </c>
      <c r="M252" s="6">
        <f t="shared" ca="1" si="31"/>
        <v>19.726027397260275</v>
      </c>
    </row>
    <row r="253" spans="2:13" ht="13.25" hidden="1" customHeight="1" x14ac:dyDescent="0.3">
      <c r="B253" s="21"/>
      <c r="E253" s="54">
        <v>249</v>
      </c>
      <c r="F253" s="5">
        <f t="shared" ca="1" si="30"/>
        <v>120</v>
      </c>
      <c r="G253" s="5">
        <f t="shared" ca="1" si="32"/>
        <v>720</v>
      </c>
      <c r="H253" s="5">
        <f t="shared" ca="1" si="33"/>
        <v>600</v>
      </c>
      <c r="I253" s="5">
        <f t="shared" ca="1" si="34"/>
        <v>0</v>
      </c>
      <c r="J253" s="5">
        <f t="shared" ca="1" si="35"/>
        <v>0</v>
      </c>
      <c r="K253" s="5">
        <f t="shared" ca="1" si="36"/>
        <v>0</v>
      </c>
      <c r="L253" s="5">
        <f t="shared" ca="1" si="37"/>
        <v>0</v>
      </c>
      <c r="M253" s="6">
        <f t="shared" ca="1" si="31"/>
        <v>16.43835616438356</v>
      </c>
    </row>
    <row r="254" spans="2:13" ht="13.25" hidden="1" customHeight="1" x14ac:dyDescent="0.3">
      <c r="B254" s="21"/>
      <c r="E254" s="54">
        <v>250</v>
      </c>
      <c r="F254" s="5">
        <f t="shared" ca="1" si="30"/>
        <v>100</v>
      </c>
      <c r="G254" s="5">
        <f t="shared" ca="1" si="32"/>
        <v>600</v>
      </c>
      <c r="H254" s="5">
        <f t="shared" ca="1" si="33"/>
        <v>500</v>
      </c>
      <c r="I254" s="5">
        <f t="shared" ca="1" si="34"/>
        <v>0</v>
      </c>
      <c r="J254" s="5">
        <f t="shared" ca="1" si="35"/>
        <v>0</v>
      </c>
      <c r="K254" s="5">
        <f t="shared" ca="1" si="36"/>
        <v>0</v>
      </c>
      <c r="L254" s="5">
        <f t="shared" ca="1" si="37"/>
        <v>0</v>
      </c>
      <c r="M254" s="6">
        <f t="shared" ca="1" si="31"/>
        <v>13.698630136986301</v>
      </c>
    </row>
    <row r="255" spans="2:13" ht="13.25" hidden="1" customHeight="1" x14ac:dyDescent="0.3">
      <c r="B255" s="21"/>
      <c r="E255" s="54">
        <v>251</v>
      </c>
      <c r="F255" s="5">
        <f t="shared" ca="1" si="30"/>
        <v>100</v>
      </c>
      <c r="G255" s="5">
        <f t="shared" ca="1" si="32"/>
        <v>500</v>
      </c>
      <c r="H255" s="5">
        <f t="shared" ca="1" si="33"/>
        <v>400</v>
      </c>
      <c r="I255" s="5">
        <f t="shared" ca="1" si="34"/>
        <v>0</v>
      </c>
      <c r="J255" s="5">
        <f t="shared" ca="1" si="35"/>
        <v>0</v>
      </c>
      <c r="K255" s="5">
        <f t="shared" ca="1" si="36"/>
        <v>0</v>
      </c>
      <c r="L255" s="5">
        <f t="shared" ca="1" si="37"/>
        <v>0</v>
      </c>
      <c r="M255" s="6">
        <f t="shared" ca="1" si="31"/>
        <v>10.95890410958904</v>
      </c>
    </row>
    <row r="256" spans="2:13" ht="13.25" hidden="1" customHeight="1" x14ac:dyDescent="0.3">
      <c r="B256" s="21"/>
      <c r="E256" s="54">
        <v>252</v>
      </c>
      <c r="F256" s="5">
        <f t="shared" ca="1" si="30"/>
        <v>100</v>
      </c>
      <c r="G256" s="5">
        <f t="shared" ca="1" si="32"/>
        <v>400</v>
      </c>
      <c r="H256" s="5">
        <f t="shared" ca="1" si="33"/>
        <v>300</v>
      </c>
      <c r="I256" s="5">
        <f t="shared" ca="1" si="34"/>
        <v>0</v>
      </c>
      <c r="J256" s="5">
        <f t="shared" ca="1" si="35"/>
        <v>0</v>
      </c>
      <c r="K256" s="5">
        <f t="shared" ca="1" si="36"/>
        <v>0</v>
      </c>
      <c r="L256" s="5">
        <f t="shared" ca="1" si="37"/>
        <v>0</v>
      </c>
      <c r="M256" s="6">
        <f t="shared" ca="1" si="31"/>
        <v>8.2191780821917799</v>
      </c>
    </row>
    <row r="257" spans="2:13" ht="13.25" hidden="1" customHeight="1" x14ac:dyDescent="0.3">
      <c r="B257" s="21"/>
      <c r="E257" s="54">
        <v>253</v>
      </c>
      <c r="F257" s="5">
        <f t="shared" ca="1" si="30"/>
        <v>90</v>
      </c>
      <c r="G257" s="5">
        <f t="shared" ca="1" si="32"/>
        <v>300</v>
      </c>
      <c r="H257" s="5">
        <f t="shared" ca="1" si="33"/>
        <v>210</v>
      </c>
      <c r="I257" s="5">
        <f t="shared" ca="1" si="34"/>
        <v>0</v>
      </c>
      <c r="J257" s="5">
        <f t="shared" ca="1" si="35"/>
        <v>0</v>
      </c>
      <c r="K257" s="5">
        <f t="shared" ca="1" si="36"/>
        <v>0</v>
      </c>
      <c r="L257" s="5">
        <f t="shared" ca="1" si="37"/>
        <v>0</v>
      </c>
      <c r="M257" s="6">
        <f t="shared" ca="1" si="31"/>
        <v>5.7534246575342465</v>
      </c>
    </row>
    <row r="258" spans="2:13" ht="13.25" hidden="1" customHeight="1" x14ac:dyDescent="0.3">
      <c r="B258" s="21"/>
      <c r="E258" s="54">
        <v>254</v>
      </c>
      <c r="F258" s="5">
        <f t="shared" ca="1" si="30"/>
        <v>100</v>
      </c>
      <c r="G258" s="5">
        <f t="shared" ca="1" si="32"/>
        <v>210</v>
      </c>
      <c r="H258" s="5">
        <f t="shared" ca="1" si="33"/>
        <v>110</v>
      </c>
      <c r="I258" s="5">
        <f t="shared" ca="1" si="34"/>
        <v>0</v>
      </c>
      <c r="J258" s="5">
        <f t="shared" ca="1" si="35"/>
        <v>0</v>
      </c>
      <c r="K258" s="5">
        <f t="shared" ca="1" si="36"/>
        <v>0</v>
      </c>
      <c r="L258" s="5">
        <f t="shared" ca="1" si="37"/>
        <v>0</v>
      </c>
      <c r="M258" s="6">
        <f t="shared" ca="1" si="31"/>
        <v>3.0136986301369859</v>
      </c>
    </row>
    <row r="259" spans="2:13" ht="13.25" hidden="1" customHeight="1" x14ac:dyDescent="0.3">
      <c r="B259" s="21"/>
      <c r="E259" s="54">
        <v>255</v>
      </c>
      <c r="F259" s="5">
        <f t="shared" ca="1" si="30"/>
        <v>110</v>
      </c>
      <c r="G259" s="5">
        <f t="shared" ca="1" si="32"/>
        <v>110</v>
      </c>
      <c r="H259" s="5">
        <f t="shared" ca="1" si="33"/>
        <v>0</v>
      </c>
      <c r="I259" s="5">
        <f t="shared" ca="1" si="34"/>
        <v>1</v>
      </c>
      <c r="J259" s="5">
        <f t="shared" ca="1" si="35"/>
        <v>0</v>
      </c>
      <c r="K259" s="5">
        <f t="shared" ca="1" si="36"/>
        <v>0</v>
      </c>
      <c r="L259" s="5">
        <f t="shared" ca="1" si="37"/>
        <v>200</v>
      </c>
      <c r="M259" s="6">
        <f t="shared" ca="1" si="31"/>
        <v>0</v>
      </c>
    </row>
    <row r="260" spans="2:13" ht="13.25" hidden="1" customHeight="1" x14ac:dyDescent="0.3">
      <c r="B260" s="21"/>
      <c r="E260" s="54">
        <v>256</v>
      </c>
      <c r="F260" s="5">
        <f t="shared" ca="1" si="30"/>
        <v>110</v>
      </c>
      <c r="G260" s="5">
        <f t="shared" ca="1" si="32"/>
        <v>1000</v>
      </c>
      <c r="H260" s="5">
        <f t="shared" ca="1" si="33"/>
        <v>890</v>
      </c>
      <c r="I260" s="5">
        <f t="shared" ca="1" si="34"/>
        <v>0</v>
      </c>
      <c r="J260" s="5">
        <f t="shared" ca="1" si="35"/>
        <v>0</v>
      </c>
      <c r="K260" s="5">
        <f t="shared" ca="1" si="36"/>
        <v>0</v>
      </c>
      <c r="L260" s="5">
        <f t="shared" ca="1" si="37"/>
        <v>0</v>
      </c>
      <c r="M260" s="6">
        <f t="shared" ca="1" si="31"/>
        <v>24.383561643835616</v>
      </c>
    </row>
    <row r="261" spans="2:13" ht="13.25" hidden="1" customHeight="1" x14ac:dyDescent="0.3">
      <c r="B261" s="21"/>
      <c r="E261" s="54">
        <v>257</v>
      </c>
      <c r="F261" s="5">
        <f t="shared" ref="F261:F324" ca="1" si="38">INDEX($R$18:$R$22,MATCH(RAND(),$T$17:$T$22,1))</f>
        <v>120</v>
      </c>
      <c r="G261" s="5">
        <f t="shared" ca="1" si="32"/>
        <v>890</v>
      </c>
      <c r="H261" s="5">
        <f t="shared" ca="1" si="33"/>
        <v>770</v>
      </c>
      <c r="I261" s="5">
        <f t="shared" ca="1" si="34"/>
        <v>0</v>
      </c>
      <c r="J261" s="5">
        <f t="shared" ca="1" si="35"/>
        <v>0</v>
      </c>
      <c r="K261" s="5">
        <f t="shared" ca="1" si="36"/>
        <v>0</v>
      </c>
      <c r="L261" s="5">
        <f t="shared" ca="1" si="37"/>
        <v>0</v>
      </c>
      <c r="M261" s="6">
        <f t="shared" ref="M261:M324" ca="1" si="39">H261*$C$7</f>
        <v>21.095890410958901</v>
      </c>
    </row>
    <row r="262" spans="2:13" ht="13.25" hidden="1" customHeight="1" x14ac:dyDescent="0.3">
      <c r="B262" s="21"/>
      <c r="E262" s="54">
        <v>258</v>
      </c>
      <c r="F262" s="5">
        <f t="shared" ca="1" si="38"/>
        <v>90</v>
      </c>
      <c r="G262" s="5">
        <f t="shared" ref="G262:G325" ca="1" si="40">H261+$C$9*I261</f>
        <v>770</v>
      </c>
      <c r="H262" s="5">
        <f t="shared" ref="H262:H325" ca="1" si="41">IF(G262-F262&gt;0,G262-F262,0)</f>
        <v>680</v>
      </c>
      <c r="I262" s="5">
        <f t="shared" ref="I262:I325" ca="1" si="42">IF(H262&lt;$C$3,1,0)</f>
        <v>0</v>
      </c>
      <c r="J262" s="5">
        <f t="shared" ref="J262:J325" ca="1" si="43">-MIN(0,G262-F262)</f>
        <v>0</v>
      </c>
      <c r="K262" s="5">
        <f t="shared" ref="K262:K325" ca="1" si="44">J262*$C$8</f>
        <v>0</v>
      </c>
      <c r="L262" s="5">
        <f t="shared" ref="L262:L325" ca="1" si="45">$C$4*I262</f>
        <v>0</v>
      </c>
      <c r="M262" s="6">
        <f t="shared" ca="1" si="39"/>
        <v>18.63013698630137</v>
      </c>
    </row>
    <row r="263" spans="2:13" ht="13.25" hidden="1" customHeight="1" x14ac:dyDescent="0.3">
      <c r="B263" s="21"/>
      <c r="E263" s="54">
        <v>259</v>
      </c>
      <c r="F263" s="5">
        <f t="shared" ca="1" si="38"/>
        <v>110</v>
      </c>
      <c r="G263" s="5">
        <f t="shared" ca="1" si="40"/>
        <v>680</v>
      </c>
      <c r="H263" s="5">
        <f t="shared" ca="1" si="41"/>
        <v>570</v>
      </c>
      <c r="I263" s="5">
        <f t="shared" ca="1" si="42"/>
        <v>0</v>
      </c>
      <c r="J263" s="5">
        <f t="shared" ca="1" si="43"/>
        <v>0</v>
      </c>
      <c r="K263" s="5">
        <f t="shared" ca="1" si="44"/>
        <v>0</v>
      </c>
      <c r="L263" s="5">
        <f t="shared" ca="1" si="45"/>
        <v>0</v>
      </c>
      <c r="M263" s="6">
        <f t="shared" ca="1" si="39"/>
        <v>15.616438356164382</v>
      </c>
    </row>
    <row r="264" spans="2:13" ht="13.25" hidden="1" customHeight="1" x14ac:dyDescent="0.3">
      <c r="B264" s="21"/>
      <c r="E264" s="54">
        <v>260</v>
      </c>
      <c r="F264" s="5">
        <f t="shared" ca="1" si="38"/>
        <v>120</v>
      </c>
      <c r="G264" s="5">
        <f t="shared" ca="1" si="40"/>
        <v>570</v>
      </c>
      <c r="H264" s="5">
        <f t="shared" ca="1" si="41"/>
        <v>450</v>
      </c>
      <c r="I264" s="5">
        <f t="shared" ca="1" si="42"/>
        <v>0</v>
      </c>
      <c r="J264" s="5">
        <f t="shared" ca="1" si="43"/>
        <v>0</v>
      </c>
      <c r="K264" s="5">
        <f t="shared" ca="1" si="44"/>
        <v>0</v>
      </c>
      <c r="L264" s="5">
        <f t="shared" ca="1" si="45"/>
        <v>0</v>
      </c>
      <c r="M264" s="6">
        <f t="shared" ca="1" si="39"/>
        <v>12.328767123287671</v>
      </c>
    </row>
    <row r="265" spans="2:13" ht="13.25" hidden="1" customHeight="1" x14ac:dyDescent="0.3">
      <c r="B265" s="21"/>
      <c r="E265" s="54">
        <v>261</v>
      </c>
      <c r="F265" s="5">
        <f t="shared" ca="1" si="38"/>
        <v>90</v>
      </c>
      <c r="G265" s="5">
        <f t="shared" ca="1" si="40"/>
        <v>450</v>
      </c>
      <c r="H265" s="5">
        <f t="shared" ca="1" si="41"/>
        <v>360</v>
      </c>
      <c r="I265" s="5">
        <f t="shared" ca="1" si="42"/>
        <v>0</v>
      </c>
      <c r="J265" s="5">
        <f t="shared" ca="1" si="43"/>
        <v>0</v>
      </c>
      <c r="K265" s="5">
        <f t="shared" ca="1" si="44"/>
        <v>0</v>
      </c>
      <c r="L265" s="5">
        <f t="shared" ca="1" si="45"/>
        <v>0</v>
      </c>
      <c r="M265" s="6">
        <f t="shared" ca="1" si="39"/>
        <v>9.8630136986301373</v>
      </c>
    </row>
    <row r="266" spans="2:13" ht="13.25" hidden="1" customHeight="1" x14ac:dyDescent="0.3">
      <c r="B266" s="21"/>
      <c r="E266" s="54">
        <v>262</v>
      </c>
      <c r="F266" s="5">
        <f t="shared" ca="1" si="38"/>
        <v>100</v>
      </c>
      <c r="G266" s="5">
        <f t="shared" ca="1" si="40"/>
        <v>360</v>
      </c>
      <c r="H266" s="5">
        <f t="shared" ca="1" si="41"/>
        <v>260</v>
      </c>
      <c r="I266" s="5">
        <f t="shared" ca="1" si="42"/>
        <v>0</v>
      </c>
      <c r="J266" s="5">
        <f t="shared" ca="1" si="43"/>
        <v>0</v>
      </c>
      <c r="K266" s="5">
        <f t="shared" ca="1" si="44"/>
        <v>0</v>
      </c>
      <c r="L266" s="5">
        <f t="shared" ca="1" si="45"/>
        <v>0</v>
      </c>
      <c r="M266" s="6">
        <f t="shared" ca="1" si="39"/>
        <v>7.1232876712328768</v>
      </c>
    </row>
    <row r="267" spans="2:13" ht="13.25" hidden="1" customHeight="1" x14ac:dyDescent="0.3">
      <c r="B267" s="21"/>
      <c r="E267" s="54">
        <v>263</v>
      </c>
      <c r="F267" s="5">
        <f t="shared" ca="1" si="38"/>
        <v>120</v>
      </c>
      <c r="G267" s="5">
        <f t="shared" ca="1" si="40"/>
        <v>260</v>
      </c>
      <c r="H267" s="5">
        <f t="shared" ca="1" si="41"/>
        <v>140</v>
      </c>
      <c r="I267" s="5">
        <f t="shared" ca="1" si="42"/>
        <v>0</v>
      </c>
      <c r="J267" s="5">
        <f t="shared" ca="1" si="43"/>
        <v>0</v>
      </c>
      <c r="K267" s="5">
        <f t="shared" ca="1" si="44"/>
        <v>0</v>
      </c>
      <c r="L267" s="5">
        <f t="shared" ca="1" si="45"/>
        <v>0</v>
      </c>
      <c r="M267" s="6">
        <f t="shared" ca="1" si="39"/>
        <v>3.8356164383561642</v>
      </c>
    </row>
    <row r="268" spans="2:13" ht="13.25" hidden="1" customHeight="1" x14ac:dyDescent="0.3">
      <c r="B268" s="21"/>
      <c r="E268" s="54">
        <v>264</v>
      </c>
      <c r="F268" s="5">
        <f t="shared" ca="1" si="38"/>
        <v>120</v>
      </c>
      <c r="G268" s="5">
        <f t="shared" ca="1" si="40"/>
        <v>140</v>
      </c>
      <c r="H268" s="5">
        <f t="shared" ca="1" si="41"/>
        <v>20</v>
      </c>
      <c r="I268" s="5">
        <f t="shared" ca="1" si="42"/>
        <v>1</v>
      </c>
      <c r="J268" s="5">
        <f t="shared" ca="1" si="43"/>
        <v>0</v>
      </c>
      <c r="K268" s="5">
        <f t="shared" ca="1" si="44"/>
        <v>0</v>
      </c>
      <c r="L268" s="5">
        <f t="shared" ca="1" si="45"/>
        <v>200</v>
      </c>
      <c r="M268" s="6">
        <f t="shared" ca="1" si="39"/>
        <v>0.54794520547945202</v>
      </c>
    </row>
    <row r="269" spans="2:13" ht="13.25" hidden="1" customHeight="1" x14ac:dyDescent="0.3">
      <c r="B269" s="21"/>
      <c r="E269" s="54">
        <v>265</v>
      </c>
      <c r="F269" s="5">
        <f t="shared" ca="1" si="38"/>
        <v>100</v>
      </c>
      <c r="G269" s="5">
        <f t="shared" ca="1" si="40"/>
        <v>1020</v>
      </c>
      <c r="H269" s="5">
        <f t="shared" ca="1" si="41"/>
        <v>920</v>
      </c>
      <c r="I269" s="5">
        <f t="shared" ca="1" si="42"/>
        <v>0</v>
      </c>
      <c r="J269" s="5">
        <f t="shared" ca="1" si="43"/>
        <v>0</v>
      </c>
      <c r="K269" s="5">
        <f t="shared" ca="1" si="44"/>
        <v>0</v>
      </c>
      <c r="L269" s="5">
        <f t="shared" ca="1" si="45"/>
        <v>0</v>
      </c>
      <c r="M269" s="6">
        <f t="shared" ca="1" si="39"/>
        <v>25.205479452054792</v>
      </c>
    </row>
    <row r="270" spans="2:13" ht="13.25" hidden="1" customHeight="1" x14ac:dyDescent="0.3">
      <c r="B270" s="21"/>
      <c r="E270" s="54">
        <v>266</v>
      </c>
      <c r="F270" s="5">
        <f t="shared" ca="1" si="38"/>
        <v>110</v>
      </c>
      <c r="G270" s="5">
        <f t="shared" ca="1" si="40"/>
        <v>920</v>
      </c>
      <c r="H270" s="5">
        <f t="shared" ca="1" si="41"/>
        <v>810</v>
      </c>
      <c r="I270" s="5">
        <f t="shared" ca="1" si="42"/>
        <v>0</v>
      </c>
      <c r="J270" s="5">
        <f t="shared" ca="1" si="43"/>
        <v>0</v>
      </c>
      <c r="K270" s="5">
        <f t="shared" ca="1" si="44"/>
        <v>0</v>
      </c>
      <c r="L270" s="5">
        <f t="shared" ca="1" si="45"/>
        <v>0</v>
      </c>
      <c r="M270" s="6">
        <f t="shared" ca="1" si="39"/>
        <v>22.191780821917806</v>
      </c>
    </row>
    <row r="271" spans="2:13" ht="13.25" hidden="1" customHeight="1" x14ac:dyDescent="0.3">
      <c r="B271" s="21"/>
      <c r="E271" s="54">
        <v>267</v>
      </c>
      <c r="F271" s="5">
        <f t="shared" ca="1" si="38"/>
        <v>120</v>
      </c>
      <c r="G271" s="5">
        <f t="shared" ca="1" si="40"/>
        <v>810</v>
      </c>
      <c r="H271" s="5">
        <f t="shared" ca="1" si="41"/>
        <v>690</v>
      </c>
      <c r="I271" s="5">
        <f t="shared" ca="1" si="42"/>
        <v>0</v>
      </c>
      <c r="J271" s="5">
        <f t="shared" ca="1" si="43"/>
        <v>0</v>
      </c>
      <c r="K271" s="5">
        <f t="shared" ca="1" si="44"/>
        <v>0</v>
      </c>
      <c r="L271" s="5">
        <f t="shared" ca="1" si="45"/>
        <v>0</v>
      </c>
      <c r="M271" s="6">
        <f t="shared" ca="1" si="39"/>
        <v>18.904109589041095</v>
      </c>
    </row>
    <row r="272" spans="2:13" ht="13.25" hidden="1" customHeight="1" x14ac:dyDescent="0.3">
      <c r="B272" s="21"/>
      <c r="E272" s="54">
        <v>268</v>
      </c>
      <c r="F272" s="5">
        <f t="shared" ca="1" si="38"/>
        <v>120</v>
      </c>
      <c r="G272" s="5">
        <f t="shared" ca="1" si="40"/>
        <v>690</v>
      </c>
      <c r="H272" s="5">
        <f t="shared" ca="1" si="41"/>
        <v>570</v>
      </c>
      <c r="I272" s="5">
        <f t="shared" ca="1" si="42"/>
        <v>0</v>
      </c>
      <c r="J272" s="5">
        <f t="shared" ca="1" si="43"/>
        <v>0</v>
      </c>
      <c r="K272" s="5">
        <f t="shared" ca="1" si="44"/>
        <v>0</v>
      </c>
      <c r="L272" s="5">
        <f t="shared" ca="1" si="45"/>
        <v>0</v>
      </c>
      <c r="M272" s="6">
        <f t="shared" ca="1" si="39"/>
        <v>15.616438356164382</v>
      </c>
    </row>
    <row r="273" spans="2:13" ht="13.25" hidden="1" customHeight="1" x14ac:dyDescent="0.3">
      <c r="B273" s="21"/>
      <c r="E273" s="54">
        <v>269</v>
      </c>
      <c r="F273" s="5">
        <f t="shared" ca="1" si="38"/>
        <v>110</v>
      </c>
      <c r="G273" s="5">
        <f t="shared" ca="1" si="40"/>
        <v>570</v>
      </c>
      <c r="H273" s="5">
        <f t="shared" ca="1" si="41"/>
        <v>460</v>
      </c>
      <c r="I273" s="5">
        <f t="shared" ca="1" si="42"/>
        <v>0</v>
      </c>
      <c r="J273" s="5">
        <f t="shared" ca="1" si="43"/>
        <v>0</v>
      </c>
      <c r="K273" s="5">
        <f t="shared" ca="1" si="44"/>
        <v>0</v>
      </c>
      <c r="L273" s="5">
        <f t="shared" ca="1" si="45"/>
        <v>0</v>
      </c>
      <c r="M273" s="6">
        <f t="shared" ca="1" si="39"/>
        <v>12.602739726027396</v>
      </c>
    </row>
    <row r="274" spans="2:13" ht="13.25" hidden="1" customHeight="1" x14ac:dyDescent="0.3">
      <c r="B274" s="21"/>
      <c r="E274" s="54">
        <v>270</v>
      </c>
      <c r="F274" s="5">
        <f t="shared" ca="1" si="38"/>
        <v>0</v>
      </c>
      <c r="G274" s="5">
        <f t="shared" ca="1" si="40"/>
        <v>460</v>
      </c>
      <c r="H274" s="5">
        <f t="shared" ca="1" si="41"/>
        <v>460</v>
      </c>
      <c r="I274" s="5">
        <f t="shared" ca="1" si="42"/>
        <v>0</v>
      </c>
      <c r="J274" s="5">
        <f t="shared" ca="1" si="43"/>
        <v>0</v>
      </c>
      <c r="K274" s="5">
        <f t="shared" ca="1" si="44"/>
        <v>0</v>
      </c>
      <c r="L274" s="5">
        <f t="shared" ca="1" si="45"/>
        <v>0</v>
      </c>
      <c r="M274" s="6">
        <f t="shared" ca="1" si="39"/>
        <v>12.602739726027396</v>
      </c>
    </row>
    <row r="275" spans="2:13" ht="13.25" hidden="1" customHeight="1" x14ac:dyDescent="0.3">
      <c r="B275" s="21"/>
      <c r="E275" s="54">
        <v>271</v>
      </c>
      <c r="F275" s="5">
        <f t="shared" ca="1" si="38"/>
        <v>120</v>
      </c>
      <c r="G275" s="5">
        <f t="shared" ca="1" si="40"/>
        <v>460</v>
      </c>
      <c r="H275" s="5">
        <f t="shared" ca="1" si="41"/>
        <v>340</v>
      </c>
      <c r="I275" s="5">
        <f t="shared" ca="1" si="42"/>
        <v>0</v>
      </c>
      <c r="J275" s="5">
        <f t="shared" ca="1" si="43"/>
        <v>0</v>
      </c>
      <c r="K275" s="5">
        <f t="shared" ca="1" si="44"/>
        <v>0</v>
      </c>
      <c r="L275" s="5">
        <f t="shared" ca="1" si="45"/>
        <v>0</v>
      </c>
      <c r="M275" s="6">
        <f t="shared" ca="1" si="39"/>
        <v>9.3150684931506849</v>
      </c>
    </row>
    <row r="276" spans="2:13" ht="13.25" hidden="1" customHeight="1" x14ac:dyDescent="0.3">
      <c r="B276" s="21"/>
      <c r="E276" s="54">
        <v>272</v>
      </c>
      <c r="F276" s="5">
        <f t="shared" ca="1" si="38"/>
        <v>120</v>
      </c>
      <c r="G276" s="5">
        <f t="shared" ca="1" si="40"/>
        <v>340</v>
      </c>
      <c r="H276" s="5">
        <f t="shared" ca="1" si="41"/>
        <v>220</v>
      </c>
      <c r="I276" s="5">
        <f t="shared" ca="1" si="42"/>
        <v>0</v>
      </c>
      <c r="J276" s="5">
        <f t="shared" ca="1" si="43"/>
        <v>0</v>
      </c>
      <c r="K276" s="5">
        <f t="shared" ca="1" si="44"/>
        <v>0</v>
      </c>
      <c r="L276" s="5">
        <f t="shared" ca="1" si="45"/>
        <v>0</v>
      </c>
      <c r="M276" s="6">
        <f t="shared" ca="1" si="39"/>
        <v>6.0273972602739718</v>
      </c>
    </row>
    <row r="277" spans="2:13" ht="13.25" hidden="1" customHeight="1" x14ac:dyDescent="0.3">
      <c r="B277" s="21"/>
      <c r="E277" s="54">
        <v>273</v>
      </c>
      <c r="F277" s="5">
        <f t="shared" ca="1" si="38"/>
        <v>100</v>
      </c>
      <c r="G277" s="5">
        <f t="shared" ca="1" si="40"/>
        <v>220</v>
      </c>
      <c r="H277" s="5">
        <f t="shared" ca="1" si="41"/>
        <v>120</v>
      </c>
      <c r="I277" s="5">
        <f t="shared" ca="1" si="42"/>
        <v>0</v>
      </c>
      <c r="J277" s="5">
        <f t="shared" ca="1" si="43"/>
        <v>0</v>
      </c>
      <c r="K277" s="5">
        <f t="shared" ca="1" si="44"/>
        <v>0</v>
      </c>
      <c r="L277" s="5">
        <f t="shared" ca="1" si="45"/>
        <v>0</v>
      </c>
      <c r="M277" s="6">
        <f t="shared" ca="1" si="39"/>
        <v>3.2876712328767121</v>
      </c>
    </row>
    <row r="278" spans="2:13" ht="13.25" hidden="1" customHeight="1" x14ac:dyDescent="0.3">
      <c r="B278" s="21"/>
      <c r="E278" s="54">
        <v>274</v>
      </c>
      <c r="F278" s="5">
        <f t="shared" ca="1" si="38"/>
        <v>0</v>
      </c>
      <c r="G278" s="5">
        <f t="shared" ca="1" si="40"/>
        <v>120</v>
      </c>
      <c r="H278" s="5">
        <f t="shared" ca="1" si="41"/>
        <v>120</v>
      </c>
      <c r="I278" s="5">
        <f t="shared" ca="1" si="42"/>
        <v>0</v>
      </c>
      <c r="J278" s="5">
        <f t="shared" ca="1" si="43"/>
        <v>0</v>
      </c>
      <c r="K278" s="5">
        <f t="shared" ca="1" si="44"/>
        <v>0</v>
      </c>
      <c r="L278" s="5">
        <f t="shared" ca="1" si="45"/>
        <v>0</v>
      </c>
      <c r="M278" s="6">
        <f t="shared" ca="1" si="39"/>
        <v>3.2876712328767121</v>
      </c>
    </row>
    <row r="279" spans="2:13" ht="13.25" hidden="1" customHeight="1" x14ac:dyDescent="0.3">
      <c r="B279" s="21"/>
      <c r="E279" s="54">
        <v>275</v>
      </c>
      <c r="F279" s="5">
        <f t="shared" ca="1" si="38"/>
        <v>120</v>
      </c>
      <c r="G279" s="5">
        <f t="shared" ca="1" si="40"/>
        <v>120</v>
      </c>
      <c r="H279" s="5">
        <f t="shared" ca="1" si="41"/>
        <v>0</v>
      </c>
      <c r="I279" s="5">
        <f t="shared" ca="1" si="42"/>
        <v>1</v>
      </c>
      <c r="J279" s="5">
        <f t="shared" ca="1" si="43"/>
        <v>0</v>
      </c>
      <c r="K279" s="5">
        <f t="shared" ca="1" si="44"/>
        <v>0</v>
      </c>
      <c r="L279" s="5">
        <f t="shared" ca="1" si="45"/>
        <v>200</v>
      </c>
      <c r="M279" s="6">
        <f t="shared" ca="1" si="39"/>
        <v>0</v>
      </c>
    </row>
    <row r="280" spans="2:13" ht="13.25" hidden="1" customHeight="1" x14ac:dyDescent="0.3">
      <c r="B280" s="21"/>
      <c r="E280" s="54">
        <v>276</v>
      </c>
      <c r="F280" s="5">
        <f t="shared" ca="1" si="38"/>
        <v>110</v>
      </c>
      <c r="G280" s="5">
        <f t="shared" ca="1" si="40"/>
        <v>1000</v>
      </c>
      <c r="H280" s="5">
        <f t="shared" ca="1" si="41"/>
        <v>890</v>
      </c>
      <c r="I280" s="5">
        <f t="shared" ca="1" si="42"/>
        <v>0</v>
      </c>
      <c r="J280" s="5">
        <f t="shared" ca="1" si="43"/>
        <v>0</v>
      </c>
      <c r="K280" s="5">
        <f t="shared" ca="1" si="44"/>
        <v>0</v>
      </c>
      <c r="L280" s="5">
        <f t="shared" ca="1" si="45"/>
        <v>0</v>
      </c>
      <c r="M280" s="6">
        <f t="shared" ca="1" si="39"/>
        <v>24.383561643835616</v>
      </c>
    </row>
    <row r="281" spans="2:13" ht="13.25" hidden="1" customHeight="1" x14ac:dyDescent="0.3">
      <c r="B281" s="21"/>
      <c r="E281" s="54">
        <v>277</v>
      </c>
      <c r="F281" s="5">
        <f t="shared" ca="1" si="38"/>
        <v>0</v>
      </c>
      <c r="G281" s="5">
        <f t="shared" ca="1" si="40"/>
        <v>890</v>
      </c>
      <c r="H281" s="5">
        <f t="shared" ca="1" si="41"/>
        <v>890</v>
      </c>
      <c r="I281" s="5">
        <f t="shared" ca="1" si="42"/>
        <v>0</v>
      </c>
      <c r="J281" s="5">
        <f t="shared" ca="1" si="43"/>
        <v>0</v>
      </c>
      <c r="K281" s="5">
        <f t="shared" ca="1" si="44"/>
        <v>0</v>
      </c>
      <c r="L281" s="5">
        <f t="shared" ca="1" si="45"/>
        <v>0</v>
      </c>
      <c r="M281" s="6">
        <f t="shared" ca="1" si="39"/>
        <v>24.383561643835616</v>
      </c>
    </row>
    <row r="282" spans="2:13" ht="13.25" hidden="1" customHeight="1" x14ac:dyDescent="0.3">
      <c r="B282" s="21"/>
      <c r="E282" s="54">
        <v>278</v>
      </c>
      <c r="F282" s="5">
        <f t="shared" ca="1" si="38"/>
        <v>110</v>
      </c>
      <c r="G282" s="5">
        <f t="shared" ca="1" si="40"/>
        <v>890</v>
      </c>
      <c r="H282" s="5">
        <f t="shared" ca="1" si="41"/>
        <v>780</v>
      </c>
      <c r="I282" s="5">
        <f t="shared" ca="1" si="42"/>
        <v>0</v>
      </c>
      <c r="J282" s="5">
        <f t="shared" ca="1" si="43"/>
        <v>0</v>
      </c>
      <c r="K282" s="5">
        <f t="shared" ca="1" si="44"/>
        <v>0</v>
      </c>
      <c r="L282" s="5">
        <f t="shared" ca="1" si="45"/>
        <v>0</v>
      </c>
      <c r="M282" s="6">
        <f t="shared" ca="1" si="39"/>
        <v>21.36986301369863</v>
      </c>
    </row>
    <row r="283" spans="2:13" ht="13.25" hidden="1" customHeight="1" x14ac:dyDescent="0.3">
      <c r="B283" s="21"/>
      <c r="E283" s="54">
        <v>279</v>
      </c>
      <c r="F283" s="5">
        <f t="shared" ca="1" si="38"/>
        <v>120</v>
      </c>
      <c r="G283" s="5">
        <f t="shared" ca="1" si="40"/>
        <v>780</v>
      </c>
      <c r="H283" s="5">
        <f t="shared" ca="1" si="41"/>
        <v>660</v>
      </c>
      <c r="I283" s="5">
        <f t="shared" ca="1" si="42"/>
        <v>0</v>
      </c>
      <c r="J283" s="5">
        <f t="shared" ca="1" si="43"/>
        <v>0</v>
      </c>
      <c r="K283" s="5">
        <f t="shared" ca="1" si="44"/>
        <v>0</v>
      </c>
      <c r="L283" s="5">
        <f t="shared" ca="1" si="45"/>
        <v>0</v>
      </c>
      <c r="M283" s="6">
        <f t="shared" ca="1" si="39"/>
        <v>18.082191780821915</v>
      </c>
    </row>
    <row r="284" spans="2:13" ht="13.25" hidden="1" customHeight="1" x14ac:dyDescent="0.3">
      <c r="B284" s="21"/>
      <c r="E284" s="54">
        <v>280</v>
      </c>
      <c r="F284" s="5">
        <f t="shared" ca="1" si="38"/>
        <v>120</v>
      </c>
      <c r="G284" s="5">
        <f t="shared" ca="1" si="40"/>
        <v>660</v>
      </c>
      <c r="H284" s="5">
        <f t="shared" ca="1" si="41"/>
        <v>540</v>
      </c>
      <c r="I284" s="5">
        <f t="shared" ca="1" si="42"/>
        <v>0</v>
      </c>
      <c r="J284" s="5">
        <f t="shared" ca="1" si="43"/>
        <v>0</v>
      </c>
      <c r="K284" s="5">
        <f t="shared" ca="1" si="44"/>
        <v>0</v>
      </c>
      <c r="L284" s="5">
        <f t="shared" ca="1" si="45"/>
        <v>0</v>
      </c>
      <c r="M284" s="6">
        <f t="shared" ca="1" si="39"/>
        <v>14.794520547945204</v>
      </c>
    </row>
    <row r="285" spans="2:13" ht="13.25" hidden="1" customHeight="1" x14ac:dyDescent="0.3">
      <c r="B285" s="21"/>
      <c r="E285" s="54">
        <v>281</v>
      </c>
      <c r="F285" s="5">
        <f t="shared" ca="1" si="38"/>
        <v>110</v>
      </c>
      <c r="G285" s="5">
        <f t="shared" ca="1" si="40"/>
        <v>540</v>
      </c>
      <c r="H285" s="5">
        <f t="shared" ca="1" si="41"/>
        <v>430</v>
      </c>
      <c r="I285" s="5">
        <f t="shared" ca="1" si="42"/>
        <v>0</v>
      </c>
      <c r="J285" s="5">
        <f t="shared" ca="1" si="43"/>
        <v>0</v>
      </c>
      <c r="K285" s="5">
        <f t="shared" ca="1" si="44"/>
        <v>0</v>
      </c>
      <c r="L285" s="5">
        <f t="shared" ca="1" si="45"/>
        <v>0</v>
      </c>
      <c r="M285" s="6">
        <f t="shared" ca="1" si="39"/>
        <v>11.780821917808218</v>
      </c>
    </row>
    <row r="286" spans="2:13" ht="13.25" hidden="1" customHeight="1" x14ac:dyDescent="0.3">
      <c r="B286" s="21"/>
      <c r="E286" s="54">
        <v>282</v>
      </c>
      <c r="F286" s="5">
        <f t="shared" ca="1" si="38"/>
        <v>100</v>
      </c>
      <c r="G286" s="5">
        <f t="shared" ca="1" si="40"/>
        <v>430</v>
      </c>
      <c r="H286" s="5">
        <f t="shared" ca="1" si="41"/>
        <v>330</v>
      </c>
      <c r="I286" s="5">
        <f t="shared" ca="1" si="42"/>
        <v>0</v>
      </c>
      <c r="J286" s="5">
        <f t="shared" ca="1" si="43"/>
        <v>0</v>
      </c>
      <c r="K286" s="5">
        <f t="shared" ca="1" si="44"/>
        <v>0</v>
      </c>
      <c r="L286" s="5">
        <f t="shared" ca="1" si="45"/>
        <v>0</v>
      </c>
      <c r="M286" s="6">
        <f t="shared" ca="1" si="39"/>
        <v>9.0410958904109577</v>
      </c>
    </row>
    <row r="287" spans="2:13" ht="13.25" hidden="1" customHeight="1" x14ac:dyDescent="0.3">
      <c r="B287" s="21"/>
      <c r="E287" s="54">
        <v>283</v>
      </c>
      <c r="F287" s="5">
        <f t="shared" ca="1" si="38"/>
        <v>110</v>
      </c>
      <c r="G287" s="5">
        <f t="shared" ca="1" si="40"/>
        <v>330</v>
      </c>
      <c r="H287" s="5">
        <f t="shared" ca="1" si="41"/>
        <v>220</v>
      </c>
      <c r="I287" s="5">
        <f t="shared" ca="1" si="42"/>
        <v>0</v>
      </c>
      <c r="J287" s="5">
        <f t="shared" ca="1" si="43"/>
        <v>0</v>
      </c>
      <c r="K287" s="5">
        <f t="shared" ca="1" si="44"/>
        <v>0</v>
      </c>
      <c r="L287" s="5">
        <f t="shared" ca="1" si="45"/>
        <v>0</v>
      </c>
      <c r="M287" s="6">
        <f t="shared" ca="1" si="39"/>
        <v>6.0273972602739718</v>
      </c>
    </row>
    <row r="288" spans="2:13" ht="13.25" hidden="1" customHeight="1" x14ac:dyDescent="0.3">
      <c r="B288" s="21"/>
      <c r="E288" s="54">
        <v>284</v>
      </c>
      <c r="F288" s="5">
        <f t="shared" ca="1" si="38"/>
        <v>120</v>
      </c>
      <c r="G288" s="5">
        <f t="shared" ca="1" si="40"/>
        <v>220</v>
      </c>
      <c r="H288" s="5">
        <f t="shared" ca="1" si="41"/>
        <v>100</v>
      </c>
      <c r="I288" s="5">
        <f t="shared" ca="1" si="42"/>
        <v>0</v>
      </c>
      <c r="J288" s="5">
        <f t="shared" ca="1" si="43"/>
        <v>0</v>
      </c>
      <c r="K288" s="5">
        <f t="shared" ca="1" si="44"/>
        <v>0</v>
      </c>
      <c r="L288" s="5">
        <f t="shared" ca="1" si="45"/>
        <v>0</v>
      </c>
      <c r="M288" s="6">
        <f t="shared" ca="1" si="39"/>
        <v>2.7397260273972601</v>
      </c>
    </row>
    <row r="289" spans="2:13" ht="13.25" hidden="1" customHeight="1" x14ac:dyDescent="0.3">
      <c r="B289" s="21"/>
      <c r="E289" s="54">
        <v>285</v>
      </c>
      <c r="F289" s="5">
        <f t="shared" ca="1" si="38"/>
        <v>110</v>
      </c>
      <c r="G289" s="5">
        <f t="shared" ca="1" si="40"/>
        <v>100</v>
      </c>
      <c r="H289" s="5">
        <f t="shared" ca="1" si="41"/>
        <v>0</v>
      </c>
      <c r="I289" s="5">
        <f t="shared" ca="1" si="42"/>
        <v>1</v>
      </c>
      <c r="J289" s="5">
        <f t="shared" ca="1" si="43"/>
        <v>10</v>
      </c>
      <c r="K289" s="5">
        <f t="shared" ca="1" si="44"/>
        <v>500</v>
      </c>
      <c r="L289" s="5">
        <f t="shared" ca="1" si="45"/>
        <v>200</v>
      </c>
      <c r="M289" s="6">
        <f t="shared" ca="1" si="39"/>
        <v>0</v>
      </c>
    </row>
    <row r="290" spans="2:13" ht="13.25" hidden="1" customHeight="1" x14ac:dyDescent="0.3">
      <c r="B290" s="21"/>
      <c r="E290" s="54">
        <v>286</v>
      </c>
      <c r="F290" s="5">
        <f t="shared" ca="1" si="38"/>
        <v>100</v>
      </c>
      <c r="G290" s="5">
        <f t="shared" ca="1" si="40"/>
        <v>1000</v>
      </c>
      <c r="H290" s="5">
        <f t="shared" ca="1" si="41"/>
        <v>900</v>
      </c>
      <c r="I290" s="5">
        <f t="shared" ca="1" si="42"/>
        <v>0</v>
      </c>
      <c r="J290" s="5">
        <f t="shared" ca="1" si="43"/>
        <v>0</v>
      </c>
      <c r="K290" s="5">
        <f t="shared" ca="1" si="44"/>
        <v>0</v>
      </c>
      <c r="L290" s="5">
        <f t="shared" ca="1" si="45"/>
        <v>0</v>
      </c>
      <c r="M290" s="6">
        <f t="shared" ca="1" si="39"/>
        <v>24.657534246575342</v>
      </c>
    </row>
    <row r="291" spans="2:13" ht="13.25" hidden="1" customHeight="1" x14ac:dyDescent="0.3">
      <c r="B291" s="21"/>
      <c r="E291" s="54">
        <v>287</v>
      </c>
      <c r="F291" s="5">
        <f t="shared" ca="1" si="38"/>
        <v>120</v>
      </c>
      <c r="G291" s="5">
        <f t="shared" ca="1" si="40"/>
        <v>900</v>
      </c>
      <c r="H291" s="5">
        <f t="shared" ca="1" si="41"/>
        <v>780</v>
      </c>
      <c r="I291" s="5">
        <f t="shared" ca="1" si="42"/>
        <v>0</v>
      </c>
      <c r="J291" s="5">
        <f t="shared" ca="1" si="43"/>
        <v>0</v>
      </c>
      <c r="K291" s="5">
        <f t="shared" ca="1" si="44"/>
        <v>0</v>
      </c>
      <c r="L291" s="5">
        <f t="shared" ca="1" si="45"/>
        <v>0</v>
      </c>
      <c r="M291" s="6">
        <f t="shared" ca="1" si="39"/>
        <v>21.36986301369863</v>
      </c>
    </row>
    <row r="292" spans="2:13" ht="13.25" hidden="1" customHeight="1" x14ac:dyDescent="0.3">
      <c r="B292" s="21"/>
      <c r="E292" s="54">
        <v>288</v>
      </c>
      <c r="F292" s="5">
        <f t="shared" ca="1" si="38"/>
        <v>90</v>
      </c>
      <c r="G292" s="5">
        <f t="shared" ca="1" si="40"/>
        <v>780</v>
      </c>
      <c r="H292" s="5">
        <f t="shared" ca="1" si="41"/>
        <v>690</v>
      </c>
      <c r="I292" s="5">
        <f t="shared" ca="1" si="42"/>
        <v>0</v>
      </c>
      <c r="J292" s="5">
        <f t="shared" ca="1" si="43"/>
        <v>0</v>
      </c>
      <c r="K292" s="5">
        <f t="shared" ca="1" si="44"/>
        <v>0</v>
      </c>
      <c r="L292" s="5">
        <f t="shared" ca="1" si="45"/>
        <v>0</v>
      </c>
      <c r="M292" s="6">
        <f t="shared" ca="1" si="39"/>
        <v>18.904109589041095</v>
      </c>
    </row>
    <row r="293" spans="2:13" ht="13.25" hidden="1" customHeight="1" x14ac:dyDescent="0.3">
      <c r="B293" s="21"/>
      <c r="E293" s="54">
        <v>289</v>
      </c>
      <c r="F293" s="5">
        <f t="shared" ca="1" si="38"/>
        <v>120</v>
      </c>
      <c r="G293" s="5">
        <f t="shared" ca="1" si="40"/>
        <v>690</v>
      </c>
      <c r="H293" s="5">
        <f t="shared" ca="1" si="41"/>
        <v>570</v>
      </c>
      <c r="I293" s="5">
        <f t="shared" ca="1" si="42"/>
        <v>0</v>
      </c>
      <c r="J293" s="5">
        <f t="shared" ca="1" si="43"/>
        <v>0</v>
      </c>
      <c r="K293" s="5">
        <f t="shared" ca="1" si="44"/>
        <v>0</v>
      </c>
      <c r="L293" s="5">
        <f t="shared" ca="1" si="45"/>
        <v>0</v>
      </c>
      <c r="M293" s="6">
        <f t="shared" ca="1" si="39"/>
        <v>15.616438356164382</v>
      </c>
    </row>
    <row r="294" spans="2:13" ht="13.25" hidden="1" customHeight="1" x14ac:dyDescent="0.3">
      <c r="B294" s="21"/>
      <c r="E294" s="54">
        <v>290</v>
      </c>
      <c r="F294" s="5">
        <f t="shared" ca="1" si="38"/>
        <v>120</v>
      </c>
      <c r="G294" s="5">
        <f t="shared" ca="1" si="40"/>
        <v>570</v>
      </c>
      <c r="H294" s="5">
        <f t="shared" ca="1" si="41"/>
        <v>450</v>
      </c>
      <c r="I294" s="5">
        <f t="shared" ca="1" si="42"/>
        <v>0</v>
      </c>
      <c r="J294" s="5">
        <f t="shared" ca="1" si="43"/>
        <v>0</v>
      </c>
      <c r="K294" s="5">
        <f t="shared" ca="1" si="44"/>
        <v>0</v>
      </c>
      <c r="L294" s="5">
        <f t="shared" ca="1" si="45"/>
        <v>0</v>
      </c>
      <c r="M294" s="6">
        <f t="shared" ca="1" si="39"/>
        <v>12.328767123287671</v>
      </c>
    </row>
    <row r="295" spans="2:13" ht="13.25" hidden="1" customHeight="1" x14ac:dyDescent="0.3">
      <c r="B295" s="21"/>
      <c r="E295" s="54">
        <v>291</v>
      </c>
      <c r="F295" s="5">
        <f t="shared" ca="1" si="38"/>
        <v>100</v>
      </c>
      <c r="G295" s="5">
        <f t="shared" ca="1" si="40"/>
        <v>450</v>
      </c>
      <c r="H295" s="5">
        <f t="shared" ca="1" si="41"/>
        <v>350</v>
      </c>
      <c r="I295" s="5">
        <f t="shared" ca="1" si="42"/>
        <v>0</v>
      </c>
      <c r="J295" s="5">
        <f t="shared" ca="1" si="43"/>
        <v>0</v>
      </c>
      <c r="K295" s="5">
        <f t="shared" ca="1" si="44"/>
        <v>0</v>
      </c>
      <c r="L295" s="5">
        <f t="shared" ca="1" si="45"/>
        <v>0</v>
      </c>
      <c r="M295" s="6">
        <f t="shared" ca="1" si="39"/>
        <v>9.5890410958904102</v>
      </c>
    </row>
    <row r="296" spans="2:13" ht="13.25" hidden="1" customHeight="1" x14ac:dyDescent="0.3">
      <c r="B296" s="21"/>
      <c r="E296" s="54">
        <v>292</v>
      </c>
      <c r="F296" s="5">
        <f t="shared" ca="1" si="38"/>
        <v>100</v>
      </c>
      <c r="G296" s="5">
        <f t="shared" ca="1" si="40"/>
        <v>350</v>
      </c>
      <c r="H296" s="5">
        <f t="shared" ca="1" si="41"/>
        <v>250</v>
      </c>
      <c r="I296" s="5">
        <f t="shared" ca="1" si="42"/>
        <v>0</v>
      </c>
      <c r="J296" s="5">
        <f t="shared" ca="1" si="43"/>
        <v>0</v>
      </c>
      <c r="K296" s="5">
        <f t="shared" ca="1" si="44"/>
        <v>0</v>
      </c>
      <c r="L296" s="5">
        <f t="shared" ca="1" si="45"/>
        <v>0</v>
      </c>
      <c r="M296" s="6">
        <f t="shared" ca="1" si="39"/>
        <v>6.8493150684931505</v>
      </c>
    </row>
    <row r="297" spans="2:13" ht="13.25" hidden="1" customHeight="1" x14ac:dyDescent="0.3">
      <c r="B297" s="21"/>
      <c r="E297" s="54">
        <v>293</v>
      </c>
      <c r="F297" s="5">
        <f t="shared" ca="1" si="38"/>
        <v>0</v>
      </c>
      <c r="G297" s="5">
        <f t="shared" ca="1" si="40"/>
        <v>250</v>
      </c>
      <c r="H297" s="5">
        <f t="shared" ca="1" si="41"/>
        <v>250</v>
      </c>
      <c r="I297" s="5">
        <f t="shared" ca="1" si="42"/>
        <v>0</v>
      </c>
      <c r="J297" s="5">
        <f t="shared" ca="1" si="43"/>
        <v>0</v>
      </c>
      <c r="K297" s="5">
        <f t="shared" ca="1" si="44"/>
        <v>0</v>
      </c>
      <c r="L297" s="5">
        <f t="shared" ca="1" si="45"/>
        <v>0</v>
      </c>
      <c r="M297" s="6">
        <f t="shared" ca="1" si="39"/>
        <v>6.8493150684931505</v>
      </c>
    </row>
    <row r="298" spans="2:13" ht="13.25" hidden="1" customHeight="1" x14ac:dyDescent="0.3">
      <c r="B298" s="21"/>
      <c r="E298" s="54">
        <v>294</v>
      </c>
      <c r="F298" s="5">
        <f t="shared" ca="1" si="38"/>
        <v>100</v>
      </c>
      <c r="G298" s="5">
        <f t="shared" ca="1" si="40"/>
        <v>250</v>
      </c>
      <c r="H298" s="5">
        <f t="shared" ca="1" si="41"/>
        <v>150</v>
      </c>
      <c r="I298" s="5">
        <f t="shared" ca="1" si="42"/>
        <v>0</v>
      </c>
      <c r="J298" s="5">
        <f t="shared" ca="1" si="43"/>
        <v>0</v>
      </c>
      <c r="K298" s="5">
        <f t="shared" ca="1" si="44"/>
        <v>0</v>
      </c>
      <c r="L298" s="5">
        <f t="shared" ca="1" si="45"/>
        <v>0</v>
      </c>
      <c r="M298" s="6">
        <f t="shared" ca="1" si="39"/>
        <v>4.10958904109589</v>
      </c>
    </row>
    <row r="299" spans="2:13" ht="13.25" hidden="1" customHeight="1" x14ac:dyDescent="0.3">
      <c r="B299" s="21"/>
      <c r="E299" s="54">
        <v>295</v>
      </c>
      <c r="F299" s="5">
        <f t="shared" ca="1" si="38"/>
        <v>100</v>
      </c>
      <c r="G299" s="5">
        <f t="shared" ca="1" si="40"/>
        <v>150</v>
      </c>
      <c r="H299" s="5">
        <f t="shared" ca="1" si="41"/>
        <v>50</v>
      </c>
      <c r="I299" s="5">
        <f t="shared" ca="1" si="42"/>
        <v>1</v>
      </c>
      <c r="J299" s="5">
        <f t="shared" ca="1" si="43"/>
        <v>0</v>
      </c>
      <c r="K299" s="5">
        <f t="shared" ca="1" si="44"/>
        <v>0</v>
      </c>
      <c r="L299" s="5">
        <f t="shared" ca="1" si="45"/>
        <v>200</v>
      </c>
      <c r="M299" s="6">
        <f t="shared" ca="1" si="39"/>
        <v>1.3698630136986301</v>
      </c>
    </row>
    <row r="300" spans="2:13" ht="13.25" hidden="1" customHeight="1" x14ac:dyDescent="0.3">
      <c r="B300" s="21"/>
      <c r="E300" s="54">
        <v>296</v>
      </c>
      <c r="F300" s="5">
        <f t="shared" ca="1" si="38"/>
        <v>120</v>
      </c>
      <c r="G300" s="5">
        <f t="shared" ca="1" si="40"/>
        <v>1050</v>
      </c>
      <c r="H300" s="5">
        <f t="shared" ca="1" si="41"/>
        <v>930</v>
      </c>
      <c r="I300" s="5">
        <f t="shared" ca="1" si="42"/>
        <v>0</v>
      </c>
      <c r="J300" s="5">
        <f t="shared" ca="1" si="43"/>
        <v>0</v>
      </c>
      <c r="K300" s="5">
        <f t="shared" ca="1" si="44"/>
        <v>0</v>
      </c>
      <c r="L300" s="5">
        <f t="shared" ca="1" si="45"/>
        <v>0</v>
      </c>
      <c r="M300" s="6">
        <f t="shared" ca="1" si="39"/>
        <v>25.479452054794518</v>
      </c>
    </row>
    <row r="301" spans="2:13" ht="13.25" hidden="1" customHeight="1" x14ac:dyDescent="0.3">
      <c r="B301" s="21"/>
      <c r="E301" s="54">
        <v>297</v>
      </c>
      <c r="F301" s="5">
        <f t="shared" ca="1" si="38"/>
        <v>120</v>
      </c>
      <c r="G301" s="5">
        <f t="shared" ca="1" si="40"/>
        <v>930</v>
      </c>
      <c r="H301" s="5">
        <f t="shared" ca="1" si="41"/>
        <v>810</v>
      </c>
      <c r="I301" s="5">
        <f t="shared" ca="1" si="42"/>
        <v>0</v>
      </c>
      <c r="J301" s="5">
        <f t="shared" ca="1" si="43"/>
        <v>0</v>
      </c>
      <c r="K301" s="5">
        <f t="shared" ca="1" si="44"/>
        <v>0</v>
      </c>
      <c r="L301" s="5">
        <f t="shared" ca="1" si="45"/>
        <v>0</v>
      </c>
      <c r="M301" s="6">
        <f t="shared" ca="1" si="39"/>
        <v>22.191780821917806</v>
      </c>
    </row>
    <row r="302" spans="2:13" ht="13.25" hidden="1" customHeight="1" x14ac:dyDescent="0.3">
      <c r="B302" s="21"/>
      <c r="E302" s="54">
        <v>298</v>
      </c>
      <c r="F302" s="5">
        <f t="shared" ca="1" si="38"/>
        <v>100</v>
      </c>
      <c r="G302" s="5">
        <f t="shared" ca="1" si="40"/>
        <v>810</v>
      </c>
      <c r="H302" s="5">
        <f t="shared" ca="1" si="41"/>
        <v>710</v>
      </c>
      <c r="I302" s="5">
        <f t="shared" ca="1" si="42"/>
        <v>0</v>
      </c>
      <c r="J302" s="5">
        <f t="shared" ca="1" si="43"/>
        <v>0</v>
      </c>
      <c r="K302" s="5">
        <f t="shared" ca="1" si="44"/>
        <v>0</v>
      </c>
      <c r="L302" s="5">
        <f t="shared" ca="1" si="45"/>
        <v>0</v>
      </c>
      <c r="M302" s="6">
        <f t="shared" ca="1" si="39"/>
        <v>19.452054794520546</v>
      </c>
    </row>
    <row r="303" spans="2:13" ht="13.25" hidden="1" customHeight="1" x14ac:dyDescent="0.3">
      <c r="B303" s="21"/>
      <c r="E303" s="54">
        <v>299</v>
      </c>
      <c r="F303" s="5">
        <f t="shared" ca="1" si="38"/>
        <v>0</v>
      </c>
      <c r="G303" s="5">
        <f t="shared" ca="1" si="40"/>
        <v>710</v>
      </c>
      <c r="H303" s="5">
        <f t="shared" ca="1" si="41"/>
        <v>710</v>
      </c>
      <c r="I303" s="5">
        <f t="shared" ca="1" si="42"/>
        <v>0</v>
      </c>
      <c r="J303" s="5">
        <f t="shared" ca="1" si="43"/>
        <v>0</v>
      </c>
      <c r="K303" s="5">
        <f t="shared" ca="1" si="44"/>
        <v>0</v>
      </c>
      <c r="L303" s="5">
        <f t="shared" ca="1" si="45"/>
        <v>0</v>
      </c>
      <c r="M303" s="6">
        <f t="shared" ca="1" si="39"/>
        <v>19.452054794520546</v>
      </c>
    </row>
    <row r="304" spans="2:13" ht="13.25" hidden="1" customHeight="1" x14ac:dyDescent="0.3">
      <c r="B304" s="21"/>
      <c r="E304" s="54">
        <v>300</v>
      </c>
      <c r="F304" s="5">
        <f t="shared" ca="1" si="38"/>
        <v>120</v>
      </c>
      <c r="G304" s="5">
        <f t="shared" ca="1" si="40"/>
        <v>710</v>
      </c>
      <c r="H304" s="5">
        <f t="shared" ca="1" si="41"/>
        <v>590</v>
      </c>
      <c r="I304" s="5">
        <f t="shared" ca="1" si="42"/>
        <v>0</v>
      </c>
      <c r="J304" s="5">
        <f t="shared" ca="1" si="43"/>
        <v>0</v>
      </c>
      <c r="K304" s="5">
        <f t="shared" ca="1" si="44"/>
        <v>0</v>
      </c>
      <c r="L304" s="5">
        <f t="shared" ca="1" si="45"/>
        <v>0</v>
      </c>
      <c r="M304" s="6">
        <f t="shared" ca="1" si="39"/>
        <v>16.164383561643834</v>
      </c>
    </row>
    <row r="305" spans="2:13" ht="13.25" hidden="1" customHeight="1" x14ac:dyDescent="0.3">
      <c r="B305" s="21"/>
      <c r="E305" s="54">
        <v>301</v>
      </c>
      <c r="F305" s="5">
        <f t="shared" ca="1" si="38"/>
        <v>100</v>
      </c>
      <c r="G305" s="5">
        <f t="shared" ca="1" si="40"/>
        <v>590</v>
      </c>
      <c r="H305" s="5">
        <f t="shared" ca="1" si="41"/>
        <v>490</v>
      </c>
      <c r="I305" s="5">
        <f t="shared" ca="1" si="42"/>
        <v>0</v>
      </c>
      <c r="J305" s="5">
        <f t="shared" ca="1" si="43"/>
        <v>0</v>
      </c>
      <c r="K305" s="5">
        <f t="shared" ca="1" si="44"/>
        <v>0</v>
      </c>
      <c r="L305" s="5">
        <f t="shared" ca="1" si="45"/>
        <v>0</v>
      </c>
      <c r="M305" s="6">
        <f t="shared" ca="1" si="39"/>
        <v>13.424657534246574</v>
      </c>
    </row>
    <row r="306" spans="2:13" ht="13.25" hidden="1" customHeight="1" x14ac:dyDescent="0.3">
      <c r="B306" s="21"/>
      <c r="E306" s="54">
        <v>302</v>
      </c>
      <c r="F306" s="5">
        <f t="shared" ca="1" si="38"/>
        <v>120</v>
      </c>
      <c r="G306" s="5">
        <f t="shared" ca="1" si="40"/>
        <v>490</v>
      </c>
      <c r="H306" s="5">
        <f t="shared" ca="1" si="41"/>
        <v>370</v>
      </c>
      <c r="I306" s="5">
        <f t="shared" ca="1" si="42"/>
        <v>0</v>
      </c>
      <c r="J306" s="5">
        <f t="shared" ca="1" si="43"/>
        <v>0</v>
      </c>
      <c r="K306" s="5">
        <f t="shared" ca="1" si="44"/>
        <v>0</v>
      </c>
      <c r="L306" s="5">
        <f t="shared" ca="1" si="45"/>
        <v>0</v>
      </c>
      <c r="M306" s="6">
        <f t="shared" ca="1" si="39"/>
        <v>10.136986301369863</v>
      </c>
    </row>
    <row r="307" spans="2:13" ht="13.25" hidden="1" customHeight="1" x14ac:dyDescent="0.3">
      <c r="B307" s="21"/>
      <c r="E307" s="54">
        <v>303</v>
      </c>
      <c r="F307" s="5">
        <f t="shared" ca="1" si="38"/>
        <v>120</v>
      </c>
      <c r="G307" s="5">
        <f t="shared" ca="1" si="40"/>
        <v>370</v>
      </c>
      <c r="H307" s="5">
        <f t="shared" ca="1" si="41"/>
        <v>250</v>
      </c>
      <c r="I307" s="5">
        <f t="shared" ca="1" si="42"/>
        <v>0</v>
      </c>
      <c r="J307" s="5">
        <f t="shared" ca="1" si="43"/>
        <v>0</v>
      </c>
      <c r="K307" s="5">
        <f t="shared" ca="1" si="44"/>
        <v>0</v>
      </c>
      <c r="L307" s="5">
        <f t="shared" ca="1" si="45"/>
        <v>0</v>
      </c>
      <c r="M307" s="6">
        <f t="shared" ca="1" si="39"/>
        <v>6.8493150684931505</v>
      </c>
    </row>
    <row r="308" spans="2:13" ht="13.25" hidden="1" customHeight="1" x14ac:dyDescent="0.3">
      <c r="B308" s="21"/>
      <c r="E308" s="54">
        <v>304</v>
      </c>
      <c r="F308" s="5">
        <f t="shared" ca="1" si="38"/>
        <v>100</v>
      </c>
      <c r="G308" s="5">
        <f t="shared" ca="1" si="40"/>
        <v>250</v>
      </c>
      <c r="H308" s="5">
        <f t="shared" ca="1" si="41"/>
        <v>150</v>
      </c>
      <c r="I308" s="5">
        <f t="shared" ca="1" si="42"/>
        <v>0</v>
      </c>
      <c r="J308" s="5">
        <f t="shared" ca="1" si="43"/>
        <v>0</v>
      </c>
      <c r="K308" s="5">
        <f t="shared" ca="1" si="44"/>
        <v>0</v>
      </c>
      <c r="L308" s="5">
        <f t="shared" ca="1" si="45"/>
        <v>0</v>
      </c>
      <c r="M308" s="6">
        <f t="shared" ca="1" si="39"/>
        <v>4.10958904109589</v>
      </c>
    </row>
    <row r="309" spans="2:13" ht="13.25" hidden="1" customHeight="1" x14ac:dyDescent="0.3">
      <c r="B309" s="21"/>
      <c r="E309" s="54">
        <v>305</v>
      </c>
      <c r="F309" s="5">
        <f t="shared" ca="1" si="38"/>
        <v>120</v>
      </c>
      <c r="G309" s="5">
        <f t="shared" ca="1" si="40"/>
        <v>150</v>
      </c>
      <c r="H309" s="5">
        <f t="shared" ca="1" si="41"/>
        <v>30</v>
      </c>
      <c r="I309" s="5">
        <f t="shared" ca="1" si="42"/>
        <v>1</v>
      </c>
      <c r="J309" s="5">
        <f t="shared" ca="1" si="43"/>
        <v>0</v>
      </c>
      <c r="K309" s="5">
        <f t="shared" ca="1" si="44"/>
        <v>0</v>
      </c>
      <c r="L309" s="5">
        <f t="shared" ca="1" si="45"/>
        <v>200</v>
      </c>
      <c r="M309" s="6">
        <f t="shared" ca="1" si="39"/>
        <v>0.82191780821917804</v>
      </c>
    </row>
    <row r="310" spans="2:13" ht="13.25" hidden="1" customHeight="1" x14ac:dyDescent="0.3">
      <c r="B310" s="21"/>
      <c r="E310" s="54">
        <v>306</v>
      </c>
      <c r="F310" s="5">
        <f t="shared" ca="1" si="38"/>
        <v>120</v>
      </c>
      <c r="G310" s="5">
        <f t="shared" ca="1" si="40"/>
        <v>1030</v>
      </c>
      <c r="H310" s="5">
        <f t="shared" ca="1" si="41"/>
        <v>910</v>
      </c>
      <c r="I310" s="5">
        <f t="shared" ca="1" si="42"/>
        <v>0</v>
      </c>
      <c r="J310" s="5">
        <f t="shared" ca="1" si="43"/>
        <v>0</v>
      </c>
      <c r="K310" s="5">
        <f t="shared" ca="1" si="44"/>
        <v>0</v>
      </c>
      <c r="L310" s="5">
        <f t="shared" ca="1" si="45"/>
        <v>0</v>
      </c>
      <c r="M310" s="6">
        <f t="shared" ca="1" si="39"/>
        <v>24.931506849315067</v>
      </c>
    </row>
    <row r="311" spans="2:13" ht="13.25" hidden="1" customHeight="1" x14ac:dyDescent="0.3">
      <c r="B311" s="21"/>
      <c r="E311" s="54">
        <v>307</v>
      </c>
      <c r="F311" s="5">
        <f t="shared" ca="1" si="38"/>
        <v>90</v>
      </c>
      <c r="G311" s="5">
        <f t="shared" ca="1" si="40"/>
        <v>910</v>
      </c>
      <c r="H311" s="5">
        <f t="shared" ca="1" si="41"/>
        <v>820</v>
      </c>
      <c r="I311" s="5">
        <f t="shared" ca="1" si="42"/>
        <v>0</v>
      </c>
      <c r="J311" s="5">
        <f t="shared" ca="1" si="43"/>
        <v>0</v>
      </c>
      <c r="K311" s="5">
        <f t="shared" ca="1" si="44"/>
        <v>0</v>
      </c>
      <c r="L311" s="5">
        <f t="shared" ca="1" si="45"/>
        <v>0</v>
      </c>
      <c r="M311" s="6">
        <f t="shared" ca="1" si="39"/>
        <v>22.465753424657532</v>
      </c>
    </row>
    <row r="312" spans="2:13" ht="13.25" hidden="1" customHeight="1" x14ac:dyDescent="0.3">
      <c r="B312" s="21"/>
      <c r="E312" s="54">
        <v>308</v>
      </c>
      <c r="F312" s="5">
        <f t="shared" ca="1" si="38"/>
        <v>120</v>
      </c>
      <c r="G312" s="5">
        <f t="shared" ca="1" si="40"/>
        <v>820</v>
      </c>
      <c r="H312" s="5">
        <f t="shared" ca="1" si="41"/>
        <v>700</v>
      </c>
      <c r="I312" s="5">
        <f t="shared" ca="1" si="42"/>
        <v>0</v>
      </c>
      <c r="J312" s="5">
        <f t="shared" ca="1" si="43"/>
        <v>0</v>
      </c>
      <c r="K312" s="5">
        <f t="shared" ca="1" si="44"/>
        <v>0</v>
      </c>
      <c r="L312" s="5">
        <f t="shared" ca="1" si="45"/>
        <v>0</v>
      </c>
      <c r="M312" s="6">
        <f t="shared" ca="1" si="39"/>
        <v>19.17808219178082</v>
      </c>
    </row>
    <row r="313" spans="2:13" ht="13.25" hidden="1" customHeight="1" x14ac:dyDescent="0.3">
      <c r="B313" s="21"/>
      <c r="E313" s="54">
        <v>309</v>
      </c>
      <c r="F313" s="5">
        <f t="shared" ca="1" si="38"/>
        <v>100</v>
      </c>
      <c r="G313" s="5">
        <f t="shared" ca="1" si="40"/>
        <v>700</v>
      </c>
      <c r="H313" s="5">
        <f t="shared" ca="1" si="41"/>
        <v>600</v>
      </c>
      <c r="I313" s="5">
        <f t="shared" ca="1" si="42"/>
        <v>0</v>
      </c>
      <c r="J313" s="5">
        <f t="shared" ca="1" si="43"/>
        <v>0</v>
      </c>
      <c r="K313" s="5">
        <f t="shared" ca="1" si="44"/>
        <v>0</v>
      </c>
      <c r="L313" s="5">
        <f t="shared" ca="1" si="45"/>
        <v>0</v>
      </c>
      <c r="M313" s="6">
        <f t="shared" ca="1" si="39"/>
        <v>16.43835616438356</v>
      </c>
    </row>
    <row r="314" spans="2:13" ht="13.25" hidden="1" customHeight="1" x14ac:dyDescent="0.3">
      <c r="B314" s="21"/>
      <c r="E314" s="54">
        <v>310</v>
      </c>
      <c r="F314" s="5">
        <f t="shared" ca="1" si="38"/>
        <v>110</v>
      </c>
      <c r="G314" s="5">
        <f t="shared" ca="1" si="40"/>
        <v>600</v>
      </c>
      <c r="H314" s="5">
        <f t="shared" ca="1" si="41"/>
        <v>490</v>
      </c>
      <c r="I314" s="5">
        <f t="shared" ca="1" si="42"/>
        <v>0</v>
      </c>
      <c r="J314" s="5">
        <f t="shared" ca="1" si="43"/>
        <v>0</v>
      </c>
      <c r="K314" s="5">
        <f t="shared" ca="1" si="44"/>
        <v>0</v>
      </c>
      <c r="L314" s="5">
        <f t="shared" ca="1" si="45"/>
        <v>0</v>
      </c>
      <c r="M314" s="6">
        <f t="shared" ca="1" si="39"/>
        <v>13.424657534246574</v>
      </c>
    </row>
    <row r="315" spans="2:13" ht="13.25" hidden="1" customHeight="1" x14ac:dyDescent="0.3">
      <c r="B315" s="21"/>
      <c r="E315" s="54">
        <v>311</v>
      </c>
      <c r="F315" s="5">
        <f t="shared" ca="1" si="38"/>
        <v>100</v>
      </c>
      <c r="G315" s="5">
        <f t="shared" ca="1" si="40"/>
        <v>490</v>
      </c>
      <c r="H315" s="5">
        <f t="shared" ca="1" si="41"/>
        <v>390</v>
      </c>
      <c r="I315" s="5">
        <f t="shared" ca="1" si="42"/>
        <v>0</v>
      </c>
      <c r="J315" s="5">
        <f t="shared" ca="1" si="43"/>
        <v>0</v>
      </c>
      <c r="K315" s="5">
        <f t="shared" ca="1" si="44"/>
        <v>0</v>
      </c>
      <c r="L315" s="5">
        <f t="shared" ca="1" si="45"/>
        <v>0</v>
      </c>
      <c r="M315" s="6">
        <f t="shared" ca="1" si="39"/>
        <v>10.684931506849315</v>
      </c>
    </row>
    <row r="316" spans="2:13" ht="13.25" hidden="1" customHeight="1" x14ac:dyDescent="0.3">
      <c r="B316" s="21"/>
      <c r="E316" s="54">
        <v>312</v>
      </c>
      <c r="F316" s="5">
        <f t="shared" ca="1" si="38"/>
        <v>0</v>
      </c>
      <c r="G316" s="5">
        <f t="shared" ca="1" si="40"/>
        <v>390</v>
      </c>
      <c r="H316" s="5">
        <f t="shared" ca="1" si="41"/>
        <v>390</v>
      </c>
      <c r="I316" s="5">
        <f t="shared" ca="1" si="42"/>
        <v>0</v>
      </c>
      <c r="J316" s="5">
        <f t="shared" ca="1" si="43"/>
        <v>0</v>
      </c>
      <c r="K316" s="5">
        <f t="shared" ca="1" si="44"/>
        <v>0</v>
      </c>
      <c r="L316" s="5">
        <f t="shared" ca="1" si="45"/>
        <v>0</v>
      </c>
      <c r="M316" s="6">
        <f t="shared" ca="1" si="39"/>
        <v>10.684931506849315</v>
      </c>
    </row>
    <row r="317" spans="2:13" ht="13.25" hidden="1" customHeight="1" x14ac:dyDescent="0.3">
      <c r="B317" s="21"/>
      <c r="E317" s="54">
        <v>313</v>
      </c>
      <c r="F317" s="5">
        <f t="shared" ca="1" si="38"/>
        <v>90</v>
      </c>
      <c r="G317" s="5">
        <f t="shared" ca="1" si="40"/>
        <v>390</v>
      </c>
      <c r="H317" s="5">
        <f t="shared" ca="1" si="41"/>
        <v>300</v>
      </c>
      <c r="I317" s="5">
        <f t="shared" ca="1" si="42"/>
        <v>0</v>
      </c>
      <c r="J317" s="5">
        <f t="shared" ca="1" si="43"/>
        <v>0</v>
      </c>
      <c r="K317" s="5">
        <f t="shared" ca="1" si="44"/>
        <v>0</v>
      </c>
      <c r="L317" s="5">
        <f t="shared" ca="1" si="45"/>
        <v>0</v>
      </c>
      <c r="M317" s="6">
        <f t="shared" ca="1" si="39"/>
        <v>8.2191780821917799</v>
      </c>
    </row>
    <row r="318" spans="2:13" ht="13.25" hidden="1" customHeight="1" x14ac:dyDescent="0.3">
      <c r="B318" s="21"/>
      <c r="E318" s="54">
        <v>314</v>
      </c>
      <c r="F318" s="5">
        <f t="shared" ca="1" si="38"/>
        <v>110</v>
      </c>
      <c r="G318" s="5">
        <f t="shared" ca="1" si="40"/>
        <v>300</v>
      </c>
      <c r="H318" s="5">
        <f t="shared" ca="1" si="41"/>
        <v>190</v>
      </c>
      <c r="I318" s="5">
        <f t="shared" ca="1" si="42"/>
        <v>0</v>
      </c>
      <c r="J318" s="5">
        <f t="shared" ca="1" si="43"/>
        <v>0</v>
      </c>
      <c r="K318" s="5">
        <f t="shared" ca="1" si="44"/>
        <v>0</v>
      </c>
      <c r="L318" s="5">
        <f t="shared" ca="1" si="45"/>
        <v>0</v>
      </c>
      <c r="M318" s="6">
        <f t="shared" ca="1" si="39"/>
        <v>5.205479452054794</v>
      </c>
    </row>
    <row r="319" spans="2:13" ht="13.25" hidden="1" customHeight="1" x14ac:dyDescent="0.3">
      <c r="B319" s="21"/>
      <c r="E319" s="54">
        <v>315</v>
      </c>
      <c r="F319" s="5">
        <f t="shared" ca="1" si="38"/>
        <v>120</v>
      </c>
      <c r="G319" s="5">
        <f t="shared" ca="1" si="40"/>
        <v>190</v>
      </c>
      <c r="H319" s="5">
        <f t="shared" ca="1" si="41"/>
        <v>70</v>
      </c>
      <c r="I319" s="5">
        <f t="shared" ca="1" si="42"/>
        <v>1</v>
      </c>
      <c r="J319" s="5">
        <f t="shared" ca="1" si="43"/>
        <v>0</v>
      </c>
      <c r="K319" s="5">
        <f t="shared" ca="1" si="44"/>
        <v>0</v>
      </c>
      <c r="L319" s="5">
        <f t="shared" ca="1" si="45"/>
        <v>200</v>
      </c>
      <c r="M319" s="6">
        <f t="shared" ca="1" si="39"/>
        <v>1.9178082191780821</v>
      </c>
    </row>
    <row r="320" spans="2:13" ht="13.25" hidden="1" customHeight="1" x14ac:dyDescent="0.3">
      <c r="B320" s="21"/>
      <c r="E320" s="54">
        <v>316</v>
      </c>
      <c r="F320" s="5">
        <f t="shared" ca="1" si="38"/>
        <v>0</v>
      </c>
      <c r="G320" s="5">
        <f t="shared" ca="1" si="40"/>
        <v>1070</v>
      </c>
      <c r="H320" s="5">
        <f t="shared" ca="1" si="41"/>
        <v>1070</v>
      </c>
      <c r="I320" s="5">
        <f t="shared" ca="1" si="42"/>
        <v>0</v>
      </c>
      <c r="J320" s="5">
        <f t="shared" ca="1" si="43"/>
        <v>0</v>
      </c>
      <c r="K320" s="5">
        <f t="shared" ca="1" si="44"/>
        <v>0</v>
      </c>
      <c r="L320" s="5">
        <f t="shared" ca="1" si="45"/>
        <v>0</v>
      </c>
      <c r="M320" s="6">
        <f t="shared" ca="1" si="39"/>
        <v>29.315068493150683</v>
      </c>
    </row>
    <row r="321" spans="2:13" ht="13.25" hidden="1" customHeight="1" x14ac:dyDescent="0.3">
      <c r="B321" s="21"/>
      <c r="E321" s="54">
        <v>317</v>
      </c>
      <c r="F321" s="5">
        <f t="shared" ca="1" si="38"/>
        <v>110</v>
      </c>
      <c r="G321" s="5">
        <f t="shared" ca="1" si="40"/>
        <v>1070</v>
      </c>
      <c r="H321" s="5">
        <f t="shared" ca="1" si="41"/>
        <v>960</v>
      </c>
      <c r="I321" s="5">
        <f t="shared" ca="1" si="42"/>
        <v>0</v>
      </c>
      <c r="J321" s="5">
        <f t="shared" ca="1" si="43"/>
        <v>0</v>
      </c>
      <c r="K321" s="5">
        <f t="shared" ca="1" si="44"/>
        <v>0</v>
      </c>
      <c r="L321" s="5">
        <f t="shared" ca="1" si="45"/>
        <v>0</v>
      </c>
      <c r="M321" s="6">
        <f t="shared" ca="1" si="39"/>
        <v>26.301369863013697</v>
      </c>
    </row>
    <row r="322" spans="2:13" ht="13.25" hidden="1" customHeight="1" x14ac:dyDescent="0.3">
      <c r="B322" s="21"/>
      <c r="E322" s="54">
        <v>318</v>
      </c>
      <c r="F322" s="5">
        <f t="shared" ca="1" si="38"/>
        <v>120</v>
      </c>
      <c r="G322" s="5">
        <f t="shared" ca="1" si="40"/>
        <v>960</v>
      </c>
      <c r="H322" s="5">
        <f t="shared" ca="1" si="41"/>
        <v>840</v>
      </c>
      <c r="I322" s="5">
        <f t="shared" ca="1" si="42"/>
        <v>0</v>
      </c>
      <c r="J322" s="5">
        <f t="shared" ca="1" si="43"/>
        <v>0</v>
      </c>
      <c r="K322" s="5">
        <f t="shared" ca="1" si="44"/>
        <v>0</v>
      </c>
      <c r="L322" s="5">
        <f t="shared" ca="1" si="45"/>
        <v>0</v>
      </c>
      <c r="M322" s="6">
        <f t="shared" ca="1" si="39"/>
        <v>23.013698630136986</v>
      </c>
    </row>
    <row r="323" spans="2:13" ht="13.25" hidden="1" customHeight="1" x14ac:dyDescent="0.3">
      <c r="B323" s="21"/>
      <c r="E323" s="54">
        <v>319</v>
      </c>
      <c r="F323" s="5">
        <f t="shared" ca="1" si="38"/>
        <v>120</v>
      </c>
      <c r="G323" s="5">
        <f t="shared" ca="1" si="40"/>
        <v>840</v>
      </c>
      <c r="H323" s="5">
        <f t="shared" ca="1" si="41"/>
        <v>720</v>
      </c>
      <c r="I323" s="5">
        <f t="shared" ca="1" si="42"/>
        <v>0</v>
      </c>
      <c r="J323" s="5">
        <f t="shared" ca="1" si="43"/>
        <v>0</v>
      </c>
      <c r="K323" s="5">
        <f t="shared" ca="1" si="44"/>
        <v>0</v>
      </c>
      <c r="L323" s="5">
        <f t="shared" ca="1" si="45"/>
        <v>0</v>
      </c>
      <c r="M323" s="6">
        <f t="shared" ca="1" si="39"/>
        <v>19.726027397260275</v>
      </c>
    </row>
    <row r="324" spans="2:13" ht="13.25" hidden="1" customHeight="1" x14ac:dyDescent="0.3">
      <c r="B324" s="21"/>
      <c r="E324" s="54">
        <v>320</v>
      </c>
      <c r="F324" s="5">
        <f t="shared" ca="1" si="38"/>
        <v>110</v>
      </c>
      <c r="G324" s="5">
        <f t="shared" ca="1" si="40"/>
        <v>720</v>
      </c>
      <c r="H324" s="5">
        <f t="shared" ca="1" si="41"/>
        <v>610</v>
      </c>
      <c r="I324" s="5">
        <f t="shared" ca="1" si="42"/>
        <v>0</v>
      </c>
      <c r="J324" s="5">
        <f t="shared" ca="1" si="43"/>
        <v>0</v>
      </c>
      <c r="K324" s="5">
        <f t="shared" ca="1" si="44"/>
        <v>0</v>
      </c>
      <c r="L324" s="5">
        <f t="shared" ca="1" si="45"/>
        <v>0</v>
      </c>
      <c r="M324" s="6">
        <f t="shared" ca="1" si="39"/>
        <v>16.712328767123285</v>
      </c>
    </row>
    <row r="325" spans="2:13" ht="13.25" hidden="1" customHeight="1" x14ac:dyDescent="0.3">
      <c r="B325" s="21"/>
      <c r="E325" s="54">
        <v>321</v>
      </c>
      <c r="F325" s="5">
        <f t="shared" ref="F325:F369" ca="1" si="46">INDEX($R$18:$R$22,MATCH(RAND(),$T$17:$T$22,1))</f>
        <v>100</v>
      </c>
      <c r="G325" s="5">
        <f t="shared" ca="1" si="40"/>
        <v>610</v>
      </c>
      <c r="H325" s="5">
        <f t="shared" ca="1" si="41"/>
        <v>510</v>
      </c>
      <c r="I325" s="5">
        <f t="shared" ca="1" si="42"/>
        <v>0</v>
      </c>
      <c r="J325" s="5">
        <f t="shared" ca="1" si="43"/>
        <v>0</v>
      </c>
      <c r="K325" s="5">
        <f t="shared" ca="1" si="44"/>
        <v>0</v>
      </c>
      <c r="L325" s="5">
        <f t="shared" ca="1" si="45"/>
        <v>0</v>
      </c>
      <c r="M325" s="6">
        <f t="shared" ref="M325:M369" ca="1" si="47">H325*$C$7</f>
        <v>13.972602739726026</v>
      </c>
    </row>
    <row r="326" spans="2:13" ht="13.25" hidden="1" customHeight="1" x14ac:dyDescent="0.3">
      <c r="B326" s="21"/>
      <c r="E326" s="54">
        <v>322</v>
      </c>
      <c r="F326" s="5">
        <f t="shared" ca="1" si="46"/>
        <v>110</v>
      </c>
      <c r="G326" s="5">
        <f t="shared" ref="G326:G369" ca="1" si="48">H325+$C$9*I325</f>
        <v>510</v>
      </c>
      <c r="H326" s="5">
        <f t="shared" ref="H326:H369" ca="1" si="49">IF(G326-F326&gt;0,G326-F326,0)</f>
        <v>400</v>
      </c>
      <c r="I326" s="5">
        <f t="shared" ref="I326:I369" ca="1" si="50">IF(H326&lt;$C$3,1,0)</f>
        <v>0</v>
      </c>
      <c r="J326" s="5">
        <f t="shared" ref="J326:J369" ca="1" si="51">-MIN(0,G326-F326)</f>
        <v>0</v>
      </c>
      <c r="K326" s="5">
        <f t="shared" ref="K326:K369" ca="1" si="52">J326*$C$8</f>
        <v>0</v>
      </c>
      <c r="L326" s="5">
        <f t="shared" ref="L326:L369" ca="1" si="53">$C$4*I326</f>
        <v>0</v>
      </c>
      <c r="M326" s="6">
        <f t="shared" ca="1" si="47"/>
        <v>10.95890410958904</v>
      </c>
    </row>
    <row r="327" spans="2:13" ht="13.25" hidden="1" customHeight="1" x14ac:dyDescent="0.3">
      <c r="B327" s="21"/>
      <c r="E327" s="54">
        <v>323</v>
      </c>
      <c r="F327" s="5">
        <f t="shared" ca="1" si="46"/>
        <v>100</v>
      </c>
      <c r="G327" s="5">
        <f t="shared" ca="1" si="48"/>
        <v>400</v>
      </c>
      <c r="H327" s="5">
        <f t="shared" ca="1" si="49"/>
        <v>300</v>
      </c>
      <c r="I327" s="5">
        <f t="shared" ca="1" si="50"/>
        <v>0</v>
      </c>
      <c r="J327" s="5">
        <f t="shared" ca="1" si="51"/>
        <v>0</v>
      </c>
      <c r="K327" s="5">
        <f t="shared" ca="1" si="52"/>
        <v>0</v>
      </c>
      <c r="L327" s="5">
        <f t="shared" ca="1" si="53"/>
        <v>0</v>
      </c>
      <c r="M327" s="6">
        <f t="shared" ca="1" si="47"/>
        <v>8.2191780821917799</v>
      </c>
    </row>
    <row r="328" spans="2:13" ht="13.25" hidden="1" customHeight="1" x14ac:dyDescent="0.3">
      <c r="B328" s="21"/>
      <c r="E328" s="54">
        <v>324</v>
      </c>
      <c r="F328" s="5">
        <f t="shared" ca="1" si="46"/>
        <v>110</v>
      </c>
      <c r="G328" s="5">
        <f t="shared" ca="1" si="48"/>
        <v>300</v>
      </c>
      <c r="H328" s="5">
        <f t="shared" ca="1" si="49"/>
        <v>190</v>
      </c>
      <c r="I328" s="5">
        <f t="shared" ca="1" si="50"/>
        <v>0</v>
      </c>
      <c r="J328" s="5">
        <f t="shared" ca="1" si="51"/>
        <v>0</v>
      </c>
      <c r="K328" s="5">
        <f t="shared" ca="1" si="52"/>
        <v>0</v>
      </c>
      <c r="L328" s="5">
        <f t="shared" ca="1" si="53"/>
        <v>0</v>
      </c>
      <c r="M328" s="6">
        <f t="shared" ca="1" si="47"/>
        <v>5.205479452054794</v>
      </c>
    </row>
    <row r="329" spans="2:13" ht="13.25" hidden="1" customHeight="1" x14ac:dyDescent="0.3">
      <c r="B329" s="21"/>
      <c r="E329" s="54">
        <v>325</v>
      </c>
      <c r="F329" s="5">
        <f t="shared" ca="1" si="46"/>
        <v>120</v>
      </c>
      <c r="G329" s="5">
        <f t="shared" ca="1" si="48"/>
        <v>190</v>
      </c>
      <c r="H329" s="5">
        <f t="shared" ca="1" si="49"/>
        <v>70</v>
      </c>
      <c r="I329" s="5">
        <f t="shared" ca="1" si="50"/>
        <v>1</v>
      </c>
      <c r="J329" s="5">
        <f t="shared" ca="1" si="51"/>
        <v>0</v>
      </c>
      <c r="K329" s="5">
        <f t="shared" ca="1" si="52"/>
        <v>0</v>
      </c>
      <c r="L329" s="5">
        <f t="shared" ca="1" si="53"/>
        <v>200</v>
      </c>
      <c r="M329" s="6">
        <f t="shared" ca="1" si="47"/>
        <v>1.9178082191780821</v>
      </c>
    </row>
    <row r="330" spans="2:13" ht="13.25" hidden="1" customHeight="1" x14ac:dyDescent="0.3">
      <c r="B330" s="21"/>
      <c r="E330" s="54">
        <v>326</v>
      </c>
      <c r="F330" s="5">
        <f t="shared" ca="1" si="46"/>
        <v>110</v>
      </c>
      <c r="G330" s="5">
        <f t="shared" ca="1" si="48"/>
        <v>1070</v>
      </c>
      <c r="H330" s="5">
        <f t="shared" ca="1" si="49"/>
        <v>960</v>
      </c>
      <c r="I330" s="5">
        <f t="shared" ca="1" si="50"/>
        <v>0</v>
      </c>
      <c r="J330" s="5">
        <f t="shared" ca="1" si="51"/>
        <v>0</v>
      </c>
      <c r="K330" s="5">
        <f t="shared" ca="1" si="52"/>
        <v>0</v>
      </c>
      <c r="L330" s="5">
        <f t="shared" ca="1" si="53"/>
        <v>0</v>
      </c>
      <c r="M330" s="6">
        <f t="shared" ca="1" si="47"/>
        <v>26.301369863013697</v>
      </c>
    </row>
    <row r="331" spans="2:13" ht="13.25" hidden="1" customHeight="1" x14ac:dyDescent="0.3">
      <c r="B331" s="21"/>
      <c r="E331" s="54">
        <v>327</v>
      </c>
      <c r="F331" s="5">
        <f t="shared" ca="1" si="46"/>
        <v>100</v>
      </c>
      <c r="G331" s="5">
        <f t="shared" ca="1" si="48"/>
        <v>960</v>
      </c>
      <c r="H331" s="5">
        <f t="shared" ca="1" si="49"/>
        <v>860</v>
      </c>
      <c r="I331" s="5">
        <f t="shared" ca="1" si="50"/>
        <v>0</v>
      </c>
      <c r="J331" s="5">
        <f t="shared" ca="1" si="51"/>
        <v>0</v>
      </c>
      <c r="K331" s="5">
        <f t="shared" ca="1" si="52"/>
        <v>0</v>
      </c>
      <c r="L331" s="5">
        <f t="shared" ca="1" si="53"/>
        <v>0</v>
      </c>
      <c r="M331" s="6">
        <f t="shared" ca="1" si="47"/>
        <v>23.561643835616437</v>
      </c>
    </row>
    <row r="332" spans="2:13" ht="13.25" hidden="1" customHeight="1" x14ac:dyDescent="0.3">
      <c r="B332" s="21"/>
      <c r="E332" s="54">
        <v>328</v>
      </c>
      <c r="F332" s="5">
        <f t="shared" ca="1" si="46"/>
        <v>110</v>
      </c>
      <c r="G332" s="5">
        <f t="shared" ca="1" si="48"/>
        <v>860</v>
      </c>
      <c r="H332" s="5">
        <f t="shared" ca="1" si="49"/>
        <v>750</v>
      </c>
      <c r="I332" s="5">
        <f t="shared" ca="1" si="50"/>
        <v>0</v>
      </c>
      <c r="J332" s="5">
        <f t="shared" ca="1" si="51"/>
        <v>0</v>
      </c>
      <c r="K332" s="5">
        <f t="shared" ca="1" si="52"/>
        <v>0</v>
      </c>
      <c r="L332" s="5">
        <f t="shared" ca="1" si="53"/>
        <v>0</v>
      </c>
      <c r="M332" s="6">
        <f t="shared" ca="1" si="47"/>
        <v>20.547945205479451</v>
      </c>
    </row>
    <row r="333" spans="2:13" ht="13.25" hidden="1" customHeight="1" x14ac:dyDescent="0.3">
      <c r="B333" s="21"/>
      <c r="E333" s="54">
        <v>329</v>
      </c>
      <c r="F333" s="5">
        <f t="shared" ca="1" si="46"/>
        <v>120</v>
      </c>
      <c r="G333" s="5">
        <f t="shared" ca="1" si="48"/>
        <v>750</v>
      </c>
      <c r="H333" s="5">
        <f t="shared" ca="1" si="49"/>
        <v>630</v>
      </c>
      <c r="I333" s="5">
        <f t="shared" ca="1" si="50"/>
        <v>0</v>
      </c>
      <c r="J333" s="5">
        <f t="shared" ca="1" si="51"/>
        <v>0</v>
      </c>
      <c r="K333" s="5">
        <f t="shared" ca="1" si="52"/>
        <v>0</v>
      </c>
      <c r="L333" s="5">
        <f t="shared" ca="1" si="53"/>
        <v>0</v>
      </c>
      <c r="M333" s="6">
        <f t="shared" ca="1" si="47"/>
        <v>17.260273972602739</v>
      </c>
    </row>
    <row r="334" spans="2:13" ht="13.25" hidden="1" customHeight="1" x14ac:dyDescent="0.3">
      <c r="B334" s="21"/>
      <c r="E334" s="54">
        <v>330</v>
      </c>
      <c r="F334" s="5">
        <f t="shared" ca="1" si="46"/>
        <v>100</v>
      </c>
      <c r="G334" s="5">
        <f t="shared" ca="1" si="48"/>
        <v>630</v>
      </c>
      <c r="H334" s="5">
        <f t="shared" ca="1" si="49"/>
        <v>530</v>
      </c>
      <c r="I334" s="5">
        <f t="shared" ca="1" si="50"/>
        <v>0</v>
      </c>
      <c r="J334" s="5">
        <f t="shared" ca="1" si="51"/>
        <v>0</v>
      </c>
      <c r="K334" s="5">
        <f t="shared" ca="1" si="52"/>
        <v>0</v>
      </c>
      <c r="L334" s="5">
        <f t="shared" ca="1" si="53"/>
        <v>0</v>
      </c>
      <c r="M334" s="6">
        <f t="shared" ca="1" si="47"/>
        <v>14.520547945205479</v>
      </c>
    </row>
    <row r="335" spans="2:13" ht="13.25" hidden="1" customHeight="1" x14ac:dyDescent="0.3">
      <c r="B335" s="21"/>
      <c r="E335" s="54">
        <v>331</v>
      </c>
      <c r="F335" s="5">
        <f t="shared" ca="1" si="46"/>
        <v>100</v>
      </c>
      <c r="G335" s="5">
        <f t="shared" ca="1" si="48"/>
        <v>530</v>
      </c>
      <c r="H335" s="5">
        <f t="shared" ca="1" si="49"/>
        <v>430</v>
      </c>
      <c r="I335" s="5">
        <f t="shared" ca="1" si="50"/>
        <v>0</v>
      </c>
      <c r="J335" s="5">
        <f t="shared" ca="1" si="51"/>
        <v>0</v>
      </c>
      <c r="K335" s="5">
        <f t="shared" ca="1" si="52"/>
        <v>0</v>
      </c>
      <c r="L335" s="5">
        <f t="shared" ca="1" si="53"/>
        <v>0</v>
      </c>
      <c r="M335" s="6">
        <f t="shared" ca="1" si="47"/>
        <v>11.780821917808218</v>
      </c>
    </row>
    <row r="336" spans="2:13" ht="13.25" hidden="1" customHeight="1" x14ac:dyDescent="0.3">
      <c r="B336" s="21"/>
      <c r="E336" s="54">
        <v>332</v>
      </c>
      <c r="F336" s="5">
        <f t="shared" ca="1" si="46"/>
        <v>120</v>
      </c>
      <c r="G336" s="5">
        <f t="shared" ca="1" si="48"/>
        <v>430</v>
      </c>
      <c r="H336" s="5">
        <f t="shared" ca="1" si="49"/>
        <v>310</v>
      </c>
      <c r="I336" s="5">
        <f t="shared" ca="1" si="50"/>
        <v>0</v>
      </c>
      <c r="J336" s="5">
        <f t="shared" ca="1" si="51"/>
        <v>0</v>
      </c>
      <c r="K336" s="5">
        <f t="shared" ca="1" si="52"/>
        <v>0</v>
      </c>
      <c r="L336" s="5">
        <f t="shared" ca="1" si="53"/>
        <v>0</v>
      </c>
      <c r="M336" s="6">
        <f t="shared" ca="1" si="47"/>
        <v>8.493150684931507</v>
      </c>
    </row>
    <row r="337" spans="2:13" ht="13.25" hidden="1" customHeight="1" x14ac:dyDescent="0.3">
      <c r="B337" s="21"/>
      <c r="E337" s="54">
        <v>333</v>
      </c>
      <c r="F337" s="5">
        <f t="shared" ca="1" si="46"/>
        <v>110</v>
      </c>
      <c r="G337" s="5">
        <f t="shared" ca="1" si="48"/>
        <v>310</v>
      </c>
      <c r="H337" s="5">
        <f t="shared" ca="1" si="49"/>
        <v>200</v>
      </c>
      <c r="I337" s="5">
        <f t="shared" ca="1" si="50"/>
        <v>0</v>
      </c>
      <c r="J337" s="5">
        <f t="shared" ca="1" si="51"/>
        <v>0</v>
      </c>
      <c r="K337" s="5">
        <f t="shared" ca="1" si="52"/>
        <v>0</v>
      </c>
      <c r="L337" s="5">
        <f t="shared" ca="1" si="53"/>
        <v>0</v>
      </c>
      <c r="M337" s="6">
        <f t="shared" ca="1" si="47"/>
        <v>5.4794520547945202</v>
      </c>
    </row>
    <row r="338" spans="2:13" ht="13.25" hidden="1" customHeight="1" x14ac:dyDescent="0.3">
      <c r="B338" s="21"/>
      <c r="E338" s="54">
        <v>334</v>
      </c>
      <c r="F338" s="5">
        <f t="shared" ca="1" si="46"/>
        <v>100</v>
      </c>
      <c r="G338" s="5">
        <f t="shared" ca="1" si="48"/>
        <v>200</v>
      </c>
      <c r="H338" s="5">
        <f t="shared" ca="1" si="49"/>
        <v>100</v>
      </c>
      <c r="I338" s="5">
        <f t="shared" ca="1" si="50"/>
        <v>0</v>
      </c>
      <c r="J338" s="5">
        <f t="shared" ca="1" si="51"/>
        <v>0</v>
      </c>
      <c r="K338" s="5">
        <f t="shared" ca="1" si="52"/>
        <v>0</v>
      </c>
      <c r="L338" s="5">
        <f t="shared" ca="1" si="53"/>
        <v>0</v>
      </c>
      <c r="M338" s="6">
        <f t="shared" ca="1" si="47"/>
        <v>2.7397260273972601</v>
      </c>
    </row>
    <row r="339" spans="2:13" ht="13.25" hidden="1" customHeight="1" x14ac:dyDescent="0.3">
      <c r="B339" s="21"/>
      <c r="E339" s="54">
        <v>335</v>
      </c>
      <c r="F339" s="5">
        <f t="shared" ca="1" si="46"/>
        <v>120</v>
      </c>
      <c r="G339" s="5">
        <f t="shared" ca="1" si="48"/>
        <v>100</v>
      </c>
      <c r="H339" s="5">
        <f t="shared" ca="1" si="49"/>
        <v>0</v>
      </c>
      <c r="I339" s="5">
        <f t="shared" ca="1" si="50"/>
        <v>1</v>
      </c>
      <c r="J339" s="5">
        <f t="shared" ca="1" si="51"/>
        <v>20</v>
      </c>
      <c r="K339" s="5">
        <f t="shared" ca="1" si="52"/>
        <v>1000</v>
      </c>
      <c r="L339" s="5">
        <f t="shared" ca="1" si="53"/>
        <v>200</v>
      </c>
      <c r="M339" s="6">
        <f t="shared" ca="1" si="47"/>
        <v>0</v>
      </c>
    </row>
    <row r="340" spans="2:13" ht="13.25" hidden="1" customHeight="1" x14ac:dyDescent="0.3">
      <c r="B340" s="21"/>
      <c r="E340" s="54">
        <v>336</v>
      </c>
      <c r="F340" s="5">
        <f t="shared" ca="1" si="46"/>
        <v>110</v>
      </c>
      <c r="G340" s="5">
        <f t="shared" ca="1" si="48"/>
        <v>1000</v>
      </c>
      <c r="H340" s="5">
        <f t="shared" ca="1" si="49"/>
        <v>890</v>
      </c>
      <c r="I340" s="5">
        <f t="shared" ca="1" si="50"/>
        <v>0</v>
      </c>
      <c r="J340" s="5">
        <f t="shared" ca="1" si="51"/>
        <v>0</v>
      </c>
      <c r="K340" s="5">
        <f t="shared" ca="1" si="52"/>
        <v>0</v>
      </c>
      <c r="L340" s="5">
        <f t="shared" ca="1" si="53"/>
        <v>0</v>
      </c>
      <c r="M340" s="6">
        <f t="shared" ca="1" si="47"/>
        <v>24.383561643835616</v>
      </c>
    </row>
    <row r="341" spans="2:13" ht="13.25" hidden="1" customHeight="1" x14ac:dyDescent="0.3">
      <c r="B341" s="21"/>
      <c r="E341" s="54">
        <v>337</v>
      </c>
      <c r="F341" s="5">
        <f t="shared" ca="1" si="46"/>
        <v>110</v>
      </c>
      <c r="G341" s="5">
        <f t="shared" ca="1" si="48"/>
        <v>890</v>
      </c>
      <c r="H341" s="5">
        <f t="shared" ca="1" si="49"/>
        <v>780</v>
      </c>
      <c r="I341" s="5">
        <f t="shared" ca="1" si="50"/>
        <v>0</v>
      </c>
      <c r="J341" s="5">
        <f t="shared" ca="1" si="51"/>
        <v>0</v>
      </c>
      <c r="K341" s="5">
        <f t="shared" ca="1" si="52"/>
        <v>0</v>
      </c>
      <c r="L341" s="5">
        <f t="shared" ca="1" si="53"/>
        <v>0</v>
      </c>
      <c r="M341" s="6">
        <f t="shared" ca="1" si="47"/>
        <v>21.36986301369863</v>
      </c>
    </row>
    <row r="342" spans="2:13" ht="13.25" hidden="1" customHeight="1" x14ac:dyDescent="0.3">
      <c r="B342" s="21"/>
      <c r="E342" s="54">
        <v>338</v>
      </c>
      <c r="F342" s="5">
        <f t="shared" ca="1" si="46"/>
        <v>110</v>
      </c>
      <c r="G342" s="5">
        <f t="shared" ca="1" si="48"/>
        <v>780</v>
      </c>
      <c r="H342" s="5">
        <f t="shared" ca="1" si="49"/>
        <v>670</v>
      </c>
      <c r="I342" s="5">
        <f t="shared" ca="1" si="50"/>
        <v>0</v>
      </c>
      <c r="J342" s="5">
        <f t="shared" ca="1" si="51"/>
        <v>0</v>
      </c>
      <c r="K342" s="5">
        <f t="shared" ca="1" si="52"/>
        <v>0</v>
      </c>
      <c r="L342" s="5">
        <f t="shared" ca="1" si="53"/>
        <v>0</v>
      </c>
      <c r="M342" s="6">
        <f t="shared" ca="1" si="47"/>
        <v>18.356164383561644</v>
      </c>
    </row>
    <row r="343" spans="2:13" ht="13.25" hidden="1" customHeight="1" x14ac:dyDescent="0.3">
      <c r="B343" s="21"/>
      <c r="E343" s="54">
        <v>339</v>
      </c>
      <c r="F343" s="5">
        <f t="shared" ca="1" si="46"/>
        <v>120</v>
      </c>
      <c r="G343" s="5">
        <f t="shared" ca="1" si="48"/>
        <v>670</v>
      </c>
      <c r="H343" s="5">
        <f t="shared" ca="1" si="49"/>
        <v>550</v>
      </c>
      <c r="I343" s="5">
        <f t="shared" ca="1" si="50"/>
        <v>0</v>
      </c>
      <c r="J343" s="5">
        <f t="shared" ca="1" si="51"/>
        <v>0</v>
      </c>
      <c r="K343" s="5">
        <f t="shared" ca="1" si="52"/>
        <v>0</v>
      </c>
      <c r="L343" s="5">
        <f t="shared" ca="1" si="53"/>
        <v>0</v>
      </c>
      <c r="M343" s="6">
        <f t="shared" ca="1" si="47"/>
        <v>15.068493150684931</v>
      </c>
    </row>
    <row r="344" spans="2:13" ht="13.25" hidden="1" customHeight="1" x14ac:dyDescent="0.3">
      <c r="B344" s="21"/>
      <c r="E344" s="54">
        <v>340</v>
      </c>
      <c r="F344" s="5">
        <f t="shared" ca="1" si="46"/>
        <v>90</v>
      </c>
      <c r="G344" s="5">
        <f t="shared" ca="1" si="48"/>
        <v>550</v>
      </c>
      <c r="H344" s="5">
        <f t="shared" ca="1" si="49"/>
        <v>460</v>
      </c>
      <c r="I344" s="5">
        <f t="shared" ca="1" si="50"/>
        <v>0</v>
      </c>
      <c r="J344" s="5">
        <f t="shared" ca="1" si="51"/>
        <v>0</v>
      </c>
      <c r="K344" s="5">
        <f t="shared" ca="1" si="52"/>
        <v>0</v>
      </c>
      <c r="L344" s="5">
        <f t="shared" ca="1" si="53"/>
        <v>0</v>
      </c>
      <c r="M344" s="6">
        <f t="shared" ca="1" si="47"/>
        <v>12.602739726027396</v>
      </c>
    </row>
    <row r="345" spans="2:13" ht="13.25" hidden="1" customHeight="1" x14ac:dyDescent="0.3">
      <c r="B345" s="21"/>
      <c r="E345" s="54">
        <v>341</v>
      </c>
      <c r="F345" s="5">
        <f t="shared" ca="1" si="46"/>
        <v>100</v>
      </c>
      <c r="G345" s="5">
        <f t="shared" ca="1" si="48"/>
        <v>460</v>
      </c>
      <c r="H345" s="5">
        <f t="shared" ca="1" si="49"/>
        <v>360</v>
      </c>
      <c r="I345" s="5">
        <f t="shared" ca="1" si="50"/>
        <v>0</v>
      </c>
      <c r="J345" s="5">
        <f t="shared" ca="1" si="51"/>
        <v>0</v>
      </c>
      <c r="K345" s="5">
        <f t="shared" ca="1" si="52"/>
        <v>0</v>
      </c>
      <c r="L345" s="5">
        <f t="shared" ca="1" si="53"/>
        <v>0</v>
      </c>
      <c r="M345" s="6">
        <f t="shared" ca="1" si="47"/>
        <v>9.8630136986301373</v>
      </c>
    </row>
    <row r="346" spans="2:13" ht="13.25" hidden="1" customHeight="1" x14ac:dyDescent="0.3">
      <c r="B346" s="21"/>
      <c r="E346" s="54">
        <v>342</v>
      </c>
      <c r="F346" s="5">
        <f t="shared" ca="1" si="46"/>
        <v>120</v>
      </c>
      <c r="G346" s="5">
        <f t="shared" ca="1" si="48"/>
        <v>360</v>
      </c>
      <c r="H346" s="5">
        <f t="shared" ca="1" si="49"/>
        <v>240</v>
      </c>
      <c r="I346" s="5">
        <f t="shared" ca="1" si="50"/>
        <v>0</v>
      </c>
      <c r="J346" s="5">
        <f t="shared" ca="1" si="51"/>
        <v>0</v>
      </c>
      <c r="K346" s="5">
        <f t="shared" ca="1" si="52"/>
        <v>0</v>
      </c>
      <c r="L346" s="5">
        <f t="shared" ca="1" si="53"/>
        <v>0</v>
      </c>
      <c r="M346" s="6">
        <f t="shared" ca="1" si="47"/>
        <v>6.5753424657534243</v>
      </c>
    </row>
    <row r="347" spans="2:13" ht="13.25" hidden="1" customHeight="1" x14ac:dyDescent="0.3">
      <c r="B347" s="21"/>
      <c r="E347" s="54">
        <v>343</v>
      </c>
      <c r="F347" s="5">
        <f t="shared" ca="1" si="46"/>
        <v>110</v>
      </c>
      <c r="G347" s="5">
        <f t="shared" ca="1" si="48"/>
        <v>240</v>
      </c>
      <c r="H347" s="5">
        <f t="shared" ca="1" si="49"/>
        <v>130</v>
      </c>
      <c r="I347" s="5">
        <f t="shared" ca="1" si="50"/>
        <v>0</v>
      </c>
      <c r="J347" s="5">
        <f t="shared" ca="1" si="51"/>
        <v>0</v>
      </c>
      <c r="K347" s="5">
        <f t="shared" ca="1" si="52"/>
        <v>0</v>
      </c>
      <c r="L347" s="5">
        <f t="shared" ca="1" si="53"/>
        <v>0</v>
      </c>
      <c r="M347" s="6">
        <f t="shared" ca="1" si="47"/>
        <v>3.5616438356164384</v>
      </c>
    </row>
    <row r="348" spans="2:13" ht="13.25" hidden="1" customHeight="1" x14ac:dyDescent="0.3">
      <c r="B348" s="21"/>
      <c r="E348" s="54">
        <v>344</v>
      </c>
      <c r="F348" s="5">
        <f t="shared" ca="1" si="46"/>
        <v>110</v>
      </c>
      <c r="G348" s="5">
        <f t="shared" ca="1" si="48"/>
        <v>130</v>
      </c>
      <c r="H348" s="5">
        <f t="shared" ca="1" si="49"/>
        <v>20</v>
      </c>
      <c r="I348" s="5">
        <f t="shared" ca="1" si="50"/>
        <v>1</v>
      </c>
      <c r="J348" s="5">
        <f t="shared" ca="1" si="51"/>
        <v>0</v>
      </c>
      <c r="K348" s="5">
        <f t="shared" ca="1" si="52"/>
        <v>0</v>
      </c>
      <c r="L348" s="5">
        <f t="shared" ca="1" si="53"/>
        <v>200</v>
      </c>
      <c r="M348" s="6">
        <f t="shared" ca="1" si="47"/>
        <v>0.54794520547945202</v>
      </c>
    </row>
    <row r="349" spans="2:13" ht="13.25" hidden="1" customHeight="1" x14ac:dyDescent="0.3">
      <c r="B349" s="21"/>
      <c r="E349" s="54">
        <v>345</v>
      </c>
      <c r="F349" s="5">
        <f t="shared" ca="1" si="46"/>
        <v>0</v>
      </c>
      <c r="G349" s="5">
        <f t="shared" ca="1" si="48"/>
        <v>1020</v>
      </c>
      <c r="H349" s="5">
        <f t="shared" ca="1" si="49"/>
        <v>1020</v>
      </c>
      <c r="I349" s="5">
        <f t="shared" ca="1" si="50"/>
        <v>0</v>
      </c>
      <c r="J349" s="5">
        <f t="shared" ca="1" si="51"/>
        <v>0</v>
      </c>
      <c r="K349" s="5">
        <f t="shared" ca="1" si="52"/>
        <v>0</v>
      </c>
      <c r="L349" s="5">
        <f t="shared" ca="1" si="53"/>
        <v>0</v>
      </c>
      <c r="M349" s="6">
        <f t="shared" ca="1" si="47"/>
        <v>27.945205479452053</v>
      </c>
    </row>
    <row r="350" spans="2:13" ht="13.25" hidden="1" customHeight="1" x14ac:dyDescent="0.3">
      <c r="B350" s="21"/>
      <c r="E350" s="54">
        <v>346</v>
      </c>
      <c r="F350" s="5">
        <f t="shared" ca="1" si="46"/>
        <v>0</v>
      </c>
      <c r="G350" s="5">
        <f t="shared" ca="1" si="48"/>
        <v>1020</v>
      </c>
      <c r="H350" s="5">
        <f t="shared" ca="1" si="49"/>
        <v>1020</v>
      </c>
      <c r="I350" s="5">
        <f t="shared" ca="1" si="50"/>
        <v>0</v>
      </c>
      <c r="J350" s="5">
        <f t="shared" ca="1" si="51"/>
        <v>0</v>
      </c>
      <c r="K350" s="5">
        <f t="shared" ca="1" si="52"/>
        <v>0</v>
      </c>
      <c r="L350" s="5">
        <f t="shared" ca="1" si="53"/>
        <v>0</v>
      </c>
      <c r="M350" s="6">
        <f t="shared" ca="1" si="47"/>
        <v>27.945205479452053</v>
      </c>
    </row>
    <row r="351" spans="2:13" ht="13.25" hidden="1" customHeight="1" x14ac:dyDescent="0.3">
      <c r="B351" s="21"/>
      <c r="E351" s="54">
        <v>347</v>
      </c>
      <c r="F351" s="5">
        <f t="shared" ca="1" si="46"/>
        <v>100</v>
      </c>
      <c r="G351" s="5">
        <f t="shared" ca="1" si="48"/>
        <v>1020</v>
      </c>
      <c r="H351" s="5">
        <f t="shared" ca="1" si="49"/>
        <v>920</v>
      </c>
      <c r="I351" s="5">
        <f t="shared" ca="1" si="50"/>
        <v>0</v>
      </c>
      <c r="J351" s="5">
        <f t="shared" ca="1" si="51"/>
        <v>0</v>
      </c>
      <c r="K351" s="5">
        <f t="shared" ca="1" si="52"/>
        <v>0</v>
      </c>
      <c r="L351" s="5">
        <f t="shared" ca="1" si="53"/>
        <v>0</v>
      </c>
      <c r="M351" s="6">
        <f t="shared" ca="1" si="47"/>
        <v>25.205479452054792</v>
      </c>
    </row>
    <row r="352" spans="2:13" ht="13.25" hidden="1" customHeight="1" x14ac:dyDescent="0.3">
      <c r="B352" s="21"/>
      <c r="E352" s="54">
        <v>348</v>
      </c>
      <c r="F352" s="5">
        <f t="shared" ca="1" si="46"/>
        <v>100</v>
      </c>
      <c r="G352" s="5">
        <f t="shared" ca="1" si="48"/>
        <v>920</v>
      </c>
      <c r="H352" s="5">
        <f t="shared" ca="1" si="49"/>
        <v>820</v>
      </c>
      <c r="I352" s="5">
        <f t="shared" ca="1" si="50"/>
        <v>0</v>
      </c>
      <c r="J352" s="5">
        <f t="shared" ca="1" si="51"/>
        <v>0</v>
      </c>
      <c r="K352" s="5">
        <f t="shared" ca="1" si="52"/>
        <v>0</v>
      </c>
      <c r="L352" s="5">
        <f t="shared" ca="1" si="53"/>
        <v>0</v>
      </c>
      <c r="M352" s="6">
        <f t="shared" ca="1" si="47"/>
        <v>22.465753424657532</v>
      </c>
    </row>
    <row r="353" spans="2:13" ht="13.25" hidden="1" customHeight="1" x14ac:dyDescent="0.3">
      <c r="B353" s="21"/>
      <c r="E353" s="54">
        <v>349</v>
      </c>
      <c r="F353" s="5">
        <f t="shared" ca="1" si="46"/>
        <v>120</v>
      </c>
      <c r="G353" s="5">
        <f t="shared" ca="1" si="48"/>
        <v>820</v>
      </c>
      <c r="H353" s="5">
        <f t="shared" ca="1" si="49"/>
        <v>700</v>
      </c>
      <c r="I353" s="5">
        <f t="shared" ca="1" si="50"/>
        <v>0</v>
      </c>
      <c r="J353" s="5">
        <f t="shared" ca="1" si="51"/>
        <v>0</v>
      </c>
      <c r="K353" s="5">
        <f t="shared" ca="1" si="52"/>
        <v>0</v>
      </c>
      <c r="L353" s="5">
        <f t="shared" ca="1" si="53"/>
        <v>0</v>
      </c>
      <c r="M353" s="6">
        <f t="shared" ca="1" si="47"/>
        <v>19.17808219178082</v>
      </c>
    </row>
    <row r="354" spans="2:13" ht="13.25" hidden="1" customHeight="1" x14ac:dyDescent="0.3">
      <c r="B354" s="21"/>
      <c r="E354" s="54">
        <v>350</v>
      </c>
      <c r="F354" s="5">
        <f t="shared" ca="1" si="46"/>
        <v>120</v>
      </c>
      <c r="G354" s="5">
        <f t="shared" ca="1" si="48"/>
        <v>700</v>
      </c>
      <c r="H354" s="5">
        <f t="shared" ca="1" si="49"/>
        <v>580</v>
      </c>
      <c r="I354" s="5">
        <f t="shared" ca="1" si="50"/>
        <v>0</v>
      </c>
      <c r="J354" s="5">
        <f t="shared" ca="1" si="51"/>
        <v>0</v>
      </c>
      <c r="K354" s="5">
        <f t="shared" ca="1" si="52"/>
        <v>0</v>
      </c>
      <c r="L354" s="5">
        <f t="shared" ca="1" si="53"/>
        <v>0</v>
      </c>
      <c r="M354" s="6">
        <f t="shared" ca="1" si="47"/>
        <v>15.890410958904109</v>
      </c>
    </row>
    <row r="355" spans="2:13" ht="13.25" hidden="1" customHeight="1" x14ac:dyDescent="0.3">
      <c r="B355" s="21"/>
      <c r="E355" s="54">
        <v>351</v>
      </c>
      <c r="F355" s="5">
        <f t="shared" ca="1" si="46"/>
        <v>110</v>
      </c>
      <c r="G355" s="5">
        <f t="shared" ca="1" si="48"/>
        <v>580</v>
      </c>
      <c r="H355" s="5">
        <f t="shared" ca="1" si="49"/>
        <v>470</v>
      </c>
      <c r="I355" s="5">
        <f t="shared" ca="1" si="50"/>
        <v>0</v>
      </c>
      <c r="J355" s="5">
        <f t="shared" ca="1" si="51"/>
        <v>0</v>
      </c>
      <c r="K355" s="5">
        <f t="shared" ca="1" si="52"/>
        <v>0</v>
      </c>
      <c r="L355" s="5">
        <f t="shared" ca="1" si="53"/>
        <v>0</v>
      </c>
      <c r="M355" s="6">
        <f t="shared" ca="1" si="47"/>
        <v>12.876712328767123</v>
      </c>
    </row>
    <row r="356" spans="2:13" ht="13.25" hidden="1" customHeight="1" x14ac:dyDescent="0.3">
      <c r="B356" s="21"/>
      <c r="E356" s="54">
        <v>352</v>
      </c>
      <c r="F356" s="5">
        <f t="shared" ca="1" si="46"/>
        <v>110</v>
      </c>
      <c r="G356" s="5">
        <f t="shared" ca="1" si="48"/>
        <v>470</v>
      </c>
      <c r="H356" s="5">
        <f t="shared" ca="1" si="49"/>
        <v>360</v>
      </c>
      <c r="I356" s="5">
        <f t="shared" ca="1" si="50"/>
        <v>0</v>
      </c>
      <c r="J356" s="5">
        <f t="shared" ca="1" si="51"/>
        <v>0</v>
      </c>
      <c r="K356" s="5">
        <f t="shared" ca="1" si="52"/>
        <v>0</v>
      </c>
      <c r="L356" s="5">
        <f t="shared" ca="1" si="53"/>
        <v>0</v>
      </c>
      <c r="M356" s="6">
        <f t="shared" ca="1" si="47"/>
        <v>9.8630136986301373</v>
      </c>
    </row>
    <row r="357" spans="2:13" ht="13.25" hidden="1" customHeight="1" x14ac:dyDescent="0.3">
      <c r="B357" s="21"/>
      <c r="E357" s="54">
        <v>353</v>
      </c>
      <c r="F357" s="5">
        <f t="shared" ca="1" si="46"/>
        <v>120</v>
      </c>
      <c r="G357" s="5">
        <f t="shared" ca="1" si="48"/>
        <v>360</v>
      </c>
      <c r="H357" s="5">
        <f t="shared" ca="1" si="49"/>
        <v>240</v>
      </c>
      <c r="I357" s="5">
        <f t="shared" ca="1" si="50"/>
        <v>0</v>
      </c>
      <c r="J357" s="5">
        <f t="shared" ca="1" si="51"/>
        <v>0</v>
      </c>
      <c r="K357" s="5">
        <f t="shared" ca="1" si="52"/>
        <v>0</v>
      </c>
      <c r="L357" s="5">
        <f t="shared" ca="1" si="53"/>
        <v>0</v>
      </c>
      <c r="M357" s="6">
        <f t="shared" ca="1" si="47"/>
        <v>6.5753424657534243</v>
      </c>
    </row>
    <row r="358" spans="2:13" ht="13.25" hidden="1" customHeight="1" x14ac:dyDescent="0.3">
      <c r="B358" s="21"/>
      <c r="E358" s="54">
        <v>354</v>
      </c>
      <c r="F358" s="5">
        <f t="shared" ca="1" si="46"/>
        <v>100</v>
      </c>
      <c r="G358" s="5">
        <f t="shared" ca="1" si="48"/>
        <v>240</v>
      </c>
      <c r="H358" s="5">
        <f t="shared" ca="1" si="49"/>
        <v>140</v>
      </c>
      <c r="I358" s="5">
        <f t="shared" ca="1" si="50"/>
        <v>0</v>
      </c>
      <c r="J358" s="5">
        <f t="shared" ca="1" si="51"/>
        <v>0</v>
      </c>
      <c r="K358" s="5">
        <f t="shared" ca="1" si="52"/>
        <v>0</v>
      </c>
      <c r="L358" s="5">
        <f t="shared" ca="1" si="53"/>
        <v>0</v>
      </c>
      <c r="M358" s="6">
        <f t="shared" ca="1" si="47"/>
        <v>3.8356164383561642</v>
      </c>
    </row>
    <row r="359" spans="2:13" ht="13.25" hidden="1" customHeight="1" x14ac:dyDescent="0.3">
      <c r="B359" s="21"/>
      <c r="E359" s="54">
        <v>355</v>
      </c>
      <c r="F359" s="5">
        <f t="shared" ca="1" si="46"/>
        <v>120</v>
      </c>
      <c r="G359" s="5">
        <f t="shared" ca="1" si="48"/>
        <v>140</v>
      </c>
      <c r="H359" s="5">
        <f t="shared" ca="1" si="49"/>
        <v>20</v>
      </c>
      <c r="I359" s="5">
        <f t="shared" ca="1" si="50"/>
        <v>1</v>
      </c>
      <c r="J359" s="5">
        <f t="shared" ca="1" si="51"/>
        <v>0</v>
      </c>
      <c r="K359" s="5">
        <f t="shared" ca="1" si="52"/>
        <v>0</v>
      </c>
      <c r="L359" s="5">
        <f t="shared" ca="1" si="53"/>
        <v>200</v>
      </c>
      <c r="M359" s="6">
        <f t="shared" ca="1" si="47"/>
        <v>0.54794520547945202</v>
      </c>
    </row>
    <row r="360" spans="2:13" ht="13.25" hidden="1" customHeight="1" x14ac:dyDescent="0.3">
      <c r="B360" s="21"/>
      <c r="E360" s="54">
        <v>356</v>
      </c>
      <c r="F360" s="5">
        <f t="shared" ca="1" si="46"/>
        <v>100</v>
      </c>
      <c r="G360" s="5">
        <f t="shared" ca="1" si="48"/>
        <v>1020</v>
      </c>
      <c r="H360" s="5">
        <f t="shared" ca="1" si="49"/>
        <v>920</v>
      </c>
      <c r="I360" s="5">
        <f t="shared" ca="1" si="50"/>
        <v>0</v>
      </c>
      <c r="J360" s="5">
        <f t="shared" ca="1" si="51"/>
        <v>0</v>
      </c>
      <c r="K360" s="5">
        <f t="shared" ca="1" si="52"/>
        <v>0</v>
      </c>
      <c r="L360" s="5">
        <f t="shared" ca="1" si="53"/>
        <v>0</v>
      </c>
      <c r="M360" s="6">
        <f t="shared" ca="1" si="47"/>
        <v>25.205479452054792</v>
      </c>
    </row>
    <row r="361" spans="2:13" ht="13.25" hidden="1" customHeight="1" x14ac:dyDescent="0.3">
      <c r="B361" s="21"/>
      <c r="E361" s="54">
        <v>357</v>
      </c>
      <c r="F361" s="5">
        <f t="shared" ca="1" si="46"/>
        <v>120</v>
      </c>
      <c r="G361" s="5">
        <f t="shared" ca="1" si="48"/>
        <v>920</v>
      </c>
      <c r="H361" s="5">
        <f t="shared" ca="1" si="49"/>
        <v>800</v>
      </c>
      <c r="I361" s="5">
        <f t="shared" ca="1" si="50"/>
        <v>0</v>
      </c>
      <c r="J361" s="5">
        <f t="shared" ca="1" si="51"/>
        <v>0</v>
      </c>
      <c r="K361" s="5">
        <f t="shared" ca="1" si="52"/>
        <v>0</v>
      </c>
      <c r="L361" s="5">
        <f t="shared" ca="1" si="53"/>
        <v>0</v>
      </c>
      <c r="M361" s="6">
        <f t="shared" ca="1" si="47"/>
        <v>21.917808219178081</v>
      </c>
    </row>
    <row r="362" spans="2:13" ht="13.25" hidden="1" customHeight="1" x14ac:dyDescent="0.3">
      <c r="B362" s="21"/>
      <c r="E362" s="54">
        <v>358</v>
      </c>
      <c r="F362" s="5">
        <f t="shared" ca="1" si="46"/>
        <v>0</v>
      </c>
      <c r="G362" s="5">
        <f t="shared" ca="1" si="48"/>
        <v>800</v>
      </c>
      <c r="H362" s="5">
        <f t="shared" ca="1" si="49"/>
        <v>800</v>
      </c>
      <c r="I362" s="5">
        <f t="shared" ca="1" si="50"/>
        <v>0</v>
      </c>
      <c r="J362" s="5">
        <f t="shared" ca="1" si="51"/>
        <v>0</v>
      </c>
      <c r="K362" s="5">
        <f t="shared" ca="1" si="52"/>
        <v>0</v>
      </c>
      <c r="L362" s="5">
        <f t="shared" ca="1" si="53"/>
        <v>0</v>
      </c>
      <c r="M362" s="6">
        <f t="shared" ca="1" si="47"/>
        <v>21.917808219178081</v>
      </c>
    </row>
    <row r="363" spans="2:13" ht="13.25" hidden="1" customHeight="1" x14ac:dyDescent="0.3">
      <c r="B363" s="21"/>
      <c r="E363" s="54">
        <v>359</v>
      </c>
      <c r="F363" s="5">
        <f t="shared" ca="1" si="46"/>
        <v>120</v>
      </c>
      <c r="G363" s="5">
        <f t="shared" ca="1" si="48"/>
        <v>800</v>
      </c>
      <c r="H363" s="5">
        <f t="shared" ca="1" si="49"/>
        <v>680</v>
      </c>
      <c r="I363" s="5">
        <f t="shared" ca="1" si="50"/>
        <v>0</v>
      </c>
      <c r="J363" s="5">
        <f t="shared" ca="1" si="51"/>
        <v>0</v>
      </c>
      <c r="K363" s="5">
        <f t="shared" ca="1" si="52"/>
        <v>0</v>
      </c>
      <c r="L363" s="5">
        <f t="shared" ca="1" si="53"/>
        <v>0</v>
      </c>
      <c r="M363" s="6">
        <f t="shared" ca="1" si="47"/>
        <v>18.63013698630137</v>
      </c>
    </row>
    <row r="364" spans="2:13" ht="13.25" hidden="1" customHeight="1" x14ac:dyDescent="0.3">
      <c r="B364" s="21"/>
      <c r="E364" s="54">
        <v>360</v>
      </c>
      <c r="F364" s="5">
        <f t="shared" ca="1" si="46"/>
        <v>100</v>
      </c>
      <c r="G364" s="5">
        <f t="shared" ca="1" si="48"/>
        <v>680</v>
      </c>
      <c r="H364" s="5">
        <f t="shared" ca="1" si="49"/>
        <v>580</v>
      </c>
      <c r="I364" s="5">
        <f t="shared" ca="1" si="50"/>
        <v>0</v>
      </c>
      <c r="J364" s="5">
        <f t="shared" ca="1" si="51"/>
        <v>0</v>
      </c>
      <c r="K364" s="5">
        <f t="shared" ca="1" si="52"/>
        <v>0</v>
      </c>
      <c r="L364" s="5">
        <f t="shared" ca="1" si="53"/>
        <v>0</v>
      </c>
      <c r="M364" s="6">
        <f t="shared" ca="1" si="47"/>
        <v>15.890410958904109</v>
      </c>
    </row>
    <row r="365" spans="2:13" ht="13.25" hidden="1" customHeight="1" x14ac:dyDescent="0.3">
      <c r="B365" s="21"/>
      <c r="E365" s="54">
        <v>361</v>
      </c>
      <c r="F365" s="5">
        <f t="shared" ca="1" si="46"/>
        <v>0</v>
      </c>
      <c r="G365" s="5">
        <f t="shared" ca="1" si="48"/>
        <v>580</v>
      </c>
      <c r="H365" s="5">
        <f t="shared" ca="1" si="49"/>
        <v>580</v>
      </c>
      <c r="I365" s="5">
        <f t="shared" ca="1" si="50"/>
        <v>0</v>
      </c>
      <c r="J365" s="5">
        <f t="shared" ca="1" si="51"/>
        <v>0</v>
      </c>
      <c r="K365" s="5">
        <f t="shared" ca="1" si="52"/>
        <v>0</v>
      </c>
      <c r="L365" s="5">
        <f t="shared" ca="1" si="53"/>
        <v>0</v>
      </c>
      <c r="M365" s="6">
        <f t="shared" ca="1" si="47"/>
        <v>15.890410958904109</v>
      </c>
    </row>
    <row r="366" spans="2:13" ht="13.25" hidden="1" customHeight="1" x14ac:dyDescent="0.3">
      <c r="B366" s="21"/>
      <c r="E366" s="54">
        <v>362</v>
      </c>
      <c r="F366" s="5">
        <f t="shared" ca="1" si="46"/>
        <v>100</v>
      </c>
      <c r="G366" s="5">
        <f t="shared" ca="1" si="48"/>
        <v>580</v>
      </c>
      <c r="H366" s="5">
        <f t="shared" ca="1" si="49"/>
        <v>480</v>
      </c>
      <c r="I366" s="5">
        <f t="shared" ca="1" si="50"/>
        <v>0</v>
      </c>
      <c r="J366" s="5">
        <f t="shared" ca="1" si="51"/>
        <v>0</v>
      </c>
      <c r="K366" s="5">
        <f t="shared" ca="1" si="52"/>
        <v>0</v>
      </c>
      <c r="L366" s="5">
        <f t="shared" ca="1" si="53"/>
        <v>0</v>
      </c>
      <c r="M366" s="6">
        <f t="shared" ca="1" si="47"/>
        <v>13.150684931506849</v>
      </c>
    </row>
    <row r="367" spans="2:13" ht="13.25" hidden="1" customHeight="1" x14ac:dyDescent="0.3">
      <c r="B367" s="21"/>
      <c r="E367" s="54">
        <v>363</v>
      </c>
      <c r="F367" s="5">
        <f t="shared" ca="1" si="46"/>
        <v>0</v>
      </c>
      <c r="G367" s="5">
        <f t="shared" ca="1" si="48"/>
        <v>480</v>
      </c>
      <c r="H367" s="5">
        <f t="shared" ca="1" si="49"/>
        <v>480</v>
      </c>
      <c r="I367" s="5">
        <f t="shared" ca="1" si="50"/>
        <v>0</v>
      </c>
      <c r="J367" s="5">
        <f t="shared" ca="1" si="51"/>
        <v>0</v>
      </c>
      <c r="K367" s="5">
        <f t="shared" ca="1" si="52"/>
        <v>0</v>
      </c>
      <c r="L367" s="5">
        <f t="shared" ca="1" si="53"/>
        <v>0</v>
      </c>
      <c r="M367" s="6">
        <f t="shared" ca="1" si="47"/>
        <v>13.150684931506849</v>
      </c>
    </row>
    <row r="368" spans="2:13" ht="13.25" hidden="1" customHeight="1" x14ac:dyDescent="0.3">
      <c r="B368" s="21"/>
      <c r="E368" s="54">
        <v>364</v>
      </c>
      <c r="F368" s="5">
        <f t="shared" ca="1" si="46"/>
        <v>110</v>
      </c>
      <c r="G368" s="5">
        <f t="shared" ca="1" si="48"/>
        <v>480</v>
      </c>
      <c r="H368" s="5">
        <f t="shared" ca="1" si="49"/>
        <v>370</v>
      </c>
      <c r="I368" s="5">
        <f t="shared" ca="1" si="50"/>
        <v>0</v>
      </c>
      <c r="J368" s="5">
        <f t="shared" ca="1" si="51"/>
        <v>0</v>
      </c>
      <c r="K368" s="5">
        <f t="shared" ca="1" si="52"/>
        <v>0</v>
      </c>
      <c r="L368" s="5">
        <f t="shared" ca="1" si="53"/>
        <v>0</v>
      </c>
      <c r="M368" s="6">
        <f t="shared" ca="1" si="47"/>
        <v>10.136986301369863</v>
      </c>
    </row>
    <row r="369" spans="2:13" ht="13.25" customHeight="1" x14ac:dyDescent="0.3">
      <c r="B369" s="21"/>
      <c r="E369" s="54">
        <v>365</v>
      </c>
      <c r="F369" s="5">
        <f t="shared" ca="1" si="46"/>
        <v>120</v>
      </c>
      <c r="G369" s="5">
        <f t="shared" ca="1" si="48"/>
        <v>370</v>
      </c>
      <c r="H369" s="5">
        <f t="shared" ca="1" si="49"/>
        <v>250</v>
      </c>
      <c r="I369" s="5">
        <f t="shared" ca="1" si="50"/>
        <v>0</v>
      </c>
      <c r="J369" s="5">
        <f t="shared" ca="1" si="51"/>
        <v>0</v>
      </c>
      <c r="K369" s="5">
        <f t="shared" ca="1" si="52"/>
        <v>0</v>
      </c>
      <c r="L369" s="5">
        <f t="shared" ca="1" si="53"/>
        <v>0</v>
      </c>
      <c r="M369" s="16">
        <f t="shared" ca="1" si="47"/>
        <v>6.8493150684931505</v>
      </c>
    </row>
    <row r="370" spans="2:13" x14ac:dyDescent="0.3">
      <c r="E370" s="42"/>
      <c r="F370" s="42"/>
      <c r="G370" s="42"/>
      <c r="H370" s="42"/>
      <c r="I370" s="42"/>
      <c r="J370" s="42"/>
      <c r="K370" s="42"/>
      <c r="L370" s="42"/>
      <c r="M370" s="42"/>
    </row>
    <row r="371" spans="2:13" ht="13.25" customHeight="1" x14ac:dyDescent="0.3">
      <c r="F371" s="12"/>
      <c r="G371" s="13"/>
      <c r="K371" s="14"/>
      <c r="L371" s="14"/>
      <c r="M371" s="4"/>
    </row>
    <row r="372" spans="2:13" ht="13.25" customHeight="1" x14ac:dyDescent="0.3">
      <c r="F372" s="12"/>
      <c r="G372" s="13"/>
      <c r="K372" s="14"/>
      <c r="L372" s="14"/>
      <c r="M372" s="4"/>
    </row>
    <row r="373" spans="2:13" ht="13.25" customHeight="1" x14ac:dyDescent="0.3">
      <c r="F373" s="12"/>
      <c r="G373" s="13"/>
      <c r="K373" s="14"/>
      <c r="L373" s="14"/>
      <c r="M373" s="4"/>
    </row>
    <row r="374" spans="2:13" ht="13.25" customHeight="1" x14ac:dyDescent="0.3">
      <c r="F374" s="12"/>
      <c r="G374" s="13"/>
      <c r="K374" s="14"/>
      <c r="L374" s="14"/>
      <c r="M374" s="4"/>
    </row>
    <row r="375" spans="2:13" ht="13.25" customHeight="1" x14ac:dyDescent="0.3">
      <c r="F375" s="12"/>
      <c r="G375" s="13"/>
      <c r="K375" s="14"/>
      <c r="L375" s="14"/>
      <c r="M375" s="4"/>
    </row>
    <row r="376" spans="2:13" ht="13.25" customHeight="1" x14ac:dyDescent="0.3">
      <c r="F376" s="12"/>
      <c r="G376" s="13"/>
      <c r="K376" s="14"/>
      <c r="L376" s="14"/>
      <c r="M376" s="4"/>
    </row>
    <row r="377" spans="2:13" ht="13.25" customHeight="1" x14ac:dyDescent="0.3">
      <c r="F377" s="12"/>
      <c r="G377" s="13"/>
      <c r="K377" s="14"/>
      <c r="L377" s="14"/>
      <c r="M377" s="4"/>
    </row>
    <row r="378" spans="2:13" ht="13.25" customHeight="1" x14ac:dyDescent="0.3">
      <c r="F378" s="12"/>
      <c r="G378" s="13"/>
      <c r="K378" s="14"/>
      <c r="L378" s="14"/>
      <c r="M378" s="4"/>
    </row>
    <row r="379" spans="2:13" ht="13.25" customHeight="1" x14ac:dyDescent="0.3">
      <c r="F379" s="12"/>
      <c r="G379" s="13"/>
      <c r="K379" s="14"/>
      <c r="L379" s="14"/>
      <c r="M379" s="4"/>
    </row>
    <row r="380" spans="2:13" ht="13.25" customHeight="1" x14ac:dyDescent="0.3">
      <c r="F380" s="12"/>
      <c r="G380" s="13"/>
      <c r="K380" s="14"/>
      <c r="L380" s="14"/>
      <c r="M380" s="4"/>
    </row>
    <row r="381" spans="2:13" ht="13.25" customHeight="1" x14ac:dyDescent="0.3">
      <c r="F381" s="12"/>
      <c r="G381" s="13"/>
      <c r="K381" s="14"/>
      <c r="L381" s="14"/>
      <c r="M381" s="4"/>
    </row>
    <row r="382" spans="2:13" ht="13.25" customHeight="1" x14ac:dyDescent="0.3">
      <c r="F382" s="12"/>
      <c r="G382" s="13"/>
      <c r="K382" s="14"/>
      <c r="L382" s="14"/>
      <c r="M382" s="4"/>
    </row>
    <row r="383" spans="2:13" ht="13.25" customHeight="1" x14ac:dyDescent="0.3">
      <c r="F383" s="12"/>
      <c r="G383" s="13"/>
      <c r="K383" s="14"/>
      <c r="L383" s="14"/>
      <c r="M383" s="4"/>
    </row>
    <row r="384" spans="2:13" ht="13.25" customHeight="1" x14ac:dyDescent="0.3">
      <c r="F384" s="12"/>
      <c r="G384" s="13"/>
      <c r="K384" s="14"/>
      <c r="L384" s="14"/>
      <c r="M384" s="4"/>
    </row>
    <row r="385" spans="6:13" ht="13.25" customHeight="1" x14ac:dyDescent="0.3">
      <c r="F385" s="12"/>
      <c r="G385" s="13"/>
      <c r="K385" s="14"/>
      <c r="L385" s="14"/>
      <c r="M385" s="4"/>
    </row>
    <row r="386" spans="6:13" ht="13.25" customHeight="1" x14ac:dyDescent="0.3">
      <c r="F386" s="12"/>
      <c r="G386" s="13"/>
      <c r="K386" s="14"/>
      <c r="L386" s="14"/>
      <c r="M386" s="4"/>
    </row>
    <row r="387" spans="6:13" ht="13.25" customHeight="1" x14ac:dyDescent="0.3">
      <c r="F387" s="12"/>
      <c r="G387" s="13"/>
      <c r="K387" s="14"/>
      <c r="L387" s="14"/>
      <c r="M387" s="4"/>
    </row>
    <row r="388" spans="6:13" ht="13.25" customHeight="1" x14ac:dyDescent="0.3">
      <c r="F388" s="12"/>
      <c r="G388" s="13"/>
      <c r="K388" s="14"/>
      <c r="L388" s="14"/>
      <c r="M388" s="4"/>
    </row>
    <row r="389" spans="6:13" ht="13.25" customHeight="1" x14ac:dyDescent="0.3">
      <c r="F389" s="12"/>
      <c r="G389" s="13"/>
      <c r="K389" s="14"/>
      <c r="L389" s="14"/>
      <c r="M389" s="4"/>
    </row>
    <row r="390" spans="6:13" ht="13.25" customHeight="1" x14ac:dyDescent="0.3">
      <c r="F390" s="12"/>
      <c r="G390" s="13"/>
      <c r="K390" s="14"/>
      <c r="L390" s="14"/>
      <c r="M390" s="4"/>
    </row>
    <row r="391" spans="6:13" ht="13.25" customHeight="1" x14ac:dyDescent="0.3">
      <c r="F391" s="12"/>
      <c r="G391" s="13"/>
      <c r="K391" s="14"/>
      <c r="L391" s="14"/>
      <c r="M391" s="4"/>
    </row>
    <row r="392" spans="6:13" ht="13.25" customHeight="1" x14ac:dyDescent="0.3">
      <c r="F392" s="12"/>
      <c r="G392" s="13"/>
      <c r="K392" s="14"/>
      <c r="L392" s="14"/>
      <c r="M392" s="4"/>
    </row>
    <row r="393" spans="6:13" ht="13.25" customHeight="1" x14ac:dyDescent="0.3">
      <c r="F393" s="12"/>
      <c r="G393" s="13"/>
      <c r="K393" s="14"/>
      <c r="L393" s="14"/>
      <c r="M393" s="4"/>
    </row>
    <row r="394" spans="6:13" ht="13.25" customHeight="1" x14ac:dyDescent="0.3">
      <c r="F394" s="12"/>
      <c r="G394" s="13"/>
      <c r="K394" s="14"/>
      <c r="L394" s="14"/>
      <c r="M394" s="4"/>
    </row>
    <row r="395" spans="6:13" ht="13.25" customHeight="1" x14ac:dyDescent="0.3">
      <c r="F395" s="12"/>
      <c r="G395" s="13"/>
      <c r="K395" s="14"/>
      <c r="L395" s="14"/>
      <c r="M395" s="4"/>
    </row>
    <row r="396" spans="6:13" ht="13.25" customHeight="1" x14ac:dyDescent="0.3">
      <c r="F396" s="12"/>
      <c r="G396" s="13"/>
      <c r="K396" s="14"/>
      <c r="L396" s="14"/>
      <c r="M396" s="4"/>
    </row>
    <row r="397" spans="6:13" ht="13.25" customHeight="1" x14ac:dyDescent="0.3">
      <c r="F397" s="12"/>
      <c r="G397" s="13"/>
      <c r="K397" s="14"/>
      <c r="L397" s="14"/>
      <c r="M397" s="4"/>
    </row>
    <row r="398" spans="6:13" ht="13.25" customHeight="1" x14ac:dyDescent="0.3">
      <c r="F398" s="12"/>
      <c r="G398" s="13"/>
      <c r="K398" s="14"/>
      <c r="L398" s="14"/>
      <c r="M398" s="4"/>
    </row>
    <row r="399" spans="6:13" ht="13.25" customHeight="1" x14ac:dyDescent="0.3">
      <c r="F399" s="12"/>
      <c r="G399" s="13"/>
      <c r="K399" s="14"/>
      <c r="L399" s="14"/>
      <c r="M399" s="4"/>
    </row>
    <row r="400" spans="6:13" ht="13.25" customHeight="1" x14ac:dyDescent="0.3">
      <c r="F400" s="12"/>
      <c r="G400" s="13"/>
      <c r="K400" s="14"/>
      <c r="L400" s="14"/>
      <c r="M400" s="4"/>
    </row>
    <row r="401" spans="6:13" ht="13.25" customHeight="1" x14ac:dyDescent="0.3">
      <c r="F401" s="12"/>
      <c r="G401" s="13"/>
      <c r="K401" s="14"/>
      <c r="L401" s="14"/>
      <c r="M401" s="4"/>
    </row>
    <row r="402" spans="6:13" ht="13.25" customHeight="1" x14ac:dyDescent="0.3">
      <c r="F402" s="12"/>
      <c r="G402" s="13"/>
      <c r="K402" s="14"/>
      <c r="L402" s="14"/>
      <c r="M402" s="4"/>
    </row>
    <row r="403" spans="6:13" ht="13.25" customHeight="1" x14ac:dyDescent="0.3">
      <c r="F403" s="12"/>
      <c r="G403" s="13"/>
      <c r="K403" s="14"/>
      <c r="L403" s="14"/>
      <c r="M403" s="4"/>
    </row>
    <row r="404" spans="6:13" ht="13.25" customHeight="1" x14ac:dyDescent="0.3">
      <c r="F404" s="12"/>
      <c r="G404" s="13"/>
      <c r="K404" s="14"/>
      <c r="L404" s="14"/>
      <c r="M404" s="4"/>
    </row>
    <row r="405" spans="6:13" ht="13.25" customHeight="1" x14ac:dyDescent="0.3">
      <c r="F405" s="12"/>
      <c r="G405" s="13"/>
      <c r="K405" s="14"/>
      <c r="L405" s="14"/>
      <c r="M405" s="4"/>
    </row>
    <row r="406" spans="6:13" ht="13.25" customHeight="1" x14ac:dyDescent="0.3">
      <c r="F406" s="12"/>
      <c r="G406" s="13"/>
      <c r="K406" s="14"/>
      <c r="L406" s="14"/>
      <c r="M406" s="4"/>
    </row>
    <row r="407" spans="6:13" ht="13.25" customHeight="1" x14ac:dyDescent="0.3">
      <c r="F407" s="12"/>
      <c r="G407" s="13"/>
      <c r="K407" s="14"/>
      <c r="L407" s="14"/>
      <c r="M407" s="4"/>
    </row>
    <row r="408" spans="6:13" ht="13.25" customHeight="1" x14ac:dyDescent="0.3">
      <c r="F408" s="12"/>
      <c r="G408" s="13"/>
      <c r="K408" s="14"/>
      <c r="L408" s="14"/>
      <c r="M408" s="4"/>
    </row>
    <row r="409" spans="6:13" ht="13.25" customHeight="1" x14ac:dyDescent="0.3">
      <c r="F409" s="12"/>
      <c r="G409" s="13"/>
      <c r="K409" s="14"/>
      <c r="L409" s="14"/>
      <c r="M409" s="4"/>
    </row>
    <row r="410" spans="6:13" ht="13.25" customHeight="1" x14ac:dyDescent="0.3">
      <c r="F410" s="12"/>
      <c r="G410" s="13"/>
      <c r="K410" s="14"/>
      <c r="L410" s="14"/>
      <c r="M410" s="4"/>
    </row>
    <row r="411" spans="6:13" ht="13.25" customHeight="1" x14ac:dyDescent="0.3">
      <c r="F411" s="12"/>
      <c r="G411" s="13"/>
      <c r="K411" s="14"/>
      <c r="L411" s="14"/>
      <c r="M411" s="4"/>
    </row>
    <row r="412" spans="6:13" ht="13.25" customHeight="1" x14ac:dyDescent="0.3">
      <c r="F412" s="12"/>
      <c r="G412" s="13"/>
      <c r="K412" s="14"/>
      <c r="L412" s="14"/>
      <c r="M412" s="4"/>
    </row>
    <row r="413" spans="6:13" ht="13.25" customHeight="1" x14ac:dyDescent="0.3">
      <c r="F413" s="12"/>
      <c r="G413" s="13"/>
      <c r="K413" s="14"/>
      <c r="L413" s="14"/>
      <c r="M413" s="4"/>
    </row>
    <row r="414" spans="6:13" ht="13.25" customHeight="1" x14ac:dyDescent="0.3">
      <c r="F414" s="12"/>
      <c r="G414" s="13"/>
      <c r="K414" s="14"/>
      <c r="L414" s="14"/>
      <c r="M414" s="4"/>
    </row>
    <row r="415" spans="6:13" ht="13.25" customHeight="1" x14ac:dyDescent="0.3">
      <c r="F415" s="12"/>
      <c r="G415" s="13"/>
      <c r="K415" s="14"/>
      <c r="L415" s="14"/>
      <c r="M415" s="4"/>
    </row>
    <row r="416" spans="6:13" ht="13.25" customHeight="1" x14ac:dyDescent="0.3">
      <c r="F416" s="12"/>
      <c r="G416" s="13"/>
      <c r="K416" s="14"/>
      <c r="L416" s="14"/>
      <c r="M416" s="4"/>
    </row>
    <row r="417" spans="6:13" ht="13.25" customHeight="1" x14ac:dyDescent="0.3">
      <c r="F417" s="12"/>
      <c r="G417" s="13"/>
      <c r="K417" s="14"/>
      <c r="L417" s="14"/>
      <c r="M417" s="4"/>
    </row>
    <row r="418" spans="6:13" ht="13.25" customHeight="1" x14ac:dyDescent="0.3">
      <c r="F418" s="12"/>
      <c r="G418" s="13"/>
      <c r="K418" s="14"/>
      <c r="L418" s="14"/>
      <c r="M418" s="4"/>
    </row>
    <row r="419" spans="6:13" ht="13.25" customHeight="1" x14ac:dyDescent="0.3">
      <c r="F419" s="12"/>
      <c r="G419" s="13"/>
      <c r="K419" s="14"/>
      <c r="L419" s="14"/>
      <c r="M419" s="4"/>
    </row>
    <row r="420" spans="6:13" ht="13.25" customHeight="1" x14ac:dyDescent="0.3">
      <c r="F420" s="12"/>
      <c r="G420" s="13"/>
      <c r="K420" s="14"/>
      <c r="L420" s="14"/>
      <c r="M420" s="4"/>
    </row>
    <row r="421" spans="6:13" ht="13.25" customHeight="1" x14ac:dyDescent="0.3">
      <c r="F421" s="12"/>
      <c r="G421" s="13"/>
      <c r="K421" s="14"/>
      <c r="L421" s="14"/>
      <c r="M421" s="4"/>
    </row>
    <row r="422" spans="6:13" ht="13.25" customHeight="1" x14ac:dyDescent="0.3">
      <c r="F422" s="12"/>
      <c r="G422" s="13"/>
      <c r="K422" s="14"/>
      <c r="L422" s="14"/>
      <c r="M422" s="4"/>
    </row>
    <row r="423" spans="6:13" ht="13.25" customHeight="1" x14ac:dyDescent="0.3">
      <c r="F423" s="12"/>
      <c r="G423" s="13"/>
      <c r="K423" s="14"/>
      <c r="L423" s="14"/>
      <c r="M423" s="4"/>
    </row>
    <row r="424" spans="6:13" ht="13.25" customHeight="1" x14ac:dyDescent="0.3">
      <c r="F424" s="12"/>
      <c r="G424" s="13"/>
      <c r="K424" s="14"/>
      <c r="L424" s="14"/>
      <c r="M424" s="4"/>
    </row>
    <row r="425" spans="6:13" ht="13.25" customHeight="1" x14ac:dyDescent="0.3"/>
    <row r="426" spans="6:13" ht="13.25" customHeight="1" x14ac:dyDescent="0.3"/>
    <row r="427" spans="6:13" ht="13.25" customHeight="1" x14ac:dyDescent="0.3"/>
    <row r="428" spans="6:13" ht="13.25" customHeight="1" x14ac:dyDescent="0.3"/>
    <row r="429" spans="6:13" ht="13.25" customHeight="1" x14ac:dyDescent="0.3"/>
  </sheetData>
  <mergeCells count="1">
    <mergeCell ref="E2:E3"/>
  </mergeCells>
  <phoneticPr fontId="2" type="noConversion"/>
  <printOptions headings="1"/>
  <pageMargins left="0.75" right="0.75" top="1" bottom="1" header="0.5" footer="0.5"/>
  <pageSetup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zoomScale="93" zoomScaleNormal="93" workbookViewId="0">
      <selection activeCell="O10" sqref="O10"/>
    </sheetView>
  </sheetViews>
  <sheetFormatPr defaultRowHeight="12.75" x14ac:dyDescent="0.35"/>
  <sheetData/>
  <phoneticPr fontId="2" type="noConversion"/>
  <pageMargins left="0.75" right="0.75" top="1" bottom="1" header="0.5" footer="0.5"/>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DL429"/>
  <sheetViews>
    <sheetView showGridLines="0" zoomScaleNormal="100" workbookViewId="0">
      <selection activeCell="EA376" sqref="EA376"/>
    </sheetView>
  </sheetViews>
  <sheetFormatPr defaultColWidth="8.9296875" defaultRowHeight="13.5" x14ac:dyDescent="0.3"/>
  <cols>
    <col min="1" max="1" width="1.46484375" style="1" customWidth="1"/>
    <col min="2" max="2" width="14.9296875" style="1" customWidth="1"/>
    <col min="3" max="3" width="7" style="4" customWidth="1"/>
    <col min="4" max="4" width="1.46484375" style="4" customWidth="1"/>
    <col min="5" max="5" width="4.06640625" style="4" customWidth="1"/>
    <col min="6" max="6" width="6" style="4" customWidth="1"/>
    <col min="7" max="7" width="6.46484375" style="12" customWidth="1"/>
    <col min="8" max="8" width="5.73046875" style="13" customWidth="1"/>
    <col min="9" max="9" width="5.06640625" style="13" customWidth="1"/>
    <col min="10" max="10" width="5.73046875" style="13" customWidth="1"/>
    <col min="11" max="11" width="5" style="13" customWidth="1"/>
    <col min="12" max="12" width="5.59765625" style="13" customWidth="1"/>
    <col min="13" max="13" width="1.06640625" style="4" customWidth="1"/>
    <col min="14" max="14" width="6.73046875" style="4" customWidth="1"/>
    <col min="15" max="15" width="5.796875" style="4" customWidth="1"/>
    <col min="16" max="16" width="5.53125" style="7" customWidth="1"/>
    <col min="17" max="17" width="5.53125" style="4" customWidth="1"/>
    <col min="18" max="18" width="5.53125" style="8" customWidth="1"/>
    <col min="19" max="19" width="8.06640625" style="8" customWidth="1"/>
    <col min="20" max="113" width="5.53125" style="8" hidden="1" customWidth="1"/>
    <col min="114" max="114" width="7.33203125" style="8" customWidth="1"/>
    <col min="115" max="115" width="7.265625" style="8" customWidth="1"/>
    <col min="116" max="116" width="8.9296875" style="8" customWidth="1"/>
    <col min="117" max="16384" width="8.9296875" style="1"/>
  </cols>
  <sheetData>
    <row r="1" spans="2:116" x14ac:dyDescent="0.3">
      <c r="B1" s="21"/>
      <c r="E1" s="17" t="s">
        <v>35</v>
      </c>
      <c r="F1" s="9"/>
      <c r="G1" s="4"/>
      <c r="H1" s="4"/>
      <c r="I1" s="20" t="s">
        <v>36</v>
      </c>
      <c r="J1" s="5">
        <f ca="1">SUM(J5:J369)</f>
        <v>1</v>
      </c>
      <c r="K1" s="5">
        <f t="shared" ref="K1:L1" ca="1" si="0">SUM(K5:K369)</f>
        <v>2200</v>
      </c>
      <c r="L1" s="5">
        <f t="shared" ca="1" si="0"/>
        <v>6106.8493150684944</v>
      </c>
      <c r="N1" s="18" t="s">
        <v>46</v>
      </c>
      <c r="O1" s="8"/>
      <c r="P1" s="8"/>
      <c r="Q1" s="8"/>
      <c r="DK1" s="20" t="s">
        <v>39</v>
      </c>
      <c r="DL1" s="1"/>
    </row>
    <row r="2" spans="2:116" ht="13.8" customHeight="1" x14ac:dyDescent="0.3">
      <c r="B2" s="22" t="s">
        <v>34</v>
      </c>
      <c r="E2" s="59" t="s">
        <v>7</v>
      </c>
      <c r="F2" s="26" t="s">
        <v>16</v>
      </c>
      <c r="G2" s="27" t="s">
        <v>8</v>
      </c>
      <c r="H2" s="27" t="s">
        <v>9</v>
      </c>
      <c r="I2" s="28" t="s">
        <v>10</v>
      </c>
      <c r="J2" s="55" t="s">
        <v>42</v>
      </c>
      <c r="K2" s="28" t="s">
        <v>47</v>
      </c>
      <c r="L2" s="28" t="s">
        <v>49</v>
      </c>
      <c r="N2" s="29">
        <f ca="1">C11</f>
        <v>0.99726027397260275</v>
      </c>
      <c r="O2" s="30">
        <v>1</v>
      </c>
      <c r="P2" s="30">
        <v>2</v>
      </c>
      <c r="Q2" s="30">
        <v>3</v>
      </c>
      <c r="R2" s="30">
        <v>4</v>
      </c>
      <c r="S2" s="30">
        <v>5</v>
      </c>
      <c r="T2" s="30">
        <v>6</v>
      </c>
      <c r="U2" s="30">
        <v>7</v>
      </c>
      <c r="V2" s="30">
        <v>8</v>
      </c>
      <c r="W2" s="30">
        <v>9</v>
      </c>
      <c r="X2" s="30">
        <v>10</v>
      </c>
      <c r="Y2" s="30">
        <v>11</v>
      </c>
      <c r="Z2" s="30">
        <v>12</v>
      </c>
      <c r="AA2" s="30">
        <v>13</v>
      </c>
      <c r="AB2" s="30">
        <v>14</v>
      </c>
      <c r="AC2" s="30">
        <v>15</v>
      </c>
      <c r="AD2" s="30">
        <v>16</v>
      </c>
      <c r="AE2" s="30">
        <v>17</v>
      </c>
      <c r="AF2" s="30">
        <v>18</v>
      </c>
      <c r="AG2" s="30">
        <v>19</v>
      </c>
      <c r="AH2" s="30">
        <v>20</v>
      </c>
      <c r="AI2" s="30">
        <v>21</v>
      </c>
      <c r="AJ2" s="30">
        <v>22</v>
      </c>
      <c r="AK2" s="30">
        <v>23</v>
      </c>
      <c r="AL2" s="30">
        <v>24</v>
      </c>
      <c r="AM2" s="30">
        <v>25</v>
      </c>
      <c r="AN2" s="30">
        <v>26</v>
      </c>
      <c r="AO2" s="30">
        <v>27</v>
      </c>
      <c r="AP2" s="30">
        <v>28</v>
      </c>
      <c r="AQ2" s="30">
        <v>29</v>
      </c>
      <c r="AR2" s="30">
        <v>30</v>
      </c>
      <c r="AS2" s="30">
        <v>31</v>
      </c>
      <c r="AT2" s="30">
        <v>32</v>
      </c>
      <c r="AU2" s="30">
        <v>33</v>
      </c>
      <c r="AV2" s="30">
        <v>34</v>
      </c>
      <c r="AW2" s="30">
        <v>35</v>
      </c>
      <c r="AX2" s="30">
        <v>36</v>
      </c>
      <c r="AY2" s="30">
        <v>37</v>
      </c>
      <c r="AZ2" s="30">
        <v>38</v>
      </c>
      <c r="BA2" s="30">
        <v>39</v>
      </c>
      <c r="BB2" s="30">
        <v>40</v>
      </c>
      <c r="BC2" s="30">
        <v>41</v>
      </c>
      <c r="BD2" s="30">
        <v>42</v>
      </c>
      <c r="BE2" s="30">
        <v>43</v>
      </c>
      <c r="BF2" s="30">
        <v>44</v>
      </c>
      <c r="BG2" s="30">
        <v>45</v>
      </c>
      <c r="BH2" s="30">
        <v>46</v>
      </c>
      <c r="BI2" s="30">
        <v>47</v>
      </c>
      <c r="BJ2" s="30">
        <v>48</v>
      </c>
      <c r="BK2" s="30">
        <v>49</v>
      </c>
      <c r="BL2" s="30">
        <v>50</v>
      </c>
      <c r="BM2" s="30">
        <v>51</v>
      </c>
      <c r="BN2" s="30">
        <v>52</v>
      </c>
      <c r="BO2" s="30">
        <v>53</v>
      </c>
      <c r="BP2" s="30">
        <v>54</v>
      </c>
      <c r="BQ2" s="30">
        <v>55</v>
      </c>
      <c r="BR2" s="30">
        <v>56</v>
      </c>
      <c r="BS2" s="30">
        <v>57</v>
      </c>
      <c r="BT2" s="30">
        <v>58</v>
      </c>
      <c r="BU2" s="30">
        <v>59</v>
      </c>
      <c r="BV2" s="30">
        <v>60</v>
      </c>
      <c r="BW2" s="30">
        <v>61</v>
      </c>
      <c r="BX2" s="30">
        <v>62</v>
      </c>
      <c r="BY2" s="30">
        <v>63</v>
      </c>
      <c r="BZ2" s="30">
        <v>64</v>
      </c>
      <c r="CA2" s="30">
        <v>65</v>
      </c>
      <c r="CB2" s="30">
        <v>66</v>
      </c>
      <c r="CC2" s="30">
        <v>67</v>
      </c>
      <c r="CD2" s="30">
        <v>68</v>
      </c>
      <c r="CE2" s="30">
        <v>69</v>
      </c>
      <c r="CF2" s="30">
        <v>70</v>
      </c>
      <c r="CG2" s="30">
        <v>71</v>
      </c>
      <c r="CH2" s="30">
        <v>72</v>
      </c>
      <c r="CI2" s="30">
        <v>73</v>
      </c>
      <c r="CJ2" s="30">
        <v>74</v>
      </c>
      <c r="CK2" s="30">
        <v>75</v>
      </c>
      <c r="CL2" s="30">
        <v>76</v>
      </c>
      <c r="CM2" s="30">
        <v>77</v>
      </c>
      <c r="CN2" s="30">
        <v>78</v>
      </c>
      <c r="CO2" s="30">
        <v>79</v>
      </c>
      <c r="CP2" s="30">
        <v>80</v>
      </c>
      <c r="CQ2" s="30">
        <v>81</v>
      </c>
      <c r="CR2" s="30">
        <v>82</v>
      </c>
      <c r="CS2" s="30">
        <v>83</v>
      </c>
      <c r="CT2" s="30">
        <v>84</v>
      </c>
      <c r="CU2" s="30">
        <v>85</v>
      </c>
      <c r="CV2" s="30">
        <v>86</v>
      </c>
      <c r="CW2" s="30">
        <v>87</v>
      </c>
      <c r="CX2" s="30">
        <v>88</v>
      </c>
      <c r="CY2" s="30">
        <v>89</v>
      </c>
      <c r="CZ2" s="30">
        <v>90</v>
      </c>
      <c r="DA2" s="30">
        <v>91</v>
      </c>
      <c r="DB2" s="30">
        <v>92</v>
      </c>
      <c r="DC2" s="30">
        <v>93</v>
      </c>
      <c r="DD2" s="30">
        <v>94</v>
      </c>
      <c r="DE2" s="30">
        <v>95</v>
      </c>
      <c r="DF2" s="30">
        <v>96</v>
      </c>
      <c r="DG2" s="30">
        <v>97</v>
      </c>
      <c r="DH2" s="30">
        <v>98</v>
      </c>
      <c r="DI2" s="30">
        <v>99</v>
      </c>
      <c r="DJ2" s="30">
        <v>100</v>
      </c>
      <c r="DK2" s="31" t="s">
        <v>31</v>
      </c>
      <c r="DL2" s="1"/>
    </row>
    <row r="3" spans="2:116" ht="14" customHeight="1" x14ac:dyDescent="0.3">
      <c r="B3" s="32" t="s">
        <v>26</v>
      </c>
      <c r="C3" s="2">
        <v>100</v>
      </c>
      <c r="E3" s="60"/>
      <c r="F3" s="33" t="s">
        <v>17</v>
      </c>
      <c r="G3" s="34" t="s">
        <v>33</v>
      </c>
      <c r="H3" s="34" t="s">
        <v>33</v>
      </c>
      <c r="I3" s="35" t="s">
        <v>12</v>
      </c>
      <c r="J3" s="56" t="s">
        <v>43</v>
      </c>
      <c r="K3" s="35" t="s">
        <v>48</v>
      </c>
      <c r="L3" s="35" t="s">
        <v>48</v>
      </c>
      <c r="N3" s="2">
        <v>10</v>
      </c>
      <c r="O3" s="36">
        <f t="dataTable" ref="O3:DJ13" dt2D="1" dtr="1" r1="M1" r2="C3" ca="1"/>
        <v>0.9671232876712329</v>
      </c>
      <c r="P3" s="36">
        <v>0.96986301369863015</v>
      </c>
      <c r="Q3" s="36">
        <v>0.9780821917808219</v>
      </c>
      <c r="R3" s="36">
        <v>0.96986301369863015</v>
      </c>
      <c r="S3" s="36">
        <v>0.9726027397260274</v>
      </c>
      <c r="T3" s="36">
        <v>0.9726027397260274</v>
      </c>
      <c r="U3" s="36">
        <v>0.96986301369863015</v>
      </c>
      <c r="V3" s="36">
        <v>0.9671232876712329</v>
      </c>
      <c r="W3" s="36">
        <v>0.9726027397260274</v>
      </c>
      <c r="X3" s="36">
        <v>0.9726027397260274</v>
      </c>
      <c r="Y3" s="36">
        <v>0.9726027397260274</v>
      </c>
      <c r="Z3" s="36">
        <v>0.97534246575342465</v>
      </c>
      <c r="AA3" s="36">
        <v>0.9726027397260274</v>
      </c>
      <c r="AB3" s="36">
        <v>0.97534246575342465</v>
      </c>
      <c r="AC3" s="36">
        <v>0.9780821917808219</v>
      </c>
      <c r="AD3" s="36">
        <v>0.9671232876712329</v>
      </c>
      <c r="AE3" s="36">
        <v>0.98356164383561639</v>
      </c>
      <c r="AF3" s="36">
        <v>0.9780821917808219</v>
      </c>
      <c r="AG3" s="36">
        <v>0.9780821917808219</v>
      </c>
      <c r="AH3" s="36">
        <v>0.9726027397260274</v>
      </c>
      <c r="AI3" s="36">
        <v>0.9726027397260274</v>
      </c>
      <c r="AJ3" s="36">
        <v>0.97534246575342465</v>
      </c>
      <c r="AK3" s="36">
        <v>0.9726027397260274</v>
      </c>
      <c r="AL3" s="36">
        <v>0.9726027397260274</v>
      </c>
      <c r="AM3" s="36">
        <v>0.97534246575342465</v>
      </c>
      <c r="AN3" s="36">
        <v>0.96986301369863015</v>
      </c>
      <c r="AO3" s="36">
        <v>0.9726027397260274</v>
      </c>
      <c r="AP3" s="36">
        <v>0.9726027397260274</v>
      </c>
      <c r="AQ3" s="36">
        <v>0.96986301369863015</v>
      </c>
      <c r="AR3" s="36">
        <v>0.9671232876712329</v>
      </c>
      <c r="AS3" s="36">
        <v>0.9671232876712329</v>
      </c>
      <c r="AT3" s="36">
        <v>0.96438356164383565</v>
      </c>
      <c r="AU3" s="36">
        <v>0.9726027397260274</v>
      </c>
      <c r="AV3" s="36">
        <v>0.97534246575342465</v>
      </c>
      <c r="AW3" s="36">
        <v>0.97534246575342465</v>
      </c>
      <c r="AX3" s="36">
        <v>0.9726027397260274</v>
      </c>
      <c r="AY3" s="36">
        <v>0.96986301369863015</v>
      </c>
      <c r="AZ3" s="36">
        <v>0.9726027397260274</v>
      </c>
      <c r="BA3" s="36">
        <v>0.9726027397260274</v>
      </c>
      <c r="BB3" s="36">
        <v>0.9726027397260274</v>
      </c>
      <c r="BC3" s="36">
        <v>0.97534246575342465</v>
      </c>
      <c r="BD3" s="36">
        <v>0.9726027397260274</v>
      </c>
      <c r="BE3" s="36">
        <v>0.96986301369863015</v>
      </c>
      <c r="BF3" s="36">
        <v>0.96438356164383565</v>
      </c>
      <c r="BG3" s="36">
        <v>0.98630136986301364</v>
      </c>
      <c r="BH3" s="36">
        <v>0.97534246575342465</v>
      </c>
      <c r="BI3" s="36">
        <v>0.96986301369863015</v>
      </c>
      <c r="BJ3" s="36">
        <v>0.96986301369863015</v>
      </c>
      <c r="BK3" s="36">
        <v>0.9780821917808219</v>
      </c>
      <c r="BL3" s="36">
        <v>0.9726027397260274</v>
      </c>
      <c r="BM3" s="36">
        <v>0.9780821917808219</v>
      </c>
      <c r="BN3" s="36">
        <v>0.98082191780821915</v>
      </c>
      <c r="BO3" s="36">
        <v>0.9726027397260274</v>
      </c>
      <c r="BP3" s="36">
        <v>0.9726027397260274</v>
      </c>
      <c r="BQ3" s="36">
        <v>0.97534246575342465</v>
      </c>
      <c r="BR3" s="36">
        <v>0.9726027397260274</v>
      </c>
      <c r="BS3" s="36">
        <v>0.97534246575342465</v>
      </c>
      <c r="BT3" s="36">
        <v>0.9726027397260274</v>
      </c>
      <c r="BU3" s="36">
        <v>0.9726027397260274</v>
      </c>
      <c r="BV3" s="36">
        <v>0.96986301369863015</v>
      </c>
      <c r="BW3" s="36">
        <v>0.98082191780821915</v>
      </c>
      <c r="BX3" s="36">
        <v>0.97534246575342465</v>
      </c>
      <c r="BY3" s="36">
        <v>0.9726027397260274</v>
      </c>
      <c r="BZ3" s="36">
        <v>0.97534246575342465</v>
      </c>
      <c r="CA3" s="36">
        <v>0.97534246575342465</v>
      </c>
      <c r="CB3" s="36">
        <v>0.97534246575342465</v>
      </c>
      <c r="CC3" s="36">
        <v>0.9671232876712329</v>
      </c>
      <c r="CD3" s="36">
        <v>0.9780821917808219</v>
      </c>
      <c r="CE3" s="36">
        <v>0.96986301369863015</v>
      </c>
      <c r="CF3" s="36">
        <v>0.9726027397260274</v>
      </c>
      <c r="CG3" s="36">
        <v>0.9726027397260274</v>
      </c>
      <c r="CH3" s="36">
        <v>0.9726027397260274</v>
      </c>
      <c r="CI3" s="36">
        <v>0.96986301369863015</v>
      </c>
      <c r="CJ3" s="36">
        <v>0.9780821917808219</v>
      </c>
      <c r="CK3" s="36">
        <v>0.9780821917808219</v>
      </c>
      <c r="CL3" s="36">
        <v>0.96986301369863015</v>
      </c>
      <c r="CM3" s="36">
        <v>0.97534246575342465</v>
      </c>
      <c r="CN3" s="36">
        <v>0.9671232876712329</v>
      </c>
      <c r="CO3" s="36">
        <v>0.9671232876712329</v>
      </c>
      <c r="CP3" s="36">
        <v>0.97534246575342465</v>
      </c>
      <c r="CQ3" s="36">
        <v>0.96986301369863015</v>
      </c>
      <c r="CR3" s="36">
        <v>0.9780821917808219</v>
      </c>
      <c r="CS3" s="36">
        <v>0.97534246575342465</v>
      </c>
      <c r="CT3" s="36">
        <v>0.9726027397260274</v>
      </c>
      <c r="CU3" s="36">
        <v>0.96986301369863015</v>
      </c>
      <c r="CV3" s="36">
        <v>0.9726027397260274</v>
      </c>
      <c r="CW3" s="36">
        <v>0.9726027397260274</v>
      </c>
      <c r="CX3" s="36">
        <v>0.9726027397260274</v>
      </c>
      <c r="CY3" s="36">
        <v>0.9726027397260274</v>
      </c>
      <c r="CZ3" s="36">
        <v>0.96986301369863015</v>
      </c>
      <c r="DA3" s="36">
        <v>0.97534246575342465</v>
      </c>
      <c r="DB3" s="36">
        <v>0.98082191780821915</v>
      </c>
      <c r="DC3" s="36">
        <v>0.96986301369863015</v>
      </c>
      <c r="DD3" s="36">
        <v>0.96986301369863015</v>
      </c>
      <c r="DE3" s="36">
        <v>0.97534246575342465</v>
      </c>
      <c r="DF3" s="36">
        <v>0.97534246575342465</v>
      </c>
      <c r="DG3" s="36">
        <v>0.9726027397260274</v>
      </c>
      <c r="DH3" s="36">
        <v>0.9726027397260274</v>
      </c>
      <c r="DI3" s="36">
        <v>0.9726027397260274</v>
      </c>
      <c r="DJ3" s="36">
        <v>0.97534246575342465</v>
      </c>
      <c r="DK3" s="37">
        <f t="shared" ref="DK3:DK4" si="1">AVERAGE(O3:DJ3)</f>
        <v>0.97312328767123335</v>
      </c>
      <c r="DL3" s="1"/>
    </row>
    <row r="4" spans="2:116" ht="13.25" customHeight="1" x14ac:dyDescent="0.3">
      <c r="B4" s="38" t="s">
        <v>29</v>
      </c>
      <c r="C4" s="2">
        <v>200</v>
      </c>
      <c r="E4" s="5">
        <v>0</v>
      </c>
      <c r="F4" s="5"/>
      <c r="G4" s="5"/>
      <c r="H4" s="5">
        <f>C6</f>
        <v>100</v>
      </c>
      <c r="I4" s="5"/>
      <c r="J4" s="5"/>
      <c r="K4" s="5"/>
      <c r="L4" s="5"/>
      <c r="N4" s="2">
        <v>20</v>
      </c>
      <c r="O4" s="36">
        <v>0.9726027397260274</v>
      </c>
      <c r="P4" s="36">
        <v>0.96986301369863015</v>
      </c>
      <c r="Q4" s="36">
        <v>0.9726027397260274</v>
      </c>
      <c r="R4" s="36">
        <v>0.97534246575342465</v>
      </c>
      <c r="S4" s="36">
        <v>0.96986301369863015</v>
      </c>
      <c r="T4" s="36">
        <v>0.9780821917808219</v>
      </c>
      <c r="U4" s="36">
        <v>0.97534246575342465</v>
      </c>
      <c r="V4" s="36">
        <v>0.9726027397260274</v>
      </c>
      <c r="W4" s="36">
        <v>0.9780821917808219</v>
      </c>
      <c r="X4" s="36">
        <v>0.98082191780821915</v>
      </c>
      <c r="Y4" s="36">
        <v>0.9726027397260274</v>
      </c>
      <c r="Z4" s="36">
        <v>0.9780821917808219</v>
      </c>
      <c r="AA4" s="36">
        <v>0.9726027397260274</v>
      </c>
      <c r="AB4" s="36">
        <v>0.97534246575342465</v>
      </c>
      <c r="AC4" s="36">
        <v>0.9780821917808219</v>
      </c>
      <c r="AD4" s="36">
        <v>0.98082191780821915</v>
      </c>
      <c r="AE4" s="36">
        <v>0.9780821917808219</v>
      </c>
      <c r="AF4" s="36">
        <v>0.9780821917808219</v>
      </c>
      <c r="AG4" s="36">
        <v>0.9726027397260274</v>
      </c>
      <c r="AH4" s="36">
        <v>0.9726027397260274</v>
      </c>
      <c r="AI4" s="36">
        <v>0.98356164383561639</v>
      </c>
      <c r="AJ4" s="36">
        <v>0.97534246575342465</v>
      </c>
      <c r="AK4" s="36">
        <v>0.98356164383561639</v>
      </c>
      <c r="AL4" s="36">
        <v>0.9780821917808219</v>
      </c>
      <c r="AM4" s="36">
        <v>0.98356164383561639</v>
      </c>
      <c r="AN4" s="36">
        <v>0.98356164383561639</v>
      </c>
      <c r="AO4" s="36">
        <v>0.98082191780821915</v>
      </c>
      <c r="AP4" s="36">
        <v>0.98356164383561639</v>
      </c>
      <c r="AQ4" s="36">
        <v>0.9726027397260274</v>
      </c>
      <c r="AR4" s="36">
        <v>0.98630136986301364</v>
      </c>
      <c r="AS4" s="36">
        <v>0.9726027397260274</v>
      </c>
      <c r="AT4" s="36">
        <v>0.97534246575342465</v>
      </c>
      <c r="AU4" s="36">
        <v>0.96986301369863015</v>
      </c>
      <c r="AV4" s="36">
        <v>0.98356164383561639</v>
      </c>
      <c r="AW4" s="36">
        <v>0.9726027397260274</v>
      </c>
      <c r="AX4" s="36">
        <v>0.9726027397260274</v>
      </c>
      <c r="AY4" s="36">
        <v>0.97534246575342465</v>
      </c>
      <c r="AZ4" s="36">
        <v>0.9780821917808219</v>
      </c>
      <c r="BA4" s="36">
        <v>0.9726027397260274</v>
      </c>
      <c r="BB4" s="36">
        <v>0.98082191780821915</v>
      </c>
      <c r="BC4" s="36">
        <v>0.96986301369863015</v>
      </c>
      <c r="BD4" s="36">
        <v>0.9726027397260274</v>
      </c>
      <c r="BE4" s="36">
        <v>0.9726027397260274</v>
      </c>
      <c r="BF4" s="36">
        <v>0.98082191780821915</v>
      </c>
      <c r="BG4" s="36">
        <v>0.96986301369863015</v>
      </c>
      <c r="BH4" s="36">
        <v>0.98082191780821915</v>
      </c>
      <c r="BI4" s="36">
        <v>0.98082191780821915</v>
      </c>
      <c r="BJ4" s="36">
        <v>0.96986301369863015</v>
      </c>
      <c r="BK4" s="36">
        <v>0.9726027397260274</v>
      </c>
      <c r="BL4" s="36">
        <v>0.9780821917808219</v>
      </c>
      <c r="BM4" s="36">
        <v>0.9726027397260274</v>
      </c>
      <c r="BN4" s="36">
        <v>0.9726027397260274</v>
      </c>
      <c r="BO4" s="36">
        <v>0.98082191780821915</v>
      </c>
      <c r="BP4" s="36">
        <v>0.9726027397260274</v>
      </c>
      <c r="BQ4" s="36">
        <v>0.9726027397260274</v>
      </c>
      <c r="BR4" s="36">
        <v>0.9780821917808219</v>
      </c>
      <c r="BS4" s="36">
        <v>0.9726027397260274</v>
      </c>
      <c r="BT4" s="36">
        <v>0.97534246575342465</v>
      </c>
      <c r="BU4" s="36">
        <v>0.97534246575342465</v>
      </c>
      <c r="BV4" s="36">
        <v>0.98082191780821915</v>
      </c>
      <c r="BW4" s="36">
        <v>0.96986301369863015</v>
      </c>
      <c r="BX4" s="36">
        <v>0.9726027397260274</v>
      </c>
      <c r="BY4" s="36">
        <v>0.9726027397260274</v>
      </c>
      <c r="BZ4" s="36">
        <v>0.97534246575342465</v>
      </c>
      <c r="CA4" s="36">
        <v>0.97534246575342465</v>
      </c>
      <c r="CB4" s="36">
        <v>0.9726027397260274</v>
      </c>
      <c r="CC4" s="36">
        <v>0.9726027397260274</v>
      </c>
      <c r="CD4" s="36">
        <v>0.97534246575342465</v>
      </c>
      <c r="CE4" s="36">
        <v>0.97534246575342465</v>
      </c>
      <c r="CF4" s="36">
        <v>0.9726027397260274</v>
      </c>
      <c r="CG4" s="36">
        <v>0.9780821917808219</v>
      </c>
      <c r="CH4" s="36">
        <v>0.9726027397260274</v>
      </c>
      <c r="CI4" s="36">
        <v>0.98082191780821915</v>
      </c>
      <c r="CJ4" s="36">
        <v>0.97534246575342465</v>
      </c>
      <c r="CK4" s="36">
        <v>0.97534246575342465</v>
      </c>
      <c r="CL4" s="36">
        <v>0.96438356164383565</v>
      </c>
      <c r="CM4" s="36">
        <v>0.98356164383561639</v>
      </c>
      <c r="CN4" s="36">
        <v>0.97534246575342465</v>
      </c>
      <c r="CO4" s="36">
        <v>0.9780821917808219</v>
      </c>
      <c r="CP4" s="36">
        <v>0.9780821917808219</v>
      </c>
      <c r="CQ4" s="36">
        <v>0.98082191780821915</v>
      </c>
      <c r="CR4" s="36">
        <v>0.9780821917808219</v>
      </c>
      <c r="CS4" s="36">
        <v>0.9780821917808219</v>
      </c>
      <c r="CT4" s="36">
        <v>0.9726027397260274</v>
      </c>
      <c r="CU4" s="36">
        <v>0.96986301369863015</v>
      </c>
      <c r="CV4" s="36">
        <v>0.96986301369863015</v>
      </c>
      <c r="CW4" s="36">
        <v>0.9726027397260274</v>
      </c>
      <c r="CX4" s="36">
        <v>0.97534246575342465</v>
      </c>
      <c r="CY4" s="36">
        <v>0.9726027397260274</v>
      </c>
      <c r="CZ4" s="36">
        <v>0.97534246575342465</v>
      </c>
      <c r="DA4" s="36">
        <v>0.97534246575342465</v>
      </c>
      <c r="DB4" s="36">
        <v>0.9671232876712329</v>
      </c>
      <c r="DC4" s="36">
        <v>0.9726027397260274</v>
      </c>
      <c r="DD4" s="36">
        <v>0.9726027397260274</v>
      </c>
      <c r="DE4" s="36">
        <v>0.9780821917808219</v>
      </c>
      <c r="DF4" s="36">
        <v>0.97534246575342465</v>
      </c>
      <c r="DG4" s="36">
        <v>0.96986301369863015</v>
      </c>
      <c r="DH4" s="36">
        <v>0.97534246575342465</v>
      </c>
      <c r="DI4" s="36">
        <v>0.97534246575342465</v>
      </c>
      <c r="DJ4" s="36">
        <v>0.96986301369863015</v>
      </c>
      <c r="DK4" s="37">
        <f t="shared" si="1"/>
        <v>0.97542465753424745</v>
      </c>
      <c r="DL4" s="1"/>
    </row>
    <row r="5" spans="2:116" ht="13.25" customHeight="1" x14ac:dyDescent="0.3">
      <c r="B5" s="32" t="s">
        <v>5</v>
      </c>
      <c r="C5" s="2">
        <v>10</v>
      </c>
      <c r="E5" s="5">
        <v>1</v>
      </c>
      <c r="F5" s="5">
        <f ca="1">INDEX($Q$17:$Q$21,MATCH(RAND(),$S$17:$S$21,1))</f>
        <v>120</v>
      </c>
      <c r="G5" s="5">
        <f t="shared" ref="G5:G68" si="2">H4+$C$9*I4</f>
        <v>100</v>
      </c>
      <c r="H5" s="5">
        <f ca="1">IF(G5-F5&gt;0,G5-F5,0)</f>
        <v>0</v>
      </c>
      <c r="I5" s="5">
        <f t="shared" ref="I5:I68" ca="1" si="3">IF(H5&lt;$C$3,1,0)</f>
        <v>1</v>
      </c>
      <c r="J5" s="5">
        <f t="shared" ref="J5:J68" ca="1" si="4">IF(G5&lt;F5,1,0)</f>
        <v>1</v>
      </c>
      <c r="K5" s="5">
        <f ca="1">I5*$C$4</f>
        <v>200</v>
      </c>
      <c r="L5" s="24">
        <f ca="1">H5*$C$7</f>
        <v>0</v>
      </c>
      <c r="N5" s="2">
        <v>30</v>
      </c>
      <c r="O5" s="37">
        <v>0.97534246575342465</v>
      </c>
      <c r="P5" s="37">
        <v>0.9780821917808219</v>
      </c>
      <c r="Q5" s="37">
        <v>0.9726027397260274</v>
      </c>
      <c r="R5" s="37">
        <v>0.9780821917808219</v>
      </c>
      <c r="S5" s="37">
        <v>0.98630136986301364</v>
      </c>
      <c r="T5" s="37">
        <v>0.98356164383561639</v>
      </c>
      <c r="U5" s="37">
        <v>0.98356164383561639</v>
      </c>
      <c r="V5" s="37">
        <v>0.989041095890411</v>
      </c>
      <c r="W5" s="37">
        <v>0.97534246575342465</v>
      </c>
      <c r="X5" s="37">
        <v>0.97534246575342465</v>
      </c>
      <c r="Y5" s="37">
        <v>0.98630136986301364</v>
      </c>
      <c r="Z5" s="37">
        <v>0.97534246575342465</v>
      </c>
      <c r="AA5" s="37">
        <v>0.98082191780821915</v>
      </c>
      <c r="AB5" s="37">
        <v>0.98630136986301364</v>
      </c>
      <c r="AC5" s="37">
        <v>0.98356164383561639</v>
      </c>
      <c r="AD5" s="37">
        <v>0.96986301369863015</v>
      </c>
      <c r="AE5" s="37">
        <v>0.9780821917808219</v>
      </c>
      <c r="AF5" s="37">
        <v>0.9780821917808219</v>
      </c>
      <c r="AG5" s="37">
        <v>0.97534246575342465</v>
      </c>
      <c r="AH5" s="37">
        <v>0.9780821917808219</v>
      </c>
      <c r="AI5" s="37">
        <v>0.97534246575342465</v>
      </c>
      <c r="AJ5" s="37">
        <v>0.9780821917808219</v>
      </c>
      <c r="AK5" s="37">
        <v>0.97534246575342465</v>
      </c>
      <c r="AL5" s="37">
        <v>0.98356164383561639</v>
      </c>
      <c r="AM5" s="37">
        <v>0.9780821917808219</v>
      </c>
      <c r="AN5" s="37">
        <v>0.97534246575342465</v>
      </c>
      <c r="AO5" s="37">
        <v>0.97534246575342465</v>
      </c>
      <c r="AP5" s="37">
        <v>0.98630136986301364</v>
      </c>
      <c r="AQ5" s="37">
        <v>0.97534246575342465</v>
      </c>
      <c r="AR5" s="37">
        <v>0.98082191780821915</v>
      </c>
      <c r="AS5" s="37">
        <v>0.98082191780821915</v>
      </c>
      <c r="AT5" s="37">
        <v>0.98082191780821915</v>
      </c>
      <c r="AU5" s="37">
        <v>0.98356164383561639</v>
      </c>
      <c r="AV5" s="37">
        <v>0.97534246575342465</v>
      </c>
      <c r="AW5" s="37">
        <v>0.98082191780821915</v>
      </c>
      <c r="AX5" s="37">
        <v>0.9780821917808219</v>
      </c>
      <c r="AY5" s="37">
        <v>0.9780821917808219</v>
      </c>
      <c r="AZ5" s="37">
        <v>0.9780821917808219</v>
      </c>
      <c r="BA5" s="37">
        <v>0.9726027397260274</v>
      </c>
      <c r="BB5" s="37">
        <v>0.9780821917808219</v>
      </c>
      <c r="BC5" s="37">
        <v>0.97534246575342465</v>
      </c>
      <c r="BD5" s="37">
        <v>0.98082191780821915</v>
      </c>
      <c r="BE5" s="37">
        <v>0.98630136986301364</v>
      </c>
      <c r="BF5" s="37">
        <v>0.97534246575342465</v>
      </c>
      <c r="BG5" s="37">
        <v>0.98082191780821915</v>
      </c>
      <c r="BH5" s="37">
        <v>0.9726027397260274</v>
      </c>
      <c r="BI5" s="37">
        <v>0.9780821917808219</v>
      </c>
      <c r="BJ5" s="37">
        <v>0.98082191780821915</v>
      </c>
      <c r="BK5" s="37">
        <v>0.98082191780821915</v>
      </c>
      <c r="BL5" s="37">
        <v>0.9726027397260274</v>
      </c>
      <c r="BM5" s="37">
        <v>0.98082191780821915</v>
      </c>
      <c r="BN5" s="37">
        <v>0.9780821917808219</v>
      </c>
      <c r="BO5" s="37">
        <v>0.9726027397260274</v>
      </c>
      <c r="BP5" s="37">
        <v>0.97534246575342465</v>
      </c>
      <c r="BQ5" s="37">
        <v>0.98082191780821915</v>
      </c>
      <c r="BR5" s="37">
        <v>0.97534246575342465</v>
      </c>
      <c r="BS5" s="37">
        <v>0.97534246575342465</v>
      </c>
      <c r="BT5" s="37">
        <v>0.98082191780821915</v>
      </c>
      <c r="BU5" s="37">
        <v>0.97534246575342465</v>
      </c>
      <c r="BV5" s="37">
        <v>0.98082191780821915</v>
      </c>
      <c r="BW5" s="37">
        <v>0.98630136986301364</v>
      </c>
      <c r="BX5" s="37">
        <v>0.9780821917808219</v>
      </c>
      <c r="BY5" s="37">
        <v>0.9780821917808219</v>
      </c>
      <c r="BZ5" s="37">
        <v>0.9780821917808219</v>
      </c>
      <c r="CA5" s="37">
        <v>0.9726027397260274</v>
      </c>
      <c r="CB5" s="37">
        <v>0.97534246575342465</v>
      </c>
      <c r="CC5" s="37">
        <v>0.9780821917808219</v>
      </c>
      <c r="CD5" s="37">
        <v>0.9780821917808219</v>
      </c>
      <c r="CE5" s="37">
        <v>0.97534246575342465</v>
      </c>
      <c r="CF5" s="37">
        <v>0.9780821917808219</v>
      </c>
      <c r="CG5" s="37">
        <v>0.98356164383561639</v>
      </c>
      <c r="CH5" s="37">
        <v>0.98356164383561639</v>
      </c>
      <c r="CI5" s="37">
        <v>0.97534246575342465</v>
      </c>
      <c r="CJ5" s="37">
        <v>0.97534246575342465</v>
      </c>
      <c r="CK5" s="37">
        <v>0.96986301369863015</v>
      </c>
      <c r="CL5" s="37">
        <v>0.9780821917808219</v>
      </c>
      <c r="CM5" s="37">
        <v>0.9780821917808219</v>
      </c>
      <c r="CN5" s="37">
        <v>0.9726027397260274</v>
      </c>
      <c r="CO5" s="37">
        <v>0.9780821917808219</v>
      </c>
      <c r="CP5" s="37">
        <v>0.97534246575342465</v>
      </c>
      <c r="CQ5" s="37">
        <v>0.98630136986301364</v>
      </c>
      <c r="CR5" s="37">
        <v>0.9726027397260274</v>
      </c>
      <c r="CS5" s="37">
        <v>0.98082191780821915</v>
      </c>
      <c r="CT5" s="37">
        <v>0.97534246575342465</v>
      </c>
      <c r="CU5" s="37">
        <v>0.9726027397260274</v>
      </c>
      <c r="CV5" s="37">
        <v>0.9780821917808219</v>
      </c>
      <c r="CW5" s="37">
        <v>0.9780821917808219</v>
      </c>
      <c r="CX5" s="37">
        <v>0.98356164383561639</v>
      </c>
      <c r="CY5" s="37">
        <v>0.97534246575342465</v>
      </c>
      <c r="CZ5" s="37">
        <v>0.9780821917808219</v>
      </c>
      <c r="DA5" s="37">
        <v>0.97534246575342465</v>
      </c>
      <c r="DB5" s="37">
        <v>0.97534246575342465</v>
      </c>
      <c r="DC5" s="37">
        <v>0.9726027397260274</v>
      </c>
      <c r="DD5" s="37">
        <v>0.9780821917808219</v>
      </c>
      <c r="DE5" s="37">
        <v>0.9780821917808219</v>
      </c>
      <c r="DF5" s="37">
        <v>0.97534246575342465</v>
      </c>
      <c r="DG5" s="37">
        <v>0.98082191780821915</v>
      </c>
      <c r="DH5" s="37">
        <v>0.98356164383561639</v>
      </c>
      <c r="DI5" s="37">
        <v>0.98356164383561639</v>
      </c>
      <c r="DJ5" s="37">
        <v>0.97534246575342465</v>
      </c>
      <c r="DK5" s="37">
        <f>AVERAGE(O5:DJ5)</f>
        <v>0.97824657534246673</v>
      </c>
      <c r="DL5" s="1"/>
    </row>
    <row r="6" spans="2:116" ht="13.25" customHeight="1" x14ac:dyDescent="0.3">
      <c r="B6" s="38" t="s">
        <v>4</v>
      </c>
      <c r="C6" s="2">
        <v>100</v>
      </c>
      <c r="E6" s="5">
        <v>2</v>
      </c>
      <c r="F6" s="5">
        <f t="shared" ref="F6:F68" ca="1" si="5">INDEX($Q$18:$Q$22,MATCH(RAND(),$S$17:$S$22,1))</f>
        <v>0</v>
      </c>
      <c r="G6" s="5">
        <f t="shared" ca="1" si="2"/>
        <v>1000</v>
      </c>
      <c r="H6" s="5">
        <f t="shared" ref="H6:H69" ca="1" si="6">IF(G6-F6&gt;0,G6-F6,0)</f>
        <v>1000</v>
      </c>
      <c r="I6" s="5">
        <f t="shared" ca="1" si="3"/>
        <v>0</v>
      </c>
      <c r="J6" s="5">
        <f t="shared" ca="1" si="4"/>
        <v>0</v>
      </c>
      <c r="K6" s="5">
        <f t="shared" ref="K6:K69" ca="1" si="7">I6*$C$4</f>
        <v>0</v>
      </c>
      <c r="L6" s="24">
        <f t="shared" ref="L6:L69" ca="1" si="8">H6*$C$7</f>
        <v>27.397260273972602</v>
      </c>
      <c r="N6" s="2">
        <v>40</v>
      </c>
      <c r="O6" s="37">
        <v>0.98630136986301364</v>
      </c>
      <c r="P6" s="37">
        <v>0.9726027397260274</v>
      </c>
      <c r="Q6" s="37">
        <v>0.98082191780821915</v>
      </c>
      <c r="R6" s="37">
        <v>0.98082191780821915</v>
      </c>
      <c r="S6" s="37">
        <v>0.9726027397260274</v>
      </c>
      <c r="T6" s="37">
        <v>0.98356164383561639</v>
      </c>
      <c r="U6" s="37">
        <v>0.989041095890411</v>
      </c>
      <c r="V6" s="37">
        <v>0.97534246575342465</v>
      </c>
      <c r="W6" s="37">
        <v>0.98082191780821915</v>
      </c>
      <c r="X6" s="37">
        <v>0.98082191780821915</v>
      </c>
      <c r="Y6" s="37">
        <v>0.98356164383561639</v>
      </c>
      <c r="Z6" s="37">
        <v>0.9780821917808219</v>
      </c>
      <c r="AA6" s="37">
        <v>0.99178082191780825</v>
      </c>
      <c r="AB6" s="37">
        <v>0.99178082191780825</v>
      </c>
      <c r="AC6" s="37">
        <v>0.98356164383561639</v>
      </c>
      <c r="AD6" s="37">
        <v>0.9780821917808219</v>
      </c>
      <c r="AE6" s="37">
        <v>0.9780821917808219</v>
      </c>
      <c r="AF6" s="37">
        <v>0.98082191780821915</v>
      </c>
      <c r="AG6" s="37">
        <v>0.989041095890411</v>
      </c>
      <c r="AH6" s="37">
        <v>0.98630136986301364</v>
      </c>
      <c r="AI6" s="37">
        <v>0.9780821917808219</v>
      </c>
      <c r="AJ6" s="37">
        <v>0.98356164383561639</v>
      </c>
      <c r="AK6" s="37">
        <v>0.98082191780821915</v>
      </c>
      <c r="AL6" s="37">
        <v>0.9780821917808219</v>
      </c>
      <c r="AM6" s="37">
        <v>0.98630136986301364</v>
      </c>
      <c r="AN6" s="37">
        <v>0.98356164383561639</v>
      </c>
      <c r="AO6" s="37">
        <v>0.98082191780821915</v>
      </c>
      <c r="AP6" s="37">
        <v>0.98082191780821915</v>
      </c>
      <c r="AQ6" s="37">
        <v>0.9726027397260274</v>
      </c>
      <c r="AR6" s="37">
        <v>0.9780821917808219</v>
      </c>
      <c r="AS6" s="37">
        <v>0.98356164383561639</v>
      </c>
      <c r="AT6" s="37">
        <v>0.98356164383561639</v>
      </c>
      <c r="AU6" s="37">
        <v>0.98082191780821915</v>
      </c>
      <c r="AV6" s="37">
        <v>0.9726027397260274</v>
      </c>
      <c r="AW6" s="37">
        <v>0.98630136986301364</v>
      </c>
      <c r="AX6" s="37">
        <v>0.98082191780821915</v>
      </c>
      <c r="AY6" s="37">
        <v>0.98082191780821915</v>
      </c>
      <c r="AZ6" s="37">
        <v>0.9671232876712329</v>
      </c>
      <c r="BA6" s="37">
        <v>0.98082191780821915</v>
      </c>
      <c r="BB6" s="37">
        <v>0.9780821917808219</v>
      </c>
      <c r="BC6" s="37">
        <v>0.96986301369863015</v>
      </c>
      <c r="BD6" s="37">
        <v>0.98630136986301364</v>
      </c>
      <c r="BE6" s="37">
        <v>0.98356164383561639</v>
      </c>
      <c r="BF6" s="37">
        <v>0.98356164383561639</v>
      </c>
      <c r="BG6" s="37">
        <v>0.97534246575342465</v>
      </c>
      <c r="BH6" s="37">
        <v>0.98356164383561639</v>
      </c>
      <c r="BI6" s="37">
        <v>0.9780821917808219</v>
      </c>
      <c r="BJ6" s="37">
        <v>0.98356164383561639</v>
      </c>
      <c r="BK6" s="37">
        <v>0.989041095890411</v>
      </c>
      <c r="BL6" s="37">
        <v>0.98082191780821915</v>
      </c>
      <c r="BM6" s="37">
        <v>0.9780821917808219</v>
      </c>
      <c r="BN6" s="37">
        <v>0.98082191780821915</v>
      </c>
      <c r="BO6" s="37">
        <v>0.99178082191780825</v>
      </c>
      <c r="BP6" s="37">
        <v>0.9780821917808219</v>
      </c>
      <c r="BQ6" s="37">
        <v>0.98356164383561639</v>
      </c>
      <c r="BR6" s="37">
        <v>0.98356164383561639</v>
      </c>
      <c r="BS6" s="37">
        <v>0.9780821917808219</v>
      </c>
      <c r="BT6" s="37">
        <v>0.98082191780821915</v>
      </c>
      <c r="BU6" s="37">
        <v>0.96986301369863015</v>
      </c>
      <c r="BV6" s="37">
        <v>0.98082191780821915</v>
      </c>
      <c r="BW6" s="37">
        <v>0.99178082191780825</v>
      </c>
      <c r="BX6" s="37">
        <v>0.9780821917808219</v>
      </c>
      <c r="BY6" s="37">
        <v>0.9780821917808219</v>
      </c>
      <c r="BZ6" s="37">
        <v>0.98356164383561639</v>
      </c>
      <c r="CA6" s="37">
        <v>0.989041095890411</v>
      </c>
      <c r="CB6" s="37">
        <v>0.9726027397260274</v>
      </c>
      <c r="CC6" s="37">
        <v>0.98356164383561639</v>
      </c>
      <c r="CD6" s="37">
        <v>0.9945205479452055</v>
      </c>
      <c r="CE6" s="37">
        <v>0.98082191780821915</v>
      </c>
      <c r="CF6" s="37">
        <v>0.98356164383561639</v>
      </c>
      <c r="CG6" s="37">
        <v>0.98356164383561639</v>
      </c>
      <c r="CH6" s="37">
        <v>0.9780821917808219</v>
      </c>
      <c r="CI6" s="37">
        <v>0.98082191780821915</v>
      </c>
      <c r="CJ6" s="37">
        <v>0.98630136986301364</v>
      </c>
      <c r="CK6" s="37">
        <v>0.98630136986301364</v>
      </c>
      <c r="CL6" s="37">
        <v>0.98356164383561639</v>
      </c>
      <c r="CM6" s="37">
        <v>0.98082191780821915</v>
      </c>
      <c r="CN6" s="37">
        <v>0.98082191780821915</v>
      </c>
      <c r="CO6" s="37">
        <v>0.98356164383561639</v>
      </c>
      <c r="CP6" s="37">
        <v>0.98082191780821915</v>
      </c>
      <c r="CQ6" s="37">
        <v>0.98630136986301364</v>
      </c>
      <c r="CR6" s="37">
        <v>0.98630136986301364</v>
      </c>
      <c r="CS6" s="37">
        <v>0.98356164383561639</v>
      </c>
      <c r="CT6" s="37">
        <v>0.98082191780821915</v>
      </c>
      <c r="CU6" s="37">
        <v>0.9780821917808219</v>
      </c>
      <c r="CV6" s="37">
        <v>0.98082191780821915</v>
      </c>
      <c r="CW6" s="37">
        <v>0.98356164383561639</v>
      </c>
      <c r="CX6" s="37">
        <v>0.98082191780821915</v>
      </c>
      <c r="CY6" s="37">
        <v>0.98082191780821915</v>
      </c>
      <c r="CZ6" s="37">
        <v>0.98630136986301364</v>
      </c>
      <c r="DA6" s="37">
        <v>0.97534246575342465</v>
      </c>
      <c r="DB6" s="37">
        <v>0.9726027397260274</v>
      </c>
      <c r="DC6" s="37">
        <v>0.9726027397260274</v>
      </c>
      <c r="DD6" s="37">
        <v>0.96986301369863015</v>
      </c>
      <c r="DE6" s="37">
        <v>0.98356164383561639</v>
      </c>
      <c r="DF6" s="37">
        <v>0.98356164383561639</v>
      </c>
      <c r="DG6" s="37">
        <v>0.98356164383561639</v>
      </c>
      <c r="DH6" s="37">
        <v>0.98082191780821915</v>
      </c>
      <c r="DI6" s="37">
        <v>0.98082191780821915</v>
      </c>
      <c r="DJ6" s="37">
        <v>0.98356164383561639</v>
      </c>
      <c r="DK6" s="37">
        <f t="shared" ref="DK6:DK13" si="9">AVERAGE(O6:DJ6)</f>
        <v>0.98134246575342388</v>
      </c>
      <c r="DL6" s="1"/>
    </row>
    <row r="7" spans="2:116" ht="13.25" customHeight="1" x14ac:dyDescent="0.3">
      <c r="B7" s="39" t="s">
        <v>6</v>
      </c>
      <c r="C7" s="40">
        <f>C5/365</f>
        <v>2.7397260273972601E-2</v>
      </c>
      <c r="E7" s="5">
        <v>3</v>
      </c>
      <c r="F7" s="5">
        <f t="shared" ca="1" si="5"/>
        <v>0</v>
      </c>
      <c r="G7" s="5">
        <f t="shared" ca="1" si="2"/>
        <v>1000</v>
      </c>
      <c r="H7" s="5">
        <f t="shared" ca="1" si="6"/>
        <v>1000</v>
      </c>
      <c r="I7" s="5">
        <f t="shared" ca="1" si="3"/>
        <v>0</v>
      </c>
      <c r="J7" s="5">
        <f t="shared" ca="1" si="4"/>
        <v>0</v>
      </c>
      <c r="K7" s="5">
        <f t="shared" ca="1" si="7"/>
        <v>0</v>
      </c>
      <c r="L7" s="24">
        <f t="shared" ca="1" si="8"/>
        <v>27.397260273972602</v>
      </c>
      <c r="N7" s="2">
        <v>50</v>
      </c>
      <c r="O7" s="37">
        <v>0.98356164383561639</v>
      </c>
      <c r="P7" s="37">
        <v>0.98630136986301364</v>
      </c>
      <c r="Q7" s="37">
        <v>0.98082191780821915</v>
      </c>
      <c r="R7" s="37">
        <v>0.98356164383561639</v>
      </c>
      <c r="S7" s="37">
        <v>0.98356164383561639</v>
      </c>
      <c r="T7" s="37">
        <v>0.98082191780821915</v>
      </c>
      <c r="U7" s="37">
        <v>0.98356164383561639</v>
      </c>
      <c r="V7" s="37">
        <v>0.98630136986301364</v>
      </c>
      <c r="W7" s="37">
        <v>0.98630136986301364</v>
      </c>
      <c r="X7" s="37">
        <v>0.98356164383561639</v>
      </c>
      <c r="Y7" s="37">
        <v>0.98356164383561639</v>
      </c>
      <c r="Z7" s="37">
        <v>0.989041095890411</v>
      </c>
      <c r="AA7" s="37">
        <v>0.98082191780821915</v>
      </c>
      <c r="AB7" s="37">
        <v>0.989041095890411</v>
      </c>
      <c r="AC7" s="37">
        <v>0.97534246575342465</v>
      </c>
      <c r="AD7" s="37">
        <v>0.98356164383561639</v>
      </c>
      <c r="AE7" s="37">
        <v>0.9945205479452055</v>
      </c>
      <c r="AF7" s="37">
        <v>0.98356164383561639</v>
      </c>
      <c r="AG7" s="37">
        <v>0.98082191780821915</v>
      </c>
      <c r="AH7" s="37">
        <v>0.98630136986301364</v>
      </c>
      <c r="AI7" s="37">
        <v>0.98356164383561639</v>
      </c>
      <c r="AJ7" s="37">
        <v>0.98630136986301364</v>
      </c>
      <c r="AK7" s="37">
        <v>0.99178082191780825</v>
      </c>
      <c r="AL7" s="37">
        <v>0.98356164383561639</v>
      </c>
      <c r="AM7" s="37">
        <v>0.9780821917808219</v>
      </c>
      <c r="AN7" s="37">
        <v>0.98356164383561639</v>
      </c>
      <c r="AO7" s="37">
        <v>0.98356164383561639</v>
      </c>
      <c r="AP7" s="37">
        <v>0.9780821917808219</v>
      </c>
      <c r="AQ7" s="37">
        <v>0.99178082191780825</v>
      </c>
      <c r="AR7" s="37">
        <v>0.98356164383561639</v>
      </c>
      <c r="AS7" s="37">
        <v>0.98356164383561639</v>
      </c>
      <c r="AT7" s="37">
        <v>0.98630136986301364</v>
      </c>
      <c r="AU7" s="37">
        <v>0.98356164383561639</v>
      </c>
      <c r="AV7" s="37">
        <v>0.98630136986301364</v>
      </c>
      <c r="AW7" s="37">
        <v>0.98356164383561639</v>
      </c>
      <c r="AX7" s="37">
        <v>0.98630136986301364</v>
      </c>
      <c r="AY7" s="37">
        <v>0.98082191780821915</v>
      </c>
      <c r="AZ7" s="37">
        <v>0.98630136986301364</v>
      </c>
      <c r="BA7" s="37">
        <v>0.98356164383561639</v>
      </c>
      <c r="BB7" s="37">
        <v>0.9780821917808219</v>
      </c>
      <c r="BC7" s="37">
        <v>0.98356164383561639</v>
      </c>
      <c r="BD7" s="37">
        <v>0.9780821917808219</v>
      </c>
      <c r="BE7" s="37">
        <v>0.98082191780821915</v>
      </c>
      <c r="BF7" s="37">
        <v>0.98082191780821915</v>
      </c>
      <c r="BG7" s="37">
        <v>0.9780821917808219</v>
      </c>
      <c r="BH7" s="37">
        <v>0.97534246575342465</v>
      </c>
      <c r="BI7" s="37">
        <v>0.989041095890411</v>
      </c>
      <c r="BJ7" s="37">
        <v>0.98356164383561639</v>
      </c>
      <c r="BK7" s="37">
        <v>0.98356164383561639</v>
      </c>
      <c r="BL7" s="37">
        <v>0.97534246575342465</v>
      </c>
      <c r="BM7" s="37">
        <v>0.98356164383561639</v>
      </c>
      <c r="BN7" s="37">
        <v>0.99178082191780825</v>
      </c>
      <c r="BO7" s="37">
        <v>0.98082191780821915</v>
      </c>
      <c r="BP7" s="37">
        <v>0.98630136986301364</v>
      </c>
      <c r="BQ7" s="37">
        <v>0.98630136986301364</v>
      </c>
      <c r="BR7" s="37">
        <v>0.98630136986301364</v>
      </c>
      <c r="BS7" s="37">
        <v>0.9780821917808219</v>
      </c>
      <c r="BT7" s="37">
        <v>0.9780821917808219</v>
      </c>
      <c r="BU7" s="37">
        <v>0.97534246575342465</v>
      </c>
      <c r="BV7" s="37">
        <v>0.98356164383561639</v>
      </c>
      <c r="BW7" s="37">
        <v>0.99178082191780825</v>
      </c>
      <c r="BX7" s="37">
        <v>0.9780821917808219</v>
      </c>
      <c r="BY7" s="37">
        <v>0.98630136986301364</v>
      </c>
      <c r="BZ7" s="37">
        <v>0.97534246575342465</v>
      </c>
      <c r="CA7" s="37">
        <v>0.98356164383561639</v>
      </c>
      <c r="CB7" s="37">
        <v>0.98356164383561639</v>
      </c>
      <c r="CC7" s="37">
        <v>0.98082191780821915</v>
      </c>
      <c r="CD7" s="37">
        <v>0.989041095890411</v>
      </c>
      <c r="CE7" s="37">
        <v>0.98356164383561639</v>
      </c>
      <c r="CF7" s="37">
        <v>0.98356164383561639</v>
      </c>
      <c r="CG7" s="37">
        <v>0.989041095890411</v>
      </c>
      <c r="CH7" s="37">
        <v>0.989041095890411</v>
      </c>
      <c r="CI7" s="37">
        <v>0.97534246575342465</v>
      </c>
      <c r="CJ7" s="37">
        <v>0.98630136986301364</v>
      </c>
      <c r="CK7" s="37">
        <v>0.98630136986301364</v>
      </c>
      <c r="CL7" s="37">
        <v>0.98356164383561639</v>
      </c>
      <c r="CM7" s="37">
        <v>0.9780821917808219</v>
      </c>
      <c r="CN7" s="37">
        <v>0.97534246575342465</v>
      </c>
      <c r="CO7" s="37">
        <v>0.99178082191780825</v>
      </c>
      <c r="CP7" s="37">
        <v>0.98356164383561639</v>
      </c>
      <c r="CQ7" s="37">
        <v>0.98082191780821915</v>
      </c>
      <c r="CR7" s="37">
        <v>0.98356164383561639</v>
      </c>
      <c r="CS7" s="37">
        <v>0.98356164383561639</v>
      </c>
      <c r="CT7" s="37">
        <v>0.98082191780821915</v>
      </c>
      <c r="CU7" s="37">
        <v>0.98630136986301364</v>
      </c>
      <c r="CV7" s="37">
        <v>0.98082191780821915</v>
      </c>
      <c r="CW7" s="37">
        <v>0.99178082191780825</v>
      </c>
      <c r="CX7" s="37">
        <v>0.98356164383561639</v>
      </c>
      <c r="CY7" s="37">
        <v>0.98630136986301364</v>
      </c>
      <c r="CZ7" s="37">
        <v>0.9780821917808219</v>
      </c>
      <c r="DA7" s="37">
        <v>0.98356164383561639</v>
      </c>
      <c r="DB7" s="37">
        <v>0.98356164383561639</v>
      </c>
      <c r="DC7" s="37">
        <v>0.98082191780821915</v>
      </c>
      <c r="DD7" s="37">
        <v>0.97534246575342465</v>
      </c>
      <c r="DE7" s="37">
        <v>0.9726027397260274</v>
      </c>
      <c r="DF7" s="37">
        <v>0.98082191780821915</v>
      </c>
      <c r="DG7" s="37">
        <v>0.97534246575342465</v>
      </c>
      <c r="DH7" s="37">
        <v>0.98082191780821915</v>
      </c>
      <c r="DI7" s="37">
        <v>0.989041095890411</v>
      </c>
      <c r="DJ7" s="37">
        <v>0.98082191780821915</v>
      </c>
      <c r="DK7" s="37">
        <f t="shared" si="9"/>
        <v>0.98317808219178071</v>
      </c>
      <c r="DL7" s="1"/>
    </row>
    <row r="8" spans="2:116" ht="13.25" customHeight="1" x14ac:dyDescent="0.3">
      <c r="B8" s="32" t="s">
        <v>27</v>
      </c>
      <c r="C8" s="2">
        <v>50</v>
      </c>
      <c r="E8" s="5">
        <v>4</v>
      </c>
      <c r="F8" s="5">
        <f t="shared" ca="1" si="5"/>
        <v>0</v>
      </c>
      <c r="G8" s="5">
        <f t="shared" ca="1" si="2"/>
        <v>1000</v>
      </c>
      <c r="H8" s="5">
        <f t="shared" ca="1" si="6"/>
        <v>1000</v>
      </c>
      <c r="I8" s="5">
        <f t="shared" ca="1" si="3"/>
        <v>0</v>
      </c>
      <c r="J8" s="5">
        <f t="shared" ca="1" si="4"/>
        <v>0</v>
      </c>
      <c r="K8" s="5">
        <f t="shared" ca="1" si="7"/>
        <v>0</v>
      </c>
      <c r="L8" s="24">
        <f t="shared" ca="1" si="8"/>
        <v>27.397260273972602</v>
      </c>
      <c r="N8" s="2">
        <v>60</v>
      </c>
      <c r="O8" s="37">
        <v>0.9780821917808219</v>
      </c>
      <c r="P8" s="37">
        <v>0.97534246575342465</v>
      </c>
      <c r="Q8" s="37">
        <v>0.989041095890411</v>
      </c>
      <c r="R8" s="37">
        <v>0.98356164383561639</v>
      </c>
      <c r="S8" s="37">
        <v>0.97534246575342465</v>
      </c>
      <c r="T8" s="37">
        <v>0.9780821917808219</v>
      </c>
      <c r="U8" s="37">
        <v>0.989041095890411</v>
      </c>
      <c r="V8" s="37">
        <v>0.98630136986301364</v>
      </c>
      <c r="W8" s="37">
        <v>0.98082191780821915</v>
      </c>
      <c r="X8" s="37">
        <v>0.98356164383561639</v>
      </c>
      <c r="Y8" s="37">
        <v>0.9780821917808219</v>
      </c>
      <c r="Z8" s="37">
        <v>0.9780821917808219</v>
      </c>
      <c r="AA8" s="37">
        <v>0.97534246575342465</v>
      </c>
      <c r="AB8" s="37">
        <v>0.9780821917808219</v>
      </c>
      <c r="AC8" s="37">
        <v>0.98356164383561639</v>
      </c>
      <c r="AD8" s="37">
        <v>0.98356164383561639</v>
      </c>
      <c r="AE8" s="37">
        <v>0.989041095890411</v>
      </c>
      <c r="AF8" s="37">
        <v>0.98082191780821915</v>
      </c>
      <c r="AG8" s="37">
        <v>0.9945205479452055</v>
      </c>
      <c r="AH8" s="37">
        <v>0.98356164383561639</v>
      </c>
      <c r="AI8" s="37">
        <v>0.98630136986301364</v>
      </c>
      <c r="AJ8" s="37">
        <v>0.98082191780821915</v>
      </c>
      <c r="AK8" s="37">
        <v>0.989041095890411</v>
      </c>
      <c r="AL8" s="37">
        <v>0.98356164383561639</v>
      </c>
      <c r="AM8" s="37">
        <v>0.98356164383561639</v>
      </c>
      <c r="AN8" s="37">
        <v>0.99178082191780825</v>
      </c>
      <c r="AO8" s="37">
        <v>0.989041095890411</v>
      </c>
      <c r="AP8" s="37">
        <v>0.98630136986301364</v>
      </c>
      <c r="AQ8" s="37">
        <v>0.989041095890411</v>
      </c>
      <c r="AR8" s="37">
        <v>0.99178082191780825</v>
      </c>
      <c r="AS8" s="37">
        <v>0.98082191780821915</v>
      </c>
      <c r="AT8" s="37">
        <v>0.989041095890411</v>
      </c>
      <c r="AU8" s="37">
        <v>0.98630136986301364</v>
      </c>
      <c r="AV8" s="37">
        <v>0.97534246575342465</v>
      </c>
      <c r="AW8" s="37">
        <v>0.98356164383561639</v>
      </c>
      <c r="AX8" s="37">
        <v>0.98630136986301364</v>
      </c>
      <c r="AY8" s="37">
        <v>0.98630136986301364</v>
      </c>
      <c r="AZ8" s="37">
        <v>0.98082191780821915</v>
      </c>
      <c r="BA8" s="37">
        <v>0.98082191780821915</v>
      </c>
      <c r="BB8" s="37">
        <v>0.98356164383561639</v>
      </c>
      <c r="BC8" s="37">
        <v>0.98082191780821915</v>
      </c>
      <c r="BD8" s="37">
        <v>0.989041095890411</v>
      </c>
      <c r="BE8" s="37">
        <v>0.99726027397260275</v>
      </c>
      <c r="BF8" s="37">
        <v>0.9780821917808219</v>
      </c>
      <c r="BG8" s="37">
        <v>0.98630136986301364</v>
      </c>
      <c r="BH8" s="37">
        <v>0.98356164383561639</v>
      </c>
      <c r="BI8" s="37">
        <v>0.98082191780821915</v>
      </c>
      <c r="BJ8" s="37">
        <v>0.98356164383561639</v>
      </c>
      <c r="BK8" s="37">
        <v>0.98356164383561639</v>
      </c>
      <c r="BL8" s="37">
        <v>0.99178082191780825</v>
      </c>
      <c r="BM8" s="37">
        <v>0.98630136986301364</v>
      </c>
      <c r="BN8" s="37">
        <v>0.98630136986301364</v>
      </c>
      <c r="BO8" s="37">
        <v>0.98630136986301364</v>
      </c>
      <c r="BP8" s="37">
        <v>0.99726027397260275</v>
      </c>
      <c r="BQ8" s="37">
        <v>0.989041095890411</v>
      </c>
      <c r="BR8" s="37">
        <v>0.989041095890411</v>
      </c>
      <c r="BS8" s="37">
        <v>0.98356164383561639</v>
      </c>
      <c r="BT8" s="37">
        <v>0.989041095890411</v>
      </c>
      <c r="BU8" s="37">
        <v>0.98082191780821915</v>
      </c>
      <c r="BV8" s="37">
        <v>0.99178082191780825</v>
      </c>
      <c r="BW8" s="37">
        <v>0.989041095890411</v>
      </c>
      <c r="BX8" s="37">
        <v>0.97534246575342465</v>
      </c>
      <c r="BY8" s="37">
        <v>0.98356164383561639</v>
      </c>
      <c r="BZ8" s="37">
        <v>0.989041095890411</v>
      </c>
      <c r="CA8" s="37">
        <v>0.98630136986301364</v>
      </c>
      <c r="CB8" s="37">
        <v>0.98630136986301364</v>
      </c>
      <c r="CC8" s="37">
        <v>0.97534246575342465</v>
      </c>
      <c r="CD8" s="37">
        <v>0.9780821917808219</v>
      </c>
      <c r="CE8" s="37">
        <v>0.98356164383561639</v>
      </c>
      <c r="CF8" s="37">
        <v>0.98356164383561639</v>
      </c>
      <c r="CG8" s="37">
        <v>0.98356164383561639</v>
      </c>
      <c r="CH8" s="37">
        <v>0.97534246575342465</v>
      </c>
      <c r="CI8" s="37">
        <v>0.98082191780821915</v>
      </c>
      <c r="CJ8" s="37">
        <v>0.98356164383561639</v>
      </c>
      <c r="CK8" s="37">
        <v>0.98356164383561639</v>
      </c>
      <c r="CL8" s="37">
        <v>0.9780821917808219</v>
      </c>
      <c r="CM8" s="37">
        <v>0.97534246575342465</v>
      </c>
      <c r="CN8" s="37">
        <v>0.99726027397260275</v>
      </c>
      <c r="CO8" s="37">
        <v>0.989041095890411</v>
      </c>
      <c r="CP8" s="37">
        <v>0.98356164383561639</v>
      </c>
      <c r="CQ8" s="37">
        <v>0.98356164383561639</v>
      </c>
      <c r="CR8" s="37">
        <v>0.989041095890411</v>
      </c>
      <c r="CS8" s="37">
        <v>0.98630136986301364</v>
      </c>
      <c r="CT8" s="37">
        <v>0.98356164383561639</v>
      </c>
      <c r="CU8" s="37">
        <v>0.989041095890411</v>
      </c>
      <c r="CV8" s="37">
        <v>0.98356164383561639</v>
      </c>
      <c r="CW8" s="37">
        <v>0.98356164383561639</v>
      </c>
      <c r="CX8" s="37">
        <v>0.98630136986301364</v>
      </c>
      <c r="CY8" s="37">
        <v>0.98082191780821915</v>
      </c>
      <c r="CZ8" s="37">
        <v>0.98082191780821915</v>
      </c>
      <c r="DA8" s="37">
        <v>0.9780821917808219</v>
      </c>
      <c r="DB8" s="37">
        <v>0.98630136986301364</v>
      </c>
      <c r="DC8" s="37">
        <v>0.98082191780821915</v>
      </c>
      <c r="DD8" s="37">
        <v>0.989041095890411</v>
      </c>
      <c r="DE8" s="37">
        <v>0.98630136986301364</v>
      </c>
      <c r="DF8" s="37">
        <v>0.98082191780821915</v>
      </c>
      <c r="DG8" s="37">
        <v>0.98630136986301364</v>
      </c>
      <c r="DH8" s="37">
        <v>0.989041095890411</v>
      </c>
      <c r="DI8" s="37">
        <v>0.98630136986301364</v>
      </c>
      <c r="DJ8" s="37">
        <v>0.98356164383561639</v>
      </c>
      <c r="DK8" s="37">
        <f t="shared" si="9"/>
        <v>0.98435616438356166</v>
      </c>
      <c r="DL8" s="1"/>
    </row>
    <row r="9" spans="2:116" ht="13.25" customHeight="1" x14ac:dyDescent="0.3">
      <c r="B9" s="32" t="s">
        <v>3</v>
      </c>
      <c r="C9" s="2">
        <v>1000</v>
      </c>
      <c r="E9" s="5">
        <v>5</v>
      </c>
      <c r="F9" s="5">
        <f t="shared" ca="1" si="5"/>
        <v>90</v>
      </c>
      <c r="G9" s="5">
        <f t="shared" ca="1" si="2"/>
        <v>1000</v>
      </c>
      <c r="H9" s="5">
        <f t="shared" ca="1" si="6"/>
        <v>910</v>
      </c>
      <c r="I9" s="5">
        <f t="shared" ca="1" si="3"/>
        <v>0</v>
      </c>
      <c r="J9" s="5">
        <f t="shared" ca="1" si="4"/>
        <v>0</v>
      </c>
      <c r="K9" s="5">
        <f t="shared" ca="1" si="7"/>
        <v>0</v>
      </c>
      <c r="L9" s="24">
        <f t="shared" ca="1" si="8"/>
        <v>24.931506849315067</v>
      </c>
      <c r="N9" s="2">
        <v>70</v>
      </c>
      <c r="O9" s="37">
        <v>0.98630136986301364</v>
      </c>
      <c r="P9" s="37">
        <v>0.98082191780821915</v>
      </c>
      <c r="Q9" s="37">
        <v>0.9945205479452055</v>
      </c>
      <c r="R9" s="37">
        <v>0.99178082191780825</v>
      </c>
      <c r="S9" s="37">
        <v>0.989041095890411</v>
      </c>
      <c r="T9" s="37">
        <v>1</v>
      </c>
      <c r="U9" s="37">
        <v>0.989041095890411</v>
      </c>
      <c r="V9" s="37">
        <v>0.99726027397260275</v>
      </c>
      <c r="W9" s="37">
        <v>0.99178082191780825</v>
      </c>
      <c r="X9" s="37">
        <v>0.98630136986301364</v>
      </c>
      <c r="Y9" s="37">
        <v>0.98630136986301364</v>
      </c>
      <c r="Z9" s="37">
        <v>0.989041095890411</v>
      </c>
      <c r="AA9" s="37">
        <v>0.989041095890411</v>
      </c>
      <c r="AB9" s="37">
        <v>0.98630136986301364</v>
      </c>
      <c r="AC9" s="37">
        <v>0.98630136986301364</v>
      </c>
      <c r="AD9" s="37">
        <v>0.99178082191780825</v>
      </c>
      <c r="AE9" s="37">
        <v>0.98082191780821915</v>
      </c>
      <c r="AF9" s="37">
        <v>0.989041095890411</v>
      </c>
      <c r="AG9" s="37">
        <v>0.9780821917808219</v>
      </c>
      <c r="AH9" s="37">
        <v>0.98630136986301364</v>
      </c>
      <c r="AI9" s="37">
        <v>0.989041095890411</v>
      </c>
      <c r="AJ9" s="37">
        <v>0.9726027397260274</v>
      </c>
      <c r="AK9" s="37">
        <v>0.98082191780821915</v>
      </c>
      <c r="AL9" s="37">
        <v>0.99178082191780825</v>
      </c>
      <c r="AM9" s="37">
        <v>0.99178082191780825</v>
      </c>
      <c r="AN9" s="37">
        <v>0.9945205479452055</v>
      </c>
      <c r="AO9" s="37">
        <v>0.99178082191780825</v>
      </c>
      <c r="AP9" s="37">
        <v>0.98356164383561639</v>
      </c>
      <c r="AQ9" s="37">
        <v>0.989041095890411</v>
      </c>
      <c r="AR9" s="37">
        <v>0.989041095890411</v>
      </c>
      <c r="AS9" s="37">
        <v>0.9945205479452055</v>
      </c>
      <c r="AT9" s="37">
        <v>0.98630136986301364</v>
      </c>
      <c r="AU9" s="37">
        <v>0.98356164383561639</v>
      </c>
      <c r="AV9" s="37">
        <v>0.99178082191780825</v>
      </c>
      <c r="AW9" s="37">
        <v>0.98082191780821915</v>
      </c>
      <c r="AX9" s="37">
        <v>0.99178082191780825</v>
      </c>
      <c r="AY9" s="37">
        <v>0.989041095890411</v>
      </c>
      <c r="AZ9" s="37">
        <v>0.98356164383561639</v>
      </c>
      <c r="BA9" s="37">
        <v>0.99178082191780825</v>
      </c>
      <c r="BB9" s="37">
        <v>0.98082191780821915</v>
      </c>
      <c r="BC9" s="37">
        <v>0.9780821917808219</v>
      </c>
      <c r="BD9" s="37">
        <v>0.9945205479452055</v>
      </c>
      <c r="BE9" s="37">
        <v>0.9945205479452055</v>
      </c>
      <c r="BF9" s="37">
        <v>0.99178082191780825</v>
      </c>
      <c r="BG9" s="37">
        <v>0.99178082191780825</v>
      </c>
      <c r="BH9" s="37">
        <v>0.9945205479452055</v>
      </c>
      <c r="BI9" s="37">
        <v>0.9780821917808219</v>
      </c>
      <c r="BJ9" s="37">
        <v>0.989041095890411</v>
      </c>
      <c r="BK9" s="37">
        <v>0.9945205479452055</v>
      </c>
      <c r="BL9" s="37">
        <v>0.9945205479452055</v>
      </c>
      <c r="BM9" s="37">
        <v>0.98082191780821915</v>
      </c>
      <c r="BN9" s="37">
        <v>0.99178082191780825</v>
      </c>
      <c r="BO9" s="37">
        <v>0.98082191780821915</v>
      </c>
      <c r="BP9" s="37">
        <v>0.98630136986301364</v>
      </c>
      <c r="BQ9" s="37">
        <v>0.989041095890411</v>
      </c>
      <c r="BR9" s="37">
        <v>0.99178082191780825</v>
      </c>
      <c r="BS9" s="37">
        <v>0.989041095890411</v>
      </c>
      <c r="BT9" s="37">
        <v>0.98630136986301364</v>
      </c>
      <c r="BU9" s="37">
        <v>0.99178082191780825</v>
      </c>
      <c r="BV9" s="37">
        <v>0.98356164383561639</v>
      </c>
      <c r="BW9" s="37">
        <v>0.99178082191780825</v>
      </c>
      <c r="BX9" s="37">
        <v>0.98356164383561639</v>
      </c>
      <c r="BY9" s="37">
        <v>0.9945205479452055</v>
      </c>
      <c r="BZ9" s="37">
        <v>0.98082191780821915</v>
      </c>
      <c r="CA9" s="37">
        <v>0.98630136986301364</v>
      </c>
      <c r="CB9" s="37">
        <v>0.98630136986301364</v>
      </c>
      <c r="CC9" s="37">
        <v>0.989041095890411</v>
      </c>
      <c r="CD9" s="37">
        <v>0.989041095890411</v>
      </c>
      <c r="CE9" s="37">
        <v>0.9945205479452055</v>
      </c>
      <c r="CF9" s="37">
        <v>0.99178082191780825</v>
      </c>
      <c r="CG9" s="37">
        <v>0.99726027397260275</v>
      </c>
      <c r="CH9" s="37">
        <v>0.989041095890411</v>
      </c>
      <c r="CI9" s="37">
        <v>0.98630136986301364</v>
      </c>
      <c r="CJ9" s="37">
        <v>0.99178082191780825</v>
      </c>
      <c r="CK9" s="37">
        <v>0.98630136986301364</v>
      </c>
      <c r="CL9" s="37">
        <v>0.98630136986301364</v>
      </c>
      <c r="CM9" s="37">
        <v>0.98630136986301364</v>
      </c>
      <c r="CN9" s="37">
        <v>0.98082191780821915</v>
      </c>
      <c r="CO9" s="37">
        <v>0.99178082191780825</v>
      </c>
      <c r="CP9" s="37">
        <v>0.98630136986301364</v>
      </c>
      <c r="CQ9" s="37">
        <v>0.99178082191780825</v>
      </c>
      <c r="CR9" s="37">
        <v>0.99178082191780825</v>
      </c>
      <c r="CS9" s="37">
        <v>0.99178082191780825</v>
      </c>
      <c r="CT9" s="37">
        <v>0.98630136986301364</v>
      </c>
      <c r="CU9" s="37">
        <v>0.98630136986301364</v>
      </c>
      <c r="CV9" s="37">
        <v>0.99178082191780825</v>
      </c>
      <c r="CW9" s="37">
        <v>0.98356164383561639</v>
      </c>
      <c r="CX9" s="37">
        <v>0.989041095890411</v>
      </c>
      <c r="CY9" s="37">
        <v>0.9945205479452055</v>
      </c>
      <c r="CZ9" s="37">
        <v>0.989041095890411</v>
      </c>
      <c r="DA9" s="37">
        <v>0.989041095890411</v>
      </c>
      <c r="DB9" s="37">
        <v>0.98356164383561639</v>
      </c>
      <c r="DC9" s="37">
        <v>0.989041095890411</v>
      </c>
      <c r="DD9" s="37">
        <v>0.99178082191780825</v>
      </c>
      <c r="DE9" s="37">
        <v>0.99178082191780825</v>
      </c>
      <c r="DF9" s="37">
        <v>0.98630136986301364</v>
      </c>
      <c r="DG9" s="37">
        <v>0.9945205479452055</v>
      </c>
      <c r="DH9" s="37">
        <v>0.99178082191780825</v>
      </c>
      <c r="DI9" s="37">
        <v>0.99178082191780825</v>
      </c>
      <c r="DJ9" s="37">
        <v>0.98356164383561639</v>
      </c>
      <c r="DK9" s="37">
        <f t="shared" si="9"/>
        <v>0.98849315068493215</v>
      </c>
      <c r="DL9" s="1"/>
    </row>
    <row r="10" spans="2:116" ht="13.25" customHeight="1" x14ac:dyDescent="0.3">
      <c r="B10" s="18" t="s">
        <v>36</v>
      </c>
      <c r="C10" s="7"/>
      <c r="E10" s="5">
        <v>6</v>
      </c>
      <c r="F10" s="5">
        <f t="shared" ca="1" si="5"/>
        <v>0</v>
      </c>
      <c r="G10" s="5">
        <f t="shared" ca="1" si="2"/>
        <v>910</v>
      </c>
      <c r="H10" s="5">
        <f t="shared" ca="1" si="6"/>
        <v>910</v>
      </c>
      <c r="I10" s="5">
        <f t="shared" ca="1" si="3"/>
        <v>0</v>
      </c>
      <c r="J10" s="5">
        <f t="shared" ca="1" si="4"/>
        <v>0</v>
      </c>
      <c r="K10" s="5">
        <f t="shared" ca="1" si="7"/>
        <v>0</v>
      </c>
      <c r="L10" s="24">
        <f t="shared" ca="1" si="8"/>
        <v>24.931506849315067</v>
      </c>
      <c r="N10" s="2">
        <v>80</v>
      </c>
      <c r="O10" s="37">
        <v>0.989041095890411</v>
      </c>
      <c r="P10" s="37">
        <v>0.99178082191780825</v>
      </c>
      <c r="Q10" s="37">
        <v>0.99178082191780825</v>
      </c>
      <c r="R10" s="37">
        <v>0.989041095890411</v>
      </c>
      <c r="S10" s="37">
        <v>0.99726027397260275</v>
      </c>
      <c r="T10" s="37">
        <v>0.989041095890411</v>
      </c>
      <c r="U10" s="37">
        <v>0.99178082191780825</v>
      </c>
      <c r="V10" s="37">
        <v>0.99726027397260275</v>
      </c>
      <c r="W10" s="37">
        <v>0.9945205479452055</v>
      </c>
      <c r="X10" s="37">
        <v>0.98630136986301364</v>
      </c>
      <c r="Y10" s="37">
        <v>0.99178082191780825</v>
      </c>
      <c r="Z10" s="37">
        <v>0.98630136986301364</v>
      </c>
      <c r="AA10" s="37">
        <v>0.98630136986301364</v>
      </c>
      <c r="AB10" s="37">
        <v>0.989041095890411</v>
      </c>
      <c r="AC10" s="37">
        <v>0.9945205479452055</v>
      </c>
      <c r="AD10" s="37">
        <v>0.99178082191780825</v>
      </c>
      <c r="AE10" s="37">
        <v>0.99178082191780825</v>
      </c>
      <c r="AF10" s="37">
        <v>0.99178082191780825</v>
      </c>
      <c r="AG10" s="37">
        <v>0.989041095890411</v>
      </c>
      <c r="AH10" s="37">
        <v>0.99726027397260275</v>
      </c>
      <c r="AI10" s="37">
        <v>0.99726027397260275</v>
      </c>
      <c r="AJ10" s="37">
        <v>0.9945205479452055</v>
      </c>
      <c r="AK10" s="37">
        <v>0.9945205479452055</v>
      </c>
      <c r="AL10" s="37">
        <v>0.99178082191780825</v>
      </c>
      <c r="AM10" s="37">
        <v>0.989041095890411</v>
      </c>
      <c r="AN10" s="37">
        <v>0.9945205479452055</v>
      </c>
      <c r="AO10" s="37">
        <v>0.99178082191780825</v>
      </c>
      <c r="AP10" s="37">
        <v>0.99178082191780825</v>
      </c>
      <c r="AQ10" s="37">
        <v>0.98082191780821915</v>
      </c>
      <c r="AR10" s="37">
        <v>0.989041095890411</v>
      </c>
      <c r="AS10" s="37">
        <v>0.989041095890411</v>
      </c>
      <c r="AT10" s="37">
        <v>0.98082191780821915</v>
      </c>
      <c r="AU10" s="37">
        <v>0.98630136986301364</v>
      </c>
      <c r="AV10" s="37">
        <v>0.989041095890411</v>
      </c>
      <c r="AW10" s="37">
        <v>0.99178082191780825</v>
      </c>
      <c r="AX10" s="37">
        <v>0.99178082191780825</v>
      </c>
      <c r="AY10" s="37">
        <v>0.99178082191780825</v>
      </c>
      <c r="AZ10" s="37">
        <v>0.989041095890411</v>
      </c>
      <c r="BA10" s="37">
        <v>0.9945205479452055</v>
      </c>
      <c r="BB10" s="37">
        <v>0.989041095890411</v>
      </c>
      <c r="BC10" s="37">
        <v>0.98630136986301364</v>
      </c>
      <c r="BD10" s="37">
        <v>0.99178082191780825</v>
      </c>
      <c r="BE10" s="37">
        <v>0.99178082191780825</v>
      </c>
      <c r="BF10" s="37">
        <v>0.99178082191780825</v>
      </c>
      <c r="BG10" s="37">
        <v>0.9945205479452055</v>
      </c>
      <c r="BH10" s="37">
        <v>0.989041095890411</v>
      </c>
      <c r="BI10" s="37">
        <v>0.9945205479452055</v>
      </c>
      <c r="BJ10" s="37">
        <v>0.99726027397260275</v>
      </c>
      <c r="BK10" s="37">
        <v>0.98630136986301364</v>
      </c>
      <c r="BL10" s="37">
        <v>0.9945205479452055</v>
      </c>
      <c r="BM10" s="37">
        <v>0.989041095890411</v>
      </c>
      <c r="BN10" s="37">
        <v>0.989041095890411</v>
      </c>
      <c r="BO10" s="37">
        <v>0.99726027397260275</v>
      </c>
      <c r="BP10" s="37">
        <v>0.99178082191780825</v>
      </c>
      <c r="BQ10" s="37">
        <v>0.98082191780821915</v>
      </c>
      <c r="BR10" s="37">
        <v>0.99178082191780825</v>
      </c>
      <c r="BS10" s="37">
        <v>0.99726027397260275</v>
      </c>
      <c r="BT10" s="37">
        <v>0.9945205479452055</v>
      </c>
      <c r="BU10" s="37">
        <v>0.98630136986301364</v>
      </c>
      <c r="BV10" s="37">
        <v>0.99178082191780825</v>
      </c>
      <c r="BW10" s="37">
        <v>0.99726027397260275</v>
      </c>
      <c r="BX10" s="37">
        <v>0.99178082191780825</v>
      </c>
      <c r="BY10" s="37">
        <v>0.98356164383561639</v>
      </c>
      <c r="BZ10" s="37">
        <v>0.98630136986301364</v>
      </c>
      <c r="CA10" s="37">
        <v>0.99726027397260275</v>
      </c>
      <c r="CB10" s="37">
        <v>0.99178082191780825</v>
      </c>
      <c r="CC10" s="37">
        <v>0.9945205479452055</v>
      </c>
      <c r="CD10" s="37">
        <v>0.99726027397260275</v>
      </c>
      <c r="CE10" s="37">
        <v>0.99178082191780825</v>
      </c>
      <c r="CF10" s="37">
        <v>0.9945205479452055</v>
      </c>
      <c r="CG10" s="37">
        <v>0.989041095890411</v>
      </c>
      <c r="CH10" s="37">
        <v>0.98630136986301364</v>
      </c>
      <c r="CI10" s="37">
        <v>0.99178082191780825</v>
      </c>
      <c r="CJ10" s="37">
        <v>0.99178082191780825</v>
      </c>
      <c r="CK10" s="37">
        <v>0.989041095890411</v>
      </c>
      <c r="CL10" s="37">
        <v>0.99178082191780825</v>
      </c>
      <c r="CM10" s="37">
        <v>0.99178082191780825</v>
      </c>
      <c r="CN10" s="37">
        <v>0.989041095890411</v>
      </c>
      <c r="CO10" s="37">
        <v>0.98630136986301364</v>
      </c>
      <c r="CP10" s="37">
        <v>0.989041095890411</v>
      </c>
      <c r="CQ10" s="37">
        <v>0.99726027397260275</v>
      </c>
      <c r="CR10" s="37">
        <v>0.98630136986301364</v>
      </c>
      <c r="CS10" s="37">
        <v>0.98630136986301364</v>
      </c>
      <c r="CT10" s="37">
        <v>0.989041095890411</v>
      </c>
      <c r="CU10" s="37">
        <v>1</v>
      </c>
      <c r="CV10" s="37">
        <v>0.9945205479452055</v>
      </c>
      <c r="CW10" s="37">
        <v>0.9945205479452055</v>
      </c>
      <c r="CX10" s="37">
        <v>0.98630136986301364</v>
      </c>
      <c r="CY10" s="37">
        <v>0.989041095890411</v>
      </c>
      <c r="CZ10" s="37">
        <v>0.99178082191780825</v>
      </c>
      <c r="DA10" s="37">
        <v>0.989041095890411</v>
      </c>
      <c r="DB10" s="37">
        <v>0.98630136986301364</v>
      </c>
      <c r="DC10" s="37">
        <v>0.99178082191780825</v>
      </c>
      <c r="DD10" s="37">
        <v>0.9945205479452055</v>
      </c>
      <c r="DE10" s="37">
        <v>0.989041095890411</v>
      </c>
      <c r="DF10" s="37">
        <v>0.989041095890411</v>
      </c>
      <c r="DG10" s="37">
        <v>0.9945205479452055</v>
      </c>
      <c r="DH10" s="37">
        <v>0.9945205479452055</v>
      </c>
      <c r="DI10" s="37">
        <v>0.9945205479452055</v>
      </c>
      <c r="DJ10" s="37">
        <v>0.989041095890411</v>
      </c>
      <c r="DK10" s="37">
        <f t="shared" si="9"/>
        <v>0.99112328767123314</v>
      </c>
      <c r="DL10" s="1"/>
    </row>
    <row r="11" spans="2:116" ht="13.25" customHeight="1" x14ac:dyDescent="0.3">
      <c r="B11" s="32" t="s">
        <v>44</v>
      </c>
      <c r="C11" s="37">
        <f ca="1">(E369-J1)/E369</f>
        <v>0.99726027397260275</v>
      </c>
      <c r="E11" s="5">
        <v>7</v>
      </c>
      <c r="F11" s="5">
        <f t="shared" ca="1" si="5"/>
        <v>120</v>
      </c>
      <c r="G11" s="5">
        <f t="shared" ca="1" si="2"/>
        <v>910</v>
      </c>
      <c r="H11" s="5">
        <f t="shared" ca="1" si="6"/>
        <v>790</v>
      </c>
      <c r="I11" s="5">
        <f t="shared" ca="1" si="3"/>
        <v>0</v>
      </c>
      <c r="J11" s="5">
        <f t="shared" ca="1" si="4"/>
        <v>0</v>
      </c>
      <c r="K11" s="5">
        <f t="shared" ca="1" si="7"/>
        <v>0</v>
      </c>
      <c r="L11" s="24">
        <f t="shared" ca="1" si="8"/>
        <v>21.643835616438356</v>
      </c>
      <c r="N11" s="2">
        <v>90</v>
      </c>
      <c r="O11" s="37">
        <v>0.9945205479452055</v>
      </c>
      <c r="P11" s="37">
        <v>0.9945205479452055</v>
      </c>
      <c r="Q11" s="37">
        <v>0.99726027397260275</v>
      </c>
      <c r="R11" s="37">
        <v>0.99726027397260275</v>
      </c>
      <c r="S11" s="37">
        <v>0.9945205479452055</v>
      </c>
      <c r="T11" s="37">
        <v>0.99726027397260275</v>
      </c>
      <c r="U11" s="37">
        <v>0.99178082191780825</v>
      </c>
      <c r="V11" s="37">
        <v>0.99726027397260275</v>
      </c>
      <c r="W11" s="37">
        <v>0.99726027397260275</v>
      </c>
      <c r="X11" s="37">
        <v>0.9945205479452055</v>
      </c>
      <c r="Y11" s="37">
        <v>0.99726027397260275</v>
      </c>
      <c r="Z11" s="37">
        <v>0.989041095890411</v>
      </c>
      <c r="AA11" s="37">
        <v>0.99726027397260275</v>
      </c>
      <c r="AB11" s="37">
        <v>0.99726027397260275</v>
      </c>
      <c r="AC11" s="37">
        <v>0.99726027397260275</v>
      </c>
      <c r="AD11" s="37">
        <v>0.99726027397260275</v>
      </c>
      <c r="AE11" s="37">
        <v>0.9945205479452055</v>
      </c>
      <c r="AF11" s="37">
        <v>0.99726027397260275</v>
      </c>
      <c r="AG11" s="37">
        <v>0.99726027397260275</v>
      </c>
      <c r="AH11" s="37">
        <v>0.99178082191780825</v>
      </c>
      <c r="AI11" s="37">
        <v>0.9945205479452055</v>
      </c>
      <c r="AJ11" s="37">
        <v>0.9945205479452055</v>
      </c>
      <c r="AK11" s="37">
        <v>0.989041095890411</v>
      </c>
      <c r="AL11" s="37">
        <v>0.99726027397260275</v>
      </c>
      <c r="AM11" s="37">
        <v>0.99726027397260275</v>
      </c>
      <c r="AN11" s="37">
        <v>0.99726027397260275</v>
      </c>
      <c r="AO11" s="37">
        <v>0.99178082191780825</v>
      </c>
      <c r="AP11" s="37">
        <v>0.9945205479452055</v>
      </c>
      <c r="AQ11" s="37">
        <v>0.99178082191780825</v>
      </c>
      <c r="AR11" s="37">
        <v>0.9945205479452055</v>
      </c>
      <c r="AS11" s="37">
        <v>0.9945205479452055</v>
      </c>
      <c r="AT11" s="37">
        <v>1</v>
      </c>
      <c r="AU11" s="37">
        <v>0.99726027397260275</v>
      </c>
      <c r="AV11" s="37">
        <v>0.99726027397260275</v>
      </c>
      <c r="AW11" s="37">
        <v>0.99726027397260275</v>
      </c>
      <c r="AX11" s="37">
        <v>0.9945205479452055</v>
      </c>
      <c r="AY11" s="37">
        <v>0.99178082191780825</v>
      </c>
      <c r="AZ11" s="37">
        <v>0.99178082191780825</v>
      </c>
      <c r="BA11" s="37">
        <v>0.9945205479452055</v>
      </c>
      <c r="BB11" s="37">
        <v>0.989041095890411</v>
      </c>
      <c r="BC11" s="37">
        <v>0.99726027397260275</v>
      </c>
      <c r="BD11" s="37">
        <v>0.99726027397260275</v>
      </c>
      <c r="BE11" s="37">
        <v>0.99726027397260275</v>
      </c>
      <c r="BF11" s="37">
        <v>0.99178082191780825</v>
      </c>
      <c r="BG11" s="37">
        <v>0.9945205479452055</v>
      </c>
      <c r="BH11" s="37">
        <v>0.9945205479452055</v>
      </c>
      <c r="BI11" s="37">
        <v>0.9945205479452055</v>
      </c>
      <c r="BJ11" s="37">
        <v>0.99726027397260275</v>
      </c>
      <c r="BK11" s="37">
        <v>0.99726027397260275</v>
      </c>
      <c r="BL11" s="37">
        <v>0.9945205479452055</v>
      </c>
      <c r="BM11" s="37">
        <v>0.9945205479452055</v>
      </c>
      <c r="BN11" s="37">
        <v>0.99178082191780825</v>
      </c>
      <c r="BO11" s="37">
        <v>0.9945205479452055</v>
      </c>
      <c r="BP11" s="37">
        <v>0.9945205479452055</v>
      </c>
      <c r="BQ11" s="37">
        <v>0.989041095890411</v>
      </c>
      <c r="BR11" s="37">
        <v>0.99726027397260275</v>
      </c>
      <c r="BS11" s="37">
        <v>0.9945205479452055</v>
      </c>
      <c r="BT11" s="37">
        <v>0.99726027397260275</v>
      </c>
      <c r="BU11" s="37">
        <v>0.99726027397260275</v>
      </c>
      <c r="BV11" s="37">
        <v>0.9945205479452055</v>
      </c>
      <c r="BW11" s="37">
        <v>0.9945205479452055</v>
      </c>
      <c r="BX11" s="37">
        <v>0.9945205479452055</v>
      </c>
      <c r="BY11" s="37">
        <v>0.989041095890411</v>
      </c>
      <c r="BZ11" s="37">
        <v>0.98630136986301364</v>
      </c>
      <c r="CA11" s="37">
        <v>0.9945205479452055</v>
      </c>
      <c r="CB11" s="37">
        <v>0.9945205479452055</v>
      </c>
      <c r="CC11" s="37">
        <v>0.99178082191780825</v>
      </c>
      <c r="CD11" s="37">
        <v>0.99178082191780825</v>
      </c>
      <c r="CE11" s="37">
        <v>0.99726027397260275</v>
      </c>
      <c r="CF11" s="37">
        <v>1</v>
      </c>
      <c r="CG11" s="37">
        <v>0.989041095890411</v>
      </c>
      <c r="CH11" s="37">
        <v>0.99726027397260275</v>
      </c>
      <c r="CI11" s="37">
        <v>0.9945205479452055</v>
      </c>
      <c r="CJ11" s="37">
        <v>0.99178082191780825</v>
      </c>
      <c r="CK11" s="37">
        <v>0.9945205479452055</v>
      </c>
      <c r="CL11" s="37">
        <v>0.99726027397260275</v>
      </c>
      <c r="CM11" s="37">
        <v>0.99726027397260275</v>
      </c>
      <c r="CN11" s="37">
        <v>0.99178082191780825</v>
      </c>
      <c r="CO11" s="37">
        <v>0.99178082191780825</v>
      </c>
      <c r="CP11" s="37">
        <v>0.989041095890411</v>
      </c>
      <c r="CQ11" s="37">
        <v>0.98630136986301364</v>
      </c>
      <c r="CR11" s="37">
        <v>0.99726027397260275</v>
      </c>
      <c r="CS11" s="37">
        <v>0.9945205479452055</v>
      </c>
      <c r="CT11" s="37">
        <v>0.9945205479452055</v>
      </c>
      <c r="CU11" s="37">
        <v>0.99726027397260275</v>
      </c>
      <c r="CV11" s="37">
        <v>0.99726027397260275</v>
      </c>
      <c r="CW11" s="37">
        <v>0.98630136986301364</v>
      </c>
      <c r="CX11" s="37">
        <v>0.98630136986301364</v>
      </c>
      <c r="CY11" s="37">
        <v>0.99178082191780825</v>
      </c>
      <c r="CZ11" s="37">
        <v>0.99726027397260275</v>
      </c>
      <c r="DA11" s="37">
        <v>0.9945205479452055</v>
      </c>
      <c r="DB11" s="37">
        <v>0.99178082191780825</v>
      </c>
      <c r="DC11" s="37">
        <v>0.9945205479452055</v>
      </c>
      <c r="DD11" s="37">
        <v>0.99178082191780825</v>
      </c>
      <c r="DE11" s="37">
        <v>0.99178082191780825</v>
      </c>
      <c r="DF11" s="37">
        <v>0.9945205479452055</v>
      </c>
      <c r="DG11" s="37">
        <v>0.9945205479452055</v>
      </c>
      <c r="DH11" s="37">
        <v>1</v>
      </c>
      <c r="DI11" s="37">
        <v>0.99178082191780825</v>
      </c>
      <c r="DJ11" s="37">
        <v>0.99726027397260275</v>
      </c>
      <c r="DK11" s="37">
        <f t="shared" si="9"/>
        <v>0.99443835616438347</v>
      </c>
      <c r="DL11" s="1"/>
    </row>
    <row r="12" spans="2:116" ht="12.75" customHeight="1" x14ac:dyDescent="0.3">
      <c r="B12" s="32" t="s">
        <v>50</v>
      </c>
      <c r="C12" s="5">
        <f ca="1">K1</f>
        <v>2200</v>
      </c>
      <c r="E12" s="5">
        <v>8</v>
      </c>
      <c r="F12" s="5">
        <f t="shared" ca="1" si="5"/>
        <v>90</v>
      </c>
      <c r="G12" s="5">
        <f t="shared" ca="1" si="2"/>
        <v>790</v>
      </c>
      <c r="H12" s="5">
        <f t="shared" ca="1" si="6"/>
        <v>700</v>
      </c>
      <c r="I12" s="5">
        <f t="shared" ca="1" si="3"/>
        <v>0</v>
      </c>
      <c r="J12" s="5">
        <f t="shared" ca="1" si="4"/>
        <v>0</v>
      </c>
      <c r="K12" s="5">
        <f t="shared" ca="1" si="7"/>
        <v>0</v>
      </c>
      <c r="L12" s="24">
        <f t="shared" ca="1" si="8"/>
        <v>19.17808219178082</v>
      </c>
      <c r="N12" s="2">
        <v>100</v>
      </c>
      <c r="O12" s="37">
        <v>1</v>
      </c>
      <c r="P12" s="37">
        <v>1</v>
      </c>
      <c r="Q12" s="37">
        <v>0.99178082191780825</v>
      </c>
      <c r="R12" s="37">
        <v>0.99726027397260275</v>
      </c>
      <c r="S12" s="37">
        <v>0.99726027397260275</v>
      </c>
      <c r="T12" s="37">
        <v>0.9945205479452055</v>
      </c>
      <c r="U12" s="37">
        <v>0.99726027397260275</v>
      </c>
      <c r="V12" s="37">
        <v>0.9945205479452055</v>
      </c>
      <c r="W12" s="37">
        <v>0.99726027397260275</v>
      </c>
      <c r="X12" s="37">
        <v>0.99726027397260275</v>
      </c>
      <c r="Y12" s="37">
        <v>0.9945205479452055</v>
      </c>
      <c r="Z12" s="37">
        <v>0.99726027397260275</v>
      </c>
      <c r="AA12" s="37">
        <v>0.99726027397260275</v>
      </c>
      <c r="AB12" s="37">
        <v>0.99726027397260275</v>
      </c>
      <c r="AC12" s="37">
        <v>0.9945205479452055</v>
      </c>
      <c r="AD12" s="37">
        <v>1</v>
      </c>
      <c r="AE12" s="37">
        <v>0.99726027397260275</v>
      </c>
      <c r="AF12" s="37">
        <v>0.99726027397260275</v>
      </c>
      <c r="AG12" s="37">
        <v>0.99726027397260275</v>
      </c>
      <c r="AH12" s="37">
        <v>0.99726027397260275</v>
      </c>
      <c r="AI12" s="37">
        <v>0.9945205479452055</v>
      </c>
      <c r="AJ12" s="37">
        <v>0.9945205479452055</v>
      </c>
      <c r="AK12" s="37">
        <v>0.99726027397260275</v>
      </c>
      <c r="AL12" s="37">
        <v>1</v>
      </c>
      <c r="AM12" s="37">
        <v>0.9945205479452055</v>
      </c>
      <c r="AN12" s="37">
        <v>0.99726027397260275</v>
      </c>
      <c r="AO12" s="37">
        <v>0.9945205479452055</v>
      </c>
      <c r="AP12" s="37">
        <v>0.99178082191780825</v>
      </c>
      <c r="AQ12" s="37">
        <v>0.99726027397260275</v>
      </c>
      <c r="AR12" s="37">
        <v>0.99178082191780825</v>
      </c>
      <c r="AS12" s="37">
        <v>0.99726027397260275</v>
      </c>
      <c r="AT12" s="37">
        <v>0.9945205479452055</v>
      </c>
      <c r="AU12" s="37">
        <v>0.99726027397260275</v>
      </c>
      <c r="AV12" s="37">
        <v>0.99726027397260275</v>
      </c>
      <c r="AW12" s="37">
        <v>1</v>
      </c>
      <c r="AX12" s="37">
        <v>0.99726027397260275</v>
      </c>
      <c r="AY12" s="37">
        <v>0.99726027397260275</v>
      </c>
      <c r="AZ12" s="37">
        <v>0.9945205479452055</v>
      </c>
      <c r="BA12" s="37">
        <v>0.99726027397260275</v>
      </c>
      <c r="BB12" s="37">
        <v>0.99726027397260275</v>
      </c>
      <c r="BC12" s="37">
        <v>0.99726027397260275</v>
      </c>
      <c r="BD12" s="37">
        <v>0.99178082191780825</v>
      </c>
      <c r="BE12" s="37">
        <v>0.9945205479452055</v>
      </c>
      <c r="BF12" s="37">
        <v>0.9945205479452055</v>
      </c>
      <c r="BG12" s="37">
        <v>1</v>
      </c>
      <c r="BH12" s="37">
        <v>0.99726027397260275</v>
      </c>
      <c r="BI12" s="37">
        <v>0.9945205479452055</v>
      </c>
      <c r="BJ12" s="37">
        <v>0.99726027397260275</v>
      </c>
      <c r="BK12" s="37">
        <v>0.99178082191780825</v>
      </c>
      <c r="BL12" s="37">
        <v>0.9945205479452055</v>
      </c>
      <c r="BM12" s="37">
        <v>0.99726027397260275</v>
      </c>
      <c r="BN12" s="37">
        <v>0.99726027397260275</v>
      </c>
      <c r="BO12" s="37">
        <v>0.99726027397260275</v>
      </c>
      <c r="BP12" s="37">
        <v>0.99726027397260275</v>
      </c>
      <c r="BQ12" s="37">
        <v>0.99726027397260275</v>
      </c>
      <c r="BR12" s="37">
        <v>0.99726027397260275</v>
      </c>
      <c r="BS12" s="37">
        <v>0.99726027397260275</v>
      </c>
      <c r="BT12" s="37">
        <v>0.9945205479452055</v>
      </c>
      <c r="BU12" s="37">
        <v>1</v>
      </c>
      <c r="BV12" s="37">
        <v>0.99726027397260275</v>
      </c>
      <c r="BW12" s="37">
        <v>0.99726027397260275</v>
      </c>
      <c r="BX12" s="37">
        <v>0.99726027397260275</v>
      </c>
      <c r="BY12" s="37">
        <v>0.99726027397260275</v>
      </c>
      <c r="BZ12" s="37">
        <v>0.99726027397260275</v>
      </c>
      <c r="CA12" s="37">
        <v>0.99726027397260275</v>
      </c>
      <c r="CB12" s="37">
        <v>0.99726027397260275</v>
      </c>
      <c r="CC12" s="37">
        <v>0.99726027397260275</v>
      </c>
      <c r="CD12" s="37">
        <v>0.99726027397260275</v>
      </c>
      <c r="CE12" s="37">
        <v>0.9945205479452055</v>
      </c>
      <c r="CF12" s="37">
        <v>0.99726027397260275</v>
      </c>
      <c r="CG12" s="37">
        <v>0.99178082191780825</v>
      </c>
      <c r="CH12" s="37">
        <v>0.9945205479452055</v>
      </c>
      <c r="CI12" s="37">
        <v>0.99726027397260275</v>
      </c>
      <c r="CJ12" s="37">
        <v>0.99726027397260275</v>
      </c>
      <c r="CK12" s="37">
        <v>0.99726027397260275</v>
      </c>
      <c r="CL12" s="37">
        <v>0.99726027397260275</v>
      </c>
      <c r="CM12" s="37">
        <v>0.9945205479452055</v>
      </c>
      <c r="CN12" s="37">
        <v>0.99726027397260275</v>
      </c>
      <c r="CO12" s="37">
        <v>0.99726027397260275</v>
      </c>
      <c r="CP12" s="37">
        <v>0.9945205479452055</v>
      </c>
      <c r="CQ12" s="37">
        <v>0.99726027397260275</v>
      </c>
      <c r="CR12" s="37">
        <v>0.99726027397260275</v>
      </c>
      <c r="CS12" s="37">
        <v>1</v>
      </c>
      <c r="CT12" s="37">
        <v>0.99726027397260275</v>
      </c>
      <c r="CU12" s="37">
        <v>0.9945205479452055</v>
      </c>
      <c r="CV12" s="37">
        <v>0.99726027397260275</v>
      </c>
      <c r="CW12" s="37">
        <v>0.99726027397260275</v>
      </c>
      <c r="CX12" s="37">
        <v>0.99178082191780825</v>
      </c>
      <c r="CY12" s="37">
        <v>0.99178082191780825</v>
      </c>
      <c r="CZ12" s="37">
        <v>0.99726027397260275</v>
      </c>
      <c r="DA12" s="37">
        <v>0.9945205479452055</v>
      </c>
      <c r="DB12" s="37">
        <v>0.99726027397260275</v>
      </c>
      <c r="DC12" s="37">
        <v>0.99726027397260275</v>
      </c>
      <c r="DD12" s="37">
        <v>0.99726027397260275</v>
      </c>
      <c r="DE12" s="37">
        <v>0.99726027397260275</v>
      </c>
      <c r="DF12" s="37">
        <v>0.9945205479452055</v>
      </c>
      <c r="DG12" s="37">
        <v>0.99178082191780825</v>
      </c>
      <c r="DH12" s="37">
        <v>0.99726027397260275</v>
      </c>
      <c r="DI12" s="37">
        <v>1</v>
      </c>
      <c r="DJ12" s="37">
        <v>0.99726027397260275</v>
      </c>
      <c r="DK12" s="37">
        <f t="shared" si="9"/>
        <v>0.99641095890410858</v>
      </c>
      <c r="DL12" s="1"/>
    </row>
    <row r="13" spans="2:116" ht="13.25" customHeight="1" x14ac:dyDescent="0.3">
      <c r="B13" s="32" t="s">
        <v>51</v>
      </c>
      <c r="C13" s="5">
        <f ca="1">L1</f>
        <v>6106.8493150684944</v>
      </c>
      <c r="E13" s="5">
        <v>9</v>
      </c>
      <c r="F13" s="5">
        <f t="shared" ca="1" si="5"/>
        <v>0</v>
      </c>
      <c r="G13" s="5">
        <f t="shared" ca="1" si="2"/>
        <v>700</v>
      </c>
      <c r="H13" s="5">
        <f t="shared" ca="1" si="6"/>
        <v>700</v>
      </c>
      <c r="I13" s="5">
        <f t="shared" ca="1" si="3"/>
        <v>0</v>
      </c>
      <c r="J13" s="5">
        <f t="shared" ca="1" si="4"/>
        <v>0</v>
      </c>
      <c r="K13" s="5">
        <f t="shared" ca="1" si="7"/>
        <v>0</v>
      </c>
      <c r="L13" s="24">
        <f t="shared" ca="1" si="8"/>
        <v>19.17808219178082</v>
      </c>
      <c r="N13" s="2">
        <v>110</v>
      </c>
      <c r="O13" s="37">
        <v>0.99726027397260275</v>
      </c>
      <c r="P13" s="37">
        <v>0.9945205479452055</v>
      </c>
      <c r="Q13" s="37">
        <v>0.99726027397260275</v>
      </c>
      <c r="R13" s="37">
        <v>0.99726027397260275</v>
      </c>
      <c r="S13" s="37">
        <v>1</v>
      </c>
      <c r="T13" s="37">
        <v>0.99726027397260275</v>
      </c>
      <c r="U13" s="37">
        <v>0.99726027397260275</v>
      </c>
      <c r="V13" s="37">
        <v>0.99726027397260275</v>
      </c>
      <c r="W13" s="37">
        <v>0.9945205479452055</v>
      </c>
      <c r="X13" s="37">
        <v>1</v>
      </c>
      <c r="Y13" s="37">
        <v>0.99726027397260275</v>
      </c>
      <c r="Z13" s="37">
        <v>0.99726027397260275</v>
      </c>
      <c r="AA13" s="37">
        <v>0.99726027397260275</v>
      </c>
      <c r="AB13" s="37">
        <v>0.99726027397260275</v>
      </c>
      <c r="AC13" s="37">
        <v>1</v>
      </c>
      <c r="AD13" s="37">
        <v>0.99726027397260275</v>
      </c>
      <c r="AE13" s="37">
        <v>1</v>
      </c>
      <c r="AF13" s="37">
        <v>0.99726027397260275</v>
      </c>
      <c r="AG13" s="37">
        <v>0.99726027397260275</v>
      </c>
      <c r="AH13" s="37">
        <v>0.99726027397260275</v>
      </c>
      <c r="AI13" s="37">
        <v>0.99726027397260275</v>
      </c>
      <c r="AJ13" s="37">
        <v>0.99726027397260275</v>
      </c>
      <c r="AK13" s="37">
        <v>0.99726027397260275</v>
      </c>
      <c r="AL13" s="37">
        <v>0.99726027397260275</v>
      </c>
      <c r="AM13" s="37">
        <v>0.99726027397260275</v>
      </c>
      <c r="AN13" s="37">
        <v>0.99726027397260275</v>
      </c>
      <c r="AO13" s="37">
        <v>0.99726027397260275</v>
      </c>
      <c r="AP13" s="37">
        <v>1</v>
      </c>
      <c r="AQ13" s="37">
        <v>0.99726027397260275</v>
      </c>
      <c r="AR13" s="37">
        <v>1</v>
      </c>
      <c r="AS13" s="37">
        <v>0.99726027397260275</v>
      </c>
      <c r="AT13" s="37">
        <v>0.99726027397260275</v>
      </c>
      <c r="AU13" s="37">
        <v>1</v>
      </c>
      <c r="AV13" s="37">
        <v>0.99726027397260275</v>
      </c>
      <c r="AW13" s="37">
        <v>1</v>
      </c>
      <c r="AX13" s="37">
        <v>1</v>
      </c>
      <c r="AY13" s="37">
        <v>0.99726027397260275</v>
      </c>
      <c r="AZ13" s="37">
        <v>0.99726027397260275</v>
      </c>
      <c r="BA13" s="37">
        <v>0.99726027397260275</v>
      </c>
      <c r="BB13" s="37">
        <v>0.99726027397260275</v>
      </c>
      <c r="BC13" s="37">
        <v>0.99726027397260275</v>
      </c>
      <c r="BD13" s="37">
        <v>0.99726027397260275</v>
      </c>
      <c r="BE13" s="37">
        <v>1</v>
      </c>
      <c r="BF13" s="37">
        <v>0.99726027397260275</v>
      </c>
      <c r="BG13" s="37">
        <v>1</v>
      </c>
      <c r="BH13" s="37">
        <v>0.99726027397260275</v>
      </c>
      <c r="BI13" s="37">
        <v>1</v>
      </c>
      <c r="BJ13" s="37">
        <v>1</v>
      </c>
      <c r="BK13" s="37">
        <v>0.9945205479452055</v>
      </c>
      <c r="BL13" s="37">
        <v>1</v>
      </c>
      <c r="BM13" s="37">
        <v>0.9945205479452055</v>
      </c>
      <c r="BN13" s="37">
        <v>0.99726027397260275</v>
      </c>
      <c r="BO13" s="37">
        <v>0.99726027397260275</v>
      </c>
      <c r="BP13" s="37">
        <v>0.99726027397260275</v>
      </c>
      <c r="BQ13" s="37">
        <v>0.99726027397260275</v>
      </c>
      <c r="BR13" s="37">
        <v>1</v>
      </c>
      <c r="BS13" s="37">
        <v>0.99726027397260275</v>
      </c>
      <c r="BT13" s="37">
        <v>0.99726027397260275</v>
      </c>
      <c r="BU13" s="37">
        <v>0.99726027397260275</v>
      </c>
      <c r="BV13" s="37">
        <v>0.99726027397260275</v>
      </c>
      <c r="BW13" s="37">
        <v>0.99726027397260275</v>
      </c>
      <c r="BX13" s="37">
        <v>1</v>
      </c>
      <c r="BY13" s="37">
        <v>0.99726027397260275</v>
      </c>
      <c r="BZ13" s="37">
        <v>1</v>
      </c>
      <c r="CA13" s="37">
        <v>0.99726027397260275</v>
      </c>
      <c r="CB13" s="37">
        <v>0.99726027397260275</v>
      </c>
      <c r="CC13" s="37">
        <v>0.99726027397260275</v>
      </c>
      <c r="CD13" s="37">
        <v>0.99726027397260275</v>
      </c>
      <c r="CE13" s="37">
        <v>0.99726027397260275</v>
      </c>
      <c r="CF13" s="37">
        <v>0.99726027397260275</v>
      </c>
      <c r="CG13" s="37">
        <v>0.99726027397260275</v>
      </c>
      <c r="CH13" s="37">
        <v>0.99726027397260275</v>
      </c>
      <c r="CI13" s="37">
        <v>0.9945205479452055</v>
      </c>
      <c r="CJ13" s="37">
        <v>0.99726027397260275</v>
      </c>
      <c r="CK13" s="37">
        <v>0.99726027397260275</v>
      </c>
      <c r="CL13" s="37">
        <v>1</v>
      </c>
      <c r="CM13" s="37">
        <v>0.99726027397260275</v>
      </c>
      <c r="CN13" s="37">
        <v>0.99726027397260275</v>
      </c>
      <c r="CO13" s="37">
        <v>1</v>
      </c>
      <c r="CP13" s="37">
        <v>0.99726027397260275</v>
      </c>
      <c r="CQ13" s="37">
        <v>0.99726027397260275</v>
      </c>
      <c r="CR13" s="37">
        <v>0.99726027397260275</v>
      </c>
      <c r="CS13" s="37">
        <v>0.99726027397260275</v>
      </c>
      <c r="CT13" s="37">
        <v>0.99726027397260275</v>
      </c>
      <c r="CU13" s="37">
        <v>0.99726027397260275</v>
      </c>
      <c r="CV13" s="37">
        <v>0.9945205479452055</v>
      </c>
      <c r="CW13" s="37">
        <v>0.99726027397260275</v>
      </c>
      <c r="CX13" s="37">
        <v>0.99726027397260275</v>
      </c>
      <c r="CY13" s="37">
        <v>0.99726027397260275</v>
      </c>
      <c r="CZ13" s="37">
        <v>1</v>
      </c>
      <c r="DA13" s="37">
        <v>0.99726027397260275</v>
      </c>
      <c r="DB13" s="37">
        <v>1</v>
      </c>
      <c r="DC13" s="37">
        <v>1</v>
      </c>
      <c r="DD13" s="37">
        <v>0.99726027397260275</v>
      </c>
      <c r="DE13" s="37">
        <v>0.99726027397260275</v>
      </c>
      <c r="DF13" s="37">
        <v>0.99726027397260275</v>
      </c>
      <c r="DG13" s="37">
        <v>1</v>
      </c>
      <c r="DH13" s="37">
        <v>0.99726027397260275</v>
      </c>
      <c r="DI13" s="37">
        <v>0.99726027397260275</v>
      </c>
      <c r="DJ13" s="37">
        <v>1</v>
      </c>
      <c r="DK13" s="37">
        <f t="shared" si="9"/>
        <v>0.99775342465753314</v>
      </c>
      <c r="DL13" s="41"/>
    </row>
    <row r="14" spans="2:116" ht="12.75" customHeight="1" x14ac:dyDescent="0.3">
      <c r="B14" s="32" t="s">
        <v>52</v>
      </c>
      <c r="C14" s="5">
        <f ca="1">C12+C13</f>
        <v>8306.8493150684953</v>
      </c>
      <c r="E14" s="5">
        <v>10</v>
      </c>
      <c r="F14" s="5">
        <f t="shared" ca="1" si="5"/>
        <v>0</v>
      </c>
      <c r="G14" s="5">
        <f t="shared" ca="1" si="2"/>
        <v>700</v>
      </c>
      <c r="H14" s="5">
        <f t="shared" ca="1" si="6"/>
        <v>700</v>
      </c>
      <c r="I14" s="5">
        <f t="shared" ca="1" si="3"/>
        <v>0</v>
      </c>
      <c r="J14" s="5">
        <f t="shared" ca="1" si="4"/>
        <v>0</v>
      </c>
      <c r="K14" s="5">
        <f t="shared" ca="1" si="7"/>
        <v>0</v>
      </c>
      <c r="L14" s="24">
        <f t="shared" ca="1" si="8"/>
        <v>19.17808219178082</v>
      </c>
      <c r="O14" s="42"/>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c r="BO14" s="41"/>
      <c r="BP14" s="41"/>
      <c r="BQ14" s="41"/>
      <c r="BR14" s="41"/>
      <c r="BS14" s="41"/>
      <c r="BT14" s="41"/>
      <c r="BU14" s="41"/>
      <c r="BV14" s="41"/>
      <c r="BW14" s="41"/>
      <c r="BX14" s="41"/>
      <c r="BY14" s="41"/>
      <c r="BZ14" s="41"/>
      <c r="CA14" s="41"/>
      <c r="CB14" s="41"/>
      <c r="CC14" s="41"/>
      <c r="CD14" s="41"/>
      <c r="CE14" s="41"/>
      <c r="CF14" s="41"/>
      <c r="CG14" s="41"/>
      <c r="CH14" s="41"/>
      <c r="CI14" s="41"/>
      <c r="CJ14" s="41"/>
      <c r="CK14" s="41"/>
      <c r="CL14" s="41"/>
      <c r="CM14" s="41"/>
      <c r="CN14" s="41"/>
      <c r="CO14" s="41"/>
      <c r="CP14" s="41"/>
      <c r="CQ14" s="41"/>
      <c r="CR14" s="41"/>
      <c r="CS14" s="41"/>
      <c r="CT14" s="41"/>
      <c r="CU14" s="41"/>
      <c r="CV14" s="41"/>
      <c r="CW14" s="41"/>
      <c r="CX14" s="41"/>
      <c r="CY14" s="41"/>
      <c r="CZ14" s="41"/>
      <c r="DA14" s="41"/>
      <c r="DB14" s="41"/>
      <c r="DC14" s="41"/>
      <c r="DD14" s="41"/>
      <c r="DE14" s="41"/>
      <c r="DF14" s="41"/>
      <c r="DG14" s="41"/>
      <c r="DH14" s="41"/>
      <c r="DI14" s="41"/>
      <c r="DJ14" s="41"/>
      <c r="DK14" s="41"/>
      <c r="DL14" s="41"/>
    </row>
    <row r="15" spans="2:116" ht="12.75" customHeight="1" x14ac:dyDescent="0.3">
      <c r="B15" s="23"/>
      <c r="C15" s="25"/>
      <c r="E15" s="5">
        <v>11</v>
      </c>
      <c r="F15" s="5">
        <f t="shared" ca="1" si="5"/>
        <v>0</v>
      </c>
      <c r="G15" s="5">
        <f t="shared" ca="1" si="2"/>
        <v>700</v>
      </c>
      <c r="H15" s="5">
        <f t="shared" ca="1" si="6"/>
        <v>700</v>
      </c>
      <c r="I15" s="5">
        <f t="shared" ca="1" si="3"/>
        <v>0</v>
      </c>
      <c r="J15" s="5">
        <f t="shared" ca="1" si="4"/>
        <v>0</v>
      </c>
      <c r="K15" s="5">
        <f t="shared" ca="1" si="7"/>
        <v>0</v>
      </c>
      <c r="L15" s="24">
        <f t="shared" ca="1" si="8"/>
        <v>19.17808219178082</v>
      </c>
      <c r="O15" s="43"/>
      <c r="P15" s="21"/>
      <c r="Q15" s="21" t="s">
        <v>40</v>
      </c>
      <c r="R15" s="21"/>
      <c r="S15" s="4"/>
      <c r="T15" s="41"/>
      <c r="U15" s="41"/>
      <c r="V15" s="41"/>
      <c r="W15" s="41"/>
      <c r="X15" s="41"/>
      <c r="Y15" s="41"/>
      <c r="Z15" s="41"/>
      <c r="AA15" s="41"/>
      <c r="AB15" s="41"/>
      <c r="AC15" s="41"/>
      <c r="AD15" s="41"/>
      <c r="AE15" s="41"/>
      <c r="AF15" s="41"/>
      <c r="AG15" s="41"/>
      <c r="AH15" s="41"/>
      <c r="AI15" s="41"/>
      <c r="AJ15" s="41"/>
      <c r="AK15" s="41"/>
      <c r="AL15" s="41"/>
      <c r="AM15" s="41"/>
      <c r="AN15" s="41"/>
      <c r="AO15" s="41"/>
      <c r="AP15" s="41"/>
      <c r="AQ15" s="41"/>
      <c r="AR15" s="41"/>
      <c r="AS15" s="41"/>
      <c r="AT15" s="41"/>
      <c r="AU15" s="41"/>
      <c r="AV15" s="41"/>
      <c r="AW15" s="41"/>
      <c r="AX15" s="41"/>
      <c r="AY15" s="41"/>
      <c r="AZ15" s="41"/>
      <c r="BA15" s="41"/>
      <c r="BB15" s="41"/>
      <c r="BC15" s="41"/>
      <c r="BD15" s="41"/>
      <c r="BE15" s="41"/>
      <c r="BF15" s="41"/>
      <c r="BG15" s="41"/>
      <c r="BH15" s="41"/>
      <c r="BI15" s="41"/>
      <c r="BJ15" s="41"/>
      <c r="BK15" s="41"/>
      <c r="BL15" s="41"/>
      <c r="BM15" s="41"/>
      <c r="BN15" s="41"/>
      <c r="BO15" s="41"/>
      <c r="BP15" s="41"/>
      <c r="BQ15" s="41"/>
      <c r="BR15" s="41"/>
      <c r="BS15" s="41"/>
      <c r="BT15" s="41"/>
      <c r="BU15" s="41"/>
      <c r="BV15" s="41"/>
      <c r="BW15" s="41"/>
      <c r="BX15" s="41"/>
      <c r="BY15" s="41"/>
      <c r="BZ15" s="41"/>
      <c r="CA15" s="41"/>
      <c r="CB15" s="41"/>
      <c r="CC15" s="41"/>
      <c r="CD15" s="41"/>
      <c r="CE15" s="41"/>
      <c r="CF15" s="41"/>
      <c r="CG15" s="41"/>
      <c r="CH15" s="41"/>
      <c r="CI15" s="41"/>
      <c r="CJ15" s="41"/>
      <c r="CK15" s="41"/>
      <c r="CL15" s="41"/>
      <c r="CM15" s="41"/>
      <c r="CN15" s="41"/>
      <c r="CO15" s="41"/>
      <c r="CP15" s="41"/>
      <c r="CQ15" s="41"/>
      <c r="CR15" s="41"/>
      <c r="CS15" s="41"/>
      <c r="CT15" s="41"/>
      <c r="CU15" s="41"/>
      <c r="CV15" s="41"/>
      <c r="CW15" s="41"/>
      <c r="CX15" s="41"/>
      <c r="CY15" s="41"/>
      <c r="CZ15" s="41"/>
      <c r="DA15" s="41"/>
      <c r="DB15" s="41"/>
      <c r="DC15" s="41"/>
      <c r="DD15" s="41"/>
      <c r="DE15" s="41"/>
      <c r="DF15" s="41"/>
      <c r="DG15" s="41"/>
      <c r="DH15" s="41"/>
      <c r="DI15" s="41"/>
      <c r="DJ15" s="41"/>
      <c r="DK15" s="41"/>
      <c r="DL15" s="41"/>
    </row>
    <row r="16" spans="2:116" ht="12.75" customHeight="1" x14ac:dyDescent="0.3">
      <c r="B16" s="44" t="s">
        <v>45</v>
      </c>
      <c r="E16" s="5">
        <v>12</v>
      </c>
      <c r="F16" s="5">
        <f t="shared" ca="1" si="5"/>
        <v>0</v>
      </c>
      <c r="G16" s="5">
        <f t="shared" ca="1" si="2"/>
        <v>700</v>
      </c>
      <c r="H16" s="5">
        <f t="shared" ca="1" si="6"/>
        <v>700</v>
      </c>
      <c r="I16" s="5">
        <f t="shared" ca="1" si="3"/>
        <v>0</v>
      </c>
      <c r="J16" s="5">
        <f t="shared" ca="1" si="4"/>
        <v>0</v>
      </c>
      <c r="K16" s="5">
        <f t="shared" ca="1" si="7"/>
        <v>0</v>
      </c>
      <c r="L16" s="24">
        <f t="shared" ca="1" si="8"/>
        <v>19.17808219178082</v>
      </c>
      <c r="P16" s="23"/>
      <c r="Q16" s="2" t="s">
        <v>25</v>
      </c>
      <c r="R16" s="2" t="s">
        <v>24</v>
      </c>
      <c r="S16" s="2" t="s">
        <v>23</v>
      </c>
      <c r="T16" s="41"/>
      <c r="U16" s="41"/>
      <c r="V16" s="41"/>
      <c r="W16" s="41"/>
      <c r="X16" s="41"/>
      <c r="Y16" s="41"/>
      <c r="Z16" s="41"/>
      <c r="AA16" s="41"/>
      <c r="AB16" s="41"/>
      <c r="AC16" s="41"/>
      <c r="AD16" s="41"/>
      <c r="AE16" s="41"/>
      <c r="AF16" s="41"/>
      <c r="AG16" s="41"/>
      <c r="AH16" s="41"/>
      <c r="AI16" s="41"/>
      <c r="AJ16" s="41"/>
      <c r="AK16" s="41"/>
      <c r="AL16" s="41"/>
      <c r="AM16" s="41"/>
      <c r="AN16" s="41"/>
      <c r="AO16" s="41"/>
      <c r="AP16" s="41"/>
      <c r="AQ16" s="41"/>
      <c r="AR16" s="41"/>
      <c r="AS16" s="41"/>
      <c r="AT16" s="41"/>
      <c r="AU16" s="41"/>
      <c r="AV16" s="41"/>
      <c r="AW16" s="41"/>
      <c r="AX16" s="41"/>
      <c r="AY16" s="41"/>
      <c r="AZ16" s="41"/>
      <c r="BA16" s="41"/>
      <c r="BB16" s="41"/>
      <c r="BC16" s="41"/>
      <c r="BD16" s="41"/>
      <c r="BE16" s="41"/>
      <c r="BF16" s="41"/>
      <c r="BG16" s="41"/>
      <c r="BH16" s="41"/>
      <c r="BI16" s="41"/>
      <c r="BJ16" s="41"/>
      <c r="BK16" s="41"/>
      <c r="BL16" s="41"/>
      <c r="BM16" s="41"/>
      <c r="BN16" s="41"/>
      <c r="BO16" s="41"/>
      <c r="BP16" s="41"/>
      <c r="BQ16" s="41"/>
      <c r="BR16" s="41"/>
      <c r="BS16" s="41"/>
      <c r="BT16" s="41"/>
      <c r="BU16" s="41"/>
      <c r="BV16" s="41"/>
      <c r="BW16" s="41"/>
      <c r="BX16" s="41"/>
      <c r="BY16" s="41"/>
      <c r="BZ16" s="41"/>
      <c r="CA16" s="41"/>
      <c r="CB16" s="41"/>
      <c r="CC16" s="41"/>
      <c r="CD16" s="41"/>
      <c r="CE16" s="41"/>
      <c r="CF16" s="41"/>
      <c r="CG16" s="41"/>
      <c r="CH16" s="41"/>
      <c r="CI16" s="41"/>
      <c r="CJ16" s="41"/>
      <c r="CK16" s="41"/>
      <c r="CL16" s="41"/>
      <c r="CM16" s="41"/>
      <c r="CN16" s="41"/>
      <c r="CO16" s="41"/>
      <c r="CP16" s="41"/>
      <c r="CQ16" s="41"/>
      <c r="CR16" s="41"/>
      <c r="CS16" s="41"/>
      <c r="CT16" s="41"/>
      <c r="CU16" s="41"/>
      <c r="CV16" s="41"/>
      <c r="CW16" s="41"/>
      <c r="CX16" s="41"/>
      <c r="CY16" s="41"/>
      <c r="CZ16" s="41"/>
      <c r="DA16" s="41"/>
      <c r="DB16" s="41"/>
      <c r="DC16" s="41"/>
      <c r="DD16" s="41"/>
      <c r="DE16" s="41"/>
      <c r="DF16" s="41"/>
      <c r="DG16" s="41"/>
      <c r="DH16" s="41"/>
      <c r="DI16" s="41"/>
      <c r="DJ16" s="41"/>
      <c r="DK16" s="41"/>
      <c r="DL16" s="41"/>
    </row>
    <row r="17" spans="2:116" x14ac:dyDescent="0.3">
      <c r="B17" s="45">
        <v>0</v>
      </c>
      <c r="C17" s="37">
        <f>INDEX(DK3:DK13,MATCH(C3,N3:N13,0))</f>
        <v>0.99641095890410858</v>
      </c>
      <c r="E17" s="5">
        <v>13</v>
      </c>
      <c r="F17" s="5">
        <f t="shared" ca="1" si="5"/>
        <v>0</v>
      </c>
      <c r="G17" s="5">
        <f t="shared" ca="1" si="2"/>
        <v>700</v>
      </c>
      <c r="H17" s="5">
        <f t="shared" ca="1" si="6"/>
        <v>700</v>
      </c>
      <c r="I17" s="5">
        <f t="shared" ca="1" si="3"/>
        <v>0</v>
      </c>
      <c r="J17" s="5">
        <f t="shared" ca="1" si="4"/>
        <v>0</v>
      </c>
      <c r="K17" s="5">
        <f t="shared" ca="1" si="7"/>
        <v>0</v>
      </c>
      <c r="L17" s="24">
        <f t="shared" ca="1" si="8"/>
        <v>19.17808219178082</v>
      </c>
      <c r="P17" s="21"/>
      <c r="Q17" s="2">
        <v>80</v>
      </c>
      <c r="R17" s="46">
        <v>0.1</v>
      </c>
      <c r="S17" s="2">
        <v>0</v>
      </c>
      <c r="T17" s="41"/>
      <c r="U17" s="41"/>
      <c r="V17" s="41"/>
      <c r="W17" s="41"/>
      <c r="X17" s="41"/>
      <c r="Y17" s="41"/>
      <c r="Z17" s="41"/>
      <c r="AA17" s="41"/>
      <c r="AB17" s="41"/>
      <c r="AC17" s="41"/>
      <c r="AD17" s="41"/>
      <c r="AE17" s="41"/>
      <c r="AF17" s="41"/>
      <c r="AG17" s="41"/>
      <c r="AH17" s="41"/>
      <c r="AI17" s="41"/>
      <c r="AJ17" s="41"/>
      <c r="AK17" s="41"/>
      <c r="AL17" s="41"/>
      <c r="AM17" s="41"/>
      <c r="AN17" s="41"/>
      <c r="AO17" s="41"/>
      <c r="AP17" s="41"/>
      <c r="AQ17" s="41"/>
      <c r="AR17" s="41"/>
      <c r="AS17" s="41"/>
      <c r="AT17" s="41"/>
      <c r="AU17" s="41"/>
      <c r="AV17" s="41"/>
      <c r="AW17" s="41"/>
      <c r="AX17" s="41"/>
      <c r="AY17" s="41"/>
      <c r="AZ17" s="41"/>
      <c r="BA17" s="41"/>
      <c r="BB17" s="41"/>
      <c r="BC17" s="41"/>
      <c r="BD17" s="41"/>
      <c r="BE17" s="41"/>
      <c r="BF17" s="41"/>
      <c r="BG17" s="41"/>
      <c r="BH17" s="41"/>
      <c r="BI17" s="41"/>
      <c r="BJ17" s="41"/>
      <c r="BK17" s="41"/>
      <c r="BL17" s="41"/>
      <c r="BM17" s="41"/>
      <c r="BN17" s="41"/>
      <c r="BO17" s="41"/>
      <c r="BP17" s="41"/>
      <c r="BQ17" s="41"/>
      <c r="BR17" s="41"/>
      <c r="BS17" s="41"/>
      <c r="BT17" s="41"/>
      <c r="BU17" s="41"/>
      <c r="BV17" s="41"/>
      <c r="BW17" s="41"/>
      <c r="BX17" s="41"/>
      <c r="BY17" s="41"/>
      <c r="BZ17" s="41"/>
      <c r="CA17" s="41"/>
      <c r="CB17" s="41"/>
      <c r="CC17" s="41"/>
      <c r="CD17" s="41"/>
      <c r="CE17" s="41"/>
      <c r="CF17" s="41"/>
      <c r="CG17" s="41"/>
      <c r="CH17" s="41"/>
      <c r="CI17" s="41"/>
      <c r="CJ17" s="41"/>
      <c r="CK17" s="41"/>
      <c r="CL17" s="41"/>
      <c r="CM17" s="41"/>
      <c r="CN17" s="41"/>
      <c r="CO17" s="41"/>
      <c r="CP17" s="41"/>
      <c r="CQ17" s="41"/>
      <c r="CR17" s="41"/>
      <c r="CS17" s="41"/>
      <c r="CT17" s="41"/>
      <c r="CU17" s="41"/>
      <c r="CV17" s="41"/>
      <c r="CW17" s="41"/>
      <c r="CX17" s="41"/>
      <c r="CY17" s="41"/>
      <c r="CZ17" s="41"/>
      <c r="DA17" s="41"/>
      <c r="DB17" s="41"/>
      <c r="DC17" s="41"/>
      <c r="DD17" s="41"/>
      <c r="DE17" s="41"/>
      <c r="DF17" s="41"/>
      <c r="DG17" s="41"/>
      <c r="DH17" s="41"/>
      <c r="DI17" s="41"/>
      <c r="DJ17" s="41"/>
      <c r="DK17" s="41"/>
      <c r="DL17" s="41"/>
    </row>
    <row r="18" spans="2:116" ht="12.75" customHeight="1" x14ac:dyDescent="0.3">
      <c r="B18" s="45">
        <f>C3</f>
        <v>100</v>
      </c>
      <c r="C18" s="37">
        <f>C17</f>
        <v>0.99641095890410858</v>
      </c>
      <c r="E18" s="5">
        <v>14</v>
      </c>
      <c r="F18" s="5">
        <f t="shared" ca="1" si="5"/>
        <v>0</v>
      </c>
      <c r="G18" s="5">
        <f t="shared" ca="1" si="2"/>
        <v>700</v>
      </c>
      <c r="H18" s="5">
        <f t="shared" ca="1" si="6"/>
        <v>700</v>
      </c>
      <c r="I18" s="5">
        <f t="shared" ca="1" si="3"/>
        <v>0</v>
      </c>
      <c r="J18" s="5">
        <f t="shared" ca="1" si="4"/>
        <v>0</v>
      </c>
      <c r="K18" s="5">
        <f t="shared" ca="1" si="7"/>
        <v>0</v>
      </c>
      <c r="L18" s="24">
        <f t="shared" ca="1" si="8"/>
        <v>19.17808219178082</v>
      </c>
      <c r="P18" s="21"/>
      <c r="Q18" s="2">
        <v>90</v>
      </c>
      <c r="R18" s="46">
        <v>0.2</v>
      </c>
      <c r="S18" s="46">
        <f>R17+T17</f>
        <v>0.1</v>
      </c>
      <c r="T18" s="41"/>
      <c r="U18" s="41"/>
      <c r="V18" s="41"/>
      <c r="W18" s="41"/>
      <c r="X18" s="41"/>
      <c r="Y18" s="41"/>
      <c r="Z18" s="41"/>
      <c r="AA18" s="41"/>
      <c r="AB18" s="41"/>
      <c r="AC18" s="41"/>
      <c r="AD18" s="41"/>
      <c r="AE18" s="41"/>
      <c r="AF18" s="41"/>
      <c r="AG18" s="41"/>
      <c r="AH18" s="41"/>
      <c r="AI18" s="41"/>
      <c r="AJ18" s="41"/>
      <c r="AK18" s="41"/>
      <c r="AL18" s="41"/>
      <c r="AM18" s="41"/>
      <c r="AN18" s="41"/>
      <c r="AO18" s="41"/>
      <c r="AP18" s="41"/>
      <c r="AQ18" s="41"/>
      <c r="AR18" s="41"/>
      <c r="AS18" s="41"/>
      <c r="AT18" s="41"/>
      <c r="AU18" s="41"/>
      <c r="AV18" s="41"/>
      <c r="AW18" s="41"/>
      <c r="AX18" s="41"/>
      <c r="AY18" s="41"/>
      <c r="AZ18" s="41"/>
      <c r="BA18" s="41"/>
      <c r="BB18" s="41"/>
      <c r="BC18" s="41"/>
      <c r="BD18" s="41"/>
      <c r="BE18" s="41"/>
      <c r="BF18" s="41"/>
      <c r="BG18" s="41"/>
      <c r="BH18" s="41"/>
      <c r="BI18" s="41"/>
      <c r="BJ18" s="41"/>
      <c r="BK18" s="41"/>
      <c r="BL18" s="41"/>
      <c r="BM18" s="41"/>
      <c r="BN18" s="41"/>
      <c r="BO18" s="41"/>
      <c r="BP18" s="41"/>
      <c r="BQ18" s="41"/>
      <c r="BR18" s="41"/>
      <c r="BS18" s="41"/>
      <c r="BT18" s="41"/>
      <c r="BU18" s="41"/>
      <c r="BV18" s="41"/>
      <c r="BW18" s="41"/>
      <c r="BX18" s="41"/>
      <c r="BY18" s="41"/>
      <c r="BZ18" s="41"/>
      <c r="CA18" s="41"/>
      <c r="CB18" s="41"/>
      <c r="CC18" s="41"/>
      <c r="CD18" s="41"/>
      <c r="CE18" s="41"/>
      <c r="CF18" s="41"/>
      <c r="CG18" s="41"/>
      <c r="CH18" s="41"/>
      <c r="CI18" s="41"/>
      <c r="CJ18" s="41"/>
      <c r="CK18" s="41"/>
      <c r="CL18" s="41"/>
      <c r="CM18" s="41"/>
      <c r="CN18" s="41"/>
      <c r="CO18" s="41"/>
      <c r="CP18" s="41"/>
      <c r="CQ18" s="41"/>
      <c r="CR18" s="41"/>
      <c r="CS18" s="41"/>
      <c r="CT18" s="41"/>
      <c r="CU18" s="41"/>
      <c r="CV18" s="41"/>
      <c r="CW18" s="41"/>
      <c r="CX18" s="41"/>
      <c r="CY18" s="41"/>
      <c r="CZ18" s="41"/>
      <c r="DA18" s="41"/>
      <c r="DB18" s="41"/>
      <c r="DC18" s="41"/>
      <c r="DD18" s="41"/>
      <c r="DE18" s="41"/>
      <c r="DF18" s="41"/>
      <c r="DG18" s="41"/>
      <c r="DH18" s="41"/>
      <c r="DI18" s="41"/>
      <c r="DJ18" s="41"/>
      <c r="DK18" s="41"/>
      <c r="DL18" s="41"/>
    </row>
    <row r="19" spans="2:116" ht="12.75" customHeight="1" x14ac:dyDescent="0.3">
      <c r="B19" s="2">
        <v>120</v>
      </c>
      <c r="C19" s="37">
        <f>C18</f>
        <v>0.99641095890410858</v>
      </c>
      <c r="E19" s="5">
        <v>15</v>
      </c>
      <c r="F19" s="5">
        <f t="shared" ca="1" si="5"/>
        <v>0</v>
      </c>
      <c r="G19" s="5">
        <f t="shared" ca="1" si="2"/>
        <v>700</v>
      </c>
      <c r="H19" s="5">
        <f t="shared" ca="1" si="6"/>
        <v>700</v>
      </c>
      <c r="I19" s="5">
        <f t="shared" ca="1" si="3"/>
        <v>0</v>
      </c>
      <c r="J19" s="5">
        <f t="shared" ca="1" si="4"/>
        <v>0</v>
      </c>
      <c r="K19" s="5">
        <f t="shared" ca="1" si="7"/>
        <v>0</v>
      </c>
      <c r="L19" s="24">
        <f t="shared" ca="1" si="8"/>
        <v>19.17808219178082</v>
      </c>
      <c r="P19" s="21"/>
      <c r="Q19" s="2">
        <v>100</v>
      </c>
      <c r="R19" s="46">
        <v>0.25</v>
      </c>
      <c r="S19" s="46">
        <f t="shared" ref="S19:S21" si="10">R18+T18</f>
        <v>0.2</v>
      </c>
      <c r="T19" s="41"/>
      <c r="U19" s="41"/>
      <c r="V19" s="41"/>
      <c r="W19" s="41"/>
      <c r="X19" s="41"/>
      <c r="Y19" s="41"/>
      <c r="Z19" s="41"/>
      <c r="AA19" s="41"/>
      <c r="AB19" s="41"/>
      <c r="AC19" s="41"/>
      <c r="AD19" s="41"/>
      <c r="AE19" s="41"/>
      <c r="AF19" s="41"/>
      <c r="AG19" s="41"/>
      <c r="AH19" s="41"/>
      <c r="AI19" s="41"/>
      <c r="AJ19" s="41"/>
      <c r="AK19" s="41"/>
      <c r="AL19" s="41"/>
      <c r="AM19" s="41"/>
      <c r="AN19" s="41"/>
      <c r="AO19" s="41"/>
      <c r="AP19" s="41"/>
      <c r="AQ19" s="41"/>
      <c r="AR19" s="41"/>
      <c r="AS19" s="41"/>
      <c r="AT19" s="41"/>
      <c r="AU19" s="41"/>
      <c r="AV19" s="41"/>
      <c r="AW19" s="41"/>
      <c r="AX19" s="41"/>
      <c r="AY19" s="41"/>
      <c r="AZ19" s="41"/>
      <c r="BA19" s="41"/>
      <c r="BB19" s="41"/>
      <c r="BC19" s="41"/>
      <c r="BD19" s="41"/>
      <c r="BE19" s="41"/>
      <c r="BF19" s="41"/>
      <c r="BG19" s="41"/>
      <c r="BH19" s="41"/>
      <c r="BI19" s="41"/>
      <c r="BJ19" s="41"/>
      <c r="BK19" s="41"/>
      <c r="BL19" s="41"/>
      <c r="BM19" s="41"/>
      <c r="BN19" s="41"/>
      <c r="BO19" s="41"/>
      <c r="BP19" s="41"/>
      <c r="BQ19" s="41"/>
      <c r="BR19" s="41"/>
      <c r="BS19" s="41"/>
      <c r="BT19" s="41"/>
      <c r="BU19" s="41"/>
      <c r="BV19" s="41"/>
      <c r="BW19" s="41"/>
      <c r="BX19" s="41"/>
      <c r="BY19" s="41"/>
      <c r="BZ19" s="41"/>
      <c r="CA19" s="41"/>
      <c r="CB19" s="41"/>
      <c r="CC19" s="41"/>
      <c r="CD19" s="41"/>
      <c r="CE19" s="41"/>
      <c r="CF19" s="41"/>
      <c r="CG19" s="41"/>
      <c r="CH19" s="41"/>
      <c r="CI19" s="41"/>
      <c r="CJ19" s="41"/>
      <c r="CK19" s="41"/>
      <c r="CL19" s="41"/>
      <c r="CM19" s="41"/>
      <c r="CN19" s="41"/>
      <c r="CO19" s="41"/>
      <c r="CP19" s="41"/>
      <c r="CQ19" s="41"/>
      <c r="CR19" s="41"/>
      <c r="CS19" s="41"/>
      <c r="CT19" s="41"/>
      <c r="CU19" s="41"/>
      <c r="CV19" s="41"/>
      <c r="CW19" s="41"/>
      <c r="CX19" s="41"/>
      <c r="CY19" s="41"/>
      <c r="CZ19" s="41"/>
      <c r="DA19" s="41"/>
      <c r="DB19" s="41"/>
      <c r="DC19" s="41"/>
      <c r="DD19" s="41"/>
      <c r="DE19" s="41"/>
      <c r="DF19" s="41"/>
      <c r="DG19" s="41"/>
      <c r="DH19" s="41"/>
      <c r="DI19" s="41"/>
      <c r="DJ19" s="41"/>
      <c r="DK19" s="41"/>
      <c r="DL19" s="41"/>
    </row>
    <row r="20" spans="2:116" ht="12.7" customHeight="1" x14ac:dyDescent="0.3">
      <c r="B20" s="44" t="s">
        <v>53</v>
      </c>
      <c r="C20" s="43"/>
      <c r="D20" s="7"/>
      <c r="E20" s="5">
        <v>16</v>
      </c>
      <c r="F20" s="5">
        <f t="shared" ca="1" si="5"/>
        <v>0</v>
      </c>
      <c r="G20" s="5">
        <f t="shared" ca="1" si="2"/>
        <v>700</v>
      </c>
      <c r="H20" s="5">
        <f t="shared" ca="1" si="6"/>
        <v>700</v>
      </c>
      <c r="I20" s="5">
        <f t="shared" ca="1" si="3"/>
        <v>0</v>
      </c>
      <c r="J20" s="5">
        <f t="shared" ca="1" si="4"/>
        <v>0</v>
      </c>
      <c r="K20" s="5">
        <f t="shared" ca="1" si="7"/>
        <v>0</v>
      </c>
      <c r="L20" s="24">
        <f t="shared" ca="1" si="8"/>
        <v>19.17808219178082</v>
      </c>
      <c r="N20" s="42"/>
      <c r="O20" s="42"/>
      <c r="P20" s="47"/>
      <c r="Q20" s="2">
        <v>110</v>
      </c>
      <c r="R20" s="46">
        <v>0.3</v>
      </c>
      <c r="S20" s="46">
        <f t="shared" si="10"/>
        <v>0.25</v>
      </c>
      <c r="T20" s="41"/>
      <c r="U20" s="41"/>
      <c r="V20" s="41"/>
      <c r="W20" s="41"/>
      <c r="X20" s="41"/>
      <c r="Y20" s="41"/>
      <c r="Z20" s="41"/>
      <c r="AA20" s="41"/>
      <c r="AB20" s="41"/>
      <c r="AC20" s="41"/>
      <c r="AD20" s="41"/>
      <c r="AE20" s="41"/>
      <c r="AF20" s="41"/>
      <c r="AG20" s="41"/>
      <c r="AH20" s="41"/>
      <c r="AI20" s="41"/>
      <c r="AJ20" s="41"/>
      <c r="AK20" s="41"/>
      <c r="AL20" s="41"/>
      <c r="AM20" s="41"/>
      <c r="AN20" s="41"/>
      <c r="AO20" s="41"/>
      <c r="AP20" s="41"/>
      <c r="AQ20" s="41"/>
      <c r="AR20" s="41"/>
      <c r="AS20" s="41"/>
      <c r="AT20" s="41"/>
      <c r="AU20" s="41"/>
      <c r="AV20" s="41"/>
      <c r="AW20" s="41"/>
      <c r="AX20" s="41"/>
      <c r="AY20" s="41"/>
      <c r="AZ20" s="41"/>
      <c r="BA20" s="41"/>
      <c r="BB20" s="41"/>
      <c r="BC20" s="41"/>
      <c r="BD20" s="41"/>
      <c r="BE20" s="41"/>
      <c r="BF20" s="41"/>
      <c r="BG20" s="41"/>
      <c r="BH20" s="41"/>
      <c r="BI20" s="41"/>
      <c r="BJ20" s="41"/>
      <c r="BK20" s="41"/>
      <c r="BL20" s="41"/>
      <c r="BM20" s="41"/>
      <c r="BN20" s="41"/>
      <c r="BO20" s="41"/>
      <c r="BP20" s="41"/>
      <c r="BQ20" s="41"/>
      <c r="BR20" s="41"/>
      <c r="BS20" s="41"/>
      <c r="BT20" s="41"/>
      <c r="BU20" s="41"/>
      <c r="BV20" s="41"/>
      <c r="BW20" s="41"/>
      <c r="BX20" s="41"/>
      <c r="BY20" s="41"/>
      <c r="BZ20" s="41"/>
      <c r="CA20" s="41"/>
      <c r="CB20" s="41"/>
      <c r="CC20" s="41"/>
      <c r="CD20" s="41"/>
      <c r="CE20" s="41"/>
      <c r="CF20" s="41"/>
      <c r="CG20" s="41"/>
      <c r="CH20" s="41"/>
      <c r="CI20" s="41"/>
      <c r="CJ20" s="41"/>
      <c r="CK20" s="41"/>
      <c r="CL20" s="41"/>
      <c r="CM20" s="41"/>
      <c r="CN20" s="41"/>
      <c r="CO20" s="41"/>
      <c r="CP20" s="41"/>
      <c r="CQ20" s="41"/>
      <c r="CR20" s="41"/>
      <c r="CS20" s="41"/>
      <c r="CT20" s="41"/>
      <c r="CU20" s="41"/>
      <c r="CV20" s="41"/>
      <c r="CW20" s="41"/>
      <c r="CX20" s="41"/>
      <c r="CY20" s="41"/>
      <c r="CZ20" s="41"/>
      <c r="DA20" s="41"/>
      <c r="DB20" s="41"/>
      <c r="DC20" s="41"/>
      <c r="DD20" s="41"/>
      <c r="DE20" s="41"/>
      <c r="DF20" s="41"/>
      <c r="DG20" s="41"/>
      <c r="DH20" s="41"/>
      <c r="DI20" s="41"/>
      <c r="DJ20" s="41"/>
      <c r="DK20" s="41"/>
      <c r="DL20" s="41"/>
    </row>
    <row r="21" spans="2:116" ht="13.25" customHeight="1" x14ac:dyDescent="0.3">
      <c r="B21" s="48">
        <f>$C$3</f>
        <v>100</v>
      </c>
      <c r="C21" s="37">
        <v>0</v>
      </c>
      <c r="E21" s="5">
        <v>17</v>
      </c>
      <c r="F21" s="5">
        <f t="shared" ca="1" si="5"/>
        <v>0</v>
      </c>
      <c r="G21" s="5">
        <f t="shared" ca="1" si="2"/>
        <v>700</v>
      </c>
      <c r="H21" s="5">
        <f t="shared" ca="1" si="6"/>
        <v>700</v>
      </c>
      <c r="I21" s="5">
        <f t="shared" ca="1" si="3"/>
        <v>0</v>
      </c>
      <c r="J21" s="5">
        <f t="shared" ca="1" si="4"/>
        <v>0</v>
      </c>
      <c r="K21" s="5">
        <f t="shared" ca="1" si="7"/>
        <v>0</v>
      </c>
      <c r="L21" s="24">
        <f t="shared" ca="1" si="8"/>
        <v>19.17808219178082</v>
      </c>
      <c r="N21" s="42"/>
      <c r="O21" s="42"/>
      <c r="P21" s="47"/>
      <c r="Q21" s="2">
        <v>120</v>
      </c>
      <c r="R21" s="46">
        <v>0.15</v>
      </c>
      <c r="S21" s="46">
        <f t="shared" si="10"/>
        <v>0.3</v>
      </c>
      <c r="T21" s="41"/>
      <c r="U21" s="41"/>
      <c r="V21" s="41"/>
      <c r="W21" s="41"/>
      <c r="X21" s="41"/>
      <c r="Y21" s="41"/>
      <c r="Z21" s="41"/>
      <c r="AA21" s="41"/>
      <c r="AB21" s="41"/>
      <c r="AC21" s="41"/>
      <c r="AD21" s="41"/>
      <c r="AE21" s="41"/>
      <c r="AF21" s="41"/>
      <c r="AG21" s="41"/>
      <c r="AH21" s="41"/>
      <c r="AI21" s="41"/>
      <c r="AJ21" s="41"/>
      <c r="AK21" s="41"/>
      <c r="AL21" s="41"/>
      <c r="AM21" s="41"/>
      <c r="AN21" s="41"/>
      <c r="AO21" s="41"/>
      <c r="AP21" s="41"/>
      <c r="AQ21" s="41"/>
      <c r="AR21" s="41"/>
      <c r="AS21" s="41"/>
      <c r="AT21" s="41"/>
      <c r="AU21" s="41"/>
      <c r="AV21" s="41"/>
      <c r="AW21" s="41"/>
      <c r="AX21" s="41"/>
      <c r="AY21" s="41"/>
      <c r="AZ21" s="41"/>
      <c r="BA21" s="41"/>
      <c r="BB21" s="41"/>
      <c r="BC21" s="41"/>
      <c r="BD21" s="41"/>
      <c r="BE21" s="41"/>
      <c r="BF21" s="41"/>
      <c r="BG21" s="41"/>
      <c r="BH21" s="41"/>
      <c r="BI21" s="41"/>
      <c r="BJ21" s="41"/>
      <c r="BK21" s="41"/>
      <c r="BL21" s="41"/>
      <c r="BM21" s="41"/>
      <c r="BN21" s="41"/>
      <c r="BO21" s="41"/>
      <c r="BP21" s="41"/>
      <c r="BQ21" s="41"/>
      <c r="BR21" s="41"/>
      <c r="BS21" s="41"/>
      <c r="BT21" s="41"/>
      <c r="BU21" s="41"/>
      <c r="BV21" s="41"/>
      <c r="BW21" s="41"/>
      <c r="BX21" s="41"/>
      <c r="BY21" s="41"/>
      <c r="BZ21" s="41"/>
      <c r="CA21" s="41"/>
      <c r="CB21" s="41"/>
      <c r="CC21" s="41"/>
      <c r="CD21" s="41"/>
      <c r="CE21" s="41"/>
      <c r="CF21" s="41"/>
      <c r="CG21" s="41"/>
      <c r="CH21" s="41"/>
      <c r="CI21" s="41"/>
      <c r="CJ21" s="41"/>
      <c r="CK21" s="41"/>
      <c r="CL21" s="41"/>
      <c r="CM21" s="41"/>
      <c r="CN21" s="41"/>
      <c r="CO21" s="41"/>
      <c r="CP21" s="41"/>
      <c r="CQ21" s="41"/>
      <c r="CR21" s="41"/>
      <c r="CS21" s="41"/>
      <c r="CT21" s="41"/>
      <c r="CU21" s="41"/>
      <c r="CV21" s="41"/>
      <c r="CW21" s="41"/>
      <c r="CX21" s="41"/>
      <c r="CY21" s="41"/>
      <c r="CZ21" s="41"/>
      <c r="DA21" s="41"/>
      <c r="DB21" s="41"/>
      <c r="DC21" s="41"/>
      <c r="DD21" s="41"/>
      <c r="DE21" s="41"/>
      <c r="DF21" s="41"/>
      <c r="DG21" s="41"/>
      <c r="DH21" s="41"/>
      <c r="DI21" s="41"/>
      <c r="DJ21" s="41"/>
      <c r="DK21" s="41"/>
      <c r="DL21" s="41"/>
    </row>
    <row r="22" spans="2:116" ht="13.25" customHeight="1" x14ac:dyDescent="0.3">
      <c r="B22" s="48">
        <f t="shared" ref="B22:B23" si="11">$C$3</f>
        <v>100</v>
      </c>
      <c r="C22" s="37">
        <f>C18</f>
        <v>0.99641095890410858</v>
      </c>
      <c r="E22" s="5">
        <v>18</v>
      </c>
      <c r="F22" s="5">
        <f t="shared" ca="1" si="5"/>
        <v>110</v>
      </c>
      <c r="G22" s="5">
        <f t="shared" ca="1" si="2"/>
        <v>700</v>
      </c>
      <c r="H22" s="5">
        <f t="shared" ca="1" si="6"/>
        <v>590</v>
      </c>
      <c r="I22" s="5">
        <f t="shared" ca="1" si="3"/>
        <v>0</v>
      </c>
      <c r="J22" s="5">
        <f t="shared" ca="1" si="4"/>
        <v>0</v>
      </c>
      <c r="K22" s="5">
        <f t="shared" ca="1" si="7"/>
        <v>0</v>
      </c>
      <c r="L22" s="24">
        <f t="shared" ca="1" si="8"/>
        <v>16.164383561643834</v>
      </c>
      <c r="N22" s="42"/>
      <c r="O22" s="42"/>
      <c r="P22" s="8"/>
      <c r="Q22" s="8"/>
      <c r="DK22" s="41"/>
      <c r="DL22" s="41"/>
    </row>
    <row r="23" spans="2:116" ht="13.25" customHeight="1" x14ac:dyDescent="0.3">
      <c r="B23" s="48">
        <f t="shared" si="11"/>
        <v>100</v>
      </c>
      <c r="C23" s="37">
        <v>1</v>
      </c>
      <c r="E23" s="5">
        <v>19</v>
      </c>
      <c r="F23" s="5">
        <f t="shared" ca="1" si="5"/>
        <v>100</v>
      </c>
      <c r="G23" s="5">
        <f t="shared" ca="1" si="2"/>
        <v>590</v>
      </c>
      <c r="H23" s="5">
        <f t="shared" ca="1" si="6"/>
        <v>490</v>
      </c>
      <c r="I23" s="5">
        <f t="shared" ca="1" si="3"/>
        <v>0</v>
      </c>
      <c r="J23" s="5">
        <f t="shared" ca="1" si="4"/>
        <v>0</v>
      </c>
      <c r="K23" s="5">
        <f t="shared" ca="1" si="7"/>
        <v>0</v>
      </c>
      <c r="L23" s="24">
        <f t="shared" ca="1" si="8"/>
        <v>13.424657534246574</v>
      </c>
      <c r="N23" s="41"/>
      <c r="O23" s="41"/>
      <c r="P23" s="8"/>
      <c r="Q23" s="8"/>
      <c r="DK23" s="41"/>
      <c r="DL23" s="41"/>
    </row>
    <row r="24" spans="2:116" ht="13.25" hidden="1" customHeight="1" x14ac:dyDescent="0.3">
      <c r="B24" s="21"/>
      <c r="E24" s="5">
        <v>20</v>
      </c>
      <c r="F24" s="5">
        <f t="shared" ca="1" si="5"/>
        <v>0</v>
      </c>
      <c r="G24" s="5">
        <f t="shared" ca="1" si="2"/>
        <v>490</v>
      </c>
      <c r="H24" s="5">
        <f t="shared" ca="1" si="6"/>
        <v>490</v>
      </c>
      <c r="I24" s="5">
        <f t="shared" ca="1" si="3"/>
        <v>0</v>
      </c>
      <c r="J24" s="5">
        <f t="shared" ca="1" si="4"/>
        <v>0</v>
      </c>
      <c r="K24" s="5">
        <f t="shared" ca="1" si="7"/>
        <v>0</v>
      </c>
      <c r="L24" s="24">
        <f t="shared" ca="1" si="8"/>
        <v>13.424657534246574</v>
      </c>
      <c r="N24" s="41"/>
      <c r="O24" s="41"/>
      <c r="Q24" s="41"/>
      <c r="R24" s="41"/>
      <c r="S24" s="41"/>
      <c r="T24" s="41"/>
      <c r="U24" s="41"/>
      <c r="V24" s="41"/>
      <c r="W24" s="41"/>
      <c r="X24" s="41"/>
      <c r="Y24" s="41"/>
      <c r="Z24" s="41"/>
      <c r="AA24" s="41"/>
      <c r="AB24" s="41"/>
      <c r="AC24" s="41"/>
      <c r="AD24" s="41"/>
      <c r="AE24" s="41"/>
      <c r="AF24" s="41"/>
      <c r="AG24" s="41"/>
      <c r="AH24" s="41"/>
      <c r="AI24" s="41"/>
      <c r="AJ24" s="41"/>
      <c r="AK24" s="41"/>
      <c r="AL24" s="41"/>
      <c r="AM24" s="41"/>
      <c r="AN24" s="41"/>
      <c r="AO24" s="41"/>
      <c r="AP24" s="41"/>
      <c r="AQ24" s="41"/>
      <c r="AR24" s="41"/>
      <c r="AS24" s="41"/>
      <c r="AT24" s="41"/>
      <c r="AU24" s="41"/>
      <c r="AV24" s="41"/>
      <c r="AW24" s="41"/>
      <c r="AX24" s="41"/>
      <c r="AY24" s="41"/>
      <c r="AZ24" s="41"/>
      <c r="BA24" s="41"/>
      <c r="BB24" s="41"/>
      <c r="BC24" s="41"/>
      <c r="BD24" s="41"/>
      <c r="BE24" s="41"/>
      <c r="BF24" s="41"/>
      <c r="BG24" s="41"/>
      <c r="BH24" s="41"/>
      <c r="BI24" s="41"/>
      <c r="BJ24" s="41"/>
      <c r="BK24" s="41"/>
      <c r="BL24" s="41"/>
      <c r="BM24" s="41"/>
      <c r="BN24" s="41"/>
      <c r="BO24" s="41"/>
      <c r="BP24" s="41"/>
      <c r="BQ24" s="41"/>
      <c r="BR24" s="41"/>
      <c r="BS24" s="41"/>
      <c r="BT24" s="41"/>
      <c r="BU24" s="41"/>
      <c r="BV24" s="41"/>
      <c r="BW24" s="41"/>
      <c r="BX24" s="41"/>
      <c r="BY24" s="41"/>
      <c r="BZ24" s="41"/>
      <c r="CA24" s="41"/>
      <c r="CB24" s="41"/>
      <c r="CC24" s="41"/>
      <c r="CD24" s="41"/>
      <c r="CE24" s="41"/>
      <c r="CF24" s="41"/>
      <c r="CG24" s="41"/>
      <c r="CH24" s="41"/>
      <c r="CI24" s="41"/>
      <c r="CJ24" s="41"/>
      <c r="CK24" s="41"/>
      <c r="CL24" s="41"/>
      <c r="CM24" s="41"/>
      <c r="CN24" s="41"/>
      <c r="CO24" s="41"/>
      <c r="CP24" s="41"/>
      <c r="CQ24" s="41"/>
      <c r="CR24" s="41"/>
      <c r="CS24" s="41"/>
      <c r="CT24" s="41"/>
      <c r="CU24" s="41"/>
      <c r="CV24" s="41"/>
      <c r="CW24" s="41"/>
      <c r="CX24" s="41"/>
      <c r="CY24" s="41"/>
      <c r="CZ24" s="41"/>
      <c r="DA24" s="41"/>
      <c r="DB24" s="41"/>
      <c r="DC24" s="41"/>
      <c r="DD24" s="41"/>
      <c r="DE24" s="41"/>
      <c r="DF24" s="41"/>
      <c r="DG24" s="41"/>
      <c r="DH24" s="41"/>
      <c r="DI24" s="41"/>
      <c r="DJ24" s="41"/>
      <c r="DK24" s="41"/>
      <c r="DL24" s="41"/>
    </row>
    <row r="25" spans="2:116" ht="13.25" hidden="1" customHeight="1" x14ac:dyDescent="0.3">
      <c r="B25" s="21"/>
      <c r="E25" s="5">
        <v>21</v>
      </c>
      <c r="F25" s="5">
        <f t="shared" ca="1" si="5"/>
        <v>90</v>
      </c>
      <c r="G25" s="5">
        <f t="shared" ca="1" si="2"/>
        <v>490</v>
      </c>
      <c r="H25" s="5">
        <f t="shared" ca="1" si="6"/>
        <v>400</v>
      </c>
      <c r="I25" s="5">
        <f t="shared" ca="1" si="3"/>
        <v>0</v>
      </c>
      <c r="J25" s="5">
        <f t="shared" ca="1" si="4"/>
        <v>0</v>
      </c>
      <c r="K25" s="5">
        <f t="shared" ca="1" si="7"/>
        <v>0</v>
      </c>
      <c r="L25" s="24">
        <f t="shared" ca="1" si="8"/>
        <v>10.95890410958904</v>
      </c>
      <c r="N25" s="7"/>
      <c r="O25" s="11"/>
      <c r="Q25" s="41"/>
      <c r="R25" s="41"/>
      <c r="S25" s="41"/>
      <c r="T25" s="41"/>
      <c r="U25" s="41"/>
      <c r="V25" s="41"/>
      <c r="W25" s="41"/>
      <c r="X25" s="41"/>
      <c r="Y25" s="41"/>
      <c r="Z25" s="41"/>
      <c r="AA25" s="41"/>
      <c r="AB25" s="41"/>
      <c r="AC25" s="41"/>
      <c r="AD25" s="41"/>
      <c r="AE25" s="41"/>
      <c r="AF25" s="41"/>
      <c r="AG25" s="41"/>
      <c r="AH25" s="41"/>
      <c r="AI25" s="41"/>
      <c r="AJ25" s="41"/>
      <c r="AK25" s="41"/>
      <c r="AL25" s="41"/>
      <c r="AM25" s="41"/>
      <c r="AN25" s="41"/>
      <c r="AO25" s="41"/>
      <c r="AP25" s="41"/>
      <c r="AQ25" s="41"/>
      <c r="AR25" s="41"/>
      <c r="AS25" s="41"/>
      <c r="AT25" s="41"/>
      <c r="AU25" s="41"/>
      <c r="AV25" s="41"/>
      <c r="AW25" s="41"/>
      <c r="AX25" s="41"/>
      <c r="AY25" s="41"/>
      <c r="AZ25" s="41"/>
      <c r="BA25" s="41"/>
      <c r="BB25" s="41"/>
      <c r="BC25" s="41"/>
      <c r="BD25" s="41"/>
      <c r="BE25" s="41"/>
      <c r="BF25" s="41"/>
      <c r="BG25" s="41"/>
      <c r="BH25" s="41"/>
      <c r="BI25" s="41"/>
      <c r="BJ25" s="41"/>
      <c r="BK25" s="41"/>
      <c r="BL25" s="41"/>
      <c r="BM25" s="41"/>
      <c r="BN25" s="41"/>
      <c r="BO25" s="41"/>
      <c r="BP25" s="41"/>
      <c r="BQ25" s="41"/>
      <c r="BR25" s="41"/>
      <c r="BS25" s="41"/>
      <c r="BT25" s="41"/>
      <c r="BU25" s="41"/>
      <c r="BV25" s="41"/>
      <c r="BW25" s="41"/>
      <c r="BX25" s="41"/>
      <c r="BY25" s="41"/>
      <c r="BZ25" s="41"/>
      <c r="CA25" s="41"/>
      <c r="CB25" s="41"/>
      <c r="CC25" s="41"/>
      <c r="CD25" s="41"/>
      <c r="CE25" s="41"/>
      <c r="CF25" s="41"/>
      <c r="CG25" s="41"/>
      <c r="CH25" s="41"/>
      <c r="CI25" s="41"/>
      <c r="CJ25" s="41"/>
      <c r="CK25" s="41"/>
      <c r="CL25" s="41"/>
      <c r="CM25" s="41"/>
      <c r="CN25" s="41"/>
      <c r="CO25" s="41"/>
      <c r="CP25" s="41"/>
      <c r="CQ25" s="41"/>
      <c r="CR25" s="41"/>
      <c r="CS25" s="41"/>
      <c r="CT25" s="41"/>
      <c r="CU25" s="41"/>
      <c r="CV25" s="41"/>
      <c r="CW25" s="41"/>
      <c r="CX25" s="41"/>
      <c r="CY25" s="41"/>
      <c r="CZ25" s="41"/>
      <c r="DA25" s="41"/>
      <c r="DB25" s="41"/>
      <c r="DC25" s="41"/>
      <c r="DD25" s="41"/>
      <c r="DE25" s="41"/>
      <c r="DF25" s="41"/>
      <c r="DG25" s="41"/>
      <c r="DH25" s="41"/>
      <c r="DI25" s="41"/>
      <c r="DJ25" s="41"/>
      <c r="DK25" s="41"/>
      <c r="DL25" s="41"/>
    </row>
    <row r="26" spans="2:116" ht="13.25" hidden="1" customHeight="1" x14ac:dyDescent="0.3">
      <c r="B26" s="21"/>
      <c r="E26" s="5">
        <v>22</v>
      </c>
      <c r="F26" s="5">
        <f t="shared" ca="1" si="5"/>
        <v>0</v>
      </c>
      <c r="G26" s="5">
        <f t="shared" ca="1" si="2"/>
        <v>400</v>
      </c>
      <c r="H26" s="5">
        <f t="shared" ca="1" si="6"/>
        <v>400</v>
      </c>
      <c r="I26" s="5">
        <f t="shared" ca="1" si="3"/>
        <v>0</v>
      </c>
      <c r="J26" s="5">
        <f t="shared" ca="1" si="4"/>
        <v>0</v>
      </c>
      <c r="K26" s="5">
        <f t="shared" ca="1" si="7"/>
        <v>0</v>
      </c>
      <c r="L26" s="24">
        <f t="shared" ca="1" si="8"/>
        <v>10.95890410958904</v>
      </c>
      <c r="N26" s="7"/>
      <c r="O26" s="11"/>
      <c r="Q26" s="41"/>
      <c r="R26" s="41"/>
      <c r="S26" s="41"/>
      <c r="T26" s="41"/>
      <c r="U26" s="41"/>
      <c r="V26" s="41"/>
      <c r="W26" s="41"/>
      <c r="X26" s="41"/>
      <c r="Y26" s="41"/>
      <c r="Z26" s="41"/>
      <c r="AA26" s="41"/>
      <c r="AB26" s="41"/>
      <c r="AC26" s="41"/>
      <c r="AD26" s="41"/>
      <c r="AE26" s="41"/>
      <c r="AF26" s="41"/>
      <c r="AG26" s="41"/>
      <c r="AH26" s="41"/>
      <c r="AI26" s="41"/>
      <c r="AJ26" s="41"/>
      <c r="AK26" s="41"/>
      <c r="AL26" s="41"/>
      <c r="AM26" s="41"/>
      <c r="AN26" s="41"/>
      <c r="AO26" s="41"/>
      <c r="AP26" s="41"/>
      <c r="AQ26" s="41"/>
      <c r="AR26" s="41"/>
      <c r="AS26" s="41"/>
      <c r="AT26" s="41"/>
      <c r="AU26" s="41"/>
      <c r="AV26" s="41"/>
      <c r="AW26" s="41"/>
      <c r="AX26" s="41"/>
      <c r="AY26" s="41"/>
      <c r="AZ26" s="41"/>
      <c r="BA26" s="41"/>
      <c r="BB26" s="41"/>
      <c r="BC26" s="41"/>
      <c r="BD26" s="41"/>
      <c r="BE26" s="41"/>
      <c r="BF26" s="41"/>
      <c r="BG26" s="41"/>
      <c r="BH26" s="41"/>
      <c r="BI26" s="41"/>
      <c r="BJ26" s="41"/>
      <c r="BK26" s="41"/>
      <c r="BL26" s="41"/>
      <c r="BM26" s="41"/>
      <c r="BN26" s="41"/>
      <c r="BO26" s="41"/>
      <c r="BP26" s="41"/>
      <c r="BQ26" s="41"/>
      <c r="BR26" s="41"/>
      <c r="BS26" s="41"/>
      <c r="BT26" s="41"/>
      <c r="BU26" s="41"/>
      <c r="BV26" s="41"/>
      <c r="BW26" s="41"/>
      <c r="BX26" s="41"/>
      <c r="BY26" s="41"/>
      <c r="BZ26" s="41"/>
      <c r="CA26" s="41"/>
      <c r="CB26" s="41"/>
      <c r="CC26" s="41"/>
      <c r="CD26" s="41"/>
      <c r="CE26" s="41"/>
      <c r="CF26" s="41"/>
      <c r="CG26" s="41"/>
      <c r="CH26" s="41"/>
      <c r="CI26" s="41"/>
      <c r="CJ26" s="41"/>
      <c r="CK26" s="41"/>
      <c r="CL26" s="41"/>
      <c r="CM26" s="41"/>
      <c r="CN26" s="41"/>
      <c r="CO26" s="41"/>
      <c r="CP26" s="41"/>
      <c r="CQ26" s="41"/>
      <c r="CR26" s="41"/>
      <c r="CS26" s="41"/>
      <c r="CT26" s="41"/>
      <c r="CU26" s="41"/>
      <c r="CV26" s="41"/>
      <c r="CW26" s="41"/>
      <c r="CX26" s="41"/>
      <c r="CY26" s="41"/>
      <c r="CZ26" s="41"/>
      <c r="DA26" s="41"/>
      <c r="DB26" s="41"/>
      <c r="DC26" s="41"/>
      <c r="DD26" s="41"/>
      <c r="DE26" s="41"/>
      <c r="DF26" s="41"/>
      <c r="DG26" s="41"/>
      <c r="DH26" s="41"/>
      <c r="DI26" s="41"/>
      <c r="DJ26" s="41"/>
      <c r="DK26" s="41"/>
      <c r="DL26" s="41"/>
    </row>
    <row r="27" spans="2:116" ht="13.25" hidden="1" customHeight="1" x14ac:dyDescent="0.3">
      <c r="B27" s="21"/>
      <c r="E27" s="5">
        <v>23</v>
      </c>
      <c r="F27" s="5">
        <f t="shared" ca="1" si="5"/>
        <v>0</v>
      </c>
      <c r="G27" s="5">
        <f t="shared" ca="1" si="2"/>
        <v>400</v>
      </c>
      <c r="H27" s="5">
        <f t="shared" ca="1" si="6"/>
        <v>400</v>
      </c>
      <c r="I27" s="5">
        <f t="shared" ca="1" si="3"/>
        <v>0</v>
      </c>
      <c r="J27" s="5">
        <f t="shared" ca="1" si="4"/>
        <v>0</v>
      </c>
      <c r="K27" s="5">
        <f t="shared" ca="1" si="7"/>
        <v>0</v>
      </c>
      <c r="L27" s="24">
        <f t="shared" ca="1" si="8"/>
        <v>10.95890410958904</v>
      </c>
      <c r="N27" s="7"/>
      <c r="O27" s="11"/>
      <c r="P27" s="41"/>
      <c r="Q27" s="41"/>
      <c r="R27" s="41"/>
      <c r="S27" s="41"/>
      <c r="T27" s="41"/>
      <c r="U27" s="41"/>
      <c r="V27" s="41"/>
      <c r="W27" s="41"/>
      <c r="X27" s="41"/>
      <c r="Y27" s="41"/>
      <c r="Z27" s="41"/>
      <c r="AA27" s="41"/>
      <c r="AB27" s="41"/>
      <c r="AC27" s="41"/>
      <c r="AD27" s="41"/>
      <c r="AE27" s="41"/>
      <c r="AF27" s="41"/>
      <c r="AG27" s="41"/>
      <c r="AH27" s="41"/>
      <c r="AI27" s="41"/>
      <c r="AJ27" s="41"/>
      <c r="AK27" s="41"/>
      <c r="AL27" s="41"/>
      <c r="AM27" s="41"/>
      <c r="AN27" s="41"/>
      <c r="AO27" s="41"/>
      <c r="AP27" s="41"/>
      <c r="AQ27" s="41"/>
      <c r="AR27" s="41"/>
      <c r="AS27" s="41"/>
      <c r="AT27" s="41"/>
      <c r="AU27" s="41"/>
      <c r="AV27" s="41"/>
      <c r="AW27" s="41"/>
      <c r="AX27" s="41"/>
      <c r="AY27" s="41"/>
      <c r="AZ27" s="41"/>
      <c r="BA27" s="41"/>
      <c r="BB27" s="41"/>
      <c r="BC27" s="41"/>
      <c r="BD27" s="41"/>
      <c r="BE27" s="41"/>
      <c r="BF27" s="41"/>
      <c r="BG27" s="41"/>
      <c r="BH27" s="41"/>
      <c r="BI27" s="41"/>
      <c r="BJ27" s="41"/>
      <c r="BK27" s="41"/>
      <c r="BL27" s="41"/>
      <c r="BM27" s="41"/>
      <c r="BN27" s="41"/>
      <c r="BO27" s="41"/>
      <c r="BP27" s="41"/>
      <c r="BQ27" s="41"/>
      <c r="BR27" s="41"/>
      <c r="BS27" s="41"/>
      <c r="BT27" s="41"/>
      <c r="BU27" s="41"/>
      <c r="BV27" s="41"/>
      <c r="BW27" s="41"/>
      <c r="BX27" s="41"/>
      <c r="BY27" s="41"/>
      <c r="BZ27" s="41"/>
      <c r="CA27" s="41"/>
      <c r="CB27" s="41"/>
      <c r="CC27" s="41"/>
      <c r="CD27" s="41"/>
      <c r="CE27" s="41"/>
      <c r="CF27" s="41"/>
      <c r="CG27" s="41"/>
      <c r="CH27" s="41"/>
      <c r="CI27" s="41"/>
      <c r="CJ27" s="41"/>
      <c r="CK27" s="41"/>
      <c r="CL27" s="41"/>
      <c r="CM27" s="41"/>
      <c r="CN27" s="41"/>
      <c r="CO27" s="41"/>
      <c r="CP27" s="41"/>
      <c r="CQ27" s="41"/>
      <c r="CR27" s="41"/>
      <c r="CS27" s="41"/>
      <c r="CT27" s="41"/>
      <c r="CU27" s="41"/>
      <c r="CV27" s="41"/>
      <c r="CW27" s="41"/>
      <c r="CX27" s="41"/>
      <c r="CY27" s="41"/>
      <c r="CZ27" s="41"/>
      <c r="DA27" s="41"/>
      <c r="DB27" s="41"/>
      <c r="DC27" s="41"/>
      <c r="DD27" s="41"/>
      <c r="DE27" s="41"/>
      <c r="DF27" s="41"/>
      <c r="DG27" s="41"/>
      <c r="DH27" s="41"/>
      <c r="DI27" s="41"/>
      <c r="DJ27" s="41"/>
      <c r="DK27" s="41"/>
      <c r="DL27" s="41"/>
    </row>
    <row r="28" spans="2:116" ht="13.25" hidden="1" customHeight="1" x14ac:dyDescent="0.3">
      <c r="B28" s="21"/>
      <c r="E28" s="5">
        <v>24</v>
      </c>
      <c r="F28" s="5">
        <f t="shared" ca="1" si="5"/>
        <v>0</v>
      </c>
      <c r="G28" s="5">
        <f t="shared" ca="1" si="2"/>
        <v>400</v>
      </c>
      <c r="H28" s="5">
        <f t="shared" ca="1" si="6"/>
        <v>400</v>
      </c>
      <c r="I28" s="5">
        <f t="shared" ca="1" si="3"/>
        <v>0</v>
      </c>
      <c r="J28" s="5">
        <f t="shared" ca="1" si="4"/>
        <v>0</v>
      </c>
      <c r="K28" s="5">
        <f t="shared" ca="1" si="7"/>
        <v>0</v>
      </c>
      <c r="L28" s="24">
        <f t="shared" ca="1" si="8"/>
        <v>10.95890410958904</v>
      </c>
      <c r="N28" s="7"/>
      <c r="O28" s="11"/>
      <c r="P28" s="41"/>
      <c r="Q28" s="41"/>
      <c r="R28" s="41"/>
      <c r="S28" s="41"/>
      <c r="T28" s="41"/>
      <c r="U28" s="41"/>
      <c r="V28" s="41"/>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41"/>
      <c r="BG28" s="41"/>
      <c r="BH28" s="41"/>
      <c r="BI28" s="41"/>
      <c r="BJ28" s="41"/>
      <c r="BK28" s="41"/>
      <c r="BL28" s="41"/>
      <c r="BM28" s="41"/>
      <c r="BN28" s="41"/>
      <c r="BO28" s="41"/>
      <c r="BP28" s="41"/>
      <c r="BQ28" s="41"/>
      <c r="BR28" s="41"/>
      <c r="BS28" s="41"/>
      <c r="BT28" s="41"/>
      <c r="BU28" s="41"/>
      <c r="BV28" s="41"/>
      <c r="BW28" s="41"/>
      <c r="BX28" s="41"/>
      <c r="BY28" s="41"/>
      <c r="BZ28" s="41"/>
      <c r="CA28" s="41"/>
      <c r="CB28" s="41"/>
      <c r="CC28" s="41"/>
      <c r="CD28" s="41"/>
      <c r="CE28" s="41"/>
      <c r="CF28" s="41"/>
      <c r="CG28" s="41"/>
      <c r="CH28" s="41"/>
      <c r="CI28" s="41"/>
      <c r="CJ28" s="41"/>
      <c r="CK28" s="41"/>
      <c r="CL28" s="41"/>
      <c r="CM28" s="41"/>
      <c r="CN28" s="41"/>
      <c r="CO28" s="41"/>
      <c r="CP28" s="41"/>
      <c r="CQ28" s="41"/>
      <c r="CR28" s="41"/>
      <c r="CS28" s="41"/>
      <c r="CT28" s="41"/>
      <c r="CU28" s="41"/>
      <c r="CV28" s="41"/>
      <c r="CW28" s="41"/>
      <c r="CX28" s="41"/>
      <c r="CY28" s="41"/>
      <c r="CZ28" s="41"/>
      <c r="DA28" s="41"/>
      <c r="DB28" s="41"/>
      <c r="DC28" s="41"/>
      <c r="DD28" s="41"/>
      <c r="DE28" s="41"/>
      <c r="DF28" s="41"/>
      <c r="DG28" s="41"/>
      <c r="DH28" s="41"/>
      <c r="DI28" s="41"/>
      <c r="DJ28" s="41"/>
      <c r="DK28" s="41"/>
      <c r="DL28" s="10"/>
    </row>
    <row r="29" spans="2:116" ht="13.25" hidden="1" customHeight="1" x14ac:dyDescent="0.3">
      <c r="B29" s="21"/>
      <c r="E29" s="5">
        <v>25</v>
      </c>
      <c r="F29" s="5">
        <f t="shared" ca="1" si="5"/>
        <v>120</v>
      </c>
      <c r="G29" s="5">
        <f t="shared" ca="1" si="2"/>
        <v>400</v>
      </c>
      <c r="H29" s="5">
        <f t="shared" ca="1" si="6"/>
        <v>280</v>
      </c>
      <c r="I29" s="5">
        <f t="shared" ca="1" si="3"/>
        <v>0</v>
      </c>
      <c r="J29" s="5">
        <f t="shared" ca="1" si="4"/>
        <v>0</v>
      </c>
      <c r="K29" s="5">
        <f t="shared" ca="1" si="7"/>
        <v>0</v>
      </c>
      <c r="L29" s="24">
        <f t="shared" ca="1" si="8"/>
        <v>7.6712328767123283</v>
      </c>
      <c r="N29" s="7"/>
      <c r="O29" s="11"/>
      <c r="Q29" s="7"/>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c r="CW29" s="10"/>
      <c r="CX29" s="10"/>
      <c r="CY29" s="10"/>
      <c r="CZ29" s="10"/>
      <c r="DA29" s="10"/>
      <c r="DB29" s="10"/>
      <c r="DC29" s="10"/>
      <c r="DD29" s="10"/>
      <c r="DE29" s="10"/>
      <c r="DF29" s="10"/>
      <c r="DG29" s="10"/>
      <c r="DH29" s="10"/>
      <c r="DI29" s="10"/>
      <c r="DJ29" s="10"/>
      <c r="DK29" s="10"/>
      <c r="DL29" s="10"/>
    </row>
    <row r="30" spans="2:116" ht="13.25" hidden="1" customHeight="1" x14ac:dyDescent="0.3">
      <c r="B30" s="21"/>
      <c r="E30" s="5">
        <v>26</v>
      </c>
      <c r="F30" s="5">
        <f t="shared" ca="1" si="5"/>
        <v>100</v>
      </c>
      <c r="G30" s="5">
        <f t="shared" ca="1" si="2"/>
        <v>280</v>
      </c>
      <c r="H30" s="5">
        <f t="shared" ca="1" si="6"/>
        <v>180</v>
      </c>
      <c r="I30" s="5">
        <f t="shared" ca="1" si="3"/>
        <v>0</v>
      </c>
      <c r="J30" s="5">
        <f t="shared" ca="1" si="4"/>
        <v>0</v>
      </c>
      <c r="K30" s="5">
        <f t="shared" ca="1" si="7"/>
        <v>0</v>
      </c>
      <c r="L30" s="24">
        <f t="shared" ca="1" si="8"/>
        <v>4.9315068493150687</v>
      </c>
      <c r="N30" s="7"/>
      <c r="O30" s="11"/>
      <c r="Q30" s="7"/>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c r="CW30" s="10"/>
      <c r="CX30" s="10"/>
      <c r="CY30" s="10"/>
      <c r="CZ30" s="10"/>
      <c r="DA30" s="10"/>
      <c r="DB30" s="10"/>
      <c r="DC30" s="10"/>
      <c r="DD30" s="10"/>
      <c r="DE30" s="10"/>
      <c r="DF30" s="10"/>
      <c r="DG30" s="10"/>
      <c r="DH30" s="10"/>
      <c r="DI30" s="10"/>
      <c r="DJ30" s="10"/>
      <c r="DK30" s="10"/>
      <c r="DL30" s="10"/>
    </row>
    <row r="31" spans="2:116" ht="13.25" hidden="1" customHeight="1" x14ac:dyDescent="0.3">
      <c r="B31" s="21"/>
      <c r="E31" s="5">
        <v>27</v>
      </c>
      <c r="F31" s="5">
        <f t="shared" ca="1" si="5"/>
        <v>0</v>
      </c>
      <c r="G31" s="5">
        <f t="shared" ca="1" si="2"/>
        <v>180</v>
      </c>
      <c r="H31" s="5">
        <f t="shared" ca="1" si="6"/>
        <v>180</v>
      </c>
      <c r="I31" s="5">
        <f t="shared" ca="1" si="3"/>
        <v>0</v>
      </c>
      <c r="J31" s="5">
        <f t="shared" ca="1" si="4"/>
        <v>0</v>
      </c>
      <c r="K31" s="5">
        <f t="shared" ca="1" si="7"/>
        <v>0</v>
      </c>
      <c r="L31" s="24">
        <f t="shared" ca="1" si="8"/>
        <v>4.9315068493150687</v>
      </c>
      <c r="N31" s="7"/>
      <c r="O31" s="11"/>
      <c r="Q31" s="7"/>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c r="CW31" s="10"/>
      <c r="CX31" s="10"/>
      <c r="CY31" s="10"/>
      <c r="CZ31" s="10"/>
      <c r="DA31" s="10"/>
      <c r="DB31" s="10"/>
      <c r="DC31" s="10"/>
      <c r="DD31" s="10"/>
      <c r="DE31" s="10"/>
      <c r="DF31" s="10"/>
      <c r="DG31" s="10"/>
      <c r="DH31" s="10"/>
      <c r="DI31" s="10"/>
      <c r="DJ31" s="10"/>
      <c r="DK31" s="10"/>
      <c r="DL31" s="10"/>
    </row>
    <row r="32" spans="2:116" ht="13.25" hidden="1" customHeight="1" x14ac:dyDescent="0.3">
      <c r="B32" s="21"/>
      <c r="E32" s="5">
        <v>28</v>
      </c>
      <c r="F32" s="5">
        <f t="shared" ca="1" si="5"/>
        <v>0</v>
      </c>
      <c r="G32" s="5">
        <f t="shared" ca="1" si="2"/>
        <v>180</v>
      </c>
      <c r="H32" s="5">
        <f t="shared" ca="1" si="6"/>
        <v>180</v>
      </c>
      <c r="I32" s="5">
        <f t="shared" ca="1" si="3"/>
        <v>0</v>
      </c>
      <c r="J32" s="5">
        <f t="shared" ca="1" si="4"/>
        <v>0</v>
      </c>
      <c r="K32" s="5">
        <f t="shared" ca="1" si="7"/>
        <v>0</v>
      </c>
      <c r="L32" s="24">
        <f t="shared" ca="1" si="8"/>
        <v>4.9315068493150687</v>
      </c>
      <c r="N32" s="7"/>
      <c r="O32" s="11"/>
      <c r="Q32" s="7"/>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c r="CW32" s="10"/>
      <c r="CX32" s="10"/>
      <c r="CY32" s="10"/>
      <c r="CZ32" s="10"/>
      <c r="DA32" s="10"/>
      <c r="DB32" s="10"/>
      <c r="DC32" s="10"/>
      <c r="DD32" s="10"/>
      <c r="DE32" s="10"/>
      <c r="DF32" s="10"/>
      <c r="DG32" s="10"/>
      <c r="DH32" s="10"/>
      <c r="DI32" s="10"/>
      <c r="DJ32" s="10"/>
      <c r="DK32" s="10"/>
      <c r="DL32" s="10"/>
    </row>
    <row r="33" spans="2:116" ht="13.25" hidden="1" customHeight="1" x14ac:dyDescent="0.3">
      <c r="B33" s="21"/>
      <c r="E33" s="5">
        <v>29</v>
      </c>
      <c r="F33" s="5">
        <f t="shared" ca="1" si="5"/>
        <v>90</v>
      </c>
      <c r="G33" s="5">
        <f t="shared" ca="1" si="2"/>
        <v>180</v>
      </c>
      <c r="H33" s="5">
        <f t="shared" ca="1" si="6"/>
        <v>90</v>
      </c>
      <c r="I33" s="5">
        <f t="shared" ca="1" si="3"/>
        <v>1</v>
      </c>
      <c r="J33" s="5">
        <f t="shared" ca="1" si="4"/>
        <v>0</v>
      </c>
      <c r="K33" s="5">
        <f t="shared" ca="1" si="7"/>
        <v>200</v>
      </c>
      <c r="L33" s="24">
        <f t="shared" ca="1" si="8"/>
        <v>2.4657534246575343</v>
      </c>
      <c r="N33" s="7"/>
      <c r="O33" s="11"/>
      <c r="Q33" s="7"/>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c r="CW33" s="10"/>
      <c r="CX33" s="10"/>
      <c r="CY33" s="10"/>
      <c r="CZ33" s="10"/>
      <c r="DA33" s="10"/>
      <c r="DB33" s="10"/>
      <c r="DC33" s="10"/>
      <c r="DD33" s="10"/>
      <c r="DE33" s="10"/>
      <c r="DF33" s="10"/>
      <c r="DG33" s="10"/>
      <c r="DH33" s="10"/>
      <c r="DI33" s="10"/>
      <c r="DJ33" s="10"/>
      <c r="DK33" s="10"/>
      <c r="DL33" s="10"/>
    </row>
    <row r="34" spans="2:116" ht="13.25" hidden="1" customHeight="1" x14ac:dyDescent="0.3">
      <c r="B34" s="21"/>
      <c r="E34" s="5">
        <v>30</v>
      </c>
      <c r="F34" s="5">
        <f t="shared" ca="1" si="5"/>
        <v>0</v>
      </c>
      <c r="G34" s="5">
        <f t="shared" ca="1" si="2"/>
        <v>1090</v>
      </c>
      <c r="H34" s="5">
        <f t="shared" ca="1" si="6"/>
        <v>1090</v>
      </c>
      <c r="I34" s="5">
        <f t="shared" ca="1" si="3"/>
        <v>0</v>
      </c>
      <c r="J34" s="5">
        <f t="shared" ca="1" si="4"/>
        <v>0</v>
      </c>
      <c r="K34" s="5">
        <f t="shared" ca="1" si="7"/>
        <v>0</v>
      </c>
      <c r="L34" s="24">
        <f t="shared" ca="1" si="8"/>
        <v>29.863013698630134</v>
      </c>
      <c r="N34" s="7"/>
      <c r="O34" s="11"/>
      <c r="Q34" s="7"/>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c r="CW34" s="10"/>
      <c r="CX34" s="10"/>
      <c r="CY34" s="10"/>
      <c r="CZ34" s="10"/>
      <c r="DA34" s="10"/>
      <c r="DB34" s="10"/>
      <c r="DC34" s="10"/>
      <c r="DD34" s="10"/>
      <c r="DE34" s="10"/>
      <c r="DF34" s="10"/>
      <c r="DG34" s="10"/>
      <c r="DH34" s="10"/>
      <c r="DI34" s="10"/>
      <c r="DJ34" s="10"/>
      <c r="DK34" s="10"/>
      <c r="DL34" s="10"/>
    </row>
    <row r="35" spans="2:116" ht="13.25" hidden="1" customHeight="1" x14ac:dyDescent="0.3">
      <c r="B35" s="21"/>
      <c r="E35" s="5">
        <v>31</v>
      </c>
      <c r="F35" s="5">
        <f t="shared" ca="1" si="5"/>
        <v>0</v>
      </c>
      <c r="G35" s="5">
        <f t="shared" ca="1" si="2"/>
        <v>1090</v>
      </c>
      <c r="H35" s="5">
        <f t="shared" ca="1" si="6"/>
        <v>1090</v>
      </c>
      <c r="I35" s="5">
        <f t="shared" ca="1" si="3"/>
        <v>0</v>
      </c>
      <c r="J35" s="5">
        <f t="shared" ca="1" si="4"/>
        <v>0</v>
      </c>
      <c r="K35" s="5">
        <f t="shared" ca="1" si="7"/>
        <v>0</v>
      </c>
      <c r="L35" s="24">
        <f t="shared" ca="1" si="8"/>
        <v>29.863013698630134</v>
      </c>
      <c r="N35" s="7"/>
      <c r="O35" s="11"/>
      <c r="Q35" s="7"/>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c r="CW35" s="10"/>
      <c r="CX35" s="10"/>
      <c r="CY35" s="10"/>
      <c r="CZ35" s="10"/>
      <c r="DA35" s="10"/>
      <c r="DB35" s="10"/>
      <c r="DC35" s="10"/>
      <c r="DD35" s="10"/>
      <c r="DE35" s="10"/>
      <c r="DF35" s="10"/>
      <c r="DG35" s="10"/>
      <c r="DH35" s="10"/>
      <c r="DI35" s="10"/>
      <c r="DJ35" s="10"/>
      <c r="DK35" s="10"/>
      <c r="DL35" s="10"/>
    </row>
    <row r="36" spans="2:116" ht="13.25" hidden="1" customHeight="1" x14ac:dyDescent="0.3">
      <c r="B36" s="21"/>
      <c r="E36" s="5">
        <v>32</v>
      </c>
      <c r="F36" s="5">
        <f t="shared" ca="1" si="5"/>
        <v>0</v>
      </c>
      <c r="G36" s="5">
        <f t="shared" ca="1" si="2"/>
        <v>1090</v>
      </c>
      <c r="H36" s="5">
        <f t="shared" ca="1" si="6"/>
        <v>1090</v>
      </c>
      <c r="I36" s="5">
        <f t="shared" ca="1" si="3"/>
        <v>0</v>
      </c>
      <c r="J36" s="5">
        <f t="shared" ca="1" si="4"/>
        <v>0</v>
      </c>
      <c r="K36" s="5">
        <f t="shared" ca="1" si="7"/>
        <v>0</v>
      </c>
      <c r="L36" s="24">
        <f t="shared" ca="1" si="8"/>
        <v>29.863013698630134</v>
      </c>
      <c r="N36" s="7"/>
      <c r="O36" s="11"/>
      <c r="Q36" s="7"/>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c r="CW36" s="10"/>
      <c r="CX36" s="10"/>
      <c r="CY36" s="10"/>
      <c r="CZ36" s="10"/>
      <c r="DA36" s="10"/>
      <c r="DB36" s="10"/>
      <c r="DC36" s="10"/>
      <c r="DD36" s="10"/>
      <c r="DE36" s="10"/>
      <c r="DF36" s="10"/>
      <c r="DG36" s="10"/>
      <c r="DH36" s="10"/>
      <c r="DI36" s="10"/>
      <c r="DJ36" s="10"/>
      <c r="DK36" s="10"/>
      <c r="DL36" s="10"/>
    </row>
    <row r="37" spans="2:116" ht="13.25" hidden="1" customHeight="1" x14ac:dyDescent="0.3">
      <c r="B37" s="21"/>
      <c r="E37" s="5">
        <v>33</v>
      </c>
      <c r="F37" s="5">
        <f t="shared" ca="1" si="5"/>
        <v>0</v>
      </c>
      <c r="G37" s="5">
        <f t="shared" ca="1" si="2"/>
        <v>1090</v>
      </c>
      <c r="H37" s="5">
        <f t="shared" ca="1" si="6"/>
        <v>1090</v>
      </c>
      <c r="I37" s="5">
        <f t="shared" ca="1" si="3"/>
        <v>0</v>
      </c>
      <c r="J37" s="5">
        <f t="shared" ca="1" si="4"/>
        <v>0</v>
      </c>
      <c r="K37" s="5">
        <f t="shared" ca="1" si="7"/>
        <v>0</v>
      </c>
      <c r="L37" s="24">
        <f t="shared" ca="1" si="8"/>
        <v>29.863013698630134</v>
      </c>
      <c r="N37" s="7"/>
      <c r="O37" s="11"/>
      <c r="Q37" s="7"/>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10"/>
      <c r="CQ37" s="10"/>
      <c r="CR37" s="10"/>
      <c r="CS37" s="10"/>
      <c r="CT37" s="10"/>
      <c r="CU37" s="10"/>
      <c r="CV37" s="10"/>
      <c r="CW37" s="10"/>
      <c r="CX37" s="10"/>
      <c r="CY37" s="10"/>
      <c r="CZ37" s="10"/>
      <c r="DA37" s="10"/>
      <c r="DB37" s="10"/>
      <c r="DC37" s="10"/>
      <c r="DD37" s="10"/>
      <c r="DE37" s="10"/>
      <c r="DF37" s="10"/>
      <c r="DG37" s="10"/>
      <c r="DH37" s="10"/>
      <c r="DI37" s="10"/>
      <c r="DJ37" s="10"/>
      <c r="DK37" s="10"/>
      <c r="DL37" s="10"/>
    </row>
    <row r="38" spans="2:116" ht="13.25" hidden="1" customHeight="1" x14ac:dyDescent="0.3">
      <c r="B38" s="21"/>
      <c r="E38" s="5">
        <v>34</v>
      </c>
      <c r="F38" s="5">
        <f t="shared" ca="1" si="5"/>
        <v>90</v>
      </c>
      <c r="G38" s="5">
        <f t="shared" ca="1" si="2"/>
        <v>1090</v>
      </c>
      <c r="H38" s="5">
        <f t="shared" ca="1" si="6"/>
        <v>1000</v>
      </c>
      <c r="I38" s="5">
        <f t="shared" ca="1" si="3"/>
        <v>0</v>
      </c>
      <c r="J38" s="5">
        <f t="shared" ca="1" si="4"/>
        <v>0</v>
      </c>
      <c r="K38" s="5">
        <f t="shared" ca="1" si="7"/>
        <v>0</v>
      </c>
      <c r="L38" s="24">
        <f t="shared" ca="1" si="8"/>
        <v>27.397260273972602</v>
      </c>
      <c r="N38" s="7"/>
      <c r="O38" s="11"/>
      <c r="Q38" s="7"/>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c r="CW38" s="10"/>
      <c r="CX38" s="10"/>
      <c r="CY38" s="10"/>
      <c r="CZ38" s="10"/>
      <c r="DA38" s="10"/>
      <c r="DB38" s="10"/>
      <c r="DC38" s="10"/>
      <c r="DD38" s="10"/>
      <c r="DE38" s="10"/>
      <c r="DF38" s="10"/>
      <c r="DG38" s="10"/>
      <c r="DH38" s="10"/>
      <c r="DI38" s="10"/>
      <c r="DJ38" s="10"/>
      <c r="DK38" s="10"/>
      <c r="DL38" s="10"/>
    </row>
    <row r="39" spans="2:116" ht="13.25" hidden="1" customHeight="1" x14ac:dyDescent="0.3">
      <c r="B39" s="21"/>
      <c r="E39" s="5">
        <v>35</v>
      </c>
      <c r="F39" s="5">
        <f t="shared" ca="1" si="5"/>
        <v>100</v>
      </c>
      <c r="G39" s="5">
        <f t="shared" ca="1" si="2"/>
        <v>1000</v>
      </c>
      <c r="H39" s="5">
        <f t="shared" ca="1" si="6"/>
        <v>900</v>
      </c>
      <c r="I39" s="5">
        <f t="shared" ca="1" si="3"/>
        <v>0</v>
      </c>
      <c r="J39" s="5">
        <f t="shared" ca="1" si="4"/>
        <v>0</v>
      </c>
      <c r="K39" s="5">
        <f t="shared" ca="1" si="7"/>
        <v>0</v>
      </c>
      <c r="L39" s="24">
        <f t="shared" ca="1" si="8"/>
        <v>24.657534246575342</v>
      </c>
      <c r="N39" s="7"/>
      <c r="O39" s="11"/>
      <c r="Q39" s="7"/>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10"/>
      <c r="CQ39" s="10"/>
      <c r="CR39" s="10"/>
      <c r="CS39" s="10"/>
      <c r="CT39" s="10"/>
      <c r="CU39" s="10"/>
      <c r="CV39" s="10"/>
      <c r="CW39" s="10"/>
      <c r="CX39" s="10"/>
      <c r="CY39" s="10"/>
      <c r="CZ39" s="10"/>
      <c r="DA39" s="10"/>
      <c r="DB39" s="10"/>
      <c r="DC39" s="10"/>
      <c r="DD39" s="10"/>
      <c r="DE39" s="10"/>
      <c r="DF39" s="10"/>
      <c r="DG39" s="10"/>
      <c r="DH39" s="10"/>
      <c r="DI39" s="10"/>
      <c r="DJ39" s="10"/>
      <c r="DK39" s="10"/>
      <c r="DL39" s="10"/>
    </row>
    <row r="40" spans="2:116" ht="13.25" hidden="1" customHeight="1" x14ac:dyDescent="0.3">
      <c r="B40" s="21"/>
      <c r="E40" s="5">
        <v>36</v>
      </c>
      <c r="F40" s="5">
        <f t="shared" ca="1" si="5"/>
        <v>0</v>
      </c>
      <c r="G40" s="5">
        <f t="shared" ca="1" si="2"/>
        <v>900</v>
      </c>
      <c r="H40" s="5">
        <f t="shared" ca="1" si="6"/>
        <v>900</v>
      </c>
      <c r="I40" s="5">
        <f t="shared" ca="1" si="3"/>
        <v>0</v>
      </c>
      <c r="J40" s="5">
        <f t="shared" ca="1" si="4"/>
        <v>0</v>
      </c>
      <c r="K40" s="5">
        <f t="shared" ca="1" si="7"/>
        <v>0</v>
      </c>
      <c r="L40" s="24">
        <f t="shared" ca="1" si="8"/>
        <v>24.657534246575342</v>
      </c>
      <c r="N40" s="7"/>
      <c r="O40" s="11"/>
      <c r="Q40" s="7"/>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c r="CW40" s="10"/>
      <c r="CX40" s="10"/>
      <c r="CY40" s="10"/>
      <c r="CZ40" s="10"/>
      <c r="DA40" s="10"/>
      <c r="DB40" s="10"/>
      <c r="DC40" s="10"/>
      <c r="DD40" s="10"/>
      <c r="DE40" s="10"/>
      <c r="DF40" s="10"/>
      <c r="DG40" s="10"/>
      <c r="DH40" s="10"/>
      <c r="DI40" s="10"/>
      <c r="DJ40" s="10"/>
      <c r="DK40" s="10"/>
      <c r="DL40" s="10"/>
    </row>
    <row r="41" spans="2:116" ht="13.25" hidden="1" customHeight="1" x14ac:dyDescent="0.3">
      <c r="B41" s="21"/>
      <c r="E41" s="5">
        <v>37</v>
      </c>
      <c r="F41" s="5">
        <f t="shared" ca="1" si="5"/>
        <v>0</v>
      </c>
      <c r="G41" s="5">
        <f t="shared" ca="1" si="2"/>
        <v>900</v>
      </c>
      <c r="H41" s="5">
        <f t="shared" ca="1" si="6"/>
        <v>900</v>
      </c>
      <c r="I41" s="5">
        <f t="shared" ca="1" si="3"/>
        <v>0</v>
      </c>
      <c r="J41" s="5">
        <f t="shared" ca="1" si="4"/>
        <v>0</v>
      </c>
      <c r="K41" s="5">
        <f t="shared" ca="1" si="7"/>
        <v>0</v>
      </c>
      <c r="L41" s="24">
        <f t="shared" ca="1" si="8"/>
        <v>24.657534246575342</v>
      </c>
      <c r="N41" s="7"/>
      <c r="O41" s="11"/>
      <c r="Q41" s="7"/>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10"/>
      <c r="CI41" s="10"/>
      <c r="CJ41" s="10"/>
      <c r="CK41" s="10"/>
      <c r="CL41" s="10"/>
      <c r="CM41" s="10"/>
      <c r="CN41" s="10"/>
      <c r="CO41" s="10"/>
      <c r="CP41" s="10"/>
      <c r="CQ41" s="10"/>
      <c r="CR41" s="10"/>
      <c r="CS41" s="10"/>
      <c r="CT41" s="10"/>
      <c r="CU41" s="10"/>
      <c r="CV41" s="10"/>
      <c r="CW41" s="10"/>
      <c r="CX41" s="10"/>
      <c r="CY41" s="10"/>
      <c r="CZ41" s="10"/>
      <c r="DA41" s="10"/>
      <c r="DB41" s="10"/>
      <c r="DC41" s="10"/>
      <c r="DD41" s="10"/>
      <c r="DE41" s="10"/>
      <c r="DF41" s="10"/>
      <c r="DG41" s="10"/>
      <c r="DH41" s="10"/>
      <c r="DI41" s="10"/>
      <c r="DJ41" s="10"/>
      <c r="DK41" s="10"/>
      <c r="DL41" s="10"/>
    </row>
    <row r="42" spans="2:116" ht="13.25" hidden="1" customHeight="1" x14ac:dyDescent="0.3">
      <c r="B42" s="21"/>
      <c r="E42" s="5">
        <v>38</v>
      </c>
      <c r="F42" s="5">
        <f t="shared" ca="1" si="5"/>
        <v>0</v>
      </c>
      <c r="G42" s="5">
        <f t="shared" ca="1" si="2"/>
        <v>900</v>
      </c>
      <c r="H42" s="5">
        <f t="shared" ca="1" si="6"/>
        <v>900</v>
      </c>
      <c r="I42" s="5">
        <f t="shared" ca="1" si="3"/>
        <v>0</v>
      </c>
      <c r="J42" s="5">
        <f t="shared" ca="1" si="4"/>
        <v>0</v>
      </c>
      <c r="K42" s="5">
        <f t="shared" ca="1" si="7"/>
        <v>0</v>
      </c>
      <c r="L42" s="24">
        <f t="shared" ca="1" si="8"/>
        <v>24.657534246575342</v>
      </c>
      <c r="N42" s="7"/>
      <c r="O42" s="11"/>
      <c r="Q42" s="7"/>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c r="CW42" s="10"/>
      <c r="CX42" s="10"/>
      <c r="CY42" s="10"/>
      <c r="CZ42" s="10"/>
      <c r="DA42" s="10"/>
      <c r="DB42" s="10"/>
      <c r="DC42" s="10"/>
      <c r="DD42" s="10"/>
      <c r="DE42" s="10"/>
      <c r="DF42" s="10"/>
      <c r="DG42" s="10"/>
      <c r="DH42" s="10"/>
      <c r="DI42" s="10"/>
      <c r="DJ42" s="10"/>
      <c r="DK42" s="10"/>
      <c r="DL42" s="10"/>
    </row>
    <row r="43" spans="2:116" ht="13.25" hidden="1" customHeight="1" x14ac:dyDescent="0.3">
      <c r="B43" s="21"/>
      <c r="E43" s="5">
        <v>39</v>
      </c>
      <c r="F43" s="5">
        <f t="shared" ca="1" si="5"/>
        <v>0</v>
      </c>
      <c r="G43" s="5">
        <f t="shared" ca="1" si="2"/>
        <v>900</v>
      </c>
      <c r="H43" s="5">
        <f t="shared" ca="1" si="6"/>
        <v>900</v>
      </c>
      <c r="I43" s="5">
        <f t="shared" ca="1" si="3"/>
        <v>0</v>
      </c>
      <c r="J43" s="5">
        <f t="shared" ca="1" si="4"/>
        <v>0</v>
      </c>
      <c r="K43" s="5">
        <f t="shared" ca="1" si="7"/>
        <v>0</v>
      </c>
      <c r="L43" s="24">
        <f t="shared" ca="1" si="8"/>
        <v>24.657534246575342</v>
      </c>
      <c r="N43" s="7"/>
      <c r="O43" s="11"/>
      <c r="Q43" s="7"/>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c r="CW43" s="10"/>
      <c r="CX43" s="10"/>
      <c r="CY43" s="10"/>
      <c r="CZ43" s="10"/>
      <c r="DA43" s="10"/>
      <c r="DB43" s="10"/>
      <c r="DC43" s="10"/>
      <c r="DD43" s="10"/>
      <c r="DE43" s="10"/>
      <c r="DF43" s="10"/>
      <c r="DG43" s="10"/>
      <c r="DH43" s="10"/>
      <c r="DI43" s="10"/>
      <c r="DJ43" s="10"/>
      <c r="DK43" s="10"/>
      <c r="DL43" s="10"/>
    </row>
    <row r="44" spans="2:116" ht="13.25" hidden="1" customHeight="1" x14ac:dyDescent="0.3">
      <c r="B44" s="21"/>
      <c r="E44" s="5">
        <v>40</v>
      </c>
      <c r="F44" s="5">
        <f t="shared" ca="1" si="5"/>
        <v>0</v>
      </c>
      <c r="G44" s="5">
        <f t="shared" ca="1" si="2"/>
        <v>900</v>
      </c>
      <c r="H44" s="5">
        <f t="shared" ca="1" si="6"/>
        <v>900</v>
      </c>
      <c r="I44" s="5">
        <f t="shared" ca="1" si="3"/>
        <v>0</v>
      </c>
      <c r="J44" s="5">
        <f t="shared" ca="1" si="4"/>
        <v>0</v>
      </c>
      <c r="K44" s="5">
        <f t="shared" ca="1" si="7"/>
        <v>0</v>
      </c>
      <c r="L44" s="24">
        <f t="shared" ca="1" si="8"/>
        <v>24.657534246575342</v>
      </c>
      <c r="N44" s="7"/>
      <c r="O44" s="11"/>
      <c r="Q44" s="7"/>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c r="CW44" s="10"/>
      <c r="CX44" s="10"/>
      <c r="CY44" s="10"/>
      <c r="CZ44" s="10"/>
      <c r="DA44" s="10"/>
      <c r="DB44" s="10"/>
      <c r="DC44" s="10"/>
      <c r="DD44" s="10"/>
      <c r="DE44" s="10"/>
      <c r="DF44" s="10"/>
      <c r="DG44" s="10"/>
      <c r="DH44" s="10"/>
      <c r="DI44" s="10"/>
      <c r="DJ44" s="10"/>
      <c r="DK44" s="10"/>
      <c r="DL44" s="10"/>
    </row>
    <row r="45" spans="2:116" ht="13.25" hidden="1" customHeight="1" x14ac:dyDescent="0.3">
      <c r="B45" s="21"/>
      <c r="E45" s="5">
        <v>41</v>
      </c>
      <c r="F45" s="5">
        <f t="shared" ca="1" si="5"/>
        <v>110</v>
      </c>
      <c r="G45" s="5">
        <f t="shared" ca="1" si="2"/>
        <v>900</v>
      </c>
      <c r="H45" s="5">
        <f t="shared" ca="1" si="6"/>
        <v>790</v>
      </c>
      <c r="I45" s="5">
        <f t="shared" ca="1" si="3"/>
        <v>0</v>
      </c>
      <c r="J45" s="5">
        <f t="shared" ca="1" si="4"/>
        <v>0</v>
      </c>
      <c r="K45" s="5">
        <f t="shared" ca="1" si="7"/>
        <v>0</v>
      </c>
      <c r="L45" s="24">
        <f t="shared" ca="1" si="8"/>
        <v>21.643835616438356</v>
      </c>
      <c r="N45" s="7"/>
      <c r="O45" s="11"/>
      <c r="Q45" s="7"/>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c r="CW45" s="10"/>
      <c r="CX45" s="10"/>
      <c r="CY45" s="10"/>
      <c r="CZ45" s="10"/>
      <c r="DA45" s="10"/>
      <c r="DB45" s="10"/>
      <c r="DC45" s="10"/>
      <c r="DD45" s="10"/>
      <c r="DE45" s="10"/>
      <c r="DF45" s="10"/>
      <c r="DG45" s="10"/>
      <c r="DH45" s="10"/>
      <c r="DI45" s="10"/>
      <c r="DJ45" s="10"/>
      <c r="DK45" s="10"/>
      <c r="DL45" s="10"/>
    </row>
    <row r="46" spans="2:116" ht="13.25" hidden="1" customHeight="1" x14ac:dyDescent="0.3">
      <c r="B46" s="21"/>
      <c r="E46" s="5">
        <v>42</v>
      </c>
      <c r="F46" s="5">
        <f t="shared" ca="1" si="5"/>
        <v>120</v>
      </c>
      <c r="G46" s="5">
        <f t="shared" ca="1" si="2"/>
        <v>790</v>
      </c>
      <c r="H46" s="5">
        <f t="shared" ca="1" si="6"/>
        <v>670</v>
      </c>
      <c r="I46" s="5">
        <f t="shared" ca="1" si="3"/>
        <v>0</v>
      </c>
      <c r="J46" s="5">
        <f t="shared" ca="1" si="4"/>
        <v>0</v>
      </c>
      <c r="K46" s="5">
        <f t="shared" ca="1" si="7"/>
        <v>0</v>
      </c>
      <c r="L46" s="24">
        <f t="shared" ca="1" si="8"/>
        <v>18.356164383561644</v>
      </c>
      <c r="N46" s="7"/>
      <c r="O46" s="11"/>
      <c r="Q46" s="7"/>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c r="CW46" s="10"/>
      <c r="CX46" s="10"/>
      <c r="CY46" s="10"/>
      <c r="CZ46" s="10"/>
      <c r="DA46" s="10"/>
      <c r="DB46" s="10"/>
      <c r="DC46" s="10"/>
      <c r="DD46" s="10"/>
      <c r="DE46" s="10"/>
      <c r="DF46" s="10"/>
      <c r="DG46" s="10"/>
      <c r="DH46" s="10"/>
      <c r="DI46" s="10"/>
      <c r="DJ46" s="10"/>
      <c r="DK46" s="10"/>
      <c r="DL46" s="10"/>
    </row>
    <row r="47" spans="2:116" ht="13.25" hidden="1" customHeight="1" x14ac:dyDescent="0.3">
      <c r="B47" s="21"/>
      <c r="E47" s="5">
        <v>43</v>
      </c>
      <c r="F47" s="5">
        <f t="shared" ca="1" si="5"/>
        <v>100</v>
      </c>
      <c r="G47" s="5">
        <f t="shared" ca="1" si="2"/>
        <v>670</v>
      </c>
      <c r="H47" s="5">
        <f t="shared" ca="1" si="6"/>
        <v>570</v>
      </c>
      <c r="I47" s="5">
        <f t="shared" ca="1" si="3"/>
        <v>0</v>
      </c>
      <c r="J47" s="5">
        <f t="shared" ca="1" si="4"/>
        <v>0</v>
      </c>
      <c r="K47" s="5">
        <f t="shared" ca="1" si="7"/>
        <v>0</v>
      </c>
      <c r="L47" s="24">
        <f t="shared" ca="1" si="8"/>
        <v>15.616438356164382</v>
      </c>
      <c r="N47" s="7"/>
      <c r="O47" s="11"/>
      <c r="Q47" s="7"/>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c r="CW47" s="10"/>
      <c r="CX47" s="10"/>
      <c r="CY47" s="10"/>
      <c r="CZ47" s="10"/>
      <c r="DA47" s="10"/>
      <c r="DB47" s="10"/>
      <c r="DC47" s="10"/>
      <c r="DD47" s="10"/>
      <c r="DE47" s="10"/>
      <c r="DF47" s="10"/>
      <c r="DG47" s="10"/>
      <c r="DH47" s="10"/>
      <c r="DI47" s="10"/>
      <c r="DJ47" s="10"/>
      <c r="DK47" s="10"/>
      <c r="DL47" s="10"/>
    </row>
    <row r="48" spans="2:116" ht="13.25" hidden="1" customHeight="1" x14ac:dyDescent="0.3">
      <c r="B48" s="21"/>
      <c r="E48" s="5">
        <v>44</v>
      </c>
      <c r="F48" s="5">
        <f t="shared" ca="1" si="5"/>
        <v>0</v>
      </c>
      <c r="G48" s="5">
        <f t="shared" ca="1" si="2"/>
        <v>570</v>
      </c>
      <c r="H48" s="5">
        <f t="shared" ca="1" si="6"/>
        <v>570</v>
      </c>
      <c r="I48" s="5">
        <f t="shared" ca="1" si="3"/>
        <v>0</v>
      </c>
      <c r="J48" s="5">
        <f t="shared" ca="1" si="4"/>
        <v>0</v>
      </c>
      <c r="K48" s="5">
        <f t="shared" ca="1" si="7"/>
        <v>0</v>
      </c>
      <c r="L48" s="24">
        <f t="shared" ca="1" si="8"/>
        <v>15.616438356164382</v>
      </c>
      <c r="N48" s="7"/>
      <c r="O48" s="11"/>
      <c r="Q48" s="7"/>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c r="CW48" s="10"/>
      <c r="CX48" s="10"/>
      <c r="CY48" s="10"/>
      <c r="CZ48" s="10"/>
      <c r="DA48" s="10"/>
      <c r="DB48" s="10"/>
      <c r="DC48" s="10"/>
      <c r="DD48" s="10"/>
      <c r="DE48" s="10"/>
      <c r="DF48" s="10"/>
      <c r="DG48" s="10"/>
      <c r="DH48" s="10"/>
      <c r="DI48" s="10"/>
      <c r="DJ48" s="10"/>
      <c r="DK48" s="10"/>
      <c r="DL48" s="10"/>
    </row>
    <row r="49" spans="2:116" ht="13.25" hidden="1" customHeight="1" x14ac:dyDescent="0.3">
      <c r="B49" s="21"/>
      <c r="E49" s="5">
        <v>45</v>
      </c>
      <c r="F49" s="5">
        <f t="shared" ca="1" si="5"/>
        <v>0</v>
      </c>
      <c r="G49" s="5">
        <f t="shared" ca="1" si="2"/>
        <v>570</v>
      </c>
      <c r="H49" s="5">
        <f t="shared" ca="1" si="6"/>
        <v>570</v>
      </c>
      <c r="I49" s="5">
        <f t="shared" ca="1" si="3"/>
        <v>0</v>
      </c>
      <c r="J49" s="5">
        <f t="shared" ca="1" si="4"/>
        <v>0</v>
      </c>
      <c r="K49" s="5">
        <f t="shared" ca="1" si="7"/>
        <v>0</v>
      </c>
      <c r="L49" s="24">
        <f t="shared" ca="1" si="8"/>
        <v>15.616438356164382</v>
      </c>
      <c r="N49" s="7"/>
      <c r="O49" s="11"/>
      <c r="Q49" s="7"/>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c r="CW49" s="10"/>
      <c r="CX49" s="10"/>
      <c r="CY49" s="10"/>
      <c r="CZ49" s="10"/>
      <c r="DA49" s="10"/>
      <c r="DB49" s="10"/>
      <c r="DC49" s="10"/>
      <c r="DD49" s="10"/>
      <c r="DE49" s="10"/>
      <c r="DF49" s="10"/>
      <c r="DG49" s="10"/>
      <c r="DH49" s="10"/>
      <c r="DI49" s="10"/>
      <c r="DJ49" s="10"/>
      <c r="DK49" s="10"/>
      <c r="DL49" s="10"/>
    </row>
    <row r="50" spans="2:116" ht="13.25" hidden="1" customHeight="1" x14ac:dyDescent="0.3">
      <c r="B50" s="21"/>
      <c r="E50" s="5">
        <v>46</v>
      </c>
      <c r="F50" s="5">
        <f t="shared" ca="1" si="5"/>
        <v>0</v>
      </c>
      <c r="G50" s="5">
        <f t="shared" ca="1" si="2"/>
        <v>570</v>
      </c>
      <c r="H50" s="5">
        <f t="shared" ca="1" si="6"/>
        <v>570</v>
      </c>
      <c r="I50" s="5">
        <f t="shared" ca="1" si="3"/>
        <v>0</v>
      </c>
      <c r="J50" s="5">
        <f t="shared" ca="1" si="4"/>
        <v>0</v>
      </c>
      <c r="K50" s="5">
        <f t="shared" ca="1" si="7"/>
        <v>0</v>
      </c>
      <c r="L50" s="24">
        <f t="shared" ca="1" si="8"/>
        <v>15.616438356164382</v>
      </c>
      <c r="N50" s="7"/>
      <c r="O50" s="7"/>
      <c r="Q50" s="7"/>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c r="CW50" s="10"/>
      <c r="CX50" s="10"/>
      <c r="CY50" s="10"/>
      <c r="CZ50" s="10"/>
      <c r="DA50" s="10"/>
      <c r="DB50" s="10"/>
      <c r="DC50" s="10"/>
      <c r="DD50" s="10"/>
      <c r="DE50" s="10"/>
      <c r="DF50" s="10"/>
      <c r="DG50" s="10"/>
      <c r="DH50" s="10"/>
      <c r="DI50" s="10"/>
      <c r="DJ50" s="10"/>
      <c r="DK50" s="10"/>
      <c r="DL50" s="10"/>
    </row>
    <row r="51" spans="2:116" ht="13.25" hidden="1" customHeight="1" x14ac:dyDescent="0.3">
      <c r="B51" s="21"/>
      <c r="E51" s="5">
        <v>47</v>
      </c>
      <c r="F51" s="5">
        <f t="shared" ca="1" si="5"/>
        <v>0</v>
      </c>
      <c r="G51" s="5">
        <f t="shared" ca="1" si="2"/>
        <v>570</v>
      </c>
      <c r="H51" s="5">
        <f t="shared" ca="1" si="6"/>
        <v>570</v>
      </c>
      <c r="I51" s="5">
        <f t="shared" ca="1" si="3"/>
        <v>0</v>
      </c>
      <c r="J51" s="5">
        <f t="shared" ca="1" si="4"/>
        <v>0</v>
      </c>
      <c r="K51" s="5">
        <f t="shared" ca="1" si="7"/>
        <v>0</v>
      </c>
      <c r="L51" s="24">
        <f t="shared" ca="1" si="8"/>
        <v>15.616438356164382</v>
      </c>
      <c r="N51" s="7"/>
      <c r="O51" s="7"/>
      <c r="Q51" s="7"/>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c r="CW51" s="10"/>
      <c r="CX51" s="10"/>
      <c r="CY51" s="10"/>
      <c r="CZ51" s="10"/>
      <c r="DA51" s="10"/>
      <c r="DB51" s="10"/>
      <c r="DC51" s="10"/>
      <c r="DD51" s="10"/>
      <c r="DE51" s="10"/>
      <c r="DF51" s="10"/>
      <c r="DG51" s="10"/>
      <c r="DH51" s="10"/>
      <c r="DI51" s="10"/>
      <c r="DJ51" s="10"/>
      <c r="DK51" s="10"/>
      <c r="DL51" s="10"/>
    </row>
    <row r="52" spans="2:116" ht="13.25" hidden="1" customHeight="1" x14ac:dyDescent="0.3">
      <c r="B52" s="21"/>
      <c r="E52" s="5">
        <v>48</v>
      </c>
      <c r="F52" s="5">
        <f t="shared" ca="1" si="5"/>
        <v>0</v>
      </c>
      <c r="G52" s="5">
        <f t="shared" ca="1" si="2"/>
        <v>570</v>
      </c>
      <c r="H52" s="5">
        <f t="shared" ca="1" si="6"/>
        <v>570</v>
      </c>
      <c r="I52" s="5">
        <f t="shared" ca="1" si="3"/>
        <v>0</v>
      </c>
      <c r="J52" s="5">
        <f t="shared" ca="1" si="4"/>
        <v>0</v>
      </c>
      <c r="K52" s="5">
        <f t="shared" ca="1" si="7"/>
        <v>0</v>
      </c>
      <c r="L52" s="24">
        <f t="shared" ca="1" si="8"/>
        <v>15.616438356164382</v>
      </c>
      <c r="N52" s="7"/>
      <c r="O52" s="7"/>
      <c r="Q52" s="7"/>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c r="CW52" s="10"/>
      <c r="CX52" s="10"/>
      <c r="CY52" s="10"/>
      <c r="CZ52" s="10"/>
      <c r="DA52" s="10"/>
      <c r="DB52" s="10"/>
      <c r="DC52" s="10"/>
      <c r="DD52" s="10"/>
      <c r="DE52" s="10"/>
      <c r="DF52" s="10"/>
      <c r="DG52" s="10"/>
      <c r="DH52" s="10"/>
      <c r="DI52" s="10"/>
      <c r="DJ52" s="10"/>
      <c r="DK52" s="10"/>
      <c r="DL52" s="10"/>
    </row>
    <row r="53" spans="2:116" ht="13.25" hidden="1" customHeight="1" x14ac:dyDescent="0.3">
      <c r="B53" s="21"/>
      <c r="E53" s="5">
        <v>49</v>
      </c>
      <c r="F53" s="5">
        <f t="shared" ca="1" si="5"/>
        <v>0</v>
      </c>
      <c r="G53" s="5">
        <f t="shared" ca="1" si="2"/>
        <v>570</v>
      </c>
      <c r="H53" s="5">
        <f t="shared" ca="1" si="6"/>
        <v>570</v>
      </c>
      <c r="I53" s="5">
        <f t="shared" ca="1" si="3"/>
        <v>0</v>
      </c>
      <c r="J53" s="5">
        <f t="shared" ca="1" si="4"/>
        <v>0</v>
      </c>
      <c r="K53" s="5">
        <f t="shared" ca="1" si="7"/>
        <v>0</v>
      </c>
      <c r="L53" s="24">
        <f t="shared" ca="1" si="8"/>
        <v>15.616438356164382</v>
      </c>
      <c r="N53" s="7"/>
      <c r="O53" s="7"/>
      <c r="Q53" s="7"/>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c r="CW53" s="10"/>
      <c r="CX53" s="10"/>
      <c r="CY53" s="10"/>
      <c r="CZ53" s="10"/>
      <c r="DA53" s="10"/>
      <c r="DB53" s="10"/>
      <c r="DC53" s="10"/>
      <c r="DD53" s="10"/>
      <c r="DE53" s="10"/>
      <c r="DF53" s="10"/>
      <c r="DG53" s="10"/>
      <c r="DH53" s="10"/>
      <c r="DI53" s="10"/>
      <c r="DJ53" s="10"/>
      <c r="DK53" s="10"/>
      <c r="DL53" s="10"/>
    </row>
    <row r="54" spans="2:116" ht="13.25" hidden="1" customHeight="1" x14ac:dyDescent="0.3">
      <c r="B54" s="21"/>
      <c r="E54" s="5">
        <v>50</v>
      </c>
      <c r="F54" s="5">
        <f t="shared" ca="1" si="5"/>
        <v>0</v>
      </c>
      <c r="G54" s="5">
        <f t="shared" ca="1" si="2"/>
        <v>570</v>
      </c>
      <c r="H54" s="5">
        <f t="shared" ca="1" si="6"/>
        <v>570</v>
      </c>
      <c r="I54" s="5">
        <f t="shared" ca="1" si="3"/>
        <v>0</v>
      </c>
      <c r="J54" s="5">
        <f t="shared" ca="1" si="4"/>
        <v>0</v>
      </c>
      <c r="K54" s="5">
        <f t="shared" ca="1" si="7"/>
        <v>0</v>
      </c>
      <c r="L54" s="24">
        <f t="shared" ca="1" si="8"/>
        <v>15.616438356164382</v>
      </c>
      <c r="N54" s="7"/>
      <c r="O54" s="7"/>
      <c r="Q54" s="7"/>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c r="CW54" s="10"/>
      <c r="CX54" s="10"/>
      <c r="CY54" s="10"/>
      <c r="CZ54" s="10"/>
      <c r="DA54" s="10"/>
      <c r="DB54" s="10"/>
      <c r="DC54" s="10"/>
      <c r="DD54" s="10"/>
      <c r="DE54" s="10"/>
      <c r="DF54" s="10"/>
      <c r="DG54" s="10"/>
      <c r="DH54" s="10"/>
      <c r="DI54" s="10"/>
      <c r="DJ54" s="10"/>
      <c r="DK54" s="10"/>
      <c r="DL54" s="10"/>
    </row>
    <row r="55" spans="2:116" ht="13.25" hidden="1" customHeight="1" x14ac:dyDescent="0.3">
      <c r="B55" s="21"/>
      <c r="E55" s="5">
        <v>51</v>
      </c>
      <c r="F55" s="5">
        <f t="shared" ca="1" si="5"/>
        <v>0</v>
      </c>
      <c r="G55" s="5">
        <f t="shared" ca="1" si="2"/>
        <v>570</v>
      </c>
      <c r="H55" s="5">
        <f t="shared" ca="1" si="6"/>
        <v>570</v>
      </c>
      <c r="I55" s="5">
        <f t="shared" ca="1" si="3"/>
        <v>0</v>
      </c>
      <c r="J55" s="5">
        <f t="shared" ca="1" si="4"/>
        <v>0</v>
      </c>
      <c r="K55" s="5">
        <f t="shared" ca="1" si="7"/>
        <v>0</v>
      </c>
      <c r="L55" s="24">
        <f t="shared" ca="1" si="8"/>
        <v>15.616438356164382</v>
      </c>
      <c r="N55" s="7"/>
      <c r="O55" s="7"/>
      <c r="Q55" s="7"/>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c r="CW55" s="10"/>
      <c r="CX55" s="10"/>
      <c r="CY55" s="10"/>
      <c r="CZ55" s="10"/>
      <c r="DA55" s="10"/>
      <c r="DB55" s="10"/>
      <c r="DC55" s="10"/>
      <c r="DD55" s="10"/>
      <c r="DE55" s="10"/>
      <c r="DF55" s="10"/>
      <c r="DG55" s="10"/>
      <c r="DH55" s="10"/>
      <c r="DI55" s="10"/>
      <c r="DJ55" s="10"/>
      <c r="DK55" s="10"/>
      <c r="DL55" s="10"/>
    </row>
    <row r="56" spans="2:116" ht="13.25" hidden="1" customHeight="1" x14ac:dyDescent="0.3">
      <c r="B56" s="21"/>
      <c r="E56" s="5">
        <v>52</v>
      </c>
      <c r="F56" s="5">
        <f t="shared" ca="1" si="5"/>
        <v>0</v>
      </c>
      <c r="G56" s="5">
        <f t="shared" ca="1" si="2"/>
        <v>570</v>
      </c>
      <c r="H56" s="5">
        <f t="shared" ca="1" si="6"/>
        <v>570</v>
      </c>
      <c r="I56" s="5">
        <f t="shared" ca="1" si="3"/>
        <v>0</v>
      </c>
      <c r="J56" s="5">
        <f t="shared" ca="1" si="4"/>
        <v>0</v>
      </c>
      <c r="K56" s="5">
        <f t="shared" ca="1" si="7"/>
        <v>0</v>
      </c>
      <c r="L56" s="24">
        <f t="shared" ca="1" si="8"/>
        <v>15.616438356164382</v>
      </c>
      <c r="N56" s="7"/>
      <c r="O56" s="7"/>
      <c r="Q56" s="7"/>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c r="CI56" s="10"/>
      <c r="CJ56" s="10"/>
      <c r="CK56" s="10"/>
      <c r="CL56" s="10"/>
      <c r="CM56" s="10"/>
      <c r="CN56" s="10"/>
      <c r="CO56" s="10"/>
      <c r="CP56" s="10"/>
      <c r="CQ56" s="10"/>
      <c r="CR56" s="10"/>
      <c r="CS56" s="10"/>
      <c r="CT56" s="10"/>
      <c r="CU56" s="10"/>
      <c r="CV56" s="10"/>
      <c r="CW56" s="10"/>
      <c r="CX56" s="10"/>
      <c r="CY56" s="10"/>
      <c r="CZ56" s="10"/>
      <c r="DA56" s="10"/>
      <c r="DB56" s="10"/>
      <c r="DC56" s="10"/>
      <c r="DD56" s="10"/>
      <c r="DE56" s="10"/>
      <c r="DF56" s="10"/>
      <c r="DG56" s="10"/>
      <c r="DH56" s="10"/>
      <c r="DI56" s="10"/>
      <c r="DJ56" s="10"/>
      <c r="DK56" s="10"/>
      <c r="DL56" s="10"/>
    </row>
    <row r="57" spans="2:116" ht="13.25" hidden="1" customHeight="1" x14ac:dyDescent="0.3">
      <c r="B57" s="21"/>
      <c r="E57" s="5">
        <v>53</v>
      </c>
      <c r="F57" s="5">
        <f t="shared" ca="1" si="5"/>
        <v>0</v>
      </c>
      <c r="G57" s="5">
        <f t="shared" ca="1" si="2"/>
        <v>570</v>
      </c>
      <c r="H57" s="5">
        <f t="shared" ca="1" si="6"/>
        <v>570</v>
      </c>
      <c r="I57" s="5">
        <f t="shared" ca="1" si="3"/>
        <v>0</v>
      </c>
      <c r="J57" s="5">
        <f t="shared" ca="1" si="4"/>
        <v>0</v>
      </c>
      <c r="K57" s="5">
        <f t="shared" ca="1" si="7"/>
        <v>0</v>
      </c>
      <c r="L57" s="24">
        <f t="shared" ca="1" si="8"/>
        <v>15.616438356164382</v>
      </c>
      <c r="N57" s="7"/>
      <c r="O57" s="7"/>
      <c r="Q57" s="7"/>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0"/>
      <c r="BU57" s="10"/>
      <c r="BV57" s="10"/>
      <c r="BW57" s="10"/>
      <c r="BX57" s="10"/>
      <c r="BY57" s="10"/>
      <c r="BZ57" s="10"/>
      <c r="CA57" s="10"/>
      <c r="CB57" s="10"/>
      <c r="CC57" s="10"/>
      <c r="CD57" s="10"/>
      <c r="CE57" s="10"/>
      <c r="CF57" s="10"/>
      <c r="CG57" s="10"/>
      <c r="CH57" s="10"/>
      <c r="CI57" s="10"/>
      <c r="CJ57" s="10"/>
      <c r="CK57" s="10"/>
      <c r="CL57" s="10"/>
      <c r="CM57" s="10"/>
      <c r="CN57" s="10"/>
      <c r="CO57" s="10"/>
      <c r="CP57" s="10"/>
      <c r="CQ57" s="10"/>
      <c r="CR57" s="10"/>
      <c r="CS57" s="10"/>
      <c r="CT57" s="10"/>
      <c r="CU57" s="10"/>
      <c r="CV57" s="10"/>
      <c r="CW57" s="10"/>
      <c r="CX57" s="10"/>
      <c r="CY57" s="10"/>
      <c r="CZ57" s="10"/>
      <c r="DA57" s="10"/>
      <c r="DB57" s="10"/>
      <c r="DC57" s="10"/>
      <c r="DD57" s="10"/>
      <c r="DE57" s="10"/>
      <c r="DF57" s="10"/>
      <c r="DG57" s="10"/>
      <c r="DH57" s="10"/>
      <c r="DI57" s="10"/>
      <c r="DJ57" s="10"/>
      <c r="DK57" s="10"/>
      <c r="DL57" s="10"/>
    </row>
    <row r="58" spans="2:116" ht="13.25" hidden="1" customHeight="1" x14ac:dyDescent="0.3">
      <c r="B58" s="21"/>
      <c r="E58" s="5">
        <v>54</v>
      </c>
      <c r="F58" s="5">
        <f t="shared" ca="1" si="5"/>
        <v>0</v>
      </c>
      <c r="G58" s="5">
        <f t="shared" ca="1" si="2"/>
        <v>570</v>
      </c>
      <c r="H58" s="5">
        <f t="shared" ca="1" si="6"/>
        <v>570</v>
      </c>
      <c r="I58" s="5">
        <f t="shared" ca="1" si="3"/>
        <v>0</v>
      </c>
      <c r="J58" s="5">
        <f t="shared" ca="1" si="4"/>
        <v>0</v>
      </c>
      <c r="K58" s="5">
        <f t="shared" ca="1" si="7"/>
        <v>0</v>
      </c>
      <c r="L58" s="24">
        <f t="shared" ca="1" si="8"/>
        <v>15.616438356164382</v>
      </c>
      <c r="N58" s="7"/>
      <c r="O58" s="7"/>
      <c r="Q58" s="7"/>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c r="CI58" s="10"/>
      <c r="CJ58" s="10"/>
      <c r="CK58" s="10"/>
      <c r="CL58" s="10"/>
      <c r="CM58" s="10"/>
      <c r="CN58" s="10"/>
      <c r="CO58" s="10"/>
      <c r="CP58" s="10"/>
      <c r="CQ58" s="10"/>
      <c r="CR58" s="10"/>
      <c r="CS58" s="10"/>
      <c r="CT58" s="10"/>
      <c r="CU58" s="10"/>
      <c r="CV58" s="10"/>
      <c r="CW58" s="10"/>
      <c r="CX58" s="10"/>
      <c r="CY58" s="10"/>
      <c r="CZ58" s="10"/>
      <c r="DA58" s="10"/>
      <c r="DB58" s="10"/>
      <c r="DC58" s="10"/>
      <c r="DD58" s="10"/>
      <c r="DE58" s="10"/>
      <c r="DF58" s="10"/>
      <c r="DG58" s="10"/>
      <c r="DH58" s="10"/>
      <c r="DI58" s="10"/>
      <c r="DJ58" s="10"/>
      <c r="DK58" s="10"/>
      <c r="DL58" s="10"/>
    </row>
    <row r="59" spans="2:116" ht="13.25" hidden="1" customHeight="1" x14ac:dyDescent="0.3">
      <c r="B59" s="21"/>
      <c r="E59" s="5">
        <v>55</v>
      </c>
      <c r="F59" s="5">
        <f t="shared" ca="1" si="5"/>
        <v>0</v>
      </c>
      <c r="G59" s="5">
        <f t="shared" ca="1" si="2"/>
        <v>570</v>
      </c>
      <c r="H59" s="5">
        <f t="shared" ca="1" si="6"/>
        <v>570</v>
      </c>
      <c r="I59" s="5">
        <f t="shared" ca="1" si="3"/>
        <v>0</v>
      </c>
      <c r="J59" s="5">
        <f t="shared" ca="1" si="4"/>
        <v>0</v>
      </c>
      <c r="K59" s="5">
        <f t="shared" ca="1" si="7"/>
        <v>0</v>
      </c>
      <c r="L59" s="24">
        <f t="shared" ca="1" si="8"/>
        <v>15.616438356164382</v>
      </c>
      <c r="N59" s="7"/>
      <c r="O59" s="7"/>
      <c r="Q59" s="7"/>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0"/>
      <c r="BU59" s="10"/>
      <c r="BV59" s="10"/>
      <c r="BW59" s="10"/>
      <c r="BX59" s="10"/>
      <c r="BY59" s="10"/>
      <c r="BZ59" s="10"/>
      <c r="CA59" s="10"/>
      <c r="CB59" s="10"/>
      <c r="CC59" s="10"/>
      <c r="CD59" s="10"/>
      <c r="CE59" s="10"/>
      <c r="CF59" s="10"/>
      <c r="CG59" s="10"/>
      <c r="CH59" s="10"/>
      <c r="CI59" s="10"/>
      <c r="CJ59" s="10"/>
      <c r="CK59" s="10"/>
      <c r="CL59" s="10"/>
      <c r="CM59" s="10"/>
      <c r="CN59" s="10"/>
      <c r="CO59" s="10"/>
      <c r="CP59" s="10"/>
      <c r="CQ59" s="10"/>
      <c r="CR59" s="10"/>
      <c r="CS59" s="10"/>
      <c r="CT59" s="10"/>
      <c r="CU59" s="10"/>
      <c r="CV59" s="10"/>
      <c r="CW59" s="10"/>
      <c r="CX59" s="10"/>
      <c r="CY59" s="10"/>
      <c r="CZ59" s="10"/>
      <c r="DA59" s="10"/>
      <c r="DB59" s="10"/>
      <c r="DC59" s="10"/>
      <c r="DD59" s="10"/>
      <c r="DE59" s="10"/>
      <c r="DF59" s="10"/>
      <c r="DG59" s="10"/>
      <c r="DH59" s="10"/>
      <c r="DI59" s="10"/>
      <c r="DJ59" s="10"/>
      <c r="DK59" s="10"/>
      <c r="DL59" s="10"/>
    </row>
    <row r="60" spans="2:116" ht="13.25" hidden="1" customHeight="1" x14ac:dyDescent="0.3">
      <c r="B60" s="21"/>
      <c r="E60" s="5">
        <v>56</v>
      </c>
      <c r="F60" s="5">
        <f t="shared" ca="1" si="5"/>
        <v>0</v>
      </c>
      <c r="G60" s="5">
        <f t="shared" ca="1" si="2"/>
        <v>570</v>
      </c>
      <c r="H60" s="5">
        <f t="shared" ca="1" si="6"/>
        <v>570</v>
      </c>
      <c r="I60" s="5">
        <f t="shared" ca="1" si="3"/>
        <v>0</v>
      </c>
      <c r="J60" s="5">
        <f t="shared" ca="1" si="4"/>
        <v>0</v>
      </c>
      <c r="K60" s="5">
        <f t="shared" ca="1" si="7"/>
        <v>0</v>
      </c>
      <c r="L60" s="24">
        <f t="shared" ca="1" si="8"/>
        <v>15.616438356164382</v>
      </c>
      <c r="N60" s="7"/>
      <c r="O60" s="7"/>
      <c r="Q60" s="7"/>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c r="CF60" s="10"/>
      <c r="CG60" s="10"/>
      <c r="CH60" s="10"/>
      <c r="CI60" s="10"/>
      <c r="CJ60" s="10"/>
      <c r="CK60" s="10"/>
      <c r="CL60" s="10"/>
      <c r="CM60" s="10"/>
      <c r="CN60" s="10"/>
      <c r="CO60" s="10"/>
      <c r="CP60" s="10"/>
      <c r="CQ60" s="10"/>
      <c r="CR60" s="10"/>
      <c r="CS60" s="10"/>
      <c r="CT60" s="10"/>
      <c r="CU60" s="10"/>
      <c r="CV60" s="10"/>
      <c r="CW60" s="10"/>
      <c r="CX60" s="10"/>
      <c r="CY60" s="10"/>
      <c r="CZ60" s="10"/>
      <c r="DA60" s="10"/>
      <c r="DB60" s="10"/>
      <c r="DC60" s="10"/>
      <c r="DD60" s="10"/>
      <c r="DE60" s="10"/>
      <c r="DF60" s="10"/>
      <c r="DG60" s="10"/>
      <c r="DH60" s="10"/>
      <c r="DI60" s="10"/>
      <c r="DJ60" s="10"/>
      <c r="DK60" s="10"/>
      <c r="DL60" s="10"/>
    </row>
    <row r="61" spans="2:116" ht="13.25" hidden="1" customHeight="1" x14ac:dyDescent="0.3">
      <c r="B61" s="21"/>
      <c r="E61" s="5">
        <v>57</v>
      </c>
      <c r="F61" s="5">
        <f t="shared" ca="1" si="5"/>
        <v>0</v>
      </c>
      <c r="G61" s="5">
        <f t="shared" ca="1" si="2"/>
        <v>570</v>
      </c>
      <c r="H61" s="5">
        <f t="shared" ca="1" si="6"/>
        <v>570</v>
      </c>
      <c r="I61" s="5">
        <f t="shared" ca="1" si="3"/>
        <v>0</v>
      </c>
      <c r="J61" s="5">
        <f t="shared" ca="1" si="4"/>
        <v>0</v>
      </c>
      <c r="K61" s="5">
        <f t="shared" ca="1" si="7"/>
        <v>0</v>
      </c>
      <c r="L61" s="24">
        <f t="shared" ca="1" si="8"/>
        <v>15.616438356164382</v>
      </c>
      <c r="N61" s="7"/>
      <c r="O61" s="7"/>
      <c r="Q61" s="7"/>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c r="BQ61" s="10"/>
      <c r="BR61" s="10"/>
      <c r="BS61" s="10"/>
      <c r="BT61" s="10"/>
      <c r="BU61" s="10"/>
      <c r="BV61" s="10"/>
      <c r="BW61" s="10"/>
      <c r="BX61" s="10"/>
      <c r="BY61" s="10"/>
      <c r="BZ61" s="10"/>
      <c r="CA61" s="10"/>
      <c r="CB61" s="10"/>
      <c r="CC61" s="10"/>
      <c r="CD61" s="10"/>
      <c r="CE61" s="10"/>
      <c r="CF61" s="10"/>
      <c r="CG61" s="10"/>
      <c r="CH61" s="10"/>
      <c r="CI61" s="10"/>
      <c r="CJ61" s="10"/>
      <c r="CK61" s="10"/>
      <c r="CL61" s="10"/>
      <c r="CM61" s="10"/>
      <c r="CN61" s="10"/>
      <c r="CO61" s="10"/>
      <c r="CP61" s="10"/>
      <c r="CQ61" s="10"/>
      <c r="CR61" s="10"/>
      <c r="CS61" s="10"/>
      <c r="CT61" s="10"/>
      <c r="CU61" s="10"/>
      <c r="CV61" s="10"/>
      <c r="CW61" s="10"/>
      <c r="CX61" s="10"/>
      <c r="CY61" s="10"/>
      <c r="CZ61" s="10"/>
      <c r="DA61" s="10"/>
      <c r="DB61" s="10"/>
      <c r="DC61" s="10"/>
      <c r="DD61" s="10"/>
      <c r="DE61" s="10"/>
      <c r="DF61" s="10"/>
      <c r="DG61" s="10"/>
      <c r="DH61" s="10"/>
      <c r="DI61" s="10"/>
      <c r="DJ61" s="10"/>
      <c r="DK61" s="10"/>
      <c r="DL61" s="10"/>
    </row>
    <row r="62" spans="2:116" ht="13.25" hidden="1" customHeight="1" x14ac:dyDescent="0.3">
      <c r="B62" s="21"/>
      <c r="E62" s="5">
        <v>58</v>
      </c>
      <c r="F62" s="5">
        <f t="shared" ca="1" si="5"/>
        <v>90</v>
      </c>
      <c r="G62" s="5">
        <f t="shared" ca="1" si="2"/>
        <v>570</v>
      </c>
      <c r="H62" s="5">
        <f t="shared" ca="1" si="6"/>
        <v>480</v>
      </c>
      <c r="I62" s="5">
        <f t="shared" ca="1" si="3"/>
        <v>0</v>
      </c>
      <c r="J62" s="5">
        <f t="shared" ca="1" si="4"/>
        <v>0</v>
      </c>
      <c r="K62" s="5">
        <f t="shared" ca="1" si="7"/>
        <v>0</v>
      </c>
      <c r="L62" s="24">
        <f t="shared" ca="1" si="8"/>
        <v>13.150684931506849</v>
      </c>
      <c r="N62" s="7"/>
      <c r="O62" s="7"/>
      <c r="Q62" s="7"/>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c r="CF62" s="10"/>
      <c r="CG62" s="10"/>
      <c r="CH62" s="10"/>
      <c r="CI62" s="10"/>
      <c r="CJ62" s="10"/>
      <c r="CK62" s="10"/>
      <c r="CL62" s="10"/>
      <c r="CM62" s="10"/>
      <c r="CN62" s="10"/>
      <c r="CO62" s="10"/>
      <c r="CP62" s="10"/>
      <c r="CQ62" s="10"/>
      <c r="CR62" s="10"/>
      <c r="CS62" s="10"/>
      <c r="CT62" s="10"/>
      <c r="CU62" s="10"/>
      <c r="CV62" s="10"/>
      <c r="CW62" s="10"/>
      <c r="CX62" s="10"/>
      <c r="CY62" s="10"/>
      <c r="CZ62" s="10"/>
      <c r="DA62" s="10"/>
      <c r="DB62" s="10"/>
      <c r="DC62" s="10"/>
      <c r="DD62" s="10"/>
      <c r="DE62" s="10"/>
      <c r="DF62" s="10"/>
      <c r="DG62" s="10"/>
      <c r="DH62" s="10"/>
      <c r="DI62" s="10"/>
      <c r="DJ62" s="10"/>
      <c r="DK62" s="10"/>
      <c r="DL62" s="10"/>
    </row>
    <row r="63" spans="2:116" ht="13.25" hidden="1" customHeight="1" x14ac:dyDescent="0.3">
      <c r="B63" s="21"/>
      <c r="E63" s="5">
        <v>59</v>
      </c>
      <c r="F63" s="5">
        <f t="shared" ca="1" si="5"/>
        <v>0</v>
      </c>
      <c r="G63" s="5">
        <f t="shared" ca="1" si="2"/>
        <v>480</v>
      </c>
      <c r="H63" s="5">
        <f t="shared" ca="1" si="6"/>
        <v>480</v>
      </c>
      <c r="I63" s="5">
        <f t="shared" ca="1" si="3"/>
        <v>0</v>
      </c>
      <c r="J63" s="5">
        <f t="shared" ca="1" si="4"/>
        <v>0</v>
      </c>
      <c r="K63" s="5">
        <f t="shared" ca="1" si="7"/>
        <v>0</v>
      </c>
      <c r="L63" s="24">
        <f t="shared" ca="1" si="8"/>
        <v>13.150684931506849</v>
      </c>
      <c r="N63" s="7"/>
      <c r="O63" s="7"/>
      <c r="Q63" s="7"/>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c r="BR63" s="10"/>
      <c r="BS63" s="10"/>
      <c r="BT63" s="10"/>
      <c r="BU63" s="10"/>
      <c r="BV63" s="10"/>
      <c r="BW63" s="10"/>
      <c r="BX63" s="10"/>
      <c r="BY63" s="10"/>
      <c r="BZ63" s="10"/>
      <c r="CA63" s="10"/>
      <c r="CB63" s="10"/>
      <c r="CC63" s="10"/>
      <c r="CD63" s="10"/>
      <c r="CE63" s="10"/>
      <c r="CF63" s="10"/>
      <c r="CG63" s="10"/>
      <c r="CH63" s="10"/>
      <c r="CI63" s="10"/>
      <c r="CJ63" s="10"/>
      <c r="CK63" s="10"/>
      <c r="CL63" s="10"/>
      <c r="CM63" s="10"/>
      <c r="CN63" s="10"/>
      <c r="CO63" s="10"/>
      <c r="CP63" s="10"/>
      <c r="CQ63" s="10"/>
      <c r="CR63" s="10"/>
      <c r="CS63" s="10"/>
      <c r="CT63" s="10"/>
      <c r="CU63" s="10"/>
      <c r="CV63" s="10"/>
      <c r="CW63" s="10"/>
      <c r="CX63" s="10"/>
      <c r="CY63" s="10"/>
      <c r="CZ63" s="10"/>
      <c r="DA63" s="10"/>
      <c r="DB63" s="10"/>
      <c r="DC63" s="10"/>
      <c r="DD63" s="10"/>
      <c r="DE63" s="10"/>
      <c r="DF63" s="10"/>
      <c r="DG63" s="10"/>
      <c r="DH63" s="10"/>
      <c r="DI63" s="10"/>
      <c r="DJ63" s="10"/>
      <c r="DK63" s="10"/>
      <c r="DL63" s="10"/>
    </row>
    <row r="64" spans="2:116" ht="13.25" hidden="1" customHeight="1" x14ac:dyDescent="0.3">
      <c r="B64" s="21"/>
      <c r="E64" s="5">
        <v>60</v>
      </c>
      <c r="F64" s="5">
        <f t="shared" ca="1" si="5"/>
        <v>0</v>
      </c>
      <c r="G64" s="5">
        <f t="shared" ca="1" si="2"/>
        <v>480</v>
      </c>
      <c r="H64" s="5">
        <f t="shared" ca="1" si="6"/>
        <v>480</v>
      </c>
      <c r="I64" s="5">
        <f t="shared" ca="1" si="3"/>
        <v>0</v>
      </c>
      <c r="J64" s="5">
        <f t="shared" ca="1" si="4"/>
        <v>0</v>
      </c>
      <c r="K64" s="5">
        <f t="shared" ca="1" si="7"/>
        <v>0</v>
      </c>
      <c r="L64" s="24">
        <f t="shared" ca="1" si="8"/>
        <v>13.150684931506849</v>
      </c>
      <c r="Q64" s="7"/>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c r="BP64" s="10"/>
      <c r="BQ64" s="10"/>
      <c r="BR64" s="10"/>
      <c r="BS64" s="10"/>
      <c r="BT64" s="10"/>
      <c r="BU64" s="10"/>
      <c r="BV64" s="10"/>
      <c r="BW64" s="10"/>
      <c r="BX64" s="10"/>
      <c r="BY64" s="10"/>
      <c r="BZ64" s="10"/>
      <c r="CA64" s="10"/>
      <c r="CB64" s="10"/>
      <c r="CC64" s="10"/>
      <c r="CD64" s="10"/>
      <c r="CE64" s="10"/>
      <c r="CF64" s="10"/>
      <c r="CG64" s="10"/>
      <c r="CH64" s="10"/>
      <c r="CI64" s="10"/>
      <c r="CJ64" s="10"/>
      <c r="CK64" s="10"/>
      <c r="CL64" s="10"/>
      <c r="CM64" s="10"/>
      <c r="CN64" s="10"/>
      <c r="CO64" s="10"/>
      <c r="CP64" s="10"/>
      <c r="CQ64" s="10"/>
      <c r="CR64" s="10"/>
      <c r="CS64" s="10"/>
      <c r="CT64" s="10"/>
      <c r="CU64" s="10"/>
      <c r="CV64" s="10"/>
      <c r="CW64" s="10"/>
      <c r="CX64" s="10"/>
      <c r="CY64" s="10"/>
      <c r="CZ64" s="10"/>
      <c r="DA64" s="10"/>
      <c r="DB64" s="10"/>
      <c r="DC64" s="10"/>
      <c r="DD64" s="10"/>
      <c r="DE64" s="10"/>
      <c r="DF64" s="10"/>
      <c r="DG64" s="10"/>
      <c r="DH64" s="10"/>
      <c r="DI64" s="10"/>
      <c r="DJ64" s="10"/>
      <c r="DK64" s="10"/>
      <c r="DL64" s="10"/>
    </row>
    <row r="65" spans="2:116" ht="13.25" hidden="1" customHeight="1" x14ac:dyDescent="0.3">
      <c r="B65" s="21"/>
      <c r="E65" s="5">
        <v>61</v>
      </c>
      <c r="F65" s="5">
        <f t="shared" ca="1" si="5"/>
        <v>0</v>
      </c>
      <c r="G65" s="5">
        <f t="shared" ca="1" si="2"/>
        <v>480</v>
      </c>
      <c r="H65" s="5">
        <f t="shared" ca="1" si="6"/>
        <v>480</v>
      </c>
      <c r="I65" s="5">
        <f t="shared" ca="1" si="3"/>
        <v>0</v>
      </c>
      <c r="J65" s="5">
        <f t="shared" ca="1" si="4"/>
        <v>0</v>
      </c>
      <c r="K65" s="5">
        <f t="shared" ca="1" si="7"/>
        <v>0</v>
      </c>
      <c r="L65" s="24">
        <f t="shared" ca="1" si="8"/>
        <v>13.150684931506849</v>
      </c>
      <c r="Q65" s="7"/>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10"/>
      <c r="BR65" s="10"/>
      <c r="BS65" s="10"/>
      <c r="BT65" s="10"/>
      <c r="BU65" s="10"/>
      <c r="BV65" s="10"/>
      <c r="BW65" s="10"/>
      <c r="BX65" s="10"/>
      <c r="BY65" s="10"/>
      <c r="BZ65" s="10"/>
      <c r="CA65" s="10"/>
      <c r="CB65" s="10"/>
      <c r="CC65" s="10"/>
      <c r="CD65" s="10"/>
      <c r="CE65" s="10"/>
      <c r="CF65" s="10"/>
      <c r="CG65" s="10"/>
      <c r="CH65" s="10"/>
      <c r="CI65" s="10"/>
      <c r="CJ65" s="10"/>
      <c r="CK65" s="10"/>
      <c r="CL65" s="10"/>
      <c r="CM65" s="10"/>
      <c r="CN65" s="10"/>
      <c r="CO65" s="10"/>
      <c r="CP65" s="10"/>
      <c r="CQ65" s="10"/>
      <c r="CR65" s="10"/>
      <c r="CS65" s="10"/>
      <c r="CT65" s="10"/>
      <c r="CU65" s="10"/>
      <c r="CV65" s="10"/>
      <c r="CW65" s="10"/>
      <c r="CX65" s="10"/>
      <c r="CY65" s="10"/>
      <c r="CZ65" s="10"/>
      <c r="DA65" s="10"/>
      <c r="DB65" s="10"/>
      <c r="DC65" s="10"/>
      <c r="DD65" s="10"/>
      <c r="DE65" s="10"/>
      <c r="DF65" s="10"/>
      <c r="DG65" s="10"/>
      <c r="DH65" s="10"/>
      <c r="DI65" s="10"/>
      <c r="DJ65" s="10"/>
      <c r="DK65" s="10"/>
      <c r="DL65" s="10"/>
    </row>
    <row r="66" spans="2:116" ht="13.25" hidden="1" customHeight="1" x14ac:dyDescent="0.3">
      <c r="B66" s="21"/>
      <c r="E66" s="5">
        <v>62</v>
      </c>
      <c r="F66" s="5">
        <f t="shared" ca="1" si="5"/>
        <v>0</v>
      </c>
      <c r="G66" s="5">
        <f t="shared" ca="1" si="2"/>
        <v>480</v>
      </c>
      <c r="H66" s="5">
        <f t="shared" ca="1" si="6"/>
        <v>480</v>
      </c>
      <c r="I66" s="5">
        <f t="shared" ca="1" si="3"/>
        <v>0</v>
      </c>
      <c r="J66" s="5">
        <f t="shared" ca="1" si="4"/>
        <v>0</v>
      </c>
      <c r="K66" s="5">
        <f t="shared" ca="1" si="7"/>
        <v>0</v>
      </c>
      <c r="L66" s="24">
        <f t="shared" ca="1" si="8"/>
        <v>13.150684931506849</v>
      </c>
      <c r="Q66" s="7"/>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c r="CI66" s="10"/>
      <c r="CJ66" s="10"/>
      <c r="CK66" s="10"/>
      <c r="CL66" s="10"/>
      <c r="CM66" s="10"/>
      <c r="CN66" s="10"/>
      <c r="CO66" s="10"/>
      <c r="CP66" s="10"/>
      <c r="CQ66" s="10"/>
      <c r="CR66" s="10"/>
      <c r="CS66" s="10"/>
      <c r="CT66" s="10"/>
      <c r="CU66" s="10"/>
      <c r="CV66" s="10"/>
      <c r="CW66" s="10"/>
      <c r="CX66" s="10"/>
      <c r="CY66" s="10"/>
      <c r="CZ66" s="10"/>
      <c r="DA66" s="10"/>
      <c r="DB66" s="10"/>
      <c r="DC66" s="10"/>
      <c r="DD66" s="10"/>
      <c r="DE66" s="10"/>
      <c r="DF66" s="10"/>
      <c r="DG66" s="10"/>
      <c r="DH66" s="10"/>
      <c r="DI66" s="10"/>
      <c r="DJ66" s="10"/>
      <c r="DK66" s="10"/>
      <c r="DL66" s="10"/>
    </row>
    <row r="67" spans="2:116" ht="13.25" hidden="1" customHeight="1" x14ac:dyDescent="0.3">
      <c r="B67" s="21"/>
      <c r="E67" s="5">
        <v>63</v>
      </c>
      <c r="F67" s="5">
        <f t="shared" ca="1" si="5"/>
        <v>120</v>
      </c>
      <c r="G67" s="5">
        <f t="shared" ca="1" si="2"/>
        <v>480</v>
      </c>
      <c r="H67" s="5">
        <f t="shared" ca="1" si="6"/>
        <v>360</v>
      </c>
      <c r="I67" s="5">
        <f t="shared" ca="1" si="3"/>
        <v>0</v>
      </c>
      <c r="J67" s="5">
        <f t="shared" ca="1" si="4"/>
        <v>0</v>
      </c>
      <c r="K67" s="5">
        <f t="shared" ca="1" si="7"/>
        <v>0</v>
      </c>
      <c r="L67" s="24">
        <f t="shared" ca="1" si="8"/>
        <v>9.8630136986301373</v>
      </c>
      <c r="Q67" s="7"/>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c r="BU67" s="10"/>
      <c r="BV67" s="10"/>
      <c r="BW67" s="10"/>
      <c r="BX67" s="10"/>
      <c r="BY67" s="10"/>
      <c r="BZ67" s="10"/>
      <c r="CA67" s="10"/>
      <c r="CB67" s="10"/>
      <c r="CC67" s="10"/>
      <c r="CD67" s="10"/>
      <c r="CE67" s="10"/>
      <c r="CF67" s="10"/>
      <c r="CG67" s="10"/>
      <c r="CH67" s="10"/>
      <c r="CI67" s="10"/>
      <c r="CJ67" s="10"/>
      <c r="CK67" s="10"/>
      <c r="CL67" s="10"/>
      <c r="CM67" s="10"/>
      <c r="CN67" s="10"/>
      <c r="CO67" s="10"/>
      <c r="CP67" s="10"/>
      <c r="CQ67" s="10"/>
      <c r="CR67" s="10"/>
      <c r="CS67" s="10"/>
      <c r="CT67" s="10"/>
      <c r="CU67" s="10"/>
      <c r="CV67" s="10"/>
      <c r="CW67" s="10"/>
      <c r="CX67" s="10"/>
      <c r="CY67" s="10"/>
      <c r="CZ67" s="10"/>
      <c r="DA67" s="10"/>
      <c r="DB67" s="10"/>
      <c r="DC67" s="10"/>
      <c r="DD67" s="10"/>
      <c r="DE67" s="10"/>
      <c r="DF67" s="10"/>
      <c r="DG67" s="10"/>
      <c r="DH67" s="10"/>
      <c r="DI67" s="10"/>
      <c r="DJ67" s="10"/>
      <c r="DK67" s="10"/>
    </row>
    <row r="68" spans="2:116" ht="13.25" hidden="1" customHeight="1" x14ac:dyDescent="0.3">
      <c r="B68" s="21"/>
      <c r="E68" s="5">
        <v>64</v>
      </c>
      <c r="F68" s="5">
        <f t="shared" ca="1" si="5"/>
        <v>0</v>
      </c>
      <c r="G68" s="5">
        <f t="shared" ca="1" si="2"/>
        <v>360</v>
      </c>
      <c r="H68" s="5">
        <f t="shared" ca="1" si="6"/>
        <v>360</v>
      </c>
      <c r="I68" s="5">
        <f t="shared" ca="1" si="3"/>
        <v>0</v>
      </c>
      <c r="J68" s="5">
        <f t="shared" ca="1" si="4"/>
        <v>0</v>
      </c>
      <c r="K68" s="5">
        <f t="shared" ca="1" si="7"/>
        <v>0</v>
      </c>
      <c r="L68" s="24">
        <f t="shared" ca="1" si="8"/>
        <v>9.8630136986301373</v>
      </c>
    </row>
    <row r="69" spans="2:116" ht="13.25" hidden="1" customHeight="1" x14ac:dyDescent="0.3">
      <c r="B69" s="21"/>
      <c r="E69" s="5">
        <v>65</v>
      </c>
      <c r="F69" s="5">
        <f t="shared" ref="F69:F132" ca="1" si="12">INDEX($Q$18:$Q$22,MATCH(RAND(),$S$17:$S$22,1))</f>
        <v>100</v>
      </c>
      <c r="G69" s="5">
        <f t="shared" ref="G69:G132" ca="1" si="13">H68+$C$9*I68</f>
        <v>360</v>
      </c>
      <c r="H69" s="5">
        <f t="shared" ca="1" si="6"/>
        <v>260</v>
      </c>
      <c r="I69" s="5">
        <f t="shared" ref="I69:I132" ca="1" si="14">IF(H69&lt;$C$3,1,0)</f>
        <v>0</v>
      </c>
      <c r="J69" s="5">
        <f t="shared" ref="J69:J132" ca="1" si="15">IF(G69&lt;F69,1,0)</f>
        <v>0</v>
      </c>
      <c r="K69" s="5">
        <f t="shared" ca="1" si="7"/>
        <v>0</v>
      </c>
      <c r="L69" s="24">
        <f t="shared" ca="1" si="8"/>
        <v>7.1232876712328768</v>
      </c>
    </row>
    <row r="70" spans="2:116" ht="13.25" hidden="1" customHeight="1" x14ac:dyDescent="0.3">
      <c r="B70" s="21"/>
      <c r="E70" s="5">
        <v>66</v>
      </c>
      <c r="F70" s="5">
        <f t="shared" ca="1" si="12"/>
        <v>110</v>
      </c>
      <c r="G70" s="5">
        <f t="shared" ca="1" si="13"/>
        <v>260</v>
      </c>
      <c r="H70" s="5">
        <f t="shared" ref="H70:H133" ca="1" si="16">IF(G70-F70&gt;0,G70-F70,0)</f>
        <v>150</v>
      </c>
      <c r="I70" s="5">
        <f t="shared" ca="1" si="14"/>
        <v>0</v>
      </c>
      <c r="J70" s="5">
        <f t="shared" ca="1" si="15"/>
        <v>0</v>
      </c>
      <c r="K70" s="5">
        <f t="shared" ref="K70:K133" ca="1" si="17">I70*$C$4</f>
        <v>0</v>
      </c>
      <c r="L70" s="24">
        <f t="shared" ref="L70:L133" ca="1" si="18">H70*$C$7</f>
        <v>4.10958904109589</v>
      </c>
    </row>
    <row r="71" spans="2:116" ht="13.25" hidden="1" customHeight="1" x14ac:dyDescent="0.3">
      <c r="B71" s="21"/>
      <c r="E71" s="5">
        <v>67</v>
      </c>
      <c r="F71" s="5">
        <f t="shared" ca="1" si="12"/>
        <v>0</v>
      </c>
      <c r="G71" s="5">
        <f t="shared" ca="1" si="13"/>
        <v>150</v>
      </c>
      <c r="H71" s="5">
        <f t="shared" ca="1" si="16"/>
        <v>150</v>
      </c>
      <c r="I71" s="5">
        <f t="shared" ca="1" si="14"/>
        <v>0</v>
      </c>
      <c r="J71" s="5">
        <f t="shared" ca="1" si="15"/>
        <v>0</v>
      </c>
      <c r="K71" s="5">
        <f t="shared" ca="1" si="17"/>
        <v>0</v>
      </c>
      <c r="L71" s="24">
        <f t="shared" ca="1" si="18"/>
        <v>4.10958904109589</v>
      </c>
    </row>
    <row r="72" spans="2:116" ht="13.25" hidden="1" customHeight="1" x14ac:dyDescent="0.3">
      <c r="B72" s="21"/>
      <c r="E72" s="5">
        <v>68</v>
      </c>
      <c r="F72" s="5">
        <f t="shared" ca="1" si="12"/>
        <v>90</v>
      </c>
      <c r="G72" s="5">
        <f t="shared" ca="1" si="13"/>
        <v>150</v>
      </c>
      <c r="H72" s="5">
        <f t="shared" ca="1" si="16"/>
        <v>60</v>
      </c>
      <c r="I72" s="5">
        <f t="shared" ca="1" si="14"/>
        <v>1</v>
      </c>
      <c r="J72" s="5">
        <f t="shared" ca="1" si="15"/>
        <v>0</v>
      </c>
      <c r="K72" s="5">
        <f t="shared" ca="1" si="17"/>
        <v>200</v>
      </c>
      <c r="L72" s="24">
        <f t="shared" ca="1" si="18"/>
        <v>1.6438356164383561</v>
      </c>
    </row>
    <row r="73" spans="2:116" ht="13.25" hidden="1" customHeight="1" x14ac:dyDescent="0.3">
      <c r="B73" s="21"/>
      <c r="E73" s="5">
        <v>69</v>
      </c>
      <c r="F73" s="5">
        <f t="shared" ca="1" si="12"/>
        <v>0</v>
      </c>
      <c r="G73" s="5">
        <f t="shared" ca="1" si="13"/>
        <v>1060</v>
      </c>
      <c r="H73" s="5">
        <f t="shared" ca="1" si="16"/>
        <v>1060</v>
      </c>
      <c r="I73" s="5">
        <f t="shared" ca="1" si="14"/>
        <v>0</v>
      </c>
      <c r="J73" s="5">
        <f t="shared" ca="1" si="15"/>
        <v>0</v>
      </c>
      <c r="K73" s="5">
        <f t="shared" ca="1" si="17"/>
        <v>0</v>
      </c>
      <c r="L73" s="24">
        <f t="shared" ca="1" si="18"/>
        <v>29.041095890410958</v>
      </c>
    </row>
    <row r="74" spans="2:116" ht="13.25" hidden="1" customHeight="1" x14ac:dyDescent="0.3">
      <c r="B74" s="21"/>
      <c r="E74" s="5">
        <v>70</v>
      </c>
      <c r="F74" s="5">
        <f t="shared" ca="1" si="12"/>
        <v>110</v>
      </c>
      <c r="G74" s="5">
        <f t="shared" ca="1" si="13"/>
        <v>1060</v>
      </c>
      <c r="H74" s="5">
        <f t="shared" ca="1" si="16"/>
        <v>950</v>
      </c>
      <c r="I74" s="5">
        <f t="shared" ca="1" si="14"/>
        <v>0</v>
      </c>
      <c r="J74" s="5">
        <f t="shared" ca="1" si="15"/>
        <v>0</v>
      </c>
      <c r="K74" s="5">
        <f t="shared" ca="1" si="17"/>
        <v>0</v>
      </c>
      <c r="L74" s="24">
        <f t="shared" ca="1" si="18"/>
        <v>26.027397260273972</v>
      </c>
    </row>
    <row r="75" spans="2:116" ht="13.25" hidden="1" customHeight="1" x14ac:dyDescent="0.3">
      <c r="B75" s="21"/>
      <c r="E75" s="5">
        <v>71</v>
      </c>
      <c r="F75" s="5">
        <f t="shared" ca="1" si="12"/>
        <v>0</v>
      </c>
      <c r="G75" s="5">
        <f t="shared" ca="1" si="13"/>
        <v>950</v>
      </c>
      <c r="H75" s="5">
        <f t="shared" ca="1" si="16"/>
        <v>950</v>
      </c>
      <c r="I75" s="5">
        <f t="shared" ca="1" si="14"/>
        <v>0</v>
      </c>
      <c r="J75" s="5">
        <f t="shared" ca="1" si="15"/>
        <v>0</v>
      </c>
      <c r="K75" s="5">
        <f t="shared" ca="1" si="17"/>
        <v>0</v>
      </c>
      <c r="L75" s="24">
        <f t="shared" ca="1" si="18"/>
        <v>26.027397260273972</v>
      </c>
    </row>
    <row r="76" spans="2:116" ht="13.25" hidden="1" customHeight="1" x14ac:dyDescent="0.3">
      <c r="B76" s="21"/>
      <c r="E76" s="5">
        <v>72</v>
      </c>
      <c r="F76" s="5">
        <f t="shared" ca="1" si="12"/>
        <v>0</v>
      </c>
      <c r="G76" s="5">
        <f t="shared" ca="1" si="13"/>
        <v>950</v>
      </c>
      <c r="H76" s="5">
        <f t="shared" ca="1" si="16"/>
        <v>950</v>
      </c>
      <c r="I76" s="5">
        <f t="shared" ca="1" si="14"/>
        <v>0</v>
      </c>
      <c r="J76" s="5">
        <f t="shared" ca="1" si="15"/>
        <v>0</v>
      </c>
      <c r="K76" s="5">
        <f t="shared" ca="1" si="17"/>
        <v>0</v>
      </c>
      <c r="L76" s="24">
        <f t="shared" ca="1" si="18"/>
        <v>26.027397260273972</v>
      </c>
    </row>
    <row r="77" spans="2:116" ht="13.25" hidden="1" customHeight="1" x14ac:dyDescent="0.3">
      <c r="B77" s="21"/>
      <c r="E77" s="5">
        <v>73</v>
      </c>
      <c r="F77" s="5">
        <f t="shared" ca="1" si="12"/>
        <v>0</v>
      </c>
      <c r="G77" s="5">
        <f t="shared" ca="1" si="13"/>
        <v>950</v>
      </c>
      <c r="H77" s="5">
        <f t="shared" ca="1" si="16"/>
        <v>950</v>
      </c>
      <c r="I77" s="5">
        <f t="shared" ca="1" si="14"/>
        <v>0</v>
      </c>
      <c r="J77" s="5">
        <f t="shared" ca="1" si="15"/>
        <v>0</v>
      </c>
      <c r="K77" s="5">
        <f t="shared" ca="1" si="17"/>
        <v>0</v>
      </c>
      <c r="L77" s="24">
        <f t="shared" ca="1" si="18"/>
        <v>26.027397260273972</v>
      </c>
    </row>
    <row r="78" spans="2:116" ht="13.25" hidden="1" customHeight="1" x14ac:dyDescent="0.3">
      <c r="B78" s="21"/>
      <c r="E78" s="5">
        <v>74</v>
      </c>
      <c r="F78" s="5">
        <f t="shared" ca="1" si="12"/>
        <v>0</v>
      </c>
      <c r="G78" s="5">
        <f t="shared" ca="1" si="13"/>
        <v>950</v>
      </c>
      <c r="H78" s="5">
        <f t="shared" ca="1" si="16"/>
        <v>950</v>
      </c>
      <c r="I78" s="5">
        <f t="shared" ca="1" si="14"/>
        <v>0</v>
      </c>
      <c r="J78" s="5">
        <f t="shared" ca="1" si="15"/>
        <v>0</v>
      </c>
      <c r="K78" s="5">
        <f t="shared" ca="1" si="17"/>
        <v>0</v>
      </c>
      <c r="L78" s="24">
        <f t="shared" ca="1" si="18"/>
        <v>26.027397260273972</v>
      </c>
    </row>
    <row r="79" spans="2:116" ht="13.25" hidden="1" customHeight="1" x14ac:dyDescent="0.3">
      <c r="B79" s="21"/>
      <c r="E79" s="5">
        <v>75</v>
      </c>
      <c r="F79" s="5">
        <f t="shared" ca="1" si="12"/>
        <v>0</v>
      </c>
      <c r="G79" s="5">
        <f t="shared" ca="1" si="13"/>
        <v>950</v>
      </c>
      <c r="H79" s="5">
        <f t="shared" ca="1" si="16"/>
        <v>950</v>
      </c>
      <c r="I79" s="5">
        <f t="shared" ca="1" si="14"/>
        <v>0</v>
      </c>
      <c r="J79" s="5">
        <f t="shared" ca="1" si="15"/>
        <v>0</v>
      </c>
      <c r="K79" s="5">
        <f t="shared" ca="1" si="17"/>
        <v>0</v>
      </c>
      <c r="L79" s="24">
        <f t="shared" ca="1" si="18"/>
        <v>26.027397260273972</v>
      </c>
    </row>
    <row r="80" spans="2:116" ht="13.25" hidden="1" customHeight="1" x14ac:dyDescent="0.3">
      <c r="B80" s="21"/>
      <c r="E80" s="5">
        <v>76</v>
      </c>
      <c r="F80" s="5">
        <f t="shared" ca="1" si="12"/>
        <v>0</v>
      </c>
      <c r="G80" s="5">
        <f t="shared" ca="1" si="13"/>
        <v>950</v>
      </c>
      <c r="H80" s="5">
        <f t="shared" ca="1" si="16"/>
        <v>950</v>
      </c>
      <c r="I80" s="5">
        <f t="shared" ca="1" si="14"/>
        <v>0</v>
      </c>
      <c r="J80" s="5">
        <f t="shared" ca="1" si="15"/>
        <v>0</v>
      </c>
      <c r="K80" s="5">
        <f t="shared" ca="1" si="17"/>
        <v>0</v>
      </c>
      <c r="L80" s="24">
        <f t="shared" ca="1" si="18"/>
        <v>26.027397260273972</v>
      </c>
    </row>
    <row r="81" spans="2:12" ht="13.25" hidden="1" customHeight="1" x14ac:dyDescent="0.3">
      <c r="B81" s="21"/>
      <c r="E81" s="5">
        <v>77</v>
      </c>
      <c r="F81" s="5">
        <f t="shared" ca="1" si="12"/>
        <v>120</v>
      </c>
      <c r="G81" s="5">
        <f t="shared" ca="1" si="13"/>
        <v>950</v>
      </c>
      <c r="H81" s="5">
        <f t="shared" ca="1" si="16"/>
        <v>830</v>
      </c>
      <c r="I81" s="5">
        <f t="shared" ca="1" si="14"/>
        <v>0</v>
      </c>
      <c r="J81" s="5">
        <f t="shared" ca="1" si="15"/>
        <v>0</v>
      </c>
      <c r="K81" s="5">
        <f t="shared" ca="1" si="17"/>
        <v>0</v>
      </c>
      <c r="L81" s="24">
        <f t="shared" ca="1" si="18"/>
        <v>22.739726027397261</v>
      </c>
    </row>
    <row r="82" spans="2:12" ht="13.25" hidden="1" customHeight="1" x14ac:dyDescent="0.3">
      <c r="B82" s="21"/>
      <c r="E82" s="5">
        <v>78</v>
      </c>
      <c r="F82" s="5">
        <f t="shared" ca="1" si="12"/>
        <v>0</v>
      </c>
      <c r="G82" s="5">
        <f t="shared" ca="1" si="13"/>
        <v>830</v>
      </c>
      <c r="H82" s="5">
        <f t="shared" ca="1" si="16"/>
        <v>830</v>
      </c>
      <c r="I82" s="5">
        <f t="shared" ca="1" si="14"/>
        <v>0</v>
      </c>
      <c r="J82" s="5">
        <f t="shared" ca="1" si="15"/>
        <v>0</v>
      </c>
      <c r="K82" s="5">
        <f t="shared" ca="1" si="17"/>
        <v>0</v>
      </c>
      <c r="L82" s="24">
        <f t="shared" ca="1" si="18"/>
        <v>22.739726027397261</v>
      </c>
    </row>
    <row r="83" spans="2:12" ht="13.25" hidden="1" customHeight="1" x14ac:dyDescent="0.3">
      <c r="B83" s="21"/>
      <c r="E83" s="5">
        <v>79</v>
      </c>
      <c r="F83" s="5">
        <f t="shared" ca="1" si="12"/>
        <v>0</v>
      </c>
      <c r="G83" s="5">
        <f t="shared" ca="1" si="13"/>
        <v>830</v>
      </c>
      <c r="H83" s="5">
        <f t="shared" ca="1" si="16"/>
        <v>830</v>
      </c>
      <c r="I83" s="5">
        <f t="shared" ca="1" si="14"/>
        <v>0</v>
      </c>
      <c r="J83" s="5">
        <f t="shared" ca="1" si="15"/>
        <v>0</v>
      </c>
      <c r="K83" s="5">
        <f t="shared" ca="1" si="17"/>
        <v>0</v>
      </c>
      <c r="L83" s="24">
        <f t="shared" ca="1" si="18"/>
        <v>22.739726027397261</v>
      </c>
    </row>
    <row r="84" spans="2:12" ht="13.25" hidden="1" customHeight="1" x14ac:dyDescent="0.3">
      <c r="B84" s="21"/>
      <c r="E84" s="5">
        <v>80</v>
      </c>
      <c r="F84" s="5">
        <f t="shared" ca="1" si="12"/>
        <v>0</v>
      </c>
      <c r="G84" s="5">
        <f t="shared" ca="1" si="13"/>
        <v>830</v>
      </c>
      <c r="H84" s="5">
        <f t="shared" ca="1" si="16"/>
        <v>830</v>
      </c>
      <c r="I84" s="5">
        <f t="shared" ca="1" si="14"/>
        <v>0</v>
      </c>
      <c r="J84" s="5">
        <f t="shared" ca="1" si="15"/>
        <v>0</v>
      </c>
      <c r="K84" s="5">
        <f t="shared" ca="1" si="17"/>
        <v>0</v>
      </c>
      <c r="L84" s="24">
        <f t="shared" ca="1" si="18"/>
        <v>22.739726027397261</v>
      </c>
    </row>
    <row r="85" spans="2:12" ht="13.25" hidden="1" customHeight="1" x14ac:dyDescent="0.3">
      <c r="B85" s="21"/>
      <c r="E85" s="5">
        <v>81</v>
      </c>
      <c r="F85" s="5">
        <f t="shared" ca="1" si="12"/>
        <v>90</v>
      </c>
      <c r="G85" s="5">
        <f t="shared" ca="1" si="13"/>
        <v>830</v>
      </c>
      <c r="H85" s="5">
        <f t="shared" ca="1" si="16"/>
        <v>740</v>
      </c>
      <c r="I85" s="5">
        <f t="shared" ca="1" si="14"/>
        <v>0</v>
      </c>
      <c r="J85" s="5">
        <f t="shared" ca="1" si="15"/>
        <v>0</v>
      </c>
      <c r="K85" s="5">
        <f t="shared" ca="1" si="17"/>
        <v>0</v>
      </c>
      <c r="L85" s="24">
        <f t="shared" ca="1" si="18"/>
        <v>20.273972602739725</v>
      </c>
    </row>
    <row r="86" spans="2:12" ht="13.25" hidden="1" customHeight="1" x14ac:dyDescent="0.3">
      <c r="B86" s="21"/>
      <c r="E86" s="5">
        <v>82</v>
      </c>
      <c r="F86" s="5">
        <f t="shared" ca="1" si="12"/>
        <v>0</v>
      </c>
      <c r="G86" s="5">
        <f t="shared" ca="1" si="13"/>
        <v>740</v>
      </c>
      <c r="H86" s="5">
        <f t="shared" ca="1" si="16"/>
        <v>740</v>
      </c>
      <c r="I86" s="5">
        <f t="shared" ca="1" si="14"/>
        <v>0</v>
      </c>
      <c r="J86" s="5">
        <f t="shared" ca="1" si="15"/>
        <v>0</v>
      </c>
      <c r="K86" s="5">
        <f t="shared" ca="1" si="17"/>
        <v>0</v>
      </c>
      <c r="L86" s="24">
        <f t="shared" ca="1" si="18"/>
        <v>20.273972602739725</v>
      </c>
    </row>
    <row r="87" spans="2:12" ht="13.25" hidden="1" customHeight="1" x14ac:dyDescent="0.3">
      <c r="B87" s="21"/>
      <c r="E87" s="5">
        <v>83</v>
      </c>
      <c r="F87" s="5">
        <f t="shared" ca="1" si="12"/>
        <v>90</v>
      </c>
      <c r="G87" s="5">
        <f t="shared" ca="1" si="13"/>
        <v>740</v>
      </c>
      <c r="H87" s="5">
        <f t="shared" ca="1" si="16"/>
        <v>650</v>
      </c>
      <c r="I87" s="5">
        <f t="shared" ca="1" si="14"/>
        <v>0</v>
      </c>
      <c r="J87" s="5">
        <f t="shared" ca="1" si="15"/>
        <v>0</v>
      </c>
      <c r="K87" s="5">
        <f t="shared" ca="1" si="17"/>
        <v>0</v>
      </c>
      <c r="L87" s="24">
        <f t="shared" ca="1" si="18"/>
        <v>17.80821917808219</v>
      </c>
    </row>
    <row r="88" spans="2:12" ht="13.25" hidden="1" customHeight="1" x14ac:dyDescent="0.3">
      <c r="B88" s="21"/>
      <c r="E88" s="5">
        <v>84</v>
      </c>
      <c r="F88" s="5">
        <f t="shared" ca="1" si="12"/>
        <v>0</v>
      </c>
      <c r="G88" s="5">
        <f t="shared" ca="1" si="13"/>
        <v>650</v>
      </c>
      <c r="H88" s="5">
        <f t="shared" ca="1" si="16"/>
        <v>650</v>
      </c>
      <c r="I88" s="5">
        <f t="shared" ca="1" si="14"/>
        <v>0</v>
      </c>
      <c r="J88" s="5">
        <f t="shared" ca="1" si="15"/>
        <v>0</v>
      </c>
      <c r="K88" s="5">
        <f t="shared" ca="1" si="17"/>
        <v>0</v>
      </c>
      <c r="L88" s="24">
        <f t="shared" ca="1" si="18"/>
        <v>17.80821917808219</v>
      </c>
    </row>
    <row r="89" spans="2:12" ht="13.25" hidden="1" customHeight="1" x14ac:dyDescent="0.3">
      <c r="B89" s="21"/>
      <c r="E89" s="5">
        <v>85</v>
      </c>
      <c r="F89" s="5">
        <f t="shared" ca="1" si="12"/>
        <v>0</v>
      </c>
      <c r="G89" s="5">
        <f t="shared" ca="1" si="13"/>
        <v>650</v>
      </c>
      <c r="H89" s="5">
        <f t="shared" ca="1" si="16"/>
        <v>650</v>
      </c>
      <c r="I89" s="5">
        <f t="shared" ca="1" si="14"/>
        <v>0</v>
      </c>
      <c r="J89" s="5">
        <f t="shared" ca="1" si="15"/>
        <v>0</v>
      </c>
      <c r="K89" s="5">
        <f t="shared" ca="1" si="17"/>
        <v>0</v>
      </c>
      <c r="L89" s="24">
        <f t="shared" ca="1" si="18"/>
        <v>17.80821917808219</v>
      </c>
    </row>
    <row r="90" spans="2:12" ht="13.25" hidden="1" customHeight="1" x14ac:dyDescent="0.3">
      <c r="B90" s="21"/>
      <c r="E90" s="5">
        <v>86</v>
      </c>
      <c r="F90" s="5">
        <f t="shared" ca="1" si="12"/>
        <v>0</v>
      </c>
      <c r="G90" s="5">
        <f t="shared" ca="1" si="13"/>
        <v>650</v>
      </c>
      <c r="H90" s="5">
        <f t="shared" ca="1" si="16"/>
        <v>650</v>
      </c>
      <c r="I90" s="5">
        <f t="shared" ca="1" si="14"/>
        <v>0</v>
      </c>
      <c r="J90" s="5">
        <f t="shared" ca="1" si="15"/>
        <v>0</v>
      </c>
      <c r="K90" s="5">
        <f t="shared" ca="1" si="17"/>
        <v>0</v>
      </c>
      <c r="L90" s="24">
        <f t="shared" ca="1" si="18"/>
        <v>17.80821917808219</v>
      </c>
    </row>
    <row r="91" spans="2:12" ht="13.25" hidden="1" customHeight="1" x14ac:dyDescent="0.3">
      <c r="B91" s="21"/>
      <c r="E91" s="5">
        <v>87</v>
      </c>
      <c r="F91" s="5">
        <f t="shared" ca="1" si="12"/>
        <v>0</v>
      </c>
      <c r="G91" s="5">
        <f t="shared" ca="1" si="13"/>
        <v>650</v>
      </c>
      <c r="H91" s="5">
        <f t="shared" ca="1" si="16"/>
        <v>650</v>
      </c>
      <c r="I91" s="5">
        <f t="shared" ca="1" si="14"/>
        <v>0</v>
      </c>
      <c r="J91" s="5">
        <f t="shared" ca="1" si="15"/>
        <v>0</v>
      </c>
      <c r="K91" s="5">
        <f t="shared" ca="1" si="17"/>
        <v>0</v>
      </c>
      <c r="L91" s="24">
        <f t="shared" ca="1" si="18"/>
        <v>17.80821917808219</v>
      </c>
    </row>
    <row r="92" spans="2:12" ht="13.25" hidden="1" customHeight="1" x14ac:dyDescent="0.3">
      <c r="B92" s="21"/>
      <c r="E92" s="5">
        <v>88</v>
      </c>
      <c r="F92" s="5">
        <f t="shared" ca="1" si="12"/>
        <v>0</v>
      </c>
      <c r="G92" s="5">
        <f t="shared" ca="1" si="13"/>
        <v>650</v>
      </c>
      <c r="H92" s="5">
        <f t="shared" ca="1" si="16"/>
        <v>650</v>
      </c>
      <c r="I92" s="5">
        <f t="shared" ca="1" si="14"/>
        <v>0</v>
      </c>
      <c r="J92" s="5">
        <f t="shared" ca="1" si="15"/>
        <v>0</v>
      </c>
      <c r="K92" s="5">
        <f t="shared" ca="1" si="17"/>
        <v>0</v>
      </c>
      <c r="L92" s="24">
        <f t="shared" ca="1" si="18"/>
        <v>17.80821917808219</v>
      </c>
    </row>
    <row r="93" spans="2:12" ht="13.25" hidden="1" customHeight="1" x14ac:dyDescent="0.3">
      <c r="B93" s="21"/>
      <c r="E93" s="5">
        <v>89</v>
      </c>
      <c r="F93" s="5">
        <f t="shared" ca="1" si="12"/>
        <v>0</v>
      </c>
      <c r="G93" s="5">
        <f t="shared" ca="1" si="13"/>
        <v>650</v>
      </c>
      <c r="H93" s="5">
        <f t="shared" ca="1" si="16"/>
        <v>650</v>
      </c>
      <c r="I93" s="5">
        <f t="shared" ca="1" si="14"/>
        <v>0</v>
      </c>
      <c r="J93" s="5">
        <f t="shared" ca="1" si="15"/>
        <v>0</v>
      </c>
      <c r="K93" s="5">
        <f t="shared" ca="1" si="17"/>
        <v>0</v>
      </c>
      <c r="L93" s="24">
        <f t="shared" ca="1" si="18"/>
        <v>17.80821917808219</v>
      </c>
    </row>
    <row r="94" spans="2:12" ht="13.25" hidden="1" customHeight="1" x14ac:dyDescent="0.3">
      <c r="B94" s="21"/>
      <c r="E94" s="5">
        <v>90</v>
      </c>
      <c r="F94" s="5">
        <f t="shared" ca="1" si="12"/>
        <v>100</v>
      </c>
      <c r="G94" s="5">
        <f t="shared" ca="1" si="13"/>
        <v>650</v>
      </c>
      <c r="H94" s="5">
        <f t="shared" ca="1" si="16"/>
        <v>550</v>
      </c>
      <c r="I94" s="5">
        <f t="shared" ca="1" si="14"/>
        <v>0</v>
      </c>
      <c r="J94" s="5">
        <f t="shared" ca="1" si="15"/>
        <v>0</v>
      </c>
      <c r="K94" s="5">
        <f t="shared" ca="1" si="17"/>
        <v>0</v>
      </c>
      <c r="L94" s="24">
        <f t="shared" ca="1" si="18"/>
        <v>15.068493150684931</v>
      </c>
    </row>
    <row r="95" spans="2:12" ht="13.25" hidden="1" customHeight="1" x14ac:dyDescent="0.3">
      <c r="B95" s="21"/>
      <c r="E95" s="5">
        <v>91</v>
      </c>
      <c r="F95" s="5">
        <f t="shared" ca="1" si="12"/>
        <v>110</v>
      </c>
      <c r="G95" s="5">
        <f t="shared" ca="1" si="13"/>
        <v>550</v>
      </c>
      <c r="H95" s="5">
        <f t="shared" ca="1" si="16"/>
        <v>440</v>
      </c>
      <c r="I95" s="5">
        <f t="shared" ca="1" si="14"/>
        <v>0</v>
      </c>
      <c r="J95" s="5">
        <f t="shared" ca="1" si="15"/>
        <v>0</v>
      </c>
      <c r="K95" s="5">
        <f t="shared" ca="1" si="17"/>
        <v>0</v>
      </c>
      <c r="L95" s="24">
        <f t="shared" ca="1" si="18"/>
        <v>12.054794520547944</v>
      </c>
    </row>
    <row r="96" spans="2:12" ht="13.25" hidden="1" customHeight="1" x14ac:dyDescent="0.3">
      <c r="B96" s="21"/>
      <c r="E96" s="5">
        <v>92</v>
      </c>
      <c r="F96" s="5">
        <f t="shared" ca="1" si="12"/>
        <v>90</v>
      </c>
      <c r="G96" s="5">
        <f t="shared" ca="1" si="13"/>
        <v>440</v>
      </c>
      <c r="H96" s="5">
        <f t="shared" ca="1" si="16"/>
        <v>350</v>
      </c>
      <c r="I96" s="5">
        <f t="shared" ca="1" si="14"/>
        <v>0</v>
      </c>
      <c r="J96" s="5">
        <f t="shared" ca="1" si="15"/>
        <v>0</v>
      </c>
      <c r="K96" s="5">
        <f t="shared" ca="1" si="17"/>
        <v>0</v>
      </c>
      <c r="L96" s="24">
        <f t="shared" ca="1" si="18"/>
        <v>9.5890410958904102</v>
      </c>
    </row>
    <row r="97" spans="2:12" ht="13.25" hidden="1" customHeight="1" x14ac:dyDescent="0.3">
      <c r="B97" s="21"/>
      <c r="E97" s="5">
        <v>93</v>
      </c>
      <c r="F97" s="5">
        <f t="shared" ca="1" si="12"/>
        <v>0</v>
      </c>
      <c r="G97" s="5">
        <f t="shared" ca="1" si="13"/>
        <v>350</v>
      </c>
      <c r="H97" s="5">
        <f t="shared" ca="1" si="16"/>
        <v>350</v>
      </c>
      <c r="I97" s="5">
        <f t="shared" ca="1" si="14"/>
        <v>0</v>
      </c>
      <c r="J97" s="5">
        <f t="shared" ca="1" si="15"/>
        <v>0</v>
      </c>
      <c r="K97" s="5">
        <f t="shared" ca="1" si="17"/>
        <v>0</v>
      </c>
      <c r="L97" s="24">
        <f t="shared" ca="1" si="18"/>
        <v>9.5890410958904102</v>
      </c>
    </row>
    <row r="98" spans="2:12" ht="13.25" hidden="1" customHeight="1" x14ac:dyDescent="0.3">
      <c r="B98" s="21"/>
      <c r="E98" s="5">
        <v>94</v>
      </c>
      <c r="F98" s="5">
        <f t="shared" ca="1" si="12"/>
        <v>0</v>
      </c>
      <c r="G98" s="5">
        <f t="shared" ca="1" si="13"/>
        <v>350</v>
      </c>
      <c r="H98" s="5">
        <f t="shared" ca="1" si="16"/>
        <v>350</v>
      </c>
      <c r="I98" s="5">
        <f t="shared" ca="1" si="14"/>
        <v>0</v>
      </c>
      <c r="J98" s="5">
        <f t="shared" ca="1" si="15"/>
        <v>0</v>
      </c>
      <c r="K98" s="5">
        <f t="shared" ca="1" si="17"/>
        <v>0</v>
      </c>
      <c r="L98" s="24">
        <f t="shared" ca="1" si="18"/>
        <v>9.5890410958904102</v>
      </c>
    </row>
    <row r="99" spans="2:12" ht="13.25" hidden="1" customHeight="1" x14ac:dyDescent="0.3">
      <c r="B99" s="21"/>
      <c r="E99" s="5">
        <v>95</v>
      </c>
      <c r="F99" s="5">
        <f t="shared" ca="1" si="12"/>
        <v>0</v>
      </c>
      <c r="G99" s="5">
        <f t="shared" ca="1" si="13"/>
        <v>350</v>
      </c>
      <c r="H99" s="5">
        <f t="shared" ca="1" si="16"/>
        <v>350</v>
      </c>
      <c r="I99" s="5">
        <f t="shared" ca="1" si="14"/>
        <v>0</v>
      </c>
      <c r="J99" s="5">
        <f t="shared" ca="1" si="15"/>
        <v>0</v>
      </c>
      <c r="K99" s="5">
        <f t="shared" ca="1" si="17"/>
        <v>0</v>
      </c>
      <c r="L99" s="24">
        <f t="shared" ca="1" si="18"/>
        <v>9.5890410958904102</v>
      </c>
    </row>
    <row r="100" spans="2:12" ht="13.25" hidden="1" customHeight="1" x14ac:dyDescent="0.3">
      <c r="B100" s="21"/>
      <c r="E100" s="5">
        <v>96</v>
      </c>
      <c r="F100" s="5">
        <f t="shared" ca="1" si="12"/>
        <v>0</v>
      </c>
      <c r="G100" s="5">
        <f t="shared" ca="1" si="13"/>
        <v>350</v>
      </c>
      <c r="H100" s="5">
        <f t="shared" ca="1" si="16"/>
        <v>350</v>
      </c>
      <c r="I100" s="5">
        <f t="shared" ca="1" si="14"/>
        <v>0</v>
      </c>
      <c r="J100" s="5">
        <f t="shared" ca="1" si="15"/>
        <v>0</v>
      </c>
      <c r="K100" s="5">
        <f t="shared" ca="1" si="17"/>
        <v>0</v>
      </c>
      <c r="L100" s="24">
        <f t="shared" ca="1" si="18"/>
        <v>9.5890410958904102</v>
      </c>
    </row>
    <row r="101" spans="2:12" ht="13.25" hidden="1" customHeight="1" x14ac:dyDescent="0.3">
      <c r="B101" s="21"/>
      <c r="E101" s="5">
        <v>97</v>
      </c>
      <c r="F101" s="5">
        <f t="shared" ca="1" si="12"/>
        <v>0</v>
      </c>
      <c r="G101" s="5">
        <f t="shared" ca="1" si="13"/>
        <v>350</v>
      </c>
      <c r="H101" s="5">
        <f t="shared" ca="1" si="16"/>
        <v>350</v>
      </c>
      <c r="I101" s="5">
        <f t="shared" ca="1" si="14"/>
        <v>0</v>
      </c>
      <c r="J101" s="5">
        <f t="shared" ca="1" si="15"/>
        <v>0</v>
      </c>
      <c r="K101" s="5">
        <f t="shared" ca="1" si="17"/>
        <v>0</v>
      </c>
      <c r="L101" s="24">
        <f t="shared" ca="1" si="18"/>
        <v>9.5890410958904102</v>
      </c>
    </row>
    <row r="102" spans="2:12" ht="13.25" hidden="1" customHeight="1" x14ac:dyDescent="0.3">
      <c r="B102" s="21"/>
      <c r="E102" s="5">
        <v>98</v>
      </c>
      <c r="F102" s="5">
        <f t="shared" ca="1" si="12"/>
        <v>0</v>
      </c>
      <c r="G102" s="5">
        <f t="shared" ca="1" si="13"/>
        <v>350</v>
      </c>
      <c r="H102" s="5">
        <f t="shared" ca="1" si="16"/>
        <v>350</v>
      </c>
      <c r="I102" s="5">
        <f t="shared" ca="1" si="14"/>
        <v>0</v>
      </c>
      <c r="J102" s="5">
        <f t="shared" ca="1" si="15"/>
        <v>0</v>
      </c>
      <c r="K102" s="5">
        <f t="shared" ca="1" si="17"/>
        <v>0</v>
      </c>
      <c r="L102" s="24">
        <f t="shared" ca="1" si="18"/>
        <v>9.5890410958904102</v>
      </c>
    </row>
    <row r="103" spans="2:12" ht="13.25" hidden="1" customHeight="1" x14ac:dyDescent="0.3">
      <c r="B103" s="21"/>
      <c r="E103" s="5">
        <v>99</v>
      </c>
      <c r="F103" s="5">
        <f t="shared" ca="1" si="12"/>
        <v>0</v>
      </c>
      <c r="G103" s="5">
        <f t="shared" ca="1" si="13"/>
        <v>350</v>
      </c>
      <c r="H103" s="5">
        <f t="shared" ca="1" si="16"/>
        <v>350</v>
      </c>
      <c r="I103" s="5">
        <f t="shared" ca="1" si="14"/>
        <v>0</v>
      </c>
      <c r="J103" s="5">
        <f t="shared" ca="1" si="15"/>
        <v>0</v>
      </c>
      <c r="K103" s="5">
        <f t="shared" ca="1" si="17"/>
        <v>0</v>
      </c>
      <c r="L103" s="24">
        <f t="shared" ca="1" si="18"/>
        <v>9.5890410958904102</v>
      </c>
    </row>
    <row r="104" spans="2:12" ht="13.25" hidden="1" customHeight="1" x14ac:dyDescent="0.3">
      <c r="B104" s="21"/>
      <c r="E104" s="5">
        <v>100</v>
      </c>
      <c r="F104" s="5">
        <f t="shared" ca="1" si="12"/>
        <v>0</v>
      </c>
      <c r="G104" s="5">
        <f t="shared" ca="1" si="13"/>
        <v>350</v>
      </c>
      <c r="H104" s="5">
        <f t="shared" ca="1" si="16"/>
        <v>350</v>
      </c>
      <c r="I104" s="5">
        <f t="shared" ca="1" si="14"/>
        <v>0</v>
      </c>
      <c r="J104" s="5">
        <f t="shared" ca="1" si="15"/>
        <v>0</v>
      </c>
      <c r="K104" s="5">
        <f t="shared" ca="1" si="17"/>
        <v>0</v>
      </c>
      <c r="L104" s="24">
        <f t="shared" ca="1" si="18"/>
        <v>9.5890410958904102</v>
      </c>
    </row>
    <row r="105" spans="2:12" ht="13.25" hidden="1" customHeight="1" x14ac:dyDescent="0.3">
      <c r="B105" s="21"/>
      <c r="E105" s="5">
        <v>101</v>
      </c>
      <c r="F105" s="5">
        <f t="shared" ca="1" si="12"/>
        <v>0</v>
      </c>
      <c r="G105" s="5">
        <f t="shared" ca="1" si="13"/>
        <v>350</v>
      </c>
      <c r="H105" s="5">
        <f t="shared" ca="1" si="16"/>
        <v>350</v>
      </c>
      <c r="I105" s="5">
        <f t="shared" ca="1" si="14"/>
        <v>0</v>
      </c>
      <c r="J105" s="5">
        <f t="shared" ca="1" si="15"/>
        <v>0</v>
      </c>
      <c r="K105" s="5">
        <f t="shared" ca="1" si="17"/>
        <v>0</v>
      </c>
      <c r="L105" s="24">
        <f t="shared" ca="1" si="18"/>
        <v>9.5890410958904102</v>
      </c>
    </row>
    <row r="106" spans="2:12" ht="13.25" hidden="1" customHeight="1" x14ac:dyDescent="0.3">
      <c r="B106" s="21"/>
      <c r="E106" s="5">
        <v>102</v>
      </c>
      <c r="F106" s="5">
        <f t="shared" ca="1" si="12"/>
        <v>0</v>
      </c>
      <c r="G106" s="5">
        <f t="shared" ca="1" si="13"/>
        <v>350</v>
      </c>
      <c r="H106" s="5">
        <f t="shared" ca="1" si="16"/>
        <v>350</v>
      </c>
      <c r="I106" s="5">
        <f t="shared" ca="1" si="14"/>
        <v>0</v>
      </c>
      <c r="J106" s="5">
        <f t="shared" ca="1" si="15"/>
        <v>0</v>
      </c>
      <c r="K106" s="5">
        <f t="shared" ca="1" si="17"/>
        <v>0</v>
      </c>
      <c r="L106" s="24">
        <f t="shared" ca="1" si="18"/>
        <v>9.5890410958904102</v>
      </c>
    </row>
    <row r="107" spans="2:12" ht="13.25" hidden="1" customHeight="1" x14ac:dyDescent="0.3">
      <c r="B107" s="21"/>
      <c r="E107" s="5">
        <v>103</v>
      </c>
      <c r="F107" s="5">
        <f t="shared" ca="1" si="12"/>
        <v>100</v>
      </c>
      <c r="G107" s="5">
        <f t="shared" ca="1" si="13"/>
        <v>350</v>
      </c>
      <c r="H107" s="5">
        <f t="shared" ca="1" si="16"/>
        <v>250</v>
      </c>
      <c r="I107" s="5">
        <f t="shared" ca="1" si="14"/>
        <v>0</v>
      </c>
      <c r="J107" s="5">
        <f t="shared" ca="1" si="15"/>
        <v>0</v>
      </c>
      <c r="K107" s="5">
        <f t="shared" ca="1" si="17"/>
        <v>0</v>
      </c>
      <c r="L107" s="24">
        <f t="shared" ca="1" si="18"/>
        <v>6.8493150684931505</v>
      </c>
    </row>
    <row r="108" spans="2:12" ht="13.25" hidden="1" customHeight="1" x14ac:dyDescent="0.3">
      <c r="B108" s="21"/>
      <c r="E108" s="5">
        <v>104</v>
      </c>
      <c r="F108" s="5">
        <f t="shared" ca="1" si="12"/>
        <v>0</v>
      </c>
      <c r="G108" s="5">
        <f t="shared" ca="1" si="13"/>
        <v>250</v>
      </c>
      <c r="H108" s="5">
        <f t="shared" ca="1" si="16"/>
        <v>250</v>
      </c>
      <c r="I108" s="5">
        <f t="shared" ca="1" si="14"/>
        <v>0</v>
      </c>
      <c r="J108" s="5">
        <f t="shared" ca="1" si="15"/>
        <v>0</v>
      </c>
      <c r="K108" s="5">
        <f t="shared" ca="1" si="17"/>
        <v>0</v>
      </c>
      <c r="L108" s="24">
        <f t="shared" ca="1" si="18"/>
        <v>6.8493150684931505</v>
      </c>
    </row>
    <row r="109" spans="2:12" ht="13.25" hidden="1" customHeight="1" x14ac:dyDescent="0.3">
      <c r="B109" s="21"/>
      <c r="E109" s="5">
        <v>105</v>
      </c>
      <c r="F109" s="5">
        <f t="shared" ca="1" si="12"/>
        <v>0</v>
      </c>
      <c r="G109" s="5">
        <f t="shared" ca="1" si="13"/>
        <v>250</v>
      </c>
      <c r="H109" s="5">
        <f t="shared" ca="1" si="16"/>
        <v>250</v>
      </c>
      <c r="I109" s="5">
        <f t="shared" ca="1" si="14"/>
        <v>0</v>
      </c>
      <c r="J109" s="5">
        <f t="shared" ca="1" si="15"/>
        <v>0</v>
      </c>
      <c r="K109" s="5">
        <f t="shared" ca="1" si="17"/>
        <v>0</v>
      </c>
      <c r="L109" s="24">
        <f t="shared" ca="1" si="18"/>
        <v>6.8493150684931505</v>
      </c>
    </row>
    <row r="110" spans="2:12" ht="13.25" hidden="1" customHeight="1" x14ac:dyDescent="0.3">
      <c r="B110" s="21"/>
      <c r="E110" s="5">
        <v>106</v>
      </c>
      <c r="F110" s="5">
        <f t="shared" ca="1" si="12"/>
        <v>0</v>
      </c>
      <c r="G110" s="5">
        <f t="shared" ca="1" si="13"/>
        <v>250</v>
      </c>
      <c r="H110" s="5">
        <f t="shared" ca="1" si="16"/>
        <v>250</v>
      </c>
      <c r="I110" s="5">
        <f t="shared" ca="1" si="14"/>
        <v>0</v>
      </c>
      <c r="J110" s="5">
        <f t="shared" ca="1" si="15"/>
        <v>0</v>
      </c>
      <c r="K110" s="5">
        <f t="shared" ca="1" si="17"/>
        <v>0</v>
      </c>
      <c r="L110" s="24">
        <f t="shared" ca="1" si="18"/>
        <v>6.8493150684931505</v>
      </c>
    </row>
    <row r="111" spans="2:12" ht="13.25" hidden="1" customHeight="1" x14ac:dyDescent="0.3">
      <c r="B111" s="21"/>
      <c r="E111" s="5">
        <v>107</v>
      </c>
      <c r="F111" s="5">
        <f t="shared" ca="1" si="12"/>
        <v>0</v>
      </c>
      <c r="G111" s="5">
        <f t="shared" ca="1" si="13"/>
        <v>250</v>
      </c>
      <c r="H111" s="5">
        <f t="shared" ca="1" si="16"/>
        <v>250</v>
      </c>
      <c r="I111" s="5">
        <f t="shared" ca="1" si="14"/>
        <v>0</v>
      </c>
      <c r="J111" s="5">
        <f t="shared" ca="1" si="15"/>
        <v>0</v>
      </c>
      <c r="K111" s="5">
        <f t="shared" ca="1" si="17"/>
        <v>0</v>
      </c>
      <c r="L111" s="24">
        <f t="shared" ca="1" si="18"/>
        <v>6.8493150684931505</v>
      </c>
    </row>
    <row r="112" spans="2:12" ht="13.25" hidden="1" customHeight="1" x14ac:dyDescent="0.3">
      <c r="B112" s="21"/>
      <c r="E112" s="5">
        <v>108</v>
      </c>
      <c r="F112" s="5">
        <f t="shared" ca="1" si="12"/>
        <v>0</v>
      </c>
      <c r="G112" s="5">
        <f t="shared" ca="1" si="13"/>
        <v>250</v>
      </c>
      <c r="H112" s="5">
        <f t="shared" ca="1" si="16"/>
        <v>250</v>
      </c>
      <c r="I112" s="5">
        <f t="shared" ca="1" si="14"/>
        <v>0</v>
      </c>
      <c r="J112" s="5">
        <f t="shared" ca="1" si="15"/>
        <v>0</v>
      </c>
      <c r="K112" s="5">
        <f t="shared" ca="1" si="17"/>
        <v>0</v>
      </c>
      <c r="L112" s="24">
        <f t="shared" ca="1" si="18"/>
        <v>6.8493150684931505</v>
      </c>
    </row>
    <row r="113" spans="2:12" ht="13.25" hidden="1" customHeight="1" x14ac:dyDescent="0.3">
      <c r="B113" s="21"/>
      <c r="E113" s="5">
        <v>109</v>
      </c>
      <c r="F113" s="5">
        <f t="shared" ca="1" si="12"/>
        <v>0</v>
      </c>
      <c r="G113" s="5">
        <f t="shared" ca="1" si="13"/>
        <v>250</v>
      </c>
      <c r="H113" s="5">
        <f t="shared" ca="1" si="16"/>
        <v>250</v>
      </c>
      <c r="I113" s="5">
        <f t="shared" ca="1" si="14"/>
        <v>0</v>
      </c>
      <c r="J113" s="5">
        <f t="shared" ca="1" si="15"/>
        <v>0</v>
      </c>
      <c r="K113" s="5">
        <f t="shared" ca="1" si="17"/>
        <v>0</v>
      </c>
      <c r="L113" s="24">
        <f t="shared" ca="1" si="18"/>
        <v>6.8493150684931505</v>
      </c>
    </row>
    <row r="114" spans="2:12" ht="13.25" hidden="1" customHeight="1" x14ac:dyDescent="0.3">
      <c r="B114" s="21"/>
      <c r="E114" s="5">
        <v>110</v>
      </c>
      <c r="F114" s="5">
        <f t="shared" ca="1" si="12"/>
        <v>0</v>
      </c>
      <c r="G114" s="5">
        <f t="shared" ca="1" si="13"/>
        <v>250</v>
      </c>
      <c r="H114" s="5">
        <f t="shared" ca="1" si="16"/>
        <v>250</v>
      </c>
      <c r="I114" s="5">
        <f t="shared" ca="1" si="14"/>
        <v>0</v>
      </c>
      <c r="J114" s="5">
        <f t="shared" ca="1" si="15"/>
        <v>0</v>
      </c>
      <c r="K114" s="5">
        <f t="shared" ca="1" si="17"/>
        <v>0</v>
      </c>
      <c r="L114" s="24">
        <f t="shared" ca="1" si="18"/>
        <v>6.8493150684931505</v>
      </c>
    </row>
    <row r="115" spans="2:12" ht="13.25" hidden="1" customHeight="1" x14ac:dyDescent="0.3">
      <c r="B115" s="21"/>
      <c r="E115" s="5">
        <v>111</v>
      </c>
      <c r="F115" s="5">
        <f t="shared" ca="1" si="12"/>
        <v>110</v>
      </c>
      <c r="G115" s="5">
        <f t="shared" ca="1" si="13"/>
        <v>250</v>
      </c>
      <c r="H115" s="5">
        <f t="shared" ca="1" si="16"/>
        <v>140</v>
      </c>
      <c r="I115" s="5">
        <f t="shared" ca="1" si="14"/>
        <v>0</v>
      </c>
      <c r="J115" s="5">
        <f t="shared" ca="1" si="15"/>
        <v>0</v>
      </c>
      <c r="K115" s="5">
        <f t="shared" ca="1" si="17"/>
        <v>0</v>
      </c>
      <c r="L115" s="24">
        <f t="shared" ca="1" si="18"/>
        <v>3.8356164383561642</v>
      </c>
    </row>
    <row r="116" spans="2:12" ht="13.25" hidden="1" customHeight="1" x14ac:dyDescent="0.3">
      <c r="B116" s="21"/>
      <c r="E116" s="5">
        <v>112</v>
      </c>
      <c r="F116" s="5">
        <f t="shared" ca="1" si="12"/>
        <v>0</v>
      </c>
      <c r="G116" s="5">
        <f t="shared" ca="1" si="13"/>
        <v>140</v>
      </c>
      <c r="H116" s="5">
        <f t="shared" ca="1" si="16"/>
        <v>140</v>
      </c>
      <c r="I116" s="5">
        <f t="shared" ca="1" si="14"/>
        <v>0</v>
      </c>
      <c r="J116" s="5">
        <f t="shared" ca="1" si="15"/>
        <v>0</v>
      </c>
      <c r="K116" s="5">
        <f t="shared" ca="1" si="17"/>
        <v>0</v>
      </c>
      <c r="L116" s="24">
        <f t="shared" ca="1" si="18"/>
        <v>3.8356164383561642</v>
      </c>
    </row>
    <row r="117" spans="2:12" ht="13.25" hidden="1" customHeight="1" x14ac:dyDescent="0.3">
      <c r="B117" s="21"/>
      <c r="E117" s="5">
        <v>113</v>
      </c>
      <c r="F117" s="5">
        <f t="shared" ca="1" si="12"/>
        <v>90</v>
      </c>
      <c r="G117" s="5">
        <f t="shared" ca="1" si="13"/>
        <v>140</v>
      </c>
      <c r="H117" s="5">
        <f t="shared" ca="1" si="16"/>
        <v>50</v>
      </c>
      <c r="I117" s="5">
        <f t="shared" ca="1" si="14"/>
        <v>1</v>
      </c>
      <c r="J117" s="5">
        <f t="shared" ca="1" si="15"/>
        <v>0</v>
      </c>
      <c r="K117" s="5">
        <f t="shared" ca="1" si="17"/>
        <v>200</v>
      </c>
      <c r="L117" s="24">
        <f t="shared" ca="1" si="18"/>
        <v>1.3698630136986301</v>
      </c>
    </row>
    <row r="118" spans="2:12" ht="13.25" hidden="1" customHeight="1" x14ac:dyDescent="0.3">
      <c r="B118" s="21"/>
      <c r="E118" s="5">
        <v>114</v>
      </c>
      <c r="F118" s="5">
        <f t="shared" ca="1" si="12"/>
        <v>0</v>
      </c>
      <c r="G118" s="5">
        <f t="shared" ca="1" si="13"/>
        <v>1050</v>
      </c>
      <c r="H118" s="5">
        <f t="shared" ca="1" si="16"/>
        <v>1050</v>
      </c>
      <c r="I118" s="5">
        <f t="shared" ca="1" si="14"/>
        <v>0</v>
      </c>
      <c r="J118" s="5">
        <f t="shared" ca="1" si="15"/>
        <v>0</v>
      </c>
      <c r="K118" s="5">
        <f t="shared" ca="1" si="17"/>
        <v>0</v>
      </c>
      <c r="L118" s="24">
        <f t="shared" ca="1" si="18"/>
        <v>28.767123287671232</v>
      </c>
    </row>
    <row r="119" spans="2:12" ht="13.25" hidden="1" customHeight="1" x14ac:dyDescent="0.3">
      <c r="B119" s="21"/>
      <c r="E119" s="5">
        <v>115</v>
      </c>
      <c r="F119" s="5">
        <f t="shared" ca="1" si="12"/>
        <v>0</v>
      </c>
      <c r="G119" s="5">
        <f t="shared" ca="1" si="13"/>
        <v>1050</v>
      </c>
      <c r="H119" s="5">
        <f t="shared" ca="1" si="16"/>
        <v>1050</v>
      </c>
      <c r="I119" s="5">
        <f t="shared" ca="1" si="14"/>
        <v>0</v>
      </c>
      <c r="J119" s="5">
        <f t="shared" ca="1" si="15"/>
        <v>0</v>
      </c>
      <c r="K119" s="5">
        <f t="shared" ca="1" si="17"/>
        <v>0</v>
      </c>
      <c r="L119" s="24">
        <f t="shared" ca="1" si="18"/>
        <v>28.767123287671232</v>
      </c>
    </row>
    <row r="120" spans="2:12" ht="13.25" hidden="1" customHeight="1" x14ac:dyDescent="0.3">
      <c r="B120" s="21"/>
      <c r="E120" s="5">
        <v>116</v>
      </c>
      <c r="F120" s="5">
        <f t="shared" ca="1" si="12"/>
        <v>0</v>
      </c>
      <c r="G120" s="5">
        <f t="shared" ca="1" si="13"/>
        <v>1050</v>
      </c>
      <c r="H120" s="5">
        <f t="shared" ca="1" si="16"/>
        <v>1050</v>
      </c>
      <c r="I120" s="5">
        <f t="shared" ca="1" si="14"/>
        <v>0</v>
      </c>
      <c r="J120" s="5">
        <f t="shared" ca="1" si="15"/>
        <v>0</v>
      </c>
      <c r="K120" s="5">
        <f t="shared" ca="1" si="17"/>
        <v>0</v>
      </c>
      <c r="L120" s="24">
        <f t="shared" ca="1" si="18"/>
        <v>28.767123287671232</v>
      </c>
    </row>
    <row r="121" spans="2:12" ht="13.25" hidden="1" customHeight="1" x14ac:dyDescent="0.3">
      <c r="B121" s="21"/>
      <c r="E121" s="5">
        <v>117</v>
      </c>
      <c r="F121" s="5">
        <f t="shared" ca="1" si="12"/>
        <v>0</v>
      </c>
      <c r="G121" s="5">
        <f t="shared" ca="1" si="13"/>
        <v>1050</v>
      </c>
      <c r="H121" s="5">
        <f t="shared" ca="1" si="16"/>
        <v>1050</v>
      </c>
      <c r="I121" s="5">
        <f t="shared" ca="1" si="14"/>
        <v>0</v>
      </c>
      <c r="J121" s="5">
        <f t="shared" ca="1" si="15"/>
        <v>0</v>
      </c>
      <c r="K121" s="5">
        <f t="shared" ca="1" si="17"/>
        <v>0</v>
      </c>
      <c r="L121" s="24">
        <f t="shared" ca="1" si="18"/>
        <v>28.767123287671232</v>
      </c>
    </row>
    <row r="122" spans="2:12" ht="13.25" hidden="1" customHeight="1" x14ac:dyDescent="0.3">
      <c r="B122" s="21"/>
      <c r="E122" s="5">
        <v>118</v>
      </c>
      <c r="F122" s="5">
        <f t="shared" ca="1" si="12"/>
        <v>90</v>
      </c>
      <c r="G122" s="5">
        <f t="shared" ca="1" si="13"/>
        <v>1050</v>
      </c>
      <c r="H122" s="5">
        <f t="shared" ca="1" si="16"/>
        <v>960</v>
      </c>
      <c r="I122" s="5">
        <f t="shared" ca="1" si="14"/>
        <v>0</v>
      </c>
      <c r="J122" s="5">
        <f t="shared" ca="1" si="15"/>
        <v>0</v>
      </c>
      <c r="K122" s="5">
        <f t="shared" ca="1" si="17"/>
        <v>0</v>
      </c>
      <c r="L122" s="24">
        <f t="shared" ca="1" si="18"/>
        <v>26.301369863013697</v>
      </c>
    </row>
    <row r="123" spans="2:12" ht="13.25" hidden="1" customHeight="1" x14ac:dyDescent="0.3">
      <c r="B123" s="21"/>
      <c r="E123" s="5">
        <v>119</v>
      </c>
      <c r="F123" s="5">
        <f t="shared" ca="1" si="12"/>
        <v>0</v>
      </c>
      <c r="G123" s="5">
        <f t="shared" ca="1" si="13"/>
        <v>960</v>
      </c>
      <c r="H123" s="5">
        <f t="shared" ca="1" si="16"/>
        <v>960</v>
      </c>
      <c r="I123" s="5">
        <f t="shared" ca="1" si="14"/>
        <v>0</v>
      </c>
      <c r="J123" s="5">
        <f t="shared" ca="1" si="15"/>
        <v>0</v>
      </c>
      <c r="K123" s="5">
        <f t="shared" ca="1" si="17"/>
        <v>0</v>
      </c>
      <c r="L123" s="24">
        <f t="shared" ca="1" si="18"/>
        <v>26.301369863013697</v>
      </c>
    </row>
    <row r="124" spans="2:12" ht="13.25" hidden="1" customHeight="1" x14ac:dyDescent="0.3">
      <c r="B124" s="21"/>
      <c r="E124" s="5">
        <v>120</v>
      </c>
      <c r="F124" s="5">
        <f t="shared" ca="1" si="12"/>
        <v>110</v>
      </c>
      <c r="G124" s="5">
        <f t="shared" ca="1" si="13"/>
        <v>960</v>
      </c>
      <c r="H124" s="5">
        <f t="shared" ca="1" si="16"/>
        <v>850</v>
      </c>
      <c r="I124" s="5">
        <f t="shared" ca="1" si="14"/>
        <v>0</v>
      </c>
      <c r="J124" s="5">
        <f t="shared" ca="1" si="15"/>
        <v>0</v>
      </c>
      <c r="K124" s="5">
        <f t="shared" ca="1" si="17"/>
        <v>0</v>
      </c>
      <c r="L124" s="24">
        <f t="shared" ca="1" si="18"/>
        <v>23.287671232876711</v>
      </c>
    </row>
    <row r="125" spans="2:12" ht="13.25" hidden="1" customHeight="1" x14ac:dyDescent="0.3">
      <c r="B125" s="21"/>
      <c r="E125" s="5">
        <v>121</v>
      </c>
      <c r="F125" s="5">
        <f t="shared" ca="1" si="12"/>
        <v>0</v>
      </c>
      <c r="G125" s="5">
        <f t="shared" ca="1" si="13"/>
        <v>850</v>
      </c>
      <c r="H125" s="5">
        <f t="shared" ca="1" si="16"/>
        <v>850</v>
      </c>
      <c r="I125" s="5">
        <f t="shared" ca="1" si="14"/>
        <v>0</v>
      </c>
      <c r="J125" s="5">
        <f t="shared" ca="1" si="15"/>
        <v>0</v>
      </c>
      <c r="K125" s="5">
        <f t="shared" ca="1" si="17"/>
        <v>0</v>
      </c>
      <c r="L125" s="24">
        <f t="shared" ca="1" si="18"/>
        <v>23.287671232876711</v>
      </c>
    </row>
    <row r="126" spans="2:12" ht="13.25" hidden="1" customHeight="1" x14ac:dyDescent="0.3">
      <c r="B126" s="21"/>
      <c r="E126" s="5">
        <v>122</v>
      </c>
      <c r="F126" s="5">
        <f t="shared" ca="1" si="12"/>
        <v>0</v>
      </c>
      <c r="G126" s="5">
        <f t="shared" ca="1" si="13"/>
        <v>850</v>
      </c>
      <c r="H126" s="5">
        <f t="shared" ca="1" si="16"/>
        <v>850</v>
      </c>
      <c r="I126" s="5">
        <f t="shared" ca="1" si="14"/>
        <v>0</v>
      </c>
      <c r="J126" s="5">
        <f t="shared" ca="1" si="15"/>
        <v>0</v>
      </c>
      <c r="K126" s="5">
        <f t="shared" ca="1" si="17"/>
        <v>0</v>
      </c>
      <c r="L126" s="24">
        <f t="shared" ca="1" si="18"/>
        <v>23.287671232876711</v>
      </c>
    </row>
    <row r="127" spans="2:12" ht="13.25" hidden="1" customHeight="1" x14ac:dyDescent="0.3">
      <c r="B127" s="21"/>
      <c r="E127" s="5">
        <v>123</v>
      </c>
      <c r="F127" s="5">
        <f t="shared" ca="1" si="12"/>
        <v>0</v>
      </c>
      <c r="G127" s="5">
        <f t="shared" ca="1" si="13"/>
        <v>850</v>
      </c>
      <c r="H127" s="5">
        <f t="shared" ca="1" si="16"/>
        <v>850</v>
      </c>
      <c r="I127" s="5">
        <f t="shared" ca="1" si="14"/>
        <v>0</v>
      </c>
      <c r="J127" s="5">
        <f t="shared" ca="1" si="15"/>
        <v>0</v>
      </c>
      <c r="K127" s="5">
        <f t="shared" ca="1" si="17"/>
        <v>0</v>
      </c>
      <c r="L127" s="24">
        <f t="shared" ca="1" si="18"/>
        <v>23.287671232876711</v>
      </c>
    </row>
    <row r="128" spans="2:12" ht="13.25" hidden="1" customHeight="1" x14ac:dyDescent="0.3">
      <c r="B128" s="21"/>
      <c r="E128" s="5">
        <v>124</v>
      </c>
      <c r="F128" s="5">
        <f t="shared" ca="1" si="12"/>
        <v>90</v>
      </c>
      <c r="G128" s="5">
        <f t="shared" ca="1" si="13"/>
        <v>850</v>
      </c>
      <c r="H128" s="5">
        <f t="shared" ca="1" si="16"/>
        <v>760</v>
      </c>
      <c r="I128" s="5">
        <f t="shared" ca="1" si="14"/>
        <v>0</v>
      </c>
      <c r="J128" s="5">
        <f t="shared" ca="1" si="15"/>
        <v>0</v>
      </c>
      <c r="K128" s="5">
        <f t="shared" ca="1" si="17"/>
        <v>0</v>
      </c>
      <c r="L128" s="24">
        <f t="shared" ca="1" si="18"/>
        <v>20.821917808219176</v>
      </c>
    </row>
    <row r="129" spans="2:12" ht="13.25" hidden="1" customHeight="1" x14ac:dyDescent="0.3">
      <c r="B129" s="21"/>
      <c r="E129" s="5">
        <v>125</v>
      </c>
      <c r="F129" s="5">
        <f t="shared" ca="1" si="12"/>
        <v>0</v>
      </c>
      <c r="G129" s="5">
        <f t="shared" ca="1" si="13"/>
        <v>760</v>
      </c>
      <c r="H129" s="5">
        <f t="shared" ca="1" si="16"/>
        <v>760</v>
      </c>
      <c r="I129" s="5">
        <f t="shared" ca="1" si="14"/>
        <v>0</v>
      </c>
      <c r="J129" s="5">
        <f t="shared" ca="1" si="15"/>
        <v>0</v>
      </c>
      <c r="K129" s="5">
        <f t="shared" ca="1" si="17"/>
        <v>0</v>
      </c>
      <c r="L129" s="24">
        <f t="shared" ca="1" si="18"/>
        <v>20.821917808219176</v>
      </c>
    </row>
    <row r="130" spans="2:12" ht="13.25" hidden="1" customHeight="1" x14ac:dyDescent="0.3">
      <c r="B130" s="21"/>
      <c r="E130" s="5">
        <v>126</v>
      </c>
      <c r="F130" s="5">
        <f t="shared" ca="1" si="12"/>
        <v>110</v>
      </c>
      <c r="G130" s="5">
        <f t="shared" ca="1" si="13"/>
        <v>760</v>
      </c>
      <c r="H130" s="5">
        <f t="shared" ca="1" si="16"/>
        <v>650</v>
      </c>
      <c r="I130" s="5">
        <f t="shared" ca="1" si="14"/>
        <v>0</v>
      </c>
      <c r="J130" s="5">
        <f t="shared" ca="1" si="15"/>
        <v>0</v>
      </c>
      <c r="K130" s="5">
        <f t="shared" ca="1" si="17"/>
        <v>0</v>
      </c>
      <c r="L130" s="24">
        <f t="shared" ca="1" si="18"/>
        <v>17.80821917808219</v>
      </c>
    </row>
    <row r="131" spans="2:12" ht="13.25" hidden="1" customHeight="1" x14ac:dyDescent="0.3">
      <c r="B131" s="21"/>
      <c r="E131" s="5">
        <v>127</v>
      </c>
      <c r="F131" s="5">
        <f t="shared" ca="1" si="12"/>
        <v>120</v>
      </c>
      <c r="G131" s="5">
        <f t="shared" ca="1" si="13"/>
        <v>650</v>
      </c>
      <c r="H131" s="5">
        <f t="shared" ca="1" si="16"/>
        <v>530</v>
      </c>
      <c r="I131" s="5">
        <f t="shared" ca="1" si="14"/>
        <v>0</v>
      </c>
      <c r="J131" s="5">
        <f t="shared" ca="1" si="15"/>
        <v>0</v>
      </c>
      <c r="K131" s="5">
        <f t="shared" ca="1" si="17"/>
        <v>0</v>
      </c>
      <c r="L131" s="24">
        <f t="shared" ca="1" si="18"/>
        <v>14.520547945205479</v>
      </c>
    </row>
    <row r="132" spans="2:12" ht="13.25" hidden="1" customHeight="1" x14ac:dyDescent="0.3">
      <c r="B132" s="21"/>
      <c r="E132" s="5">
        <v>128</v>
      </c>
      <c r="F132" s="5">
        <f t="shared" ca="1" si="12"/>
        <v>0</v>
      </c>
      <c r="G132" s="5">
        <f t="shared" ca="1" si="13"/>
        <v>530</v>
      </c>
      <c r="H132" s="5">
        <f t="shared" ca="1" si="16"/>
        <v>530</v>
      </c>
      <c r="I132" s="5">
        <f t="shared" ca="1" si="14"/>
        <v>0</v>
      </c>
      <c r="J132" s="5">
        <f t="shared" ca="1" si="15"/>
        <v>0</v>
      </c>
      <c r="K132" s="5">
        <f t="shared" ca="1" si="17"/>
        <v>0</v>
      </c>
      <c r="L132" s="24">
        <f t="shared" ca="1" si="18"/>
        <v>14.520547945205479</v>
      </c>
    </row>
    <row r="133" spans="2:12" ht="13.25" hidden="1" customHeight="1" x14ac:dyDescent="0.3">
      <c r="B133" s="21"/>
      <c r="E133" s="5">
        <v>129</v>
      </c>
      <c r="F133" s="5">
        <f t="shared" ref="F133:F196" ca="1" si="19">INDEX($Q$18:$Q$22,MATCH(RAND(),$S$17:$S$22,1))</f>
        <v>0</v>
      </c>
      <c r="G133" s="5">
        <f t="shared" ref="G133:G196" ca="1" si="20">H132+$C$9*I132</f>
        <v>530</v>
      </c>
      <c r="H133" s="5">
        <f t="shared" ca="1" si="16"/>
        <v>530</v>
      </c>
      <c r="I133" s="5">
        <f t="shared" ref="I133:I196" ca="1" si="21">IF(H133&lt;$C$3,1,0)</f>
        <v>0</v>
      </c>
      <c r="J133" s="5">
        <f t="shared" ref="J133:J196" ca="1" si="22">IF(G133&lt;F133,1,0)</f>
        <v>0</v>
      </c>
      <c r="K133" s="5">
        <f t="shared" ca="1" si="17"/>
        <v>0</v>
      </c>
      <c r="L133" s="24">
        <f t="shared" ca="1" si="18"/>
        <v>14.520547945205479</v>
      </c>
    </row>
    <row r="134" spans="2:12" ht="13.25" hidden="1" customHeight="1" x14ac:dyDescent="0.3">
      <c r="B134" s="21"/>
      <c r="E134" s="5">
        <v>130</v>
      </c>
      <c r="F134" s="5">
        <f t="shared" ca="1" si="19"/>
        <v>0</v>
      </c>
      <c r="G134" s="5">
        <f t="shared" ca="1" si="20"/>
        <v>530</v>
      </c>
      <c r="H134" s="5">
        <f t="shared" ref="H134:H197" ca="1" si="23">IF(G134-F134&gt;0,G134-F134,0)</f>
        <v>530</v>
      </c>
      <c r="I134" s="5">
        <f t="shared" ca="1" si="21"/>
        <v>0</v>
      </c>
      <c r="J134" s="5">
        <f t="shared" ca="1" si="22"/>
        <v>0</v>
      </c>
      <c r="K134" s="5">
        <f t="shared" ref="K134:K197" ca="1" si="24">I134*$C$4</f>
        <v>0</v>
      </c>
      <c r="L134" s="24">
        <f t="shared" ref="L134:L197" ca="1" si="25">H134*$C$7</f>
        <v>14.520547945205479</v>
      </c>
    </row>
    <row r="135" spans="2:12" ht="13.25" hidden="1" customHeight="1" x14ac:dyDescent="0.3">
      <c r="B135" s="21"/>
      <c r="E135" s="5">
        <v>131</v>
      </c>
      <c r="F135" s="5">
        <f t="shared" ca="1" si="19"/>
        <v>0</v>
      </c>
      <c r="G135" s="5">
        <f t="shared" ca="1" si="20"/>
        <v>530</v>
      </c>
      <c r="H135" s="5">
        <f t="shared" ca="1" si="23"/>
        <v>530</v>
      </c>
      <c r="I135" s="5">
        <f t="shared" ca="1" si="21"/>
        <v>0</v>
      </c>
      <c r="J135" s="5">
        <f t="shared" ca="1" si="22"/>
        <v>0</v>
      </c>
      <c r="K135" s="5">
        <f t="shared" ca="1" si="24"/>
        <v>0</v>
      </c>
      <c r="L135" s="24">
        <f t="shared" ca="1" si="25"/>
        <v>14.520547945205479</v>
      </c>
    </row>
    <row r="136" spans="2:12" ht="13.25" hidden="1" customHeight="1" x14ac:dyDescent="0.3">
      <c r="B136" s="21"/>
      <c r="E136" s="5">
        <v>132</v>
      </c>
      <c r="F136" s="5">
        <f t="shared" ca="1" si="19"/>
        <v>0</v>
      </c>
      <c r="G136" s="5">
        <f t="shared" ca="1" si="20"/>
        <v>530</v>
      </c>
      <c r="H136" s="5">
        <f t="shared" ca="1" si="23"/>
        <v>530</v>
      </c>
      <c r="I136" s="5">
        <f t="shared" ca="1" si="21"/>
        <v>0</v>
      </c>
      <c r="J136" s="5">
        <f t="shared" ca="1" si="22"/>
        <v>0</v>
      </c>
      <c r="K136" s="5">
        <f t="shared" ca="1" si="24"/>
        <v>0</v>
      </c>
      <c r="L136" s="24">
        <f t="shared" ca="1" si="25"/>
        <v>14.520547945205479</v>
      </c>
    </row>
    <row r="137" spans="2:12" ht="13.25" hidden="1" customHeight="1" x14ac:dyDescent="0.3">
      <c r="B137" s="21"/>
      <c r="E137" s="5">
        <v>133</v>
      </c>
      <c r="F137" s="5">
        <f t="shared" ca="1" si="19"/>
        <v>100</v>
      </c>
      <c r="G137" s="5">
        <f t="shared" ca="1" si="20"/>
        <v>530</v>
      </c>
      <c r="H137" s="5">
        <f t="shared" ca="1" si="23"/>
        <v>430</v>
      </c>
      <c r="I137" s="5">
        <f t="shared" ca="1" si="21"/>
        <v>0</v>
      </c>
      <c r="J137" s="5">
        <f t="shared" ca="1" si="22"/>
        <v>0</v>
      </c>
      <c r="K137" s="5">
        <f t="shared" ca="1" si="24"/>
        <v>0</v>
      </c>
      <c r="L137" s="24">
        <f t="shared" ca="1" si="25"/>
        <v>11.780821917808218</v>
      </c>
    </row>
    <row r="138" spans="2:12" ht="13.25" hidden="1" customHeight="1" x14ac:dyDescent="0.3">
      <c r="B138" s="21"/>
      <c r="E138" s="5">
        <v>134</v>
      </c>
      <c r="F138" s="5">
        <f t="shared" ca="1" si="19"/>
        <v>0</v>
      </c>
      <c r="G138" s="5">
        <f t="shared" ca="1" si="20"/>
        <v>430</v>
      </c>
      <c r="H138" s="5">
        <f t="shared" ca="1" si="23"/>
        <v>430</v>
      </c>
      <c r="I138" s="5">
        <f t="shared" ca="1" si="21"/>
        <v>0</v>
      </c>
      <c r="J138" s="5">
        <f t="shared" ca="1" si="22"/>
        <v>0</v>
      </c>
      <c r="K138" s="5">
        <f t="shared" ca="1" si="24"/>
        <v>0</v>
      </c>
      <c r="L138" s="24">
        <f t="shared" ca="1" si="25"/>
        <v>11.780821917808218</v>
      </c>
    </row>
    <row r="139" spans="2:12" ht="13.25" hidden="1" customHeight="1" x14ac:dyDescent="0.3">
      <c r="B139" s="21"/>
      <c r="E139" s="5">
        <v>135</v>
      </c>
      <c r="F139" s="5">
        <f t="shared" ca="1" si="19"/>
        <v>0</v>
      </c>
      <c r="G139" s="5">
        <f t="shared" ca="1" si="20"/>
        <v>430</v>
      </c>
      <c r="H139" s="5">
        <f t="shared" ca="1" si="23"/>
        <v>430</v>
      </c>
      <c r="I139" s="5">
        <f t="shared" ca="1" si="21"/>
        <v>0</v>
      </c>
      <c r="J139" s="5">
        <f t="shared" ca="1" si="22"/>
        <v>0</v>
      </c>
      <c r="K139" s="5">
        <f t="shared" ca="1" si="24"/>
        <v>0</v>
      </c>
      <c r="L139" s="24">
        <f t="shared" ca="1" si="25"/>
        <v>11.780821917808218</v>
      </c>
    </row>
    <row r="140" spans="2:12" ht="13.25" hidden="1" customHeight="1" x14ac:dyDescent="0.3">
      <c r="B140" s="21"/>
      <c r="E140" s="5">
        <v>136</v>
      </c>
      <c r="F140" s="5">
        <f t="shared" ca="1" si="19"/>
        <v>0</v>
      </c>
      <c r="G140" s="5">
        <f t="shared" ca="1" si="20"/>
        <v>430</v>
      </c>
      <c r="H140" s="5">
        <f t="shared" ca="1" si="23"/>
        <v>430</v>
      </c>
      <c r="I140" s="5">
        <f t="shared" ca="1" si="21"/>
        <v>0</v>
      </c>
      <c r="J140" s="5">
        <f t="shared" ca="1" si="22"/>
        <v>0</v>
      </c>
      <c r="K140" s="5">
        <f t="shared" ca="1" si="24"/>
        <v>0</v>
      </c>
      <c r="L140" s="24">
        <f t="shared" ca="1" si="25"/>
        <v>11.780821917808218</v>
      </c>
    </row>
    <row r="141" spans="2:12" ht="13.25" hidden="1" customHeight="1" x14ac:dyDescent="0.3">
      <c r="B141" s="21"/>
      <c r="E141" s="5">
        <v>137</v>
      </c>
      <c r="F141" s="5">
        <f t="shared" ca="1" si="19"/>
        <v>0</v>
      </c>
      <c r="G141" s="5">
        <f t="shared" ca="1" si="20"/>
        <v>430</v>
      </c>
      <c r="H141" s="5">
        <f t="shared" ca="1" si="23"/>
        <v>430</v>
      </c>
      <c r="I141" s="5">
        <f t="shared" ca="1" si="21"/>
        <v>0</v>
      </c>
      <c r="J141" s="5">
        <f t="shared" ca="1" si="22"/>
        <v>0</v>
      </c>
      <c r="K141" s="5">
        <f t="shared" ca="1" si="24"/>
        <v>0</v>
      </c>
      <c r="L141" s="24">
        <f t="shared" ca="1" si="25"/>
        <v>11.780821917808218</v>
      </c>
    </row>
    <row r="142" spans="2:12" ht="13.25" hidden="1" customHeight="1" x14ac:dyDescent="0.3">
      <c r="B142" s="21"/>
      <c r="E142" s="5">
        <v>138</v>
      </c>
      <c r="F142" s="5">
        <f t="shared" ca="1" si="19"/>
        <v>0</v>
      </c>
      <c r="G142" s="5">
        <f t="shared" ca="1" si="20"/>
        <v>430</v>
      </c>
      <c r="H142" s="5">
        <f t="shared" ca="1" si="23"/>
        <v>430</v>
      </c>
      <c r="I142" s="5">
        <f t="shared" ca="1" si="21"/>
        <v>0</v>
      </c>
      <c r="J142" s="5">
        <f t="shared" ca="1" si="22"/>
        <v>0</v>
      </c>
      <c r="K142" s="5">
        <f t="shared" ca="1" si="24"/>
        <v>0</v>
      </c>
      <c r="L142" s="24">
        <f t="shared" ca="1" si="25"/>
        <v>11.780821917808218</v>
      </c>
    </row>
    <row r="143" spans="2:12" ht="13.25" hidden="1" customHeight="1" x14ac:dyDescent="0.3">
      <c r="B143" s="21"/>
      <c r="E143" s="5">
        <v>139</v>
      </c>
      <c r="F143" s="5">
        <f t="shared" ca="1" si="19"/>
        <v>90</v>
      </c>
      <c r="G143" s="5">
        <f t="shared" ca="1" si="20"/>
        <v>430</v>
      </c>
      <c r="H143" s="5">
        <f t="shared" ca="1" si="23"/>
        <v>340</v>
      </c>
      <c r="I143" s="5">
        <f t="shared" ca="1" si="21"/>
        <v>0</v>
      </c>
      <c r="J143" s="5">
        <f t="shared" ca="1" si="22"/>
        <v>0</v>
      </c>
      <c r="K143" s="5">
        <f t="shared" ca="1" si="24"/>
        <v>0</v>
      </c>
      <c r="L143" s="24">
        <f t="shared" ca="1" si="25"/>
        <v>9.3150684931506849</v>
      </c>
    </row>
    <row r="144" spans="2:12" ht="13.25" hidden="1" customHeight="1" x14ac:dyDescent="0.3">
      <c r="B144" s="21"/>
      <c r="E144" s="5">
        <v>140</v>
      </c>
      <c r="F144" s="5">
        <f t="shared" ca="1" si="19"/>
        <v>0</v>
      </c>
      <c r="G144" s="5">
        <f t="shared" ca="1" si="20"/>
        <v>340</v>
      </c>
      <c r="H144" s="5">
        <f t="shared" ca="1" si="23"/>
        <v>340</v>
      </c>
      <c r="I144" s="5">
        <f t="shared" ca="1" si="21"/>
        <v>0</v>
      </c>
      <c r="J144" s="5">
        <f t="shared" ca="1" si="22"/>
        <v>0</v>
      </c>
      <c r="K144" s="5">
        <f t="shared" ca="1" si="24"/>
        <v>0</v>
      </c>
      <c r="L144" s="24">
        <f t="shared" ca="1" si="25"/>
        <v>9.3150684931506849</v>
      </c>
    </row>
    <row r="145" spans="2:12" ht="13.25" hidden="1" customHeight="1" x14ac:dyDescent="0.3">
      <c r="B145" s="21"/>
      <c r="E145" s="5">
        <v>141</v>
      </c>
      <c r="F145" s="5">
        <f t="shared" ca="1" si="19"/>
        <v>100</v>
      </c>
      <c r="G145" s="5">
        <f t="shared" ca="1" si="20"/>
        <v>340</v>
      </c>
      <c r="H145" s="5">
        <f t="shared" ca="1" si="23"/>
        <v>240</v>
      </c>
      <c r="I145" s="5">
        <f t="shared" ca="1" si="21"/>
        <v>0</v>
      </c>
      <c r="J145" s="5">
        <f t="shared" ca="1" si="22"/>
        <v>0</v>
      </c>
      <c r="K145" s="5">
        <f t="shared" ca="1" si="24"/>
        <v>0</v>
      </c>
      <c r="L145" s="24">
        <f t="shared" ca="1" si="25"/>
        <v>6.5753424657534243</v>
      </c>
    </row>
    <row r="146" spans="2:12" ht="13.25" hidden="1" customHeight="1" x14ac:dyDescent="0.3">
      <c r="B146" s="21"/>
      <c r="E146" s="5">
        <v>142</v>
      </c>
      <c r="F146" s="5">
        <f t="shared" ca="1" si="19"/>
        <v>110</v>
      </c>
      <c r="G146" s="5">
        <f t="shared" ca="1" si="20"/>
        <v>240</v>
      </c>
      <c r="H146" s="5">
        <f t="shared" ca="1" si="23"/>
        <v>130</v>
      </c>
      <c r="I146" s="5">
        <f t="shared" ca="1" si="21"/>
        <v>0</v>
      </c>
      <c r="J146" s="5">
        <f t="shared" ca="1" si="22"/>
        <v>0</v>
      </c>
      <c r="K146" s="5">
        <f t="shared" ca="1" si="24"/>
        <v>0</v>
      </c>
      <c r="L146" s="24">
        <f t="shared" ca="1" si="25"/>
        <v>3.5616438356164384</v>
      </c>
    </row>
    <row r="147" spans="2:12" ht="13.25" hidden="1" customHeight="1" x14ac:dyDescent="0.3">
      <c r="B147" s="21"/>
      <c r="E147" s="5">
        <v>143</v>
      </c>
      <c r="F147" s="5">
        <f t="shared" ca="1" si="19"/>
        <v>0</v>
      </c>
      <c r="G147" s="5">
        <f t="shared" ca="1" si="20"/>
        <v>130</v>
      </c>
      <c r="H147" s="5">
        <f t="shared" ca="1" si="23"/>
        <v>130</v>
      </c>
      <c r="I147" s="5">
        <f t="shared" ca="1" si="21"/>
        <v>0</v>
      </c>
      <c r="J147" s="5">
        <f t="shared" ca="1" si="22"/>
        <v>0</v>
      </c>
      <c r="K147" s="5">
        <f t="shared" ca="1" si="24"/>
        <v>0</v>
      </c>
      <c r="L147" s="24">
        <f t="shared" ca="1" si="25"/>
        <v>3.5616438356164384</v>
      </c>
    </row>
    <row r="148" spans="2:12" ht="13.25" hidden="1" customHeight="1" x14ac:dyDescent="0.3">
      <c r="B148" s="21"/>
      <c r="E148" s="5">
        <v>144</v>
      </c>
      <c r="F148" s="5">
        <f t="shared" ca="1" si="19"/>
        <v>120</v>
      </c>
      <c r="G148" s="5">
        <f t="shared" ca="1" si="20"/>
        <v>130</v>
      </c>
      <c r="H148" s="5">
        <f t="shared" ca="1" si="23"/>
        <v>10</v>
      </c>
      <c r="I148" s="5">
        <f t="shared" ca="1" si="21"/>
        <v>1</v>
      </c>
      <c r="J148" s="5">
        <f t="shared" ca="1" si="22"/>
        <v>0</v>
      </c>
      <c r="K148" s="5">
        <f t="shared" ca="1" si="24"/>
        <v>200</v>
      </c>
      <c r="L148" s="24">
        <f t="shared" ca="1" si="25"/>
        <v>0.27397260273972601</v>
      </c>
    </row>
    <row r="149" spans="2:12" ht="13.25" hidden="1" customHeight="1" x14ac:dyDescent="0.3">
      <c r="B149" s="21"/>
      <c r="E149" s="5">
        <v>145</v>
      </c>
      <c r="F149" s="5">
        <f t="shared" ca="1" si="19"/>
        <v>0</v>
      </c>
      <c r="G149" s="5">
        <f t="shared" ca="1" si="20"/>
        <v>1010</v>
      </c>
      <c r="H149" s="5">
        <f t="shared" ca="1" si="23"/>
        <v>1010</v>
      </c>
      <c r="I149" s="5">
        <f t="shared" ca="1" si="21"/>
        <v>0</v>
      </c>
      <c r="J149" s="5">
        <f t="shared" ca="1" si="22"/>
        <v>0</v>
      </c>
      <c r="K149" s="5">
        <f t="shared" ca="1" si="24"/>
        <v>0</v>
      </c>
      <c r="L149" s="24">
        <f t="shared" ca="1" si="25"/>
        <v>27.671232876712327</v>
      </c>
    </row>
    <row r="150" spans="2:12" ht="13.25" hidden="1" customHeight="1" x14ac:dyDescent="0.3">
      <c r="B150" s="21"/>
      <c r="E150" s="5">
        <v>146</v>
      </c>
      <c r="F150" s="5">
        <f t="shared" ca="1" si="19"/>
        <v>0</v>
      </c>
      <c r="G150" s="5">
        <f t="shared" ca="1" si="20"/>
        <v>1010</v>
      </c>
      <c r="H150" s="5">
        <f t="shared" ca="1" si="23"/>
        <v>1010</v>
      </c>
      <c r="I150" s="5">
        <f t="shared" ca="1" si="21"/>
        <v>0</v>
      </c>
      <c r="J150" s="5">
        <f t="shared" ca="1" si="22"/>
        <v>0</v>
      </c>
      <c r="K150" s="5">
        <f t="shared" ca="1" si="24"/>
        <v>0</v>
      </c>
      <c r="L150" s="24">
        <f t="shared" ca="1" si="25"/>
        <v>27.671232876712327</v>
      </c>
    </row>
    <row r="151" spans="2:12" ht="13.25" hidden="1" customHeight="1" x14ac:dyDescent="0.3">
      <c r="B151" s="21"/>
      <c r="E151" s="5">
        <v>147</v>
      </c>
      <c r="F151" s="5">
        <f t="shared" ca="1" si="19"/>
        <v>90</v>
      </c>
      <c r="G151" s="5">
        <f t="shared" ca="1" si="20"/>
        <v>1010</v>
      </c>
      <c r="H151" s="5">
        <f t="shared" ca="1" si="23"/>
        <v>920</v>
      </c>
      <c r="I151" s="5">
        <f t="shared" ca="1" si="21"/>
        <v>0</v>
      </c>
      <c r="J151" s="5">
        <f t="shared" ca="1" si="22"/>
        <v>0</v>
      </c>
      <c r="K151" s="5">
        <f t="shared" ca="1" si="24"/>
        <v>0</v>
      </c>
      <c r="L151" s="24">
        <f t="shared" ca="1" si="25"/>
        <v>25.205479452054792</v>
      </c>
    </row>
    <row r="152" spans="2:12" ht="13.25" hidden="1" customHeight="1" x14ac:dyDescent="0.3">
      <c r="B152" s="21"/>
      <c r="E152" s="5">
        <v>148</v>
      </c>
      <c r="F152" s="5">
        <f t="shared" ca="1" si="19"/>
        <v>0</v>
      </c>
      <c r="G152" s="5">
        <f t="shared" ca="1" si="20"/>
        <v>920</v>
      </c>
      <c r="H152" s="5">
        <f t="shared" ca="1" si="23"/>
        <v>920</v>
      </c>
      <c r="I152" s="5">
        <f t="shared" ca="1" si="21"/>
        <v>0</v>
      </c>
      <c r="J152" s="5">
        <f t="shared" ca="1" si="22"/>
        <v>0</v>
      </c>
      <c r="K152" s="5">
        <f t="shared" ca="1" si="24"/>
        <v>0</v>
      </c>
      <c r="L152" s="24">
        <f t="shared" ca="1" si="25"/>
        <v>25.205479452054792</v>
      </c>
    </row>
    <row r="153" spans="2:12" ht="13.25" hidden="1" customHeight="1" x14ac:dyDescent="0.3">
      <c r="B153" s="21"/>
      <c r="E153" s="5">
        <v>149</v>
      </c>
      <c r="F153" s="5">
        <f t="shared" ca="1" si="19"/>
        <v>0</v>
      </c>
      <c r="G153" s="5">
        <f t="shared" ca="1" si="20"/>
        <v>920</v>
      </c>
      <c r="H153" s="5">
        <f t="shared" ca="1" si="23"/>
        <v>920</v>
      </c>
      <c r="I153" s="5">
        <f t="shared" ca="1" si="21"/>
        <v>0</v>
      </c>
      <c r="J153" s="5">
        <f t="shared" ca="1" si="22"/>
        <v>0</v>
      </c>
      <c r="K153" s="5">
        <f t="shared" ca="1" si="24"/>
        <v>0</v>
      </c>
      <c r="L153" s="24">
        <f t="shared" ca="1" si="25"/>
        <v>25.205479452054792</v>
      </c>
    </row>
    <row r="154" spans="2:12" ht="13.25" hidden="1" customHeight="1" x14ac:dyDescent="0.3">
      <c r="B154" s="21"/>
      <c r="E154" s="5">
        <v>150</v>
      </c>
      <c r="F154" s="5">
        <f t="shared" ca="1" si="19"/>
        <v>0</v>
      </c>
      <c r="G154" s="5">
        <f t="shared" ca="1" si="20"/>
        <v>920</v>
      </c>
      <c r="H154" s="5">
        <f t="shared" ca="1" si="23"/>
        <v>920</v>
      </c>
      <c r="I154" s="5">
        <f t="shared" ca="1" si="21"/>
        <v>0</v>
      </c>
      <c r="J154" s="5">
        <f t="shared" ca="1" si="22"/>
        <v>0</v>
      </c>
      <c r="K154" s="5">
        <f t="shared" ca="1" si="24"/>
        <v>0</v>
      </c>
      <c r="L154" s="24">
        <f t="shared" ca="1" si="25"/>
        <v>25.205479452054792</v>
      </c>
    </row>
    <row r="155" spans="2:12" ht="13.25" hidden="1" customHeight="1" x14ac:dyDescent="0.3">
      <c r="B155" s="21"/>
      <c r="E155" s="5">
        <v>151</v>
      </c>
      <c r="F155" s="5">
        <f t="shared" ca="1" si="19"/>
        <v>0</v>
      </c>
      <c r="G155" s="5">
        <f t="shared" ca="1" si="20"/>
        <v>920</v>
      </c>
      <c r="H155" s="5">
        <f t="shared" ca="1" si="23"/>
        <v>920</v>
      </c>
      <c r="I155" s="5">
        <f t="shared" ca="1" si="21"/>
        <v>0</v>
      </c>
      <c r="J155" s="5">
        <f t="shared" ca="1" si="22"/>
        <v>0</v>
      </c>
      <c r="K155" s="5">
        <f t="shared" ca="1" si="24"/>
        <v>0</v>
      </c>
      <c r="L155" s="24">
        <f t="shared" ca="1" si="25"/>
        <v>25.205479452054792</v>
      </c>
    </row>
    <row r="156" spans="2:12" ht="13.25" hidden="1" customHeight="1" x14ac:dyDescent="0.3">
      <c r="B156" s="21"/>
      <c r="E156" s="5">
        <v>152</v>
      </c>
      <c r="F156" s="5">
        <f t="shared" ca="1" si="19"/>
        <v>100</v>
      </c>
      <c r="G156" s="5">
        <f t="shared" ca="1" si="20"/>
        <v>920</v>
      </c>
      <c r="H156" s="5">
        <f t="shared" ca="1" si="23"/>
        <v>820</v>
      </c>
      <c r="I156" s="5">
        <f t="shared" ca="1" si="21"/>
        <v>0</v>
      </c>
      <c r="J156" s="5">
        <f t="shared" ca="1" si="22"/>
        <v>0</v>
      </c>
      <c r="K156" s="5">
        <f t="shared" ca="1" si="24"/>
        <v>0</v>
      </c>
      <c r="L156" s="24">
        <f t="shared" ca="1" si="25"/>
        <v>22.465753424657532</v>
      </c>
    </row>
    <row r="157" spans="2:12" ht="13.25" hidden="1" customHeight="1" x14ac:dyDescent="0.3">
      <c r="B157" s="21"/>
      <c r="E157" s="5">
        <v>153</v>
      </c>
      <c r="F157" s="5">
        <f t="shared" ca="1" si="19"/>
        <v>0</v>
      </c>
      <c r="G157" s="5">
        <f t="shared" ca="1" si="20"/>
        <v>820</v>
      </c>
      <c r="H157" s="5">
        <f t="shared" ca="1" si="23"/>
        <v>820</v>
      </c>
      <c r="I157" s="5">
        <f t="shared" ca="1" si="21"/>
        <v>0</v>
      </c>
      <c r="J157" s="5">
        <f t="shared" ca="1" si="22"/>
        <v>0</v>
      </c>
      <c r="K157" s="5">
        <f t="shared" ca="1" si="24"/>
        <v>0</v>
      </c>
      <c r="L157" s="24">
        <f t="shared" ca="1" si="25"/>
        <v>22.465753424657532</v>
      </c>
    </row>
    <row r="158" spans="2:12" ht="13.25" hidden="1" customHeight="1" x14ac:dyDescent="0.3">
      <c r="B158" s="21"/>
      <c r="E158" s="5">
        <v>154</v>
      </c>
      <c r="F158" s="5">
        <f t="shared" ca="1" si="19"/>
        <v>0</v>
      </c>
      <c r="G158" s="5">
        <f t="shared" ca="1" si="20"/>
        <v>820</v>
      </c>
      <c r="H158" s="5">
        <f t="shared" ca="1" si="23"/>
        <v>820</v>
      </c>
      <c r="I158" s="5">
        <f t="shared" ca="1" si="21"/>
        <v>0</v>
      </c>
      <c r="J158" s="5">
        <f t="shared" ca="1" si="22"/>
        <v>0</v>
      </c>
      <c r="K158" s="5">
        <f t="shared" ca="1" si="24"/>
        <v>0</v>
      </c>
      <c r="L158" s="24">
        <f t="shared" ca="1" si="25"/>
        <v>22.465753424657532</v>
      </c>
    </row>
    <row r="159" spans="2:12" ht="13.25" hidden="1" customHeight="1" x14ac:dyDescent="0.3">
      <c r="B159" s="21"/>
      <c r="E159" s="5">
        <v>155</v>
      </c>
      <c r="F159" s="5">
        <f t="shared" ca="1" si="19"/>
        <v>90</v>
      </c>
      <c r="G159" s="5">
        <f t="shared" ca="1" si="20"/>
        <v>820</v>
      </c>
      <c r="H159" s="5">
        <f t="shared" ca="1" si="23"/>
        <v>730</v>
      </c>
      <c r="I159" s="5">
        <f t="shared" ca="1" si="21"/>
        <v>0</v>
      </c>
      <c r="J159" s="5">
        <f t="shared" ca="1" si="22"/>
        <v>0</v>
      </c>
      <c r="K159" s="5">
        <f t="shared" ca="1" si="24"/>
        <v>0</v>
      </c>
      <c r="L159" s="24">
        <f t="shared" ca="1" si="25"/>
        <v>20</v>
      </c>
    </row>
    <row r="160" spans="2:12" ht="13.25" hidden="1" customHeight="1" x14ac:dyDescent="0.3">
      <c r="B160" s="21"/>
      <c r="E160" s="5">
        <v>156</v>
      </c>
      <c r="F160" s="5">
        <f t="shared" ca="1" si="19"/>
        <v>0</v>
      </c>
      <c r="G160" s="5">
        <f t="shared" ca="1" si="20"/>
        <v>730</v>
      </c>
      <c r="H160" s="5">
        <f t="shared" ca="1" si="23"/>
        <v>730</v>
      </c>
      <c r="I160" s="5">
        <f t="shared" ca="1" si="21"/>
        <v>0</v>
      </c>
      <c r="J160" s="5">
        <f t="shared" ca="1" si="22"/>
        <v>0</v>
      </c>
      <c r="K160" s="5">
        <f t="shared" ca="1" si="24"/>
        <v>0</v>
      </c>
      <c r="L160" s="24">
        <f t="shared" ca="1" si="25"/>
        <v>20</v>
      </c>
    </row>
    <row r="161" spans="2:12" ht="13.25" hidden="1" customHeight="1" x14ac:dyDescent="0.3">
      <c r="B161" s="21"/>
      <c r="E161" s="5">
        <v>157</v>
      </c>
      <c r="F161" s="5">
        <f t="shared" ca="1" si="19"/>
        <v>110</v>
      </c>
      <c r="G161" s="5">
        <f t="shared" ca="1" si="20"/>
        <v>730</v>
      </c>
      <c r="H161" s="5">
        <f t="shared" ca="1" si="23"/>
        <v>620</v>
      </c>
      <c r="I161" s="5">
        <f t="shared" ca="1" si="21"/>
        <v>0</v>
      </c>
      <c r="J161" s="5">
        <f t="shared" ca="1" si="22"/>
        <v>0</v>
      </c>
      <c r="K161" s="5">
        <f t="shared" ca="1" si="24"/>
        <v>0</v>
      </c>
      <c r="L161" s="24">
        <f t="shared" ca="1" si="25"/>
        <v>16.986301369863014</v>
      </c>
    </row>
    <row r="162" spans="2:12" ht="13.25" hidden="1" customHeight="1" x14ac:dyDescent="0.3">
      <c r="B162" s="21"/>
      <c r="E162" s="5">
        <v>158</v>
      </c>
      <c r="F162" s="5">
        <f t="shared" ca="1" si="19"/>
        <v>0</v>
      </c>
      <c r="G162" s="5">
        <f t="shared" ca="1" si="20"/>
        <v>620</v>
      </c>
      <c r="H162" s="5">
        <f t="shared" ca="1" si="23"/>
        <v>620</v>
      </c>
      <c r="I162" s="5">
        <f t="shared" ca="1" si="21"/>
        <v>0</v>
      </c>
      <c r="J162" s="5">
        <f t="shared" ca="1" si="22"/>
        <v>0</v>
      </c>
      <c r="K162" s="5">
        <f t="shared" ca="1" si="24"/>
        <v>0</v>
      </c>
      <c r="L162" s="24">
        <f t="shared" ca="1" si="25"/>
        <v>16.986301369863014</v>
      </c>
    </row>
    <row r="163" spans="2:12" ht="13.25" hidden="1" customHeight="1" x14ac:dyDescent="0.3">
      <c r="B163" s="21"/>
      <c r="E163" s="5">
        <v>159</v>
      </c>
      <c r="F163" s="5">
        <f t="shared" ca="1" si="19"/>
        <v>0</v>
      </c>
      <c r="G163" s="5">
        <f t="shared" ca="1" si="20"/>
        <v>620</v>
      </c>
      <c r="H163" s="5">
        <f t="shared" ca="1" si="23"/>
        <v>620</v>
      </c>
      <c r="I163" s="5">
        <f t="shared" ca="1" si="21"/>
        <v>0</v>
      </c>
      <c r="J163" s="5">
        <f t="shared" ca="1" si="22"/>
        <v>0</v>
      </c>
      <c r="K163" s="5">
        <f t="shared" ca="1" si="24"/>
        <v>0</v>
      </c>
      <c r="L163" s="24">
        <f t="shared" ca="1" si="25"/>
        <v>16.986301369863014</v>
      </c>
    </row>
    <row r="164" spans="2:12" ht="13.25" hidden="1" customHeight="1" x14ac:dyDescent="0.3">
      <c r="B164" s="21"/>
      <c r="E164" s="5">
        <v>160</v>
      </c>
      <c r="F164" s="5">
        <f t="shared" ca="1" si="19"/>
        <v>90</v>
      </c>
      <c r="G164" s="5">
        <f t="shared" ca="1" si="20"/>
        <v>620</v>
      </c>
      <c r="H164" s="5">
        <f t="shared" ca="1" si="23"/>
        <v>530</v>
      </c>
      <c r="I164" s="5">
        <f t="shared" ca="1" si="21"/>
        <v>0</v>
      </c>
      <c r="J164" s="5">
        <f t="shared" ca="1" si="22"/>
        <v>0</v>
      </c>
      <c r="K164" s="5">
        <f t="shared" ca="1" si="24"/>
        <v>0</v>
      </c>
      <c r="L164" s="24">
        <f t="shared" ca="1" si="25"/>
        <v>14.520547945205479</v>
      </c>
    </row>
    <row r="165" spans="2:12" ht="13.25" hidden="1" customHeight="1" x14ac:dyDescent="0.3">
      <c r="B165" s="21"/>
      <c r="E165" s="5">
        <v>161</v>
      </c>
      <c r="F165" s="5">
        <f t="shared" ca="1" si="19"/>
        <v>0</v>
      </c>
      <c r="G165" s="5">
        <f t="shared" ca="1" si="20"/>
        <v>530</v>
      </c>
      <c r="H165" s="5">
        <f t="shared" ca="1" si="23"/>
        <v>530</v>
      </c>
      <c r="I165" s="5">
        <f t="shared" ca="1" si="21"/>
        <v>0</v>
      </c>
      <c r="J165" s="5">
        <f t="shared" ca="1" si="22"/>
        <v>0</v>
      </c>
      <c r="K165" s="5">
        <f t="shared" ca="1" si="24"/>
        <v>0</v>
      </c>
      <c r="L165" s="24">
        <f t="shared" ca="1" si="25"/>
        <v>14.520547945205479</v>
      </c>
    </row>
    <row r="166" spans="2:12" ht="13.25" hidden="1" customHeight="1" x14ac:dyDescent="0.3">
      <c r="B166" s="21"/>
      <c r="E166" s="5">
        <v>162</v>
      </c>
      <c r="F166" s="5">
        <f t="shared" ca="1" si="19"/>
        <v>120</v>
      </c>
      <c r="G166" s="5">
        <f t="shared" ca="1" si="20"/>
        <v>530</v>
      </c>
      <c r="H166" s="5">
        <f t="shared" ca="1" si="23"/>
        <v>410</v>
      </c>
      <c r="I166" s="5">
        <f t="shared" ca="1" si="21"/>
        <v>0</v>
      </c>
      <c r="J166" s="5">
        <f t="shared" ca="1" si="22"/>
        <v>0</v>
      </c>
      <c r="K166" s="5">
        <f t="shared" ca="1" si="24"/>
        <v>0</v>
      </c>
      <c r="L166" s="24">
        <f t="shared" ca="1" si="25"/>
        <v>11.232876712328766</v>
      </c>
    </row>
    <row r="167" spans="2:12" ht="13.25" hidden="1" customHeight="1" x14ac:dyDescent="0.3">
      <c r="B167" s="21"/>
      <c r="E167" s="5">
        <v>163</v>
      </c>
      <c r="F167" s="5">
        <f t="shared" ca="1" si="19"/>
        <v>120</v>
      </c>
      <c r="G167" s="5">
        <f t="shared" ca="1" si="20"/>
        <v>410</v>
      </c>
      <c r="H167" s="5">
        <f t="shared" ca="1" si="23"/>
        <v>290</v>
      </c>
      <c r="I167" s="5">
        <f t="shared" ca="1" si="21"/>
        <v>0</v>
      </c>
      <c r="J167" s="5">
        <f t="shared" ca="1" si="22"/>
        <v>0</v>
      </c>
      <c r="K167" s="5">
        <f t="shared" ca="1" si="24"/>
        <v>0</v>
      </c>
      <c r="L167" s="24">
        <f t="shared" ca="1" si="25"/>
        <v>7.9452054794520546</v>
      </c>
    </row>
    <row r="168" spans="2:12" ht="13.25" hidden="1" customHeight="1" x14ac:dyDescent="0.3">
      <c r="B168" s="21"/>
      <c r="E168" s="5">
        <v>164</v>
      </c>
      <c r="F168" s="5">
        <f t="shared" ca="1" si="19"/>
        <v>100</v>
      </c>
      <c r="G168" s="5">
        <f t="shared" ca="1" si="20"/>
        <v>290</v>
      </c>
      <c r="H168" s="5">
        <f t="shared" ca="1" si="23"/>
        <v>190</v>
      </c>
      <c r="I168" s="5">
        <f t="shared" ca="1" si="21"/>
        <v>0</v>
      </c>
      <c r="J168" s="5">
        <f t="shared" ca="1" si="22"/>
        <v>0</v>
      </c>
      <c r="K168" s="5">
        <f t="shared" ca="1" si="24"/>
        <v>0</v>
      </c>
      <c r="L168" s="24">
        <f t="shared" ca="1" si="25"/>
        <v>5.205479452054794</v>
      </c>
    </row>
    <row r="169" spans="2:12" ht="13.25" hidden="1" customHeight="1" x14ac:dyDescent="0.3">
      <c r="B169" s="21"/>
      <c r="E169" s="5">
        <v>165</v>
      </c>
      <c r="F169" s="5">
        <f t="shared" ca="1" si="19"/>
        <v>0</v>
      </c>
      <c r="G169" s="5">
        <f t="shared" ca="1" si="20"/>
        <v>190</v>
      </c>
      <c r="H169" s="5">
        <f t="shared" ca="1" si="23"/>
        <v>190</v>
      </c>
      <c r="I169" s="5">
        <f t="shared" ca="1" si="21"/>
        <v>0</v>
      </c>
      <c r="J169" s="5">
        <f t="shared" ca="1" si="22"/>
        <v>0</v>
      </c>
      <c r="K169" s="5">
        <f t="shared" ca="1" si="24"/>
        <v>0</v>
      </c>
      <c r="L169" s="24">
        <f t="shared" ca="1" si="25"/>
        <v>5.205479452054794</v>
      </c>
    </row>
    <row r="170" spans="2:12" ht="13.25" hidden="1" customHeight="1" x14ac:dyDescent="0.3">
      <c r="B170" s="21"/>
      <c r="E170" s="5">
        <v>166</v>
      </c>
      <c r="F170" s="5">
        <f t="shared" ca="1" si="19"/>
        <v>0</v>
      </c>
      <c r="G170" s="5">
        <f t="shared" ca="1" si="20"/>
        <v>190</v>
      </c>
      <c r="H170" s="5">
        <f t="shared" ca="1" si="23"/>
        <v>190</v>
      </c>
      <c r="I170" s="5">
        <f t="shared" ca="1" si="21"/>
        <v>0</v>
      </c>
      <c r="J170" s="5">
        <f t="shared" ca="1" si="22"/>
        <v>0</v>
      </c>
      <c r="K170" s="5">
        <f t="shared" ca="1" si="24"/>
        <v>0</v>
      </c>
      <c r="L170" s="24">
        <f t="shared" ca="1" si="25"/>
        <v>5.205479452054794</v>
      </c>
    </row>
    <row r="171" spans="2:12" ht="13.25" hidden="1" customHeight="1" x14ac:dyDescent="0.3">
      <c r="B171" s="21"/>
      <c r="E171" s="5">
        <v>167</v>
      </c>
      <c r="F171" s="5">
        <f t="shared" ca="1" si="19"/>
        <v>0</v>
      </c>
      <c r="G171" s="5">
        <f t="shared" ca="1" si="20"/>
        <v>190</v>
      </c>
      <c r="H171" s="5">
        <f t="shared" ca="1" si="23"/>
        <v>190</v>
      </c>
      <c r="I171" s="5">
        <f t="shared" ca="1" si="21"/>
        <v>0</v>
      </c>
      <c r="J171" s="5">
        <f t="shared" ca="1" si="22"/>
        <v>0</v>
      </c>
      <c r="K171" s="5">
        <f t="shared" ca="1" si="24"/>
        <v>0</v>
      </c>
      <c r="L171" s="24">
        <f t="shared" ca="1" si="25"/>
        <v>5.205479452054794</v>
      </c>
    </row>
    <row r="172" spans="2:12" ht="13.25" hidden="1" customHeight="1" x14ac:dyDescent="0.3">
      <c r="B172" s="21"/>
      <c r="E172" s="5">
        <v>168</v>
      </c>
      <c r="F172" s="5">
        <f t="shared" ca="1" si="19"/>
        <v>110</v>
      </c>
      <c r="G172" s="5">
        <f t="shared" ca="1" si="20"/>
        <v>190</v>
      </c>
      <c r="H172" s="5">
        <f t="shared" ca="1" si="23"/>
        <v>80</v>
      </c>
      <c r="I172" s="5">
        <f t="shared" ca="1" si="21"/>
        <v>1</v>
      </c>
      <c r="J172" s="5">
        <f t="shared" ca="1" si="22"/>
        <v>0</v>
      </c>
      <c r="K172" s="5">
        <f t="shared" ca="1" si="24"/>
        <v>200</v>
      </c>
      <c r="L172" s="24">
        <f t="shared" ca="1" si="25"/>
        <v>2.1917808219178081</v>
      </c>
    </row>
    <row r="173" spans="2:12" ht="13.25" hidden="1" customHeight="1" x14ac:dyDescent="0.3">
      <c r="B173" s="21"/>
      <c r="E173" s="5">
        <v>169</v>
      </c>
      <c r="F173" s="5">
        <f t="shared" ca="1" si="19"/>
        <v>0</v>
      </c>
      <c r="G173" s="5">
        <f t="shared" ca="1" si="20"/>
        <v>1080</v>
      </c>
      <c r="H173" s="5">
        <f t="shared" ca="1" si="23"/>
        <v>1080</v>
      </c>
      <c r="I173" s="5">
        <f t="shared" ca="1" si="21"/>
        <v>0</v>
      </c>
      <c r="J173" s="5">
        <f t="shared" ca="1" si="22"/>
        <v>0</v>
      </c>
      <c r="K173" s="5">
        <f t="shared" ca="1" si="24"/>
        <v>0</v>
      </c>
      <c r="L173" s="24">
        <f t="shared" ca="1" si="25"/>
        <v>29.589041095890408</v>
      </c>
    </row>
    <row r="174" spans="2:12" ht="13.25" hidden="1" customHeight="1" x14ac:dyDescent="0.3">
      <c r="B174" s="21"/>
      <c r="E174" s="5">
        <v>170</v>
      </c>
      <c r="F174" s="5">
        <f t="shared" ca="1" si="19"/>
        <v>0</v>
      </c>
      <c r="G174" s="5">
        <f t="shared" ca="1" si="20"/>
        <v>1080</v>
      </c>
      <c r="H174" s="5">
        <f t="shared" ca="1" si="23"/>
        <v>1080</v>
      </c>
      <c r="I174" s="5">
        <f t="shared" ca="1" si="21"/>
        <v>0</v>
      </c>
      <c r="J174" s="5">
        <f t="shared" ca="1" si="22"/>
        <v>0</v>
      </c>
      <c r="K174" s="5">
        <f t="shared" ca="1" si="24"/>
        <v>0</v>
      </c>
      <c r="L174" s="24">
        <f t="shared" ca="1" si="25"/>
        <v>29.589041095890408</v>
      </c>
    </row>
    <row r="175" spans="2:12" ht="13.25" hidden="1" customHeight="1" x14ac:dyDescent="0.3">
      <c r="B175" s="21"/>
      <c r="E175" s="5">
        <v>171</v>
      </c>
      <c r="F175" s="5">
        <f t="shared" ca="1" si="19"/>
        <v>0</v>
      </c>
      <c r="G175" s="5">
        <f t="shared" ca="1" si="20"/>
        <v>1080</v>
      </c>
      <c r="H175" s="5">
        <f t="shared" ca="1" si="23"/>
        <v>1080</v>
      </c>
      <c r="I175" s="5">
        <f t="shared" ca="1" si="21"/>
        <v>0</v>
      </c>
      <c r="J175" s="5">
        <f t="shared" ca="1" si="22"/>
        <v>0</v>
      </c>
      <c r="K175" s="5">
        <f t="shared" ca="1" si="24"/>
        <v>0</v>
      </c>
      <c r="L175" s="24">
        <f t="shared" ca="1" si="25"/>
        <v>29.589041095890408</v>
      </c>
    </row>
    <row r="176" spans="2:12" ht="13.25" hidden="1" customHeight="1" x14ac:dyDescent="0.3">
      <c r="B176" s="21"/>
      <c r="E176" s="5">
        <v>172</v>
      </c>
      <c r="F176" s="5">
        <f t="shared" ca="1" si="19"/>
        <v>0</v>
      </c>
      <c r="G176" s="5">
        <f t="shared" ca="1" si="20"/>
        <v>1080</v>
      </c>
      <c r="H176" s="5">
        <f t="shared" ca="1" si="23"/>
        <v>1080</v>
      </c>
      <c r="I176" s="5">
        <f t="shared" ca="1" si="21"/>
        <v>0</v>
      </c>
      <c r="J176" s="5">
        <f t="shared" ca="1" si="22"/>
        <v>0</v>
      </c>
      <c r="K176" s="5">
        <f t="shared" ca="1" si="24"/>
        <v>0</v>
      </c>
      <c r="L176" s="24">
        <f t="shared" ca="1" si="25"/>
        <v>29.589041095890408</v>
      </c>
    </row>
    <row r="177" spans="2:12" ht="13.25" hidden="1" customHeight="1" x14ac:dyDescent="0.3">
      <c r="B177" s="21"/>
      <c r="E177" s="5">
        <v>173</v>
      </c>
      <c r="F177" s="5">
        <f t="shared" ca="1" si="19"/>
        <v>0</v>
      </c>
      <c r="G177" s="5">
        <f t="shared" ca="1" si="20"/>
        <v>1080</v>
      </c>
      <c r="H177" s="5">
        <f t="shared" ca="1" si="23"/>
        <v>1080</v>
      </c>
      <c r="I177" s="5">
        <f t="shared" ca="1" si="21"/>
        <v>0</v>
      </c>
      <c r="J177" s="5">
        <f t="shared" ca="1" si="22"/>
        <v>0</v>
      </c>
      <c r="K177" s="5">
        <f t="shared" ca="1" si="24"/>
        <v>0</v>
      </c>
      <c r="L177" s="24">
        <f t="shared" ca="1" si="25"/>
        <v>29.589041095890408</v>
      </c>
    </row>
    <row r="178" spans="2:12" ht="13.25" hidden="1" customHeight="1" x14ac:dyDescent="0.3">
      <c r="B178" s="21"/>
      <c r="E178" s="5">
        <v>174</v>
      </c>
      <c r="F178" s="5">
        <f t="shared" ca="1" si="19"/>
        <v>120</v>
      </c>
      <c r="G178" s="5">
        <f t="shared" ca="1" si="20"/>
        <v>1080</v>
      </c>
      <c r="H178" s="5">
        <f t="shared" ca="1" si="23"/>
        <v>960</v>
      </c>
      <c r="I178" s="5">
        <f t="shared" ca="1" si="21"/>
        <v>0</v>
      </c>
      <c r="J178" s="5">
        <f t="shared" ca="1" si="22"/>
        <v>0</v>
      </c>
      <c r="K178" s="5">
        <f t="shared" ca="1" si="24"/>
        <v>0</v>
      </c>
      <c r="L178" s="24">
        <f t="shared" ca="1" si="25"/>
        <v>26.301369863013697</v>
      </c>
    </row>
    <row r="179" spans="2:12" ht="13.25" hidden="1" customHeight="1" x14ac:dyDescent="0.3">
      <c r="B179" s="21"/>
      <c r="E179" s="5">
        <v>175</v>
      </c>
      <c r="F179" s="5">
        <f t="shared" ca="1" si="19"/>
        <v>0</v>
      </c>
      <c r="G179" s="5">
        <f t="shared" ca="1" si="20"/>
        <v>960</v>
      </c>
      <c r="H179" s="5">
        <f t="shared" ca="1" si="23"/>
        <v>960</v>
      </c>
      <c r="I179" s="5">
        <f t="shared" ca="1" si="21"/>
        <v>0</v>
      </c>
      <c r="J179" s="5">
        <f t="shared" ca="1" si="22"/>
        <v>0</v>
      </c>
      <c r="K179" s="5">
        <f t="shared" ca="1" si="24"/>
        <v>0</v>
      </c>
      <c r="L179" s="24">
        <f t="shared" ca="1" si="25"/>
        <v>26.301369863013697</v>
      </c>
    </row>
    <row r="180" spans="2:12" ht="13.25" hidden="1" customHeight="1" x14ac:dyDescent="0.3">
      <c r="B180" s="21"/>
      <c r="E180" s="5">
        <v>176</v>
      </c>
      <c r="F180" s="5">
        <f t="shared" ca="1" si="19"/>
        <v>90</v>
      </c>
      <c r="G180" s="5">
        <f t="shared" ca="1" si="20"/>
        <v>960</v>
      </c>
      <c r="H180" s="5">
        <f t="shared" ca="1" si="23"/>
        <v>870</v>
      </c>
      <c r="I180" s="5">
        <f t="shared" ca="1" si="21"/>
        <v>0</v>
      </c>
      <c r="J180" s="5">
        <f t="shared" ca="1" si="22"/>
        <v>0</v>
      </c>
      <c r="K180" s="5">
        <f t="shared" ca="1" si="24"/>
        <v>0</v>
      </c>
      <c r="L180" s="24">
        <f t="shared" ca="1" si="25"/>
        <v>23.835616438356162</v>
      </c>
    </row>
    <row r="181" spans="2:12" ht="13.25" hidden="1" customHeight="1" x14ac:dyDescent="0.3">
      <c r="B181" s="21"/>
      <c r="E181" s="5">
        <v>177</v>
      </c>
      <c r="F181" s="5">
        <f t="shared" ca="1" si="19"/>
        <v>0</v>
      </c>
      <c r="G181" s="5">
        <f t="shared" ca="1" si="20"/>
        <v>870</v>
      </c>
      <c r="H181" s="5">
        <f t="shared" ca="1" si="23"/>
        <v>870</v>
      </c>
      <c r="I181" s="5">
        <f t="shared" ca="1" si="21"/>
        <v>0</v>
      </c>
      <c r="J181" s="5">
        <f t="shared" ca="1" si="22"/>
        <v>0</v>
      </c>
      <c r="K181" s="5">
        <f t="shared" ca="1" si="24"/>
        <v>0</v>
      </c>
      <c r="L181" s="24">
        <f t="shared" ca="1" si="25"/>
        <v>23.835616438356162</v>
      </c>
    </row>
    <row r="182" spans="2:12" ht="13.25" hidden="1" customHeight="1" x14ac:dyDescent="0.3">
      <c r="B182" s="21"/>
      <c r="E182" s="5">
        <v>178</v>
      </c>
      <c r="F182" s="5">
        <f t="shared" ca="1" si="19"/>
        <v>0</v>
      </c>
      <c r="G182" s="5">
        <f t="shared" ca="1" si="20"/>
        <v>870</v>
      </c>
      <c r="H182" s="5">
        <f t="shared" ca="1" si="23"/>
        <v>870</v>
      </c>
      <c r="I182" s="5">
        <f t="shared" ca="1" si="21"/>
        <v>0</v>
      </c>
      <c r="J182" s="5">
        <f t="shared" ca="1" si="22"/>
        <v>0</v>
      </c>
      <c r="K182" s="5">
        <f t="shared" ca="1" si="24"/>
        <v>0</v>
      </c>
      <c r="L182" s="24">
        <f t="shared" ca="1" si="25"/>
        <v>23.835616438356162</v>
      </c>
    </row>
    <row r="183" spans="2:12" ht="13.25" hidden="1" customHeight="1" x14ac:dyDescent="0.3">
      <c r="B183" s="21"/>
      <c r="E183" s="5">
        <v>179</v>
      </c>
      <c r="F183" s="5">
        <f t="shared" ca="1" si="19"/>
        <v>0</v>
      </c>
      <c r="G183" s="5">
        <f t="shared" ca="1" si="20"/>
        <v>870</v>
      </c>
      <c r="H183" s="5">
        <f t="shared" ca="1" si="23"/>
        <v>870</v>
      </c>
      <c r="I183" s="5">
        <f t="shared" ca="1" si="21"/>
        <v>0</v>
      </c>
      <c r="J183" s="5">
        <f t="shared" ca="1" si="22"/>
        <v>0</v>
      </c>
      <c r="K183" s="5">
        <f t="shared" ca="1" si="24"/>
        <v>0</v>
      </c>
      <c r="L183" s="24">
        <f t="shared" ca="1" si="25"/>
        <v>23.835616438356162</v>
      </c>
    </row>
    <row r="184" spans="2:12" ht="13.25" hidden="1" customHeight="1" x14ac:dyDescent="0.3">
      <c r="B184" s="21"/>
      <c r="E184" s="5">
        <v>180</v>
      </c>
      <c r="F184" s="5">
        <f t="shared" ca="1" si="19"/>
        <v>0</v>
      </c>
      <c r="G184" s="5">
        <f t="shared" ca="1" si="20"/>
        <v>870</v>
      </c>
      <c r="H184" s="5">
        <f t="shared" ca="1" si="23"/>
        <v>870</v>
      </c>
      <c r="I184" s="5">
        <f t="shared" ca="1" si="21"/>
        <v>0</v>
      </c>
      <c r="J184" s="5">
        <f t="shared" ca="1" si="22"/>
        <v>0</v>
      </c>
      <c r="K184" s="5">
        <f t="shared" ca="1" si="24"/>
        <v>0</v>
      </c>
      <c r="L184" s="24">
        <f t="shared" ca="1" si="25"/>
        <v>23.835616438356162</v>
      </c>
    </row>
    <row r="185" spans="2:12" ht="13.25" hidden="1" customHeight="1" x14ac:dyDescent="0.3">
      <c r="B185" s="21"/>
      <c r="E185" s="5">
        <v>181</v>
      </c>
      <c r="F185" s="5">
        <f t="shared" ca="1" si="19"/>
        <v>0</v>
      </c>
      <c r="G185" s="5">
        <f t="shared" ca="1" si="20"/>
        <v>870</v>
      </c>
      <c r="H185" s="5">
        <f t="shared" ca="1" si="23"/>
        <v>870</v>
      </c>
      <c r="I185" s="5">
        <f t="shared" ca="1" si="21"/>
        <v>0</v>
      </c>
      <c r="J185" s="5">
        <f t="shared" ca="1" si="22"/>
        <v>0</v>
      </c>
      <c r="K185" s="5">
        <f t="shared" ca="1" si="24"/>
        <v>0</v>
      </c>
      <c r="L185" s="24">
        <f t="shared" ca="1" si="25"/>
        <v>23.835616438356162</v>
      </c>
    </row>
    <row r="186" spans="2:12" ht="13.25" hidden="1" customHeight="1" x14ac:dyDescent="0.3">
      <c r="B186" s="21"/>
      <c r="E186" s="5">
        <v>182</v>
      </c>
      <c r="F186" s="5">
        <f t="shared" ca="1" si="19"/>
        <v>0</v>
      </c>
      <c r="G186" s="5">
        <f t="shared" ca="1" si="20"/>
        <v>870</v>
      </c>
      <c r="H186" s="5">
        <f t="shared" ca="1" si="23"/>
        <v>870</v>
      </c>
      <c r="I186" s="5">
        <f t="shared" ca="1" si="21"/>
        <v>0</v>
      </c>
      <c r="J186" s="5">
        <f t="shared" ca="1" si="22"/>
        <v>0</v>
      </c>
      <c r="K186" s="5">
        <f t="shared" ca="1" si="24"/>
        <v>0</v>
      </c>
      <c r="L186" s="24">
        <f t="shared" ca="1" si="25"/>
        <v>23.835616438356162</v>
      </c>
    </row>
    <row r="187" spans="2:12" ht="13.25" hidden="1" customHeight="1" x14ac:dyDescent="0.3">
      <c r="B187" s="21"/>
      <c r="E187" s="5">
        <v>183</v>
      </c>
      <c r="F187" s="5">
        <f t="shared" ca="1" si="19"/>
        <v>0</v>
      </c>
      <c r="G187" s="5">
        <f t="shared" ca="1" si="20"/>
        <v>870</v>
      </c>
      <c r="H187" s="5">
        <f t="shared" ca="1" si="23"/>
        <v>870</v>
      </c>
      <c r="I187" s="5">
        <f t="shared" ca="1" si="21"/>
        <v>0</v>
      </c>
      <c r="J187" s="5">
        <f t="shared" ca="1" si="22"/>
        <v>0</v>
      </c>
      <c r="K187" s="5">
        <f t="shared" ca="1" si="24"/>
        <v>0</v>
      </c>
      <c r="L187" s="24">
        <f t="shared" ca="1" si="25"/>
        <v>23.835616438356162</v>
      </c>
    </row>
    <row r="188" spans="2:12" ht="13.25" hidden="1" customHeight="1" x14ac:dyDescent="0.3">
      <c r="B188" s="21"/>
      <c r="E188" s="5">
        <v>184</v>
      </c>
      <c r="F188" s="5">
        <f t="shared" ca="1" si="19"/>
        <v>0</v>
      </c>
      <c r="G188" s="5">
        <f t="shared" ca="1" si="20"/>
        <v>870</v>
      </c>
      <c r="H188" s="5">
        <f t="shared" ca="1" si="23"/>
        <v>870</v>
      </c>
      <c r="I188" s="5">
        <f t="shared" ca="1" si="21"/>
        <v>0</v>
      </c>
      <c r="J188" s="5">
        <f t="shared" ca="1" si="22"/>
        <v>0</v>
      </c>
      <c r="K188" s="5">
        <f t="shared" ca="1" si="24"/>
        <v>0</v>
      </c>
      <c r="L188" s="24">
        <f t="shared" ca="1" si="25"/>
        <v>23.835616438356162</v>
      </c>
    </row>
    <row r="189" spans="2:12" ht="13.25" hidden="1" customHeight="1" x14ac:dyDescent="0.3">
      <c r="B189" s="21"/>
      <c r="E189" s="5">
        <v>185</v>
      </c>
      <c r="F189" s="5">
        <f t="shared" ca="1" si="19"/>
        <v>100</v>
      </c>
      <c r="G189" s="5">
        <f t="shared" ca="1" si="20"/>
        <v>870</v>
      </c>
      <c r="H189" s="5">
        <f t="shared" ca="1" si="23"/>
        <v>770</v>
      </c>
      <c r="I189" s="5">
        <f t="shared" ca="1" si="21"/>
        <v>0</v>
      </c>
      <c r="J189" s="5">
        <f t="shared" ca="1" si="22"/>
        <v>0</v>
      </c>
      <c r="K189" s="5">
        <f t="shared" ca="1" si="24"/>
        <v>0</v>
      </c>
      <c r="L189" s="24">
        <f t="shared" ca="1" si="25"/>
        <v>21.095890410958901</v>
      </c>
    </row>
    <row r="190" spans="2:12" ht="13.25" hidden="1" customHeight="1" x14ac:dyDescent="0.3">
      <c r="B190" s="21"/>
      <c r="E190" s="5">
        <v>186</v>
      </c>
      <c r="F190" s="5">
        <f t="shared" ca="1" si="19"/>
        <v>0</v>
      </c>
      <c r="G190" s="5">
        <f t="shared" ca="1" si="20"/>
        <v>770</v>
      </c>
      <c r="H190" s="5">
        <f t="shared" ca="1" si="23"/>
        <v>770</v>
      </c>
      <c r="I190" s="5">
        <f t="shared" ca="1" si="21"/>
        <v>0</v>
      </c>
      <c r="J190" s="5">
        <f t="shared" ca="1" si="22"/>
        <v>0</v>
      </c>
      <c r="K190" s="5">
        <f t="shared" ca="1" si="24"/>
        <v>0</v>
      </c>
      <c r="L190" s="24">
        <f t="shared" ca="1" si="25"/>
        <v>21.095890410958901</v>
      </c>
    </row>
    <row r="191" spans="2:12" ht="13.25" hidden="1" customHeight="1" x14ac:dyDescent="0.3">
      <c r="B191" s="21"/>
      <c r="E191" s="5">
        <v>187</v>
      </c>
      <c r="F191" s="5">
        <f t="shared" ca="1" si="19"/>
        <v>120</v>
      </c>
      <c r="G191" s="5">
        <f t="shared" ca="1" si="20"/>
        <v>770</v>
      </c>
      <c r="H191" s="5">
        <f t="shared" ca="1" si="23"/>
        <v>650</v>
      </c>
      <c r="I191" s="5">
        <f t="shared" ca="1" si="21"/>
        <v>0</v>
      </c>
      <c r="J191" s="5">
        <f t="shared" ca="1" si="22"/>
        <v>0</v>
      </c>
      <c r="K191" s="5">
        <f t="shared" ca="1" si="24"/>
        <v>0</v>
      </c>
      <c r="L191" s="24">
        <f t="shared" ca="1" si="25"/>
        <v>17.80821917808219</v>
      </c>
    </row>
    <row r="192" spans="2:12" ht="13.25" hidden="1" customHeight="1" x14ac:dyDescent="0.3">
      <c r="B192" s="21"/>
      <c r="E192" s="5">
        <v>188</v>
      </c>
      <c r="F192" s="5">
        <f t="shared" ca="1" si="19"/>
        <v>110</v>
      </c>
      <c r="G192" s="5">
        <f t="shared" ca="1" si="20"/>
        <v>650</v>
      </c>
      <c r="H192" s="5">
        <f t="shared" ca="1" si="23"/>
        <v>540</v>
      </c>
      <c r="I192" s="5">
        <f t="shared" ca="1" si="21"/>
        <v>0</v>
      </c>
      <c r="J192" s="5">
        <f t="shared" ca="1" si="22"/>
        <v>0</v>
      </c>
      <c r="K192" s="5">
        <f t="shared" ca="1" si="24"/>
        <v>0</v>
      </c>
      <c r="L192" s="24">
        <f t="shared" ca="1" si="25"/>
        <v>14.794520547945204</v>
      </c>
    </row>
    <row r="193" spans="2:12" ht="13.25" hidden="1" customHeight="1" x14ac:dyDescent="0.3">
      <c r="B193" s="21"/>
      <c r="E193" s="5">
        <v>189</v>
      </c>
      <c r="F193" s="5">
        <f t="shared" ca="1" si="19"/>
        <v>0</v>
      </c>
      <c r="G193" s="5">
        <f t="shared" ca="1" si="20"/>
        <v>540</v>
      </c>
      <c r="H193" s="5">
        <f t="shared" ca="1" si="23"/>
        <v>540</v>
      </c>
      <c r="I193" s="5">
        <f t="shared" ca="1" si="21"/>
        <v>0</v>
      </c>
      <c r="J193" s="5">
        <f t="shared" ca="1" si="22"/>
        <v>0</v>
      </c>
      <c r="K193" s="5">
        <f t="shared" ca="1" si="24"/>
        <v>0</v>
      </c>
      <c r="L193" s="24">
        <f t="shared" ca="1" si="25"/>
        <v>14.794520547945204</v>
      </c>
    </row>
    <row r="194" spans="2:12" ht="13.25" hidden="1" customHeight="1" x14ac:dyDescent="0.3">
      <c r="B194" s="21"/>
      <c r="E194" s="5">
        <v>190</v>
      </c>
      <c r="F194" s="5">
        <f t="shared" ca="1" si="19"/>
        <v>0</v>
      </c>
      <c r="G194" s="5">
        <f t="shared" ca="1" si="20"/>
        <v>540</v>
      </c>
      <c r="H194" s="5">
        <f t="shared" ca="1" si="23"/>
        <v>540</v>
      </c>
      <c r="I194" s="5">
        <f t="shared" ca="1" si="21"/>
        <v>0</v>
      </c>
      <c r="J194" s="5">
        <f t="shared" ca="1" si="22"/>
        <v>0</v>
      </c>
      <c r="K194" s="5">
        <f t="shared" ca="1" si="24"/>
        <v>0</v>
      </c>
      <c r="L194" s="24">
        <f t="shared" ca="1" si="25"/>
        <v>14.794520547945204</v>
      </c>
    </row>
    <row r="195" spans="2:12" ht="13.25" hidden="1" customHeight="1" x14ac:dyDescent="0.3">
      <c r="B195" s="21"/>
      <c r="E195" s="5">
        <v>191</v>
      </c>
      <c r="F195" s="5">
        <f t="shared" ca="1" si="19"/>
        <v>0</v>
      </c>
      <c r="G195" s="5">
        <f t="shared" ca="1" si="20"/>
        <v>540</v>
      </c>
      <c r="H195" s="5">
        <f t="shared" ca="1" si="23"/>
        <v>540</v>
      </c>
      <c r="I195" s="5">
        <f t="shared" ca="1" si="21"/>
        <v>0</v>
      </c>
      <c r="J195" s="5">
        <f t="shared" ca="1" si="22"/>
        <v>0</v>
      </c>
      <c r="K195" s="5">
        <f t="shared" ca="1" si="24"/>
        <v>0</v>
      </c>
      <c r="L195" s="24">
        <f t="shared" ca="1" si="25"/>
        <v>14.794520547945204</v>
      </c>
    </row>
    <row r="196" spans="2:12" ht="13.25" hidden="1" customHeight="1" x14ac:dyDescent="0.3">
      <c r="B196" s="21"/>
      <c r="E196" s="5">
        <v>192</v>
      </c>
      <c r="F196" s="5">
        <f t="shared" ca="1" si="19"/>
        <v>110</v>
      </c>
      <c r="G196" s="5">
        <f t="shared" ca="1" si="20"/>
        <v>540</v>
      </c>
      <c r="H196" s="5">
        <f t="shared" ca="1" si="23"/>
        <v>430</v>
      </c>
      <c r="I196" s="5">
        <f t="shared" ca="1" si="21"/>
        <v>0</v>
      </c>
      <c r="J196" s="5">
        <f t="shared" ca="1" si="22"/>
        <v>0</v>
      </c>
      <c r="K196" s="5">
        <f t="shared" ca="1" si="24"/>
        <v>0</v>
      </c>
      <c r="L196" s="24">
        <f t="shared" ca="1" si="25"/>
        <v>11.780821917808218</v>
      </c>
    </row>
    <row r="197" spans="2:12" ht="13.25" hidden="1" customHeight="1" x14ac:dyDescent="0.3">
      <c r="B197" s="21"/>
      <c r="E197" s="5">
        <v>193</v>
      </c>
      <c r="F197" s="5">
        <f t="shared" ref="F197:F260" ca="1" si="26">INDEX($Q$18:$Q$22,MATCH(RAND(),$S$17:$S$22,1))</f>
        <v>100</v>
      </c>
      <c r="G197" s="5">
        <f t="shared" ref="G197:G260" ca="1" si="27">H196+$C$9*I196</f>
        <v>430</v>
      </c>
      <c r="H197" s="5">
        <f t="shared" ca="1" si="23"/>
        <v>330</v>
      </c>
      <c r="I197" s="5">
        <f t="shared" ref="I197:I260" ca="1" si="28">IF(H197&lt;$C$3,1,0)</f>
        <v>0</v>
      </c>
      <c r="J197" s="5">
        <f t="shared" ref="J197:J260" ca="1" si="29">IF(G197&lt;F197,1,0)</f>
        <v>0</v>
      </c>
      <c r="K197" s="5">
        <f t="shared" ca="1" si="24"/>
        <v>0</v>
      </c>
      <c r="L197" s="24">
        <f t="shared" ca="1" si="25"/>
        <v>9.0410958904109577</v>
      </c>
    </row>
    <row r="198" spans="2:12" ht="13.25" hidden="1" customHeight="1" x14ac:dyDescent="0.3">
      <c r="B198" s="21"/>
      <c r="E198" s="5">
        <v>194</v>
      </c>
      <c r="F198" s="5">
        <f t="shared" ca="1" si="26"/>
        <v>0</v>
      </c>
      <c r="G198" s="5">
        <f t="shared" ca="1" si="27"/>
        <v>330</v>
      </c>
      <c r="H198" s="5">
        <f t="shared" ref="H198:H261" ca="1" si="30">IF(G198-F198&gt;0,G198-F198,0)</f>
        <v>330</v>
      </c>
      <c r="I198" s="5">
        <f t="shared" ca="1" si="28"/>
        <v>0</v>
      </c>
      <c r="J198" s="5">
        <f t="shared" ca="1" si="29"/>
        <v>0</v>
      </c>
      <c r="K198" s="5">
        <f t="shared" ref="K198:K261" ca="1" si="31">I198*$C$4</f>
        <v>0</v>
      </c>
      <c r="L198" s="24">
        <f t="shared" ref="L198:L261" ca="1" si="32">H198*$C$7</f>
        <v>9.0410958904109577</v>
      </c>
    </row>
    <row r="199" spans="2:12" ht="13.25" hidden="1" customHeight="1" x14ac:dyDescent="0.3">
      <c r="B199" s="21"/>
      <c r="E199" s="5">
        <v>195</v>
      </c>
      <c r="F199" s="5">
        <f t="shared" ca="1" si="26"/>
        <v>0</v>
      </c>
      <c r="G199" s="5">
        <f t="shared" ca="1" si="27"/>
        <v>330</v>
      </c>
      <c r="H199" s="5">
        <f t="shared" ca="1" si="30"/>
        <v>330</v>
      </c>
      <c r="I199" s="5">
        <f t="shared" ca="1" si="28"/>
        <v>0</v>
      </c>
      <c r="J199" s="5">
        <f t="shared" ca="1" si="29"/>
        <v>0</v>
      </c>
      <c r="K199" s="5">
        <f t="shared" ca="1" si="31"/>
        <v>0</v>
      </c>
      <c r="L199" s="24">
        <f t="shared" ca="1" si="32"/>
        <v>9.0410958904109577</v>
      </c>
    </row>
    <row r="200" spans="2:12" ht="13.25" hidden="1" customHeight="1" x14ac:dyDescent="0.3">
      <c r="B200" s="21"/>
      <c r="E200" s="5">
        <v>196</v>
      </c>
      <c r="F200" s="5">
        <f t="shared" ca="1" si="26"/>
        <v>0</v>
      </c>
      <c r="G200" s="5">
        <f t="shared" ca="1" si="27"/>
        <v>330</v>
      </c>
      <c r="H200" s="5">
        <f t="shared" ca="1" si="30"/>
        <v>330</v>
      </c>
      <c r="I200" s="5">
        <f t="shared" ca="1" si="28"/>
        <v>0</v>
      </c>
      <c r="J200" s="5">
        <f t="shared" ca="1" si="29"/>
        <v>0</v>
      </c>
      <c r="K200" s="5">
        <f t="shared" ca="1" si="31"/>
        <v>0</v>
      </c>
      <c r="L200" s="24">
        <f t="shared" ca="1" si="32"/>
        <v>9.0410958904109577</v>
      </c>
    </row>
    <row r="201" spans="2:12" ht="13.25" hidden="1" customHeight="1" x14ac:dyDescent="0.3">
      <c r="B201" s="21"/>
      <c r="E201" s="5">
        <v>197</v>
      </c>
      <c r="F201" s="5">
        <f t="shared" ca="1" si="26"/>
        <v>0</v>
      </c>
      <c r="G201" s="5">
        <f t="shared" ca="1" si="27"/>
        <v>330</v>
      </c>
      <c r="H201" s="5">
        <f t="shared" ca="1" si="30"/>
        <v>330</v>
      </c>
      <c r="I201" s="5">
        <f t="shared" ca="1" si="28"/>
        <v>0</v>
      </c>
      <c r="J201" s="5">
        <f t="shared" ca="1" si="29"/>
        <v>0</v>
      </c>
      <c r="K201" s="5">
        <f t="shared" ca="1" si="31"/>
        <v>0</v>
      </c>
      <c r="L201" s="24">
        <f t="shared" ca="1" si="32"/>
        <v>9.0410958904109577</v>
      </c>
    </row>
    <row r="202" spans="2:12" ht="13.25" hidden="1" customHeight="1" x14ac:dyDescent="0.3">
      <c r="B202" s="21"/>
      <c r="E202" s="5">
        <v>198</v>
      </c>
      <c r="F202" s="5">
        <f t="shared" ca="1" si="26"/>
        <v>0</v>
      </c>
      <c r="G202" s="5">
        <f t="shared" ca="1" si="27"/>
        <v>330</v>
      </c>
      <c r="H202" s="5">
        <f t="shared" ca="1" si="30"/>
        <v>330</v>
      </c>
      <c r="I202" s="5">
        <f t="shared" ca="1" si="28"/>
        <v>0</v>
      </c>
      <c r="J202" s="5">
        <f t="shared" ca="1" si="29"/>
        <v>0</v>
      </c>
      <c r="K202" s="5">
        <f t="shared" ca="1" si="31"/>
        <v>0</v>
      </c>
      <c r="L202" s="24">
        <f t="shared" ca="1" si="32"/>
        <v>9.0410958904109577</v>
      </c>
    </row>
    <row r="203" spans="2:12" ht="13.25" hidden="1" customHeight="1" x14ac:dyDescent="0.3">
      <c r="B203" s="21"/>
      <c r="E203" s="5">
        <v>199</v>
      </c>
      <c r="F203" s="5">
        <f t="shared" ca="1" si="26"/>
        <v>100</v>
      </c>
      <c r="G203" s="5">
        <f t="shared" ca="1" si="27"/>
        <v>330</v>
      </c>
      <c r="H203" s="5">
        <f t="shared" ca="1" si="30"/>
        <v>230</v>
      </c>
      <c r="I203" s="5">
        <f t="shared" ca="1" si="28"/>
        <v>0</v>
      </c>
      <c r="J203" s="5">
        <f t="shared" ca="1" si="29"/>
        <v>0</v>
      </c>
      <c r="K203" s="5">
        <f t="shared" ca="1" si="31"/>
        <v>0</v>
      </c>
      <c r="L203" s="24">
        <f t="shared" ca="1" si="32"/>
        <v>6.3013698630136981</v>
      </c>
    </row>
    <row r="204" spans="2:12" ht="13.25" hidden="1" customHeight="1" x14ac:dyDescent="0.3">
      <c r="B204" s="21"/>
      <c r="E204" s="5">
        <v>200</v>
      </c>
      <c r="F204" s="5">
        <f t="shared" ca="1" si="26"/>
        <v>0</v>
      </c>
      <c r="G204" s="5">
        <f t="shared" ca="1" si="27"/>
        <v>230</v>
      </c>
      <c r="H204" s="5">
        <f t="shared" ca="1" si="30"/>
        <v>230</v>
      </c>
      <c r="I204" s="5">
        <f t="shared" ca="1" si="28"/>
        <v>0</v>
      </c>
      <c r="J204" s="5">
        <f t="shared" ca="1" si="29"/>
        <v>0</v>
      </c>
      <c r="K204" s="5">
        <f t="shared" ca="1" si="31"/>
        <v>0</v>
      </c>
      <c r="L204" s="24">
        <f t="shared" ca="1" si="32"/>
        <v>6.3013698630136981</v>
      </c>
    </row>
    <row r="205" spans="2:12" ht="13.25" hidden="1" customHeight="1" x14ac:dyDescent="0.3">
      <c r="B205" s="21"/>
      <c r="E205" s="5">
        <v>201</v>
      </c>
      <c r="F205" s="5">
        <f t="shared" ca="1" si="26"/>
        <v>0</v>
      </c>
      <c r="G205" s="5">
        <f t="shared" ca="1" si="27"/>
        <v>230</v>
      </c>
      <c r="H205" s="5">
        <f t="shared" ca="1" si="30"/>
        <v>230</v>
      </c>
      <c r="I205" s="5">
        <f t="shared" ca="1" si="28"/>
        <v>0</v>
      </c>
      <c r="J205" s="5">
        <f t="shared" ca="1" si="29"/>
        <v>0</v>
      </c>
      <c r="K205" s="5">
        <f t="shared" ca="1" si="31"/>
        <v>0</v>
      </c>
      <c r="L205" s="24">
        <f t="shared" ca="1" si="32"/>
        <v>6.3013698630136981</v>
      </c>
    </row>
    <row r="206" spans="2:12" ht="13.25" hidden="1" customHeight="1" x14ac:dyDescent="0.3">
      <c r="B206" s="21"/>
      <c r="E206" s="5">
        <v>202</v>
      </c>
      <c r="F206" s="5">
        <f t="shared" ca="1" si="26"/>
        <v>0</v>
      </c>
      <c r="G206" s="5">
        <f t="shared" ca="1" si="27"/>
        <v>230</v>
      </c>
      <c r="H206" s="5">
        <f t="shared" ca="1" si="30"/>
        <v>230</v>
      </c>
      <c r="I206" s="5">
        <f t="shared" ca="1" si="28"/>
        <v>0</v>
      </c>
      <c r="J206" s="5">
        <f t="shared" ca="1" si="29"/>
        <v>0</v>
      </c>
      <c r="K206" s="5">
        <f t="shared" ca="1" si="31"/>
        <v>0</v>
      </c>
      <c r="L206" s="24">
        <f t="shared" ca="1" si="32"/>
        <v>6.3013698630136981</v>
      </c>
    </row>
    <row r="207" spans="2:12" ht="13.25" hidden="1" customHeight="1" x14ac:dyDescent="0.3">
      <c r="B207" s="21"/>
      <c r="E207" s="5">
        <v>203</v>
      </c>
      <c r="F207" s="5">
        <f t="shared" ca="1" si="26"/>
        <v>0</v>
      </c>
      <c r="G207" s="5">
        <f t="shared" ca="1" si="27"/>
        <v>230</v>
      </c>
      <c r="H207" s="5">
        <f t="shared" ca="1" si="30"/>
        <v>230</v>
      </c>
      <c r="I207" s="5">
        <f t="shared" ca="1" si="28"/>
        <v>0</v>
      </c>
      <c r="J207" s="5">
        <f t="shared" ca="1" si="29"/>
        <v>0</v>
      </c>
      <c r="K207" s="5">
        <f t="shared" ca="1" si="31"/>
        <v>0</v>
      </c>
      <c r="L207" s="24">
        <f t="shared" ca="1" si="32"/>
        <v>6.3013698630136981</v>
      </c>
    </row>
    <row r="208" spans="2:12" ht="13.25" hidden="1" customHeight="1" x14ac:dyDescent="0.3">
      <c r="B208" s="21"/>
      <c r="E208" s="5">
        <v>204</v>
      </c>
      <c r="F208" s="5">
        <f t="shared" ca="1" si="26"/>
        <v>100</v>
      </c>
      <c r="G208" s="5">
        <f t="shared" ca="1" si="27"/>
        <v>230</v>
      </c>
      <c r="H208" s="5">
        <f t="shared" ca="1" si="30"/>
        <v>130</v>
      </c>
      <c r="I208" s="5">
        <f t="shared" ca="1" si="28"/>
        <v>0</v>
      </c>
      <c r="J208" s="5">
        <f t="shared" ca="1" si="29"/>
        <v>0</v>
      </c>
      <c r="K208" s="5">
        <f t="shared" ca="1" si="31"/>
        <v>0</v>
      </c>
      <c r="L208" s="24">
        <f t="shared" ca="1" si="32"/>
        <v>3.5616438356164384</v>
      </c>
    </row>
    <row r="209" spans="2:12" ht="13.25" hidden="1" customHeight="1" x14ac:dyDescent="0.3">
      <c r="B209" s="21"/>
      <c r="E209" s="5">
        <v>205</v>
      </c>
      <c r="F209" s="5">
        <f t="shared" ca="1" si="26"/>
        <v>100</v>
      </c>
      <c r="G209" s="5">
        <f t="shared" ca="1" si="27"/>
        <v>130</v>
      </c>
      <c r="H209" s="5">
        <f t="shared" ca="1" si="30"/>
        <v>30</v>
      </c>
      <c r="I209" s="5">
        <f t="shared" ca="1" si="28"/>
        <v>1</v>
      </c>
      <c r="J209" s="5">
        <f t="shared" ca="1" si="29"/>
        <v>0</v>
      </c>
      <c r="K209" s="5">
        <f t="shared" ca="1" si="31"/>
        <v>200</v>
      </c>
      <c r="L209" s="24">
        <f t="shared" ca="1" si="32"/>
        <v>0.82191780821917804</v>
      </c>
    </row>
    <row r="210" spans="2:12" ht="13.25" hidden="1" customHeight="1" x14ac:dyDescent="0.3">
      <c r="B210" s="21"/>
      <c r="E210" s="5">
        <v>206</v>
      </c>
      <c r="F210" s="5">
        <f t="shared" ca="1" si="26"/>
        <v>100</v>
      </c>
      <c r="G210" s="5">
        <f t="shared" ca="1" si="27"/>
        <v>1030</v>
      </c>
      <c r="H210" s="5">
        <f t="shared" ca="1" si="30"/>
        <v>930</v>
      </c>
      <c r="I210" s="5">
        <f t="shared" ca="1" si="28"/>
        <v>0</v>
      </c>
      <c r="J210" s="5">
        <f t="shared" ca="1" si="29"/>
        <v>0</v>
      </c>
      <c r="K210" s="5">
        <f t="shared" ca="1" si="31"/>
        <v>0</v>
      </c>
      <c r="L210" s="24">
        <f t="shared" ca="1" si="32"/>
        <v>25.479452054794518</v>
      </c>
    </row>
    <row r="211" spans="2:12" ht="13.25" hidden="1" customHeight="1" x14ac:dyDescent="0.3">
      <c r="B211" s="21"/>
      <c r="E211" s="5">
        <v>207</v>
      </c>
      <c r="F211" s="5">
        <f t="shared" ca="1" si="26"/>
        <v>0</v>
      </c>
      <c r="G211" s="5">
        <f t="shared" ca="1" si="27"/>
        <v>930</v>
      </c>
      <c r="H211" s="5">
        <f t="shared" ca="1" si="30"/>
        <v>930</v>
      </c>
      <c r="I211" s="5">
        <f t="shared" ca="1" si="28"/>
        <v>0</v>
      </c>
      <c r="J211" s="5">
        <f t="shared" ca="1" si="29"/>
        <v>0</v>
      </c>
      <c r="K211" s="5">
        <f t="shared" ca="1" si="31"/>
        <v>0</v>
      </c>
      <c r="L211" s="24">
        <f t="shared" ca="1" si="32"/>
        <v>25.479452054794518</v>
      </c>
    </row>
    <row r="212" spans="2:12" ht="13.25" hidden="1" customHeight="1" x14ac:dyDescent="0.3">
      <c r="B212" s="21"/>
      <c r="E212" s="5">
        <v>208</v>
      </c>
      <c r="F212" s="5">
        <f t="shared" ca="1" si="26"/>
        <v>0</v>
      </c>
      <c r="G212" s="5">
        <f t="shared" ca="1" si="27"/>
        <v>930</v>
      </c>
      <c r="H212" s="5">
        <f t="shared" ca="1" si="30"/>
        <v>930</v>
      </c>
      <c r="I212" s="5">
        <f t="shared" ca="1" si="28"/>
        <v>0</v>
      </c>
      <c r="J212" s="5">
        <f t="shared" ca="1" si="29"/>
        <v>0</v>
      </c>
      <c r="K212" s="5">
        <f t="shared" ca="1" si="31"/>
        <v>0</v>
      </c>
      <c r="L212" s="24">
        <f t="shared" ca="1" si="32"/>
        <v>25.479452054794518</v>
      </c>
    </row>
    <row r="213" spans="2:12" ht="13.25" hidden="1" customHeight="1" x14ac:dyDescent="0.3">
      <c r="B213" s="21"/>
      <c r="E213" s="5">
        <v>209</v>
      </c>
      <c r="F213" s="5">
        <f t="shared" ca="1" si="26"/>
        <v>0</v>
      </c>
      <c r="G213" s="5">
        <f t="shared" ca="1" si="27"/>
        <v>930</v>
      </c>
      <c r="H213" s="5">
        <f t="shared" ca="1" si="30"/>
        <v>930</v>
      </c>
      <c r="I213" s="5">
        <f t="shared" ca="1" si="28"/>
        <v>0</v>
      </c>
      <c r="J213" s="5">
        <f t="shared" ca="1" si="29"/>
        <v>0</v>
      </c>
      <c r="K213" s="5">
        <f t="shared" ca="1" si="31"/>
        <v>0</v>
      </c>
      <c r="L213" s="24">
        <f t="shared" ca="1" si="32"/>
        <v>25.479452054794518</v>
      </c>
    </row>
    <row r="214" spans="2:12" ht="13.25" hidden="1" customHeight="1" x14ac:dyDescent="0.3">
      <c r="B214" s="21"/>
      <c r="E214" s="5">
        <v>210</v>
      </c>
      <c r="F214" s="5">
        <f t="shared" ca="1" si="26"/>
        <v>0</v>
      </c>
      <c r="G214" s="5">
        <f t="shared" ca="1" si="27"/>
        <v>930</v>
      </c>
      <c r="H214" s="5">
        <f t="shared" ca="1" si="30"/>
        <v>930</v>
      </c>
      <c r="I214" s="5">
        <f t="shared" ca="1" si="28"/>
        <v>0</v>
      </c>
      <c r="J214" s="5">
        <f t="shared" ca="1" si="29"/>
        <v>0</v>
      </c>
      <c r="K214" s="5">
        <f t="shared" ca="1" si="31"/>
        <v>0</v>
      </c>
      <c r="L214" s="24">
        <f t="shared" ca="1" si="32"/>
        <v>25.479452054794518</v>
      </c>
    </row>
    <row r="215" spans="2:12" ht="13.25" hidden="1" customHeight="1" x14ac:dyDescent="0.3">
      <c r="B215" s="21"/>
      <c r="E215" s="5">
        <v>211</v>
      </c>
      <c r="F215" s="5">
        <f t="shared" ca="1" si="26"/>
        <v>100</v>
      </c>
      <c r="G215" s="5">
        <f t="shared" ca="1" si="27"/>
        <v>930</v>
      </c>
      <c r="H215" s="5">
        <f t="shared" ca="1" si="30"/>
        <v>830</v>
      </c>
      <c r="I215" s="5">
        <f t="shared" ca="1" si="28"/>
        <v>0</v>
      </c>
      <c r="J215" s="5">
        <f t="shared" ca="1" si="29"/>
        <v>0</v>
      </c>
      <c r="K215" s="5">
        <f t="shared" ca="1" si="31"/>
        <v>0</v>
      </c>
      <c r="L215" s="24">
        <f t="shared" ca="1" si="32"/>
        <v>22.739726027397261</v>
      </c>
    </row>
    <row r="216" spans="2:12" ht="13.25" hidden="1" customHeight="1" x14ac:dyDescent="0.3">
      <c r="B216" s="21"/>
      <c r="E216" s="5">
        <v>212</v>
      </c>
      <c r="F216" s="5">
        <f t="shared" ca="1" si="26"/>
        <v>0</v>
      </c>
      <c r="G216" s="5">
        <f t="shared" ca="1" si="27"/>
        <v>830</v>
      </c>
      <c r="H216" s="5">
        <f t="shared" ca="1" si="30"/>
        <v>830</v>
      </c>
      <c r="I216" s="5">
        <f t="shared" ca="1" si="28"/>
        <v>0</v>
      </c>
      <c r="J216" s="5">
        <f t="shared" ca="1" si="29"/>
        <v>0</v>
      </c>
      <c r="K216" s="5">
        <f t="shared" ca="1" si="31"/>
        <v>0</v>
      </c>
      <c r="L216" s="24">
        <f t="shared" ca="1" si="32"/>
        <v>22.739726027397261</v>
      </c>
    </row>
    <row r="217" spans="2:12" ht="13.25" hidden="1" customHeight="1" x14ac:dyDescent="0.3">
      <c r="B217" s="21"/>
      <c r="E217" s="5">
        <v>213</v>
      </c>
      <c r="F217" s="5">
        <f t="shared" ca="1" si="26"/>
        <v>0</v>
      </c>
      <c r="G217" s="5">
        <f t="shared" ca="1" si="27"/>
        <v>830</v>
      </c>
      <c r="H217" s="5">
        <f t="shared" ca="1" si="30"/>
        <v>830</v>
      </c>
      <c r="I217" s="5">
        <f t="shared" ca="1" si="28"/>
        <v>0</v>
      </c>
      <c r="J217" s="5">
        <f t="shared" ca="1" si="29"/>
        <v>0</v>
      </c>
      <c r="K217" s="5">
        <f t="shared" ca="1" si="31"/>
        <v>0</v>
      </c>
      <c r="L217" s="24">
        <f t="shared" ca="1" si="32"/>
        <v>22.739726027397261</v>
      </c>
    </row>
    <row r="218" spans="2:12" ht="13.25" hidden="1" customHeight="1" x14ac:dyDescent="0.3">
      <c r="B218" s="21"/>
      <c r="E218" s="5">
        <v>214</v>
      </c>
      <c r="F218" s="5">
        <f t="shared" ca="1" si="26"/>
        <v>120</v>
      </c>
      <c r="G218" s="5">
        <f t="shared" ca="1" si="27"/>
        <v>830</v>
      </c>
      <c r="H218" s="5">
        <f t="shared" ca="1" si="30"/>
        <v>710</v>
      </c>
      <c r="I218" s="5">
        <f t="shared" ca="1" si="28"/>
        <v>0</v>
      </c>
      <c r="J218" s="5">
        <f t="shared" ca="1" si="29"/>
        <v>0</v>
      </c>
      <c r="K218" s="5">
        <f t="shared" ca="1" si="31"/>
        <v>0</v>
      </c>
      <c r="L218" s="24">
        <f t="shared" ca="1" si="32"/>
        <v>19.452054794520546</v>
      </c>
    </row>
    <row r="219" spans="2:12" ht="13.25" hidden="1" customHeight="1" x14ac:dyDescent="0.3">
      <c r="B219" s="21"/>
      <c r="E219" s="5">
        <v>215</v>
      </c>
      <c r="F219" s="5">
        <f t="shared" ca="1" si="26"/>
        <v>0</v>
      </c>
      <c r="G219" s="5">
        <f t="shared" ca="1" si="27"/>
        <v>710</v>
      </c>
      <c r="H219" s="5">
        <f t="shared" ca="1" si="30"/>
        <v>710</v>
      </c>
      <c r="I219" s="5">
        <f t="shared" ca="1" si="28"/>
        <v>0</v>
      </c>
      <c r="J219" s="5">
        <f t="shared" ca="1" si="29"/>
        <v>0</v>
      </c>
      <c r="K219" s="5">
        <f t="shared" ca="1" si="31"/>
        <v>0</v>
      </c>
      <c r="L219" s="24">
        <f t="shared" ca="1" si="32"/>
        <v>19.452054794520546</v>
      </c>
    </row>
    <row r="220" spans="2:12" ht="13.25" hidden="1" customHeight="1" x14ac:dyDescent="0.3">
      <c r="B220" s="21"/>
      <c r="E220" s="5">
        <v>216</v>
      </c>
      <c r="F220" s="5">
        <f t="shared" ca="1" si="26"/>
        <v>100</v>
      </c>
      <c r="G220" s="5">
        <f t="shared" ca="1" si="27"/>
        <v>710</v>
      </c>
      <c r="H220" s="5">
        <f t="shared" ca="1" si="30"/>
        <v>610</v>
      </c>
      <c r="I220" s="5">
        <f t="shared" ca="1" si="28"/>
        <v>0</v>
      </c>
      <c r="J220" s="5">
        <f t="shared" ca="1" si="29"/>
        <v>0</v>
      </c>
      <c r="K220" s="5">
        <f t="shared" ca="1" si="31"/>
        <v>0</v>
      </c>
      <c r="L220" s="24">
        <f t="shared" ca="1" si="32"/>
        <v>16.712328767123285</v>
      </c>
    </row>
    <row r="221" spans="2:12" ht="13.25" hidden="1" customHeight="1" x14ac:dyDescent="0.3">
      <c r="B221" s="21"/>
      <c r="E221" s="5">
        <v>217</v>
      </c>
      <c r="F221" s="5">
        <f t="shared" ca="1" si="26"/>
        <v>0</v>
      </c>
      <c r="G221" s="5">
        <f t="shared" ca="1" si="27"/>
        <v>610</v>
      </c>
      <c r="H221" s="5">
        <f t="shared" ca="1" si="30"/>
        <v>610</v>
      </c>
      <c r="I221" s="5">
        <f t="shared" ca="1" si="28"/>
        <v>0</v>
      </c>
      <c r="J221" s="5">
        <f t="shared" ca="1" si="29"/>
        <v>0</v>
      </c>
      <c r="K221" s="5">
        <f t="shared" ca="1" si="31"/>
        <v>0</v>
      </c>
      <c r="L221" s="24">
        <f t="shared" ca="1" si="32"/>
        <v>16.712328767123285</v>
      </c>
    </row>
    <row r="222" spans="2:12" ht="13.25" hidden="1" customHeight="1" x14ac:dyDescent="0.3">
      <c r="B222" s="21"/>
      <c r="E222" s="5">
        <v>218</v>
      </c>
      <c r="F222" s="5">
        <f t="shared" ca="1" si="26"/>
        <v>0</v>
      </c>
      <c r="G222" s="5">
        <f t="shared" ca="1" si="27"/>
        <v>610</v>
      </c>
      <c r="H222" s="5">
        <f t="shared" ca="1" si="30"/>
        <v>610</v>
      </c>
      <c r="I222" s="5">
        <f t="shared" ca="1" si="28"/>
        <v>0</v>
      </c>
      <c r="J222" s="5">
        <f t="shared" ca="1" si="29"/>
        <v>0</v>
      </c>
      <c r="K222" s="5">
        <f t="shared" ca="1" si="31"/>
        <v>0</v>
      </c>
      <c r="L222" s="24">
        <f t="shared" ca="1" si="32"/>
        <v>16.712328767123285</v>
      </c>
    </row>
    <row r="223" spans="2:12" ht="13.25" hidden="1" customHeight="1" x14ac:dyDescent="0.3">
      <c r="B223" s="21"/>
      <c r="E223" s="5">
        <v>219</v>
      </c>
      <c r="F223" s="5">
        <f t="shared" ca="1" si="26"/>
        <v>0</v>
      </c>
      <c r="G223" s="5">
        <f t="shared" ca="1" si="27"/>
        <v>610</v>
      </c>
      <c r="H223" s="5">
        <f t="shared" ca="1" si="30"/>
        <v>610</v>
      </c>
      <c r="I223" s="5">
        <f t="shared" ca="1" si="28"/>
        <v>0</v>
      </c>
      <c r="J223" s="5">
        <f t="shared" ca="1" si="29"/>
        <v>0</v>
      </c>
      <c r="K223" s="5">
        <f t="shared" ca="1" si="31"/>
        <v>0</v>
      </c>
      <c r="L223" s="24">
        <f t="shared" ca="1" si="32"/>
        <v>16.712328767123285</v>
      </c>
    </row>
    <row r="224" spans="2:12" ht="13.25" hidden="1" customHeight="1" x14ac:dyDescent="0.3">
      <c r="B224" s="21"/>
      <c r="E224" s="5">
        <v>220</v>
      </c>
      <c r="F224" s="5">
        <f t="shared" ca="1" si="26"/>
        <v>0</v>
      </c>
      <c r="G224" s="5">
        <f t="shared" ca="1" si="27"/>
        <v>610</v>
      </c>
      <c r="H224" s="5">
        <f t="shared" ca="1" si="30"/>
        <v>610</v>
      </c>
      <c r="I224" s="5">
        <f t="shared" ca="1" si="28"/>
        <v>0</v>
      </c>
      <c r="J224" s="5">
        <f t="shared" ca="1" si="29"/>
        <v>0</v>
      </c>
      <c r="K224" s="5">
        <f t="shared" ca="1" si="31"/>
        <v>0</v>
      </c>
      <c r="L224" s="24">
        <f t="shared" ca="1" si="32"/>
        <v>16.712328767123285</v>
      </c>
    </row>
    <row r="225" spans="2:12" ht="13.25" hidden="1" customHeight="1" x14ac:dyDescent="0.3">
      <c r="B225" s="21"/>
      <c r="E225" s="5">
        <v>221</v>
      </c>
      <c r="F225" s="5">
        <f t="shared" ca="1" si="26"/>
        <v>120</v>
      </c>
      <c r="G225" s="5">
        <f t="shared" ca="1" si="27"/>
        <v>610</v>
      </c>
      <c r="H225" s="5">
        <f t="shared" ca="1" si="30"/>
        <v>490</v>
      </c>
      <c r="I225" s="5">
        <f t="shared" ca="1" si="28"/>
        <v>0</v>
      </c>
      <c r="J225" s="5">
        <f t="shared" ca="1" si="29"/>
        <v>0</v>
      </c>
      <c r="K225" s="5">
        <f t="shared" ca="1" si="31"/>
        <v>0</v>
      </c>
      <c r="L225" s="24">
        <f t="shared" ca="1" si="32"/>
        <v>13.424657534246574</v>
      </c>
    </row>
    <row r="226" spans="2:12" ht="13.25" hidden="1" customHeight="1" x14ac:dyDescent="0.3">
      <c r="B226" s="21"/>
      <c r="E226" s="5">
        <v>222</v>
      </c>
      <c r="F226" s="5">
        <f t="shared" ca="1" si="26"/>
        <v>0</v>
      </c>
      <c r="G226" s="5">
        <f t="shared" ca="1" si="27"/>
        <v>490</v>
      </c>
      <c r="H226" s="5">
        <f t="shared" ca="1" si="30"/>
        <v>490</v>
      </c>
      <c r="I226" s="5">
        <f t="shared" ca="1" si="28"/>
        <v>0</v>
      </c>
      <c r="J226" s="5">
        <f t="shared" ca="1" si="29"/>
        <v>0</v>
      </c>
      <c r="K226" s="5">
        <f t="shared" ca="1" si="31"/>
        <v>0</v>
      </c>
      <c r="L226" s="24">
        <f t="shared" ca="1" si="32"/>
        <v>13.424657534246574</v>
      </c>
    </row>
    <row r="227" spans="2:12" ht="13.25" hidden="1" customHeight="1" x14ac:dyDescent="0.3">
      <c r="B227" s="21"/>
      <c r="E227" s="5">
        <v>223</v>
      </c>
      <c r="F227" s="5">
        <f t="shared" ca="1" si="26"/>
        <v>0</v>
      </c>
      <c r="G227" s="5">
        <f t="shared" ca="1" si="27"/>
        <v>490</v>
      </c>
      <c r="H227" s="5">
        <f t="shared" ca="1" si="30"/>
        <v>490</v>
      </c>
      <c r="I227" s="5">
        <f t="shared" ca="1" si="28"/>
        <v>0</v>
      </c>
      <c r="J227" s="5">
        <f t="shared" ca="1" si="29"/>
        <v>0</v>
      </c>
      <c r="K227" s="5">
        <f t="shared" ca="1" si="31"/>
        <v>0</v>
      </c>
      <c r="L227" s="24">
        <f t="shared" ca="1" si="32"/>
        <v>13.424657534246574</v>
      </c>
    </row>
    <row r="228" spans="2:12" ht="13.25" hidden="1" customHeight="1" x14ac:dyDescent="0.3">
      <c r="B228" s="21"/>
      <c r="E228" s="5">
        <v>224</v>
      </c>
      <c r="F228" s="5">
        <f t="shared" ca="1" si="26"/>
        <v>0</v>
      </c>
      <c r="G228" s="5">
        <f t="shared" ca="1" si="27"/>
        <v>490</v>
      </c>
      <c r="H228" s="5">
        <f t="shared" ca="1" si="30"/>
        <v>490</v>
      </c>
      <c r="I228" s="5">
        <f t="shared" ca="1" si="28"/>
        <v>0</v>
      </c>
      <c r="J228" s="5">
        <f t="shared" ca="1" si="29"/>
        <v>0</v>
      </c>
      <c r="K228" s="5">
        <f t="shared" ca="1" si="31"/>
        <v>0</v>
      </c>
      <c r="L228" s="24">
        <f t="shared" ca="1" si="32"/>
        <v>13.424657534246574</v>
      </c>
    </row>
    <row r="229" spans="2:12" ht="13.25" hidden="1" customHeight="1" x14ac:dyDescent="0.3">
      <c r="B229" s="21"/>
      <c r="E229" s="5">
        <v>225</v>
      </c>
      <c r="F229" s="5">
        <f t="shared" ca="1" si="26"/>
        <v>0</v>
      </c>
      <c r="G229" s="5">
        <f t="shared" ca="1" si="27"/>
        <v>490</v>
      </c>
      <c r="H229" s="5">
        <f t="shared" ca="1" si="30"/>
        <v>490</v>
      </c>
      <c r="I229" s="5">
        <f t="shared" ca="1" si="28"/>
        <v>0</v>
      </c>
      <c r="J229" s="5">
        <f t="shared" ca="1" si="29"/>
        <v>0</v>
      </c>
      <c r="K229" s="5">
        <f t="shared" ca="1" si="31"/>
        <v>0</v>
      </c>
      <c r="L229" s="24">
        <f t="shared" ca="1" si="32"/>
        <v>13.424657534246574</v>
      </c>
    </row>
    <row r="230" spans="2:12" ht="13.25" hidden="1" customHeight="1" x14ac:dyDescent="0.3">
      <c r="B230" s="21"/>
      <c r="E230" s="5">
        <v>226</v>
      </c>
      <c r="F230" s="5">
        <f t="shared" ca="1" si="26"/>
        <v>0</v>
      </c>
      <c r="G230" s="5">
        <f t="shared" ca="1" si="27"/>
        <v>490</v>
      </c>
      <c r="H230" s="5">
        <f t="shared" ca="1" si="30"/>
        <v>490</v>
      </c>
      <c r="I230" s="5">
        <f t="shared" ca="1" si="28"/>
        <v>0</v>
      </c>
      <c r="J230" s="5">
        <f t="shared" ca="1" si="29"/>
        <v>0</v>
      </c>
      <c r="K230" s="5">
        <f t="shared" ca="1" si="31"/>
        <v>0</v>
      </c>
      <c r="L230" s="24">
        <f t="shared" ca="1" si="32"/>
        <v>13.424657534246574</v>
      </c>
    </row>
    <row r="231" spans="2:12" ht="13.25" hidden="1" customHeight="1" x14ac:dyDescent="0.3">
      <c r="B231" s="21"/>
      <c r="E231" s="5">
        <v>227</v>
      </c>
      <c r="F231" s="5">
        <f t="shared" ca="1" si="26"/>
        <v>0</v>
      </c>
      <c r="G231" s="5">
        <f t="shared" ca="1" si="27"/>
        <v>490</v>
      </c>
      <c r="H231" s="5">
        <f t="shared" ca="1" si="30"/>
        <v>490</v>
      </c>
      <c r="I231" s="5">
        <f t="shared" ca="1" si="28"/>
        <v>0</v>
      </c>
      <c r="J231" s="5">
        <f t="shared" ca="1" si="29"/>
        <v>0</v>
      </c>
      <c r="K231" s="5">
        <f t="shared" ca="1" si="31"/>
        <v>0</v>
      </c>
      <c r="L231" s="24">
        <f t="shared" ca="1" si="32"/>
        <v>13.424657534246574</v>
      </c>
    </row>
    <row r="232" spans="2:12" ht="13.25" hidden="1" customHeight="1" x14ac:dyDescent="0.3">
      <c r="B232" s="21"/>
      <c r="E232" s="5">
        <v>228</v>
      </c>
      <c r="F232" s="5">
        <f t="shared" ca="1" si="26"/>
        <v>0</v>
      </c>
      <c r="G232" s="5">
        <f t="shared" ca="1" si="27"/>
        <v>490</v>
      </c>
      <c r="H232" s="5">
        <f t="shared" ca="1" si="30"/>
        <v>490</v>
      </c>
      <c r="I232" s="5">
        <f t="shared" ca="1" si="28"/>
        <v>0</v>
      </c>
      <c r="J232" s="5">
        <f t="shared" ca="1" si="29"/>
        <v>0</v>
      </c>
      <c r="K232" s="5">
        <f t="shared" ca="1" si="31"/>
        <v>0</v>
      </c>
      <c r="L232" s="24">
        <f t="shared" ca="1" si="32"/>
        <v>13.424657534246574</v>
      </c>
    </row>
    <row r="233" spans="2:12" ht="13.25" hidden="1" customHeight="1" x14ac:dyDescent="0.3">
      <c r="B233" s="21"/>
      <c r="E233" s="5">
        <v>229</v>
      </c>
      <c r="F233" s="5">
        <f t="shared" ca="1" si="26"/>
        <v>0</v>
      </c>
      <c r="G233" s="5">
        <f t="shared" ca="1" si="27"/>
        <v>490</v>
      </c>
      <c r="H233" s="5">
        <f t="shared" ca="1" si="30"/>
        <v>490</v>
      </c>
      <c r="I233" s="5">
        <f t="shared" ca="1" si="28"/>
        <v>0</v>
      </c>
      <c r="J233" s="5">
        <f t="shared" ca="1" si="29"/>
        <v>0</v>
      </c>
      <c r="K233" s="5">
        <f t="shared" ca="1" si="31"/>
        <v>0</v>
      </c>
      <c r="L233" s="24">
        <f t="shared" ca="1" si="32"/>
        <v>13.424657534246574</v>
      </c>
    </row>
    <row r="234" spans="2:12" ht="13.25" hidden="1" customHeight="1" x14ac:dyDescent="0.3">
      <c r="B234" s="21"/>
      <c r="E234" s="5">
        <v>230</v>
      </c>
      <c r="F234" s="5">
        <f t="shared" ca="1" si="26"/>
        <v>0</v>
      </c>
      <c r="G234" s="5">
        <f t="shared" ca="1" si="27"/>
        <v>490</v>
      </c>
      <c r="H234" s="5">
        <f t="shared" ca="1" si="30"/>
        <v>490</v>
      </c>
      <c r="I234" s="5">
        <f t="shared" ca="1" si="28"/>
        <v>0</v>
      </c>
      <c r="J234" s="5">
        <f t="shared" ca="1" si="29"/>
        <v>0</v>
      </c>
      <c r="K234" s="5">
        <f t="shared" ca="1" si="31"/>
        <v>0</v>
      </c>
      <c r="L234" s="24">
        <f t="shared" ca="1" si="32"/>
        <v>13.424657534246574</v>
      </c>
    </row>
    <row r="235" spans="2:12" ht="13.25" hidden="1" customHeight="1" x14ac:dyDescent="0.3">
      <c r="B235" s="21"/>
      <c r="E235" s="5">
        <v>231</v>
      </c>
      <c r="F235" s="5">
        <f t="shared" ca="1" si="26"/>
        <v>90</v>
      </c>
      <c r="G235" s="5">
        <f t="shared" ca="1" si="27"/>
        <v>490</v>
      </c>
      <c r="H235" s="5">
        <f t="shared" ca="1" si="30"/>
        <v>400</v>
      </c>
      <c r="I235" s="5">
        <f t="shared" ca="1" si="28"/>
        <v>0</v>
      </c>
      <c r="J235" s="5">
        <f t="shared" ca="1" si="29"/>
        <v>0</v>
      </c>
      <c r="K235" s="5">
        <f t="shared" ca="1" si="31"/>
        <v>0</v>
      </c>
      <c r="L235" s="24">
        <f t="shared" ca="1" si="32"/>
        <v>10.95890410958904</v>
      </c>
    </row>
    <row r="236" spans="2:12" ht="13.25" hidden="1" customHeight="1" x14ac:dyDescent="0.3">
      <c r="B236" s="21"/>
      <c r="E236" s="5">
        <v>232</v>
      </c>
      <c r="F236" s="5">
        <f t="shared" ca="1" si="26"/>
        <v>120</v>
      </c>
      <c r="G236" s="5">
        <f t="shared" ca="1" si="27"/>
        <v>400</v>
      </c>
      <c r="H236" s="5">
        <f t="shared" ca="1" si="30"/>
        <v>280</v>
      </c>
      <c r="I236" s="5">
        <f t="shared" ca="1" si="28"/>
        <v>0</v>
      </c>
      <c r="J236" s="5">
        <f t="shared" ca="1" si="29"/>
        <v>0</v>
      </c>
      <c r="K236" s="5">
        <f t="shared" ca="1" si="31"/>
        <v>0</v>
      </c>
      <c r="L236" s="24">
        <f t="shared" ca="1" si="32"/>
        <v>7.6712328767123283</v>
      </c>
    </row>
    <row r="237" spans="2:12" ht="13.25" hidden="1" customHeight="1" x14ac:dyDescent="0.3">
      <c r="B237" s="21"/>
      <c r="E237" s="5">
        <v>233</v>
      </c>
      <c r="F237" s="5">
        <f t="shared" ca="1" si="26"/>
        <v>0</v>
      </c>
      <c r="G237" s="5">
        <f t="shared" ca="1" si="27"/>
        <v>280</v>
      </c>
      <c r="H237" s="5">
        <f t="shared" ca="1" si="30"/>
        <v>280</v>
      </c>
      <c r="I237" s="5">
        <f t="shared" ca="1" si="28"/>
        <v>0</v>
      </c>
      <c r="J237" s="5">
        <f t="shared" ca="1" si="29"/>
        <v>0</v>
      </c>
      <c r="K237" s="5">
        <f t="shared" ca="1" si="31"/>
        <v>0</v>
      </c>
      <c r="L237" s="24">
        <f t="shared" ca="1" si="32"/>
        <v>7.6712328767123283</v>
      </c>
    </row>
    <row r="238" spans="2:12" ht="13.25" hidden="1" customHeight="1" x14ac:dyDescent="0.3">
      <c r="B238" s="21"/>
      <c r="E238" s="5">
        <v>234</v>
      </c>
      <c r="F238" s="5">
        <f t="shared" ca="1" si="26"/>
        <v>0</v>
      </c>
      <c r="G238" s="5">
        <f t="shared" ca="1" si="27"/>
        <v>280</v>
      </c>
      <c r="H238" s="5">
        <f t="shared" ca="1" si="30"/>
        <v>280</v>
      </c>
      <c r="I238" s="5">
        <f t="shared" ca="1" si="28"/>
        <v>0</v>
      </c>
      <c r="J238" s="5">
        <f t="shared" ca="1" si="29"/>
        <v>0</v>
      </c>
      <c r="K238" s="5">
        <f t="shared" ca="1" si="31"/>
        <v>0</v>
      </c>
      <c r="L238" s="24">
        <f t="shared" ca="1" si="32"/>
        <v>7.6712328767123283</v>
      </c>
    </row>
    <row r="239" spans="2:12" ht="13.25" hidden="1" customHeight="1" x14ac:dyDescent="0.3">
      <c r="B239" s="21"/>
      <c r="E239" s="5">
        <v>235</v>
      </c>
      <c r="F239" s="5">
        <f t="shared" ca="1" si="26"/>
        <v>120</v>
      </c>
      <c r="G239" s="5">
        <f t="shared" ca="1" si="27"/>
        <v>280</v>
      </c>
      <c r="H239" s="5">
        <f t="shared" ca="1" si="30"/>
        <v>160</v>
      </c>
      <c r="I239" s="5">
        <f t="shared" ca="1" si="28"/>
        <v>0</v>
      </c>
      <c r="J239" s="5">
        <f t="shared" ca="1" si="29"/>
        <v>0</v>
      </c>
      <c r="K239" s="5">
        <f t="shared" ca="1" si="31"/>
        <v>0</v>
      </c>
      <c r="L239" s="24">
        <f t="shared" ca="1" si="32"/>
        <v>4.3835616438356162</v>
      </c>
    </row>
    <row r="240" spans="2:12" ht="13.25" hidden="1" customHeight="1" x14ac:dyDescent="0.3">
      <c r="B240" s="21"/>
      <c r="E240" s="5">
        <v>236</v>
      </c>
      <c r="F240" s="5">
        <f t="shared" ca="1" si="26"/>
        <v>0</v>
      </c>
      <c r="G240" s="5">
        <f t="shared" ca="1" si="27"/>
        <v>160</v>
      </c>
      <c r="H240" s="5">
        <f t="shared" ca="1" si="30"/>
        <v>160</v>
      </c>
      <c r="I240" s="5">
        <f t="shared" ca="1" si="28"/>
        <v>0</v>
      </c>
      <c r="J240" s="5">
        <f t="shared" ca="1" si="29"/>
        <v>0</v>
      </c>
      <c r="K240" s="5">
        <f t="shared" ca="1" si="31"/>
        <v>0</v>
      </c>
      <c r="L240" s="24">
        <f t="shared" ca="1" si="32"/>
        <v>4.3835616438356162</v>
      </c>
    </row>
    <row r="241" spans="2:12" ht="13.25" hidden="1" customHeight="1" x14ac:dyDescent="0.3">
      <c r="B241" s="21"/>
      <c r="E241" s="5">
        <v>237</v>
      </c>
      <c r="F241" s="5">
        <f t="shared" ca="1" si="26"/>
        <v>0</v>
      </c>
      <c r="G241" s="5">
        <f t="shared" ca="1" si="27"/>
        <v>160</v>
      </c>
      <c r="H241" s="5">
        <f t="shared" ca="1" si="30"/>
        <v>160</v>
      </c>
      <c r="I241" s="5">
        <f t="shared" ca="1" si="28"/>
        <v>0</v>
      </c>
      <c r="J241" s="5">
        <f t="shared" ca="1" si="29"/>
        <v>0</v>
      </c>
      <c r="K241" s="5">
        <f t="shared" ca="1" si="31"/>
        <v>0</v>
      </c>
      <c r="L241" s="24">
        <f t="shared" ca="1" si="32"/>
        <v>4.3835616438356162</v>
      </c>
    </row>
    <row r="242" spans="2:12" ht="13.25" hidden="1" customHeight="1" x14ac:dyDescent="0.3">
      <c r="B242" s="21"/>
      <c r="E242" s="5">
        <v>238</v>
      </c>
      <c r="F242" s="5">
        <f t="shared" ca="1" si="26"/>
        <v>0</v>
      </c>
      <c r="G242" s="5">
        <f t="shared" ca="1" si="27"/>
        <v>160</v>
      </c>
      <c r="H242" s="5">
        <f t="shared" ca="1" si="30"/>
        <v>160</v>
      </c>
      <c r="I242" s="5">
        <f t="shared" ca="1" si="28"/>
        <v>0</v>
      </c>
      <c r="J242" s="5">
        <f t="shared" ca="1" si="29"/>
        <v>0</v>
      </c>
      <c r="K242" s="5">
        <f t="shared" ca="1" si="31"/>
        <v>0</v>
      </c>
      <c r="L242" s="24">
        <f t="shared" ca="1" si="32"/>
        <v>4.3835616438356162</v>
      </c>
    </row>
    <row r="243" spans="2:12" ht="13.25" hidden="1" customHeight="1" x14ac:dyDescent="0.3">
      <c r="B243" s="21"/>
      <c r="E243" s="5">
        <v>239</v>
      </c>
      <c r="F243" s="5">
        <f t="shared" ca="1" si="26"/>
        <v>0</v>
      </c>
      <c r="G243" s="5">
        <f t="shared" ca="1" si="27"/>
        <v>160</v>
      </c>
      <c r="H243" s="5">
        <f t="shared" ca="1" si="30"/>
        <v>160</v>
      </c>
      <c r="I243" s="5">
        <f t="shared" ca="1" si="28"/>
        <v>0</v>
      </c>
      <c r="J243" s="5">
        <f t="shared" ca="1" si="29"/>
        <v>0</v>
      </c>
      <c r="K243" s="5">
        <f t="shared" ca="1" si="31"/>
        <v>0</v>
      </c>
      <c r="L243" s="24">
        <f t="shared" ca="1" si="32"/>
        <v>4.3835616438356162</v>
      </c>
    </row>
    <row r="244" spans="2:12" ht="13.25" hidden="1" customHeight="1" x14ac:dyDescent="0.3">
      <c r="B244" s="21"/>
      <c r="E244" s="5">
        <v>240</v>
      </c>
      <c r="F244" s="5">
        <f t="shared" ca="1" si="26"/>
        <v>0</v>
      </c>
      <c r="G244" s="5">
        <f t="shared" ca="1" si="27"/>
        <v>160</v>
      </c>
      <c r="H244" s="5">
        <f t="shared" ca="1" si="30"/>
        <v>160</v>
      </c>
      <c r="I244" s="5">
        <f t="shared" ca="1" si="28"/>
        <v>0</v>
      </c>
      <c r="J244" s="5">
        <f t="shared" ca="1" si="29"/>
        <v>0</v>
      </c>
      <c r="K244" s="5">
        <f t="shared" ca="1" si="31"/>
        <v>0</v>
      </c>
      <c r="L244" s="24">
        <f t="shared" ca="1" si="32"/>
        <v>4.3835616438356162</v>
      </c>
    </row>
    <row r="245" spans="2:12" ht="13.25" hidden="1" customHeight="1" x14ac:dyDescent="0.3">
      <c r="B245" s="21"/>
      <c r="E245" s="5">
        <v>241</v>
      </c>
      <c r="F245" s="5">
        <f t="shared" ca="1" si="26"/>
        <v>0</v>
      </c>
      <c r="G245" s="5">
        <f t="shared" ca="1" si="27"/>
        <v>160</v>
      </c>
      <c r="H245" s="5">
        <f t="shared" ca="1" si="30"/>
        <v>160</v>
      </c>
      <c r="I245" s="5">
        <f t="shared" ca="1" si="28"/>
        <v>0</v>
      </c>
      <c r="J245" s="5">
        <f t="shared" ca="1" si="29"/>
        <v>0</v>
      </c>
      <c r="K245" s="5">
        <f t="shared" ca="1" si="31"/>
        <v>0</v>
      </c>
      <c r="L245" s="24">
        <f t="shared" ca="1" si="32"/>
        <v>4.3835616438356162</v>
      </c>
    </row>
    <row r="246" spans="2:12" ht="13.25" hidden="1" customHeight="1" x14ac:dyDescent="0.3">
      <c r="B246" s="21"/>
      <c r="E246" s="5">
        <v>242</v>
      </c>
      <c r="F246" s="5">
        <f t="shared" ca="1" si="26"/>
        <v>0</v>
      </c>
      <c r="G246" s="5">
        <f t="shared" ca="1" si="27"/>
        <v>160</v>
      </c>
      <c r="H246" s="5">
        <f t="shared" ca="1" si="30"/>
        <v>160</v>
      </c>
      <c r="I246" s="5">
        <f t="shared" ca="1" si="28"/>
        <v>0</v>
      </c>
      <c r="J246" s="5">
        <f t="shared" ca="1" si="29"/>
        <v>0</v>
      </c>
      <c r="K246" s="5">
        <f t="shared" ca="1" si="31"/>
        <v>0</v>
      </c>
      <c r="L246" s="24">
        <f t="shared" ca="1" si="32"/>
        <v>4.3835616438356162</v>
      </c>
    </row>
    <row r="247" spans="2:12" ht="13.25" hidden="1" customHeight="1" x14ac:dyDescent="0.3">
      <c r="B247" s="21"/>
      <c r="E247" s="5">
        <v>243</v>
      </c>
      <c r="F247" s="5">
        <f t="shared" ca="1" si="26"/>
        <v>0</v>
      </c>
      <c r="G247" s="5">
        <f t="shared" ca="1" si="27"/>
        <v>160</v>
      </c>
      <c r="H247" s="5">
        <f t="shared" ca="1" si="30"/>
        <v>160</v>
      </c>
      <c r="I247" s="5">
        <f t="shared" ca="1" si="28"/>
        <v>0</v>
      </c>
      <c r="J247" s="5">
        <f t="shared" ca="1" si="29"/>
        <v>0</v>
      </c>
      <c r="K247" s="5">
        <f t="shared" ca="1" si="31"/>
        <v>0</v>
      </c>
      <c r="L247" s="24">
        <f t="shared" ca="1" si="32"/>
        <v>4.3835616438356162</v>
      </c>
    </row>
    <row r="248" spans="2:12" ht="13.25" hidden="1" customHeight="1" x14ac:dyDescent="0.3">
      <c r="B248" s="21"/>
      <c r="E248" s="5">
        <v>244</v>
      </c>
      <c r="F248" s="5">
        <f t="shared" ca="1" si="26"/>
        <v>0</v>
      </c>
      <c r="G248" s="5">
        <f t="shared" ca="1" si="27"/>
        <v>160</v>
      </c>
      <c r="H248" s="5">
        <f t="shared" ca="1" si="30"/>
        <v>160</v>
      </c>
      <c r="I248" s="5">
        <f t="shared" ca="1" si="28"/>
        <v>0</v>
      </c>
      <c r="J248" s="5">
        <f t="shared" ca="1" si="29"/>
        <v>0</v>
      </c>
      <c r="K248" s="5">
        <f t="shared" ca="1" si="31"/>
        <v>0</v>
      </c>
      <c r="L248" s="24">
        <f t="shared" ca="1" si="32"/>
        <v>4.3835616438356162</v>
      </c>
    </row>
    <row r="249" spans="2:12" ht="13.25" hidden="1" customHeight="1" x14ac:dyDescent="0.3">
      <c r="B249" s="21"/>
      <c r="E249" s="5">
        <v>245</v>
      </c>
      <c r="F249" s="5">
        <f t="shared" ca="1" si="26"/>
        <v>0</v>
      </c>
      <c r="G249" s="5">
        <f t="shared" ca="1" si="27"/>
        <v>160</v>
      </c>
      <c r="H249" s="5">
        <f t="shared" ca="1" si="30"/>
        <v>160</v>
      </c>
      <c r="I249" s="5">
        <f t="shared" ca="1" si="28"/>
        <v>0</v>
      </c>
      <c r="J249" s="5">
        <f t="shared" ca="1" si="29"/>
        <v>0</v>
      </c>
      <c r="K249" s="5">
        <f t="shared" ca="1" si="31"/>
        <v>0</v>
      </c>
      <c r="L249" s="24">
        <f t="shared" ca="1" si="32"/>
        <v>4.3835616438356162</v>
      </c>
    </row>
    <row r="250" spans="2:12" ht="13.25" hidden="1" customHeight="1" x14ac:dyDescent="0.3">
      <c r="B250" s="21"/>
      <c r="E250" s="5">
        <v>246</v>
      </c>
      <c r="F250" s="5">
        <f t="shared" ca="1" si="26"/>
        <v>0</v>
      </c>
      <c r="G250" s="5">
        <f t="shared" ca="1" si="27"/>
        <v>160</v>
      </c>
      <c r="H250" s="5">
        <f t="shared" ca="1" si="30"/>
        <v>160</v>
      </c>
      <c r="I250" s="5">
        <f t="shared" ca="1" si="28"/>
        <v>0</v>
      </c>
      <c r="J250" s="5">
        <f t="shared" ca="1" si="29"/>
        <v>0</v>
      </c>
      <c r="K250" s="5">
        <f t="shared" ca="1" si="31"/>
        <v>0</v>
      </c>
      <c r="L250" s="24">
        <f t="shared" ca="1" si="32"/>
        <v>4.3835616438356162</v>
      </c>
    </row>
    <row r="251" spans="2:12" ht="13.25" hidden="1" customHeight="1" x14ac:dyDescent="0.3">
      <c r="B251" s="21"/>
      <c r="E251" s="5">
        <v>247</v>
      </c>
      <c r="F251" s="5">
        <f t="shared" ca="1" si="26"/>
        <v>0</v>
      </c>
      <c r="G251" s="5">
        <f t="shared" ca="1" si="27"/>
        <v>160</v>
      </c>
      <c r="H251" s="5">
        <f t="shared" ca="1" si="30"/>
        <v>160</v>
      </c>
      <c r="I251" s="5">
        <f t="shared" ca="1" si="28"/>
        <v>0</v>
      </c>
      <c r="J251" s="5">
        <f t="shared" ca="1" si="29"/>
        <v>0</v>
      </c>
      <c r="K251" s="5">
        <f t="shared" ca="1" si="31"/>
        <v>0</v>
      </c>
      <c r="L251" s="24">
        <f t="shared" ca="1" si="32"/>
        <v>4.3835616438356162</v>
      </c>
    </row>
    <row r="252" spans="2:12" ht="13.25" hidden="1" customHeight="1" x14ac:dyDescent="0.3">
      <c r="B252" s="21"/>
      <c r="E252" s="5">
        <v>248</v>
      </c>
      <c r="F252" s="5">
        <f t="shared" ca="1" si="26"/>
        <v>100</v>
      </c>
      <c r="G252" s="5">
        <f t="shared" ca="1" si="27"/>
        <v>160</v>
      </c>
      <c r="H252" s="5">
        <f t="shared" ca="1" si="30"/>
        <v>60</v>
      </c>
      <c r="I252" s="5">
        <f t="shared" ca="1" si="28"/>
        <v>1</v>
      </c>
      <c r="J252" s="5">
        <f t="shared" ca="1" si="29"/>
        <v>0</v>
      </c>
      <c r="K252" s="5">
        <f t="shared" ca="1" si="31"/>
        <v>200</v>
      </c>
      <c r="L252" s="24">
        <f t="shared" ca="1" si="32"/>
        <v>1.6438356164383561</v>
      </c>
    </row>
    <row r="253" spans="2:12" ht="13.25" hidden="1" customHeight="1" x14ac:dyDescent="0.3">
      <c r="B253" s="21"/>
      <c r="E253" s="5">
        <v>249</v>
      </c>
      <c r="F253" s="5">
        <f t="shared" ca="1" si="26"/>
        <v>0</v>
      </c>
      <c r="G253" s="5">
        <f t="shared" ca="1" si="27"/>
        <v>1060</v>
      </c>
      <c r="H253" s="5">
        <f t="shared" ca="1" si="30"/>
        <v>1060</v>
      </c>
      <c r="I253" s="5">
        <f t="shared" ca="1" si="28"/>
        <v>0</v>
      </c>
      <c r="J253" s="5">
        <f t="shared" ca="1" si="29"/>
        <v>0</v>
      </c>
      <c r="K253" s="5">
        <f t="shared" ca="1" si="31"/>
        <v>0</v>
      </c>
      <c r="L253" s="24">
        <f t="shared" ca="1" si="32"/>
        <v>29.041095890410958</v>
      </c>
    </row>
    <row r="254" spans="2:12" ht="13.25" hidden="1" customHeight="1" x14ac:dyDescent="0.3">
      <c r="B254" s="21"/>
      <c r="E254" s="5">
        <v>250</v>
      </c>
      <c r="F254" s="5">
        <f t="shared" ca="1" si="26"/>
        <v>0</v>
      </c>
      <c r="G254" s="5">
        <f t="shared" ca="1" si="27"/>
        <v>1060</v>
      </c>
      <c r="H254" s="5">
        <f t="shared" ca="1" si="30"/>
        <v>1060</v>
      </c>
      <c r="I254" s="5">
        <f t="shared" ca="1" si="28"/>
        <v>0</v>
      </c>
      <c r="J254" s="5">
        <f t="shared" ca="1" si="29"/>
        <v>0</v>
      </c>
      <c r="K254" s="5">
        <f t="shared" ca="1" si="31"/>
        <v>0</v>
      </c>
      <c r="L254" s="24">
        <f t="shared" ca="1" si="32"/>
        <v>29.041095890410958</v>
      </c>
    </row>
    <row r="255" spans="2:12" ht="13.25" hidden="1" customHeight="1" x14ac:dyDescent="0.3">
      <c r="B255" s="21"/>
      <c r="E255" s="5">
        <v>251</v>
      </c>
      <c r="F255" s="5">
        <f t="shared" ca="1" si="26"/>
        <v>0</v>
      </c>
      <c r="G255" s="5">
        <f t="shared" ca="1" si="27"/>
        <v>1060</v>
      </c>
      <c r="H255" s="5">
        <f t="shared" ca="1" si="30"/>
        <v>1060</v>
      </c>
      <c r="I255" s="5">
        <f t="shared" ca="1" si="28"/>
        <v>0</v>
      </c>
      <c r="J255" s="5">
        <f t="shared" ca="1" si="29"/>
        <v>0</v>
      </c>
      <c r="K255" s="5">
        <f t="shared" ca="1" si="31"/>
        <v>0</v>
      </c>
      <c r="L255" s="24">
        <f t="shared" ca="1" si="32"/>
        <v>29.041095890410958</v>
      </c>
    </row>
    <row r="256" spans="2:12" ht="13.25" hidden="1" customHeight="1" x14ac:dyDescent="0.3">
      <c r="B256" s="21"/>
      <c r="E256" s="5">
        <v>252</v>
      </c>
      <c r="F256" s="5">
        <f t="shared" ca="1" si="26"/>
        <v>0</v>
      </c>
      <c r="G256" s="5">
        <f t="shared" ca="1" si="27"/>
        <v>1060</v>
      </c>
      <c r="H256" s="5">
        <f t="shared" ca="1" si="30"/>
        <v>1060</v>
      </c>
      <c r="I256" s="5">
        <f t="shared" ca="1" si="28"/>
        <v>0</v>
      </c>
      <c r="J256" s="5">
        <f t="shared" ca="1" si="29"/>
        <v>0</v>
      </c>
      <c r="K256" s="5">
        <f t="shared" ca="1" si="31"/>
        <v>0</v>
      </c>
      <c r="L256" s="24">
        <f t="shared" ca="1" si="32"/>
        <v>29.041095890410958</v>
      </c>
    </row>
    <row r="257" spans="2:12" ht="13.25" hidden="1" customHeight="1" x14ac:dyDescent="0.3">
      <c r="B257" s="21"/>
      <c r="E257" s="5">
        <v>253</v>
      </c>
      <c r="F257" s="5">
        <f t="shared" ca="1" si="26"/>
        <v>0</v>
      </c>
      <c r="G257" s="5">
        <f t="shared" ca="1" si="27"/>
        <v>1060</v>
      </c>
      <c r="H257" s="5">
        <f t="shared" ca="1" si="30"/>
        <v>1060</v>
      </c>
      <c r="I257" s="5">
        <f t="shared" ca="1" si="28"/>
        <v>0</v>
      </c>
      <c r="J257" s="5">
        <f t="shared" ca="1" si="29"/>
        <v>0</v>
      </c>
      <c r="K257" s="5">
        <f t="shared" ca="1" si="31"/>
        <v>0</v>
      </c>
      <c r="L257" s="24">
        <f t="shared" ca="1" si="32"/>
        <v>29.041095890410958</v>
      </c>
    </row>
    <row r="258" spans="2:12" ht="13.25" hidden="1" customHeight="1" x14ac:dyDescent="0.3">
      <c r="B258" s="21"/>
      <c r="E258" s="5">
        <v>254</v>
      </c>
      <c r="F258" s="5">
        <f t="shared" ca="1" si="26"/>
        <v>0</v>
      </c>
      <c r="G258" s="5">
        <f t="shared" ca="1" si="27"/>
        <v>1060</v>
      </c>
      <c r="H258" s="5">
        <f t="shared" ca="1" si="30"/>
        <v>1060</v>
      </c>
      <c r="I258" s="5">
        <f t="shared" ca="1" si="28"/>
        <v>0</v>
      </c>
      <c r="J258" s="5">
        <f t="shared" ca="1" si="29"/>
        <v>0</v>
      </c>
      <c r="K258" s="5">
        <f t="shared" ca="1" si="31"/>
        <v>0</v>
      </c>
      <c r="L258" s="24">
        <f t="shared" ca="1" si="32"/>
        <v>29.041095890410958</v>
      </c>
    </row>
    <row r="259" spans="2:12" ht="13.25" hidden="1" customHeight="1" x14ac:dyDescent="0.3">
      <c r="B259" s="21"/>
      <c r="E259" s="5">
        <v>255</v>
      </c>
      <c r="F259" s="5">
        <f t="shared" ca="1" si="26"/>
        <v>0</v>
      </c>
      <c r="G259" s="5">
        <f t="shared" ca="1" si="27"/>
        <v>1060</v>
      </c>
      <c r="H259" s="5">
        <f t="shared" ca="1" si="30"/>
        <v>1060</v>
      </c>
      <c r="I259" s="5">
        <f t="shared" ca="1" si="28"/>
        <v>0</v>
      </c>
      <c r="J259" s="5">
        <f t="shared" ca="1" si="29"/>
        <v>0</v>
      </c>
      <c r="K259" s="5">
        <f t="shared" ca="1" si="31"/>
        <v>0</v>
      </c>
      <c r="L259" s="24">
        <f t="shared" ca="1" si="32"/>
        <v>29.041095890410958</v>
      </c>
    </row>
    <row r="260" spans="2:12" ht="13.25" hidden="1" customHeight="1" x14ac:dyDescent="0.3">
      <c r="B260" s="21"/>
      <c r="E260" s="5">
        <v>256</v>
      </c>
      <c r="F260" s="5">
        <f t="shared" ca="1" si="26"/>
        <v>0</v>
      </c>
      <c r="G260" s="5">
        <f t="shared" ca="1" si="27"/>
        <v>1060</v>
      </c>
      <c r="H260" s="5">
        <f t="shared" ca="1" si="30"/>
        <v>1060</v>
      </c>
      <c r="I260" s="5">
        <f t="shared" ca="1" si="28"/>
        <v>0</v>
      </c>
      <c r="J260" s="5">
        <f t="shared" ca="1" si="29"/>
        <v>0</v>
      </c>
      <c r="K260" s="5">
        <f t="shared" ca="1" si="31"/>
        <v>0</v>
      </c>
      <c r="L260" s="24">
        <f t="shared" ca="1" si="32"/>
        <v>29.041095890410958</v>
      </c>
    </row>
    <row r="261" spans="2:12" ht="13.25" hidden="1" customHeight="1" x14ac:dyDescent="0.3">
      <c r="B261" s="21"/>
      <c r="E261" s="5">
        <v>257</v>
      </c>
      <c r="F261" s="5">
        <f t="shared" ref="F261:F324" ca="1" si="33">INDEX($Q$18:$Q$22,MATCH(RAND(),$S$17:$S$22,1))</f>
        <v>0</v>
      </c>
      <c r="G261" s="5">
        <f t="shared" ref="G261:G324" ca="1" si="34">H260+$C$9*I260</f>
        <v>1060</v>
      </c>
      <c r="H261" s="5">
        <f t="shared" ca="1" si="30"/>
        <v>1060</v>
      </c>
      <c r="I261" s="5">
        <f t="shared" ref="I261:I324" ca="1" si="35">IF(H261&lt;$C$3,1,0)</f>
        <v>0</v>
      </c>
      <c r="J261" s="5">
        <f t="shared" ref="J261:J324" ca="1" si="36">IF(G261&lt;F261,1,0)</f>
        <v>0</v>
      </c>
      <c r="K261" s="5">
        <f t="shared" ca="1" si="31"/>
        <v>0</v>
      </c>
      <c r="L261" s="24">
        <f t="shared" ca="1" si="32"/>
        <v>29.041095890410958</v>
      </c>
    </row>
    <row r="262" spans="2:12" ht="13.25" hidden="1" customHeight="1" x14ac:dyDescent="0.3">
      <c r="B262" s="21"/>
      <c r="E262" s="5">
        <v>258</v>
      </c>
      <c r="F262" s="5">
        <f t="shared" ca="1" si="33"/>
        <v>0</v>
      </c>
      <c r="G262" s="5">
        <f t="shared" ca="1" si="34"/>
        <v>1060</v>
      </c>
      <c r="H262" s="5">
        <f t="shared" ref="H262:H325" ca="1" si="37">IF(G262-F262&gt;0,G262-F262,0)</f>
        <v>1060</v>
      </c>
      <c r="I262" s="5">
        <f t="shared" ca="1" si="35"/>
        <v>0</v>
      </c>
      <c r="J262" s="5">
        <f t="shared" ca="1" si="36"/>
        <v>0</v>
      </c>
      <c r="K262" s="5">
        <f t="shared" ref="K262:K325" ca="1" si="38">I262*$C$4</f>
        <v>0</v>
      </c>
      <c r="L262" s="24">
        <f t="shared" ref="L262:L325" ca="1" si="39">H262*$C$7</f>
        <v>29.041095890410958</v>
      </c>
    </row>
    <row r="263" spans="2:12" ht="13.25" hidden="1" customHeight="1" x14ac:dyDescent="0.3">
      <c r="B263" s="21"/>
      <c r="E263" s="5">
        <v>259</v>
      </c>
      <c r="F263" s="5">
        <f t="shared" ca="1" si="33"/>
        <v>0</v>
      </c>
      <c r="G263" s="5">
        <f t="shared" ca="1" si="34"/>
        <v>1060</v>
      </c>
      <c r="H263" s="5">
        <f t="shared" ca="1" si="37"/>
        <v>1060</v>
      </c>
      <c r="I263" s="5">
        <f t="shared" ca="1" si="35"/>
        <v>0</v>
      </c>
      <c r="J263" s="5">
        <f t="shared" ca="1" si="36"/>
        <v>0</v>
      </c>
      <c r="K263" s="5">
        <f t="shared" ca="1" si="38"/>
        <v>0</v>
      </c>
      <c r="L263" s="24">
        <f t="shared" ca="1" si="39"/>
        <v>29.041095890410958</v>
      </c>
    </row>
    <row r="264" spans="2:12" ht="13.25" hidden="1" customHeight="1" x14ac:dyDescent="0.3">
      <c r="B264" s="21"/>
      <c r="E264" s="5">
        <v>260</v>
      </c>
      <c r="F264" s="5">
        <f t="shared" ca="1" si="33"/>
        <v>0</v>
      </c>
      <c r="G264" s="5">
        <f t="shared" ca="1" si="34"/>
        <v>1060</v>
      </c>
      <c r="H264" s="5">
        <f t="shared" ca="1" si="37"/>
        <v>1060</v>
      </c>
      <c r="I264" s="5">
        <f t="shared" ca="1" si="35"/>
        <v>0</v>
      </c>
      <c r="J264" s="5">
        <f t="shared" ca="1" si="36"/>
        <v>0</v>
      </c>
      <c r="K264" s="5">
        <f t="shared" ca="1" si="38"/>
        <v>0</v>
      </c>
      <c r="L264" s="24">
        <f t="shared" ca="1" si="39"/>
        <v>29.041095890410958</v>
      </c>
    </row>
    <row r="265" spans="2:12" ht="13.25" hidden="1" customHeight="1" x14ac:dyDescent="0.3">
      <c r="B265" s="21"/>
      <c r="E265" s="5">
        <v>261</v>
      </c>
      <c r="F265" s="5">
        <f t="shared" ca="1" si="33"/>
        <v>0</v>
      </c>
      <c r="G265" s="5">
        <f t="shared" ca="1" si="34"/>
        <v>1060</v>
      </c>
      <c r="H265" s="5">
        <f t="shared" ca="1" si="37"/>
        <v>1060</v>
      </c>
      <c r="I265" s="5">
        <f t="shared" ca="1" si="35"/>
        <v>0</v>
      </c>
      <c r="J265" s="5">
        <f t="shared" ca="1" si="36"/>
        <v>0</v>
      </c>
      <c r="K265" s="5">
        <f t="shared" ca="1" si="38"/>
        <v>0</v>
      </c>
      <c r="L265" s="24">
        <f t="shared" ca="1" si="39"/>
        <v>29.041095890410958</v>
      </c>
    </row>
    <row r="266" spans="2:12" ht="13.25" hidden="1" customHeight="1" x14ac:dyDescent="0.3">
      <c r="B266" s="21"/>
      <c r="E266" s="5">
        <v>262</v>
      </c>
      <c r="F266" s="5">
        <f t="shared" ca="1" si="33"/>
        <v>0</v>
      </c>
      <c r="G266" s="5">
        <f t="shared" ca="1" si="34"/>
        <v>1060</v>
      </c>
      <c r="H266" s="5">
        <f t="shared" ca="1" si="37"/>
        <v>1060</v>
      </c>
      <c r="I266" s="5">
        <f t="shared" ca="1" si="35"/>
        <v>0</v>
      </c>
      <c r="J266" s="5">
        <f t="shared" ca="1" si="36"/>
        <v>0</v>
      </c>
      <c r="K266" s="5">
        <f t="shared" ca="1" si="38"/>
        <v>0</v>
      </c>
      <c r="L266" s="24">
        <f t="shared" ca="1" si="39"/>
        <v>29.041095890410958</v>
      </c>
    </row>
    <row r="267" spans="2:12" ht="13.25" hidden="1" customHeight="1" x14ac:dyDescent="0.3">
      <c r="B267" s="21"/>
      <c r="E267" s="5">
        <v>263</v>
      </c>
      <c r="F267" s="5">
        <f t="shared" ca="1" si="33"/>
        <v>90</v>
      </c>
      <c r="G267" s="5">
        <f t="shared" ca="1" si="34"/>
        <v>1060</v>
      </c>
      <c r="H267" s="5">
        <f t="shared" ca="1" si="37"/>
        <v>970</v>
      </c>
      <c r="I267" s="5">
        <f t="shared" ca="1" si="35"/>
        <v>0</v>
      </c>
      <c r="J267" s="5">
        <f t="shared" ca="1" si="36"/>
        <v>0</v>
      </c>
      <c r="K267" s="5">
        <f t="shared" ca="1" si="38"/>
        <v>0</v>
      </c>
      <c r="L267" s="24">
        <f t="shared" ca="1" si="39"/>
        <v>26.575342465753423</v>
      </c>
    </row>
    <row r="268" spans="2:12" ht="13.25" hidden="1" customHeight="1" x14ac:dyDescent="0.3">
      <c r="B268" s="21"/>
      <c r="E268" s="5">
        <v>264</v>
      </c>
      <c r="F268" s="5">
        <f t="shared" ca="1" si="33"/>
        <v>0</v>
      </c>
      <c r="G268" s="5">
        <f t="shared" ca="1" si="34"/>
        <v>970</v>
      </c>
      <c r="H268" s="5">
        <f t="shared" ca="1" si="37"/>
        <v>970</v>
      </c>
      <c r="I268" s="5">
        <f t="shared" ca="1" si="35"/>
        <v>0</v>
      </c>
      <c r="J268" s="5">
        <f t="shared" ca="1" si="36"/>
        <v>0</v>
      </c>
      <c r="K268" s="5">
        <f t="shared" ca="1" si="38"/>
        <v>0</v>
      </c>
      <c r="L268" s="24">
        <f t="shared" ca="1" si="39"/>
        <v>26.575342465753423</v>
      </c>
    </row>
    <row r="269" spans="2:12" ht="13.25" hidden="1" customHeight="1" x14ac:dyDescent="0.3">
      <c r="B269" s="21"/>
      <c r="E269" s="5">
        <v>265</v>
      </c>
      <c r="F269" s="5">
        <f t="shared" ca="1" si="33"/>
        <v>120</v>
      </c>
      <c r="G269" s="5">
        <f t="shared" ca="1" si="34"/>
        <v>970</v>
      </c>
      <c r="H269" s="5">
        <f t="shared" ca="1" si="37"/>
        <v>850</v>
      </c>
      <c r="I269" s="5">
        <f t="shared" ca="1" si="35"/>
        <v>0</v>
      </c>
      <c r="J269" s="5">
        <f t="shared" ca="1" si="36"/>
        <v>0</v>
      </c>
      <c r="K269" s="5">
        <f t="shared" ca="1" si="38"/>
        <v>0</v>
      </c>
      <c r="L269" s="24">
        <f t="shared" ca="1" si="39"/>
        <v>23.287671232876711</v>
      </c>
    </row>
    <row r="270" spans="2:12" ht="13.25" hidden="1" customHeight="1" x14ac:dyDescent="0.3">
      <c r="B270" s="21"/>
      <c r="E270" s="5">
        <v>266</v>
      </c>
      <c r="F270" s="5">
        <f t="shared" ca="1" si="33"/>
        <v>0</v>
      </c>
      <c r="G270" s="5">
        <f t="shared" ca="1" si="34"/>
        <v>850</v>
      </c>
      <c r="H270" s="5">
        <f t="shared" ca="1" si="37"/>
        <v>850</v>
      </c>
      <c r="I270" s="5">
        <f t="shared" ca="1" si="35"/>
        <v>0</v>
      </c>
      <c r="J270" s="5">
        <f t="shared" ca="1" si="36"/>
        <v>0</v>
      </c>
      <c r="K270" s="5">
        <f t="shared" ca="1" si="38"/>
        <v>0</v>
      </c>
      <c r="L270" s="24">
        <f t="shared" ca="1" si="39"/>
        <v>23.287671232876711</v>
      </c>
    </row>
    <row r="271" spans="2:12" ht="13.25" hidden="1" customHeight="1" x14ac:dyDescent="0.3">
      <c r="B271" s="21"/>
      <c r="E271" s="5">
        <v>267</v>
      </c>
      <c r="F271" s="5">
        <f t="shared" ca="1" si="33"/>
        <v>110</v>
      </c>
      <c r="G271" s="5">
        <f t="shared" ca="1" si="34"/>
        <v>850</v>
      </c>
      <c r="H271" s="5">
        <f t="shared" ca="1" si="37"/>
        <v>740</v>
      </c>
      <c r="I271" s="5">
        <f t="shared" ca="1" si="35"/>
        <v>0</v>
      </c>
      <c r="J271" s="5">
        <f t="shared" ca="1" si="36"/>
        <v>0</v>
      </c>
      <c r="K271" s="5">
        <f t="shared" ca="1" si="38"/>
        <v>0</v>
      </c>
      <c r="L271" s="24">
        <f t="shared" ca="1" si="39"/>
        <v>20.273972602739725</v>
      </c>
    </row>
    <row r="272" spans="2:12" ht="13.25" hidden="1" customHeight="1" x14ac:dyDescent="0.3">
      <c r="B272" s="21"/>
      <c r="E272" s="5">
        <v>268</v>
      </c>
      <c r="F272" s="5">
        <f t="shared" ca="1" si="33"/>
        <v>0</v>
      </c>
      <c r="G272" s="5">
        <f t="shared" ca="1" si="34"/>
        <v>740</v>
      </c>
      <c r="H272" s="5">
        <f t="shared" ca="1" si="37"/>
        <v>740</v>
      </c>
      <c r="I272" s="5">
        <f t="shared" ca="1" si="35"/>
        <v>0</v>
      </c>
      <c r="J272" s="5">
        <f t="shared" ca="1" si="36"/>
        <v>0</v>
      </c>
      <c r="K272" s="5">
        <f t="shared" ca="1" si="38"/>
        <v>0</v>
      </c>
      <c r="L272" s="24">
        <f t="shared" ca="1" si="39"/>
        <v>20.273972602739725</v>
      </c>
    </row>
    <row r="273" spans="2:12" ht="13.25" hidden="1" customHeight="1" x14ac:dyDescent="0.3">
      <c r="B273" s="21"/>
      <c r="E273" s="5">
        <v>269</v>
      </c>
      <c r="F273" s="5">
        <f t="shared" ca="1" si="33"/>
        <v>0</v>
      </c>
      <c r="G273" s="5">
        <f t="shared" ca="1" si="34"/>
        <v>740</v>
      </c>
      <c r="H273" s="5">
        <f t="shared" ca="1" si="37"/>
        <v>740</v>
      </c>
      <c r="I273" s="5">
        <f t="shared" ca="1" si="35"/>
        <v>0</v>
      </c>
      <c r="J273" s="5">
        <f t="shared" ca="1" si="36"/>
        <v>0</v>
      </c>
      <c r="K273" s="5">
        <f t="shared" ca="1" si="38"/>
        <v>0</v>
      </c>
      <c r="L273" s="24">
        <f t="shared" ca="1" si="39"/>
        <v>20.273972602739725</v>
      </c>
    </row>
    <row r="274" spans="2:12" ht="13.25" hidden="1" customHeight="1" x14ac:dyDescent="0.3">
      <c r="B274" s="21"/>
      <c r="E274" s="5">
        <v>270</v>
      </c>
      <c r="F274" s="5">
        <f t="shared" ca="1" si="33"/>
        <v>120</v>
      </c>
      <c r="G274" s="5">
        <f t="shared" ca="1" si="34"/>
        <v>740</v>
      </c>
      <c r="H274" s="5">
        <f t="shared" ca="1" si="37"/>
        <v>620</v>
      </c>
      <c r="I274" s="5">
        <f t="shared" ca="1" si="35"/>
        <v>0</v>
      </c>
      <c r="J274" s="5">
        <f t="shared" ca="1" si="36"/>
        <v>0</v>
      </c>
      <c r="K274" s="5">
        <f t="shared" ca="1" si="38"/>
        <v>0</v>
      </c>
      <c r="L274" s="24">
        <f t="shared" ca="1" si="39"/>
        <v>16.986301369863014</v>
      </c>
    </row>
    <row r="275" spans="2:12" ht="13.25" hidden="1" customHeight="1" x14ac:dyDescent="0.3">
      <c r="B275" s="21"/>
      <c r="E275" s="5">
        <v>271</v>
      </c>
      <c r="F275" s="5">
        <f t="shared" ca="1" si="33"/>
        <v>110</v>
      </c>
      <c r="G275" s="5">
        <f t="shared" ca="1" si="34"/>
        <v>620</v>
      </c>
      <c r="H275" s="5">
        <f t="shared" ca="1" si="37"/>
        <v>510</v>
      </c>
      <c r="I275" s="5">
        <f t="shared" ca="1" si="35"/>
        <v>0</v>
      </c>
      <c r="J275" s="5">
        <f t="shared" ca="1" si="36"/>
        <v>0</v>
      </c>
      <c r="K275" s="5">
        <f t="shared" ca="1" si="38"/>
        <v>0</v>
      </c>
      <c r="L275" s="24">
        <f t="shared" ca="1" si="39"/>
        <v>13.972602739726026</v>
      </c>
    </row>
    <row r="276" spans="2:12" ht="13.25" hidden="1" customHeight="1" x14ac:dyDescent="0.3">
      <c r="B276" s="21"/>
      <c r="E276" s="5">
        <v>272</v>
      </c>
      <c r="F276" s="5">
        <f t="shared" ca="1" si="33"/>
        <v>0</v>
      </c>
      <c r="G276" s="5">
        <f t="shared" ca="1" si="34"/>
        <v>510</v>
      </c>
      <c r="H276" s="5">
        <f t="shared" ca="1" si="37"/>
        <v>510</v>
      </c>
      <c r="I276" s="5">
        <f t="shared" ca="1" si="35"/>
        <v>0</v>
      </c>
      <c r="J276" s="5">
        <f t="shared" ca="1" si="36"/>
        <v>0</v>
      </c>
      <c r="K276" s="5">
        <f t="shared" ca="1" si="38"/>
        <v>0</v>
      </c>
      <c r="L276" s="24">
        <f t="shared" ca="1" si="39"/>
        <v>13.972602739726026</v>
      </c>
    </row>
    <row r="277" spans="2:12" ht="13.25" hidden="1" customHeight="1" x14ac:dyDescent="0.3">
      <c r="B277" s="21"/>
      <c r="E277" s="5">
        <v>273</v>
      </c>
      <c r="F277" s="5">
        <f t="shared" ca="1" si="33"/>
        <v>0</v>
      </c>
      <c r="G277" s="5">
        <f t="shared" ca="1" si="34"/>
        <v>510</v>
      </c>
      <c r="H277" s="5">
        <f t="shared" ca="1" si="37"/>
        <v>510</v>
      </c>
      <c r="I277" s="5">
        <f t="shared" ca="1" si="35"/>
        <v>0</v>
      </c>
      <c r="J277" s="5">
        <f t="shared" ca="1" si="36"/>
        <v>0</v>
      </c>
      <c r="K277" s="5">
        <f t="shared" ca="1" si="38"/>
        <v>0</v>
      </c>
      <c r="L277" s="24">
        <f t="shared" ca="1" si="39"/>
        <v>13.972602739726026</v>
      </c>
    </row>
    <row r="278" spans="2:12" ht="13.25" hidden="1" customHeight="1" x14ac:dyDescent="0.3">
      <c r="B278" s="21"/>
      <c r="E278" s="5">
        <v>274</v>
      </c>
      <c r="F278" s="5">
        <f t="shared" ca="1" si="33"/>
        <v>90</v>
      </c>
      <c r="G278" s="5">
        <f t="shared" ca="1" si="34"/>
        <v>510</v>
      </c>
      <c r="H278" s="5">
        <f t="shared" ca="1" si="37"/>
        <v>420</v>
      </c>
      <c r="I278" s="5">
        <f t="shared" ca="1" si="35"/>
        <v>0</v>
      </c>
      <c r="J278" s="5">
        <f t="shared" ca="1" si="36"/>
        <v>0</v>
      </c>
      <c r="K278" s="5">
        <f t="shared" ca="1" si="38"/>
        <v>0</v>
      </c>
      <c r="L278" s="24">
        <f t="shared" ca="1" si="39"/>
        <v>11.506849315068493</v>
      </c>
    </row>
    <row r="279" spans="2:12" ht="13.25" hidden="1" customHeight="1" x14ac:dyDescent="0.3">
      <c r="B279" s="21"/>
      <c r="E279" s="5">
        <v>275</v>
      </c>
      <c r="F279" s="5">
        <f t="shared" ca="1" si="33"/>
        <v>0</v>
      </c>
      <c r="G279" s="5">
        <f t="shared" ca="1" si="34"/>
        <v>420</v>
      </c>
      <c r="H279" s="5">
        <f t="shared" ca="1" si="37"/>
        <v>420</v>
      </c>
      <c r="I279" s="5">
        <f t="shared" ca="1" si="35"/>
        <v>0</v>
      </c>
      <c r="J279" s="5">
        <f t="shared" ca="1" si="36"/>
        <v>0</v>
      </c>
      <c r="K279" s="5">
        <f t="shared" ca="1" si="38"/>
        <v>0</v>
      </c>
      <c r="L279" s="24">
        <f t="shared" ca="1" si="39"/>
        <v>11.506849315068493</v>
      </c>
    </row>
    <row r="280" spans="2:12" ht="13.25" hidden="1" customHeight="1" x14ac:dyDescent="0.3">
      <c r="B280" s="21"/>
      <c r="E280" s="5">
        <v>276</v>
      </c>
      <c r="F280" s="5">
        <f t="shared" ca="1" si="33"/>
        <v>110</v>
      </c>
      <c r="G280" s="5">
        <f t="shared" ca="1" si="34"/>
        <v>420</v>
      </c>
      <c r="H280" s="5">
        <f t="shared" ca="1" si="37"/>
        <v>310</v>
      </c>
      <c r="I280" s="5">
        <f t="shared" ca="1" si="35"/>
        <v>0</v>
      </c>
      <c r="J280" s="5">
        <f t="shared" ca="1" si="36"/>
        <v>0</v>
      </c>
      <c r="K280" s="5">
        <f t="shared" ca="1" si="38"/>
        <v>0</v>
      </c>
      <c r="L280" s="24">
        <f t="shared" ca="1" si="39"/>
        <v>8.493150684931507</v>
      </c>
    </row>
    <row r="281" spans="2:12" ht="13.25" hidden="1" customHeight="1" x14ac:dyDescent="0.3">
      <c r="B281" s="21"/>
      <c r="E281" s="5">
        <v>277</v>
      </c>
      <c r="F281" s="5">
        <f t="shared" ca="1" si="33"/>
        <v>0</v>
      </c>
      <c r="G281" s="5">
        <f t="shared" ca="1" si="34"/>
        <v>310</v>
      </c>
      <c r="H281" s="5">
        <f t="shared" ca="1" si="37"/>
        <v>310</v>
      </c>
      <c r="I281" s="5">
        <f t="shared" ca="1" si="35"/>
        <v>0</v>
      </c>
      <c r="J281" s="5">
        <f t="shared" ca="1" si="36"/>
        <v>0</v>
      </c>
      <c r="K281" s="5">
        <f t="shared" ca="1" si="38"/>
        <v>0</v>
      </c>
      <c r="L281" s="24">
        <f t="shared" ca="1" si="39"/>
        <v>8.493150684931507</v>
      </c>
    </row>
    <row r="282" spans="2:12" ht="13.25" hidden="1" customHeight="1" x14ac:dyDescent="0.3">
      <c r="B282" s="21"/>
      <c r="E282" s="5">
        <v>278</v>
      </c>
      <c r="F282" s="5">
        <f t="shared" ca="1" si="33"/>
        <v>0</v>
      </c>
      <c r="G282" s="5">
        <f t="shared" ca="1" si="34"/>
        <v>310</v>
      </c>
      <c r="H282" s="5">
        <f t="shared" ca="1" si="37"/>
        <v>310</v>
      </c>
      <c r="I282" s="5">
        <f t="shared" ca="1" si="35"/>
        <v>0</v>
      </c>
      <c r="J282" s="5">
        <f t="shared" ca="1" si="36"/>
        <v>0</v>
      </c>
      <c r="K282" s="5">
        <f t="shared" ca="1" si="38"/>
        <v>0</v>
      </c>
      <c r="L282" s="24">
        <f t="shared" ca="1" si="39"/>
        <v>8.493150684931507</v>
      </c>
    </row>
    <row r="283" spans="2:12" ht="13.25" hidden="1" customHeight="1" x14ac:dyDescent="0.3">
      <c r="B283" s="21"/>
      <c r="E283" s="5">
        <v>279</v>
      </c>
      <c r="F283" s="5">
        <f t="shared" ca="1" si="33"/>
        <v>110</v>
      </c>
      <c r="G283" s="5">
        <f t="shared" ca="1" si="34"/>
        <v>310</v>
      </c>
      <c r="H283" s="5">
        <f t="shared" ca="1" si="37"/>
        <v>200</v>
      </c>
      <c r="I283" s="5">
        <f t="shared" ca="1" si="35"/>
        <v>0</v>
      </c>
      <c r="J283" s="5">
        <f t="shared" ca="1" si="36"/>
        <v>0</v>
      </c>
      <c r="K283" s="5">
        <f t="shared" ca="1" si="38"/>
        <v>0</v>
      </c>
      <c r="L283" s="24">
        <f t="shared" ca="1" si="39"/>
        <v>5.4794520547945202</v>
      </c>
    </row>
    <row r="284" spans="2:12" ht="13.25" hidden="1" customHeight="1" x14ac:dyDescent="0.3">
      <c r="B284" s="21"/>
      <c r="E284" s="5">
        <v>280</v>
      </c>
      <c r="F284" s="5">
        <f t="shared" ca="1" si="33"/>
        <v>120</v>
      </c>
      <c r="G284" s="5">
        <f t="shared" ca="1" si="34"/>
        <v>200</v>
      </c>
      <c r="H284" s="5">
        <f t="shared" ca="1" si="37"/>
        <v>80</v>
      </c>
      <c r="I284" s="5">
        <f t="shared" ca="1" si="35"/>
        <v>1</v>
      </c>
      <c r="J284" s="5">
        <f t="shared" ca="1" si="36"/>
        <v>0</v>
      </c>
      <c r="K284" s="5">
        <f t="shared" ca="1" si="38"/>
        <v>200</v>
      </c>
      <c r="L284" s="24">
        <f t="shared" ca="1" si="39"/>
        <v>2.1917808219178081</v>
      </c>
    </row>
    <row r="285" spans="2:12" ht="13.25" hidden="1" customHeight="1" x14ac:dyDescent="0.3">
      <c r="B285" s="21"/>
      <c r="E285" s="5">
        <v>281</v>
      </c>
      <c r="F285" s="5">
        <f t="shared" ca="1" si="33"/>
        <v>0</v>
      </c>
      <c r="G285" s="5">
        <f t="shared" ca="1" si="34"/>
        <v>1080</v>
      </c>
      <c r="H285" s="5">
        <f t="shared" ca="1" si="37"/>
        <v>1080</v>
      </c>
      <c r="I285" s="5">
        <f t="shared" ca="1" si="35"/>
        <v>0</v>
      </c>
      <c r="J285" s="5">
        <f t="shared" ca="1" si="36"/>
        <v>0</v>
      </c>
      <c r="K285" s="5">
        <f t="shared" ca="1" si="38"/>
        <v>0</v>
      </c>
      <c r="L285" s="24">
        <f t="shared" ca="1" si="39"/>
        <v>29.589041095890408</v>
      </c>
    </row>
    <row r="286" spans="2:12" ht="13.25" hidden="1" customHeight="1" x14ac:dyDescent="0.3">
      <c r="B286" s="21"/>
      <c r="E286" s="5">
        <v>282</v>
      </c>
      <c r="F286" s="5">
        <f t="shared" ca="1" si="33"/>
        <v>0</v>
      </c>
      <c r="G286" s="5">
        <f t="shared" ca="1" si="34"/>
        <v>1080</v>
      </c>
      <c r="H286" s="5">
        <f t="shared" ca="1" si="37"/>
        <v>1080</v>
      </c>
      <c r="I286" s="5">
        <f t="shared" ca="1" si="35"/>
        <v>0</v>
      </c>
      <c r="J286" s="5">
        <f t="shared" ca="1" si="36"/>
        <v>0</v>
      </c>
      <c r="K286" s="5">
        <f t="shared" ca="1" si="38"/>
        <v>0</v>
      </c>
      <c r="L286" s="24">
        <f t="shared" ca="1" si="39"/>
        <v>29.589041095890408</v>
      </c>
    </row>
    <row r="287" spans="2:12" ht="13.25" hidden="1" customHeight="1" x14ac:dyDescent="0.3">
      <c r="B287" s="21"/>
      <c r="E287" s="5">
        <v>283</v>
      </c>
      <c r="F287" s="5">
        <f t="shared" ca="1" si="33"/>
        <v>0</v>
      </c>
      <c r="G287" s="5">
        <f t="shared" ca="1" si="34"/>
        <v>1080</v>
      </c>
      <c r="H287" s="5">
        <f t="shared" ca="1" si="37"/>
        <v>1080</v>
      </c>
      <c r="I287" s="5">
        <f t="shared" ca="1" si="35"/>
        <v>0</v>
      </c>
      <c r="J287" s="5">
        <f t="shared" ca="1" si="36"/>
        <v>0</v>
      </c>
      <c r="K287" s="5">
        <f t="shared" ca="1" si="38"/>
        <v>0</v>
      </c>
      <c r="L287" s="24">
        <f t="shared" ca="1" si="39"/>
        <v>29.589041095890408</v>
      </c>
    </row>
    <row r="288" spans="2:12" ht="13.25" hidden="1" customHeight="1" x14ac:dyDescent="0.3">
      <c r="B288" s="21"/>
      <c r="E288" s="5">
        <v>284</v>
      </c>
      <c r="F288" s="5">
        <f t="shared" ca="1" si="33"/>
        <v>0</v>
      </c>
      <c r="G288" s="5">
        <f t="shared" ca="1" si="34"/>
        <v>1080</v>
      </c>
      <c r="H288" s="5">
        <f t="shared" ca="1" si="37"/>
        <v>1080</v>
      </c>
      <c r="I288" s="5">
        <f t="shared" ca="1" si="35"/>
        <v>0</v>
      </c>
      <c r="J288" s="5">
        <f t="shared" ca="1" si="36"/>
        <v>0</v>
      </c>
      <c r="K288" s="5">
        <f t="shared" ca="1" si="38"/>
        <v>0</v>
      </c>
      <c r="L288" s="24">
        <f t="shared" ca="1" si="39"/>
        <v>29.589041095890408</v>
      </c>
    </row>
    <row r="289" spans="2:12" ht="13.25" hidden="1" customHeight="1" x14ac:dyDescent="0.3">
      <c r="B289" s="21"/>
      <c r="E289" s="5">
        <v>285</v>
      </c>
      <c r="F289" s="5">
        <f t="shared" ca="1" si="33"/>
        <v>0</v>
      </c>
      <c r="G289" s="5">
        <f t="shared" ca="1" si="34"/>
        <v>1080</v>
      </c>
      <c r="H289" s="5">
        <f t="shared" ca="1" si="37"/>
        <v>1080</v>
      </c>
      <c r="I289" s="5">
        <f t="shared" ca="1" si="35"/>
        <v>0</v>
      </c>
      <c r="J289" s="5">
        <f t="shared" ca="1" si="36"/>
        <v>0</v>
      </c>
      <c r="K289" s="5">
        <f t="shared" ca="1" si="38"/>
        <v>0</v>
      </c>
      <c r="L289" s="24">
        <f t="shared" ca="1" si="39"/>
        <v>29.589041095890408</v>
      </c>
    </row>
    <row r="290" spans="2:12" ht="13.25" hidden="1" customHeight="1" x14ac:dyDescent="0.3">
      <c r="B290" s="21"/>
      <c r="E290" s="5">
        <v>286</v>
      </c>
      <c r="F290" s="5">
        <f t="shared" ca="1" si="33"/>
        <v>0</v>
      </c>
      <c r="G290" s="5">
        <f t="shared" ca="1" si="34"/>
        <v>1080</v>
      </c>
      <c r="H290" s="5">
        <f t="shared" ca="1" si="37"/>
        <v>1080</v>
      </c>
      <c r="I290" s="5">
        <f t="shared" ca="1" si="35"/>
        <v>0</v>
      </c>
      <c r="J290" s="5">
        <f t="shared" ca="1" si="36"/>
        <v>0</v>
      </c>
      <c r="K290" s="5">
        <f t="shared" ca="1" si="38"/>
        <v>0</v>
      </c>
      <c r="L290" s="24">
        <f t="shared" ca="1" si="39"/>
        <v>29.589041095890408</v>
      </c>
    </row>
    <row r="291" spans="2:12" ht="13.25" hidden="1" customHeight="1" x14ac:dyDescent="0.3">
      <c r="B291" s="21"/>
      <c r="E291" s="5">
        <v>287</v>
      </c>
      <c r="F291" s="5">
        <f t="shared" ca="1" si="33"/>
        <v>0</v>
      </c>
      <c r="G291" s="5">
        <f t="shared" ca="1" si="34"/>
        <v>1080</v>
      </c>
      <c r="H291" s="5">
        <f t="shared" ca="1" si="37"/>
        <v>1080</v>
      </c>
      <c r="I291" s="5">
        <f t="shared" ca="1" si="35"/>
        <v>0</v>
      </c>
      <c r="J291" s="5">
        <f t="shared" ca="1" si="36"/>
        <v>0</v>
      </c>
      <c r="K291" s="5">
        <f t="shared" ca="1" si="38"/>
        <v>0</v>
      </c>
      <c r="L291" s="24">
        <f t="shared" ca="1" si="39"/>
        <v>29.589041095890408</v>
      </c>
    </row>
    <row r="292" spans="2:12" ht="13.25" hidden="1" customHeight="1" x14ac:dyDescent="0.3">
      <c r="B292" s="21"/>
      <c r="E292" s="5">
        <v>288</v>
      </c>
      <c r="F292" s="5">
        <f t="shared" ca="1" si="33"/>
        <v>90</v>
      </c>
      <c r="G292" s="5">
        <f t="shared" ca="1" si="34"/>
        <v>1080</v>
      </c>
      <c r="H292" s="5">
        <f t="shared" ca="1" si="37"/>
        <v>990</v>
      </c>
      <c r="I292" s="5">
        <f t="shared" ca="1" si="35"/>
        <v>0</v>
      </c>
      <c r="J292" s="5">
        <f t="shared" ca="1" si="36"/>
        <v>0</v>
      </c>
      <c r="K292" s="5">
        <f t="shared" ca="1" si="38"/>
        <v>0</v>
      </c>
      <c r="L292" s="24">
        <f t="shared" ca="1" si="39"/>
        <v>27.123287671232877</v>
      </c>
    </row>
    <row r="293" spans="2:12" ht="13.25" hidden="1" customHeight="1" x14ac:dyDescent="0.3">
      <c r="B293" s="21"/>
      <c r="E293" s="5">
        <v>289</v>
      </c>
      <c r="F293" s="5">
        <f t="shared" ca="1" si="33"/>
        <v>0</v>
      </c>
      <c r="G293" s="5">
        <f t="shared" ca="1" si="34"/>
        <v>990</v>
      </c>
      <c r="H293" s="5">
        <f t="shared" ca="1" si="37"/>
        <v>990</v>
      </c>
      <c r="I293" s="5">
        <f t="shared" ca="1" si="35"/>
        <v>0</v>
      </c>
      <c r="J293" s="5">
        <f t="shared" ca="1" si="36"/>
        <v>0</v>
      </c>
      <c r="K293" s="5">
        <f t="shared" ca="1" si="38"/>
        <v>0</v>
      </c>
      <c r="L293" s="24">
        <f t="shared" ca="1" si="39"/>
        <v>27.123287671232877</v>
      </c>
    </row>
    <row r="294" spans="2:12" ht="13.25" hidden="1" customHeight="1" x14ac:dyDescent="0.3">
      <c r="B294" s="21"/>
      <c r="E294" s="5">
        <v>290</v>
      </c>
      <c r="F294" s="5">
        <f t="shared" ca="1" si="33"/>
        <v>0</v>
      </c>
      <c r="G294" s="5">
        <f t="shared" ca="1" si="34"/>
        <v>990</v>
      </c>
      <c r="H294" s="5">
        <f t="shared" ca="1" si="37"/>
        <v>990</v>
      </c>
      <c r="I294" s="5">
        <f t="shared" ca="1" si="35"/>
        <v>0</v>
      </c>
      <c r="J294" s="5">
        <f t="shared" ca="1" si="36"/>
        <v>0</v>
      </c>
      <c r="K294" s="5">
        <f t="shared" ca="1" si="38"/>
        <v>0</v>
      </c>
      <c r="L294" s="24">
        <f t="shared" ca="1" si="39"/>
        <v>27.123287671232877</v>
      </c>
    </row>
    <row r="295" spans="2:12" ht="13.25" hidden="1" customHeight="1" x14ac:dyDescent="0.3">
      <c r="B295" s="21"/>
      <c r="E295" s="5">
        <v>291</v>
      </c>
      <c r="F295" s="5">
        <f t="shared" ca="1" si="33"/>
        <v>100</v>
      </c>
      <c r="G295" s="5">
        <f t="shared" ca="1" si="34"/>
        <v>990</v>
      </c>
      <c r="H295" s="5">
        <f t="shared" ca="1" si="37"/>
        <v>890</v>
      </c>
      <c r="I295" s="5">
        <f t="shared" ca="1" si="35"/>
        <v>0</v>
      </c>
      <c r="J295" s="5">
        <f t="shared" ca="1" si="36"/>
        <v>0</v>
      </c>
      <c r="K295" s="5">
        <f t="shared" ca="1" si="38"/>
        <v>0</v>
      </c>
      <c r="L295" s="24">
        <f t="shared" ca="1" si="39"/>
        <v>24.383561643835616</v>
      </c>
    </row>
    <row r="296" spans="2:12" ht="13.25" hidden="1" customHeight="1" x14ac:dyDescent="0.3">
      <c r="B296" s="21"/>
      <c r="E296" s="5">
        <v>292</v>
      </c>
      <c r="F296" s="5">
        <f t="shared" ca="1" si="33"/>
        <v>100</v>
      </c>
      <c r="G296" s="5">
        <f t="shared" ca="1" si="34"/>
        <v>890</v>
      </c>
      <c r="H296" s="5">
        <f t="shared" ca="1" si="37"/>
        <v>790</v>
      </c>
      <c r="I296" s="5">
        <f t="shared" ca="1" si="35"/>
        <v>0</v>
      </c>
      <c r="J296" s="5">
        <f t="shared" ca="1" si="36"/>
        <v>0</v>
      </c>
      <c r="K296" s="5">
        <f t="shared" ca="1" si="38"/>
        <v>0</v>
      </c>
      <c r="L296" s="24">
        <f t="shared" ca="1" si="39"/>
        <v>21.643835616438356</v>
      </c>
    </row>
    <row r="297" spans="2:12" ht="13.25" hidden="1" customHeight="1" x14ac:dyDescent="0.3">
      <c r="B297" s="21"/>
      <c r="E297" s="5">
        <v>293</v>
      </c>
      <c r="F297" s="5">
        <f t="shared" ca="1" si="33"/>
        <v>0</v>
      </c>
      <c r="G297" s="5">
        <f t="shared" ca="1" si="34"/>
        <v>790</v>
      </c>
      <c r="H297" s="5">
        <f t="shared" ca="1" si="37"/>
        <v>790</v>
      </c>
      <c r="I297" s="5">
        <f t="shared" ca="1" si="35"/>
        <v>0</v>
      </c>
      <c r="J297" s="5">
        <f t="shared" ca="1" si="36"/>
        <v>0</v>
      </c>
      <c r="K297" s="5">
        <f t="shared" ca="1" si="38"/>
        <v>0</v>
      </c>
      <c r="L297" s="24">
        <f t="shared" ca="1" si="39"/>
        <v>21.643835616438356</v>
      </c>
    </row>
    <row r="298" spans="2:12" ht="13.25" hidden="1" customHeight="1" x14ac:dyDescent="0.3">
      <c r="B298" s="21"/>
      <c r="E298" s="5">
        <v>294</v>
      </c>
      <c r="F298" s="5">
        <f t="shared" ca="1" si="33"/>
        <v>0</v>
      </c>
      <c r="G298" s="5">
        <f t="shared" ca="1" si="34"/>
        <v>790</v>
      </c>
      <c r="H298" s="5">
        <f t="shared" ca="1" si="37"/>
        <v>790</v>
      </c>
      <c r="I298" s="5">
        <f t="shared" ca="1" si="35"/>
        <v>0</v>
      </c>
      <c r="J298" s="5">
        <f t="shared" ca="1" si="36"/>
        <v>0</v>
      </c>
      <c r="K298" s="5">
        <f t="shared" ca="1" si="38"/>
        <v>0</v>
      </c>
      <c r="L298" s="24">
        <f t="shared" ca="1" si="39"/>
        <v>21.643835616438356</v>
      </c>
    </row>
    <row r="299" spans="2:12" ht="13.25" hidden="1" customHeight="1" x14ac:dyDescent="0.3">
      <c r="B299" s="21"/>
      <c r="E299" s="5">
        <v>295</v>
      </c>
      <c r="F299" s="5">
        <f t="shared" ca="1" si="33"/>
        <v>0</v>
      </c>
      <c r="G299" s="5">
        <f t="shared" ca="1" si="34"/>
        <v>790</v>
      </c>
      <c r="H299" s="5">
        <f t="shared" ca="1" si="37"/>
        <v>790</v>
      </c>
      <c r="I299" s="5">
        <f t="shared" ca="1" si="35"/>
        <v>0</v>
      </c>
      <c r="J299" s="5">
        <f t="shared" ca="1" si="36"/>
        <v>0</v>
      </c>
      <c r="K299" s="5">
        <f t="shared" ca="1" si="38"/>
        <v>0</v>
      </c>
      <c r="L299" s="24">
        <f t="shared" ca="1" si="39"/>
        <v>21.643835616438356</v>
      </c>
    </row>
    <row r="300" spans="2:12" ht="13.25" hidden="1" customHeight="1" x14ac:dyDescent="0.3">
      <c r="B300" s="21"/>
      <c r="E300" s="5">
        <v>296</v>
      </c>
      <c r="F300" s="5">
        <f t="shared" ca="1" si="33"/>
        <v>100</v>
      </c>
      <c r="G300" s="5">
        <f t="shared" ca="1" si="34"/>
        <v>790</v>
      </c>
      <c r="H300" s="5">
        <f t="shared" ca="1" si="37"/>
        <v>690</v>
      </c>
      <c r="I300" s="5">
        <f t="shared" ca="1" si="35"/>
        <v>0</v>
      </c>
      <c r="J300" s="5">
        <f t="shared" ca="1" si="36"/>
        <v>0</v>
      </c>
      <c r="K300" s="5">
        <f t="shared" ca="1" si="38"/>
        <v>0</v>
      </c>
      <c r="L300" s="24">
        <f t="shared" ca="1" si="39"/>
        <v>18.904109589041095</v>
      </c>
    </row>
    <row r="301" spans="2:12" ht="13.25" hidden="1" customHeight="1" x14ac:dyDescent="0.3">
      <c r="B301" s="21"/>
      <c r="E301" s="5">
        <v>297</v>
      </c>
      <c r="F301" s="5">
        <f t="shared" ca="1" si="33"/>
        <v>0</v>
      </c>
      <c r="G301" s="5">
        <f t="shared" ca="1" si="34"/>
        <v>690</v>
      </c>
      <c r="H301" s="5">
        <f t="shared" ca="1" si="37"/>
        <v>690</v>
      </c>
      <c r="I301" s="5">
        <f t="shared" ca="1" si="35"/>
        <v>0</v>
      </c>
      <c r="J301" s="5">
        <f t="shared" ca="1" si="36"/>
        <v>0</v>
      </c>
      <c r="K301" s="5">
        <f t="shared" ca="1" si="38"/>
        <v>0</v>
      </c>
      <c r="L301" s="24">
        <f t="shared" ca="1" si="39"/>
        <v>18.904109589041095</v>
      </c>
    </row>
    <row r="302" spans="2:12" ht="13.25" hidden="1" customHeight="1" x14ac:dyDescent="0.3">
      <c r="B302" s="21"/>
      <c r="E302" s="5">
        <v>298</v>
      </c>
      <c r="F302" s="5">
        <f t="shared" ca="1" si="33"/>
        <v>110</v>
      </c>
      <c r="G302" s="5">
        <f t="shared" ca="1" si="34"/>
        <v>690</v>
      </c>
      <c r="H302" s="5">
        <f t="shared" ca="1" si="37"/>
        <v>580</v>
      </c>
      <c r="I302" s="5">
        <f t="shared" ca="1" si="35"/>
        <v>0</v>
      </c>
      <c r="J302" s="5">
        <f t="shared" ca="1" si="36"/>
        <v>0</v>
      </c>
      <c r="K302" s="5">
        <f t="shared" ca="1" si="38"/>
        <v>0</v>
      </c>
      <c r="L302" s="24">
        <f t="shared" ca="1" si="39"/>
        <v>15.890410958904109</v>
      </c>
    </row>
    <row r="303" spans="2:12" ht="13.25" hidden="1" customHeight="1" x14ac:dyDescent="0.3">
      <c r="B303" s="21"/>
      <c r="E303" s="5">
        <v>299</v>
      </c>
      <c r="F303" s="5">
        <f t="shared" ca="1" si="33"/>
        <v>0</v>
      </c>
      <c r="G303" s="5">
        <f t="shared" ca="1" si="34"/>
        <v>580</v>
      </c>
      <c r="H303" s="5">
        <f t="shared" ca="1" si="37"/>
        <v>580</v>
      </c>
      <c r="I303" s="5">
        <f t="shared" ca="1" si="35"/>
        <v>0</v>
      </c>
      <c r="J303" s="5">
        <f t="shared" ca="1" si="36"/>
        <v>0</v>
      </c>
      <c r="K303" s="5">
        <f t="shared" ca="1" si="38"/>
        <v>0</v>
      </c>
      <c r="L303" s="24">
        <f t="shared" ca="1" si="39"/>
        <v>15.890410958904109</v>
      </c>
    </row>
    <row r="304" spans="2:12" ht="13.25" hidden="1" customHeight="1" x14ac:dyDescent="0.3">
      <c r="B304" s="21"/>
      <c r="E304" s="5">
        <v>300</v>
      </c>
      <c r="F304" s="5">
        <f t="shared" ca="1" si="33"/>
        <v>0</v>
      </c>
      <c r="G304" s="5">
        <f t="shared" ca="1" si="34"/>
        <v>580</v>
      </c>
      <c r="H304" s="5">
        <f t="shared" ca="1" si="37"/>
        <v>580</v>
      </c>
      <c r="I304" s="5">
        <f t="shared" ca="1" si="35"/>
        <v>0</v>
      </c>
      <c r="J304" s="5">
        <f t="shared" ca="1" si="36"/>
        <v>0</v>
      </c>
      <c r="K304" s="5">
        <f t="shared" ca="1" si="38"/>
        <v>0</v>
      </c>
      <c r="L304" s="24">
        <f t="shared" ca="1" si="39"/>
        <v>15.890410958904109</v>
      </c>
    </row>
    <row r="305" spans="2:12" ht="13.25" hidden="1" customHeight="1" x14ac:dyDescent="0.3">
      <c r="B305" s="21"/>
      <c r="E305" s="5">
        <v>301</v>
      </c>
      <c r="F305" s="5">
        <f t="shared" ca="1" si="33"/>
        <v>0</v>
      </c>
      <c r="G305" s="5">
        <f t="shared" ca="1" si="34"/>
        <v>580</v>
      </c>
      <c r="H305" s="5">
        <f t="shared" ca="1" si="37"/>
        <v>580</v>
      </c>
      <c r="I305" s="5">
        <f t="shared" ca="1" si="35"/>
        <v>0</v>
      </c>
      <c r="J305" s="5">
        <f t="shared" ca="1" si="36"/>
        <v>0</v>
      </c>
      <c r="K305" s="5">
        <f t="shared" ca="1" si="38"/>
        <v>0</v>
      </c>
      <c r="L305" s="24">
        <f t="shared" ca="1" si="39"/>
        <v>15.890410958904109</v>
      </c>
    </row>
    <row r="306" spans="2:12" ht="13.25" hidden="1" customHeight="1" x14ac:dyDescent="0.3">
      <c r="B306" s="21"/>
      <c r="E306" s="5">
        <v>302</v>
      </c>
      <c r="F306" s="5">
        <f t="shared" ca="1" si="33"/>
        <v>100</v>
      </c>
      <c r="G306" s="5">
        <f t="shared" ca="1" si="34"/>
        <v>580</v>
      </c>
      <c r="H306" s="5">
        <f t="shared" ca="1" si="37"/>
        <v>480</v>
      </c>
      <c r="I306" s="5">
        <f t="shared" ca="1" si="35"/>
        <v>0</v>
      </c>
      <c r="J306" s="5">
        <f t="shared" ca="1" si="36"/>
        <v>0</v>
      </c>
      <c r="K306" s="5">
        <f t="shared" ca="1" si="38"/>
        <v>0</v>
      </c>
      <c r="L306" s="24">
        <f t="shared" ca="1" si="39"/>
        <v>13.150684931506849</v>
      </c>
    </row>
    <row r="307" spans="2:12" ht="13.25" hidden="1" customHeight="1" x14ac:dyDescent="0.3">
      <c r="B307" s="21"/>
      <c r="E307" s="5">
        <v>303</v>
      </c>
      <c r="F307" s="5">
        <f t="shared" ca="1" si="33"/>
        <v>90</v>
      </c>
      <c r="G307" s="5">
        <f t="shared" ca="1" si="34"/>
        <v>480</v>
      </c>
      <c r="H307" s="5">
        <f t="shared" ca="1" si="37"/>
        <v>390</v>
      </c>
      <c r="I307" s="5">
        <f t="shared" ca="1" si="35"/>
        <v>0</v>
      </c>
      <c r="J307" s="5">
        <f t="shared" ca="1" si="36"/>
        <v>0</v>
      </c>
      <c r="K307" s="5">
        <f t="shared" ca="1" si="38"/>
        <v>0</v>
      </c>
      <c r="L307" s="24">
        <f t="shared" ca="1" si="39"/>
        <v>10.684931506849315</v>
      </c>
    </row>
    <row r="308" spans="2:12" ht="13.25" hidden="1" customHeight="1" x14ac:dyDescent="0.3">
      <c r="B308" s="21"/>
      <c r="E308" s="5">
        <v>304</v>
      </c>
      <c r="F308" s="5">
        <f t="shared" ca="1" si="33"/>
        <v>0</v>
      </c>
      <c r="G308" s="5">
        <f t="shared" ca="1" si="34"/>
        <v>390</v>
      </c>
      <c r="H308" s="5">
        <f t="shared" ca="1" si="37"/>
        <v>390</v>
      </c>
      <c r="I308" s="5">
        <f t="shared" ca="1" si="35"/>
        <v>0</v>
      </c>
      <c r="J308" s="5">
        <f t="shared" ca="1" si="36"/>
        <v>0</v>
      </c>
      <c r="K308" s="5">
        <f t="shared" ca="1" si="38"/>
        <v>0</v>
      </c>
      <c r="L308" s="24">
        <f t="shared" ca="1" si="39"/>
        <v>10.684931506849315</v>
      </c>
    </row>
    <row r="309" spans="2:12" ht="13.25" hidden="1" customHeight="1" x14ac:dyDescent="0.3">
      <c r="B309" s="21"/>
      <c r="E309" s="5">
        <v>305</v>
      </c>
      <c r="F309" s="5">
        <f t="shared" ca="1" si="33"/>
        <v>0</v>
      </c>
      <c r="G309" s="5">
        <f t="shared" ca="1" si="34"/>
        <v>390</v>
      </c>
      <c r="H309" s="5">
        <f t="shared" ca="1" si="37"/>
        <v>390</v>
      </c>
      <c r="I309" s="5">
        <f t="shared" ca="1" si="35"/>
        <v>0</v>
      </c>
      <c r="J309" s="5">
        <f t="shared" ca="1" si="36"/>
        <v>0</v>
      </c>
      <c r="K309" s="5">
        <f t="shared" ca="1" si="38"/>
        <v>0</v>
      </c>
      <c r="L309" s="24">
        <f t="shared" ca="1" si="39"/>
        <v>10.684931506849315</v>
      </c>
    </row>
    <row r="310" spans="2:12" ht="13.25" hidden="1" customHeight="1" x14ac:dyDescent="0.3">
      <c r="B310" s="21"/>
      <c r="E310" s="5">
        <v>306</v>
      </c>
      <c r="F310" s="5">
        <f t="shared" ca="1" si="33"/>
        <v>0</v>
      </c>
      <c r="G310" s="5">
        <f t="shared" ca="1" si="34"/>
        <v>390</v>
      </c>
      <c r="H310" s="5">
        <f t="shared" ca="1" si="37"/>
        <v>390</v>
      </c>
      <c r="I310" s="5">
        <f t="shared" ca="1" si="35"/>
        <v>0</v>
      </c>
      <c r="J310" s="5">
        <f t="shared" ca="1" si="36"/>
        <v>0</v>
      </c>
      <c r="K310" s="5">
        <f t="shared" ca="1" si="38"/>
        <v>0</v>
      </c>
      <c r="L310" s="24">
        <f t="shared" ca="1" si="39"/>
        <v>10.684931506849315</v>
      </c>
    </row>
    <row r="311" spans="2:12" ht="13.25" hidden="1" customHeight="1" x14ac:dyDescent="0.3">
      <c r="B311" s="21"/>
      <c r="E311" s="5">
        <v>307</v>
      </c>
      <c r="F311" s="5">
        <f t="shared" ca="1" si="33"/>
        <v>0</v>
      </c>
      <c r="G311" s="5">
        <f t="shared" ca="1" si="34"/>
        <v>390</v>
      </c>
      <c r="H311" s="5">
        <f t="shared" ca="1" si="37"/>
        <v>390</v>
      </c>
      <c r="I311" s="5">
        <f t="shared" ca="1" si="35"/>
        <v>0</v>
      </c>
      <c r="J311" s="5">
        <f t="shared" ca="1" si="36"/>
        <v>0</v>
      </c>
      <c r="K311" s="5">
        <f t="shared" ca="1" si="38"/>
        <v>0</v>
      </c>
      <c r="L311" s="24">
        <f t="shared" ca="1" si="39"/>
        <v>10.684931506849315</v>
      </c>
    </row>
    <row r="312" spans="2:12" ht="13.25" hidden="1" customHeight="1" x14ac:dyDescent="0.3">
      <c r="B312" s="21"/>
      <c r="E312" s="5">
        <v>308</v>
      </c>
      <c r="F312" s="5">
        <f t="shared" ca="1" si="33"/>
        <v>0</v>
      </c>
      <c r="G312" s="5">
        <f t="shared" ca="1" si="34"/>
        <v>390</v>
      </c>
      <c r="H312" s="5">
        <f t="shared" ca="1" si="37"/>
        <v>390</v>
      </c>
      <c r="I312" s="5">
        <f t="shared" ca="1" si="35"/>
        <v>0</v>
      </c>
      <c r="J312" s="5">
        <f t="shared" ca="1" si="36"/>
        <v>0</v>
      </c>
      <c r="K312" s="5">
        <f t="shared" ca="1" si="38"/>
        <v>0</v>
      </c>
      <c r="L312" s="24">
        <f t="shared" ca="1" si="39"/>
        <v>10.684931506849315</v>
      </c>
    </row>
    <row r="313" spans="2:12" ht="13.25" hidden="1" customHeight="1" x14ac:dyDescent="0.3">
      <c r="B313" s="21"/>
      <c r="E313" s="5">
        <v>309</v>
      </c>
      <c r="F313" s="5">
        <f t="shared" ca="1" si="33"/>
        <v>0</v>
      </c>
      <c r="G313" s="5">
        <f t="shared" ca="1" si="34"/>
        <v>390</v>
      </c>
      <c r="H313" s="5">
        <f t="shared" ca="1" si="37"/>
        <v>390</v>
      </c>
      <c r="I313" s="5">
        <f t="shared" ca="1" si="35"/>
        <v>0</v>
      </c>
      <c r="J313" s="5">
        <f t="shared" ca="1" si="36"/>
        <v>0</v>
      </c>
      <c r="K313" s="5">
        <f t="shared" ca="1" si="38"/>
        <v>0</v>
      </c>
      <c r="L313" s="24">
        <f t="shared" ca="1" si="39"/>
        <v>10.684931506849315</v>
      </c>
    </row>
    <row r="314" spans="2:12" ht="13.25" hidden="1" customHeight="1" x14ac:dyDescent="0.3">
      <c r="B314" s="21"/>
      <c r="E314" s="5">
        <v>310</v>
      </c>
      <c r="F314" s="5">
        <f t="shared" ca="1" si="33"/>
        <v>0</v>
      </c>
      <c r="G314" s="5">
        <f t="shared" ca="1" si="34"/>
        <v>390</v>
      </c>
      <c r="H314" s="5">
        <f t="shared" ca="1" si="37"/>
        <v>390</v>
      </c>
      <c r="I314" s="5">
        <f t="shared" ca="1" si="35"/>
        <v>0</v>
      </c>
      <c r="J314" s="5">
        <f t="shared" ca="1" si="36"/>
        <v>0</v>
      </c>
      <c r="K314" s="5">
        <f t="shared" ca="1" si="38"/>
        <v>0</v>
      </c>
      <c r="L314" s="24">
        <f t="shared" ca="1" si="39"/>
        <v>10.684931506849315</v>
      </c>
    </row>
    <row r="315" spans="2:12" ht="13.25" hidden="1" customHeight="1" x14ac:dyDescent="0.3">
      <c r="B315" s="21"/>
      <c r="E315" s="5">
        <v>311</v>
      </c>
      <c r="F315" s="5">
        <f t="shared" ca="1" si="33"/>
        <v>100</v>
      </c>
      <c r="G315" s="5">
        <f t="shared" ca="1" si="34"/>
        <v>390</v>
      </c>
      <c r="H315" s="5">
        <f t="shared" ca="1" si="37"/>
        <v>290</v>
      </c>
      <c r="I315" s="5">
        <f t="shared" ca="1" si="35"/>
        <v>0</v>
      </c>
      <c r="J315" s="5">
        <f t="shared" ca="1" si="36"/>
        <v>0</v>
      </c>
      <c r="K315" s="5">
        <f t="shared" ca="1" si="38"/>
        <v>0</v>
      </c>
      <c r="L315" s="24">
        <f t="shared" ca="1" si="39"/>
        <v>7.9452054794520546</v>
      </c>
    </row>
    <row r="316" spans="2:12" ht="13.25" hidden="1" customHeight="1" x14ac:dyDescent="0.3">
      <c r="B316" s="21"/>
      <c r="E316" s="5">
        <v>312</v>
      </c>
      <c r="F316" s="5">
        <f t="shared" ca="1" si="33"/>
        <v>0</v>
      </c>
      <c r="G316" s="5">
        <f t="shared" ca="1" si="34"/>
        <v>290</v>
      </c>
      <c r="H316" s="5">
        <f t="shared" ca="1" si="37"/>
        <v>290</v>
      </c>
      <c r="I316" s="5">
        <f t="shared" ca="1" si="35"/>
        <v>0</v>
      </c>
      <c r="J316" s="5">
        <f t="shared" ca="1" si="36"/>
        <v>0</v>
      </c>
      <c r="K316" s="5">
        <f t="shared" ca="1" si="38"/>
        <v>0</v>
      </c>
      <c r="L316" s="24">
        <f t="shared" ca="1" si="39"/>
        <v>7.9452054794520546</v>
      </c>
    </row>
    <row r="317" spans="2:12" ht="13.25" hidden="1" customHeight="1" x14ac:dyDescent="0.3">
      <c r="B317" s="21"/>
      <c r="E317" s="5">
        <v>313</v>
      </c>
      <c r="F317" s="5">
        <f t="shared" ca="1" si="33"/>
        <v>110</v>
      </c>
      <c r="G317" s="5">
        <f t="shared" ca="1" si="34"/>
        <v>290</v>
      </c>
      <c r="H317" s="5">
        <f t="shared" ca="1" si="37"/>
        <v>180</v>
      </c>
      <c r="I317" s="5">
        <f t="shared" ca="1" si="35"/>
        <v>0</v>
      </c>
      <c r="J317" s="5">
        <f t="shared" ca="1" si="36"/>
        <v>0</v>
      </c>
      <c r="K317" s="5">
        <f t="shared" ca="1" si="38"/>
        <v>0</v>
      </c>
      <c r="L317" s="24">
        <f t="shared" ca="1" si="39"/>
        <v>4.9315068493150687</v>
      </c>
    </row>
    <row r="318" spans="2:12" ht="13.25" hidden="1" customHeight="1" x14ac:dyDescent="0.3">
      <c r="B318" s="21"/>
      <c r="E318" s="5">
        <v>314</v>
      </c>
      <c r="F318" s="5">
        <f t="shared" ca="1" si="33"/>
        <v>100</v>
      </c>
      <c r="G318" s="5">
        <f t="shared" ca="1" si="34"/>
        <v>180</v>
      </c>
      <c r="H318" s="5">
        <f t="shared" ca="1" si="37"/>
        <v>80</v>
      </c>
      <c r="I318" s="5">
        <f t="shared" ca="1" si="35"/>
        <v>1</v>
      </c>
      <c r="J318" s="5">
        <f t="shared" ca="1" si="36"/>
        <v>0</v>
      </c>
      <c r="K318" s="5">
        <f t="shared" ca="1" si="38"/>
        <v>200</v>
      </c>
      <c r="L318" s="24">
        <f t="shared" ca="1" si="39"/>
        <v>2.1917808219178081</v>
      </c>
    </row>
    <row r="319" spans="2:12" ht="13.25" hidden="1" customHeight="1" x14ac:dyDescent="0.3">
      <c r="B319" s="21"/>
      <c r="E319" s="5">
        <v>315</v>
      </c>
      <c r="F319" s="5">
        <f t="shared" ca="1" si="33"/>
        <v>0</v>
      </c>
      <c r="G319" s="5">
        <f t="shared" ca="1" si="34"/>
        <v>1080</v>
      </c>
      <c r="H319" s="5">
        <f t="shared" ca="1" si="37"/>
        <v>1080</v>
      </c>
      <c r="I319" s="5">
        <f t="shared" ca="1" si="35"/>
        <v>0</v>
      </c>
      <c r="J319" s="5">
        <f t="shared" ca="1" si="36"/>
        <v>0</v>
      </c>
      <c r="K319" s="5">
        <f t="shared" ca="1" si="38"/>
        <v>0</v>
      </c>
      <c r="L319" s="24">
        <f t="shared" ca="1" si="39"/>
        <v>29.589041095890408</v>
      </c>
    </row>
    <row r="320" spans="2:12" ht="13.25" hidden="1" customHeight="1" x14ac:dyDescent="0.3">
      <c r="B320" s="21"/>
      <c r="E320" s="5">
        <v>316</v>
      </c>
      <c r="F320" s="5">
        <f t="shared" ca="1" si="33"/>
        <v>120</v>
      </c>
      <c r="G320" s="5">
        <f t="shared" ca="1" si="34"/>
        <v>1080</v>
      </c>
      <c r="H320" s="5">
        <f t="shared" ca="1" si="37"/>
        <v>960</v>
      </c>
      <c r="I320" s="5">
        <f t="shared" ca="1" si="35"/>
        <v>0</v>
      </c>
      <c r="J320" s="5">
        <f t="shared" ca="1" si="36"/>
        <v>0</v>
      </c>
      <c r="K320" s="5">
        <f t="shared" ca="1" si="38"/>
        <v>0</v>
      </c>
      <c r="L320" s="24">
        <f t="shared" ca="1" si="39"/>
        <v>26.301369863013697</v>
      </c>
    </row>
    <row r="321" spans="2:12" ht="13.25" hidden="1" customHeight="1" x14ac:dyDescent="0.3">
      <c r="B321" s="21"/>
      <c r="E321" s="5">
        <v>317</v>
      </c>
      <c r="F321" s="5">
        <f t="shared" ca="1" si="33"/>
        <v>0</v>
      </c>
      <c r="G321" s="5">
        <f t="shared" ca="1" si="34"/>
        <v>960</v>
      </c>
      <c r="H321" s="5">
        <f t="shared" ca="1" si="37"/>
        <v>960</v>
      </c>
      <c r="I321" s="5">
        <f t="shared" ca="1" si="35"/>
        <v>0</v>
      </c>
      <c r="J321" s="5">
        <f t="shared" ca="1" si="36"/>
        <v>0</v>
      </c>
      <c r="K321" s="5">
        <f t="shared" ca="1" si="38"/>
        <v>0</v>
      </c>
      <c r="L321" s="24">
        <f t="shared" ca="1" si="39"/>
        <v>26.301369863013697</v>
      </c>
    </row>
    <row r="322" spans="2:12" ht="13.25" hidden="1" customHeight="1" x14ac:dyDescent="0.3">
      <c r="B322" s="21"/>
      <c r="E322" s="5">
        <v>318</v>
      </c>
      <c r="F322" s="5">
        <f t="shared" ca="1" si="33"/>
        <v>0</v>
      </c>
      <c r="G322" s="5">
        <f t="shared" ca="1" si="34"/>
        <v>960</v>
      </c>
      <c r="H322" s="5">
        <f t="shared" ca="1" si="37"/>
        <v>960</v>
      </c>
      <c r="I322" s="5">
        <f t="shared" ca="1" si="35"/>
        <v>0</v>
      </c>
      <c r="J322" s="5">
        <f t="shared" ca="1" si="36"/>
        <v>0</v>
      </c>
      <c r="K322" s="5">
        <f t="shared" ca="1" si="38"/>
        <v>0</v>
      </c>
      <c r="L322" s="24">
        <f t="shared" ca="1" si="39"/>
        <v>26.301369863013697</v>
      </c>
    </row>
    <row r="323" spans="2:12" ht="13.25" hidden="1" customHeight="1" x14ac:dyDescent="0.3">
      <c r="B323" s="21"/>
      <c r="E323" s="5">
        <v>319</v>
      </c>
      <c r="F323" s="5">
        <f t="shared" ca="1" si="33"/>
        <v>0</v>
      </c>
      <c r="G323" s="5">
        <f t="shared" ca="1" si="34"/>
        <v>960</v>
      </c>
      <c r="H323" s="5">
        <f t="shared" ca="1" si="37"/>
        <v>960</v>
      </c>
      <c r="I323" s="5">
        <f t="shared" ca="1" si="35"/>
        <v>0</v>
      </c>
      <c r="J323" s="5">
        <f t="shared" ca="1" si="36"/>
        <v>0</v>
      </c>
      <c r="K323" s="5">
        <f t="shared" ca="1" si="38"/>
        <v>0</v>
      </c>
      <c r="L323" s="24">
        <f t="shared" ca="1" si="39"/>
        <v>26.301369863013697</v>
      </c>
    </row>
    <row r="324" spans="2:12" ht="13.25" hidden="1" customHeight="1" x14ac:dyDescent="0.3">
      <c r="B324" s="21"/>
      <c r="E324" s="5">
        <v>320</v>
      </c>
      <c r="F324" s="5">
        <f t="shared" ca="1" si="33"/>
        <v>0</v>
      </c>
      <c r="G324" s="5">
        <f t="shared" ca="1" si="34"/>
        <v>960</v>
      </c>
      <c r="H324" s="5">
        <f t="shared" ca="1" si="37"/>
        <v>960</v>
      </c>
      <c r="I324" s="5">
        <f t="shared" ca="1" si="35"/>
        <v>0</v>
      </c>
      <c r="J324" s="5">
        <f t="shared" ca="1" si="36"/>
        <v>0</v>
      </c>
      <c r="K324" s="5">
        <f t="shared" ca="1" si="38"/>
        <v>0</v>
      </c>
      <c r="L324" s="24">
        <f t="shared" ca="1" si="39"/>
        <v>26.301369863013697</v>
      </c>
    </row>
    <row r="325" spans="2:12" ht="13.25" hidden="1" customHeight="1" x14ac:dyDescent="0.3">
      <c r="B325" s="21"/>
      <c r="E325" s="5">
        <v>321</v>
      </c>
      <c r="F325" s="5">
        <f t="shared" ref="F325:F369" ca="1" si="40">INDEX($Q$18:$Q$22,MATCH(RAND(),$S$17:$S$22,1))</f>
        <v>0</v>
      </c>
      <c r="G325" s="5">
        <f t="shared" ref="G325:G369" ca="1" si="41">H324+$C$9*I324</f>
        <v>960</v>
      </c>
      <c r="H325" s="5">
        <f t="shared" ca="1" si="37"/>
        <v>960</v>
      </c>
      <c r="I325" s="5">
        <f t="shared" ref="I325:I369" ca="1" si="42">IF(H325&lt;$C$3,1,0)</f>
        <v>0</v>
      </c>
      <c r="J325" s="5">
        <f t="shared" ref="J325:J369" ca="1" si="43">IF(G325&lt;F325,1,0)</f>
        <v>0</v>
      </c>
      <c r="K325" s="5">
        <f t="shared" ca="1" si="38"/>
        <v>0</v>
      </c>
      <c r="L325" s="24">
        <f t="shared" ca="1" si="39"/>
        <v>26.301369863013697</v>
      </c>
    </row>
    <row r="326" spans="2:12" ht="13.25" hidden="1" customHeight="1" x14ac:dyDescent="0.3">
      <c r="B326" s="21"/>
      <c r="E326" s="5">
        <v>322</v>
      </c>
      <c r="F326" s="5">
        <f t="shared" ca="1" si="40"/>
        <v>0</v>
      </c>
      <c r="G326" s="5">
        <f t="shared" ca="1" si="41"/>
        <v>960</v>
      </c>
      <c r="H326" s="5">
        <f t="shared" ref="H326:H369" ca="1" si="44">IF(G326-F326&gt;0,G326-F326,0)</f>
        <v>960</v>
      </c>
      <c r="I326" s="5">
        <f t="shared" ca="1" si="42"/>
        <v>0</v>
      </c>
      <c r="J326" s="5">
        <f t="shared" ca="1" si="43"/>
        <v>0</v>
      </c>
      <c r="K326" s="5">
        <f t="shared" ref="K326:K369" ca="1" si="45">I326*$C$4</f>
        <v>0</v>
      </c>
      <c r="L326" s="24">
        <f t="shared" ref="L326:L369" ca="1" si="46">H326*$C$7</f>
        <v>26.301369863013697</v>
      </c>
    </row>
    <row r="327" spans="2:12" ht="13.25" hidden="1" customHeight="1" x14ac:dyDescent="0.3">
      <c r="B327" s="21"/>
      <c r="E327" s="5">
        <v>323</v>
      </c>
      <c r="F327" s="5">
        <f t="shared" ca="1" si="40"/>
        <v>0</v>
      </c>
      <c r="G327" s="5">
        <f t="shared" ca="1" si="41"/>
        <v>960</v>
      </c>
      <c r="H327" s="5">
        <f t="shared" ca="1" si="44"/>
        <v>960</v>
      </c>
      <c r="I327" s="5">
        <f t="shared" ca="1" si="42"/>
        <v>0</v>
      </c>
      <c r="J327" s="5">
        <f t="shared" ca="1" si="43"/>
        <v>0</v>
      </c>
      <c r="K327" s="5">
        <f t="shared" ca="1" si="45"/>
        <v>0</v>
      </c>
      <c r="L327" s="24">
        <f t="shared" ca="1" si="46"/>
        <v>26.301369863013697</v>
      </c>
    </row>
    <row r="328" spans="2:12" ht="13.25" hidden="1" customHeight="1" x14ac:dyDescent="0.3">
      <c r="B328" s="21"/>
      <c r="E328" s="5">
        <v>324</v>
      </c>
      <c r="F328" s="5">
        <f t="shared" ca="1" si="40"/>
        <v>0</v>
      </c>
      <c r="G328" s="5">
        <f t="shared" ca="1" si="41"/>
        <v>960</v>
      </c>
      <c r="H328" s="5">
        <f t="shared" ca="1" si="44"/>
        <v>960</v>
      </c>
      <c r="I328" s="5">
        <f t="shared" ca="1" si="42"/>
        <v>0</v>
      </c>
      <c r="J328" s="5">
        <f t="shared" ca="1" si="43"/>
        <v>0</v>
      </c>
      <c r="K328" s="5">
        <f t="shared" ca="1" si="45"/>
        <v>0</v>
      </c>
      <c r="L328" s="24">
        <f t="shared" ca="1" si="46"/>
        <v>26.301369863013697</v>
      </c>
    </row>
    <row r="329" spans="2:12" ht="13.25" hidden="1" customHeight="1" x14ac:dyDescent="0.3">
      <c r="B329" s="21"/>
      <c r="E329" s="5">
        <v>325</v>
      </c>
      <c r="F329" s="5">
        <f t="shared" ca="1" si="40"/>
        <v>0</v>
      </c>
      <c r="G329" s="5">
        <f t="shared" ca="1" si="41"/>
        <v>960</v>
      </c>
      <c r="H329" s="5">
        <f t="shared" ca="1" si="44"/>
        <v>960</v>
      </c>
      <c r="I329" s="5">
        <f t="shared" ca="1" si="42"/>
        <v>0</v>
      </c>
      <c r="J329" s="5">
        <f t="shared" ca="1" si="43"/>
        <v>0</v>
      </c>
      <c r="K329" s="5">
        <f t="shared" ca="1" si="45"/>
        <v>0</v>
      </c>
      <c r="L329" s="24">
        <f t="shared" ca="1" si="46"/>
        <v>26.301369863013697</v>
      </c>
    </row>
    <row r="330" spans="2:12" ht="13.25" hidden="1" customHeight="1" x14ac:dyDescent="0.3">
      <c r="B330" s="21"/>
      <c r="E330" s="5">
        <v>326</v>
      </c>
      <c r="F330" s="5">
        <f t="shared" ca="1" si="40"/>
        <v>0</v>
      </c>
      <c r="G330" s="5">
        <f t="shared" ca="1" si="41"/>
        <v>960</v>
      </c>
      <c r="H330" s="5">
        <f t="shared" ca="1" si="44"/>
        <v>960</v>
      </c>
      <c r="I330" s="5">
        <f t="shared" ca="1" si="42"/>
        <v>0</v>
      </c>
      <c r="J330" s="5">
        <f t="shared" ca="1" si="43"/>
        <v>0</v>
      </c>
      <c r="K330" s="5">
        <f t="shared" ca="1" si="45"/>
        <v>0</v>
      </c>
      <c r="L330" s="24">
        <f t="shared" ca="1" si="46"/>
        <v>26.301369863013697</v>
      </c>
    </row>
    <row r="331" spans="2:12" ht="13.25" hidden="1" customHeight="1" x14ac:dyDescent="0.3">
      <c r="B331" s="21"/>
      <c r="E331" s="5">
        <v>327</v>
      </c>
      <c r="F331" s="5">
        <f t="shared" ca="1" si="40"/>
        <v>120</v>
      </c>
      <c r="G331" s="5">
        <f t="shared" ca="1" si="41"/>
        <v>960</v>
      </c>
      <c r="H331" s="5">
        <f t="shared" ca="1" si="44"/>
        <v>840</v>
      </c>
      <c r="I331" s="5">
        <f t="shared" ca="1" si="42"/>
        <v>0</v>
      </c>
      <c r="J331" s="5">
        <f t="shared" ca="1" si="43"/>
        <v>0</v>
      </c>
      <c r="K331" s="5">
        <f t="shared" ca="1" si="45"/>
        <v>0</v>
      </c>
      <c r="L331" s="24">
        <f t="shared" ca="1" si="46"/>
        <v>23.013698630136986</v>
      </c>
    </row>
    <row r="332" spans="2:12" ht="13.25" hidden="1" customHeight="1" x14ac:dyDescent="0.3">
      <c r="B332" s="21"/>
      <c r="E332" s="5">
        <v>328</v>
      </c>
      <c r="F332" s="5">
        <f t="shared" ca="1" si="40"/>
        <v>100</v>
      </c>
      <c r="G332" s="5">
        <f t="shared" ca="1" si="41"/>
        <v>840</v>
      </c>
      <c r="H332" s="5">
        <f t="shared" ca="1" si="44"/>
        <v>740</v>
      </c>
      <c r="I332" s="5">
        <f t="shared" ca="1" si="42"/>
        <v>0</v>
      </c>
      <c r="J332" s="5">
        <f t="shared" ca="1" si="43"/>
        <v>0</v>
      </c>
      <c r="K332" s="5">
        <f t="shared" ca="1" si="45"/>
        <v>0</v>
      </c>
      <c r="L332" s="24">
        <f t="shared" ca="1" si="46"/>
        <v>20.273972602739725</v>
      </c>
    </row>
    <row r="333" spans="2:12" ht="13.25" hidden="1" customHeight="1" x14ac:dyDescent="0.3">
      <c r="B333" s="21"/>
      <c r="E333" s="5">
        <v>329</v>
      </c>
      <c r="F333" s="5">
        <f t="shared" ca="1" si="40"/>
        <v>0</v>
      </c>
      <c r="G333" s="5">
        <f t="shared" ca="1" si="41"/>
        <v>740</v>
      </c>
      <c r="H333" s="5">
        <f t="shared" ca="1" si="44"/>
        <v>740</v>
      </c>
      <c r="I333" s="5">
        <f t="shared" ca="1" si="42"/>
        <v>0</v>
      </c>
      <c r="J333" s="5">
        <f t="shared" ca="1" si="43"/>
        <v>0</v>
      </c>
      <c r="K333" s="5">
        <f t="shared" ca="1" si="45"/>
        <v>0</v>
      </c>
      <c r="L333" s="24">
        <f t="shared" ca="1" si="46"/>
        <v>20.273972602739725</v>
      </c>
    </row>
    <row r="334" spans="2:12" ht="13.25" hidden="1" customHeight="1" x14ac:dyDescent="0.3">
      <c r="B334" s="21"/>
      <c r="E334" s="5">
        <v>330</v>
      </c>
      <c r="F334" s="5">
        <f t="shared" ca="1" si="40"/>
        <v>0</v>
      </c>
      <c r="G334" s="5">
        <f t="shared" ca="1" si="41"/>
        <v>740</v>
      </c>
      <c r="H334" s="5">
        <f t="shared" ca="1" si="44"/>
        <v>740</v>
      </c>
      <c r="I334" s="5">
        <f t="shared" ca="1" si="42"/>
        <v>0</v>
      </c>
      <c r="J334" s="5">
        <f t="shared" ca="1" si="43"/>
        <v>0</v>
      </c>
      <c r="K334" s="5">
        <f t="shared" ca="1" si="45"/>
        <v>0</v>
      </c>
      <c r="L334" s="24">
        <f t="shared" ca="1" si="46"/>
        <v>20.273972602739725</v>
      </c>
    </row>
    <row r="335" spans="2:12" ht="13.25" hidden="1" customHeight="1" x14ac:dyDescent="0.3">
      <c r="B335" s="21"/>
      <c r="E335" s="5">
        <v>331</v>
      </c>
      <c r="F335" s="5">
        <f t="shared" ca="1" si="40"/>
        <v>90</v>
      </c>
      <c r="G335" s="5">
        <f t="shared" ca="1" si="41"/>
        <v>740</v>
      </c>
      <c r="H335" s="5">
        <f t="shared" ca="1" si="44"/>
        <v>650</v>
      </c>
      <c r="I335" s="5">
        <f t="shared" ca="1" si="42"/>
        <v>0</v>
      </c>
      <c r="J335" s="5">
        <f t="shared" ca="1" si="43"/>
        <v>0</v>
      </c>
      <c r="K335" s="5">
        <f t="shared" ca="1" si="45"/>
        <v>0</v>
      </c>
      <c r="L335" s="24">
        <f t="shared" ca="1" si="46"/>
        <v>17.80821917808219</v>
      </c>
    </row>
    <row r="336" spans="2:12" ht="13.25" hidden="1" customHeight="1" x14ac:dyDescent="0.3">
      <c r="B336" s="21"/>
      <c r="E336" s="5">
        <v>332</v>
      </c>
      <c r="F336" s="5">
        <f t="shared" ca="1" si="40"/>
        <v>100</v>
      </c>
      <c r="G336" s="5">
        <f t="shared" ca="1" si="41"/>
        <v>650</v>
      </c>
      <c r="H336" s="5">
        <f t="shared" ca="1" si="44"/>
        <v>550</v>
      </c>
      <c r="I336" s="5">
        <f t="shared" ca="1" si="42"/>
        <v>0</v>
      </c>
      <c r="J336" s="5">
        <f t="shared" ca="1" si="43"/>
        <v>0</v>
      </c>
      <c r="K336" s="5">
        <f t="shared" ca="1" si="45"/>
        <v>0</v>
      </c>
      <c r="L336" s="24">
        <f t="shared" ca="1" si="46"/>
        <v>15.068493150684931</v>
      </c>
    </row>
    <row r="337" spans="2:12" ht="13.25" hidden="1" customHeight="1" x14ac:dyDescent="0.3">
      <c r="B337" s="21"/>
      <c r="E337" s="5">
        <v>333</v>
      </c>
      <c r="F337" s="5">
        <f t="shared" ca="1" si="40"/>
        <v>110</v>
      </c>
      <c r="G337" s="5">
        <f t="shared" ca="1" si="41"/>
        <v>550</v>
      </c>
      <c r="H337" s="5">
        <f t="shared" ca="1" si="44"/>
        <v>440</v>
      </c>
      <c r="I337" s="5">
        <f t="shared" ca="1" si="42"/>
        <v>0</v>
      </c>
      <c r="J337" s="5">
        <f t="shared" ca="1" si="43"/>
        <v>0</v>
      </c>
      <c r="K337" s="5">
        <f t="shared" ca="1" si="45"/>
        <v>0</v>
      </c>
      <c r="L337" s="24">
        <f t="shared" ca="1" si="46"/>
        <v>12.054794520547944</v>
      </c>
    </row>
    <row r="338" spans="2:12" ht="13.25" hidden="1" customHeight="1" x14ac:dyDescent="0.3">
      <c r="B338" s="21"/>
      <c r="E338" s="5">
        <v>334</v>
      </c>
      <c r="F338" s="5">
        <f t="shared" ca="1" si="40"/>
        <v>100</v>
      </c>
      <c r="G338" s="5">
        <f t="shared" ca="1" si="41"/>
        <v>440</v>
      </c>
      <c r="H338" s="5">
        <f t="shared" ca="1" si="44"/>
        <v>340</v>
      </c>
      <c r="I338" s="5">
        <f t="shared" ca="1" si="42"/>
        <v>0</v>
      </c>
      <c r="J338" s="5">
        <f t="shared" ca="1" si="43"/>
        <v>0</v>
      </c>
      <c r="K338" s="5">
        <f t="shared" ca="1" si="45"/>
        <v>0</v>
      </c>
      <c r="L338" s="24">
        <f t="shared" ca="1" si="46"/>
        <v>9.3150684931506849</v>
      </c>
    </row>
    <row r="339" spans="2:12" ht="13.25" hidden="1" customHeight="1" x14ac:dyDescent="0.3">
      <c r="B339" s="21"/>
      <c r="E339" s="5">
        <v>335</v>
      </c>
      <c r="F339" s="5">
        <f t="shared" ca="1" si="40"/>
        <v>90</v>
      </c>
      <c r="G339" s="5">
        <f t="shared" ca="1" si="41"/>
        <v>340</v>
      </c>
      <c r="H339" s="5">
        <f t="shared" ca="1" si="44"/>
        <v>250</v>
      </c>
      <c r="I339" s="5">
        <f t="shared" ca="1" si="42"/>
        <v>0</v>
      </c>
      <c r="J339" s="5">
        <f t="shared" ca="1" si="43"/>
        <v>0</v>
      </c>
      <c r="K339" s="5">
        <f t="shared" ca="1" si="45"/>
        <v>0</v>
      </c>
      <c r="L339" s="24">
        <f t="shared" ca="1" si="46"/>
        <v>6.8493150684931505</v>
      </c>
    </row>
    <row r="340" spans="2:12" ht="13.25" hidden="1" customHeight="1" x14ac:dyDescent="0.3">
      <c r="B340" s="21"/>
      <c r="E340" s="5">
        <v>336</v>
      </c>
      <c r="F340" s="5">
        <f t="shared" ca="1" si="40"/>
        <v>110</v>
      </c>
      <c r="G340" s="5">
        <f t="shared" ca="1" si="41"/>
        <v>250</v>
      </c>
      <c r="H340" s="5">
        <f t="shared" ca="1" si="44"/>
        <v>140</v>
      </c>
      <c r="I340" s="5">
        <f t="shared" ca="1" si="42"/>
        <v>0</v>
      </c>
      <c r="J340" s="5">
        <f t="shared" ca="1" si="43"/>
        <v>0</v>
      </c>
      <c r="K340" s="5">
        <f t="shared" ca="1" si="45"/>
        <v>0</v>
      </c>
      <c r="L340" s="24">
        <f t="shared" ca="1" si="46"/>
        <v>3.8356164383561642</v>
      </c>
    </row>
    <row r="341" spans="2:12" ht="13.25" hidden="1" customHeight="1" x14ac:dyDescent="0.3">
      <c r="B341" s="21"/>
      <c r="E341" s="5">
        <v>337</v>
      </c>
      <c r="F341" s="5">
        <f t="shared" ca="1" si="40"/>
        <v>100</v>
      </c>
      <c r="G341" s="5">
        <f t="shared" ca="1" si="41"/>
        <v>140</v>
      </c>
      <c r="H341" s="5">
        <f t="shared" ca="1" si="44"/>
        <v>40</v>
      </c>
      <c r="I341" s="5">
        <f t="shared" ca="1" si="42"/>
        <v>1</v>
      </c>
      <c r="J341" s="5">
        <f t="shared" ca="1" si="43"/>
        <v>0</v>
      </c>
      <c r="K341" s="5">
        <f t="shared" ca="1" si="45"/>
        <v>200</v>
      </c>
      <c r="L341" s="24">
        <f t="shared" ca="1" si="46"/>
        <v>1.095890410958904</v>
      </c>
    </row>
    <row r="342" spans="2:12" ht="13.25" hidden="1" customHeight="1" x14ac:dyDescent="0.3">
      <c r="B342" s="21"/>
      <c r="E342" s="5">
        <v>338</v>
      </c>
      <c r="F342" s="5">
        <f t="shared" ca="1" si="40"/>
        <v>110</v>
      </c>
      <c r="G342" s="5">
        <f t="shared" ca="1" si="41"/>
        <v>1040</v>
      </c>
      <c r="H342" s="5">
        <f t="shared" ca="1" si="44"/>
        <v>930</v>
      </c>
      <c r="I342" s="5">
        <f t="shared" ca="1" si="42"/>
        <v>0</v>
      </c>
      <c r="J342" s="5">
        <f t="shared" ca="1" si="43"/>
        <v>0</v>
      </c>
      <c r="K342" s="5">
        <f t="shared" ca="1" si="45"/>
        <v>0</v>
      </c>
      <c r="L342" s="24">
        <f t="shared" ca="1" si="46"/>
        <v>25.479452054794518</v>
      </c>
    </row>
    <row r="343" spans="2:12" ht="13.25" hidden="1" customHeight="1" x14ac:dyDescent="0.3">
      <c r="B343" s="21"/>
      <c r="E343" s="5">
        <v>339</v>
      </c>
      <c r="F343" s="5">
        <f t="shared" ca="1" si="40"/>
        <v>0</v>
      </c>
      <c r="G343" s="5">
        <f t="shared" ca="1" si="41"/>
        <v>930</v>
      </c>
      <c r="H343" s="5">
        <f t="shared" ca="1" si="44"/>
        <v>930</v>
      </c>
      <c r="I343" s="5">
        <f t="shared" ca="1" si="42"/>
        <v>0</v>
      </c>
      <c r="J343" s="5">
        <f t="shared" ca="1" si="43"/>
        <v>0</v>
      </c>
      <c r="K343" s="5">
        <f t="shared" ca="1" si="45"/>
        <v>0</v>
      </c>
      <c r="L343" s="24">
        <f t="shared" ca="1" si="46"/>
        <v>25.479452054794518</v>
      </c>
    </row>
    <row r="344" spans="2:12" ht="13.25" hidden="1" customHeight="1" x14ac:dyDescent="0.3">
      <c r="B344" s="21"/>
      <c r="E344" s="5">
        <v>340</v>
      </c>
      <c r="F344" s="5">
        <f t="shared" ca="1" si="40"/>
        <v>0</v>
      </c>
      <c r="G344" s="5">
        <f t="shared" ca="1" si="41"/>
        <v>930</v>
      </c>
      <c r="H344" s="5">
        <f t="shared" ca="1" si="44"/>
        <v>930</v>
      </c>
      <c r="I344" s="5">
        <f t="shared" ca="1" si="42"/>
        <v>0</v>
      </c>
      <c r="J344" s="5">
        <f t="shared" ca="1" si="43"/>
        <v>0</v>
      </c>
      <c r="K344" s="5">
        <f t="shared" ca="1" si="45"/>
        <v>0</v>
      </c>
      <c r="L344" s="24">
        <f t="shared" ca="1" si="46"/>
        <v>25.479452054794518</v>
      </c>
    </row>
    <row r="345" spans="2:12" ht="13.25" hidden="1" customHeight="1" x14ac:dyDescent="0.3">
      <c r="B345" s="21"/>
      <c r="E345" s="5">
        <v>341</v>
      </c>
      <c r="F345" s="5">
        <f t="shared" ca="1" si="40"/>
        <v>110</v>
      </c>
      <c r="G345" s="5">
        <f t="shared" ca="1" si="41"/>
        <v>930</v>
      </c>
      <c r="H345" s="5">
        <f t="shared" ca="1" si="44"/>
        <v>820</v>
      </c>
      <c r="I345" s="5">
        <f t="shared" ca="1" si="42"/>
        <v>0</v>
      </c>
      <c r="J345" s="5">
        <f t="shared" ca="1" si="43"/>
        <v>0</v>
      </c>
      <c r="K345" s="5">
        <f t="shared" ca="1" si="45"/>
        <v>0</v>
      </c>
      <c r="L345" s="24">
        <f t="shared" ca="1" si="46"/>
        <v>22.465753424657532</v>
      </c>
    </row>
    <row r="346" spans="2:12" ht="13.25" hidden="1" customHeight="1" x14ac:dyDescent="0.3">
      <c r="B346" s="21"/>
      <c r="E346" s="5">
        <v>342</v>
      </c>
      <c r="F346" s="5">
        <f t="shared" ca="1" si="40"/>
        <v>0</v>
      </c>
      <c r="G346" s="5">
        <f t="shared" ca="1" si="41"/>
        <v>820</v>
      </c>
      <c r="H346" s="5">
        <f t="shared" ca="1" si="44"/>
        <v>820</v>
      </c>
      <c r="I346" s="5">
        <f t="shared" ca="1" si="42"/>
        <v>0</v>
      </c>
      <c r="J346" s="5">
        <f t="shared" ca="1" si="43"/>
        <v>0</v>
      </c>
      <c r="K346" s="5">
        <f t="shared" ca="1" si="45"/>
        <v>0</v>
      </c>
      <c r="L346" s="24">
        <f t="shared" ca="1" si="46"/>
        <v>22.465753424657532</v>
      </c>
    </row>
    <row r="347" spans="2:12" ht="13.25" hidden="1" customHeight="1" x14ac:dyDescent="0.3">
      <c r="B347" s="21"/>
      <c r="E347" s="5">
        <v>343</v>
      </c>
      <c r="F347" s="5">
        <f t="shared" ca="1" si="40"/>
        <v>0</v>
      </c>
      <c r="G347" s="5">
        <f t="shared" ca="1" si="41"/>
        <v>820</v>
      </c>
      <c r="H347" s="5">
        <f t="shared" ca="1" si="44"/>
        <v>820</v>
      </c>
      <c r="I347" s="5">
        <f t="shared" ca="1" si="42"/>
        <v>0</v>
      </c>
      <c r="J347" s="5">
        <f t="shared" ca="1" si="43"/>
        <v>0</v>
      </c>
      <c r="K347" s="5">
        <f t="shared" ca="1" si="45"/>
        <v>0</v>
      </c>
      <c r="L347" s="24">
        <f t="shared" ca="1" si="46"/>
        <v>22.465753424657532</v>
      </c>
    </row>
    <row r="348" spans="2:12" ht="13.25" hidden="1" customHeight="1" x14ac:dyDescent="0.3">
      <c r="B348" s="21"/>
      <c r="E348" s="5">
        <v>344</v>
      </c>
      <c r="F348" s="5">
        <f t="shared" ca="1" si="40"/>
        <v>0</v>
      </c>
      <c r="G348" s="5">
        <f t="shared" ca="1" si="41"/>
        <v>820</v>
      </c>
      <c r="H348" s="5">
        <f t="shared" ca="1" si="44"/>
        <v>820</v>
      </c>
      <c r="I348" s="5">
        <f t="shared" ca="1" si="42"/>
        <v>0</v>
      </c>
      <c r="J348" s="5">
        <f t="shared" ca="1" si="43"/>
        <v>0</v>
      </c>
      <c r="K348" s="5">
        <f t="shared" ca="1" si="45"/>
        <v>0</v>
      </c>
      <c r="L348" s="24">
        <f t="shared" ca="1" si="46"/>
        <v>22.465753424657532</v>
      </c>
    </row>
    <row r="349" spans="2:12" ht="13.25" hidden="1" customHeight="1" x14ac:dyDescent="0.3">
      <c r="B349" s="21"/>
      <c r="E349" s="5">
        <v>345</v>
      </c>
      <c r="F349" s="5">
        <f t="shared" ca="1" si="40"/>
        <v>0</v>
      </c>
      <c r="G349" s="5">
        <f t="shared" ca="1" si="41"/>
        <v>820</v>
      </c>
      <c r="H349" s="5">
        <f t="shared" ca="1" si="44"/>
        <v>820</v>
      </c>
      <c r="I349" s="5">
        <f t="shared" ca="1" si="42"/>
        <v>0</v>
      </c>
      <c r="J349" s="5">
        <f t="shared" ca="1" si="43"/>
        <v>0</v>
      </c>
      <c r="K349" s="5">
        <f t="shared" ca="1" si="45"/>
        <v>0</v>
      </c>
      <c r="L349" s="24">
        <f t="shared" ca="1" si="46"/>
        <v>22.465753424657532</v>
      </c>
    </row>
    <row r="350" spans="2:12" ht="13.25" hidden="1" customHeight="1" x14ac:dyDescent="0.3">
      <c r="B350" s="21"/>
      <c r="E350" s="5">
        <v>346</v>
      </c>
      <c r="F350" s="5">
        <f t="shared" ca="1" si="40"/>
        <v>100</v>
      </c>
      <c r="G350" s="5">
        <f t="shared" ca="1" si="41"/>
        <v>820</v>
      </c>
      <c r="H350" s="5">
        <f t="shared" ca="1" si="44"/>
        <v>720</v>
      </c>
      <c r="I350" s="5">
        <f t="shared" ca="1" si="42"/>
        <v>0</v>
      </c>
      <c r="J350" s="5">
        <f t="shared" ca="1" si="43"/>
        <v>0</v>
      </c>
      <c r="K350" s="5">
        <f t="shared" ca="1" si="45"/>
        <v>0</v>
      </c>
      <c r="L350" s="24">
        <f t="shared" ca="1" si="46"/>
        <v>19.726027397260275</v>
      </c>
    </row>
    <row r="351" spans="2:12" ht="13.25" hidden="1" customHeight="1" x14ac:dyDescent="0.3">
      <c r="B351" s="21"/>
      <c r="E351" s="5">
        <v>347</v>
      </c>
      <c r="F351" s="5">
        <f t="shared" ca="1" si="40"/>
        <v>0</v>
      </c>
      <c r="G351" s="5">
        <f t="shared" ca="1" si="41"/>
        <v>720</v>
      </c>
      <c r="H351" s="5">
        <f t="shared" ca="1" si="44"/>
        <v>720</v>
      </c>
      <c r="I351" s="5">
        <f t="shared" ca="1" si="42"/>
        <v>0</v>
      </c>
      <c r="J351" s="5">
        <f t="shared" ca="1" si="43"/>
        <v>0</v>
      </c>
      <c r="K351" s="5">
        <f t="shared" ca="1" si="45"/>
        <v>0</v>
      </c>
      <c r="L351" s="24">
        <f t="shared" ca="1" si="46"/>
        <v>19.726027397260275</v>
      </c>
    </row>
    <row r="352" spans="2:12" ht="13.25" hidden="1" customHeight="1" x14ac:dyDescent="0.3">
      <c r="B352" s="21"/>
      <c r="E352" s="5">
        <v>348</v>
      </c>
      <c r="F352" s="5">
        <f t="shared" ca="1" si="40"/>
        <v>0</v>
      </c>
      <c r="G352" s="5">
        <f t="shared" ca="1" si="41"/>
        <v>720</v>
      </c>
      <c r="H352" s="5">
        <f t="shared" ca="1" si="44"/>
        <v>720</v>
      </c>
      <c r="I352" s="5">
        <f t="shared" ca="1" si="42"/>
        <v>0</v>
      </c>
      <c r="J352" s="5">
        <f t="shared" ca="1" si="43"/>
        <v>0</v>
      </c>
      <c r="K352" s="5">
        <f t="shared" ca="1" si="45"/>
        <v>0</v>
      </c>
      <c r="L352" s="24">
        <f t="shared" ca="1" si="46"/>
        <v>19.726027397260275</v>
      </c>
    </row>
    <row r="353" spans="2:12" ht="13.25" hidden="1" customHeight="1" x14ac:dyDescent="0.3">
      <c r="B353" s="21"/>
      <c r="E353" s="5">
        <v>349</v>
      </c>
      <c r="F353" s="5">
        <f t="shared" ca="1" si="40"/>
        <v>0</v>
      </c>
      <c r="G353" s="5">
        <f t="shared" ca="1" si="41"/>
        <v>720</v>
      </c>
      <c r="H353" s="5">
        <f t="shared" ca="1" si="44"/>
        <v>720</v>
      </c>
      <c r="I353" s="5">
        <f t="shared" ca="1" si="42"/>
        <v>0</v>
      </c>
      <c r="J353" s="5">
        <f t="shared" ca="1" si="43"/>
        <v>0</v>
      </c>
      <c r="K353" s="5">
        <f t="shared" ca="1" si="45"/>
        <v>0</v>
      </c>
      <c r="L353" s="24">
        <f t="shared" ca="1" si="46"/>
        <v>19.726027397260275</v>
      </c>
    </row>
    <row r="354" spans="2:12" ht="13.25" hidden="1" customHeight="1" x14ac:dyDescent="0.3">
      <c r="B354" s="21"/>
      <c r="E354" s="5">
        <v>350</v>
      </c>
      <c r="F354" s="5">
        <f t="shared" ca="1" si="40"/>
        <v>0</v>
      </c>
      <c r="G354" s="5">
        <f t="shared" ca="1" si="41"/>
        <v>720</v>
      </c>
      <c r="H354" s="5">
        <f t="shared" ca="1" si="44"/>
        <v>720</v>
      </c>
      <c r="I354" s="5">
        <f t="shared" ca="1" si="42"/>
        <v>0</v>
      </c>
      <c r="J354" s="5">
        <f t="shared" ca="1" si="43"/>
        <v>0</v>
      </c>
      <c r="K354" s="5">
        <f t="shared" ca="1" si="45"/>
        <v>0</v>
      </c>
      <c r="L354" s="24">
        <f t="shared" ca="1" si="46"/>
        <v>19.726027397260275</v>
      </c>
    </row>
    <row r="355" spans="2:12" ht="13.25" hidden="1" customHeight="1" x14ac:dyDescent="0.3">
      <c r="B355" s="21"/>
      <c r="E355" s="5">
        <v>351</v>
      </c>
      <c r="F355" s="5">
        <f t="shared" ca="1" si="40"/>
        <v>90</v>
      </c>
      <c r="G355" s="5">
        <f t="shared" ca="1" si="41"/>
        <v>720</v>
      </c>
      <c r="H355" s="5">
        <f t="shared" ca="1" si="44"/>
        <v>630</v>
      </c>
      <c r="I355" s="5">
        <f t="shared" ca="1" si="42"/>
        <v>0</v>
      </c>
      <c r="J355" s="5">
        <f t="shared" ca="1" si="43"/>
        <v>0</v>
      </c>
      <c r="K355" s="5">
        <f t="shared" ca="1" si="45"/>
        <v>0</v>
      </c>
      <c r="L355" s="24">
        <f t="shared" ca="1" si="46"/>
        <v>17.260273972602739</v>
      </c>
    </row>
    <row r="356" spans="2:12" ht="13.25" hidden="1" customHeight="1" x14ac:dyDescent="0.3">
      <c r="B356" s="21"/>
      <c r="E356" s="5">
        <v>352</v>
      </c>
      <c r="F356" s="5">
        <f t="shared" ca="1" si="40"/>
        <v>90</v>
      </c>
      <c r="G356" s="5">
        <f t="shared" ca="1" si="41"/>
        <v>630</v>
      </c>
      <c r="H356" s="5">
        <f t="shared" ca="1" si="44"/>
        <v>540</v>
      </c>
      <c r="I356" s="5">
        <f t="shared" ca="1" si="42"/>
        <v>0</v>
      </c>
      <c r="J356" s="5">
        <f t="shared" ca="1" si="43"/>
        <v>0</v>
      </c>
      <c r="K356" s="5">
        <f t="shared" ca="1" si="45"/>
        <v>0</v>
      </c>
      <c r="L356" s="24">
        <f t="shared" ca="1" si="46"/>
        <v>14.794520547945204</v>
      </c>
    </row>
    <row r="357" spans="2:12" ht="13.25" hidden="1" customHeight="1" x14ac:dyDescent="0.3">
      <c r="B357" s="21"/>
      <c r="E357" s="5">
        <v>353</v>
      </c>
      <c r="F357" s="5">
        <f t="shared" ca="1" si="40"/>
        <v>0</v>
      </c>
      <c r="G357" s="5">
        <f t="shared" ca="1" si="41"/>
        <v>540</v>
      </c>
      <c r="H357" s="5">
        <f t="shared" ca="1" si="44"/>
        <v>540</v>
      </c>
      <c r="I357" s="5">
        <f t="shared" ca="1" si="42"/>
        <v>0</v>
      </c>
      <c r="J357" s="5">
        <f t="shared" ca="1" si="43"/>
        <v>0</v>
      </c>
      <c r="K357" s="5">
        <f t="shared" ca="1" si="45"/>
        <v>0</v>
      </c>
      <c r="L357" s="24">
        <f t="shared" ca="1" si="46"/>
        <v>14.794520547945204</v>
      </c>
    </row>
    <row r="358" spans="2:12" ht="13.25" hidden="1" customHeight="1" x14ac:dyDescent="0.3">
      <c r="B358" s="21"/>
      <c r="E358" s="5">
        <v>354</v>
      </c>
      <c r="F358" s="5">
        <f t="shared" ca="1" si="40"/>
        <v>0</v>
      </c>
      <c r="G358" s="5">
        <f t="shared" ca="1" si="41"/>
        <v>540</v>
      </c>
      <c r="H358" s="5">
        <f t="shared" ca="1" si="44"/>
        <v>540</v>
      </c>
      <c r="I358" s="5">
        <f t="shared" ca="1" si="42"/>
        <v>0</v>
      </c>
      <c r="J358" s="5">
        <f t="shared" ca="1" si="43"/>
        <v>0</v>
      </c>
      <c r="K358" s="5">
        <f t="shared" ca="1" si="45"/>
        <v>0</v>
      </c>
      <c r="L358" s="24">
        <f t="shared" ca="1" si="46"/>
        <v>14.794520547945204</v>
      </c>
    </row>
    <row r="359" spans="2:12" ht="13.25" hidden="1" customHeight="1" x14ac:dyDescent="0.3">
      <c r="B359" s="21"/>
      <c r="E359" s="5">
        <v>355</v>
      </c>
      <c r="F359" s="5">
        <f t="shared" ca="1" si="40"/>
        <v>110</v>
      </c>
      <c r="G359" s="5">
        <f t="shared" ca="1" si="41"/>
        <v>540</v>
      </c>
      <c r="H359" s="5">
        <f t="shared" ca="1" si="44"/>
        <v>430</v>
      </c>
      <c r="I359" s="5">
        <f t="shared" ca="1" si="42"/>
        <v>0</v>
      </c>
      <c r="J359" s="5">
        <f t="shared" ca="1" si="43"/>
        <v>0</v>
      </c>
      <c r="K359" s="5">
        <f t="shared" ca="1" si="45"/>
        <v>0</v>
      </c>
      <c r="L359" s="24">
        <f t="shared" ca="1" si="46"/>
        <v>11.780821917808218</v>
      </c>
    </row>
    <row r="360" spans="2:12" ht="13.25" hidden="1" customHeight="1" x14ac:dyDescent="0.3">
      <c r="B360" s="21"/>
      <c r="E360" s="5">
        <v>356</v>
      </c>
      <c r="F360" s="5">
        <f t="shared" ca="1" si="40"/>
        <v>0</v>
      </c>
      <c r="G360" s="5">
        <f t="shared" ca="1" si="41"/>
        <v>430</v>
      </c>
      <c r="H360" s="5">
        <f t="shared" ca="1" si="44"/>
        <v>430</v>
      </c>
      <c r="I360" s="5">
        <f t="shared" ca="1" si="42"/>
        <v>0</v>
      </c>
      <c r="J360" s="5">
        <f t="shared" ca="1" si="43"/>
        <v>0</v>
      </c>
      <c r="K360" s="5">
        <f t="shared" ca="1" si="45"/>
        <v>0</v>
      </c>
      <c r="L360" s="24">
        <f t="shared" ca="1" si="46"/>
        <v>11.780821917808218</v>
      </c>
    </row>
    <row r="361" spans="2:12" ht="13.25" hidden="1" customHeight="1" x14ac:dyDescent="0.3">
      <c r="B361" s="21"/>
      <c r="E361" s="5">
        <v>357</v>
      </c>
      <c r="F361" s="5">
        <f t="shared" ca="1" si="40"/>
        <v>0</v>
      </c>
      <c r="G361" s="5">
        <f t="shared" ca="1" si="41"/>
        <v>430</v>
      </c>
      <c r="H361" s="5">
        <f t="shared" ca="1" si="44"/>
        <v>430</v>
      </c>
      <c r="I361" s="5">
        <f t="shared" ca="1" si="42"/>
        <v>0</v>
      </c>
      <c r="J361" s="5">
        <f t="shared" ca="1" si="43"/>
        <v>0</v>
      </c>
      <c r="K361" s="5">
        <f t="shared" ca="1" si="45"/>
        <v>0</v>
      </c>
      <c r="L361" s="24">
        <f t="shared" ca="1" si="46"/>
        <v>11.780821917808218</v>
      </c>
    </row>
    <row r="362" spans="2:12" ht="13.25" hidden="1" customHeight="1" x14ac:dyDescent="0.3">
      <c r="B362" s="21"/>
      <c r="E362" s="5">
        <v>358</v>
      </c>
      <c r="F362" s="5">
        <f t="shared" ca="1" si="40"/>
        <v>90</v>
      </c>
      <c r="G362" s="5">
        <f t="shared" ca="1" si="41"/>
        <v>430</v>
      </c>
      <c r="H362" s="5">
        <f t="shared" ca="1" si="44"/>
        <v>340</v>
      </c>
      <c r="I362" s="5">
        <f t="shared" ca="1" si="42"/>
        <v>0</v>
      </c>
      <c r="J362" s="5">
        <f t="shared" ca="1" si="43"/>
        <v>0</v>
      </c>
      <c r="K362" s="5">
        <f t="shared" ca="1" si="45"/>
        <v>0</v>
      </c>
      <c r="L362" s="24">
        <f t="shared" ca="1" si="46"/>
        <v>9.3150684931506849</v>
      </c>
    </row>
    <row r="363" spans="2:12" ht="13.25" hidden="1" customHeight="1" x14ac:dyDescent="0.3">
      <c r="B363" s="21"/>
      <c r="E363" s="5">
        <v>359</v>
      </c>
      <c r="F363" s="5">
        <f t="shared" ca="1" si="40"/>
        <v>0</v>
      </c>
      <c r="G363" s="5">
        <f t="shared" ca="1" si="41"/>
        <v>340</v>
      </c>
      <c r="H363" s="5">
        <f t="shared" ca="1" si="44"/>
        <v>340</v>
      </c>
      <c r="I363" s="5">
        <f t="shared" ca="1" si="42"/>
        <v>0</v>
      </c>
      <c r="J363" s="5">
        <f t="shared" ca="1" si="43"/>
        <v>0</v>
      </c>
      <c r="K363" s="5">
        <f t="shared" ca="1" si="45"/>
        <v>0</v>
      </c>
      <c r="L363" s="24">
        <f t="shared" ca="1" si="46"/>
        <v>9.3150684931506849</v>
      </c>
    </row>
    <row r="364" spans="2:12" ht="13.25" hidden="1" customHeight="1" x14ac:dyDescent="0.3">
      <c r="B364" s="21"/>
      <c r="E364" s="5">
        <v>360</v>
      </c>
      <c r="F364" s="5">
        <f t="shared" ca="1" si="40"/>
        <v>90</v>
      </c>
      <c r="G364" s="5">
        <f t="shared" ca="1" si="41"/>
        <v>340</v>
      </c>
      <c r="H364" s="5">
        <f t="shared" ca="1" si="44"/>
        <v>250</v>
      </c>
      <c r="I364" s="5">
        <f t="shared" ca="1" si="42"/>
        <v>0</v>
      </c>
      <c r="J364" s="5">
        <f t="shared" ca="1" si="43"/>
        <v>0</v>
      </c>
      <c r="K364" s="5">
        <f t="shared" ca="1" si="45"/>
        <v>0</v>
      </c>
      <c r="L364" s="24">
        <f t="shared" ca="1" si="46"/>
        <v>6.8493150684931505</v>
      </c>
    </row>
    <row r="365" spans="2:12" ht="13.25" hidden="1" customHeight="1" x14ac:dyDescent="0.3">
      <c r="E365" s="5">
        <v>361</v>
      </c>
      <c r="F365" s="5">
        <f t="shared" ca="1" si="40"/>
        <v>0</v>
      </c>
      <c r="G365" s="5">
        <f t="shared" ca="1" si="41"/>
        <v>250</v>
      </c>
      <c r="H365" s="5">
        <f t="shared" ca="1" si="44"/>
        <v>250</v>
      </c>
      <c r="I365" s="5">
        <f t="shared" ca="1" si="42"/>
        <v>0</v>
      </c>
      <c r="J365" s="5">
        <f t="shared" ca="1" si="43"/>
        <v>0</v>
      </c>
      <c r="K365" s="5">
        <f t="shared" ca="1" si="45"/>
        <v>0</v>
      </c>
      <c r="L365" s="24">
        <f t="shared" ca="1" si="46"/>
        <v>6.8493150684931505</v>
      </c>
    </row>
    <row r="366" spans="2:12" ht="13.25" hidden="1" customHeight="1" x14ac:dyDescent="0.3">
      <c r="E366" s="5">
        <v>362</v>
      </c>
      <c r="F366" s="5">
        <f t="shared" ca="1" si="40"/>
        <v>0</v>
      </c>
      <c r="G366" s="5">
        <f t="shared" ca="1" si="41"/>
        <v>250</v>
      </c>
      <c r="H366" s="5">
        <f t="shared" ca="1" si="44"/>
        <v>250</v>
      </c>
      <c r="I366" s="5">
        <f t="shared" ca="1" si="42"/>
        <v>0</v>
      </c>
      <c r="J366" s="5">
        <f t="shared" ca="1" si="43"/>
        <v>0</v>
      </c>
      <c r="K366" s="5">
        <f t="shared" ca="1" si="45"/>
        <v>0</v>
      </c>
      <c r="L366" s="24">
        <f t="shared" ca="1" si="46"/>
        <v>6.8493150684931505</v>
      </c>
    </row>
    <row r="367" spans="2:12" ht="13.25" hidden="1" customHeight="1" x14ac:dyDescent="0.3">
      <c r="E367" s="5">
        <v>363</v>
      </c>
      <c r="F367" s="5">
        <f t="shared" ca="1" si="40"/>
        <v>0</v>
      </c>
      <c r="G367" s="5">
        <f t="shared" ca="1" si="41"/>
        <v>250</v>
      </c>
      <c r="H367" s="5">
        <f t="shared" ca="1" si="44"/>
        <v>250</v>
      </c>
      <c r="I367" s="5">
        <f t="shared" ca="1" si="42"/>
        <v>0</v>
      </c>
      <c r="J367" s="5">
        <f t="shared" ca="1" si="43"/>
        <v>0</v>
      </c>
      <c r="K367" s="5">
        <f t="shared" ca="1" si="45"/>
        <v>0</v>
      </c>
      <c r="L367" s="24">
        <f t="shared" ca="1" si="46"/>
        <v>6.8493150684931505</v>
      </c>
    </row>
    <row r="368" spans="2:12" ht="13.25" hidden="1" customHeight="1" x14ac:dyDescent="0.3">
      <c r="E368" s="5">
        <v>364</v>
      </c>
      <c r="F368" s="5">
        <f t="shared" ca="1" si="40"/>
        <v>110</v>
      </c>
      <c r="G368" s="5">
        <f t="shared" ca="1" si="41"/>
        <v>250</v>
      </c>
      <c r="H368" s="5">
        <f t="shared" ca="1" si="44"/>
        <v>140</v>
      </c>
      <c r="I368" s="5">
        <f t="shared" ca="1" si="42"/>
        <v>0</v>
      </c>
      <c r="J368" s="5">
        <f t="shared" ca="1" si="43"/>
        <v>0</v>
      </c>
      <c r="K368" s="5">
        <f t="shared" ca="1" si="45"/>
        <v>0</v>
      </c>
      <c r="L368" s="24">
        <f t="shared" ca="1" si="46"/>
        <v>3.8356164383561642</v>
      </c>
    </row>
    <row r="369" spans="5:12" ht="13.25" customHeight="1" x14ac:dyDescent="0.3">
      <c r="E369" s="5">
        <v>365</v>
      </c>
      <c r="F369" s="5">
        <f t="shared" ca="1" si="40"/>
        <v>0</v>
      </c>
      <c r="G369" s="5">
        <f t="shared" ca="1" si="41"/>
        <v>140</v>
      </c>
      <c r="H369" s="5">
        <f t="shared" ca="1" si="44"/>
        <v>140</v>
      </c>
      <c r="I369" s="5">
        <f t="shared" ca="1" si="42"/>
        <v>0</v>
      </c>
      <c r="J369" s="5">
        <f t="shared" ca="1" si="43"/>
        <v>0</v>
      </c>
      <c r="K369" s="5">
        <f t="shared" ca="1" si="45"/>
        <v>0</v>
      </c>
      <c r="L369" s="24">
        <f t="shared" ca="1" si="46"/>
        <v>3.8356164383561642</v>
      </c>
    </row>
    <row r="370" spans="5:12" x14ac:dyDescent="0.3">
      <c r="E370" s="42"/>
      <c r="F370" s="42"/>
      <c r="G370" s="42"/>
      <c r="H370" s="42"/>
      <c r="I370" s="42"/>
      <c r="J370" s="42"/>
      <c r="K370" s="42"/>
      <c r="L370" s="42"/>
    </row>
    <row r="371" spans="5:12" ht="13.25" customHeight="1" x14ac:dyDescent="0.3">
      <c r="F371" s="12"/>
      <c r="G371" s="13"/>
    </row>
    <row r="372" spans="5:12" ht="13.25" customHeight="1" x14ac:dyDescent="0.3">
      <c r="F372" s="12"/>
      <c r="G372" s="13"/>
    </row>
    <row r="373" spans="5:12" ht="13.25" customHeight="1" x14ac:dyDescent="0.3">
      <c r="F373" s="12"/>
      <c r="G373" s="13"/>
    </row>
    <row r="374" spans="5:12" ht="13.25" customHeight="1" x14ac:dyDescent="0.3">
      <c r="F374" s="12"/>
      <c r="G374" s="13"/>
    </row>
    <row r="375" spans="5:12" ht="13.25" customHeight="1" x14ac:dyDescent="0.3">
      <c r="F375" s="12"/>
      <c r="G375" s="13"/>
    </row>
    <row r="376" spans="5:12" ht="13.25" customHeight="1" x14ac:dyDescent="0.3">
      <c r="F376" s="12"/>
      <c r="G376" s="13"/>
    </row>
    <row r="377" spans="5:12" ht="13.25" customHeight="1" x14ac:dyDescent="0.3">
      <c r="F377" s="12"/>
      <c r="G377" s="13"/>
    </row>
    <row r="378" spans="5:12" ht="13.25" customHeight="1" x14ac:dyDescent="0.3">
      <c r="F378" s="12"/>
      <c r="G378" s="13"/>
    </row>
    <row r="379" spans="5:12" ht="13.25" customHeight="1" x14ac:dyDescent="0.3">
      <c r="F379" s="12"/>
      <c r="G379" s="13"/>
    </row>
    <row r="380" spans="5:12" ht="13.25" customHeight="1" x14ac:dyDescent="0.3">
      <c r="F380" s="12"/>
      <c r="G380" s="13"/>
    </row>
    <row r="381" spans="5:12" ht="13.25" customHeight="1" x14ac:dyDescent="0.3">
      <c r="F381" s="12"/>
      <c r="G381" s="13"/>
    </row>
    <row r="382" spans="5:12" ht="13.25" customHeight="1" x14ac:dyDescent="0.3">
      <c r="F382" s="12"/>
      <c r="G382" s="13"/>
    </row>
    <row r="383" spans="5:12" ht="13.25" customHeight="1" x14ac:dyDescent="0.3">
      <c r="F383" s="12"/>
      <c r="G383" s="13"/>
    </row>
    <row r="384" spans="5:12" ht="13.25" customHeight="1" x14ac:dyDescent="0.3">
      <c r="F384" s="12"/>
      <c r="G384" s="13"/>
    </row>
    <row r="385" spans="6:7" ht="13.25" customHeight="1" x14ac:dyDescent="0.3">
      <c r="F385" s="12"/>
      <c r="G385" s="13"/>
    </row>
    <row r="386" spans="6:7" ht="13.25" customHeight="1" x14ac:dyDescent="0.3">
      <c r="F386" s="12"/>
      <c r="G386" s="13"/>
    </row>
    <row r="387" spans="6:7" ht="13.25" customHeight="1" x14ac:dyDescent="0.3">
      <c r="F387" s="12"/>
      <c r="G387" s="13"/>
    </row>
    <row r="388" spans="6:7" ht="13.25" customHeight="1" x14ac:dyDescent="0.3">
      <c r="F388" s="12"/>
      <c r="G388" s="13"/>
    </row>
    <row r="389" spans="6:7" ht="13.25" customHeight="1" x14ac:dyDescent="0.3">
      <c r="F389" s="12"/>
      <c r="G389" s="13"/>
    </row>
    <row r="390" spans="6:7" ht="13.25" customHeight="1" x14ac:dyDescent="0.3">
      <c r="F390" s="12"/>
      <c r="G390" s="13"/>
    </row>
    <row r="391" spans="6:7" ht="13.25" customHeight="1" x14ac:dyDescent="0.3">
      <c r="F391" s="12"/>
      <c r="G391" s="13"/>
    </row>
    <row r="392" spans="6:7" ht="13.25" customHeight="1" x14ac:dyDescent="0.3">
      <c r="F392" s="12"/>
      <c r="G392" s="13"/>
    </row>
    <row r="393" spans="6:7" ht="13.25" customHeight="1" x14ac:dyDescent="0.3">
      <c r="F393" s="12"/>
      <c r="G393" s="13"/>
    </row>
    <row r="394" spans="6:7" ht="13.25" customHeight="1" x14ac:dyDescent="0.3">
      <c r="F394" s="12"/>
      <c r="G394" s="13"/>
    </row>
    <row r="395" spans="6:7" ht="13.25" customHeight="1" x14ac:dyDescent="0.3">
      <c r="F395" s="12"/>
      <c r="G395" s="13"/>
    </row>
    <row r="396" spans="6:7" ht="13.25" customHeight="1" x14ac:dyDescent="0.3">
      <c r="F396" s="12"/>
      <c r="G396" s="13"/>
    </row>
    <row r="397" spans="6:7" ht="13.25" customHeight="1" x14ac:dyDescent="0.3">
      <c r="F397" s="12"/>
      <c r="G397" s="13"/>
    </row>
    <row r="398" spans="6:7" ht="13.25" customHeight="1" x14ac:dyDescent="0.3">
      <c r="F398" s="12"/>
      <c r="G398" s="13"/>
    </row>
    <row r="399" spans="6:7" ht="13.25" customHeight="1" x14ac:dyDescent="0.3">
      <c r="F399" s="12"/>
      <c r="G399" s="13"/>
    </row>
    <row r="400" spans="6:7" ht="13.25" customHeight="1" x14ac:dyDescent="0.3">
      <c r="F400" s="12"/>
      <c r="G400" s="13"/>
    </row>
    <row r="401" spans="6:7" ht="13.25" customHeight="1" x14ac:dyDescent="0.3">
      <c r="F401" s="12"/>
      <c r="G401" s="13"/>
    </row>
    <row r="402" spans="6:7" ht="13.25" customHeight="1" x14ac:dyDescent="0.3">
      <c r="F402" s="12"/>
      <c r="G402" s="13"/>
    </row>
    <row r="403" spans="6:7" ht="13.25" customHeight="1" x14ac:dyDescent="0.3">
      <c r="F403" s="12"/>
      <c r="G403" s="13"/>
    </row>
    <row r="404" spans="6:7" ht="13.25" customHeight="1" x14ac:dyDescent="0.3">
      <c r="F404" s="12"/>
      <c r="G404" s="13"/>
    </row>
    <row r="405" spans="6:7" ht="13.25" customHeight="1" x14ac:dyDescent="0.3">
      <c r="F405" s="12"/>
      <c r="G405" s="13"/>
    </row>
    <row r="406" spans="6:7" ht="13.25" customHeight="1" x14ac:dyDescent="0.3">
      <c r="F406" s="12"/>
      <c r="G406" s="13"/>
    </row>
    <row r="407" spans="6:7" ht="13.25" customHeight="1" x14ac:dyDescent="0.3">
      <c r="F407" s="12"/>
      <c r="G407" s="13"/>
    </row>
    <row r="408" spans="6:7" ht="13.25" customHeight="1" x14ac:dyDescent="0.3">
      <c r="F408" s="12"/>
      <c r="G408" s="13"/>
    </row>
    <row r="409" spans="6:7" ht="13.25" customHeight="1" x14ac:dyDescent="0.3">
      <c r="F409" s="12"/>
      <c r="G409" s="13"/>
    </row>
    <row r="410" spans="6:7" ht="13.25" customHeight="1" x14ac:dyDescent="0.3">
      <c r="F410" s="12"/>
      <c r="G410" s="13"/>
    </row>
    <row r="411" spans="6:7" ht="13.25" customHeight="1" x14ac:dyDescent="0.3">
      <c r="F411" s="12"/>
      <c r="G411" s="13"/>
    </row>
    <row r="412" spans="6:7" ht="13.25" customHeight="1" x14ac:dyDescent="0.3">
      <c r="F412" s="12"/>
      <c r="G412" s="13"/>
    </row>
    <row r="413" spans="6:7" ht="13.25" customHeight="1" x14ac:dyDescent="0.3">
      <c r="F413" s="12"/>
      <c r="G413" s="13"/>
    </row>
    <row r="414" spans="6:7" ht="13.25" customHeight="1" x14ac:dyDescent="0.3">
      <c r="F414" s="12"/>
      <c r="G414" s="13"/>
    </row>
    <row r="415" spans="6:7" ht="13.25" customHeight="1" x14ac:dyDescent="0.3">
      <c r="F415" s="12"/>
      <c r="G415" s="13"/>
    </row>
    <row r="416" spans="6:7" ht="13.25" customHeight="1" x14ac:dyDescent="0.3">
      <c r="F416" s="12"/>
      <c r="G416" s="13"/>
    </row>
    <row r="417" spans="6:7" ht="13.25" customHeight="1" x14ac:dyDescent="0.3">
      <c r="F417" s="12"/>
      <c r="G417" s="13"/>
    </row>
    <row r="418" spans="6:7" ht="13.25" customHeight="1" x14ac:dyDescent="0.3">
      <c r="F418" s="12"/>
      <c r="G418" s="13"/>
    </row>
    <row r="419" spans="6:7" ht="13.25" customHeight="1" x14ac:dyDescent="0.3">
      <c r="F419" s="12"/>
      <c r="G419" s="13"/>
    </row>
    <row r="420" spans="6:7" ht="13.25" customHeight="1" x14ac:dyDescent="0.3">
      <c r="F420" s="12"/>
      <c r="G420" s="13"/>
    </row>
    <row r="421" spans="6:7" ht="13.25" customHeight="1" x14ac:dyDescent="0.3">
      <c r="F421" s="12"/>
      <c r="G421" s="13"/>
    </row>
    <row r="422" spans="6:7" ht="13.25" customHeight="1" x14ac:dyDescent="0.3">
      <c r="F422" s="12"/>
      <c r="G422" s="13"/>
    </row>
    <row r="423" spans="6:7" ht="13.25" customHeight="1" x14ac:dyDescent="0.3">
      <c r="F423" s="12"/>
      <c r="G423" s="13"/>
    </row>
    <row r="424" spans="6:7" ht="13.25" customHeight="1" x14ac:dyDescent="0.3">
      <c r="F424" s="12"/>
      <c r="G424" s="13"/>
    </row>
    <row r="425" spans="6:7" ht="13.25" customHeight="1" x14ac:dyDescent="0.3"/>
    <row r="426" spans="6:7" ht="13.25" customHeight="1" x14ac:dyDescent="0.3"/>
    <row r="427" spans="6:7" ht="13.25" customHeight="1" x14ac:dyDescent="0.3"/>
    <row r="428" spans="6:7" ht="13.25" customHeight="1" x14ac:dyDescent="0.3"/>
    <row r="429" spans="6:7" ht="13.25" customHeight="1" x14ac:dyDescent="0.3"/>
  </sheetData>
  <mergeCells count="1">
    <mergeCell ref="E2:E3"/>
  </mergeCells>
  <phoneticPr fontId="2" type="noConversion"/>
  <printOptions headings="1"/>
  <pageMargins left="0.75" right="0.75" top="1" bottom="1" header="0.5" footer="0.5"/>
  <pageSetup orientation="portrait"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showGridLines="0" zoomScale="93" zoomScaleNormal="93" workbookViewId="0">
      <selection activeCell="P23" sqref="P23"/>
    </sheetView>
  </sheetViews>
  <sheetFormatPr defaultRowHeight="12.75" x14ac:dyDescent="0.35"/>
  <sheetData/>
  <phoneticPr fontId="2" type="noConversion"/>
  <pageMargins left="0.75" right="0.75" top="1" bottom="1" header="0.5" footer="0.5"/>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命名范围</vt:lpstr>
      </vt:variant>
      <vt:variant>
        <vt:i4>2</vt:i4>
      </vt:variant>
    </vt:vector>
  </HeadingPairs>
  <TitlesOfParts>
    <vt:vector size="7" baseType="lpstr">
      <vt:lpstr>例8-7</vt:lpstr>
      <vt:lpstr>随机需求模拟模型</vt:lpstr>
      <vt:lpstr>年总成本随订货量变化图形</vt:lpstr>
      <vt:lpstr>随机需求服务水平模拟模型</vt:lpstr>
      <vt:lpstr>服务水平随安全库存变化图</vt:lpstr>
      <vt:lpstr>随机需求服务水平模拟模型!Print_Area</vt:lpstr>
      <vt:lpstr>随机需求模拟模型!Print_Area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Xingde Wang</dc:creator>
  <cp:lastModifiedBy>carl lee</cp:lastModifiedBy>
  <cp:lastPrinted>2010-02-17T08:50:59Z</cp:lastPrinted>
  <dcterms:created xsi:type="dcterms:W3CDTF">1997-07-27T18:56:09Z</dcterms:created>
  <dcterms:modified xsi:type="dcterms:W3CDTF">2024-07-25T07:37:38Z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65c2b6f7</vt:lpwstr>
  </property>
</Properties>
</file>