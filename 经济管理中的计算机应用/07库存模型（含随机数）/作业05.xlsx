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3.xml" ContentType="application/vnd.ms-excel.controlproperties+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trlProps/ctrlProp6.xml" ContentType="application/vnd.ms-excel.controlproperties+xml"/>
  <Override PartName="/xl/ctrlProps/ctrlProp7.xml" ContentType="application/vnd.ms-excel.controlproperti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trlProps/ctrlProp8.xml" ContentType="application/vnd.ms-excel.controlproperties+xml"/>
  <Override PartName="/xl/ctrlProps/ctrlProp9.xml" ContentType="application/vnd.ms-excel.controlproperti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trlProps/ctrlProp10.xml" ContentType="application/vnd.ms-excel.controlproperti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trlProps/ctrlProp11.xml" ContentType="application/vnd.ms-excel.controlproperti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trlProps/ctrlProp12.xml" ContentType="application/vnd.ms-excel.controlproperties+xml"/>
  <Override PartName="/xl/ctrlProps/ctrlProp13.xml" ContentType="application/vnd.ms-excel.controlproperti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trlProps/ctrlProp14.xml" ContentType="application/vnd.ms-excel.controlproperties+xml"/>
  <Override PartName="/xl/ctrlProps/ctrlProp15.xml" ContentType="application/vnd.ms-excel.controlproperti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D:\作业与资料\经管机\07库存模型（含随机数）\"/>
    </mc:Choice>
  </mc:AlternateContent>
  <xr:revisionPtr revIDLastSave="0" documentId="13_ncr:1_{674257EA-30C7-4AD9-A4D3-FE83F22C80F7}" xr6:coauthVersionLast="47" xr6:coauthVersionMax="47" xr10:uidLastSave="{00000000-0000-0000-0000-000000000000}"/>
  <bookViews>
    <workbookView xWindow="-110" yWindow="-110" windowWidth="25820" windowHeight="15500" activeTab="4" xr2:uid="{00000000-000D-0000-FFFF-FFFF00000000}"/>
  </bookViews>
  <sheets>
    <sheet name="第1题" sheetId="1" r:id="rId1"/>
    <sheet name="第2题" sheetId="2" r:id="rId2"/>
    <sheet name="第3题" sheetId="3" r:id="rId3"/>
    <sheet name="第4题" sheetId="5" r:id="rId4"/>
    <sheet name="第5题" sheetId="6" r:id="rId5"/>
    <sheet name="第6题" sheetId="7" r:id="rId6"/>
    <sheet name="第7题" sheetId="4" r:id="rId7"/>
    <sheet name="第8题" sheetId="8" r:id="rId8"/>
    <sheet name="第9题" sheetId="9" r:id="rId9"/>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4" l="1"/>
  <c r="F3" i="7"/>
  <c r="D11" i="4"/>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3" i="9"/>
  <c r="C4" i="9"/>
  <c r="C8" i="9"/>
  <c r="C9" i="9" s="1"/>
  <c r="C10" i="9" l="1"/>
  <c r="G2" i="9" s="1"/>
  <c r="C3" i="9" l="1"/>
  <c r="K39" i="8"/>
  <c r="K38" i="8"/>
  <c r="M11" i="8"/>
  <c r="M5" i="8"/>
  <c r="M4" i="8"/>
  <c r="B22" i="8"/>
  <c r="C24" i="8" s="1"/>
  <c r="C22" i="8" l="1"/>
  <c r="B23" i="8" s="1"/>
  <c r="B24" i="8" l="1"/>
  <c r="C18" i="8" l="1"/>
  <c r="C15" i="8"/>
  <c r="C16" i="8" s="1"/>
  <c r="C11" i="8"/>
  <c r="C10" i="8"/>
  <c r="D18" i="4"/>
  <c r="D19" i="4"/>
  <c r="D20" i="4"/>
  <c r="D21" i="4"/>
  <c r="D17" i="4"/>
  <c r="C17" i="8" l="1"/>
  <c r="C19" i="8" s="1"/>
  <c r="D13" i="4"/>
  <c r="W32" i="7"/>
  <c r="C8" i="8"/>
  <c r="C12" i="8" s="1"/>
  <c r="C13" i="8" s="1"/>
  <c r="C28" i="4"/>
  <c r="C27" i="4"/>
  <c r="D29" i="4"/>
  <c r="D30" i="4" s="1"/>
  <c r="D28" i="4"/>
  <c r="D27" i="4"/>
  <c r="D26" i="4"/>
  <c r="F9" i="7"/>
  <c r="U6" i="6"/>
  <c r="U5" i="6"/>
  <c r="T5" i="6"/>
  <c r="T6" i="6"/>
  <c r="T7" i="6"/>
  <c r="T4" i="6"/>
  <c r="U4" i="6"/>
  <c r="U3" i="6"/>
  <c r="Q6" i="6"/>
  <c r="Q4" i="6"/>
  <c r="Q5" i="6"/>
  <c r="P4" i="6"/>
  <c r="P5" i="6"/>
  <c r="P6" i="6"/>
  <c r="P7" i="6"/>
  <c r="P3" i="6"/>
  <c r="F9" i="6"/>
  <c r="L2" i="6" s="1"/>
  <c r="F8" i="6"/>
  <c r="T38" i="6"/>
  <c r="T37" i="6"/>
  <c r="K1" i="6"/>
  <c r="L1" i="6"/>
  <c r="F12" i="6"/>
  <c r="F14" i="6" s="1"/>
  <c r="G3" i="8" l="1"/>
  <c r="N11" i="8"/>
  <c r="N9" i="8"/>
  <c r="N8" i="8"/>
  <c r="D12" i="4"/>
  <c r="K2" i="6"/>
  <c r="F10" i="6"/>
  <c r="M2" i="6" s="1"/>
  <c r="F13" i="6"/>
  <c r="F15" i="6" l="1"/>
  <c r="O29" i="5" l="1"/>
  <c r="O28" i="5"/>
  <c r="O27" i="5"/>
  <c r="I15" i="5"/>
  <c r="I16" i="5"/>
  <c r="I17" i="5"/>
  <c r="I14" i="5"/>
  <c r="D17" i="5"/>
  <c r="I9" i="5" s="1"/>
  <c r="D13" i="5"/>
  <c r="J2" i="5" s="1"/>
  <c r="D12" i="5"/>
  <c r="G8" i="3"/>
  <c r="G7" i="3"/>
  <c r="P28" i="3"/>
  <c r="P27" i="3"/>
  <c r="C5" i="3"/>
  <c r="C6" i="3" s="1"/>
  <c r="M8" i="3"/>
  <c r="M7" i="3"/>
  <c r="E6" i="2"/>
  <c r="E11" i="2" s="1"/>
  <c r="D16" i="2"/>
  <c r="D17" i="2" s="1"/>
  <c r="E15" i="2"/>
  <c r="D15" i="2"/>
  <c r="E10" i="2"/>
  <c r="D12" i="2"/>
  <c r="D11" i="2"/>
  <c r="D10" i="2"/>
  <c r="I37" i="1"/>
  <c r="D7" i="1"/>
  <c r="D37" i="1" s="1"/>
  <c r="I16" i="1"/>
  <c r="D5" i="1"/>
  <c r="D6" i="1" s="1"/>
  <c r="J2" i="1"/>
  <c r="I7" i="5" l="1"/>
  <c r="I8" i="5" s="1"/>
  <c r="J16" i="5"/>
  <c r="D18" i="5"/>
  <c r="J8" i="5" s="1"/>
  <c r="C12" i="3"/>
  <c r="C11" i="3"/>
  <c r="C8" i="3"/>
  <c r="H2" i="3" s="1"/>
  <c r="D13" i="2"/>
  <c r="E12" i="2"/>
  <c r="E13" i="2" s="1"/>
  <c r="H14" i="1"/>
  <c r="H16" i="1" s="1"/>
  <c r="F37" i="1"/>
  <c r="H15" i="1"/>
  <c r="H17" i="1"/>
  <c r="H18" i="1"/>
  <c r="D8" i="1"/>
  <c r="I15" i="1" s="1"/>
  <c r="D11" i="1"/>
  <c r="C13" i="3" l="1"/>
  <c r="L8" i="3"/>
  <c r="L9" i="3"/>
  <c r="H27" i="2"/>
  <c r="D12" i="1"/>
  <c r="I10" i="1" s="1"/>
  <c r="H11" i="1"/>
  <c r="H12" i="1"/>
  <c r="H9" i="1"/>
  <c r="H10" i="1"/>
  <c r="I2" i="1"/>
  <c r="D9" i="1"/>
  <c r="I17" i="1" s="1"/>
  <c r="K2" i="1" l="1"/>
  <c r="B13" i="9" l="1"/>
  <c r="B12" i="9"/>
  <c r="F22" i="8" l="1"/>
  <c r="J21" i="8"/>
  <c r="F21" i="8"/>
  <c r="J20" i="8"/>
  <c r="F20" i="8"/>
  <c r="J19" i="8"/>
  <c r="F19" i="8"/>
  <c r="J18" i="8"/>
  <c r="F18" i="8"/>
  <c r="J17" i="8"/>
  <c r="F17" i="8"/>
  <c r="J16" i="8"/>
  <c r="F16" i="8"/>
  <c r="J15" i="8"/>
  <c r="F15" i="8"/>
  <c r="F14" i="8"/>
  <c r="F13" i="8"/>
  <c r="F12" i="8"/>
  <c r="F11" i="8"/>
  <c r="C3" i="8"/>
  <c r="G2" i="8"/>
  <c r="F2" i="8"/>
  <c r="C2" i="8"/>
  <c r="H21" i="4" l="1"/>
  <c r="H20" i="4"/>
  <c r="M24" i="4"/>
  <c r="P2" i="4"/>
  <c r="C23" i="4" l="1"/>
  <c r="C29" i="4"/>
  <c r="C30" i="4" s="1"/>
  <c r="J25" i="4" s="1"/>
  <c r="I25" i="4" s="1"/>
  <c r="D9" i="4"/>
  <c r="D14" i="4" s="1"/>
  <c r="D15" i="4" s="1"/>
  <c r="M1" i="6"/>
  <c r="J1" i="6"/>
  <c r="N24" i="4" l="1"/>
  <c r="H2" i="4"/>
  <c r="D6" i="5"/>
  <c r="D15" i="5" l="1"/>
  <c r="J15" i="5"/>
  <c r="I2" i="5"/>
  <c r="C9" i="3"/>
  <c r="D4" i="3"/>
  <c r="F8" i="7" l="1"/>
  <c r="F10" i="7" s="1"/>
  <c r="J2" i="7" s="1"/>
  <c r="F12" i="7" l="1"/>
  <c r="C16" i="7" l="1"/>
  <c r="E16" i="7"/>
  <c r="D16" i="7"/>
  <c r="K17" i="7"/>
  <c r="F13" i="7"/>
  <c r="K18" i="7" l="1"/>
  <c r="D17" i="7"/>
</calcChain>
</file>

<file path=xl/sharedStrings.xml><?xml version="1.0" encoding="utf-8"?>
<sst xmlns="http://schemas.openxmlformats.org/spreadsheetml/2006/main" count="130" uniqueCount="112">
  <si>
    <t>固定成本</t>
  </si>
  <si>
    <t>单位变动成本</t>
  </si>
  <si>
    <t>单价</t>
  </si>
  <si>
    <t>单位边际贡献</t>
  </si>
  <si>
    <t>销量</t>
  </si>
  <si>
    <t>边际贡献</t>
  </si>
  <si>
    <t>利润</t>
  </si>
  <si>
    <t>盈亏平衡销量</t>
  </si>
  <si>
    <t>盈亏平衡点处边际贡献</t>
  </si>
  <si>
    <t>总销量</t>
    <phoneticPr fontId="3" type="noConversion"/>
  </si>
  <si>
    <t>方案</t>
    <phoneticPr fontId="3" type="noConversion"/>
  </si>
  <si>
    <r>
      <t>A</t>
    </r>
    <r>
      <rPr>
        <sz val="10"/>
        <rFont val="宋体"/>
        <family val="3"/>
        <charset val="134"/>
      </rPr>
      <t>产品</t>
    </r>
    <phoneticPr fontId="3" type="noConversion"/>
  </si>
  <si>
    <r>
      <t>B</t>
    </r>
    <r>
      <rPr>
        <sz val="10"/>
        <rFont val="宋体"/>
        <family val="3"/>
        <charset val="134"/>
      </rPr>
      <t>产品</t>
    </r>
    <phoneticPr fontId="3" type="noConversion"/>
  </si>
  <si>
    <t>销量</t>
    <phoneticPr fontId="3" type="noConversion"/>
  </si>
  <si>
    <t>售价</t>
    <phoneticPr fontId="3" type="noConversion"/>
  </si>
  <si>
    <t>单位变动成本</t>
    <phoneticPr fontId="3" type="noConversion"/>
  </si>
  <si>
    <t>固定成本</t>
    <phoneticPr fontId="3" type="noConversion"/>
  </si>
  <si>
    <t>单位边际贡献</t>
    <phoneticPr fontId="3" type="noConversion"/>
  </si>
  <si>
    <t>总成本</t>
    <phoneticPr fontId="3" type="noConversion"/>
  </si>
  <si>
    <t>销售收益</t>
    <phoneticPr fontId="3" type="noConversion"/>
  </si>
  <si>
    <t>利润</t>
    <phoneticPr fontId="3" type="noConversion"/>
  </si>
  <si>
    <t>各自的盈亏平衡销量</t>
    <phoneticPr fontId="3" type="noConversion"/>
  </si>
  <si>
    <r>
      <t>A</t>
    </r>
    <r>
      <rPr>
        <sz val="10"/>
        <rFont val="宋体"/>
        <family val="3"/>
        <charset val="134"/>
      </rPr>
      <t>产品相对盈亏平衡销量（交点）</t>
    </r>
    <phoneticPr fontId="3" type="noConversion"/>
  </si>
  <si>
    <r>
      <t>A</t>
    </r>
    <r>
      <rPr>
        <sz val="10"/>
        <rFont val="宋体"/>
        <family val="3"/>
        <charset val="134"/>
      </rPr>
      <t>产品相对盈亏平衡销量时的利润</t>
    </r>
    <phoneticPr fontId="3" type="noConversion"/>
  </si>
  <si>
    <t>结论</t>
    <phoneticPr fontId="3" type="noConversion"/>
  </si>
  <si>
    <t>固定成本</t>
    <phoneticPr fontId="3" type="noConversion"/>
  </si>
  <si>
    <t>单位变动成本</t>
    <phoneticPr fontId="3" type="noConversion"/>
  </si>
  <si>
    <t>单价</t>
    <phoneticPr fontId="3" type="noConversion"/>
  </si>
  <si>
    <t>利润</t>
    <phoneticPr fontId="12" type="noConversion"/>
  </si>
  <si>
    <t>目标利润</t>
    <phoneticPr fontId="3" type="noConversion"/>
  </si>
  <si>
    <t>盈亏平衡点</t>
    <phoneticPr fontId="12" type="noConversion"/>
  </si>
  <si>
    <t>目标销量</t>
    <phoneticPr fontId="3" type="noConversion"/>
  </si>
  <si>
    <t>安全边际</t>
    <phoneticPr fontId="3" type="noConversion"/>
  </si>
  <si>
    <t>单位边际贡献</t>
    <phoneticPr fontId="12" type="noConversion"/>
  </si>
  <si>
    <t>折角参考线</t>
    <phoneticPr fontId="12" type="noConversion"/>
  </si>
  <si>
    <t>销量</t>
    <phoneticPr fontId="12" type="noConversion"/>
  </si>
  <si>
    <t>产品月产量</t>
    <phoneticPr fontId="13" type="noConversion"/>
  </si>
  <si>
    <t>购买元件</t>
    <phoneticPr fontId="13" type="noConversion"/>
  </si>
  <si>
    <t>购买单价</t>
  </si>
  <si>
    <t>购买元件方案月成本</t>
    <phoneticPr fontId="13" type="noConversion"/>
  </si>
  <si>
    <t>盈亏平衡参考线</t>
    <phoneticPr fontId="13" type="noConversion"/>
  </si>
  <si>
    <t>自制元件</t>
    <phoneticPr fontId="13" type="noConversion"/>
  </si>
  <si>
    <t>月固定成本</t>
    <phoneticPr fontId="13" type="noConversion"/>
  </si>
  <si>
    <t>单位材料费用</t>
  </si>
  <si>
    <t>当前生产数量参考线</t>
    <phoneticPr fontId="13" type="noConversion"/>
  </si>
  <si>
    <t>单位人工费用</t>
  </si>
  <si>
    <t>单位变动制造费用</t>
  </si>
  <si>
    <t>单位可变成本</t>
  </si>
  <si>
    <t>自制元件方案月成本</t>
    <phoneticPr fontId="13" type="noConversion"/>
  </si>
  <si>
    <t>优选方案</t>
    <phoneticPr fontId="3" type="noConversion"/>
  </si>
  <si>
    <t>两种方案的盈亏平衡点</t>
  </si>
  <si>
    <t>盈亏平衡点处共同成本</t>
  </si>
  <si>
    <t>年需求量</t>
  </si>
  <si>
    <t>一次订货的订货成本</t>
  </si>
  <si>
    <t>年单位储存成本</t>
  </si>
  <si>
    <t>订货量</t>
  </si>
  <si>
    <t>年订货成本</t>
  </si>
  <si>
    <t>年储存成本</t>
  </si>
  <si>
    <t>年总成本</t>
  </si>
  <si>
    <r>
      <t>经济订货量 (</t>
    </r>
    <r>
      <rPr>
        <sz val="11"/>
        <color theme="1"/>
        <rFont val="宋体"/>
        <family val="2"/>
        <charset val="134"/>
        <scheme val="minor"/>
      </rPr>
      <t>EOQ</t>
    </r>
    <r>
      <rPr>
        <sz val="11"/>
        <color theme="1"/>
        <rFont val="宋体"/>
        <family val="2"/>
        <charset val="134"/>
        <scheme val="minor"/>
      </rPr>
      <t>)</t>
    </r>
  </si>
  <si>
    <r>
      <t>EOQ</t>
    </r>
    <r>
      <rPr>
        <sz val="10"/>
        <rFont val="宋体"/>
        <family val="3"/>
        <charset val="134"/>
      </rPr>
      <t>下的年订货成本</t>
    </r>
  </si>
  <si>
    <r>
      <t>EOQ</t>
    </r>
    <r>
      <rPr>
        <sz val="10"/>
        <rFont val="宋体"/>
        <family val="3"/>
        <charset val="134"/>
      </rPr>
      <t>下的年储存成本</t>
    </r>
  </si>
  <si>
    <r>
      <t>EOQ</t>
    </r>
    <r>
      <rPr>
        <sz val="10"/>
        <rFont val="宋体"/>
        <family val="3"/>
        <charset val="134"/>
      </rPr>
      <t>下的年总成本</t>
    </r>
  </si>
  <si>
    <t>单位年储存成本</t>
  </si>
  <si>
    <r>
      <t>经济订货量 (</t>
    </r>
    <r>
      <rPr>
        <sz val="11"/>
        <color theme="1"/>
        <rFont val="宋体"/>
        <family val="2"/>
        <charset val="134"/>
        <scheme val="minor"/>
      </rPr>
      <t>EOQ)</t>
    </r>
  </si>
  <si>
    <r>
      <t>当前</t>
    </r>
    <r>
      <rPr>
        <sz val="11"/>
        <color theme="1"/>
        <rFont val="宋体"/>
        <family val="2"/>
        <charset val="134"/>
        <scheme val="minor"/>
      </rPr>
      <t>EOQ</t>
    </r>
    <r>
      <rPr>
        <sz val="10"/>
        <rFont val="宋体"/>
        <family val="3"/>
        <charset val="134"/>
      </rPr>
      <t>水平参考线</t>
    </r>
  </si>
  <si>
    <t>当前年总成本极小值水平参考线</t>
  </si>
  <si>
    <t>散货每吨运费</t>
    <phoneticPr fontId="17"/>
  </si>
  <si>
    <t>整车每吨运费</t>
    <phoneticPr fontId="17"/>
  </si>
  <si>
    <t>整车运输起点吨位</t>
    <phoneticPr fontId="17"/>
  </si>
  <si>
    <t>每吨实际运费</t>
    <phoneticPr fontId="17"/>
  </si>
  <si>
    <t>任意订货量</t>
    <phoneticPr fontId="17"/>
  </si>
  <si>
    <t>年订货成本</t>
    <phoneticPr fontId="17"/>
  </si>
  <si>
    <t>年储存成本</t>
    <phoneticPr fontId="17"/>
  </si>
  <si>
    <t>年运输成本</t>
    <phoneticPr fontId="17"/>
  </si>
  <si>
    <t>年总成本</t>
    <phoneticPr fontId="17"/>
  </si>
  <si>
    <t>经济订货量</t>
    <phoneticPr fontId="17"/>
  </si>
  <si>
    <t>经济订货量</t>
    <phoneticPr fontId="3" type="noConversion"/>
  </si>
  <si>
    <t>结论文字：</t>
    <phoneticPr fontId="3" type="noConversion"/>
  </si>
  <si>
    <t>单价折扣率</t>
    <phoneticPr fontId="3" type="noConversion"/>
  </si>
  <si>
    <t>折扣表</t>
    <phoneticPr fontId="3" type="noConversion"/>
  </si>
  <si>
    <t>折扣阈限值</t>
    <phoneticPr fontId="3" type="noConversion"/>
  </si>
  <si>
    <t>折扣率</t>
    <phoneticPr fontId="3" type="noConversion"/>
  </si>
  <si>
    <t>垂直参考线</t>
    <phoneticPr fontId="3" type="noConversion"/>
  </si>
  <si>
    <t>年需求量</t>
    <phoneticPr fontId="3" type="noConversion"/>
  </si>
  <si>
    <t>一次订货的订货成本</t>
    <phoneticPr fontId="3" type="noConversion"/>
  </si>
  <si>
    <t>单位年储存成本</t>
    <phoneticPr fontId="3" type="noConversion"/>
  </si>
  <si>
    <t>名义采购单价</t>
    <phoneticPr fontId="3" type="noConversion"/>
  </si>
  <si>
    <t>水平参考线</t>
    <phoneticPr fontId="3" type="noConversion"/>
  </si>
  <si>
    <t>实际采购单价</t>
    <phoneticPr fontId="3" type="noConversion"/>
  </si>
  <si>
    <t>订货量</t>
    <phoneticPr fontId="3" type="noConversion"/>
  </si>
  <si>
    <t>年订货成本</t>
    <phoneticPr fontId="3" type="noConversion"/>
  </si>
  <si>
    <t>交点</t>
    <phoneticPr fontId="3" type="noConversion"/>
  </si>
  <si>
    <t>年储存成本</t>
    <phoneticPr fontId="3" type="noConversion"/>
  </si>
  <si>
    <t>年采购成本</t>
    <phoneticPr fontId="3" type="noConversion"/>
  </si>
  <si>
    <t>年总成本</t>
    <phoneticPr fontId="3" type="noConversion"/>
  </si>
  <si>
    <r>
      <t>经济订货量</t>
    </r>
    <r>
      <rPr>
        <sz val="10"/>
        <color theme="1"/>
        <rFont val="Times New Roman"/>
        <family val="1"/>
      </rPr>
      <t>(EOQ)</t>
    </r>
    <phoneticPr fontId="3" type="noConversion"/>
  </si>
  <si>
    <r>
      <t>EOQ</t>
    </r>
    <r>
      <rPr>
        <sz val="10"/>
        <color theme="1"/>
        <rFont val="宋体"/>
        <family val="3"/>
        <charset val="134"/>
      </rPr>
      <t>下的年订货成本</t>
    </r>
    <phoneticPr fontId="3" type="noConversion"/>
  </si>
  <si>
    <r>
      <t>EOQ</t>
    </r>
    <r>
      <rPr>
        <sz val="10"/>
        <color theme="1"/>
        <rFont val="宋体"/>
        <family val="3"/>
        <charset val="134"/>
      </rPr>
      <t>下的年储存成本</t>
    </r>
    <phoneticPr fontId="3" type="noConversion"/>
  </si>
  <si>
    <r>
      <t>EOQ</t>
    </r>
    <r>
      <rPr>
        <sz val="10"/>
        <color theme="1"/>
        <rFont val="宋体"/>
        <family val="3"/>
        <charset val="134"/>
      </rPr>
      <t>下的年采购成本</t>
    </r>
    <phoneticPr fontId="3" type="noConversion"/>
  </si>
  <si>
    <r>
      <t>EOQ</t>
    </r>
    <r>
      <rPr>
        <sz val="10"/>
        <color theme="1"/>
        <rFont val="宋体"/>
        <family val="3"/>
        <charset val="134"/>
      </rPr>
      <t>下的年总成本</t>
    </r>
    <phoneticPr fontId="3" type="noConversion"/>
  </si>
  <si>
    <t>日需求量</t>
    <phoneticPr fontId="3" type="noConversion"/>
  </si>
  <si>
    <t>订货周期</t>
    <phoneticPr fontId="3" type="noConversion"/>
  </si>
  <si>
    <t>初始库存量</t>
    <phoneticPr fontId="3" type="noConversion"/>
  </si>
  <si>
    <t>时间（天）</t>
    <phoneticPr fontId="3" type="noConversion"/>
  </si>
  <si>
    <t>已过去订货周期数</t>
    <phoneticPr fontId="3" type="noConversion"/>
  </si>
  <si>
    <t>本周期已过去天数</t>
    <phoneticPr fontId="3" type="noConversion"/>
  </si>
  <si>
    <t>库存量</t>
    <phoneticPr fontId="3" type="noConversion"/>
  </si>
  <si>
    <t xml:space="preserve">                                                                                           </t>
    <phoneticPr fontId="10" type="noConversion"/>
  </si>
  <si>
    <t>A产品</t>
  </si>
  <si>
    <t>B产品</t>
  </si>
  <si>
    <t>第一问</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</si>
</sst>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 #,##0.00_ ;_ * \-#,##0.00_ ;_ * &quot;-&quot;??_ ;_ @_ "/>
    <numFmt numFmtId="176" formatCode="_(* #,##0.00_);_(* \(#,##0.00\);_(* &quot;-&quot;??_);_(@_)"/>
    <numFmt numFmtId="177" formatCode="&quot;$&quot;#,##0.00"/>
    <numFmt numFmtId="178" formatCode="_(* #,##0_);_(* \(#,##0\);_(* &quot;-&quot;??_);_(@_)"/>
    <numFmt numFmtId="179" formatCode="&quot;$&quot;#,##0"/>
    <numFmt numFmtId="180" formatCode="0.0"/>
    <numFmt numFmtId="181" formatCode="&quot;$&quot;#,##0.00_);\(&quot;$&quot;#,##0.00\)"/>
    <numFmt numFmtId="182" formatCode="&quot;$&quot;#,##0.0_);\(&quot;$&quot;#,##0.0\)"/>
    <numFmt numFmtId="183" formatCode="&quot;$&quot;#,##0.0"/>
    <numFmt numFmtId="184" formatCode="0.00_ "/>
    <numFmt numFmtId="185" formatCode="0.0000"/>
  </numFmts>
  <fonts count="22">
    <font>
      <sz val="11"/>
      <color theme="1"/>
      <name val="宋体"/>
      <family val="2"/>
      <charset val="134"/>
      <scheme val="minor"/>
    </font>
    <font>
      <sz val="8"/>
      <name val="Arial"/>
      <family val="2"/>
    </font>
    <font>
      <sz val="10"/>
      <name val="宋体"/>
      <family val="3"/>
      <charset val="134"/>
    </font>
    <font>
      <sz val="9"/>
      <name val="宋体"/>
      <family val="3"/>
      <charset val="134"/>
    </font>
    <font>
      <sz val="10"/>
      <name val="Arial"/>
      <family val="2"/>
    </font>
    <font>
      <sz val="10"/>
      <color indexed="9"/>
      <name val="Arial"/>
      <family val="2"/>
    </font>
    <font>
      <sz val="10"/>
      <color indexed="19"/>
      <name val="Arial"/>
      <family val="2"/>
    </font>
    <font>
      <sz val="10"/>
      <color indexed="10"/>
      <name val="Arial"/>
      <family val="2"/>
    </font>
    <font>
      <sz val="10"/>
      <color indexed="8"/>
      <name val="Arial"/>
      <family val="2"/>
    </font>
    <font>
      <sz val="10"/>
      <color indexed="8"/>
      <name val="宋体"/>
      <family val="3"/>
      <charset val="134"/>
    </font>
    <font>
      <sz val="9"/>
      <name val="宋体"/>
      <family val="2"/>
      <charset val="134"/>
      <scheme val="minor"/>
    </font>
    <font>
      <sz val="10"/>
      <name val="Times New Roman"/>
      <family val="1"/>
    </font>
    <font>
      <b/>
      <i/>
      <sz val="12"/>
      <name val="Arial"/>
      <family val="2"/>
    </font>
    <font>
      <b/>
      <i/>
      <sz val="10"/>
      <name val="Arial"/>
      <family val="2"/>
    </font>
    <font>
      <sz val="10"/>
      <color indexed="9"/>
      <name val="宋体"/>
      <family val="3"/>
      <charset val="134"/>
    </font>
    <font>
      <sz val="11"/>
      <color theme="1"/>
      <name val="宋体"/>
      <family val="2"/>
      <charset val="134"/>
      <scheme val="minor"/>
    </font>
    <font>
      <sz val="12"/>
      <name val="Arial"/>
      <family val="2"/>
    </font>
    <font>
      <sz val="6"/>
      <name val="ＭＳ Ｐゴシック"/>
      <family val="3"/>
      <charset val="134"/>
    </font>
    <font>
      <sz val="10"/>
      <color theme="1"/>
      <name val="宋体"/>
      <family val="3"/>
      <charset val="134"/>
    </font>
    <font>
      <sz val="10"/>
      <color theme="1"/>
      <name val="Arial"/>
      <family val="2"/>
    </font>
    <font>
      <sz val="10"/>
      <color theme="1"/>
      <name val="Times New Roman"/>
      <family val="1"/>
    </font>
    <font>
      <sz val="10"/>
      <name val="宋体"/>
      <family val="2"/>
      <charset val="134"/>
    </font>
  </fonts>
  <fills count="11">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19"/>
        <bgColor indexed="64"/>
      </patternFill>
    </fill>
    <fill>
      <patternFill patternType="solid">
        <fgColor indexed="9"/>
        <bgColor indexed="64"/>
      </patternFill>
    </fill>
    <fill>
      <patternFill patternType="solid">
        <fgColor indexed="41"/>
        <bgColor indexed="64"/>
      </patternFill>
    </fill>
    <fill>
      <patternFill patternType="solid">
        <fgColor indexed="22"/>
        <bgColor indexed="64"/>
      </patternFill>
    </fill>
    <fill>
      <patternFill patternType="solid">
        <fgColor indexed="47"/>
        <bgColor indexed="64"/>
      </patternFill>
    </fill>
    <fill>
      <patternFill patternType="solid">
        <fgColor indexed="44"/>
        <bgColor indexed="64"/>
      </patternFill>
    </fill>
    <fill>
      <patternFill patternType="solid">
        <fgColor indexed="15"/>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10"/>
      </left>
      <right style="double">
        <color indexed="10"/>
      </right>
      <top style="double">
        <color indexed="10"/>
      </top>
      <bottom style="double">
        <color indexed="1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6">
    <xf numFmtId="0" fontId="0" fillId="0" borderId="0">
      <alignment vertical="center"/>
    </xf>
    <xf numFmtId="0" fontId="1" fillId="0" borderId="0"/>
    <xf numFmtId="0" fontId="4" fillId="0" borderId="0"/>
    <xf numFmtId="176" fontId="1" fillId="0" borderId="0" applyFont="0" applyFill="0" applyBorder="0" applyAlignment="0" applyProtection="0"/>
    <xf numFmtId="43" fontId="15" fillId="0" borderId="0" applyFont="0" applyFill="0" applyBorder="0" applyAlignment="0" applyProtection="0">
      <alignment vertical="center"/>
    </xf>
    <xf numFmtId="9" fontId="15" fillId="0" borderId="0" applyFont="0" applyFill="0" applyBorder="0" applyAlignment="0" applyProtection="0">
      <alignment vertical="center"/>
    </xf>
  </cellStyleXfs>
  <cellXfs count="210">
    <xf numFmtId="0" fontId="0" fillId="0" borderId="0" xfId="0">
      <alignment vertical="center"/>
    </xf>
    <xf numFmtId="0" fontId="4" fillId="0" borderId="0" xfId="0" applyFont="1" applyAlignment="1"/>
    <xf numFmtId="0" fontId="4" fillId="4" borderId="0" xfId="0" applyFont="1" applyFill="1" applyAlignment="1"/>
    <xf numFmtId="0" fontId="1" fillId="0" borderId="0" xfId="1"/>
    <xf numFmtId="0" fontId="6" fillId="4" borderId="0" xfId="1" applyFont="1" applyFill="1"/>
    <xf numFmtId="0" fontId="7" fillId="0" borderId="6" xfId="1" applyFont="1" applyFill="1" applyBorder="1" applyAlignment="1">
      <alignment horizontal="center"/>
    </xf>
    <xf numFmtId="0" fontId="8" fillId="0" borderId="0" xfId="1" applyFont="1" applyFill="1" applyAlignment="1">
      <alignment horizontal="right"/>
    </xf>
    <xf numFmtId="0" fontId="8" fillId="0" borderId="0" xfId="1" applyFont="1" applyFill="1" applyBorder="1"/>
    <xf numFmtId="0" fontId="8" fillId="0" borderId="0" xfId="1" applyFont="1" applyFill="1" applyBorder="1" applyAlignment="1"/>
    <xf numFmtId="3" fontId="8" fillId="0" borderId="0" xfId="3" applyNumberFormat="1" applyFont="1" applyFill="1"/>
    <xf numFmtId="176" fontId="8" fillId="0" borderId="0" xfId="3" applyFont="1" applyFill="1" applyAlignment="1">
      <alignment vertical="center"/>
    </xf>
    <xf numFmtId="177" fontId="8" fillId="0" borderId="0" xfId="3" applyNumberFormat="1" applyFont="1" applyFill="1" applyAlignment="1">
      <alignment vertical="center"/>
    </xf>
    <xf numFmtId="178" fontId="8" fillId="0" borderId="0" xfId="3" applyNumberFormat="1" applyFont="1" applyFill="1"/>
    <xf numFmtId="177" fontId="8" fillId="0" borderId="0" xfId="3" quotePrefix="1" applyNumberFormat="1" applyFont="1" applyFill="1" applyAlignment="1">
      <alignment vertical="center"/>
    </xf>
    <xf numFmtId="0" fontId="5" fillId="0" borderId="0" xfId="1" applyFont="1" applyFill="1" applyAlignment="1">
      <alignment horizontal="right"/>
    </xf>
    <xf numFmtId="0" fontId="8" fillId="4" borderId="0" xfId="1" applyFont="1" applyFill="1"/>
    <xf numFmtId="176" fontId="8" fillId="4" borderId="0" xfId="3" applyFont="1" applyFill="1" applyAlignment="1">
      <alignment vertical="center"/>
    </xf>
    <xf numFmtId="177" fontId="8" fillId="4" borderId="0" xfId="3" applyNumberFormat="1" applyFont="1" applyFill="1" applyAlignment="1">
      <alignment vertical="center"/>
    </xf>
    <xf numFmtId="0" fontId="9" fillId="7" borderId="2" xfId="3" applyNumberFormat="1" applyFont="1" applyFill="1" applyBorder="1" applyAlignment="1">
      <alignment vertical="center"/>
    </xf>
    <xf numFmtId="0" fontId="9" fillId="7" borderId="7" xfId="3" applyNumberFormat="1" applyFont="1" applyFill="1" applyBorder="1" applyAlignment="1">
      <alignment vertical="center"/>
    </xf>
    <xf numFmtId="0" fontId="9" fillId="7" borderId="4" xfId="3" applyNumberFormat="1" applyFont="1" applyFill="1" applyBorder="1" applyAlignment="1">
      <alignment vertical="center"/>
    </xf>
    <xf numFmtId="0" fontId="2" fillId="4" borderId="0" xfId="1" applyFont="1" applyFill="1"/>
    <xf numFmtId="177" fontId="8" fillId="2" borderId="7" xfId="3" applyNumberFormat="1" applyFont="1" applyFill="1" applyBorder="1" applyAlignment="1">
      <alignment vertical="center"/>
    </xf>
    <xf numFmtId="179" fontId="8" fillId="2" borderId="5" xfId="3" applyNumberFormat="1" applyFont="1" applyFill="1" applyBorder="1" applyAlignment="1">
      <alignment vertical="center"/>
    </xf>
    <xf numFmtId="179" fontId="8" fillId="3" borderId="3" xfId="3" applyNumberFormat="1" applyFont="1" applyFill="1" applyBorder="1" applyAlignment="1">
      <alignment vertical="center"/>
    </xf>
    <xf numFmtId="177" fontId="8" fillId="3" borderId="5" xfId="3" applyNumberFormat="1" applyFont="1" applyFill="1" applyBorder="1" applyAlignment="1">
      <alignment vertical="center"/>
    </xf>
    <xf numFmtId="177" fontId="8" fillId="3" borderId="2" xfId="3" applyNumberFormat="1" applyFont="1" applyFill="1" applyBorder="1" applyAlignment="1">
      <alignment vertical="center"/>
    </xf>
    <xf numFmtId="0" fontId="8" fillId="5" borderId="5" xfId="3" applyNumberFormat="1" applyFont="1" applyFill="1" applyBorder="1" applyAlignment="1">
      <alignment vertical="center"/>
    </xf>
    <xf numFmtId="3" fontId="8" fillId="2" borderId="3" xfId="3" applyNumberFormat="1" applyFont="1" applyFill="1" applyBorder="1" applyAlignment="1">
      <alignment vertical="center"/>
    </xf>
    <xf numFmtId="1" fontId="8" fillId="7" borderId="1" xfId="3" applyNumberFormat="1" applyFont="1" applyFill="1" applyBorder="1"/>
    <xf numFmtId="1" fontId="8" fillId="7" borderId="4" xfId="3" applyNumberFormat="1" applyFont="1" applyFill="1" applyBorder="1"/>
    <xf numFmtId="1" fontId="8" fillId="6" borderId="1" xfId="3" applyNumberFormat="1" applyFont="1" applyFill="1" applyBorder="1"/>
    <xf numFmtId="1" fontId="8" fillId="6" borderId="4" xfId="3" applyNumberFormat="1" applyFont="1" applyFill="1" applyBorder="1"/>
    <xf numFmtId="0" fontId="2" fillId="7" borderId="8" xfId="0" applyFont="1" applyFill="1" applyBorder="1" applyAlignment="1"/>
    <xf numFmtId="0" fontId="4" fillId="3" borderId="2" xfId="0" applyFont="1" applyFill="1" applyBorder="1" applyAlignment="1"/>
    <xf numFmtId="0" fontId="4" fillId="4" borderId="0" xfId="0" applyFont="1" applyFill="1" applyBorder="1" applyAlignment="1"/>
    <xf numFmtId="0" fontId="2" fillId="7" borderId="2" xfId="0" applyFont="1" applyFill="1" applyBorder="1" applyAlignment="1"/>
    <xf numFmtId="0" fontId="4" fillId="7" borderId="2" xfId="0" applyFont="1" applyFill="1" applyBorder="1" applyAlignment="1">
      <alignment horizontal="center"/>
    </xf>
    <xf numFmtId="0" fontId="4" fillId="5" borderId="2" xfId="0" applyFont="1" applyFill="1" applyBorder="1" applyAlignment="1">
      <alignment horizontal="center"/>
    </xf>
    <xf numFmtId="0" fontId="4" fillId="5" borderId="2" xfId="0" applyFont="1" applyFill="1" applyBorder="1" applyAlignment="1"/>
    <xf numFmtId="0" fontId="2" fillId="7" borderId="7" xfId="0" applyFont="1" applyFill="1" applyBorder="1" applyAlignment="1"/>
    <xf numFmtId="0" fontId="4" fillId="5" borderId="7" xfId="0" applyFont="1" applyFill="1" applyBorder="1" applyAlignment="1"/>
    <xf numFmtId="0" fontId="11" fillId="7" borderId="2" xfId="0" applyFont="1" applyFill="1" applyBorder="1" applyAlignment="1"/>
    <xf numFmtId="2" fontId="4" fillId="5" borderId="4" xfId="0" applyNumberFormat="1" applyFont="1" applyFill="1" applyBorder="1" applyAlignment="1"/>
    <xf numFmtId="0" fontId="4" fillId="5" borderId="4" xfId="0" applyFont="1" applyFill="1" applyBorder="1" applyAlignment="1"/>
    <xf numFmtId="0" fontId="8" fillId="0" borderId="0" xfId="0" applyFont="1" applyFill="1" applyAlignment="1">
      <alignment horizontal="right"/>
    </xf>
    <xf numFmtId="0" fontId="5" fillId="0" borderId="0" xfId="0" applyFont="1" applyFill="1" applyAlignment="1">
      <alignment horizontal="right"/>
    </xf>
    <xf numFmtId="0" fontId="8" fillId="0" borderId="0" xfId="0" applyFont="1" applyFill="1" applyAlignment="1"/>
    <xf numFmtId="0" fontId="8" fillId="4" borderId="0" xfId="0" applyFont="1" applyFill="1" applyAlignment="1"/>
    <xf numFmtId="0" fontId="6" fillId="4" borderId="0" xfId="0" applyFont="1" applyFill="1" applyAlignment="1"/>
    <xf numFmtId="0" fontId="8" fillId="0" borderId="0" xfId="0" applyFont="1" applyFill="1" applyBorder="1" applyAlignment="1"/>
    <xf numFmtId="0" fontId="8" fillId="7" borderId="0" xfId="0" applyFont="1" applyFill="1" applyBorder="1" applyAlignment="1"/>
    <xf numFmtId="1" fontId="8" fillId="7" borderId="2" xfId="3" applyNumberFormat="1" applyFont="1" applyFill="1" applyBorder="1"/>
    <xf numFmtId="1" fontId="8" fillId="6" borderId="2" xfId="3" applyNumberFormat="1" applyFont="1" applyFill="1" applyBorder="1"/>
    <xf numFmtId="2" fontId="6" fillId="4" borderId="0" xfId="0" applyNumberFormat="1" applyFont="1" applyFill="1" applyAlignment="1"/>
    <xf numFmtId="177" fontId="8" fillId="3" borderId="3" xfId="3" applyNumberFormat="1" applyFont="1" applyFill="1" applyBorder="1" applyAlignment="1">
      <alignment vertical="center"/>
    </xf>
    <xf numFmtId="177" fontId="8" fillId="2" borderId="5" xfId="3" applyNumberFormat="1" applyFont="1" applyFill="1" applyBorder="1" applyAlignment="1">
      <alignment vertical="center"/>
    </xf>
    <xf numFmtId="0" fontId="9" fillId="0" borderId="0" xfId="0" applyFont="1" applyFill="1" applyAlignment="1"/>
    <xf numFmtId="3" fontId="8" fillId="5" borderId="3" xfId="3" applyNumberFormat="1" applyFont="1" applyFill="1" applyBorder="1" applyAlignment="1">
      <alignment vertical="center"/>
    </xf>
    <xf numFmtId="3" fontId="8" fillId="6" borderId="2" xfId="0" applyNumberFormat="1" applyFont="1" applyFill="1" applyBorder="1" applyAlignment="1"/>
    <xf numFmtId="179" fontId="8" fillId="6" borderId="2" xfId="0" applyNumberFormat="1" applyFont="1" applyFill="1" applyBorder="1" applyAlignment="1"/>
    <xf numFmtId="0" fontId="8" fillId="4" borderId="0" xfId="3" applyNumberFormat="1" applyFont="1" applyFill="1" applyAlignment="1">
      <alignment vertical="center"/>
    </xf>
    <xf numFmtId="0" fontId="8" fillId="6" borderId="2" xfId="0" applyFont="1" applyFill="1" applyBorder="1" applyAlignment="1"/>
    <xf numFmtId="179" fontId="8" fillId="5" borderId="2" xfId="3" applyNumberFormat="1" applyFont="1" applyFill="1" applyBorder="1" applyAlignment="1">
      <alignment vertical="center"/>
    </xf>
    <xf numFmtId="3" fontId="8" fillId="2" borderId="2" xfId="3" applyNumberFormat="1" applyFont="1" applyFill="1" applyBorder="1" applyAlignment="1">
      <alignment vertical="center"/>
    </xf>
    <xf numFmtId="2" fontId="8" fillId="0" borderId="0" xfId="0" applyNumberFormat="1" applyFont="1" applyFill="1" applyAlignment="1"/>
    <xf numFmtId="3" fontId="8" fillId="0" borderId="0" xfId="0" applyNumberFormat="1" applyFont="1" applyFill="1" applyAlignment="1"/>
    <xf numFmtId="0" fontId="5" fillId="0" borderId="0" xfId="0" applyFont="1" applyFill="1" applyAlignment="1"/>
    <xf numFmtId="0" fontId="4" fillId="0" borderId="0" xfId="0" applyFont="1" applyFill="1" applyAlignment="1"/>
    <xf numFmtId="0" fontId="4" fillId="0" borderId="0" xfId="0" applyFont="1" applyFill="1" applyBorder="1" applyAlignment="1"/>
    <xf numFmtId="0" fontId="4" fillId="7" borderId="0" xfId="0" applyNumberFormat="1" applyFont="1" applyFill="1" applyBorder="1" applyAlignment="1"/>
    <xf numFmtId="0" fontId="2" fillId="8" borderId="2" xfId="0" applyFont="1" applyFill="1" applyBorder="1" applyAlignment="1"/>
    <xf numFmtId="0" fontId="4" fillId="7" borderId="2" xfId="0" applyFont="1" applyFill="1" applyBorder="1" applyAlignment="1"/>
    <xf numFmtId="0" fontId="4" fillId="6" borderId="2" xfId="0" applyFont="1" applyFill="1" applyBorder="1" applyAlignment="1"/>
    <xf numFmtId="0" fontId="14" fillId="4" borderId="0" xfId="0" applyFont="1" applyFill="1" applyBorder="1" applyAlignment="1"/>
    <xf numFmtId="1" fontId="4" fillId="3" borderId="2" xfId="0" applyNumberFormat="1" applyFont="1" applyFill="1" applyBorder="1" applyAlignment="1"/>
    <xf numFmtId="0" fontId="6" fillId="4" borderId="0" xfId="0" applyFont="1" applyFill="1" applyBorder="1" applyAlignment="1"/>
    <xf numFmtId="0" fontId="4" fillId="2" borderId="2" xfId="0" applyNumberFormat="1" applyFont="1" applyFill="1" applyBorder="1" applyAlignment="1"/>
    <xf numFmtId="0" fontId="2" fillId="0" borderId="0" xfId="0" applyFont="1" applyFill="1" applyAlignment="1"/>
    <xf numFmtId="181" fontId="4" fillId="4" borderId="0" xfId="0" applyNumberFormat="1" applyFont="1" applyFill="1" applyBorder="1" applyAlignment="1"/>
    <xf numFmtId="0" fontId="4" fillId="3" borderId="2" xfId="0" applyNumberFormat="1" applyFont="1" applyFill="1" applyBorder="1" applyAlignment="1"/>
    <xf numFmtId="182" fontId="4" fillId="4" borderId="0" xfId="0" applyNumberFormat="1" applyFont="1" applyFill="1" applyBorder="1" applyAlignment="1">
      <alignment horizontal="center"/>
    </xf>
    <xf numFmtId="0" fontId="2" fillId="8" borderId="2" xfId="0" applyFont="1" applyFill="1" applyBorder="1" applyAlignment="1">
      <alignment horizontal="left"/>
    </xf>
    <xf numFmtId="179" fontId="4" fillId="2" borderId="2" xfId="0" applyNumberFormat="1" applyFont="1" applyFill="1" applyBorder="1" applyAlignment="1">
      <alignment horizontal="center"/>
    </xf>
    <xf numFmtId="0" fontId="4" fillId="4" borderId="0" xfId="0" applyFont="1" applyFill="1" applyBorder="1" applyAlignment="1">
      <alignment horizontal="center"/>
    </xf>
    <xf numFmtId="0" fontId="2" fillId="8" borderId="2" xfId="0" applyFont="1" applyFill="1" applyBorder="1" applyAlignment="1">
      <alignment horizontal="left" vertical="top"/>
    </xf>
    <xf numFmtId="180" fontId="4" fillId="2" borderId="2" xfId="0" applyNumberFormat="1" applyFont="1" applyFill="1" applyBorder="1" applyAlignment="1"/>
    <xf numFmtId="0" fontId="4" fillId="0" borderId="0" xfId="0" applyFont="1" applyFill="1" applyAlignment="1">
      <alignment vertical="center"/>
    </xf>
    <xf numFmtId="180" fontId="8" fillId="7" borderId="0" xfId="0" applyNumberFormat="1" applyFont="1" applyFill="1" applyAlignment="1">
      <alignment horizontal="right"/>
    </xf>
    <xf numFmtId="0" fontId="2" fillId="7" borderId="8" xfId="0" applyFont="1" applyFill="1" applyBorder="1" applyAlignment="1">
      <alignment vertical="center"/>
    </xf>
    <xf numFmtId="0" fontId="4" fillId="7" borderId="9" xfId="0" applyFont="1" applyFill="1" applyBorder="1" applyAlignment="1">
      <alignment vertical="center"/>
    </xf>
    <xf numFmtId="0" fontId="4" fillId="7" borderId="3" xfId="0" applyFont="1" applyFill="1" applyBorder="1" applyAlignment="1">
      <alignment vertical="center"/>
    </xf>
    <xf numFmtId="1" fontId="4" fillId="3" borderId="2" xfId="4" applyNumberFormat="1" applyFont="1" applyFill="1" applyBorder="1" applyAlignment="1">
      <alignment vertical="center"/>
    </xf>
    <xf numFmtId="0" fontId="16" fillId="4" borderId="0" xfId="0" applyFont="1" applyFill="1" applyAlignment="1">
      <alignment horizontal="center" vertical="center"/>
    </xf>
    <xf numFmtId="2" fontId="4" fillId="6" borderId="2" xfId="0" applyNumberFormat="1" applyFont="1" applyFill="1" applyBorder="1" applyAlignment="1">
      <alignment horizontal="right"/>
    </xf>
    <xf numFmtId="2" fontId="4" fillId="6" borderId="2" xfId="0" applyNumberFormat="1" applyFont="1" applyFill="1" applyBorder="1" applyAlignment="1"/>
    <xf numFmtId="2" fontId="4" fillId="0" borderId="2" xfId="0" applyNumberFormat="1" applyFont="1" applyFill="1" applyBorder="1" applyAlignment="1"/>
    <xf numFmtId="0" fontId="4" fillId="0" borderId="2" xfId="0" applyFont="1" applyFill="1" applyBorder="1" applyAlignment="1"/>
    <xf numFmtId="179" fontId="4" fillId="0" borderId="2" xfId="0" applyNumberFormat="1" applyFont="1" applyFill="1" applyBorder="1" applyAlignment="1"/>
    <xf numFmtId="0" fontId="2" fillId="7" borderId="10" xfId="0" applyFont="1" applyFill="1" applyBorder="1" applyAlignment="1">
      <alignment vertical="center"/>
    </xf>
    <xf numFmtId="0" fontId="4" fillId="7" borderId="11" xfId="0" applyFont="1" applyFill="1" applyBorder="1" applyAlignment="1">
      <alignment vertical="center"/>
    </xf>
    <xf numFmtId="0" fontId="4" fillId="7" borderId="5" xfId="0" applyFont="1" applyFill="1" applyBorder="1" applyAlignment="1">
      <alignment vertical="center"/>
    </xf>
    <xf numFmtId="179" fontId="4" fillId="3" borderId="4" xfId="0" applyNumberFormat="1" applyFont="1" applyFill="1" applyBorder="1" applyAlignment="1">
      <alignment vertical="center"/>
    </xf>
    <xf numFmtId="179" fontId="16" fillId="4" borderId="0" xfId="0" applyNumberFormat="1" applyFont="1" applyFill="1" applyAlignment="1">
      <alignment horizontal="center" vertical="center"/>
    </xf>
    <xf numFmtId="0" fontId="4" fillId="0" borderId="0" xfId="0" applyFont="1" applyFill="1" applyAlignment="1">
      <alignment horizontal="right" vertical="center"/>
    </xf>
    <xf numFmtId="183" fontId="4" fillId="3" borderId="4" xfId="0" applyNumberFormat="1" applyFont="1" applyFill="1" applyBorder="1" applyAlignment="1">
      <alignment vertical="center"/>
    </xf>
    <xf numFmtId="183" fontId="16" fillId="4" borderId="0" xfId="0" applyNumberFormat="1" applyFont="1" applyFill="1" applyAlignment="1">
      <alignment horizontal="center" vertical="center"/>
    </xf>
    <xf numFmtId="0" fontId="4" fillId="7" borderId="9" xfId="0" applyFont="1" applyFill="1" applyBorder="1" applyAlignment="1"/>
    <xf numFmtId="0" fontId="4" fillId="7" borderId="3" xfId="0" applyFont="1" applyFill="1" applyBorder="1" applyAlignment="1"/>
    <xf numFmtId="0" fontId="2" fillId="7" borderId="10" xfId="0" applyFont="1" applyFill="1" applyBorder="1" applyAlignment="1"/>
    <xf numFmtId="0" fontId="4" fillId="7" borderId="11" xfId="0" applyFont="1" applyFill="1" applyBorder="1" applyAlignment="1"/>
    <xf numFmtId="0" fontId="4" fillId="7" borderId="5" xfId="0" applyFont="1" applyFill="1" applyBorder="1" applyAlignment="1"/>
    <xf numFmtId="179" fontId="4" fillId="2" borderId="4" xfId="0" applyNumberFormat="1" applyFont="1" applyFill="1" applyBorder="1" applyAlignment="1"/>
    <xf numFmtId="0" fontId="7" fillId="4" borderId="0" xfId="0" applyFont="1" applyFill="1" applyAlignment="1">
      <alignment horizontal="right"/>
    </xf>
    <xf numFmtId="2" fontId="4" fillId="2" borderId="2" xfId="0" applyNumberFormat="1" applyFont="1" applyFill="1" applyBorder="1" applyAlignment="1"/>
    <xf numFmtId="0" fontId="4" fillId="7" borderId="10" xfId="0" applyFont="1" applyFill="1" applyBorder="1" applyAlignment="1"/>
    <xf numFmtId="2" fontId="4" fillId="0" borderId="0" xfId="0" applyNumberFormat="1" applyFont="1" applyFill="1" applyBorder="1" applyAlignment="1"/>
    <xf numFmtId="1" fontId="8" fillId="2" borderId="0" xfId="0" applyNumberFormat="1" applyFont="1" applyFill="1" applyAlignment="1">
      <alignment horizontal="right"/>
    </xf>
    <xf numFmtId="0" fontId="4" fillId="7" borderId="1" xfId="0" applyFont="1" applyFill="1" applyBorder="1" applyAlignment="1"/>
    <xf numFmtId="0" fontId="4" fillId="4" borderId="0" xfId="0" applyFont="1" applyFill="1" applyAlignment="1">
      <alignment horizontal="center" vertical="center"/>
    </xf>
    <xf numFmtId="1" fontId="4" fillId="6" borderId="2" xfId="0" applyNumberFormat="1" applyFont="1" applyFill="1" applyBorder="1" applyAlignment="1">
      <alignment horizontal="right"/>
    </xf>
    <xf numFmtId="179" fontId="4" fillId="4" borderId="0" xfId="0" applyNumberFormat="1" applyFont="1" applyFill="1" applyAlignment="1">
      <alignment horizontal="center" vertical="center"/>
    </xf>
    <xf numFmtId="1" fontId="4" fillId="6" borderId="2" xfId="0" applyNumberFormat="1" applyFont="1" applyFill="1" applyBorder="1" applyAlignment="1"/>
    <xf numFmtId="183" fontId="4" fillId="4" borderId="0" xfId="0" applyNumberFormat="1" applyFont="1" applyFill="1" applyAlignment="1">
      <alignment horizontal="center" vertical="center"/>
    </xf>
    <xf numFmtId="180" fontId="4" fillId="6" borderId="2" xfId="0" applyNumberFormat="1" applyFont="1" applyFill="1" applyBorder="1" applyAlignment="1"/>
    <xf numFmtId="179" fontId="4" fillId="6" borderId="2" xfId="0" applyNumberFormat="1" applyFont="1" applyFill="1" applyBorder="1" applyAlignment="1"/>
    <xf numFmtId="0" fontId="4" fillId="7" borderId="0" xfId="0" applyFont="1" applyFill="1" applyBorder="1" applyAlignment="1"/>
    <xf numFmtId="180" fontId="4" fillId="7" borderId="0" xfId="0" applyNumberFormat="1" applyFont="1" applyFill="1" applyBorder="1" applyAlignment="1"/>
    <xf numFmtId="0" fontId="2" fillId="0" borderId="0" xfId="0" applyFont="1" applyFill="1" applyAlignment="1">
      <alignment horizontal="right"/>
    </xf>
    <xf numFmtId="0" fontId="2" fillId="0" borderId="0" xfId="0" applyFont="1" applyAlignment="1"/>
    <xf numFmtId="0" fontId="2" fillId="8" borderId="0" xfId="0" applyFont="1" applyFill="1" applyAlignment="1"/>
    <xf numFmtId="1" fontId="2" fillId="2" borderId="2" xfId="0" applyNumberFormat="1" applyFont="1" applyFill="1" applyBorder="1" applyAlignment="1"/>
    <xf numFmtId="0" fontId="2" fillId="0" borderId="2" xfId="0" applyFont="1" applyBorder="1" applyAlignment="1"/>
    <xf numFmtId="0" fontId="2" fillId="0" borderId="2" xfId="0" applyFont="1" applyFill="1" applyBorder="1" applyAlignment="1"/>
    <xf numFmtId="180" fontId="2" fillId="0" borderId="2" xfId="0" applyNumberFormat="1" applyFont="1" applyBorder="1" applyAlignment="1"/>
    <xf numFmtId="0" fontId="4" fillId="3" borderId="2" xfId="0" applyNumberFormat="1" applyFont="1" applyFill="1" applyBorder="1" applyAlignment="1">
      <alignment vertical="center"/>
    </xf>
    <xf numFmtId="1" fontId="11" fillId="0" borderId="2" xfId="0" applyNumberFormat="1" applyFont="1" applyFill="1" applyBorder="1" applyAlignment="1"/>
    <xf numFmtId="1" fontId="2" fillId="0" borderId="2" xfId="0" applyNumberFormat="1" applyFont="1" applyFill="1" applyBorder="1" applyAlignment="1"/>
    <xf numFmtId="1" fontId="2" fillId="0" borderId="2" xfId="0" applyNumberFormat="1" applyFont="1" applyBorder="1" applyAlignment="1"/>
    <xf numFmtId="180" fontId="4" fillId="3" borderId="2" xfId="0" applyNumberFormat="1" applyFont="1" applyFill="1" applyBorder="1" applyAlignment="1">
      <alignment vertical="center"/>
    </xf>
    <xf numFmtId="180" fontId="4" fillId="2" borderId="4" xfId="0" applyNumberFormat="1" applyFont="1" applyFill="1" applyBorder="1" applyAlignment="1"/>
    <xf numFmtId="1" fontId="4" fillId="5" borderId="2" xfId="0" applyNumberFormat="1" applyFont="1" applyFill="1" applyBorder="1" applyAlignment="1"/>
    <xf numFmtId="1" fontId="4" fillId="2" borderId="4" xfId="0" applyNumberFormat="1" applyFont="1" applyFill="1" applyBorder="1" applyAlignment="1"/>
    <xf numFmtId="0" fontId="2" fillId="4" borderId="0" xfId="0" applyFont="1" applyFill="1" applyAlignment="1"/>
    <xf numFmtId="0" fontId="4" fillId="4" borderId="0" xfId="0" applyNumberFormat="1" applyFont="1" applyFill="1" applyAlignment="1"/>
    <xf numFmtId="0" fontId="4" fillId="8" borderId="2" xfId="0" applyFont="1" applyFill="1" applyBorder="1" applyAlignment="1"/>
    <xf numFmtId="0" fontId="2" fillId="2" borderId="2" xfId="0" applyFont="1" applyFill="1" applyBorder="1" applyAlignment="1"/>
    <xf numFmtId="0" fontId="18" fillId="4" borderId="0" xfId="0" applyFont="1" applyFill="1" applyAlignment="1"/>
    <xf numFmtId="0" fontId="18" fillId="0" borderId="0" xfId="0" applyFont="1" applyAlignment="1"/>
    <xf numFmtId="0" fontId="18" fillId="7" borderId="2" xfId="0" applyFont="1" applyFill="1" applyBorder="1" applyAlignment="1"/>
    <xf numFmtId="9" fontId="19" fillId="2" borderId="2" xfId="5" applyFont="1" applyFill="1" applyBorder="1" applyAlignment="1"/>
    <xf numFmtId="0" fontId="18" fillId="0" borderId="0" xfId="0" applyFont="1" applyAlignment="1">
      <alignment horizontal="center"/>
    </xf>
    <xf numFmtId="0" fontId="18" fillId="0" borderId="0" xfId="0" applyFont="1" applyFill="1" applyBorder="1" applyAlignment="1"/>
    <xf numFmtId="2" fontId="19" fillId="2" borderId="2" xfId="0" applyNumberFormat="1" applyFont="1" applyFill="1" applyBorder="1" applyAlignment="1"/>
    <xf numFmtId="2" fontId="18" fillId="7" borderId="2" xfId="0" applyNumberFormat="1" applyFont="1" applyFill="1" applyBorder="1" applyAlignment="1"/>
    <xf numFmtId="0" fontId="18" fillId="7" borderId="2" xfId="0" applyFont="1" applyFill="1" applyBorder="1" applyAlignment="1">
      <alignment horizontal="right"/>
    </xf>
    <xf numFmtId="1" fontId="19" fillId="3" borderId="2" xfId="0" applyNumberFormat="1" applyFont="1" applyFill="1" applyBorder="1" applyAlignment="1"/>
    <xf numFmtId="1" fontId="18" fillId="7" borderId="2" xfId="0" applyNumberFormat="1" applyFont="1" applyFill="1" applyBorder="1" applyAlignment="1"/>
    <xf numFmtId="2" fontId="18" fillId="6" borderId="2" xfId="0" applyNumberFormat="1" applyFont="1" applyFill="1" applyBorder="1" applyAlignment="1"/>
    <xf numFmtId="0" fontId="18" fillId="3" borderId="2" xfId="0" applyFont="1" applyFill="1" applyBorder="1" applyAlignment="1"/>
    <xf numFmtId="9" fontId="18" fillId="2" borderId="2" xfId="0" applyNumberFormat="1" applyFont="1" applyFill="1" applyBorder="1" applyAlignment="1"/>
    <xf numFmtId="1" fontId="18" fillId="2" borderId="2" xfId="0" applyNumberFormat="1" applyFont="1" applyFill="1" applyBorder="1" applyAlignment="1"/>
    <xf numFmtId="2" fontId="19" fillId="3" borderId="2" xfId="0" applyNumberFormat="1" applyFont="1" applyFill="1" applyBorder="1" applyAlignment="1"/>
    <xf numFmtId="0" fontId="18" fillId="3" borderId="2" xfId="0" applyFont="1" applyFill="1" applyBorder="1" applyAlignment="1">
      <alignment horizontal="right"/>
    </xf>
    <xf numFmtId="9" fontId="18" fillId="2" borderId="2" xfId="5" applyFont="1" applyFill="1" applyBorder="1" applyAlignment="1">
      <alignment horizontal="right"/>
    </xf>
    <xf numFmtId="184" fontId="19" fillId="2" borderId="2" xfId="5" applyNumberFormat="1" applyFont="1" applyFill="1" applyBorder="1" applyAlignment="1"/>
    <xf numFmtId="2" fontId="18" fillId="2" borderId="2" xfId="0" applyNumberFormat="1" applyFont="1" applyFill="1" applyBorder="1" applyAlignment="1"/>
    <xf numFmtId="1" fontId="19" fillId="0" borderId="2" xfId="0" applyNumberFormat="1" applyFont="1" applyBorder="1" applyAlignment="1"/>
    <xf numFmtId="2" fontId="19" fillId="9" borderId="2" xfId="0" applyNumberFormat="1" applyFont="1" applyFill="1" applyBorder="1" applyAlignment="1"/>
    <xf numFmtId="180" fontId="19" fillId="4" borderId="0" xfId="0" applyNumberFormat="1" applyFont="1" applyFill="1" applyAlignment="1"/>
    <xf numFmtId="180" fontId="19" fillId="9" borderId="2" xfId="0" applyNumberFormat="1" applyFont="1" applyFill="1" applyBorder="1" applyAlignment="1"/>
    <xf numFmtId="0" fontId="18" fillId="8" borderId="2" xfId="0" applyFont="1" applyFill="1" applyBorder="1" applyAlignment="1"/>
    <xf numFmtId="1" fontId="18" fillId="8" borderId="2" xfId="0" applyNumberFormat="1" applyFont="1" applyFill="1" applyBorder="1" applyAlignment="1"/>
    <xf numFmtId="185" fontId="18" fillId="8" borderId="2" xfId="0" applyNumberFormat="1" applyFont="1" applyFill="1" applyBorder="1" applyAlignment="1"/>
    <xf numFmtId="0" fontId="20" fillId="7" borderId="2" xfId="0" applyFont="1" applyFill="1" applyBorder="1" applyAlignment="1"/>
    <xf numFmtId="0" fontId="18" fillId="0" borderId="2" xfId="0" applyFont="1" applyFill="1" applyBorder="1" applyAlignment="1"/>
    <xf numFmtId="0" fontId="18" fillId="10" borderId="2" xfId="0" applyFont="1" applyFill="1" applyBorder="1" applyAlignment="1"/>
    <xf numFmtId="185" fontId="18" fillId="10" borderId="2" xfId="0" applyNumberFormat="1" applyFont="1" applyFill="1" applyBorder="1" applyAlignment="1"/>
    <xf numFmtId="0" fontId="18" fillId="0" borderId="0" xfId="0" applyFont="1" applyFill="1" applyAlignment="1"/>
    <xf numFmtId="0" fontId="19" fillId="4" borderId="0" xfId="0" applyFont="1" applyFill="1" applyAlignment="1"/>
    <xf numFmtId="0" fontId="19" fillId="0" borderId="0" xfId="0" applyFont="1" applyAlignment="1"/>
    <xf numFmtId="0" fontId="18" fillId="7" borderId="2" xfId="0" applyFont="1" applyFill="1" applyBorder="1" applyAlignment="1">
      <alignment vertical="center"/>
    </xf>
    <xf numFmtId="1" fontId="19" fillId="3" borderId="2" xfId="4" applyNumberFormat="1" applyFont="1" applyFill="1" applyBorder="1" applyAlignment="1">
      <alignment vertical="center"/>
    </xf>
    <xf numFmtId="2" fontId="19" fillId="7" borderId="2" xfId="0" applyNumberFormat="1" applyFont="1" applyFill="1" applyBorder="1" applyAlignment="1"/>
    <xf numFmtId="180" fontId="19" fillId="2" borderId="2" xfId="4" applyNumberFormat="1" applyFont="1" applyFill="1" applyBorder="1" applyAlignment="1">
      <alignment vertical="center"/>
    </xf>
    <xf numFmtId="0" fontId="19" fillId="7" borderId="2" xfId="0" applyFont="1" applyFill="1" applyBorder="1" applyAlignment="1"/>
    <xf numFmtId="180" fontId="19" fillId="6" borderId="2" xfId="0" applyNumberFormat="1" applyFont="1" applyFill="1" applyBorder="1" applyAlignment="1"/>
    <xf numFmtId="2" fontId="19" fillId="0" borderId="0" xfId="0" applyNumberFormat="1" applyFont="1" applyAlignment="1"/>
    <xf numFmtId="180" fontId="19" fillId="2" borderId="2" xfId="0" applyNumberFormat="1" applyFont="1" applyFill="1" applyBorder="1" applyAlignment="1"/>
    <xf numFmtId="0" fontId="19" fillId="0" borderId="2" xfId="0" applyFont="1" applyFill="1" applyBorder="1" applyAlignment="1"/>
    <xf numFmtId="0" fontId="19" fillId="3" borderId="2" xfId="0" applyFont="1" applyFill="1" applyBorder="1" applyAlignment="1"/>
    <xf numFmtId="0" fontId="19" fillId="2" borderId="2" xfId="0" applyFont="1" applyFill="1" applyBorder="1" applyAlignment="1"/>
    <xf numFmtId="0" fontId="19" fillId="0" borderId="2" xfId="0" applyFont="1" applyBorder="1" applyAlignment="1"/>
    <xf numFmtId="179" fontId="8" fillId="7" borderId="0" xfId="3" applyNumberFormat="1" applyFont="1" applyFill="1" applyBorder="1" applyAlignment="1"/>
    <xf numFmtId="3" fontId="1" fillId="0" borderId="0" xfId="1" applyNumberFormat="1"/>
    <xf numFmtId="179" fontId="1" fillId="0" borderId="0" xfId="1" applyNumberFormat="1"/>
    <xf numFmtId="179" fontId="0" fillId="0" borderId="0" xfId="0" applyNumberFormat="1">
      <alignment vertical="center"/>
    </xf>
    <xf numFmtId="0" fontId="21" fillId="0" borderId="0" xfId="0" applyFont="1" applyAlignment="1"/>
    <xf numFmtId="179" fontId="8" fillId="7" borderId="0" xfId="0" applyNumberFormat="1" applyFont="1" applyFill="1" applyBorder="1" applyAlignment="1"/>
    <xf numFmtId="3" fontId="0" fillId="0" borderId="0" xfId="0" applyNumberFormat="1">
      <alignment vertical="center"/>
    </xf>
    <xf numFmtId="3" fontId="9" fillId="0" borderId="0" xfId="0" applyNumberFormat="1" applyFont="1" applyFill="1" applyAlignment="1"/>
    <xf numFmtId="1" fontId="4" fillId="2" borderId="2" xfId="0" applyNumberFormat="1" applyFont="1" applyFill="1" applyBorder="1" applyAlignment="1"/>
    <xf numFmtId="180" fontId="0" fillId="0" borderId="0" xfId="0" applyNumberFormat="1">
      <alignment vertical="center"/>
    </xf>
    <xf numFmtId="179" fontId="4" fillId="0" borderId="0" xfId="0" applyNumberFormat="1" applyFont="1" applyFill="1" applyAlignment="1"/>
    <xf numFmtId="179" fontId="4" fillId="0" borderId="0" xfId="0" applyNumberFormat="1" applyFont="1" applyFill="1" applyBorder="1" applyAlignment="1"/>
    <xf numFmtId="2" fontId="18" fillId="0" borderId="2" xfId="0" applyNumberFormat="1" applyFont="1" applyFill="1" applyBorder="1" applyAlignment="1"/>
    <xf numFmtId="2" fontId="18" fillId="0" borderId="0" xfId="0" applyNumberFormat="1" applyFont="1" applyAlignment="1"/>
    <xf numFmtId="0" fontId="18" fillId="0" borderId="8" xfId="0" applyFont="1" applyBorder="1" applyAlignment="1">
      <alignment horizontal="left"/>
    </xf>
    <xf numFmtId="0" fontId="18" fillId="0" borderId="9" xfId="0" applyFont="1" applyBorder="1" applyAlignment="1">
      <alignment horizontal="left"/>
    </xf>
    <xf numFmtId="0" fontId="18" fillId="0" borderId="3" xfId="0" applyFont="1" applyBorder="1" applyAlignment="1">
      <alignment horizontal="left"/>
    </xf>
  </cellXfs>
  <cellStyles count="6">
    <cellStyle name="Normal_Book1" xfId="2" xr:uid="{00000000-0005-0000-0000-000000000000}"/>
    <cellStyle name="百分比" xfId="5" builtinId="5"/>
    <cellStyle name="常规" xfId="0" builtinId="0"/>
    <cellStyle name="常规 2" xfId="1" xr:uid="{00000000-0005-0000-0000-000003000000}"/>
    <cellStyle name="千位分隔" xfId="4" builtinId="3"/>
    <cellStyle name="千位分隔 2" xfId="3" xr:uid="{00000000-0005-0000-0000-000005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盈亏平衡分析图形</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v>边际贡献</c:v>
          </c:tx>
          <c:spPr>
            <a:ln w="19050" cap="rnd">
              <a:solidFill>
                <a:schemeClr val="accent1"/>
              </a:solidFill>
              <a:prstDash val="sysDot"/>
              <a:round/>
            </a:ln>
            <a:effectLst/>
          </c:spPr>
          <c:marker>
            <c:symbol val="none"/>
          </c:marker>
          <c:xVal>
            <c:numRef>
              <c:f>第1题!$H$3:$H$4</c:f>
              <c:numCache>
                <c:formatCode>0</c:formatCode>
                <c:ptCount val="2"/>
                <c:pt idx="0">
                  <c:v>1E-3</c:v>
                </c:pt>
                <c:pt idx="1">
                  <c:v>40000</c:v>
                </c:pt>
              </c:numCache>
            </c:numRef>
          </c:xVal>
          <c:yVal>
            <c:numRef>
              <c:f>第1题!$I$3:$I$4</c:f>
              <c:numCache>
                <c:formatCode>0</c:formatCode>
                <c:ptCount val="2"/>
                <c:pt idx="0">
                  <c:v>2.1000000000000001E-4</c:v>
                </c:pt>
                <c:pt idx="1">
                  <c:v>8400</c:v>
                </c:pt>
              </c:numCache>
            </c:numRef>
          </c:yVal>
          <c:smooth val="0"/>
          <c:extLst>
            <c:ext xmlns:c16="http://schemas.microsoft.com/office/drawing/2014/chart" uri="{C3380CC4-5D6E-409C-BE32-E72D297353CC}">
              <c16:uniqueId val="{00000000-4D37-441A-86DE-51E73851462D}"/>
            </c:ext>
          </c:extLst>
        </c:ser>
        <c:ser>
          <c:idx val="1"/>
          <c:order val="1"/>
          <c:tx>
            <c:v>固定成本</c:v>
          </c:tx>
          <c:spPr>
            <a:ln w="19050" cap="rnd">
              <a:solidFill>
                <a:schemeClr val="accent2"/>
              </a:solidFill>
              <a:prstDash val="dash"/>
              <a:round/>
            </a:ln>
            <a:effectLst/>
          </c:spPr>
          <c:marker>
            <c:symbol val="none"/>
          </c:marker>
          <c:xVal>
            <c:numRef>
              <c:f>第1题!$H$3:$H$4</c:f>
              <c:numCache>
                <c:formatCode>0</c:formatCode>
                <c:ptCount val="2"/>
                <c:pt idx="0">
                  <c:v>1E-3</c:v>
                </c:pt>
                <c:pt idx="1">
                  <c:v>40000</c:v>
                </c:pt>
              </c:numCache>
            </c:numRef>
          </c:xVal>
          <c:yVal>
            <c:numRef>
              <c:f>第1题!$J$3:$J$4</c:f>
              <c:numCache>
                <c:formatCode>0</c:formatCode>
                <c:ptCount val="2"/>
                <c:pt idx="0">
                  <c:v>2700</c:v>
                </c:pt>
                <c:pt idx="1">
                  <c:v>2700</c:v>
                </c:pt>
              </c:numCache>
            </c:numRef>
          </c:yVal>
          <c:smooth val="0"/>
          <c:extLst>
            <c:ext xmlns:c16="http://schemas.microsoft.com/office/drawing/2014/chart" uri="{C3380CC4-5D6E-409C-BE32-E72D297353CC}">
              <c16:uniqueId val="{00000002-4D37-441A-86DE-51E73851462D}"/>
            </c:ext>
          </c:extLst>
        </c:ser>
        <c:ser>
          <c:idx val="2"/>
          <c:order val="2"/>
          <c:tx>
            <c:v>利润</c:v>
          </c:tx>
          <c:spPr>
            <a:ln w="19050" cap="rnd">
              <a:solidFill>
                <a:schemeClr val="accent3"/>
              </a:solidFill>
              <a:round/>
            </a:ln>
            <a:effectLst/>
          </c:spPr>
          <c:marker>
            <c:symbol val="none"/>
          </c:marker>
          <c:xVal>
            <c:numRef>
              <c:f>第1题!$H$3:$H$4</c:f>
              <c:numCache>
                <c:formatCode>0</c:formatCode>
                <c:ptCount val="2"/>
                <c:pt idx="0">
                  <c:v>1E-3</c:v>
                </c:pt>
                <c:pt idx="1">
                  <c:v>40000</c:v>
                </c:pt>
              </c:numCache>
            </c:numRef>
          </c:xVal>
          <c:yVal>
            <c:numRef>
              <c:f>第1题!$K$3:$K$4</c:f>
              <c:numCache>
                <c:formatCode>0</c:formatCode>
                <c:ptCount val="2"/>
                <c:pt idx="0">
                  <c:v>-2699.9997899999998</c:v>
                </c:pt>
                <c:pt idx="1">
                  <c:v>5700</c:v>
                </c:pt>
              </c:numCache>
            </c:numRef>
          </c:yVal>
          <c:smooth val="0"/>
          <c:extLst>
            <c:ext xmlns:c16="http://schemas.microsoft.com/office/drawing/2014/chart" uri="{C3380CC4-5D6E-409C-BE32-E72D297353CC}">
              <c16:uniqueId val="{00000003-4D37-441A-86DE-51E73851462D}"/>
            </c:ext>
          </c:extLst>
        </c:ser>
        <c:ser>
          <c:idx val="3"/>
          <c:order val="3"/>
          <c:spPr>
            <a:ln w="19050" cap="rnd">
              <a:solidFill>
                <a:schemeClr val="accent4"/>
              </a:solidFill>
              <a:round/>
            </a:ln>
            <a:effectLst/>
          </c:spPr>
          <c:marker>
            <c:symbol val="none"/>
          </c:marker>
          <c:dPt>
            <c:idx val="1"/>
            <c:marker>
              <c:symbol val="square"/>
              <c:size val="8"/>
              <c:spPr>
                <a:solidFill>
                  <a:schemeClr val="bg1"/>
                </a:solidFill>
                <a:ln w="9525">
                  <a:solidFill>
                    <a:schemeClr val="tx1"/>
                  </a:solidFill>
                </a:ln>
                <a:effectLst/>
              </c:spPr>
            </c:marker>
            <c:bubble3D val="0"/>
            <c:extLst>
              <c:ext xmlns:c16="http://schemas.microsoft.com/office/drawing/2014/chart" uri="{C3380CC4-5D6E-409C-BE32-E72D297353CC}">
                <c16:uniqueId val="{00000006-4D37-441A-86DE-51E73851462D}"/>
              </c:ext>
            </c:extLst>
          </c:dPt>
          <c:dPt>
            <c:idx val="2"/>
            <c:marker>
              <c:symbol val="square"/>
              <c:size val="9"/>
              <c:spPr>
                <a:solidFill>
                  <a:schemeClr val="bg1"/>
                </a:solidFill>
                <a:ln w="9525">
                  <a:solidFill>
                    <a:schemeClr val="tx1"/>
                  </a:solidFill>
                </a:ln>
                <a:effectLst/>
              </c:spPr>
            </c:marker>
            <c:bubble3D val="0"/>
            <c:extLst>
              <c:ext xmlns:c16="http://schemas.microsoft.com/office/drawing/2014/chart" uri="{C3380CC4-5D6E-409C-BE32-E72D297353CC}">
                <c16:uniqueId val="{00000005-4D37-441A-86DE-51E73851462D}"/>
              </c:ext>
            </c:extLst>
          </c:dPt>
          <c:xVal>
            <c:numRef>
              <c:f>第1题!$H$9:$H$12</c:f>
              <c:numCache>
                <c:formatCode>#,##0</c:formatCode>
                <c:ptCount val="4"/>
                <c:pt idx="0">
                  <c:v>12857.142857142857</c:v>
                </c:pt>
                <c:pt idx="1">
                  <c:v>12857.142857142857</c:v>
                </c:pt>
                <c:pt idx="2">
                  <c:v>12857.142857142857</c:v>
                </c:pt>
                <c:pt idx="3">
                  <c:v>12857.142857142857</c:v>
                </c:pt>
              </c:numCache>
            </c:numRef>
          </c:xVal>
          <c:yVal>
            <c:numRef>
              <c:f>第1题!$I$9:$I$12</c:f>
              <c:numCache>
                <c:formatCode>"$"#,##0</c:formatCode>
                <c:ptCount val="4"/>
                <c:pt idx="0" formatCode="General">
                  <c:v>8000</c:v>
                </c:pt>
                <c:pt idx="1">
                  <c:v>2700</c:v>
                </c:pt>
                <c:pt idx="2">
                  <c:v>0</c:v>
                </c:pt>
                <c:pt idx="3" formatCode="General">
                  <c:v>-4000</c:v>
                </c:pt>
              </c:numCache>
            </c:numRef>
          </c:yVal>
          <c:smooth val="0"/>
          <c:extLst>
            <c:ext xmlns:c16="http://schemas.microsoft.com/office/drawing/2014/chart" uri="{C3380CC4-5D6E-409C-BE32-E72D297353CC}">
              <c16:uniqueId val="{00000004-4D37-441A-86DE-51E73851462D}"/>
            </c:ext>
          </c:extLst>
        </c:ser>
        <c:ser>
          <c:idx val="4"/>
          <c:order val="4"/>
          <c:spPr>
            <a:ln w="19050" cap="rnd">
              <a:solidFill>
                <a:schemeClr val="accent5"/>
              </a:solidFill>
              <a:round/>
            </a:ln>
            <a:effectLst/>
          </c:spPr>
          <c:marker>
            <c:symbol val="square"/>
            <c:size val="8"/>
            <c:spPr>
              <a:solidFill>
                <a:schemeClr val="bg1"/>
              </a:solidFill>
              <a:ln w="9525">
                <a:solidFill>
                  <a:schemeClr val="tx2">
                    <a:lumMod val="75000"/>
                  </a:schemeClr>
                </a:solidFill>
              </a:ln>
              <a:effectLst/>
            </c:spPr>
          </c:marker>
          <c:dPt>
            <c:idx val="0"/>
            <c:marker>
              <c:symbol val="none"/>
            </c:marker>
            <c:bubble3D val="0"/>
            <c:extLst>
              <c:ext xmlns:c16="http://schemas.microsoft.com/office/drawing/2014/chart" uri="{C3380CC4-5D6E-409C-BE32-E72D297353CC}">
                <c16:uniqueId val="{00000009-4D37-441A-86DE-51E73851462D}"/>
              </c:ext>
            </c:extLst>
          </c:dPt>
          <c:dPt>
            <c:idx val="4"/>
            <c:marker>
              <c:symbol val="none"/>
            </c:marker>
            <c:bubble3D val="0"/>
            <c:extLst>
              <c:ext xmlns:c16="http://schemas.microsoft.com/office/drawing/2014/chart" uri="{C3380CC4-5D6E-409C-BE32-E72D297353CC}">
                <c16:uniqueId val="{00000008-4D37-441A-86DE-51E73851462D}"/>
              </c:ext>
            </c:extLst>
          </c:dPt>
          <c:xVal>
            <c:numRef>
              <c:f>第1题!$H$14:$H$18</c:f>
              <c:numCache>
                <c:formatCode>General</c:formatCode>
                <c:ptCount val="5"/>
                <c:pt idx="0">
                  <c:v>29400</c:v>
                </c:pt>
                <c:pt idx="1">
                  <c:v>29400</c:v>
                </c:pt>
                <c:pt idx="2">
                  <c:v>29400</c:v>
                </c:pt>
                <c:pt idx="3">
                  <c:v>29400</c:v>
                </c:pt>
                <c:pt idx="4">
                  <c:v>29400</c:v>
                </c:pt>
              </c:numCache>
            </c:numRef>
          </c:xVal>
          <c:yVal>
            <c:numRef>
              <c:f>第1题!$I$14:$I$18</c:f>
              <c:numCache>
                <c:formatCode>"$"#,##0</c:formatCode>
                <c:ptCount val="5"/>
                <c:pt idx="0" formatCode="General">
                  <c:v>8000</c:v>
                </c:pt>
                <c:pt idx="1">
                  <c:v>6174</c:v>
                </c:pt>
                <c:pt idx="2">
                  <c:v>2700</c:v>
                </c:pt>
                <c:pt idx="3">
                  <c:v>3474</c:v>
                </c:pt>
                <c:pt idx="4" formatCode="General">
                  <c:v>-4000</c:v>
                </c:pt>
              </c:numCache>
            </c:numRef>
          </c:yVal>
          <c:smooth val="0"/>
          <c:extLst>
            <c:ext xmlns:c16="http://schemas.microsoft.com/office/drawing/2014/chart" uri="{C3380CC4-5D6E-409C-BE32-E72D297353CC}">
              <c16:uniqueId val="{00000007-4D37-441A-86DE-51E73851462D}"/>
            </c:ext>
          </c:extLst>
        </c:ser>
        <c:dLbls>
          <c:showLegendKey val="0"/>
          <c:showVal val="0"/>
          <c:showCatName val="0"/>
          <c:showSerName val="0"/>
          <c:showPercent val="0"/>
          <c:showBubbleSize val="0"/>
        </c:dLbls>
        <c:axId val="567782895"/>
        <c:axId val="567783311"/>
      </c:scatterChart>
      <c:valAx>
        <c:axId val="567782895"/>
        <c:scaling>
          <c:orientation val="minMax"/>
          <c:max val="400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67783311"/>
        <c:crosses val="autoZero"/>
        <c:crossBetween val="midCat"/>
      </c:valAx>
      <c:valAx>
        <c:axId val="567783311"/>
        <c:scaling>
          <c:orientation val="minMax"/>
          <c:max val="8000"/>
          <c:min val="-4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67782895"/>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实现目标利润所需销量</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第3题!$G$3:$G$4</c:f>
              <c:numCache>
                <c:formatCode>0</c:formatCode>
                <c:ptCount val="2"/>
                <c:pt idx="0">
                  <c:v>0</c:v>
                </c:pt>
                <c:pt idx="1">
                  <c:v>45000</c:v>
                </c:pt>
              </c:numCache>
            </c:numRef>
          </c:xVal>
          <c:yVal>
            <c:numRef>
              <c:f>第3题!$H$3:$H$4</c:f>
              <c:numCache>
                <c:formatCode>0</c:formatCode>
                <c:ptCount val="2"/>
                <c:pt idx="0">
                  <c:v>-2700</c:v>
                </c:pt>
                <c:pt idx="1">
                  <c:v>4950.0000000000009</c:v>
                </c:pt>
              </c:numCache>
            </c:numRef>
          </c:yVal>
          <c:smooth val="0"/>
          <c:extLst>
            <c:ext xmlns:c16="http://schemas.microsoft.com/office/drawing/2014/chart" uri="{C3380CC4-5D6E-409C-BE32-E72D297353CC}">
              <c16:uniqueId val="{00000000-C562-47DA-80C3-F2843EA2C685}"/>
            </c:ext>
          </c:extLst>
        </c:ser>
        <c:ser>
          <c:idx val="1"/>
          <c:order val="1"/>
          <c:tx>
            <c:strRef>
              <c:f>第3题!$L$7:$L$8</c:f>
              <c:strCache>
                <c:ptCount val="2"/>
                <c:pt idx="0">
                  <c:v>0</c:v>
                </c:pt>
                <c:pt idx="1">
                  <c:v>27,059</c:v>
                </c:pt>
              </c:strCache>
            </c:strRef>
          </c:tx>
          <c:spPr>
            <a:ln w="19050" cap="rnd">
              <a:solidFill>
                <a:schemeClr val="accent2"/>
              </a:solidFill>
              <a:prstDash val="dash"/>
              <a:round/>
            </a:ln>
            <a:effectLst/>
          </c:spPr>
          <c:marker>
            <c:symbol val="none"/>
          </c:marker>
          <c:xVal>
            <c:numRef>
              <c:f>第3题!$L$7:$L$8</c:f>
              <c:numCache>
                <c:formatCode>#,##0</c:formatCode>
                <c:ptCount val="2"/>
                <c:pt idx="0">
                  <c:v>0</c:v>
                </c:pt>
                <c:pt idx="1">
                  <c:v>27058.823529411762</c:v>
                </c:pt>
              </c:numCache>
            </c:numRef>
          </c:xVal>
          <c:yVal>
            <c:numRef>
              <c:f>第3题!$M$7:$M$8</c:f>
              <c:numCache>
                <c:formatCode>"$"#,##0</c:formatCode>
                <c:ptCount val="2"/>
                <c:pt idx="0">
                  <c:v>1900</c:v>
                </c:pt>
                <c:pt idx="1">
                  <c:v>1900</c:v>
                </c:pt>
              </c:numCache>
            </c:numRef>
          </c:yVal>
          <c:smooth val="0"/>
          <c:extLst>
            <c:ext xmlns:c16="http://schemas.microsoft.com/office/drawing/2014/chart" uri="{C3380CC4-5D6E-409C-BE32-E72D297353CC}">
              <c16:uniqueId val="{00000003-C562-47DA-80C3-F2843EA2C685}"/>
            </c:ext>
          </c:extLst>
        </c:ser>
        <c:ser>
          <c:idx val="2"/>
          <c:order val="2"/>
          <c:spPr>
            <a:ln w="19050" cap="rnd">
              <a:solidFill>
                <a:schemeClr val="accent3"/>
              </a:solidFill>
              <a:prstDash val="dash"/>
              <a:round/>
            </a:ln>
            <a:effectLst/>
          </c:spPr>
          <c:marker>
            <c:symbol val="none"/>
          </c:marker>
          <c:dPt>
            <c:idx val="0"/>
            <c:marker>
              <c:symbol val="square"/>
              <c:size val="7"/>
              <c:spPr>
                <a:solidFill>
                  <a:schemeClr val="bg1"/>
                </a:solidFill>
                <a:ln w="9525">
                  <a:solidFill>
                    <a:schemeClr val="tx1"/>
                  </a:solidFill>
                </a:ln>
                <a:effectLst/>
              </c:spPr>
            </c:marker>
            <c:bubble3D val="0"/>
            <c:extLst>
              <c:ext xmlns:c16="http://schemas.microsoft.com/office/drawing/2014/chart" uri="{C3380CC4-5D6E-409C-BE32-E72D297353CC}">
                <c16:uniqueId val="{00000005-C562-47DA-80C3-F2843EA2C685}"/>
              </c:ext>
            </c:extLst>
          </c:dPt>
          <c:xVal>
            <c:numRef>
              <c:f>第3题!$L$8:$L$9</c:f>
              <c:numCache>
                <c:formatCode>#,##0</c:formatCode>
                <c:ptCount val="2"/>
                <c:pt idx="0">
                  <c:v>27058.823529411762</c:v>
                </c:pt>
                <c:pt idx="1">
                  <c:v>27058.823529411762</c:v>
                </c:pt>
              </c:numCache>
            </c:numRef>
          </c:xVal>
          <c:yVal>
            <c:numRef>
              <c:f>第3题!$M$8:$M$9</c:f>
              <c:numCache>
                <c:formatCode>General</c:formatCode>
                <c:ptCount val="2"/>
                <c:pt idx="0" formatCode="&quot;$&quot;#,##0">
                  <c:v>1900</c:v>
                </c:pt>
                <c:pt idx="1">
                  <c:v>0</c:v>
                </c:pt>
              </c:numCache>
            </c:numRef>
          </c:yVal>
          <c:smooth val="0"/>
          <c:extLst>
            <c:ext xmlns:c16="http://schemas.microsoft.com/office/drawing/2014/chart" uri="{C3380CC4-5D6E-409C-BE32-E72D297353CC}">
              <c16:uniqueId val="{00000004-C562-47DA-80C3-F2843EA2C685}"/>
            </c:ext>
          </c:extLst>
        </c:ser>
        <c:ser>
          <c:idx val="3"/>
          <c:order val="3"/>
          <c:spPr>
            <a:ln w="19050" cap="rnd">
              <a:solidFill>
                <a:schemeClr val="accent4"/>
              </a:solidFill>
              <a:round/>
            </a:ln>
            <a:effectLst/>
          </c:spPr>
          <c:marker>
            <c:symbol val="none"/>
          </c:marker>
          <c:dPt>
            <c:idx val="0"/>
            <c:marker>
              <c:symbol val="square"/>
              <c:size val="9"/>
              <c:spPr>
                <a:solidFill>
                  <a:schemeClr val="bg1"/>
                </a:solidFill>
                <a:ln w="9525">
                  <a:solidFill>
                    <a:schemeClr val="tx1"/>
                  </a:solidFill>
                </a:ln>
                <a:effectLst/>
              </c:spPr>
            </c:marker>
            <c:bubble3D val="0"/>
            <c:extLst>
              <c:ext xmlns:c16="http://schemas.microsoft.com/office/drawing/2014/chart" uri="{C3380CC4-5D6E-409C-BE32-E72D297353CC}">
                <c16:uniqueId val="{00000007-C562-47DA-80C3-F2843EA2C685}"/>
              </c:ext>
            </c:extLst>
          </c:dPt>
          <c:xVal>
            <c:numRef>
              <c:f>第3题!$G$7:$G$8</c:f>
              <c:numCache>
                <c:formatCode>#,##0</c:formatCode>
                <c:ptCount val="2"/>
                <c:pt idx="0">
                  <c:v>15882.35294117647</c:v>
                </c:pt>
                <c:pt idx="1">
                  <c:v>27058.823529411762</c:v>
                </c:pt>
              </c:numCache>
            </c:numRef>
          </c:xVal>
          <c:yVal>
            <c:numRef>
              <c:f>第3题!$H$7:$H$8</c:f>
              <c:numCache>
                <c:formatCode>General</c:formatCode>
                <c:ptCount val="2"/>
                <c:pt idx="0">
                  <c:v>0</c:v>
                </c:pt>
                <c:pt idx="1">
                  <c:v>0</c:v>
                </c:pt>
              </c:numCache>
            </c:numRef>
          </c:yVal>
          <c:smooth val="0"/>
          <c:extLst>
            <c:ext xmlns:c16="http://schemas.microsoft.com/office/drawing/2014/chart" uri="{C3380CC4-5D6E-409C-BE32-E72D297353CC}">
              <c16:uniqueId val="{00000006-C562-47DA-80C3-F2843EA2C685}"/>
            </c:ext>
          </c:extLst>
        </c:ser>
        <c:dLbls>
          <c:showLegendKey val="0"/>
          <c:showVal val="0"/>
          <c:showCatName val="0"/>
          <c:showSerName val="0"/>
          <c:showPercent val="0"/>
          <c:showBubbleSize val="0"/>
        </c:dLbls>
        <c:axId val="1370672079"/>
        <c:axId val="1370658351"/>
      </c:scatterChart>
      <c:valAx>
        <c:axId val="1370672079"/>
        <c:scaling>
          <c:orientation val="minMax"/>
          <c:max val="40000"/>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0658351"/>
        <c:crosses val="autoZero"/>
        <c:crossBetween val="midCat"/>
      </c:valAx>
      <c:valAx>
        <c:axId val="1370658351"/>
        <c:scaling>
          <c:orientation val="minMax"/>
          <c:max val="4000"/>
          <c:min val="-1000"/>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06720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两种元件获取方案下生产成本随产品生产数量的变化</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8.5834523842691995E-2"/>
          <c:y val="0.24068583335419977"/>
          <c:w val="0.85494840378875003"/>
          <c:h val="0.61567153370323402"/>
        </c:manualLayout>
      </c:layout>
      <c:scatterChart>
        <c:scatterStyle val="lineMarker"/>
        <c:varyColors val="0"/>
        <c:ser>
          <c:idx val="0"/>
          <c:order val="0"/>
          <c:tx>
            <c:v>购买元件方案月成本</c:v>
          </c:tx>
          <c:spPr>
            <a:ln w="19050" cap="rnd">
              <a:solidFill>
                <a:schemeClr val="accent1"/>
              </a:solidFill>
              <a:round/>
            </a:ln>
            <a:effectLst/>
          </c:spPr>
          <c:marker>
            <c:symbol val="none"/>
          </c:marker>
          <c:xVal>
            <c:numRef>
              <c:f>第4题!$H$3:$H$4</c:f>
              <c:numCache>
                <c:formatCode>General</c:formatCode>
                <c:ptCount val="2"/>
                <c:pt idx="0">
                  <c:v>0</c:v>
                </c:pt>
                <c:pt idx="1">
                  <c:v>3000</c:v>
                </c:pt>
              </c:numCache>
            </c:numRef>
          </c:xVal>
          <c:yVal>
            <c:numRef>
              <c:f>第4题!$I$3:$I$4</c:f>
              <c:numCache>
                <c:formatCode>General</c:formatCode>
                <c:ptCount val="2"/>
                <c:pt idx="0">
                  <c:v>0</c:v>
                </c:pt>
                <c:pt idx="1">
                  <c:v>300000</c:v>
                </c:pt>
              </c:numCache>
            </c:numRef>
          </c:yVal>
          <c:smooth val="0"/>
          <c:extLst>
            <c:ext xmlns:c16="http://schemas.microsoft.com/office/drawing/2014/chart" uri="{C3380CC4-5D6E-409C-BE32-E72D297353CC}">
              <c16:uniqueId val="{00000000-2B4F-4EB8-BEE4-A58CA3661E53}"/>
            </c:ext>
          </c:extLst>
        </c:ser>
        <c:ser>
          <c:idx val="1"/>
          <c:order val="1"/>
          <c:tx>
            <c:v>自制元件方案月成本</c:v>
          </c:tx>
          <c:spPr>
            <a:ln w="19050" cap="rnd">
              <a:solidFill>
                <a:schemeClr val="tx1"/>
              </a:solidFill>
              <a:prstDash val="sysDash"/>
              <a:round/>
            </a:ln>
            <a:effectLst/>
          </c:spPr>
          <c:marker>
            <c:symbol val="none"/>
          </c:marker>
          <c:xVal>
            <c:numRef>
              <c:f>第4题!$H$3:$H$4</c:f>
              <c:numCache>
                <c:formatCode>General</c:formatCode>
                <c:ptCount val="2"/>
                <c:pt idx="0">
                  <c:v>0</c:v>
                </c:pt>
                <c:pt idx="1">
                  <c:v>3000</c:v>
                </c:pt>
              </c:numCache>
            </c:numRef>
          </c:xVal>
          <c:yVal>
            <c:numRef>
              <c:f>第4题!$J$3:$J$4</c:f>
              <c:numCache>
                <c:formatCode>General</c:formatCode>
                <c:ptCount val="2"/>
                <c:pt idx="0">
                  <c:v>60000</c:v>
                </c:pt>
                <c:pt idx="1">
                  <c:v>159000</c:v>
                </c:pt>
              </c:numCache>
            </c:numRef>
          </c:yVal>
          <c:smooth val="0"/>
          <c:extLst>
            <c:ext xmlns:c16="http://schemas.microsoft.com/office/drawing/2014/chart" uri="{C3380CC4-5D6E-409C-BE32-E72D297353CC}">
              <c16:uniqueId val="{00000002-2B4F-4EB8-BEE4-A58CA3661E53}"/>
            </c:ext>
          </c:extLst>
        </c:ser>
        <c:ser>
          <c:idx val="2"/>
          <c:order val="2"/>
          <c:spPr>
            <a:ln w="19050" cap="rnd">
              <a:solidFill>
                <a:schemeClr val="accent3"/>
              </a:solidFill>
              <a:round/>
            </a:ln>
            <a:effectLst/>
          </c:spPr>
          <c:marker>
            <c:symbol val="none"/>
          </c:marker>
          <c:dPt>
            <c:idx val="1"/>
            <c:marker>
              <c:symbol val="square"/>
              <c:size val="7"/>
              <c:spPr>
                <a:solidFill>
                  <a:schemeClr val="bg1"/>
                </a:solidFill>
                <a:ln w="9525">
                  <a:solidFill>
                    <a:schemeClr val="tx1"/>
                  </a:solidFill>
                </a:ln>
                <a:effectLst/>
              </c:spPr>
            </c:marker>
            <c:bubble3D val="0"/>
            <c:extLst>
              <c:ext xmlns:c16="http://schemas.microsoft.com/office/drawing/2014/chart" uri="{C3380CC4-5D6E-409C-BE32-E72D297353CC}">
                <c16:uniqueId val="{00000005-2B4F-4EB8-BEE4-A58CA3661E53}"/>
              </c:ext>
            </c:extLst>
          </c:dPt>
          <c:xVal>
            <c:numRef>
              <c:f>第4题!$I$7:$I$9</c:f>
              <c:numCache>
                <c:formatCode>0.0</c:formatCode>
                <c:ptCount val="3"/>
                <c:pt idx="0">
                  <c:v>895.52238805970148</c:v>
                </c:pt>
                <c:pt idx="1">
                  <c:v>895.52238805970148</c:v>
                </c:pt>
                <c:pt idx="2">
                  <c:v>895.52238805970148</c:v>
                </c:pt>
              </c:numCache>
            </c:numRef>
          </c:xVal>
          <c:yVal>
            <c:numRef>
              <c:f>第4题!$J$7:$J$9</c:f>
              <c:numCache>
                <c:formatCode>0.0</c:formatCode>
                <c:ptCount val="3"/>
                <c:pt idx="0" formatCode="General">
                  <c:v>250000</c:v>
                </c:pt>
                <c:pt idx="1">
                  <c:v>89552.238805970148</c:v>
                </c:pt>
                <c:pt idx="2" formatCode="General">
                  <c:v>0</c:v>
                </c:pt>
              </c:numCache>
            </c:numRef>
          </c:yVal>
          <c:smooth val="0"/>
          <c:extLst>
            <c:ext xmlns:c16="http://schemas.microsoft.com/office/drawing/2014/chart" uri="{C3380CC4-5D6E-409C-BE32-E72D297353CC}">
              <c16:uniqueId val="{00000003-2B4F-4EB8-BEE4-A58CA3661E53}"/>
            </c:ext>
          </c:extLst>
        </c:ser>
        <c:ser>
          <c:idx val="3"/>
          <c:order val="3"/>
          <c:spPr>
            <a:ln w="19050" cap="rnd">
              <a:solidFill>
                <a:schemeClr val="accent4"/>
              </a:solidFill>
              <a:round/>
            </a:ln>
            <a:effectLst/>
          </c:spPr>
          <c:marker>
            <c:symbol val="none"/>
          </c:marker>
          <c:dPt>
            <c:idx val="1"/>
            <c:marker>
              <c:symbol val="square"/>
              <c:size val="5"/>
              <c:spPr>
                <a:solidFill>
                  <a:schemeClr val="bg1"/>
                </a:solidFill>
                <a:ln w="9525">
                  <a:solidFill>
                    <a:schemeClr val="accent4"/>
                  </a:solidFill>
                </a:ln>
                <a:effectLst/>
              </c:spPr>
            </c:marker>
            <c:bubble3D val="0"/>
            <c:extLst>
              <c:ext xmlns:c16="http://schemas.microsoft.com/office/drawing/2014/chart" uri="{C3380CC4-5D6E-409C-BE32-E72D297353CC}">
                <c16:uniqueId val="{00000007-2B4F-4EB8-BEE4-A58CA3661E53}"/>
              </c:ext>
            </c:extLst>
          </c:dPt>
          <c:dPt>
            <c:idx val="2"/>
            <c:marker>
              <c:symbol val="square"/>
              <c:size val="5"/>
              <c:spPr>
                <a:solidFill>
                  <a:schemeClr val="bg1"/>
                </a:solidFill>
                <a:ln w="9525">
                  <a:solidFill>
                    <a:schemeClr val="accent4"/>
                  </a:solidFill>
                </a:ln>
                <a:effectLst/>
              </c:spPr>
            </c:marker>
            <c:bubble3D val="0"/>
            <c:extLst>
              <c:ext xmlns:c16="http://schemas.microsoft.com/office/drawing/2014/chart" uri="{C3380CC4-5D6E-409C-BE32-E72D297353CC}">
                <c16:uniqueId val="{00000006-2B4F-4EB8-BEE4-A58CA3661E53}"/>
              </c:ext>
            </c:extLst>
          </c:dPt>
          <c:xVal>
            <c:numRef>
              <c:f>第4题!$I$14:$I$17</c:f>
              <c:numCache>
                <c:formatCode>General</c:formatCode>
                <c:ptCount val="4"/>
                <c:pt idx="0">
                  <c:v>2100</c:v>
                </c:pt>
                <c:pt idx="1">
                  <c:v>2100</c:v>
                </c:pt>
                <c:pt idx="2">
                  <c:v>2100</c:v>
                </c:pt>
                <c:pt idx="3">
                  <c:v>2100</c:v>
                </c:pt>
              </c:numCache>
            </c:numRef>
          </c:xVal>
          <c:yVal>
            <c:numRef>
              <c:f>第4题!$J$14:$J$17</c:f>
              <c:numCache>
                <c:formatCode>General</c:formatCode>
                <c:ptCount val="4"/>
                <c:pt idx="0">
                  <c:v>250000</c:v>
                </c:pt>
                <c:pt idx="1">
                  <c:v>210000</c:v>
                </c:pt>
                <c:pt idx="2">
                  <c:v>129300</c:v>
                </c:pt>
                <c:pt idx="3">
                  <c:v>0</c:v>
                </c:pt>
              </c:numCache>
            </c:numRef>
          </c:yVal>
          <c:smooth val="0"/>
          <c:extLst>
            <c:ext xmlns:c16="http://schemas.microsoft.com/office/drawing/2014/chart" uri="{C3380CC4-5D6E-409C-BE32-E72D297353CC}">
              <c16:uniqueId val="{00000004-2B4F-4EB8-BEE4-A58CA3661E53}"/>
            </c:ext>
          </c:extLst>
        </c:ser>
        <c:dLbls>
          <c:showLegendKey val="0"/>
          <c:showVal val="0"/>
          <c:showCatName val="0"/>
          <c:showSerName val="0"/>
          <c:showPercent val="0"/>
          <c:showBubbleSize val="0"/>
        </c:dLbls>
        <c:axId val="1410975887"/>
        <c:axId val="1410970895"/>
      </c:scatterChart>
      <c:valAx>
        <c:axId val="1410975887"/>
        <c:scaling>
          <c:orientation val="minMax"/>
          <c:max val="3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10970895"/>
        <c:crosses val="autoZero"/>
        <c:crossBetween val="midCat"/>
      </c:valAx>
      <c:valAx>
        <c:axId val="1410970895"/>
        <c:scaling>
          <c:orientation val="minMax"/>
          <c:max val="250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10975887"/>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经济订货量分析</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0034773572085215"/>
          <c:y val="0.25716829919857526"/>
          <c:w val="0.81428283393509826"/>
          <c:h val="0.57872346989573775"/>
        </c:manualLayout>
      </c:layout>
      <c:scatterChart>
        <c:scatterStyle val="smoothMarker"/>
        <c:varyColors val="0"/>
        <c:ser>
          <c:idx val="0"/>
          <c:order val="0"/>
          <c:spPr>
            <a:ln w="19050" cap="rnd">
              <a:solidFill>
                <a:schemeClr val="accent1"/>
              </a:solidFill>
              <a:prstDash val="dash"/>
              <a:round/>
            </a:ln>
            <a:effectLst/>
          </c:spPr>
          <c:marker>
            <c:symbol val="none"/>
          </c:marker>
          <c:xVal>
            <c:numRef>
              <c:f>第5题!$J$3:$J$13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第5题!$K$3:$K$13</c:f>
              <c:numCache>
                <c:formatCode>0.00</c:formatCode>
                <c:ptCount val="11"/>
                <c:pt idx="0">
                  <c:v>2700</c:v>
                </c:pt>
                <c:pt idx="1">
                  <c:v>1800</c:v>
                </c:pt>
                <c:pt idx="2">
                  <c:v>1350</c:v>
                </c:pt>
                <c:pt idx="3">
                  <c:v>1080</c:v>
                </c:pt>
                <c:pt idx="4">
                  <c:v>900</c:v>
                </c:pt>
                <c:pt idx="5">
                  <c:v>771.42857142857144</c:v>
                </c:pt>
                <c:pt idx="6">
                  <c:v>675</c:v>
                </c:pt>
                <c:pt idx="7">
                  <c:v>600</c:v>
                </c:pt>
                <c:pt idx="8">
                  <c:v>540</c:v>
                </c:pt>
                <c:pt idx="9">
                  <c:v>490.90909090909093</c:v>
                </c:pt>
                <c:pt idx="10">
                  <c:v>450</c:v>
                </c:pt>
              </c:numCache>
            </c:numRef>
          </c:yVal>
          <c:smooth val="1"/>
          <c:extLst>
            <c:ext xmlns:c16="http://schemas.microsoft.com/office/drawing/2014/chart" uri="{C3380CC4-5D6E-409C-BE32-E72D297353CC}">
              <c16:uniqueId val="{00000000-7915-4BF1-B288-25F8BDCF3F10}"/>
            </c:ext>
          </c:extLst>
        </c:ser>
        <c:ser>
          <c:idx val="1"/>
          <c:order val="1"/>
          <c:spPr>
            <a:ln w="19050" cap="rnd">
              <a:solidFill>
                <a:schemeClr val="accent2"/>
              </a:solidFill>
              <a:prstDash val="sysDash"/>
              <a:round/>
            </a:ln>
            <a:effectLst/>
          </c:spPr>
          <c:marker>
            <c:symbol val="none"/>
          </c:marker>
          <c:xVal>
            <c:numRef>
              <c:f>第5题!$J$3:$J$13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第5题!$L$3:$L$13</c:f>
              <c:numCache>
                <c:formatCode>0.00</c:formatCode>
                <c:ptCount val="11"/>
                <c:pt idx="0">
                  <c:v>190</c:v>
                </c:pt>
                <c:pt idx="1">
                  <c:v>285</c:v>
                </c:pt>
                <c:pt idx="2">
                  <c:v>380</c:v>
                </c:pt>
                <c:pt idx="3">
                  <c:v>475</c:v>
                </c:pt>
                <c:pt idx="4">
                  <c:v>570</c:v>
                </c:pt>
                <c:pt idx="5">
                  <c:v>665</c:v>
                </c:pt>
                <c:pt idx="6">
                  <c:v>760</c:v>
                </c:pt>
                <c:pt idx="7">
                  <c:v>855</c:v>
                </c:pt>
                <c:pt idx="8">
                  <c:v>950</c:v>
                </c:pt>
                <c:pt idx="9">
                  <c:v>1045</c:v>
                </c:pt>
                <c:pt idx="10">
                  <c:v>1140</c:v>
                </c:pt>
              </c:numCache>
            </c:numRef>
          </c:yVal>
          <c:smooth val="1"/>
          <c:extLst>
            <c:ext xmlns:c16="http://schemas.microsoft.com/office/drawing/2014/chart" uri="{C3380CC4-5D6E-409C-BE32-E72D297353CC}">
              <c16:uniqueId val="{00000001-7915-4BF1-B288-25F8BDCF3F10}"/>
            </c:ext>
          </c:extLst>
        </c:ser>
        <c:ser>
          <c:idx val="2"/>
          <c:order val="2"/>
          <c:spPr>
            <a:ln w="19050" cap="rnd">
              <a:solidFill>
                <a:schemeClr val="accent3"/>
              </a:solidFill>
              <a:round/>
            </a:ln>
            <a:effectLst/>
          </c:spPr>
          <c:marker>
            <c:symbol val="none"/>
          </c:marker>
          <c:xVal>
            <c:numRef>
              <c:f>第5题!$J$3:$J$13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第5题!$M$3:$M$13</c:f>
              <c:numCache>
                <c:formatCode>0.00</c:formatCode>
                <c:ptCount val="11"/>
                <c:pt idx="0">
                  <c:v>2890</c:v>
                </c:pt>
                <c:pt idx="1">
                  <c:v>2085</c:v>
                </c:pt>
                <c:pt idx="2">
                  <c:v>1730</c:v>
                </c:pt>
                <c:pt idx="3">
                  <c:v>1555</c:v>
                </c:pt>
                <c:pt idx="4">
                  <c:v>1470</c:v>
                </c:pt>
                <c:pt idx="5">
                  <c:v>1436.4285714285716</c:v>
                </c:pt>
                <c:pt idx="6">
                  <c:v>1435</c:v>
                </c:pt>
                <c:pt idx="7">
                  <c:v>1455</c:v>
                </c:pt>
                <c:pt idx="8">
                  <c:v>1490</c:v>
                </c:pt>
                <c:pt idx="9">
                  <c:v>1535.909090909091</c:v>
                </c:pt>
                <c:pt idx="10">
                  <c:v>1590</c:v>
                </c:pt>
              </c:numCache>
            </c:numRef>
          </c:yVal>
          <c:smooth val="1"/>
          <c:extLst>
            <c:ext xmlns:c16="http://schemas.microsoft.com/office/drawing/2014/chart" uri="{C3380CC4-5D6E-409C-BE32-E72D297353CC}">
              <c16:uniqueId val="{00000002-7915-4BF1-B288-25F8BDCF3F10}"/>
            </c:ext>
          </c:extLst>
        </c:ser>
        <c:ser>
          <c:idx val="3"/>
          <c:order val="3"/>
          <c:spPr>
            <a:ln w="19050" cap="rnd">
              <a:solidFill>
                <a:schemeClr val="accent4"/>
              </a:solidFill>
              <a:round/>
            </a:ln>
            <a:effectLst/>
          </c:spPr>
          <c:marker>
            <c:symbol val="square"/>
            <c:size val="9"/>
            <c:spPr>
              <a:solidFill>
                <a:schemeClr val="bg1"/>
              </a:solidFill>
              <a:ln w="9525">
                <a:solidFill>
                  <a:schemeClr val="tx1"/>
                </a:solidFill>
              </a:ln>
              <a:effectLst/>
            </c:spPr>
          </c:marker>
          <c:dPt>
            <c:idx val="0"/>
            <c:marker>
              <c:symbol val="none"/>
            </c:marker>
            <c:bubble3D val="0"/>
            <c:extLst>
              <c:ext xmlns:c16="http://schemas.microsoft.com/office/drawing/2014/chart" uri="{C3380CC4-5D6E-409C-BE32-E72D297353CC}">
                <c16:uniqueId val="{00000007-7915-4BF1-B288-25F8BDCF3F10}"/>
              </c:ext>
            </c:extLst>
          </c:dPt>
          <c:dPt>
            <c:idx val="4"/>
            <c:marker>
              <c:symbol val="none"/>
            </c:marker>
            <c:bubble3D val="0"/>
            <c:extLst>
              <c:ext xmlns:c16="http://schemas.microsoft.com/office/drawing/2014/chart" uri="{C3380CC4-5D6E-409C-BE32-E72D297353CC}">
                <c16:uniqueId val="{00000008-7915-4BF1-B288-25F8BDCF3F10}"/>
              </c:ext>
            </c:extLst>
          </c:dPt>
          <c:xVal>
            <c:numRef>
              <c:f>第5题!$P$3:$P$7</c:f>
              <c:numCache>
                <c:formatCode>0.00</c:formatCode>
                <c:ptCount val="5"/>
                <c:pt idx="0">
                  <c:v>377</c:v>
                </c:pt>
                <c:pt idx="1">
                  <c:v>377</c:v>
                </c:pt>
                <c:pt idx="2">
                  <c:v>377</c:v>
                </c:pt>
                <c:pt idx="3">
                  <c:v>377</c:v>
                </c:pt>
                <c:pt idx="4">
                  <c:v>377</c:v>
                </c:pt>
              </c:numCache>
            </c:numRef>
          </c:xVal>
          <c:yVal>
            <c:numRef>
              <c:f>第5题!$Q$3:$Q$7</c:f>
              <c:numCache>
                <c:formatCode>"$"#,##0</c:formatCode>
                <c:ptCount val="5"/>
                <c:pt idx="0" formatCode="General">
                  <c:v>2500</c:v>
                </c:pt>
                <c:pt idx="1">
                  <c:v>1432.4803713527851</c:v>
                </c:pt>
                <c:pt idx="2">
                  <c:v>716.3</c:v>
                </c:pt>
                <c:pt idx="3">
                  <c:v>716.3</c:v>
                </c:pt>
                <c:pt idx="4" formatCode="General">
                  <c:v>0</c:v>
                </c:pt>
              </c:numCache>
            </c:numRef>
          </c:yVal>
          <c:smooth val="1"/>
          <c:extLst>
            <c:ext xmlns:c16="http://schemas.microsoft.com/office/drawing/2014/chart" uri="{C3380CC4-5D6E-409C-BE32-E72D297353CC}">
              <c16:uniqueId val="{00000004-7915-4BF1-B288-25F8BDCF3F10}"/>
            </c:ext>
          </c:extLst>
        </c:ser>
        <c:ser>
          <c:idx val="4"/>
          <c:order val="4"/>
          <c:spPr>
            <a:ln w="19050" cap="rnd">
              <a:solidFill>
                <a:schemeClr val="accent5"/>
              </a:solidFill>
              <a:round/>
            </a:ln>
            <a:effectLst/>
          </c:spPr>
          <c:marker>
            <c:symbol val="none"/>
          </c:marker>
          <c:xVal>
            <c:numRef>
              <c:f>第5题!$T$3:$T$4</c:f>
              <c:numCache>
                <c:formatCode>General</c:formatCode>
                <c:ptCount val="2"/>
                <c:pt idx="0">
                  <c:v>100</c:v>
                </c:pt>
                <c:pt idx="1">
                  <c:v>300</c:v>
                </c:pt>
              </c:numCache>
            </c:numRef>
          </c:xVal>
          <c:yVal>
            <c:numRef>
              <c:f>第5题!$U$3:$U$4</c:f>
              <c:numCache>
                <c:formatCode>"$"#,##0</c:formatCode>
                <c:ptCount val="2"/>
                <c:pt idx="0">
                  <c:v>1470</c:v>
                </c:pt>
                <c:pt idx="1">
                  <c:v>1470</c:v>
                </c:pt>
              </c:numCache>
            </c:numRef>
          </c:yVal>
          <c:smooth val="1"/>
          <c:extLst>
            <c:ext xmlns:c16="http://schemas.microsoft.com/office/drawing/2014/chart" uri="{C3380CC4-5D6E-409C-BE32-E72D297353CC}">
              <c16:uniqueId val="{00000005-7915-4BF1-B288-25F8BDCF3F10}"/>
            </c:ext>
          </c:extLst>
        </c:ser>
        <c:ser>
          <c:idx val="5"/>
          <c:order val="5"/>
          <c:spPr>
            <a:ln w="19050" cap="rnd">
              <a:solidFill>
                <a:schemeClr val="accent6"/>
              </a:solidFill>
              <a:round/>
            </a:ln>
            <a:effectLst/>
          </c:spPr>
          <c:marker>
            <c:symbol val="square"/>
            <c:size val="8"/>
            <c:spPr>
              <a:solidFill>
                <a:schemeClr val="bg1"/>
              </a:solidFill>
              <a:ln w="9525">
                <a:solidFill>
                  <a:schemeClr val="accent6"/>
                </a:solidFill>
              </a:ln>
              <a:effectLst/>
            </c:spPr>
          </c:marker>
          <c:dPt>
            <c:idx val="3"/>
            <c:marker>
              <c:symbol val="none"/>
            </c:marker>
            <c:bubble3D val="0"/>
            <c:extLst>
              <c:ext xmlns:c16="http://schemas.microsoft.com/office/drawing/2014/chart" uri="{C3380CC4-5D6E-409C-BE32-E72D297353CC}">
                <c16:uniqueId val="{00000009-7915-4BF1-B288-25F8BDCF3F10}"/>
              </c:ext>
            </c:extLst>
          </c:dPt>
          <c:xVal>
            <c:numRef>
              <c:f>第5题!$T$4:$T$7</c:f>
              <c:numCache>
                <c:formatCode>General</c:formatCode>
                <c:ptCount val="4"/>
                <c:pt idx="0">
                  <c:v>300</c:v>
                </c:pt>
                <c:pt idx="1">
                  <c:v>300</c:v>
                </c:pt>
                <c:pt idx="2">
                  <c:v>300</c:v>
                </c:pt>
                <c:pt idx="3">
                  <c:v>300</c:v>
                </c:pt>
              </c:numCache>
            </c:numRef>
          </c:xVal>
          <c:yVal>
            <c:numRef>
              <c:f>第5题!$U$4:$U$7</c:f>
              <c:numCache>
                <c:formatCode>"$"#,##0</c:formatCode>
                <c:ptCount val="4"/>
                <c:pt idx="0">
                  <c:v>1470</c:v>
                </c:pt>
                <c:pt idx="1">
                  <c:v>900</c:v>
                </c:pt>
                <c:pt idx="2">
                  <c:v>570</c:v>
                </c:pt>
                <c:pt idx="3">
                  <c:v>0</c:v>
                </c:pt>
              </c:numCache>
            </c:numRef>
          </c:yVal>
          <c:smooth val="1"/>
          <c:extLst>
            <c:ext xmlns:c16="http://schemas.microsoft.com/office/drawing/2014/chart" uri="{C3380CC4-5D6E-409C-BE32-E72D297353CC}">
              <c16:uniqueId val="{00000006-7915-4BF1-B288-25F8BDCF3F10}"/>
            </c:ext>
          </c:extLst>
        </c:ser>
        <c:dLbls>
          <c:showLegendKey val="0"/>
          <c:showVal val="0"/>
          <c:showCatName val="0"/>
          <c:showSerName val="0"/>
          <c:showPercent val="0"/>
          <c:showBubbleSize val="0"/>
        </c:dLbls>
        <c:axId val="2086105087"/>
        <c:axId val="2086105503"/>
      </c:scatterChart>
      <c:valAx>
        <c:axId val="2086105087"/>
        <c:scaling>
          <c:orientation val="minMax"/>
          <c:max val="600"/>
          <c:min val="1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86105503"/>
        <c:crosses val="autoZero"/>
        <c:crossBetween val="midCat"/>
      </c:valAx>
      <c:valAx>
        <c:axId val="2086105503"/>
        <c:scaling>
          <c:orientation val="minMax"/>
          <c:max val="2500"/>
          <c:min val="0"/>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861050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不同年需求量下年总成本随订货量的变化</a:t>
            </a:r>
          </a:p>
        </c:rich>
      </c:tx>
      <c:layout>
        <c:manualLayout>
          <c:xMode val="edge"/>
          <c:yMode val="edge"/>
          <c:x val="0.13246753246753246"/>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8.5945802229266802E-2"/>
          <c:y val="0.27187913185978663"/>
          <c:w val="0.81279245483169471"/>
          <c:h val="0.62072153163595656"/>
        </c:manualLayout>
      </c:layout>
      <c:scatterChart>
        <c:scatterStyle val="smoothMarker"/>
        <c:varyColors val="0"/>
        <c:ser>
          <c:idx val="0"/>
          <c:order val="0"/>
          <c:spPr>
            <a:ln w="34925" cap="rnd">
              <a:solidFill>
                <a:srgbClr val="FF0000"/>
              </a:solidFill>
              <a:round/>
            </a:ln>
            <a:effectLst/>
          </c:spPr>
          <c:marker>
            <c:symbol val="none"/>
          </c:marker>
          <c:xVal>
            <c:numRef>
              <c:f>第6题!$J$3:$J$13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第6题!$K$3:$K$13</c:f>
              <c:numCache>
                <c:formatCode>0</c:formatCode>
                <c:ptCount val="11"/>
                <c:pt idx="0">
                  <c:v>1690</c:v>
                </c:pt>
                <c:pt idx="1">
                  <c:v>1285</c:v>
                </c:pt>
                <c:pt idx="2">
                  <c:v>1130</c:v>
                </c:pt>
                <c:pt idx="3">
                  <c:v>1075</c:v>
                </c:pt>
                <c:pt idx="4">
                  <c:v>1070</c:v>
                </c:pt>
                <c:pt idx="5">
                  <c:v>1093.5714285714284</c:v>
                </c:pt>
                <c:pt idx="6">
                  <c:v>1135</c:v>
                </c:pt>
                <c:pt idx="7">
                  <c:v>1188.3333333333333</c:v>
                </c:pt>
                <c:pt idx="8">
                  <c:v>1250</c:v>
                </c:pt>
                <c:pt idx="9">
                  <c:v>1317.7272727272727</c:v>
                </c:pt>
                <c:pt idx="10">
                  <c:v>1390</c:v>
                </c:pt>
              </c:numCache>
            </c:numRef>
          </c:yVal>
          <c:smooth val="1"/>
          <c:extLst>
            <c:ext xmlns:c16="http://schemas.microsoft.com/office/drawing/2014/chart" uri="{C3380CC4-5D6E-409C-BE32-E72D297353CC}">
              <c16:uniqueId val="{00000000-054B-4BCB-BC31-561EBFDE4693}"/>
            </c:ext>
          </c:extLst>
        </c:ser>
        <c:ser>
          <c:idx val="1"/>
          <c:order val="1"/>
          <c:spPr>
            <a:ln w="19050" cap="rnd">
              <a:solidFill>
                <a:schemeClr val="tx1"/>
              </a:solidFill>
              <a:prstDash val="sysDash"/>
              <a:round/>
            </a:ln>
            <a:effectLst/>
          </c:spPr>
          <c:marker>
            <c:symbol val="none"/>
          </c:marker>
          <c:xVal>
            <c:numRef>
              <c:f>第6题!$J$3:$J$13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第6题!$L$3:$L$13</c:f>
              <c:numCache>
                <c:formatCode>0</c:formatCode>
                <c:ptCount val="11"/>
                <c:pt idx="0">
                  <c:v>1690</c:v>
                </c:pt>
                <c:pt idx="1">
                  <c:v>1285</c:v>
                </c:pt>
                <c:pt idx="2">
                  <c:v>1130</c:v>
                </c:pt>
                <c:pt idx="3">
                  <c:v>1075</c:v>
                </c:pt>
                <c:pt idx="4">
                  <c:v>1070</c:v>
                </c:pt>
                <c:pt idx="5">
                  <c:v>1093.5714285714284</c:v>
                </c:pt>
                <c:pt idx="6">
                  <c:v>1135</c:v>
                </c:pt>
                <c:pt idx="7">
                  <c:v>1188.3333333333333</c:v>
                </c:pt>
                <c:pt idx="8">
                  <c:v>1250</c:v>
                </c:pt>
                <c:pt idx="9">
                  <c:v>1317.7272727272727</c:v>
                </c:pt>
                <c:pt idx="10">
                  <c:v>1390</c:v>
                </c:pt>
              </c:numCache>
            </c:numRef>
          </c:yVal>
          <c:smooth val="1"/>
          <c:extLst>
            <c:ext xmlns:c16="http://schemas.microsoft.com/office/drawing/2014/chart" uri="{C3380CC4-5D6E-409C-BE32-E72D297353CC}">
              <c16:uniqueId val="{00000001-054B-4BCB-BC31-561EBFDE4693}"/>
            </c:ext>
          </c:extLst>
        </c:ser>
        <c:ser>
          <c:idx val="2"/>
          <c:order val="2"/>
          <c:spPr>
            <a:ln w="19050" cap="rnd">
              <a:solidFill>
                <a:schemeClr val="tx1"/>
              </a:solidFill>
              <a:prstDash val="sysDot"/>
              <a:round/>
            </a:ln>
            <a:effectLst/>
          </c:spPr>
          <c:marker>
            <c:symbol val="none"/>
          </c:marker>
          <c:xVal>
            <c:numRef>
              <c:f>第6题!$J$3:$J$13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第6题!$M$3:$M$13</c:f>
              <c:numCache>
                <c:formatCode>0</c:formatCode>
                <c:ptCount val="11"/>
                <c:pt idx="0">
                  <c:v>1990</c:v>
                </c:pt>
                <c:pt idx="1">
                  <c:v>1485</c:v>
                </c:pt>
                <c:pt idx="2">
                  <c:v>1280</c:v>
                </c:pt>
                <c:pt idx="3">
                  <c:v>1195</c:v>
                </c:pt>
                <c:pt idx="4">
                  <c:v>1170</c:v>
                </c:pt>
                <c:pt idx="5">
                  <c:v>1179.2857142857142</c:v>
                </c:pt>
                <c:pt idx="6">
                  <c:v>1210</c:v>
                </c:pt>
                <c:pt idx="7">
                  <c:v>1255</c:v>
                </c:pt>
                <c:pt idx="8">
                  <c:v>1310</c:v>
                </c:pt>
                <c:pt idx="9">
                  <c:v>1372.2727272727273</c:v>
                </c:pt>
                <c:pt idx="10">
                  <c:v>1440</c:v>
                </c:pt>
              </c:numCache>
            </c:numRef>
          </c:yVal>
          <c:smooth val="1"/>
          <c:extLst>
            <c:ext xmlns:c16="http://schemas.microsoft.com/office/drawing/2014/chart" uri="{C3380CC4-5D6E-409C-BE32-E72D297353CC}">
              <c16:uniqueId val="{00000002-054B-4BCB-BC31-561EBFDE4693}"/>
            </c:ext>
          </c:extLst>
        </c:ser>
        <c:ser>
          <c:idx val="3"/>
          <c:order val="3"/>
          <c:spPr>
            <a:ln w="19050" cap="rnd">
              <a:solidFill>
                <a:schemeClr val="tx1"/>
              </a:solidFill>
              <a:prstDash val="sysDash"/>
              <a:round/>
            </a:ln>
            <a:effectLst/>
          </c:spPr>
          <c:marker>
            <c:symbol val="none"/>
          </c:marker>
          <c:xVal>
            <c:numRef>
              <c:f>第6题!$J$3:$J$13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第6题!$N$3:$N$13</c:f>
              <c:numCache>
                <c:formatCode>0</c:formatCode>
                <c:ptCount val="11"/>
                <c:pt idx="0">
                  <c:v>2290</c:v>
                </c:pt>
                <c:pt idx="1">
                  <c:v>1685</c:v>
                </c:pt>
                <c:pt idx="2">
                  <c:v>1430</c:v>
                </c:pt>
                <c:pt idx="3">
                  <c:v>1315</c:v>
                </c:pt>
                <c:pt idx="4">
                  <c:v>1270</c:v>
                </c:pt>
                <c:pt idx="5">
                  <c:v>1265</c:v>
                </c:pt>
                <c:pt idx="6">
                  <c:v>1285</c:v>
                </c:pt>
                <c:pt idx="7">
                  <c:v>1321.6666666666667</c:v>
                </c:pt>
                <c:pt idx="8">
                  <c:v>1370</c:v>
                </c:pt>
                <c:pt idx="9">
                  <c:v>1426.8181818181818</c:v>
                </c:pt>
                <c:pt idx="10">
                  <c:v>1490</c:v>
                </c:pt>
              </c:numCache>
            </c:numRef>
          </c:yVal>
          <c:smooth val="1"/>
          <c:extLst>
            <c:ext xmlns:c16="http://schemas.microsoft.com/office/drawing/2014/chart" uri="{C3380CC4-5D6E-409C-BE32-E72D297353CC}">
              <c16:uniqueId val="{00000003-054B-4BCB-BC31-561EBFDE4693}"/>
            </c:ext>
          </c:extLst>
        </c:ser>
        <c:ser>
          <c:idx val="4"/>
          <c:order val="4"/>
          <c:spPr>
            <a:ln w="19050" cap="rnd">
              <a:solidFill>
                <a:schemeClr val="tx1"/>
              </a:solidFill>
              <a:prstDash val="sysDash"/>
              <a:round/>
            </a:ln>
            <a:effectLst/>
          </c:spPr>
          <c:marker>
            <c:symbol val="none"/>
          </c:marker>
          <c:xVal>
            <c:numRef>
              <c:f>第6题!$J$3:$J$13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第6题!$O$3:$O$13</c:f>
              <c:numCache>
                <c:formatCode>0</c:formatCode>
                <c:ptCount val="11"/>
                <c:pt idx="0">
                  <c:v>2590</c:v>
                </c:pt>
                <c:pt idx="1">
                  <c:v>1885</c:v>
                </c:pt>
                <c:pt idx="2">
                  <c:v>1580</c:v>
                </c:pt>
                <c:pt idx="3">
                  <c:v>1435</c:v>
                </c:pt>
                <c:pt idx="4">
                  <c:v>1370</c:v>
                </c:pt>
                <c:pt idx="5">
                  <c:v>1350.7142857142858</c:v>
                </c:pt>
                <c:pt idx="6">
                  <c:v>1360</c:v>
                </c:pt>
                <c:pt idx="7">
                  <c:v>1388.3333333333335</c:v>
                </c:pt>
                <c:pt idx="8">
                  <c:v>1430</c:v>
                </c:pt>
                <c:pt idx="9">
                  <c:v>1481.3636363636365</c:v>
                </c:pt>
                <c:pt idx="10">
                  <c:v>1540</c:v>
                </c:pt>
              </c:numCache>
            </c:numRef>
          </c:yVal>
          <c:smooth val="1"/>
          <c:extLst>
            <c:ext xmlns:c16="http://schemas.microsoft.com/office/drawing/2014/chart" uri="{C3380CC4-5D6E-409C-BE32-E72D297353CC}">
              <c16:uniqueId val="{00000004-054B-4BCB-BC31-561EBFDE4693}"/>
            </c:ext>
          </c:extLst>
        </c:ser>
        <c:ser>
          <c:idx val="5"/>
          <c:order val="5"/>
          <c:spPr>
            <a:ln w="19050" cap="rnd">
              <a:solidFill>
                <a:schemeClr val="tx1"/>
              </a:solidFill>
              <a:prstDash val="sysDash"/>
              <a:round/>
            </a:ln>
            <a:effectLst/>
          </c:spPr>
          <c:marker>
            <c:symbol val="none"/>
          </c:marker>
          <c:xVal>
            <c:numRef>
              <c:f>第6题!$J$3:$J$13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第6题!$P$3:$P$13</c:f>
              <c:numCache>
                <c:formatCode>0</c:formatCode>
                <c:ptCount val="11"/>
                <c:pt idx="0">
                  <c:v>2890</c:v>
                </c:pt>
                <c:pt idx="1">
                  <c:v>2085</c:v>
                </c:pt>
                <c:pt idx="2">
                  <c:v>1730</c:v>
                </c:pt>
                <c:pt idx="3">
                  <c:v>1555</c:v>
                </c:pt>
                <c:pt idx="4">
                  <c:v>1470</c:v>
                </c:pt>
                <c:pt idx="5">
                  <c:v>1436.4285714285716</c:v>
                </c:pt>
                <c:pt idx="6">
                  <c:v>1435</c:v>
                </c:pt>
                <c:pt idx="7">
                  <c:v>1455</c:v>
                </c:pt>
                <c:pt idx="8">
                  <c:v>1490</c:v>
                </c:pt>
                <c:pt idx="9">
                  <c:v>1535.909090909091</c:v>
                </c:pt>
                <c:pt idx="10">
                  <c:v>1590</c:v>
                </c:pt>
              </c:numCache>
            </c:numRef>
          </c:yVal>
          <c:smooth val="1"/>
          <c:extLst>
            <c:ext xmlns:c16="http://schemas.microsoft.com/office/drawing/2014/chart" uri="{C3380CC4-5D6E-409C-BE32-E72D297353CC}">
              <c16:uniqueId val="{00000005-054B-4BCB-BC31-561EBFDE4693}"/>
            </c:ext>
          </c:extLst>
        </c:ser>
        <c:ser>
          <c:idx val="6"/>
          <c:order val="6"/>
          <c:spPr>
            <a:ln w="19050" cap="rnd">
              <a:solidFill>
                <a:schemeClr val="tx1"/>
              </a:solidFill>
              <a:prstDash val="sysDash"/>
              <a:round/>
            </a:ln>
            <a:effectLst/>
          </c:spPr>
          <c:marker>
            <c:symbol val="none"/>
          </c:marker>
          <c:xVal>
            <c:numRef>
              <c:f>第6题!$J$3:$J$13</c:f>
              <c:numCache>
                <c:formatCode>General</c:formatCode>
                <c:ptCount val="11"/>
                <c:pt idx="0">
                  <c:v>100</c:v>
                </c:pt>
                <c:pt idx="1">
                  <c:v>150</c:v>
                </c:pt>
                <c:pt idx="2">
                  <c:v>200</c:v>
                </c:pt>
                <c:pt idx="3">
                  <c:v>250</c:v>
                </c:pt>
                <c:pt idx="4">
                  <c:v>300</c:v>
                </c:pt>
                <c:pt idx="5">
                  <c:v>350</c:v>
                </c:pt>
                <c:pt idx="6">
                  <c:v>400</c:v>
                </c:pt>
                <c:pt idx="7">
                  <c:v>450</c:v>
                </c:pt>
                <c:pt idx="8">
                  <c:v>500</c:v>
                </c:pt>
                <c:pt idx="9">
                  <c:v>550</c:v>
                </c:pt>
                <c:pt idx="10">
                  <c:v>600</c:v>
                </c:pt>
              </c:numCache>
            </c:numRef>
          </c:xVal>
          <c:yVal>
            <c:numRef>
              <c:f>第6题!$Q$3:$Q$13</c:f>
              <c:numCache>
                <c:formatCode>0</c:formatCode>
                <c:ptCount val="11"/>
                <c:pt idx="0">
                  <c:v>3190</c:v>
                </c:pt>
                <c:pt idx="1">
                  <c:v>2285</c:v>
                </c:pt>
                <c:pt idx="2">
                  <c:v>1880</c:v>
                </c:pt>
                <c:pt idx="3">
                  <c:v>1675</c:v>
                </c:pt>
                <c:pt idx="4">
                  <c:v>1570</c:v>
                </c:pt>
                <c:pt idx="5">
                  <c:v>1522.1428571428571</c:v>
                </c:pt>
                <c:pt idx="6">
                  <c:v>1510</c:v>
                </c:pt>
                <c:pt idx="7">
                  <c:v>1521.6666666666665</c:v>
                </c:pt>
                <c:pt idx="8">
                  <c:v>1550</c:v>
                </c:pt>
                <c:pt idx="9">
                  <c:v>1590.4545454545455</c:v>
                </c:pt>
                <c:pt idx="10">
                  <c:v>1640</c:v>
                </c:pt>
              </c:numCache>
            </c:numRef>
          </c:yVal>
          <c:smooth val="1"/>
          <c:extLst>
            <c:ext xmlns:c16="http://schemas.microsoft.com/office/drawing/2014/chart" uri="{C3380CC4-5D6E-409C-BE32-E72D297353CC}">
              <c16:uniqueId val="{00000006-054B-4BCB-BC31-561EBFDE4693}"/>
            </c:ext>
          </c:extLst>
        </c:ser>
        <c:ser>
          <c:idx val="7"/>
          <c:order val="7"/>
          <c:spPr>
            <a:ln w="19050" cap="rnd">
              <a:solidFill>
                <a:srgbClr val="0070C0"/>
              </a:solidFill>
              <a:round/>
            </a:ln>
            <a:effectLst/>
          </c:spPr>
          <c:marker>
            <c:symbol val="none"/>
          </c:marker>
          <c:dPt>
            <c:idx val="5"/>
            <c:marker>
              <c:symbol val="square"/>
              <c:size val="5"/>
              <c:spPr>
                <a:solidFill>
                  <a:schemeClr val="bg1"/>
                </a:solidFill>
                <a:ln w="9525">
                  <a:solidFill>
                    <a:schemeClr val="accent2">
                      <a:lumMod val="60000"/>
                    </a:schemeClr>
                  </a:solidFill>
                </a:ln>
                <a:effectLst/>
              </c:spPr>
            </c:marker>
            <c:bubble3D val="0"/>
            <c:extLst>
              <c:ext xmlns:c16="http://schemas.microsoft.com/office/drawing/2014/chart" uri="{C3380CC4-5D6E-409C-BE32-E72D297353CC}">
                <c16:uniqueId val="{0000000A-054B-4BCB-BC31-561EBFDE4693}"/>
              </c:ext>
            </c:extLst>
          </c:dPt>
          <c:xVal>
            <c:numRef>
              <c:f>第6题!$L$17:$Q$17</c:f>
              <c:numCache>
                <c:formatCode>0</c:formatCode>
                <c:ptCount val="6"/>
                <c:pt idx="0">
                  <c:v>281</c:v>
                </c:pt>
                <c:pt idx="1">
                  <c:v>308</c:v>
                </c:pt>
                <c:pt idx="2">
                  <c:v>332</c:v>
                </c:pt>
                <c:pt idx="3">
                  <c:v>355</c:v>
                </c:pt>
                <c:pt idx="4">
                  <c:v>377</c:v>
                </c:pt>
                <c:pt idx="5">
                  <c:v>397</c:v>
                </c:pt>
              </c:numCache>
            </c:numRef>
          </c:xVal>
          <c:yVal>
            <c:numRef>
              <c:f>第6题!$L$18:$Q$18</c:f>
              <c:numCache>
                <c:formatCode>0</c:formatCode>
                <c:ptCount val="6"/>
                <c:pt idx="0">
                  <c:v>1067.8</c:v>
                </c:pt>
                <c:pt idx="1">
                  <c:v>1170.3999999999999</c:v>
                </c:pt>
                <c:pt idx="2">
                  <c:v>1261.5999999999999</c:v>
                </c:pt>
                <c:pt idx="3">
                  <c:v>1349</c:v>
                </c:pt>
                <c:pt idx="4">
                  <c:v>1432.6</c:v>
                </c:pt>
                <c:pt idx="5">
                  <c:v>1508.6</c:v>
                </c:pt>
              </c:numCache>
            </c:numRef>
          </c:yVal>
          <c:smooth val="1"/>
          <c:extLst>
            <c:ext xmlns:c16="http://schemas.microsoft.com/office/drawing/2014/chart" uri="{C3380CC4-5D6E-409C-BE32-E72D297353CC}">
              <c16:uniqueId val="{00000008-054B-4BCB-BC31-561EBFDE4693}"/>
            </c:ext>
          </c:extLst>
        </c:ser>
        <c:ser>
          <c:idx val="8"/>
          <c:order val="8"/>
          <c:tx>
            <c:strRef>
              <c:f>第6题!$C$16:$E$16</c:f>
              <c:strCache>
                <c:ptCount val="1"/>
                <c:pt idx="0">
                  <c:v>281.0 281.0 281.0</c:v>
                </c:pt>
              </c:strCache>
            </c:strRef>
          </c:tx>
          <c:spPr>
            <a:ln w="19050" cap="rnd">
              <a:solidFill>
                <a:schemeClr val="accent3">
                  <a:lumMod val="60000"/>
                </a:schemeClr>
              </a:solidFill>
              <a:round/>
            </a:ln>
            <a:effectLst/>
          </c:spPr>
          <c:marker>
            <c:symbol val="none"/>
          </c:marker>
          <c:dPt>
            <c:idx val="1"/>
            <c:marker>
              <c:symbol val="square"/>
              <c:size val="5"/>
              <c:spPr>
                <a:solidFill>
                  <a:schemeClr val="bg1"/>
                </a:solidFill>
                <a:ln w="9525">
                  <a:solidFill>
                    <a:srgbClr val="00B0F0"/>
                  </a:solidFill>
                </a:ln>
                <a:effectLst/>
              </c:spPr>
            </c:marker>
            <c:bubble3D val="0"/>
            <c:extLst>
              <c:ext xmlns:c16="http://schemas.microsoft.com/office/drawing/2014/chart" uri="{C3380CC4-5D6E-409C-BE32-E72D297353CC}">
                <c16:uniqueId val="{0000000B-054B-4BCB-BC31-561EBFDE4693}"/>
              </c:ext>
            </c:extLst>
          </c:dPt>
          <c:xVal>
            <c:numRef>
              <c:f>第6题!$C$16:$E$16</c:f>
              <c:numCache>
                <c:formatCode>0.0</c:formatCode>
                <c:ptCount val="3"/>
                <c:pt idx="0">
                  <c:v>281</c:v>
                </c:pt>
                <c:pt idx="1">
                  <c:v>281</c:v>
                </c:pt>
                <c:pt idx="2">
                  <c:v>281</c:v>
                </c:pt>
              </c:numCache>
            </c:numRef>
          </c:xVal>
          <c:yVal>
            <c:numRef>
              <c:f>第6题!$C$17:$E$17</c:f>
              <c:numCache>
                <c:formatCode>0.0</c:formatCode>
                <c:ptCount val="3"/>
                <c:pt idx="0" formatCode="0">
                  <c:v>500</c:v>
                </c:pt>
                <c:pt idx="1">
                  <c:v>1067.8</c:v>
                </c:pt>
                <c:pt idx="2" formatCode="General">
                  <c:v>2500</c:v>
                </c:pt>
              </c:numCache>
            </c:numRef>
          </c:yVal>
          <c:smooth val="1"/>
          <c:extLst>
            <c:ext xmlns:c16="http://schemas.microsoft.com/office/drawing/2014/chart" uri="{C3380CC4-5D6E-409C-BE32-E72D297353CC}">
              <c16:uniqueId val="{00000009-054B-4BCB-BC31-561EBFDE4693}"/>
            </c:ext>
          </c:extLst>
        </c:ser>
        <c:dLbls>
          <c:showLegendKey val="0"/>
          <c:showVal val="0"/>
          <c:showCatName val="0"/>
          <c:showSerName val="0"/>
          <c:showPercent val="0"/>
          <c:showBubbleSize val="0"/>
        </c:dLbls>
        <c:axId val="1801892223"/>
        <c:axId val="1801893887"/>
      </c:scatterChart>
      <c:valAx>
        <c:axId val="1801892223"/>
        <c:scaling>
          <c:orientation val="minMax"/>
          <c:max val="600"/>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01893887"/>
        <c:crosses val="autoZero"/>
        <c:crossBetween val="midCat"/>
      </c:valAx>
      <c:valAx>
        <c:axId val="1801893887"/>
        <c:scaling>
          <c:orientation val="minMax"/>
          <c:max val="2500"/>
          <c:min val="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018922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不同整车运费下的年总成本随订货量变化的图形</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061197582860282"/>
          <c:y val="0.21541463414634146"/>
          <c:w val="0.84148552141227462"/>
          <c:h val="0.69405554061839836"/>
        </c:manualLayout>
      </c:layout>
      <c:scatterChart>
        <c:scatterStyle val="lineMarker"/>
        <c:varyColors val="0"/>
        <c:ser>
          <c:idx val="0"/>
          <c:order val="0"/>
          <c:spPr>
            <a:ln w="19050" cap="rnd">
              <a:solidFill>
                <a:schemeClr val="bg2"/>
              </a:solidFill>
              <a:round/>
            </a:ln>
            <a:effectLst/>
          </c:spPr>
          <c:marker>
            <c:symbol val="none"/>
          </c:marker>
          <c:xVal>
            <c:numRef>
              <c:f>第7题!$H$3:$H$22</c:f>
              <c:numCache>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formatCode="0">
                  <c:v>199.99999</c:v>
                </c:pt>
                <c:pt idx="18">
                  <c:v>200</c:v>
                </c:pt>
                <c:pt idx="19">
                  <c:v>350</c:v>
                </c:pt>
              </c:numCache>
            </c:numRef>
          </c:xVal>
          <c:yVal>
            <c:numRef>
              <c:f>第7题!$I$3:$I$22</c:f>
              <c:numCache>
                <c:formatCode>0</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131000</c:v>
                </c:pt>
                <c:pt idx="19">
                  <c:v>143214.28571428571</c:v>
                </c:pt>
              </c:numCache>
            </c:numRef>
          </c:yVal>
          <c:smooth val="0"/>
          <c:extLst>
            <c:ext xmlns:c16="http://schemas.microsoft.com/office/drawing/2014/chart" uri="{C3380CC4-5D6E-409C-BE32-E72D297353CC}">
              <c16:uniqueId val="{00000000-04D5-44C9-99D8-A67F04060714}"/>
            </c:ext>
          </c:extLst>
        </c:ser>
        <c:ser>
          <c:idx val="1"/>
          <c:order val="1"/>
          <c:spPr>
            <a:ln w="19050" cap="rnd">
              <a:solidFill>
                <a:schemeClr val="bg2"/>
              </a:solidFill>
              <a:round/>
            </a:ln>
            <a:effectLst/>
          </c:spPr>
          <c:marker>
            <c:symbol val="none"/>
          </c:marker>
          <c:xVal>
            <c:numRef>
              <c:f>第7题!$H$3:$H$22</c:f>
              <c:numCache>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formatCode="0">
                  <c:v>199.99999</c:v>
                </c:pt>
                <c:pt idx="18">
                  <c:v>200</c:v>
                </c:pt>
                <c:pt idx="19">
                  <c:v>350</c:v>
                </c:pt>
              </c:numCache>
            </c:numRef>
          </c:xVal>
          <c:yVal>
            <c:numRef>
              <c:f>第7题!$J$3:$J$22</c:f>
              <c:numCache>
                <c:formatCode>0</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133500</c:v>
                </c:pt>
                <c:pt idx="19">
                  <c:v>145714.28571428571</c:v>
                </c:pt>
              </c:numCache>
            </c:numRef>
          </c:yVal>
          <c:smooth val="0"/>
          <c:extLst>
            <c:ext xmlns:c16="http://schemas.microsoft.com/office/drawing/2014/chart" uri="{C3380CC4-5D6E-409C-BE32-E72D297353CC}">
              <c16:uniqueId val="{00000001-04D5-44C9-99D8-A67F04060714}"/>
            </c:ext>
          </c:extLst>
        </c:ser>
        <c:ser>
          <c:idx val="2"/>
          <c:order val="2"/>
          <c:spPr>
            <a:ln w="19050" cap="rnd">
              <a:solidFill>
                <a:schemeClr val="bg2"/>
              </a:solidFill>
              <a:round/>
            </a:ln>
            <a:effectLst/>
          </c:spPr>
          <c:marker>
            <c:symbol val="none"/>
          </c:marker>
          <c:xVal>
            <c:numRef>
              <c:f>第7题!$H$3:$H$22</c:f>
              <c:numCache>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formatCode="0">
                  <c:v>199.99999</c:v>
                </c:pt>
                <c:pt idx="18">
                  <c:v>200</c:v>
                </c:pt>
                <c:pt idx="19">
                  <c:v>350</c:v>
                </c:pt>
              </c:numCache>
            </c:numRef>
          </c:xVal>
          <c:yVal>
            <c:numRef>
              <c:f>第7题!$K$3:$K$22</c:f>
              <c:numCache>
                <c:formatCode>0</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136000</c:v>
                </c:pt>
                <c:pt idx="19">
                  <c:v>148214.28571428571</c:v>
                </c:pt>
              </c:numCache>
            </c:numRef>
          </c:yVal>
          <c:smooth val="0"/>
          <c:extLst>
            <c:ext xmlns:c16="http://schemas.microsoft.com/office/drawing/2014/chart" uri="{C3380CC4-5D6E-409C-BE32-E72D297353CC}">
              <c16:uniqueId val="{00000002-04D5-44C9-99D8-A67F04060714}"/>
            </c:ext>
          </c:extLst>
        </c:ser>
        <c:ser>
          <c:idx val="3"/>
          <c:order val="3"/>
          <c:spPr>
            <a:ln w="19050" cap="rnd">
              <a:solidFill>
                <a:schemeClr val="bg2"/>
              </a:solidFill>
              <a:round/>
            </a:ln>
            <a:effectLst/>
          </c:spPr>
          <c:marker>
            <c:symbol val="none"/>
          </c:marker>
          <c:xVal>
            <c:numRef>
              <c:f>第7题!$H$3:$H$22</c:f>
              <c:numCache>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formatCode="0">
                  <c:v>199.99999</c:v>
                </c:pt>
                <c:pt idx="18">
                  <c:v>200</c:v>
                </c:pt>
                <c:pt idx="19">
                  <c:v>350</c:v>
                </c:pt>
              </c:numCache>
            </c:numRef>
          </c:xVal>
          <c:yVal>
            <c:numRef>
              <c:f>第7题!$L$3:$L$22</c:f>
              <c:numCache>
                <c:formatCode>0</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138500</c:v>
                </c:pt>
                <c:pt idx="19">
                  <c:v>150714.28571428571</c:v>
                </c:pt>
              </c:numCache>
            </c:numRef>
          </c:yVal>
          <c:smooth val="0"/>
          <c:extLst>
            <c:ext xmlns:c16="http://schemas.microsoft.com/office/drawing/2014/chart" uri="{C3380CC4-5D6E-409C-BE32-E72D297353CC}">
              <c16:uniqueId val="{00000003-04D5-44C9-99D8-A67F04060714}"/>
            </c:ext>
          </c:extLst>
        </c:ser>
        <c:ser>
          <c:idx val="4"/>
          <c:order val="4"/>
          <c:spPr>
            <a:ln w="19050" cap="rnd">
              <a:solidFill>
                <a:schemeClr val="bg2"/>
              </a:solidFill>
              <a:round/>
            </a:ln>
            <a:effectLst/>
          </c:spPr>
          <c:marker>
            <c:symbol val="none"/>
          </c:marker>
          <c:xVal>
            <c:numRef>
              <c:f>第7题!$H$3:$H$22</c:f>
              <c:numCache>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formatCode="0">
                  <c:v>199.99999</c:v>
                </c:pt>
                <c:pt idx="18">
                  <c:v>200</c:v>
                </c:pt>
                <c:pt idx="19">
                  <c:v>350</c:v>
                </c:pt>
              </c:numCache>
            </c:numRef>
          </c:xVal>
          <c:yVal>
            <c:numRef>
              <c:f>第7题!$M$3:$M$22</c:f>
              <c:numCache>
                <c:formatCode>0</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141000</c:v>
                </c:pt>
                <c:pt idx="19">
                  <c:v>153214.28571428571</c:v>
                </c:pt>
              </c:numCache>
            </c:numRef>
          </c:yVal>
          <c:smooth val="0"/>
          <c:extLst>
            <c:ext xmlns:c16="http://schemas.microsoft.com/office/drawing/2014/chart" uri="{C3380CC4-5D6E-409C-BE32-E72D297353CC}">
              <c16:uniqueId val="{00000004-04D5-44C9-99D8-A67F04060714}"/>
            </c:ext>
          </c:extLst>
        </c:ser>
        <c:ser>
          <c:idx val="5"/>
          <c:order val="5"/>
          <c:spPr>
            <a:ln w="19050" cap="rnd">
              <a:solidFill>
                <a:schemeClr val="bg2"/>
              </a:solidFill>
              <a:round/>
            </a:ln>
            <a:effectLst/>
          </c:spPr>
          <c:marker>
            <c:symbol val="none"/>
          </c:marker>
          <c:xVal>
            <c:numRef>
              <c:f>第7题!$H$3:$H$22</c:f>
              <c:numCache>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formatCode="0">
                  <c:v>199.99999</c:v>
                </c:pt>
                <c:pt idx="18">
                  <c:v>200</c:v>
                </c:pt>
                <c:pt idx="19">
                  <c:v>350</c:v>
                </c:pt>
              </c:numCache>
            </c:numRef>
          </c:xVal>
          <c:yVal>
            <c:numRef>
              <c:f>第7题!$N$3:$N$22</c:f>
              <c:numCache>
                <c:formatCode>0</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143500</c:v>
                </c:pt>
                <c:pt idx="19">
                  <c:v>155714.28571428571</c:v>
                </c:pt>
              </c:numCache>
            </c:numRef>
          </c:yVal>
          <c:smooth val="0"/>
          <c:extLst>
            <c:ext xmlns:c16="http://schemas.microsoft.com/office/drawing/2014/chart" uri="{C3380CC4-5D6E-409C-BE32-E72D297353CC}">
              <c16:uniqueId val="{00000005-04D5-44C9-99D8-A67F04060714}"/>
            </c:ext>
          </c:extLst>
        </c:ser>
        <c:ser>
          <c:idx val="6"/>
          <c:order val="6"/>
          <c:spPr>
            <a:ln w="19050" cap="rnd">
              <a:solidFill>
                <a:schemeClr val="bg2"/>
              </a:solidFill>
              <a:round/>
            </a:ln>
            <a:effectLst/>
          </c:spPr>
          <c:marker>
            <c:symbol val="none"/>
          </c:marker>
          <c:xVal>
            <c:numRef>
              <c:f>第7题!$H$3:$H$22</c:f>
              <c:numCache>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formatCode="0">
                  <c:v>199.99999</c:v>
                </c:pt>
                <c:pt idx="18">
                  <c:v>200</c:v>
                </c:pt>
                <c:pt idx="19">
                  <c:v>350</c:v>
                </c:pt>
              </c:numCache>
            </c:numRef>
          </c:xVal>
          <c:yVal>
            <c:numRef>
              <c:f>第7题!$O$3:$O$22</c:f>
              <c:numCache>
                <c:formatCode>0</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146000</c:v>
                </c:pt>
                <c:pt idx="19">
                  <c:v>158214.28571428571</c:v>
                </c:pt>
              </c:numCache>
            </c:numRef>
          </c:yVal>
          <c:smooth val="0"/>
          <c:extLst>
            <c:ext xmlns:c16="http://schemas.microsoft.com/office/drawing/2014/chart" uri="{C3380CC4-5D6E-409C-BE32-E72D297353CC}">
              <c16:uniqueId val="{00000006-04D5-44C9-99D8-A67F04060714}"/>
            </c:ext>
          </c:extLst>
        </c:ser>
        <c:ser>
          <c:idx val="7"/>
          <c:order val="7"/>
          <c:spPr>
            <a:ln w="34925" cap="rnd">
              <a:solidFill>
                <a:srgbClr val="FF0000"/>
              </a:solidFill>
              <a:round/>
            </a:ln>
            <a:effectLst/>
          </c:spPr>
          <c:marker>
            <c:symbol val="none"/>
          </c:marker>
          <c:xVal>
            <c:numRef>
              <c:f>第7题!$H$3:$H$22</c:f>
              <c:numCache>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formatCode="0">
                  <c:v>199.99999</c:v>
                </c:pt>
                <c:pt idx="18">
                  <c:v>200</c:v>
                </c:pt>
                <c:pt idx="19">
                  <c:v>350</c:v>
                </c:pt>
              </c:numCache>
            </c:numRef>
          </c:xVal>
          <c:yVal>
            <c:numRef>
              <c:f>第7题!$P$3:$P$22</c:f>
              <c:numCache>
                <c:formatCode>0</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133500</c:v>
                </c:pt>
                <c:pt idx="19">
                  <c:v>145714.28571428571</c:v>
                </c:pt>
              </c:numCache>
            </c:numRef>
          </c:yVal>
          <c:smooth val="0"/>
          <c:extLst>
            <c:ext xmlns:c16="http://schemas.microsoft.com/office/drawing/2014/chart" uri="{C3380CC4-5D6E-409C-BE32-E72D297353CC}">
              <c16:uniqueId val="{00000007-04D5-44C9-99D8-A67F04060714}"/>
            </c:ext>
          </c:extLst>
        </c:ser>
        <c:ser>
          <c:idx val="8"/>
          <c:order val="8"/>
          <c:tx>
            <c:strRef>
              <c:f>第7题!$M$25</c:f>
              <c:strCache>
                <c:ptCount val="1"/>
                <c:pt idx="0">
                  <c:v>200</c:v>
                </c:pt>
              </c:strCache>
            </c:strRef>
          </c:tx>
          <c:spPr>
            <a:ln w="19050" cap="rnd">
              <a:solidFill>
                <a:schemeClr val="accent3">
                  <a:lumMod val="60000"/>
                </a:schemeClr>
              </a:solidFill>
              <a:round/>
            </a:ln>
            <a:effectLst/>
          </c:spPr>
          <c:marker>
            <c:symbol val="circle"/>
            <c:size val="6"/>
            <c:spPr>
              <a:solidFill>
                <a:schemeClr val="bg1"/>
              </a:solidFill>
              <a:ln w="9525">
                <a:solidFill>
                  <a:schemeClr val="accent3">
                    <a:lumMod val="60000"/>
                  </a:schemeClr>
                </a:solidFill>
              </a:ln>
              <a:effectLst/>
            </c:spPr>
          </c:marker>
          <c:xVal>
            <c:numRef>
              <c:f>第7题!$M$25:$M$31</c:f>
              <c:numCache>
                <c:formatCode>General</c:formatCode>
                <c:ptCount val="7"/>
                <c:pt idx="0">
                  <c:v>200</c:v>
                </c:pt>
                <c:pt idx="1">
                  <c:v>200</c:v>
                </c:pt>
                <c:pt idx="2">
                  <c:v>200</c:v>
                </c:pt>
                <c:pt idx="3">
                  <c:v>200</c:v>
                </c:pt>
                <c:pt idx="4">
                  <c:v>200</c:v>
                </c:pt>
                <c:pt idx="5">
                  <c:v>200</c:v>
                </c:pt>
                <c:pt idx="6">
                  <c:v>200</c:v>
                </c:pt>
              </c:numCache>
            </c:numRef>
          </c:xVal>
          <c:yVal>
            <c:numRef>
              <c:f>第7题!$N$25:$N$31</c:f>
              <c:numCache>
                <c:formatCode>General</c:formatCode>
                <c:ptCount val="7"/>
                <c:pt idx="0">
                  <c:v>131000</c:v>
                </c:pt>
                <c:pt idx="1">
                  <c:v>133500</c:v>
                </c:pt>
                <c:pt idx="2">
                  <c:v>136000</c:v>
                </c:pt>
                <c:pt idx="3">
                  <c:v>138500</c:v>
                </c:pt>
                <c:pt idx="4">
                  <c:v>141000</c:v>
                </c:pt>
                <c:pt idx="5">
                  <c:v>143500</c:v>
                </c:pt>
                <c:pt idx="6">
                  <c:v>146000</c:v>
                </c:pt>
              </c:numCache>
            </c:numRef>
          </c:yVal>
          <c:smooth val="0"/>
          <c:extLst>
            <c:ext xmlns:c16="http://schemas.microsoft.com/office/drawing/2014/chart" uri="{C3380CC4-5D6E-409C-BE32-E72D297353CC}">
              <c16:uniqueId val="{00000009-04D5-44C9-99D8-A67F04060714}"/>
            </c:ext>
          </c:extLst>
        </c:ser>
        <c:ser>
          <c:idx val="9"/>
          <c:order val="9"/>
          <c:spPr>
            <a:ln w="19050" cap="rnd">
              <a:solidFill>
                <a:schemeClr val="accent4">
                  <a:lumMod val="60000"/>
                </a:schemeClr>
              </a:solidFill>
              <a:round/>
            </a:ln>
            <a:effectLst/>
          </c:spPr>
          <c:marker>
            <c:symbol val="square"/>
            <c:size val="9"/>
            <c:spPr>
              <a:solidFill>
                <a:schemeClr val="accent2"/>
              </a:solidFill>
              <a:ln w="9525">
                <a:solidFill>
                  <a:schemeClr val="accent4">
                    <a:lumMod val="60000"/>
                  </a:schemeClr>
                </a:solidFill>
              </a:ln>
              <a:effectLst/>
            </c:spPr>
          </c:marker>
          <c:xVal>
            <c:numRef>
              <c:f>第7题!$I$25</c:f>
              <c:numCache>
                <c:formatCode>0</c:formatCode>
                <c:ptCount val="1"/>
                <c:pt idx="0">
                  <c:v>200</c:v>
                </c:pt>
              </c:numCache>
            </c:numRef>
          </c:xVal>
          <c:yVal>
            <c:numRef>
              <c:f>第7题!$J$25</c:f>
              <c:numCache>
                <c:formatCode>0</c:formatCode>
                <c:ptCount val="1"/>
                <c:pt idx="0">
                  <c:v>133500</c:v>
                </c:pt>
              </c:numCache>
            </c:numRef>
          </c:yVal>
          <c:smooth val="0"/>
          <c:extLst>
            <c:ext xmlns:c16="http://schemas.microsoft.com/office/drawing/2014/chart" uri="{C3380CC4-5D6E-409C-BE32-E72D297353CC}">
              <c16:uniqueId val="{0000000A-04D5-44C9-99D8-A67F04060714}"/>
            </c:ext>
          </c:extLst>
        </c:ser>
        <c:dLbls>
          <c:showLegendKey val="0"/>
          <c:showVal val="0"/>
          <c:showCatName val="0"/>
          <c:showSerName val="0"/>
          <c:showPercent val="0"/>
          <c:showBubbleSize val="0"/>
        </c:dLbls>
        <c:axId val="1657538063"/>
        <c:axId val="1657531407"/>
      </c:scatterChart>
      <c:valAx>
        <c:axId val="1657538063"/>
        <c:scaling>
          <c:orientation val="minMax"/>
          <c:max val="330"/>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57531407"/>
        <c:crosses val="autoZero"/>
        <c:crossBetween val="midCat"/>
      </c:valAx>
      <c:valAx>
        <c:axId val="1657531407"/>
        <c:scaling>
          <c:orientation val="minMax"/>
          <c:max val="160000"/>
          <c:min val="12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575380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88648293963255"/>
          <c:y val="0.22685185185185186"/>
          <c:w val="0.80355796150481185"/>
          <c:h val="0.66574876057159527"/>
        </c:manualLayout>
      </c:layout>
      <c:scatterChart>
        <c:scatterStyle val="lineMarker"/>
        <c:varyColors val="0"/>
        <c:ser>
          <c:idx val="0"/>
          <c:order val="0"/>
          <c:spPr>
            <a:ln w="19050" cap="rnd">
              <a:solidFill>
                <a:schemeClr val="accent1"/>
              </a:solidFill>
              <a:round/>
            </a:ln>
            <a:effectLst/>
          </c:spPr>
          <c:marker>
            <c:symbol val="none"/>
          </c:marker>
          <c:xVal>
            <c:numRef>
              <c:f>第8题!$F$4:$F$23</c:f>
              <c:numCache>
                <c:formatCode>0</c:formatCode>
                <c:ptCount val="20"/>
                <c:pt idx="0">
                  <c:v>300</c:v>
                </c:pt>
                <c:pt idx="1">
                  <c:v>400</c:v>
                </c:pt>
                <c:pt idx="2">
                  <c:v>500</c:v>
                </c:pt>
                <c:pt idx="3">
                  <c:v>600</c:v>
                </c:pt>
                <c:pt idx="4">
                  <c:v>700</c:v>
                </c:pt>
                <c:pt idx="5">
                  <c:v>800</c:v>
                </c:pt>
                <c:pt idx="6">
                  <c:v>900</c:v>
                </c:pt>
                <c:pt idx="7">
                  <c:v>1499.999</c:v>
                </c:pt>
                <c:pt idx="8">
                  <c:v>1500</c:v>
                </c:pt>
                <c:pt idx="9">
                  <c:v>1999.99</c:v>
                </c:pt>
                <c:pt idx="10">
                  <c:v>2000</c:v>
                </c:pt>
                <c:pt idx="11">
                  <c:v>2499.9989999999998</c:v>
                </c:pt>
                <c:pt idx="12">
                  <c:v>2500</c:v>
                </c:pt>
                <c:pt idx="13">
                  <c:v>2999.9989999999998</c:v>
                </c:pt>
                <c:pt idx="14">
                  <c:v>3000</c:v>
                </c:pt>
                <c:pt idx="15">
                  <c:v>3499.9998999999998</c:v>
                </c:pt>
                <c:pt idx="16">
                  <c:v>3500</c:v>
                </c:pt>
                <c:pt idx="17">
                  <c:v>3999.9998999999998</c:v>
                </c:pt>
                <c:pt idx="18">
                  <c:v>4000</c:v>
                </c:pt>
                <c:pt idx="19">
                  <c:v>6000</c:v>
                </c:pt>
              </c:numCache>
            </c:numRef>
          </c:xVal>
          <c:yVal>
            <c:numRef>
              <c:f>第8题!$G$4:$G$23</c:f>
              <c:numCache>
                <c:formatCode>0.00</c:formatCode>
                <c:ptCount val="20"/>
                <c:pt idx="0">
                  <c:v>126333.33333333334</c:v>
                </c:pt>
                <c:pt idx="1">
                  <c:v>119000</c:v>
                </c:pt>
                <c:pt idx="2">
                  <c:v>115000</c:v>
                </c:pt>
                <c:pt idx="3">
                  <c:v>112666.66666666667</c:v>
                </c:pt>
                <c:pt idx="4">
                  <c:v>111285.71428571429</c:v>
                </c:pt>
                <c:pt idx="5">
                  <c:v>110500</c:v>
                </c:pt>
                <c:pt idx="6">
                  <c:v>110111.11111111111</c:v>
                </c:pt>
                <c:pt idx="7">
                  <c:v>111666.66111111408</c:v>
                </c:pt>
                <c:pt idx="8">
                  <c:v>107166.66666666666</c:v>
                </c:pt>
                <c:pt idx="9">
                  <c:v>110499.92500012499</c:v>
                </c:pt>
                <c:pt idx="10">
                  <c:v>106000</c:v>
                </c:pt>
                <c:pt idx="11">
                  <c:v>109999.99160000063</c:v>
                </c:pt>
                <c:pt idx="12">
                  <c:v>105500</c:v>
                </c:pt>
                <c:pt idx="13">
                  <c:v>109833.32444444482</c:v>
                </c:pt>
                <c:pt idx="14">
                  <c:v>105333.33333333334</c:v>
                </c:pt>
                <c:pt idx="15">
                  <c:v>109857.14193877552</c:v>
                </c:pt>
                <c:pt idx="16">
                  <c:v>105357.14285714286</c:v>
                </c:pt>
                <c:pt idx="17">
                  <c:v>109999.99906249999</c:v>
                </c:pt>
                <c:pt idx="18">
                  <c:v>105500</c:v>
                </c:pt>
                <c:pt idx="19">
                  <c:v>124666.66666666666</c:v>
                </c:pt>
              </c:numCache>
            </c:numRef>
          </c:yVal>
          <c:smooth val="0"/>
          <c:extLst>
            <c:ext xmlns:c16="http://schemas.microsoft.com/office/drawing/2014/chart" uri="{C3380CC4-5D6E-409C-BE32-E72D297353CC}">
              <c16:uniqueId val="{00000000-B751-499F-8F9B-7FABBBE2220C}"/>
            </c:ext>
          </c:extLst>
        </c:ser>
        <c:ser>
          <c:idx val="1"/>
          <c:order val="1"/>
          <c:spPr>
            <a:ln w="19050" cap="rnd">
              <a:solidFill>
                <a:schemeClr val="accent2"/>
              </a:solidFill>
              <a:round/>
            </a:ln>
            <a:effectLst/>
          </c:spPr>
          <c:marker>
            <c:symbol val="square"/>
            <c:size val="8"/>
            <c:spPr>
              <a:solidFill>
                <a:schemeClr val="accent2"/>
              </a:solidFill>
              <a:ln w="9525">
                <a:solidFill>
                  <a:schemeClr val="accent2"/>
                </a:solidFill>
              </a:ln>
              <a:effectLst/>
            </c:spPr>
          </c:marker>
          <c:xVal>
            <c:numRef>
              <c:f>第8题!$B$24</c:f>
              <c:numCache>
                <c:formatCode>General</c:formatCode>
                <c:ptCount val="1"/>
                <c:pt idx="0">
                  <c:v>3000</c:v>
                </c:pt>
              </c:numCache>
            </c:numRef>
          </c:xVal>
          <c:yVal>
            <c:numRef>
              <c:f>第8题!$C$24</c:f>
              <c:numCache>
                <c:formatCode>0.00</c:formatCode>
                <c:ptCount val="1"/>
                <c:pt idx="0">
                  <c:v>105333</c:v>
                </c:pt>
              </c:numCache>
            </c:numRef>
          </c:yVal>
          <c:smooth val="0"/>
          <c:extLst>
            <c:ext xmlns:c16="http://schemas.microsoft.com/office/drawing/2014/chart" uri="{C3380CC4-5D6E-409C-BE32-E72D297353CC}">
              <c16:uniqueId val="{00000002-B751-499F-8F9B-7FABBBE2220C}"/>
            </c:ext>
          </c:extLst>
        </c:ser>
        <c:ser>
          <c:idx val="2"/>
          <c:order val="2"/>
          <c:spPr>
            <a:ln w="19050" cap="rnd">
              <a:solidFill>
                <a:srgbClr val="C00000"/>
              </a:solidFill>
              <a:round/>
            </a:ln>
            <a:effectLst/>
          </c:spPr>
          <c:marker>
            <c:symbol val="none"/>
          </c:marker>
          <c:xVal>
            <c:numRef>
              <c:f>第8题!$M$4:$M$5</c:f>
              <c:numCache>
                <c:formatCode>0</c:formatCode>
                <c:ptCount val="2"/>
                <c:pt idx="0">
                  <c:v>3400</c:v>
                </c:pt>
                <c:pt idx="1">
                  <c:v>3400</c:v>
                </c:pt>
              </c:numCache>
            </c:numRef>
          </c:xVal>
          <c:yVal>
            <c:numRef>
              <c:f>第8题!$N$4:$N$5</c:f>
              <c:numCache>
                <c:formatCode>0</c:formatCode>
                <c:ptCount val="2"/>
                <c:pt idx="0">
                  <c:v>100000</c:v>
                </c:pt>
                <c:pt idx="1">
                  <c:v>140000</c:v>
                </c:pt>
              </c:numCache>
            </c:numRef>
          </c:yVal>
          <c:smooth val="0"/>
          <c:extLst>
            <c:ext xmlns:c16="http://schemas.microsoft.com/office/drawing/2014/chart" uri="{C3380CC4-5D6E-409C-BE32-E72D297353CC}">
              <c16:uniqueId val="{00000003-B751-499F-8F9B-7FABBBE2220C}"/>
            </c:ext>
          </c:extLst>
        </c:ser>
        <c:ser>
          <c:idx val="3"/>
          <c:order val="3"/>
          <c:spPr>
            <a:ln w="19050" cap="rnd">
              <a:solidFill>
                <a:srgbClr val="C00000"/>
              </a:solidFill>
              <a:round/>
            </a:ln>
            <a:effectLst/>
          </c:spPr>
          <c:marker>
            <c:symbol val="none"/>
          </c:marker>
          <c:xVal>
            <c:numRef>
              <c:f>第8题!$M$8:$M$9</c:f>
              <c:numCache>
                <c:formatCode>0.00</c:formatCode>
                <c:ptCount val="2"/>
                <c:pt idx="0">
                  <c:v>0</c:v>
                </c:pt>
                <c:pt idx="1">
                  <c:v>6000</c:v>
                </c:pt>
              </c:numCache>
            </c:numRef>
          </c:xVal>
          <c:yVal>
            <c:numRef>
              <c:f>第8题!$N$8:$N$9</c:f>
              <c:numCache>
                <c:formatCode>0.00</c:formatCode>
                <c:ptCount val="2"/>
                <c:pt idx="0">
                  <c:v>108941.17647058824</c:v>
                </c:pt>
                <c:pt idx="1">
                  <c:v>108941.17647058824</c:v>
                </c:pt>
              </c:numCache>
            </c:numRef>
          </c:yVal>
          <c:smooth val="0"/>
          <c:extLst>
            <c:ext xmlns:c16="http://schemas.microsoft.com/office/drawing/2014/chart" uri="{C3380CC4-5D6E-409C-BE32-E72D297353CC}">
              <c16:uniqueId val="{00000004-B751-499F-8F9B-7FABBBE2220C}"/>
            </c:ext>
          </c:extLst>
        </c:ser>
        <c:ser>
          <c:idx val="4"/>
          <c:order val="4"/>
          <c:spPr>
            <a:ln w="19050" cap="rnd">
              <a:solidFill>
                <a:schemeClr val="accent5"/>
              </a:solidFill>
              <a:round/>
            </a:ln>
            <a:effectLst/>
          </c:spPr>
          <c:marker>
            <c:symbol val="diamond"/>
            <c:size val="8"/>
            <c:spPr>
              <a:solidFill>
                <a:schemeClr val="bg1"/>
              </a:solidFill>
              <a:ln w="9525">
                <a:solidFill>
                  <a:schemeClr val="accent5"/>
                </a:solidFill>
              </a:ln>
              <a:effectLst/>
            </c:spPr>
          </c:marker>
          <c:xVal>
            <c:numRef>
              <c:f>第8题!$M$11</c:f>
              <c:numCache>
                <c:formatCode>0.00</c:formatCode>
                <c:ptCount val="1"/>
                <c:pt idx="0">
                  <c:v>3400</c:v>
                </c:pt>
              </c:numCache>
            </c:numRef>
          </c:xVal>
          <c:yVal>
            <c:numRef>
              <c:f>第8题!$N$11</c:f>
              <c:numCache>
                <c:formatCode>0.00</c:formatCode>
                <c:ptCount val="1"/>
                <c:pt idx="0">
                  <c:v>108941.17647058824</c:v>
                </c:pt>
              </c:numCache>
            </c:numRef>
          </c:yVal>
          <c:smooth val="0"/>
          <c:extLst>
            <c:ext xmlns:c16="http://schemas.microsoft.com/office/drawing/2014/chart" uri="{C3380CC4-5D6E-409C-BE32-E72D297353CC}">
              <c16:uniqueId val="{00000005-B751-499F-8F9B-7FABBBE2220C}"/>
            </c:ext>
          </c:extLst>
        </c:ser>
        <c:dLbls>
          <c:showLegendKey val="0"/>
          <c:showVal val="0"/>
          <c:showCatName val="0"/>
          <c:showSerName val="0"/>
          <c:showPercent val="0"/>
          <c:showBubbleSize val="0"/>
        </c:dLbls>
        <c:axId val="2121936015"/>
        <c:axId val="2121936847"/>
      </c:scatterChart>
      <c:valAx>
        <c:axId val="2121936015"/>
        <c:scaling>
          <c:orientation val="minMax"/>
          <c:max val="60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121936847"/>
        <c:crosses val="autoZero"/>
        <c:crossBetween val="midCat"/>
      </c:valAx>
      <c:valAx>
        <c:axId val="2121936847"/>
        <c:scaling>
          <c:orientation val="minMax"/>
          <c:max val="140000"/>
          <c:min val="1000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1219360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固定需求下</a:t>
            </a:r>
            <a:r>
              <a:rPr lang="en-US" altLang="zh-CN"/>
              <a:t>100</a:t>
            </a:r>
            <a:r>
              <a:rPr lang="zh-CN" altLang="en-US"/>
              <a:t>天内库存量变化的状况</a:t>
            </a:r>
            <a:endParaRPr lang="en-US" altLang="zh-CN"/>
          </a:p>
          <a:p>
            <a:pPr>
              <a:defRPr/>
            </a:pP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5.3940107947241488E-2"/>
          <c:y val="0.23748559628466301"/>
          <c:w val="0.87795528215733054"/>
          <c:h val="0.70005120143151989"/>
        </c:manualLayout>
      </c:layout>
      <c:barChart>
        <c:barDir val="col"/>
        <c:grouping val="clustered"/>
        <c:varyColors val="0"/>
        <c:ser>
          <c:idx val="1"/>
          <c:order val="0"/>
          <c:spPr>
            <a:solidFill>
              <a:schemeClr val="bg1"/>
            </a:solidFill>
            <a:ln>
              <a:solidFill>
                <a:schemeClr val="tx1"/>
              </a:solidFill>
            </a:ln>
            <a:effectLst/>
          </c:spPr>
          <c:invertIfNegative val="0"/>
          <c:val>
            <c:numRef>
              <c:f>第9题!$G$3:$G$103</c:f>
              <c:numCache>
                <c:formatCode>0.0</c:formatCode>
                <c:ptCount val="101"/>
                <c:pt idx="0">
                  <c:v>547.94520547945206</c:v>
                </c:pt>
                <c:pt idx="1">
                  <c:v>520.54794520547944</c:v>
                </c:pt>
                <c:pt idx="2">
                  <c:v>493.15068493150687</c:v>
                </c:pt>
                <c:pt idx="3">
                  <c:v>465.75342465753425</c:v>
                </c:pt>
                <c:pt idx="4">
                  <c:v>438.35616438356163</c:v>
                </c:pt>
                <c:pt idx="5">
                  <c:v>410.95890410958907</c:v>
                </c:pt>
                <c:pt idx="6">
                  <c:v>383.56164383561645</c:v>
                </c:pt>
                <c:pt idx="7">
                  <c:v>356.16438356164383</c:v>
                </c:pt>
                <c:pt idx="8">
                  <c:v>328.76712328767121</c:v>
                </c:pt>
                <c:pt idx="9">
                  <c:v>301.36986301369865</c:v>
                </c:pt>
                <c:pt idx="10">
                  <c:v>273.97260273972603</c:v>
                </c:pt>
                <c:pt idx="11">
                  <c:v>246.57534246575341</c:v>
                </c:pt>
                <c:pt idx="12">
                  <c:v>219.17808219178085</c:v>
                </c:pt>
                <c:pt idx="13">
                  <c:v>191.78082191780823</c:v>
                </c:pt>
                <c:pt idx="14">
                  <c:v>164.38356164383561</c:v>
                </c:pt>
                <c:pt idx="15">
                  <c:v>136.98630136986304</c:v>
                </c:pt>
                <c:pt idx="16">
                  <c:v>109.58904109589042</c:v>
                </c:pt>
                <c:pt idx="17">
                  <c:v>82.191780821917803</c:v>
                </c:pt>
                <c:pt idx="18">
                  <c:v>54.79452054794524</c:v>
                </c:pt>
                <c:pt idx="19">
                  <c:v>27.39726027397262</c:v>
                </c:pt>
                <c:pt idx="20">
                  <c:v>547.94520547945206</c:v>
                </c:pt>
                <c:pt idx="21">
                  <c:v>520.54794520547944</c:v>
                </c:pt>
                <c:pt idx="22">
                  <c:v>493.15068493150687</c:v>
                </c:pt>
                <c:pt idx="23">
                  <c:v>465.75342465753425</c:v>
                </c:pt>
                <c:pt idx="24">
                  <c:v>438.35616438356163</c:v>
                </c:pt>
                <c:pt idx="25">
                  <c:v>410.95890410958907</c:v>
                </c:pt>
                <c:pt idx="26">
                  <c:v>383.56164383561645</c:v>
                </c:pt>
                <c:pt idx="27">
                  <c:v>356.16438356164383</c:v>
                </c:pt>
                <c:pt idx="28">
                  <c:v>328.76712328767121</c:v>
                </c:pt>
                <c:pt idx="29">
                  <c:v>301.36986301369865</c:v>
                </c:pt>
                <c:pt idx="30">
                  <c:v>273.97260273972603</c:v>
                </c:pt>
                <c:pt idx="31">
                  <c:v>246.57534246575341</c:v>
                </c:pt>
                <c:pt idx="32">
                  <c:v>219.17808219178085</c:v>
                </c:pt>
                <c:pt idx="33">
                  <c:v>191.78082191780823</c:v>
                </c:pt>
                <c:pt idx="34">
                  <c:v>164.38356164383561</c:v>
                </c:pt>
                <c:pt idx="35">
                  <c:v>136.98630136986304</c:v>
                </c:pt>
                <c:pt idx="36">
                  <c:v>109.58904109589042</c:v>
                </c:pt>
                <c:pt idx="37">
                  <c:v>82.191780821917803</c:v>
                </c:pt>
                <c:pt idx="38">
                  <c:v>54.79452054794524</c:v>
                </c:pt>
                <c:pt idx="39">
                  <c:v>27.39726027397262</c:v>
                </c:pt>
                <c:pt idx="40">
                  <c:v>547.94520547945206</c:v>
                </c:pt>
                <c:pt idx="41">
                  <c:v>520.54794520547944</c:v>
                </c:pt>
                <c:pt idx="42">
                  <c:v>493.15068493150687</c:v>
                </c:pt>
                <c:pt idx="43">
                  <c:v>465.75342465753425</c:v>
                </c:pt>
                <c:pt idx="44">
                  <c:v>438.35616438356163</c:v>
                </c:pt>
                <c:pt idx="45">
                  <c:v>410.95890410958907</c:v>
                </c:pt>
                <c:pt idx="46">
                  <c:v>383.56164383561645</c:v>
                </c:pt>
                <c:pt idx="47">
                  <c:v>356.16438356164383</c:v>
                </c:pt>
                <c:pt idx="48">
                  <c:v>328.76712328767121</c:v>
                </c:pt>
                <c:pt idx="49">
                  <c:v>301.36986301369865</c:v>
                </c:pt>
                <c:pt idx="50">
                  <c:v>273.97260273972603</c:v>
                </c:pt>
                <c:pt idx="51">
                  <c:v>246.57534246575341</c:v>
                </c:pt>
                <c:pt idx="52">
                  <c:v>219.17808219178085</c:v>
                </c:pt>
                <c:pt idx="53">
                  <c:v>191.78082191780823</c:v>
                </c:pt>
                <c:pt idx="54">
                  <c:v>164.38356164383561</c:v>
                </c:pt>
                <c:pt idx="55">
                  <c:v>136.98630136986304</c:v>
                </c:pt>
                <c:pt idx="56">
                  <c:v>109.58904109589042</c:v>
                </c:pt>
                <c:pt idx="57">
                  <c:v>82.191780821917803</c:v>
                </c:pt>
                <c:pt idx="58">
                  <c:v>54.79452054794524</c:v>
                </c:pt>
                <c:pt idx="59">
                  <c:v>27.39726027397262</c:v>
                </c:pt>
                <c:pt idx="60">
                  <c:v>547.94520547945206</c:v>
                </c:pt>
                <c:pt idx="61">
                  <c:v>520.54794520547944</c:v>
                </c:pt>
                <c:pt idx="62">
                  <c:v>493.15068493150687</c:v>
                </c:pt>
                <c:pt idx="63">
                  <c:v>465.75342465753425</c:v>
                </c:pt>
                <c:pt idx="64">
                  <c:v>438.35616438356163</c:v>
                </c:pt>
                <c:pt idx="65">
                  <c:v>410.95890410958907</c:v>
                </c:pt>
                <c:pt idx="66">
                  <c:v>383.56164383561645</c:v>
                </c:pt>
                <c:pt idx="67">
                  <c:v>356.16438356164383</c:v>
                </c:pt>
                <c:pt idx="68">
                  <c:v>328.76712328767121</c:v>
                </c:pt>
                <c:pt idx="69">
                  <c:v>301.36986301369865</c:v>
                </c:pt>
                <c:pt idx="70">
                  <c:v>273.97260273972603</c:v>
                </c:pt>
                <c:pt idx="71">
                  <c:v>246.57534246575341</c:v>
                </c:pt>
                <c:pt idx="72">
                  <c:v>219.17808219178085</c:v>
                </c:pt>
                <c:pt idx="73">
                  <c:v>191.78082191780823</c:v>
                </c:pt>
                <c:pt idx="74">
                  <c:v>164.38356164383561</c:v>
                </c:pt>
                <c:pt idx="75">
                  <c:v>136.98630136986304</c:v>
                </c:pt>
                <c:pt idx="76">
                  <c:v>109.58904109589042</c:v>
                </c:pt>
                <c:pt idx="77">
                  <c:v>82.191780821917803</c:v>
                </c:pt>
                <c:pt idx="78">
                  <c:v>54.79452054794524</c:v>
                </c:pt>
                <c:pt idx="79">
                  <c:v>27.39726027397262</c:v>
                </c:pt>
                <c:pt idx="80">
                  <c:v>547.94520547945206</c:v>
                </c:pt>
                <c:pt idx="81">
                  <c:v>520.54794520547944</c:v>
                </c:pt>
                <c:pt idx="82">
                  <c:v>493.15068493150687</c:v>
                </c:pt>
                <c:pt idx="83">
                  <c:v>465.75342465753425</c:v>
                </c:pt>
                <c:pt idx="84">
                  <c:v>438.35616438356163</c:v>
                </c:pt>
                <c:pt idx="85">
                  <c:v>410.95890410958907</c:v>
                </c:pt>
                <c:pt idx="86">
                  <c:v>383.56164383561645</c:v>
                </c:pt>
                <c:pt idx="87">
                  <c:v>356.16438356164383</c:v>
                </c:pt>
                <c:pt idx="88">
                  <c:v>328.76712328767121</c:v>
                </c:pt>
                <c:pt idx="89">
                  <c:v>301.36986301369865</c:v>
                </c:pt>
                <c:pt idx="90">
                  <c:v>273.97260273972603</c:v>
                </c:pt>
                <c:pt idx="91">
                  <c:v>246.57534246575341</c:v>
                </c:pt>
                <c:pt idx="92">
                  <c:v>219.17808219178085</c:v>
                </c:pt>
                <c:pt idx="93">
                  <c:v>191.78082191780823</c:v>
                </c:pt>
                <c:pt idx="94">
                  <c:v>164.38356164383561</c:v>
                </c:pt>
                <c:pt idx="95">
                  <c:v>136.98630136986304</c:v>
                </c:pt>
                <c:pt idx="96">
                  <c:v>109.58904109589042</c:v>
                </c:pt>
                <c:pt idx="97">
                  <c:v>82.191780821917803</c:v>
                </c:pt>
                <c:pt idx="98">
                  <c:v>54.79452054794524</c:v>
                </c:pt>
                <c:pt idx="99">
                  <c:v>27.39726027397262</c:v>
                </c:pt>
                <c:pt idx="100">
                  <c:v>547.94520547945206</c:v>
                </c:pt>
              </c:numCache>
            </c:numRef>
          </c:val>
          <c:extLst>
            <c:ext xmlns:c16="http://schemas.microsoft.com/office/drawing/2014/chart" uri="{C3380CC4-5D6E-409C-BE32-E72D297353CC}">
              <c16:uniqueId val="{00000001-6792-4C3C-A3E7-20525AC83B70}"/>
            </c:ext>
          </c:extLst>
        </c:ser>
        <c:ser>
          <c:idx val="2"/>
          <c:order val="1"/>
          <c:spPr>
            <a:solidFill>
              <a:srgbClr val="FF0000"/>
            </a:solidFill>
            <a:ln>
              <a:noFill/>
            </a:ln>
            <a:effectLst/>
          </c:spPr>
          <c:invertIfNegative val="0"/>
          <c:val>
            <c:numRef>
              <c:f>第9题!$H$3:$H$103</c:f>
              <c:numCache>
                <c:formatCode>0.0</c:formatCode>
                <c:ptCount val="101"/>
                <c:pt idx="0">
                  <c:v>0</c:v>
                </c:pt>
                <c:pt idx="1">
                  <c:v>520.54794520547944</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val>
          <c:extLst>
            <c:ext xmlns:c16="http://schemas.microsoft.com/office/drawing/2014/chart" uri="{C3380CC4-5D6E-409C-BE32-E72D297353CC}">
              <c16:uniqueId val="{00000002-6792-4C3C-A3E7-20525AC83B70}"/>
            </c:ext>
          </c:extLst>
        </c:ser>
        <c:dLbls>
          <c:showLegendKey val="0"/>
          <c:showVal val="0"/>
          <c:showCatName val="0"/>
          <c:showSerName val="0"/>
          <c:showPercent val="0"/>
          <c:showBubbleSize val="0"/>
        </c:dLbls>
        <c:gapWidth val="25"/>
        <c:overlap val="100"/>
        <c:axId val="1676102879"/>
        <c:axId val="1676095807"/>
      </c:barChart>
      <c:catAx>
        <c:axId val="16761028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76095807"/>
        <c:crosses val="autoZero"/>
        <c:auto val="1"/>
        <c:lblAlgn val="ctr"/>
        <c:lblOffset val="100"/>
        <c:noMultiLvlLbl val="0"/>
      </c:catAx>
      <c:valAx>
        <c:axId val="16760958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7610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31" fmlaLink="$F$5" horiz="1" max="40" min="24" page="10" val="36"/>
</file>

<file path=xl/ctrlProps/ctrlProp2.xml><?xml version="1.0" encoding="utf-8"?>
<formControlPr xmlns="http://schemas.microsoft.com/office/spreadsheetml/2009/9/main" objectType="Scroll" dx="31" fmlaLink="$F$7" horiz="1" inc="10" max="350" min="50" page="10" val="294"/>
</file>

<file path=xl/ctrlProps/ctrlProp3.xml><?xml version="1.0" encoding="utf-8"?>
<formControlPr xmlns="http://schemas.microsoft.com/office/spreadsheetml/2009/9/main" objectType="Spin" dx="31" fmlaLink="$D$6" inc="50" max="2000" min="100" page="10" val="1200"/>
</file>

<file path=xl/ctrlProps/ctrlProp4.xml><?xml version="1.0" encoding="utf-8"?>
<formControlPr xmlns="http://schemas.microsoft.com/office/spreadsheetml/2009/9/main" objectType="Spin" dx="31" fmlaLink="$C$10" inc="100" max="2500" min="500" page="10" val="1900"/>
</file>

<file path=xl/ctrlProps/ctrlProp5.xml><?xml version="1.0" encoding="utf-8"?>
<formControlPr xmlns="http://schemas.microsoft.com/office/spreadsheetml/2009/9/main" objectType="Spin" dx="31" fmlaLink="$E$5" max="35" min="28" page="10" val="32"/>
</file>

<file path=xl/ctrlProps/ctrlProp6.xml><?xml version="1.0" encoding="utf-8"?>
<formControlPr xmlns="http://schemas.microsoft.com/office/spreadsheetml/2009/9/main" objectType="Spin" dx="31" fmlaLink="$D$5" max="100" min="75" page="10" val="100"/>
</file>

<file path=xl/ctrlProps/ctrlProp7.xml><?xml version="1.0" encoding="utf-8"?>
<formControlPr xmlns="http://schemas.microsoft.com/office/spreadsheetml/2009/9/main" objectType="Spin" dx="31" fmlaLink="$D$3" max="2500" min="500" page="10" val="2100"/>
</file>

<file path=xl/ctrlProps/ctrlProp8.xml><?xml version="1.0" encoding="utf-8"?>
<formControlPr xmlns="http://schemas.microsoft.com/office/spreadsheetml/2009/9/main" objectType="Spin" dx="31" fmlaLink="$F$3" inc="200" max="9000" min="7000" page="10" val="9000"/>
</file>

<file path=xl/ctrlProps/ctrlProp9.xml><?xml version="1.0" encoding="utf-8"?>
<formControlPr xmlns="http://schemas.microsoft.com/office/spreadsheetml/2009/9/main" objectType="Spin" dx="31" fmlaLink="$F$7" inc="10" max="500" min="200" page="10" val="300"/>
</file>

<file path=xl/ctrlProps/ctrlProp10.xml><?xml version="1.0" encoding="utf-8"?>
<formControlPr xmlns="http://schemas.microsoft.com/office/spreadsheetml/2009/9/main" objectType="Spin" dx="31" fmlaLink="$K$2" inc="1000" max="10000" min="5000" page="10" val="5000"/>
</file>

<file path=xl/ctrlProps/ctrlProp11.xml><?xml version="1.0" encoding="utf-8"?>
<formControlPr xmlns="http://schemas.microsoft.com/office/spreadsheetml/2009/9/main" objectType="Spin" dx="31" fmlaLink="$H$1" inc="5" max="250" min="220" page="10" val="225"/>
</file>

<file path=xl/ctrlProps/ctrlProp12.xml><?xml version="1.0" encoding="utf-8"?>
<formControlPr xmlns="http://schemas.microsoft.com/office/spreadsheetml/2009/9/main" objectType="Spin" dx="31" fmlaLink="$C$6" max="40" min="20" page="10" val="20"/>
</file>

<file path=xl/ctrlProps/ctrlProp13.xml><?xml version="1.0" encoding="utf-8"?>
<formControlPr xmlns="http://schemas.microsoft.com/office/spreadsheetml/2009/9/main" objectType="Spin" dx="31" fmlaLink="$C$9" inc="100" max="5500" min="300" page="10" val="3400"/>
</file>

<file path=xl/ctrlProps/ctrlProp14.xml><?xml version="1.0" encoding="utf-8"?>
<formControlPr xmlns="http://schemas.microsoft.com/office/spreadsheetml/2009/9/main" objectType="Spin" dx="31" fmlaLink="$C$7" max="100" min="1" page="10"/>
</file>

<file path=xl/ctrlProps/ctrlProp15.xml><?xml version="1.0" encoding="utf-8"?>
<formControlPr xmlns="http://schemas.microsoft.com/office/spreadsheetml/2009/9/main" objectType="Spin" dx="31" fmlaLink="$C$5" max="50" min="10" page="10" val="20"/>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7.tmp"/></Relationships>
</file>

<file path=xl/drawings/_rels/drawing9.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8.tmp"/></Relationships>
</file>

<file path=xl/drawings/drawing1.xml><?xml version="1.0" encoding="utf-8"?>
<xdr:wsDr xmlns:xdr="http://schemas.openxmlformats.org/drawingml/2006/spreadsheetDrawing" xmlns:a="http://schemas.openxmlformats.org/drawingml/2006/main">
  <xdr:twoCellAnchor>
    <xdr:from>
      <xdr:col>12</xdr:col>
      <xdr:colOff>99060</xdr:colOff>
      <xdr:row>2</xdr:row>
      <xdr:rowOff>7620</xdr:rowOff>
    </xdr:from>
    <xdr:to>
      <xdr:col>23</xdr:col>
      <xdr:colOff>146685</xdr:colOff>
      <xdr:row>25</xdr:row>
      <xdr:rowOff>180975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7414260" y="373380"/>
          <a:ext cx="6753225" cy="442531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zh-CN" altLang="en-US" sz="1000" b="0" i="0" u="none" strike="noStrike" baseline="0">
              <a:solidFill>
                <a:srgbClr val="000000"/>
              </a:solidFill>
              <a:latin typeface="宋体"/>
              <a:ea typeface="宋体"/>
              <a:cs typeface="Arial"/>
            </a:rPr>
            <a:t>已知某公司生产一种产品的固定成本为</a:t>
          </a:r>
          <a:r>
            <a:rPr lang="zh-CN" altLang="en-US" sz="1000" b="0" i="0" u="none" strike="noStrike" baseline="0">
              <a:solidFill>
                <a:srgbClr val="000000"/>
              </a:solidFill>
              <a:latin typeface="Arial"/>
              <a:ea typeface="宋体"/>
              <a:cs typeface="Arial"/>
            </a:rPr>
            <a:t>2700</a:t>
          </a:r>
          <a:r>
            <a:rPr lang="zh-CN" altLang="en-US" sz="1000" b="0" i="0" u="none" strike="noStrike" baseline="0">
              <a:solidFill>
                <a:srgbClr val="000000"/>
              </a:solidFill>
              <a:latin typeface="宋体"/>
              <a:ea typeface="宋体"/>
              <a:cs typeface="Arial"/>
            </a:rPr>
            <a:t>元，单位变动成本为</a:t>
          </a:r>
          <a:r>
            <a:rPr lang="zh-CN" altLang="en-US" sz="1000" b="0" i="0" u="none" strike="noStrike" baseline="0">
              <a:solidFill>
                <a:srgbClr val="000000"/>
              </a:solidFill>
              <a:latin typeface="Arial"/>
              <a:ea typeface="宋体"/>
              <a:cs typeface="Arial"/>
            </a:rPr>
            <a:t>0.15</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件，单价为</a:t>
          </a:r>
          <a:r>
            <a:rPr lang="zh-CN" altLang="en-US" sz="1000" b="0" i="0" u="none" strike="noStrike" baseline="0">
              <a:solidFill>
                <a:srgbClr val="000000"/>
              </a:solidFill>
              <a:latin typeface="Arial"/>
              <a:ea typeface="宋体"/>
              <a:cs typeface="Arial"/>
            </a:rPr>
            <a:t>0.30</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件，公司管理人员要确定该产品的盈亏平衡销量，并要求绘制出表示该产品销量在盈亏平衡点附近一个范围内变化时产品边际贡献、固定成本和利润的变化图形。销量控件从</a:t>
          </a:r>
          <a:r>
            <a:rPr lang="zh-CN" altLang="en-US" sz="1000" b="0" i="0" u="none" strike="noStrike" baseline="0">
              <a:solidFill>
                <a:srgbClr val="000000"/>
              </a:solidFill>
              <a:latin typeface="Arial"/>
              <a:ea typeface="宋体"/>
              <a:cs typeface="Arial"/>
            </a:rPr>
            <a:t>5000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1000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35000</a:t>
          </a:r>
          <a:r>
            <a:rPr lang="zh-CN" altLang="en-US" sz="1000" b="0" i="0" u="none" strike="noStrike" baseline="0">
              <a:solidFill>
                <a:srgbClr val="000000"/>
              </a:solidFill>
              <a:latin typeface="宋体"/>
              <a:ea typeface="宋体"/>
              <a:cs typeface="Arial"/>
            </a:rPr>
            <a:t>；单价控件从</a:t>
          </a:r>
          <a:r>
            <a:rPr lang="zh-CN" altLang="en-US" sz="1000" b="0" i="0" u="none" strike="noStrike" baseline="0">
              <a:solidFill>
                <a:srgbClr val="000000"/>
              </a:solidFill>
              <a:latin typeface="Arial"/>
              <a:ea typeface="宋体"/>
              <a:cs typeface="Arial"/>
            </a:rPr>
            <a:t>0.24</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0.</a:t>
          </a:r>
          <a:r>
            <a:rPr lang="en-US" altLang="zh-CN" sz="1000" b="0" i="0" u="none" strike="noStrike" baseline="0">
              <a:solidFill>
                <a:srgbClr val="000000"/>
              </a:solidFill>
              <a:latin typeface="Arial"/>
              <a:ea typeface="宋体"/>
              <a:cs typeface="Arial"/>
            </a:rPr>
            <a:t>0</a:t>
          </a:r>
          <a:r>
            <a:rPr lang="zh-CN" altLang="en-US" sz="1000" b="0" i="0" u="none" strike="noStrike" baseline="0">
              <a:solidFill>
                <a:srgbClr val="000000"/>
              </a:solidFill>
              <a:latin typeface="Arial"/>
              <a:ea typeface="宋体"/>
              <a:cs typeface="Arial"/>
            </a:rPr>
            <a:t>1</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0.</a:t>
          </a:r>
          <a:r>
            <a:rPr lang="en-US" altLang="zh-CN" sz="1000" b="0" i="0" u="none" strike="noStrike" baseline="0">
              <a:solidFill>
                <a:srgbClr val="000000"/>
              </a:solidFill>
              <a:latin typeface="Arial"/>
              <a:ea typeface="宋体"/>
              <a:cs typeface="Arial"/>
            </a:rPr>
            <a:t>0</a:t>
          </a:r>
          <a:r>
            <a:rPr lang="zh-CN" altLang="en-US" sz="1000" b="0" i="0" u="none" strike="noStrike" baseline="0">
              <a:solidFill>
                <a:srgbClr val="000000"/>
              </a:solidFill>
              <a:latin typeface="Arial"/>
              <a:ea typeface="宋体"/>
              <a:cs typeface="Arial"/>
            </a:rPr>
            <a:t>4</a:t>
          </a:r>
          <a:r>
            <a:rPr lang="zh-CN" altLang="en-US" sz="1000" b="0" i="0" u="none" strike="noStrike" baseline="0">
              <a:solidFill>
                <a:srgbClr val="000000"/>
              </a:solidFill>
              <a:latin typeface="宋体"/>
              <a:ea typeface="宋体"/>
              <a:cs typeface="Arial"/>
            </a:rPr>
            <a:t>，绘制如下图所示的可调图形。</a:t>
          </a:r>
          <a:endParaRPr lang="zh-CN" altLang="en-US"/>
        </a:p>
      </xdr:txBody>
    </xdr:sp>
    <xdr:clientData/>
  </xdr:twoCellAnchor>
  <xdr:twoCellAnchor>
    <xdr:from>
      <xdr:col>13</xdr:col>
      <xdr:colOff>0</xdr:colOff>
      <xdr:row>7</xdr:row>
      <xdr:rowOff>15240</xdr:rowOff>
    </xdr:from>
    <xdr:to>
      <xdr:col>23</xdr:col>
      <xdr:colOff>144670</xdr:colOff>
      <xdr:row>26</xdr:row>
      <xdr:rowOff>60333</xdr:rowOff>
    </xdr:to>
    <xdr:pic>
      <xdr:nvPicPr>
        <xdr:cNvPr id="4" name="图片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4800" y="1310640"/>
          <a:ext cx="6240670" cy="3550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1255059</xdr:colOff>
      <xdr:row>15</xdr:row>
      <xdr:rowOff>171823</xdr:rowOff>
    </xdr:from>
    <xdr:to>
      <xdr:col>11</xdr:col>
      <xdr:colOff>246528</xdr:colOff>
      <xdr:row>34</xdr:row>
      <xdr:rowOff>49306</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387350</xdr:colOff>
          <xdr:row>17</xdr:row>
          <xdr:rowOff>50800</xdr:rowOff>
        </xdr:from>
        <xdr:to>
          <xdr:col>9</xdr:col>
          <xdr:colOff>584200</xdr:colOff>
          <xdr:row>18</xdr:row>
          <xdr:rowOff>76200</xdr:rowOff>
        </xdr:to>
        <xdr:sp macro="" textlink="">
          <xdr:nvSpPr>
            <xdr:cNvPr id="1027" name="Scroll Bar 3" descr="单价"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17</xdr:row>
          <xdr:rowOff>165100</xdr:rowOff>
        </xdr:from>
        <xdr:to>
          <xdr:col>5</xdr:col>
          <xdr:colOff>190500</xdr:colOff>
          <xdr:row>18</xdr:row>
          <xdr:rowOff>152400</xdr:rowOff>
        </xdr:to>
        <xdr:sp macro="" textlink="">
          <xdr:nvSpPr>
            <xdr:cNvPr id="1030" name="Scroll Bar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xdr:col>
      <xdr:colOff>283883</xdr:colOff>
      <xdr:row>16</xdr:row>
      <xdr:rowOff>97116</xdr:rowOff>
    </xdr:from>
    <xdr:to>
      <xdr:col>5</xdr:col>
      <xdr:colOff>366060</xdr:colOff>
      <xdr:row>17</xdr:row>
      <xdr:rowOff>156880</xdr:rowOff>
    </xdr:to>
    <xdr:sp macro="" textlink="$D$37">
      <xdr:nvSpPr>
        <xdr:cNvPr id="5" name="文本框 4">
          <a:extLst>
            <a:ext uri="{FF2B5EF4-FFF2-40B4-BE49-F238E27FC236}">
              <a16:creationId xmlns:a16="http://schemas.microsoft.com/office/drawing/2014/main" id="{00000000-0008-0000-0000-000005000000}"/>
            </a:ext>
          </a:extLst>
        </xdr:cNvPr>
        <xdr:cNvSpPr txBox="1"/>
      </xdr:nvSpPr>
      <xdr:spPr>
        <a:xfrm>
          <a:off x="2300942" y="3010645"/>
          <a:ext cx="926353" cy="239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DF65CD-491C-4AD5-830D-9E42A9D05517}" type="TxLink">
            <a:rPr lang="zh-CN" altLang="en-US" sz="1100" b="0" i="0" u="none" strike="noStrike">
              <a:solidFill>
                <a:srgbClr val="000000"/>
              </a:solidFill>
              <a:latin typeface="宋体"/>
              <a:ea typeface="宋体"/>
            </a:rPr>
            <a:pPr/>
            <a:t>销量=29400</a:t>
          </a:fld>
          <a:endParaRPr lang="zh-CN" altLang="en-US" sz="1100"/>
        </a:p>
      </xdr:txBody>
    </xdr:sp>
    <xdr:clientData/>
  </xdr:twoCellAnchor>
  <xdr:twoCellAnchor>
    <xdr:from>
      <xdr:col>8</xdr:col>
      <xdr:colOff>328706</xdr:colOff>
      <xdr:row>16</xdr:row>
      <xdr:rowOff>7471</xdr:rowOff>
    </xdr:from>
    <xdr:to>
      <xdr:col>9</xdr:col>
      <xdr:colOff>537882</xdr:colOff>
      <xdr:row>17</xdr:row>
      <xdr:rowOff>44823</xdr:rowOff>
    </xdr:to>
    <xdr:sp macro="" textlink="$F$37">
      <xdr:nvSpPr>
        <xdr:cNvPr id="6" name="文本框 5">
          <a:extLst>
            <a:ext uri="{FF2B5EF4-FFF2-40B4-BE49-F238E27FC236}">
              <a16:creationId xmlns:a16="http://schemas.microsoft.com/office/drawing/2014/main" id="{00000000-0008-0000-0000-000006000000}"/>
            </a:ext>
          </a:extLst>
        </xdr:cNvPr>
        <xdr:cNvSpPr txBox="1"/>
      </xdr:nvSpPr>
      <xdr:spPr>
        <a:xfrm>
          <a:off x="5027706" y="2921000"/>
          <a:ext cx="821764" cy="216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40AC98-F062-433B-9B60-6390789AB788}" type="TxLink">
            <a:rPr lang="zh-CN" altLang="en-US" sz="1100" b="0" i="0" u="none" strike="noStrike">
              <a:solidFill>
                <a:srgbClr val="000000"/>
              </a:solidFill>
              <a:latin typeface="宋体"/>
              <a:ea typeface="宋体"/>
            </a:rPr>
            <a:pPr/>
            <a:t>单价=0.36</a:t>
          </a:fld>
          <a:endParaRPr lang="zh-CN" altLang="en-US" sz="1100"/>
        </a:p>
      </xdr:txBody>
    </xdr:sp>
    <xdr:clientData/>
  </xdr:twoCellAnchor>
  <xdr:twoCellAnchor>
    <xdr:from>
      <xdr:col>8</xdr:col>
      <xdr:colOff>156882</xdr:colOff>
      <xdr:row>25</xdr:row>
      <xdr:rowOff>112061</xdr:rowOff>
    </xdr:from>
    <xdr:to>
      <xdr:col>10</xdr:col>
      <xdr:colOff>515472</xdr:colOff>
      <xdr:row>27</xdr:row>
      <xdr:rowOff>29882</xdr:rowOff>
    </xdr:to>
    <xdr:sp macro="" textlink="$I$37">
      <xdr:nvSpPr>
        <xdr:cNvPr id="7" name="文本框 6">
          <a:extLst>
            <a:ext uri="{FF2B5EF4-FFF2-40B4-BE49-F238E27FC236}">
              <a16:creationId xmlns:a16="http://schemas.microsoft.com/office/drawing/2014/main" id="{00000000-0008-0000-0000-000007000000}"/>
            </a:ext>
          </a:extLst>
        </xdr:cNvPr>
        <xdr:cNvSpPr txBox="1"/>
      </xdr:nvSpPr>
      <xdr:spPr>
        <a:xfrm>
          <a:off x="4855882" y="4639237"/>
          <a:ext cx="1583766" cy="276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741F41-9BC1-49BA-8A7F-B26C40260425}" type="TxLink">
            <a:rPr lang="zh-CN" altLang="en-US" sz="1100" b="0" i="0" u="none" strike="noStrike">
              <a:solidFill>
                <a:srgbClr val="000000"/>
              </a:solidFill>
              <a:latin typeface="宋体"/>
              <a:ea typeface="宋体"/>
            </a:rPr>
            <a:pPr/>
            <a:t>盈亏平衡销量=12857</a:t>
          </a:fld>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571500</xdr:colOff>
      <xdr:row>8</xdr:row>
      <xdr:rowOff>152400</xdr:rowOff>
    </xdr:from>
    <xdr:to>
      <xdr:col>16</xdr:col>
      <xdr:colOff>276225</xdr:colOff>
      <xdr:row>18</xdr:row>
      <xdr:rowOff>123825</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5821680" y="1493520"/>
          <a:ext cx="5191125" cy="166306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000" b="0" i="0" u="none" strike="noStrike" baseline="0">
              <a:solidFill>
                <a:srgbClr val="000000"/>
              </a:solidFill>
              <a:latin typeface="宋体"/>
              <a:ea typeface="宋体"/>
              <a:cs typeface="Arial"/>
            </a:rPr>
            <a:t>某公司销售两种电子设备</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产品和</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产品销售单价为</a:t>
          </a:r>
          <a:r>
            <a:rPr lang="zh-CN" altLang="en-US" sz="1000" b="0" i="0" u="none" strike="noStrike" baseline="0">
              <a:solidFill>
                <a:srgbClr val="000000"/>
              </a:solidFill>
              <a:latin typeface="Arial"/>
              <a:ea typeface="宋体"/>
              <a:cs typeface="Arial"/>
            </a:rPr>
            <a:t>15</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只，单位变动成本为</a:t>
          </a:r>
          <a:r>
            <a:rPr lang="zh-CN" altLang="en-US" sz="1000" b="0" i="0" u="none" strike="noStrike" baseline="0">
              <a:solidFill>
                <a:srgbClr val="000000"/>
              </a:solidFill>
              <a:latin typeface="Arial"/>
              <a:ea typeface="宋体"/>
              <a:cs typeface="Arial"/>
            </a:rPr>
            <a:t>9</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只，需固定成本</a:t>
          </a:r>
          <a:r>
            <a:rPr lang="zh-CN" altLang="en-US" sz="1000" b="0" i="0" u="none" strike="noStrike" baseline="0">
              <a:solidFill>
                <a:srgbClr val="000000"/>
              </a:solidFill>
              <a:latin typeface="Arial"/>
              <a:ea typeface="宋体"/>
              <a:cs typeface="Arial"/>
            </a:rPr>
            <a:t>3000</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产品销售单价为</a:t>
          </a:r>
          <a:r>
            <a:rPr lang="zh-CN" altLang="en-US" sz="1000" b="0" i="0" u="none" strike="noStrike" baseline="0">
              <a:solidFill>
                <a:srgbClr val="000000"/>
              </a:solidFill>
              <a:latin typeface="Arial"/>
              <a:ea typeface="宋体"/>
              <a:cs typeface="Arial"/>
            </a:rPr>
            <a:t>12</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只，单位变动成本为</a:t>
          </a:r>
          <a:r>
            <a:rPr lang="zh-CN" altLang="en-US" sz="1000" b="0" i="0" u="none" strike="noStrike" baseline="0">
              <a:solidFill>
                <a:srgbClr val="000000"/>
              </a:solidFill>
              <a:latin typeface="Arial"/>
              <a:ea typeface="宋体"/>
              <a:cs typeface="Arial"/>
            </a:rPr>
            <a:t>6</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只，需固定成本</a:t>
          </a:r>
          <a:r>
            <a:rPr lang="zh-CN" altLang="en-US" sz="1000" b="0" i="0" u="none" strike="noStrike" baseline="0">
              <a:solidFill>
                <a:srgbClr val="000000"/>
              </a:solidFill>
              <a:latin typeface="Arial"/>
              <a:ea typeface="宋体"/>
              <a:cs typeface="Arial"/>
            </a:rPr>
            <a:t>4000</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产品与</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产品销售量之和等于</a:t>
          </a:r>
          <a:r>
            <a:rPr lang="zh-CN" altLang="en-US" sz="1000" b="0" i="0" u="none" strike="noStrike" baseline="0">
              <a:solidFill>
                <a:srgbClr val="000000"/>
              </a:solidFill>
              <a:latin typeface="Arial"/>
              <a:ea typeface="宋体"/>
              <a:cs typeface="Arial"/>
            </a:rPr>
            <a:t>2200</a:t>
          </a:r>
          <a:r>
            <a:rPr lang="zh-CN" altLang="en-US" sz="1000" b="0" i="0" u="none" strike="noStrike" baseline="0">
              <a:solidFill>
                <a:srgbClr val="000000"/>
              </a:solidFill>
              <a:latin typeface="宋体"/>
              <a:ea typeface="宋体"/>
              <a:cs typeface="Arial"/>
            </a:rPr>
            <a:t>只。本工作表中现已建立了一个针对</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产品与</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产品生产的利润比较模型。要求：</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1</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若</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产品当前销量为</a:t>
          </a:r>
          <a:r>
            <a:rPr lang="zh-CN" altLang="en-US" sz="1000" b="0" i="0" u="none" strike="noStrike" baseline="0">
              <a:solidFill>
                <a:srgbClr val="000000"/>
              </a:solidFill>
              <a:latin typeface="Arial"/>
              <a:ea typeface="宋体"/>
              <a:cs typeface="Arial"/>
            </a:rPr>
            <a:t>1000</a:t>
          </a:r>
          <a:r>
            <a:rPr lang="zh-CN" altLang="en-US" sz="1000" b="0" i="0" u="none" strike="noStrike" baseline="0">
              <a:solidFill>
                <a:srgbClr val="000000"/>
              </a:solidFill>
              <a:latin typeface="宋体"/>
              <a:ea typeface="宋体"/>
              <a:cs typeface="Arial"/>
            </a:rPr>
            <a:t>时，计算出各产品的利润；</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制作一个微调项，使得</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产品的销量从</a:t>
          </a:r>
          <a:r>
            <a:rPr lang="zh-CN" altLang="en-US" sz="1000" b="0" i="0" u="none" strike="noStrike" baseline="0">
              <a:solidFill>
                <a:srgbClr val="000000"/>
              </a:solidFill>
              <a:latin typeface="Arial"/>
              <a:ea typeface="宋体"/>
              <a:cs typeface="Arial"/>
            </a:rPr>
            <a:t>100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50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2000</a:t>
          </a:r>
          <a:r>
            <a:rPr lang="zh-CN" altLang="en-US" sz="1000" b="0" i="0" u="none" strike="noStrike" baseline="0">
              <a:solidFill>
                <a:srgbClr val="000000"/>
              </a:solidFill>
              <a:latin typeface="宋体"/>
              <a:ea typeface="宋体"/>
              <a:cs typeface="Arial"/>
            </a:rPr>
            <a:t>时，反映决策结论：“</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产品利润高”、“利润相等”或“</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产品利润高”；</a:t>
          </a:r>
        </a:p>
        <a:p>
          <a:pPr algn="l" rtl="0">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3</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计算出两种产品各自盈亏平衡量，并且计算</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产品与</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产品利润相等时的</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产品销量即相对盈亏平衡量及利润（说明：相对盈亏平衡点要随售价或单位变动成本变化而变化）。</a:t>
          </a:r>
        </a:p>
        <a:p>
          <a:pPr algn="l" rtl="0">
            <a:lnSpc>
              <a:spcPts val="1000"/>
            </a:lnSpc>
            <a:defRPr sz="1000"/>
          </a:pPr>
          <a:endParaRPr lang="zh-CN" altLang="en-US"/>
        </a:p>
      </xdr:txBody>
    </xdr:sp>
    <xdr:clientData/>
  </xdr:twoCellAnchor>
  <mc:AlternateContent xmlns:mc="http://schemas.openxmlformats.org/markup-compatibility/2006">
    <mc:Choice xmlns:a14="http://schemas.microsoft.com/office/drawing/2010/main" Requires="a14">
      <xdr:twoCellAnchor>
        <xdr:from>
          <xdr:col>5</xdr:col>
          <xdr:colOff>158750</xdr:colOff>
          <xdr:row>22</xdr:row>
          <xdr:rowOff>38100</xdr:rowOff>
        </xdr:from>
        <xdr:to>
          <xdr:col>7</xdr:col>
          <xdr:colOff>158750</xdr:colOff>
          <xdr:row>24</xdr:row>
          <xdr:rowOff>133350</xdr:rowOff>
        </xdr:to>
        <xdr:sp macro="" textlink="">
          <xdr:nvSpPr>
            <xdr:cNvPr id="2049" name="Spinner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xdr:col>
      <xdr:colOff>220636</xdr:colOff>
      <xdr:row>10</xdr:row>
      <xdr:rowOff>75339</xdr:rowOff>
    </xdr:from>
    <xdr:to>
      <xdr:col>6</xdr:col>
      <xdr:colOff>21525</xdr:colOff>
      <xdr:row>11</xdr:row>
      <xdr:rowOff>75339</xdr:rowOff>
    </xdr:to>
    <xdr:sp macro="" textlink="">
      <xdr:nvSpPr>
        <xdr:cNvPr id="8" name="Rectangle 4">
          <a:extLst>
            <a:ext uri="{FF2B5EF4-FFF2-40B4-BE49-F238E27FC236}">
              <a16:creationId xmlns:a16="http://schemas.microsoft.com/office/drawing/2014/main" id="{00000000-0008-0000-0200-000008000000}"/>
            </a:ext>
          </a:extLst>
        </xdr:cNvPr>
        <xdr:cNvSpPr>
          <a:spLocks noChangeArrowheads="1"/>
        </xdr:cNvSpPr>
      </xdr:nvSpPr>
      <xdr:spPr bwMode="auto">
        <a:xfrm>
          <a:off x="2023390" y="1851186"/>
          <a:ext cx="608093" cy="17758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sy="50000"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xdr:col>
      <xdr:colOff>0</xdr:colOff>
      <xdr:row>12</xdr:row>
      <xdr:rowOff>0</xdr:rowOff>
    </xdr:from>
    <xdr:to>
      <xdr:col>3</xdr:col>
      <xdr:colOff>0</xdr:colOff>
      <xdr:row>13</xdr:row>
      <xdr:rowOff>0</xdr:rowOff>
    </xdr:to>
    <xdr:sp macro="" textlink="">
      <xdr:nvSpPr>
        <xdr:cNvPr id="11" name="Rectangle 8">
          <a:extLst>
            <a:ext uri="{FF2B5EF4-FFF2-40B4-BE49-F238E27FC236}">
              <a16:creationId xmlns:a16="http://schemas.microsoft.com/office/drawing/2014/main" id="{00000000-0008-0000-0200-00000B000000}"/>
            </a:ext>
          </a:extLst>
        </xdr:cNvPr>
        <xdr:cNvSpPr>
          <a:spLocks noChangeArrowheads="1"/>
        </xdr:cNvSpPr>
      </xdr:nvSpPr>
      <xdr:spPr bwMode="auto">
        <a:xfrm>
          <a:off x="998220" y="2103120"/>
          <a:ext cx="502920" cy="17526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sy="50000"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14</xdr:col>
      <xdr:colOff>0</xdr:colOff>
      <xdr:row>1</xdr:row>
      <xdr:rowOff>0</xdr:rowOff>
    </xdr:from>
    <xdr:to>
      <xdr:col>22</xdr:col>
      <xdr:colOff>476250</xdr:colOff>
      <xdr:row>23</xdr:row>
      <xdr:rowOff>43815</xdr:rowOff>
    </xdr:to>
    <xdr:sp macro="" textlink="">
      <xdr:nvSpPr>
        <xdr:cNvPr id="13" name="Text Box 1">
          <a:extLst>
            <a:ext uri="{FF2B5EF4-FFF2-40B4-BE49-F238E27FC236}">
              <a16:creationId xmlns:a16="http://schemas.microsoft.com/office/drawing/2014/main" id="{00000000-0008-0000-0200-00000D000000}"/>
            </a:ext>
          </a:extLst>
        </xdr:cNvPr>
        <xdr:cNvSpPr txBox="1">
          <a:spLocks noChangeArrowheads="1"/>
        </xdr:cNvSpPr>
      </xdr:nvSpPr>
      <xdr:spPr bwMode="auto">
        <a:xfrm>
          <a:off x="6499860" y="182880"/>
          <a:ext cx="5353050" cy="406717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zh-CN" altLang="en-US" sz="1000" b="0" i="0" u="none" strike="noStrike" baseline="0">
              <a:solidFill>
                <a:srgbClr val="000000"/>
              </a:solidFill>
              <a:latin typeface="宋体"/>
              <a:ea typeface="宋体"/>
              <a:cs typeface="Arial"/>
            </a:rPr>
            <a:t>相关数据如表格所示，所研究的问题中，如果公司管理人员希望实现的目标利润为</a:t>
          </a:r>
          <a:r>
            <a:rPr lang="zh-CN" altLang="en-US" sz="1000" b="0" i="0" u="none" strike="noStrike" baseline="0">
              <a:solidFill>
                <a:srgbClr val="000000"/>
              </a:solidFill>
              <a:latin typeface="Arial"/>
              <a:ea typeface="宋体"/>
              <a:cs typeface="Arial"/>
            </a:rPr>
            <a:t>2400</a:t>
          </a:r>
          <a:r>
            <a:rPr lang="zh-CN" altLang="en-US" sz="1000" b="0" i="0" u="none" strike="noStrike" baseline="0">
              <a:solidFill>
                <a:srgbClr val="000000"/>
              </a:solidFill>
              <a:latin typeface="宋体"/>
              <a:ea typeface="宋体"/>
              <a:cs typeface="Arial"/>
            </a:rPr>
            <a:t>元，试问需要将目标销量规定为多少才能实现这个目标利润。目标利润控件从</a:t>
          </a:r>
          <a:r>
            <a:rPr lang="zh-CN" altLang="en-US" sz="1000" b="0" i="0" u="none" strike="noStrike" baseline="0">
              <a:solidFill>
                <a:srgbClr val="000000"/>
              </a:solidFill>
              <a:latin typeface="Arial"/>
              <a:ea typeface="宋体"/>
              <a:cs typeface="Arial"/>
            </a:rPr>
            <a:t>500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100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2500</a:t>
          </a:r>
          <a:r>
            <a:rPr lang="zh-CN" altLang="en-US" sz="1000" b="0" i="0" u="none" strike="noStrike" baseline="0">
              <a:solidFill>
                <a:srgbClr val="000000"/>
              </a:solidFill>
              <a:latin typeface="宋体"/>
              <a:ea typeface="宋体"/>
              <a:cs typeface="Arial"/>
            </a:rPr>
            <a:t>，单价控件从</a:t>
          </a:r>
          <a:r>
            <a:rPr lang="zh-CN" altLang="en-US" sz="1000" b="0" i="0" u="none" strike="noStrike" baseline="0">
              <a:solidFill>
                <a:srgbClr val="000000"/>
              </a:solidFill>
              <a:latin typeface="Arial"/>
              <a:ea typeface="宋体"/>
              <a:cs typeface="Arial"/>
            </a:rPr>
            <a:t>0.28</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0.</a:t>
          </a:r>
          <a:r>
            <a:rPr lang="en-US" altLang="zh-CN" sz="1000" b="0" i="0" u="none" strike="noStrike" baseline="0">
              <a:solidFill>
                <a:srgbClr val="000000"/>
              </a:solidFill>
              <a:latin typeface="Arial"/>
              <a:ea typeface="宋体"/>
              <a:cs typeface="Arial"/>
            </a:rPr>
            <a:t>0</a:t>
          </a:r>
          <a:r>
            <a:rPr lang="zh-CN" altLang="en-US" sz="1000" b="0" i="0" u="none" strike="noStrike" baseline="0">
              <a:solidFill>
                <a:srgbClr val="000000"/>
              </a:solidFill>
              <a:latin typeface="Arial"/>
              <a:ea typeface="宋体"/>
              <a:cs typeface="Arial"/>
            </a:rPr>
            <a:t>1</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0.35</a:t>
          </a:r>
          <a:r>
            <a:rPr lang="zh-CN" altLang="en-US" sz="1000" b="0" i="0" u="none" strike="noStrike" baseline="0">
              <a:solidFill>
                <a:srgbClr val="000000"/>
              </a:solidFill>
              <a:latin typeface="宋体"/>
              <a:ea typeface="宋体"/>
              <a:cs typeface="Arial"/>
            </a:rPr>
            <a:t>，绘制如下图所示的可调图形。</a:t>
          </a:r>
          <a:endParaRPr lang="zh-CN" altLang="en-US"/>
        </a:p>
      </xdr:txBody>
    </xdr:sp>
    <xdr:clientData/>
  </xdr:twoCellAnchor>
  <xdr:twoCellAnchor>
    <xdr:from>
      <xdr:col>14</xdr:col>
      <xdr:colOff>137160</xdr:colOff>
      <xdr:row>4</xdr:row>
      <xdr:rowOff>15240</xdr:rowOff>
    </xdr:from>
    <xdr:to>
      <xdr:col>22</xdr:col>
      <xdr:colOff>401408</xdr:colOff>
      <xdr:row>21</xdr:row>
      <xdr:rowOff>94866</xdr:rowOff>
    </xdr:to>
    <xdr:pic>
      <xdr:nvPicPr>
        <xdr:cNvPr id="15" name="图片 14">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37020" y="746760"/>
          <a:ext cx="5141048" cy="3188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1020842</xdr:colOff>
      <xdr:row>14</xdr:row>
      <xdr:rowOff>65222</xdr:rowOff>
    </xdr:from>
    <xdr:to>
      <xdr:col>14</xdr:col>
      <xdr:colOff>86100</xdr:colOff>
      <xdr:row>35</xdr:row>
      <xdr:rowOff>150678</xdr:rowOff>
    </xdr:to>
    <xdr:graphicFrame macro="">
      <xdr:nvGraphicFramePr>
        <xdr:cNvPr id="2" name="图表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5</xdr:col>
          <xdr:colOff>165100</xdr:colOff>
          <xdr:row>16</xdr:row>
          <xdr:rowOff>120650</xdr:rowOff>
        </xdr:from>
        <xdr:to>
          <xdr:col>6</xdr:col>
          <xdr:colOff>120650</xdr:colOff>
          <xdr:row>19</xdr:row>
          <xdr:rowOff>12700</xdr:rowOff>
        </xdr:to>
        <xdr:sp macro="" textlink="">
          <xdr:nvSpPr>
            <xdr:cNvPr id="3073" name="Spinner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558800</xdr:colOff>
          <xdr:row>11</xdr:row>
          <xdr:rowOff>95250</xdr:rowOff>
        </xdr:from>
        <xdr:to>
          <xdr:col>7</xdr:col>
          <xdr:colOff>304800</xdr:colOff>
          <xdr:row>13</xdr:row>
          <xdr:rowOff>57150</xdr:rowOff>
        </xdr:to>
        <xdr:sp macro="" textlink="">
          <xdr:nvSpPr>
            <xdr:cNvPr id="3075" name="Spinner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6</xdr:col>
      <xdr:colOff>177584</xdr:colOff>
      <xdr:row>17</xdr:row>
      <xdr:rowOff>32288</xdr:rowOff>
    </xdr:from>
    <xdr:to>
      <xdr:col>8</xdr:col>
      <xdr:colOff>252924</xdr:colOff>
      <xdr:row>18</xdr:row>
      <xdr:rowOff>80721</xdr:rowOff>
    </xdr:to>
    <xdr:sp macro="" textlink="$P$27">
      <xdr:nvSpPr>
        <xdr:cNvPr id="3" name="文本框 2">
          <a:extLst>
            <a:ext uri="{FF2B5EF4-FFF2-40B4-BE49-F238E27FC236}">
              <a16:creationId xmlns:a16="http://schemas.microsoft.com/office/drawing/2014/main" id="{00000000-0008-0000-0200-000003000000}"/>
            </a:ext>
          </a:extLst>
        </xdr:cNvPr>
        <xdr:cNvSpPr txBox="1"/>
      </xdr:nvSpPr>
      <xdr:spPr>
        <a:xfrm>
          <a:off x="2787542" y="3051229"/>
          <a:ext cx="1291526" cy="226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2F9075-7281-4E24-8F99-B2132369A95E}" type="TxLink">
            <a:rPr lang="zh-CN" altLang="en-US" sz="1100" b="0" i="0" u="none" strike="noStrike">
              <a:solidFill>
                <a:srgbClr val="000000"/>
              </a:solidFill>
              <a:latin typeface="宋体"/>
              <a:ea typeface="宋体"/>
            </a:rPr>
            <a:pPr/>
            <a:t>目标利润=1900</a:t>
          </a:fld>
          <a:endParaRPr lang="zh-CN" altLang="en-US" sz="1100"/>
        </a:p>
      </xdr:txBody>
    </xdr:sp>
    <xdr:clientData/>
  </xdr:twoCellAnchor>
  <xdr:twoCellAnchor>
    <xdr:from>
      <xdr:col>9</xdr:col>
      <xdr:colOff>166822</xdr:colOff>
      <xdr:row>16</xdr:row>
      <xdr:rowOff>161441</xdr:rowOff>
    </xdr:from>
    <xdr:to>
      <xdr:col>12</xdr:col>
      <xdr:colOff>279831</xdr:colOff>
      <xdr:row>18</xdr:row>
      <xdr:rowOff>107627</xdr:rowOff>
    </xdr:to>
    <xdr:sp macro="" textlink="$P$28">
      <xdr:nvSpPr>
        <xdr:cNvPr id="4" name="文本框 3">
          <a:extLst>
            <a:ext uri="{FF2B5EF4-FFF2-40B4-BE49-F238E27FC236}">
              <a16:creationId xmlns:a16="http://schemas.microsoft.com/office/drawing/2014/main" id="{00000000-0008-0000-0200-000004000000}"/>
            </a:ext>
          </a:extLst>
        </xdr:cNvPr>
        <xdr:cNvSpPr txBox="1"/>
      </xdr:nvSpPr>
      <xdr:spPr>
        <a:xfrm>
          <a:off x="4305085" y="3002797"/>
          <a:ext cx="1286144" cy="301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64A01B-7393-481E-A5F0-2AC357C9E735}" type="TxLink">
            <a:rPr lang="zh-CN" altLang="en-US" sz="1100" b="0" i="0" u="none" strike="noStrike">
              <a:solidFill>
                <a:srgbClr val="000000"/>
              </a:solidFill>
              <a:latin typeface="宋体"/>
              <a:ea typeface="宋体"/>
            </a:rPr>
            <a:pPr/>
            <a:t>目标销量=27059</a:t>
          </a:fld>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xdr:row>
      <xdr:rowOff>0</xdr:rowOff>
    </xdr:from>
    <xdr:to>
      <xdr:col>20</xdr:col>
      <xdr:colOff>457200</xdr:colOff>
      <xdr:row>22</xdr:row>
      <xdr:rowOff>110490</xdr:rowOff>
    </xdr:to>
    <xdr:sp macro="" textlink="">
      <xdr:nvSpPr>
        <xdr:cNvPr id="2" name="Text Box 1">
          <a:extLst>
            <a:ext uri="{FF2B5EF4-FFF2-40B4-BE49-F238E27FC236}">
              <a16:creationId xmlns:a16="http://schemas.microsoft.com/office/drawing/2014/main" id="{00000000-0008-0000-0300-000002000000}"/>
            </a:ext>
          </a:extLst>
        </xdr:cNvPr>
        <xdr:cNvSpPr txBox="1">
          <a:spLocks noChangeArrowheads="1"/>
        </xdr:cNvSpPr>
      </xdr:nvSpPr>
      <xdr:spPr bwMode="auto">
        <a:xfrm>
          <a:off x="7040880" y="182880"/>
          <a:ext cx="5943600" cy="3950970"/>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zh-CN" altLang="en-US" sz="1000" b="0" i="0" u="none" strike="noStrike" baseline="0">
              <a:solidFill>
                <a:srgbClr val="000000"/>
              </a:solidFill>
              <a:latin typeface="宋体"/>
              <a:ea typeface="宋体"/>
              <a:cs typeface="Arial"/>
            </a:rPr>
            <a:t>某公司生产一种产品，其月产量可能在</a:t>
          </a:r>
          <a:r>
            <a:rPr lang="zh-CN" altLang="en-US" sz="1000" b="0" i="0" u="none" strike="noStrike" baseline="0">
              <a:solidFill>
                <a:srgbClr val="000000"/>
              </a:solidFill>
              <a:latin typeface="Arial"/>
              <a:ea typeface="宋体"/>
              <a:cs typeface="Arial"/>
            </a:rPr>
            <a:t>500</a:t>
          </a:r>
          <a:r>
            <a:rPr lang="zh-CN" altLang="en-US" sz="1000" b="0" i="0" u="none" strike="noStrike" baseline="0">
              <a:solidFill>
                <a:srgbClr val="000000"/>
              </a:solidFill>
              <a:latin typeface="宋体"/>
              <a:ea typeface="宋体"/>
              <a:cs typeface="Arial"/>
            </a:rPr>
            <a:t>至</a:t>
          </a:r>
          <a:r>
            <a:rPr lang="zh-CN" altLang="en-US" sz="1000" b="0" i="0" u="none" strike="noStrike" baseline="0">
              <a:solidFill>
                <a:srgbClr val="000000"/>
              </a:solidFill>
              <a:latin typeface="Arial"/>
              <a:ea typeface="宋体"/>
              <a:cs typeface="Arial"/>
            </a:rPr>
            <a:t>2500</a:t>
          </a:r>
          <a:r>
            <a:rPr lang="zh-CN" altLang="en-US" sz="1000" b="0" i="0" u="none" strike="noStrike" baseline="0">
              <a:solidFill>
                <a:srgbClr val="000000"/>
              </a:solidFill>
              <a:latin typeface="宋体"/>
              <a:ea typeface="宋体"/>
              <a:cs typeface="Arial"/>
            </a:rPr>
            <a:t>台之间变化。该产品每台需要使用一个关键元件，这一元件既可自制也可购买。如果购买的话，其单价为</a:t>
          </a:r>
          <a:r>
            <a:rPr lang="zh-CN" altLang="en-US" sz="1000" b="0" i="0" u="none" strike="noStrike" baseline="0">
              <a:solidFill>
                <a:srgbClr val="000000"/>
              </a:solidFill>
              <a:latin typeface="Arial"/>
              <a:ea typeface="宋体"/>
              <a:cs typeface="Arial"/>
            </a:rPr>
            <a:t>75</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个；如果自制的话，所需要单位可变成本为</a:t>
          </a:r>
          <a:r>
            <a:rPr lang="zh-CN" altLang="en-US" sz="1000" b="0" i="0" u="none" strike="noStrike" baseline="0">
              <a:solidFill>
                <a:srgbClr val="000000"/>
              </a:solidFill>
              <a:latin typeface="Arial"/>
              <a:ea typeface="宋体"/>
              <a:cs typeface="Arial"/>
            </a:rPr>
            <a:t>33</a:t>
          </a:r>
          <a:r>
            <a:rPr lang="zh-CN" altLang="en-US" sz="1000" b="0" i="0" u="none" strike="noStrike" baseline="0">
              <a:solidFill>
                <a:srgbClr val="000000"/>
              </a:solidFill>
              <a:latin typeface="宋体"/>
              <a:ea typeface="宋体"/>
              <a:cs typeface="Arial"/>
            </a:rPr>
            <a:t>元，而公司的固定成本为</a:t>
          </a:r>
          <a:r>
            <a:rPr lang="zh-CN" altLang="en-US" sz="1000" b="0" i="0" u="none" strike="noStrike" baseline="0">
              <a:solidFill>
                <a:srgbClr val="000000"/>
              </a:solidFill>
              <a:latin typeface="Arial"/>
              <a:ea typeface="宋体"/>
              <a:cs typeface="Arial"/>
            </a:rPr>
            <a:t>6000</a:t>
          </a:r>
          <a:r>
            <a:rPr lang="zh-CN" altLang="en-US" sz="1000" b="0" i="0" u="none" strike="noStrike" baseline="0">
              <a:solidFill>
                <a:srgbClr val="000000"/>
              </a:solidFill>
              <a:latin typeface="宋体"/>
              <a:ea typeface="宋体"/>
              <a:cs typeface="Arial"/>
            </a:rPr>
            <a:t>元。试从成本角度出发，在不同的产量下自制与购买元件这两种方案中哪一种对公司更为有利。建立成本据决策模型，利用以产量为自变量，自制成本、外购成本为函数的一维模拟运算表绘图</a:t>
          </a:r>
          <a:r>
            <a:rPr lang="zh-CN" altLang="en-US" sz="1000" b="0" i="0" u="none" strike="noStrike" baseline="0">
              <a:solidFill>
                <a:srgbClr val="000000"/>
              </a:solidFill>
              <a:latin typeface="Arial"/>
              <a:ea typeface="宋体"/>
              <a:cs typeface="Arial"/>
            </a:rPr>
            <a:t>XY</a:t>
          </a:r>
          <a:r>
            <a:rPr lang="zh-CN" altLang="en-US" sz="1000" b="0" i="0" u="none" strike="noStrike" baseline="0">
              <a:solidFill>
                <a:srgbClr val="000000"/>
              </a:solidFill>
              <a:latin typeface="宋体"/>
              <a:ea typeface="宋体"/>
              <a:cs typeface="Arial"/>
            </a:rPr>
            <a:t>散点图，在图形中添加产量控件从</a:t>
          </a:r>
          <a:r>
            <a:rPr lang="zh-CN" altLang="en-US" sz="1000" b="0" i="0" u="none" strike="noStrike" baseline="0">
              <a:solidFill>
                <a:srgbClr val="000000"/>
              </a:solidFill>
              <a:latin typeface="Arial"/>
              <a:ea typeface="宋体"/>
              <a:cs typeface="Arial"/>
            </a:rPr>
            <a:t>500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50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2500</a:t>
          </a:r>
          <a:r>
            <a:rPr lang="zh-CN" altLang="en-US" sz="1000" b="0" i="0" u="none" strike="noStrike" baseline="0">
              <a:solidFill>
                <a:srgbClr val="000000"/>
              </a:solidFill>
              <a:latin typeface="宋体"/>
              <a:ea typeface="宋体"/>
              <a:cs typeface="Arial"/>
            </a:rPr>
            <a:t>，并且显示两种方案的成本数据和结论文字。</a:t>
          </a:r>
          <a:endParaRPr lang="zh-CN" altLang="en-US"/>
        </a:p>
      </xdr:txBody>
    </xdr:sp>
    <xdr:clientData/>
  </xdr:twoCellAnchor>
  <xdr:twoCellAnchor>
    <xdr:from>
      <xdr:col>11</xdr:col>
      <xdr:colOff>114300</xdr:colOff>
      <xdr:row>6</xdr:row>
      <xdr:rowOff>30480</xdr:rowOff>
    </xdr:from>
    <xdr:to>
      <xdr:col>18</xdr:col>
      <xdr:colOff>342900</xdr:colOff>
      <xdr:row>19</xdr:row>
      <xdr:rowOff>135944</xdr:rowOff>
    </xdr:to>
    <xdr:pic>
      <xdr:nvPicPr>
        <xdr:cNvPr id="3" name="图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55180" y="1127760"/>
          <a:ext cx="4495800" cy="2482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1298574</xdr:colOff>
      <xdr:row>21</xdr:row>
      <xdr:rowOff>155574</xdr:rowOff>
    </xdr:from>
    <xdr:to>
      <xdr:col>13</xdr:col>
      <xdr:colOff>158750</xdr:colOff>
      <xdr:row>44</xdr:row>
      <xdr:rowOff>139700</xdr:rowOff>
    </xdr:to>
    <xdr:graphicFrame macro="">
      <xdr:nvGraphicFramePr>
        <xdr:cNvPr id="4" name="图表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5</xdr:col>
          <xdr:colOff>6350</xdr:colOff>
          <xdr:row>24</xdr:row>
          <xdr:rowOff>82550</xdr:rowOff>
        </xdr:from>
        <xdr:to>
          <xdr:col>5</xdr:col>
          <xdr:colOff>273050</xdr:colOff>
          <xdr:row>26</xdr:row>
          <xdr:rowOff>165100</xdr:rowOff>
        </xdr:to>
        <xdr:sp macro="" textlink="">
          <xdr:nvSpPr>
            <xdr:cNvPr id="4097" name="Spinner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292100</xdr:colOff>
          <xdr:row>24</xdr:row>
          <xdr:rowOff>76200</xdr:rowOff>
        </xdr:from>
        <xdr:to>
          <xdr:col>8</xdr:col>
          <xdr:colOff>0</xdr:colOff>
          <xdr:row>27</xdr:row>
          <xdr:rowOff>6350</xdr:rowOff>
        </xdr:to>
        <xdr:sp macro="" textlink="">
          <xdr:nvSpPr>
            <xdr:cNvPr id="4098" name="Spinner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xdr:col>
      <xdr:colOff>311150</xdr:colOff>
      <xdr:row>24</xdr:row>
      <xdr:rowOff>114300</xdr:rowOff>
    </xdr:from>
    <xdr:to>
      <xdr:col>7</xdr:col>
      <xdr:colOff>139700</xdr:colOff>
      <xdr:row>26</xdr:row>
      <xdr:rowOff>76200</xdr:rowOff>
    </xdr:to>
    <xdr:sp macro="" textlink="$O$27">
      <xdr:nvSpPr>
        <xdr:cNvPr id="5" name="文本框 4">
          <a:extLst>
            <a:ext uri="{FF2B5EF4-FFF2-40B4-BE49-F238E27FC236}">
              <a16:creationId xmlns:a16="http://schemas.microsoft.com/office/drawing/2014/main" id="{00000000-0008-0000-0300-000005000000}"/>
            </a:ext>
          </a:extLst>
        </xdr:cNvPr>
        <xdr:cNvSpPr txBox="1"/>
      </xdr:nvSpPr>
      <xdr:spPr>
        <a:xfrm>
          <a:off x="3727450" y="4381500"/>
          <a:ext cx="104775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86DFF8-92E4-478B-B1BC-15BF95DE82C6}" type="TxLink">
            <a:rPr lang="zh-CN" altLang="en-US" sz="1100" b="0" i="0" u="none" strike="noStrike">
              <a:solidFill>
                <a:srgbClr val="000000"/>
              </a:solidFill>
              <a:latin typeface="宋体"/>
              <a:ea typeface="宋体"/>
            </a:rPr>
            <a:pPr/>
            <a:t>购买单价=100</a:t>
          </a:fld>
          <a:endParaRPr lang="zh-CN" altLang="en-US" sz="1100"/>
        </a:p>
      </xdr:txBody>
    </xdr:sp>
    <xdr:clientData/>
  </xdr:twoCellAnchor>
  <xdr:twoCellAnchor>
    <xdr:from>
      <xdr:col>8</xdr:col>
      <xdr:colOff>76200</xdr:colOff>
      <xdr:row>24</xdr:row>
      <xdr:rowOff>69850</xdr:rowOff>
    </xdr:from>
    <xdr:to>
      <xdr:col>9</xdr:col>
      <xdr:colOff>558800</xdr:colOff>
      <xdr:row>26</xdr:row>
      <xdr:rowOff>76200</xdr:rowOff>
    </xdr:to>
    <xdr:sp macro="" textlink="$O$28">
      <xdr:nvSpPr>
        <xdr:cNvPr id="6" name="文本框 5">
          <a:extLst>
            <a:ext uri="{FF2B5EF4-FFF2-40B4-BE49-F238E27FC236}">
              <a16:creationId xmlns:a16="http://schemas.microsoft.com/office/drawing/2014/main" id="{00000000-0008-0000-0300-000006000000}"/>
            </a:ext>
          </a:extLst>
        </xdr:cNvPr>
        <xdr:cNvSpPr txBox="1"/>
      </xdr:nvSpPr>
      <xdr:spPr>
        <a:xfrm>
          <a:off x="5321300" y="4337050"/>
          <a:ext cx="109220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395A85-11E6-42FB-9FD6-6193EB435959}" type="TxLink">
            <a:rPr lang="zh-CN" altLang="en-US" sz="1100" b="0" i="0" u="none" strike="noStrike">
              <a:solidFill>
                <a:srgbClr val="000000"/>
              </a:solidFill>
              <a:latin typeface="宋体"/>
              <a:ea typeface="宋体"/>
            </a:rPr>
            <a:pPr/>
            <a:t>生产数量=2100</a:t>
          </a:fld>
          <a:endParaRPr lang="zh-CN" altLang="en-US" sz="1100"/>
        </a:p>
      </xdr:txBody>
    </xdr:sp>
    <xdr:clientData/>
  </xdr:twoCellAnchor>
  <xdr:twoCellAnchor>
    <xdr:from>
      <xdr:col>10</xdr:col>
      <xdr:colOff>82550</xdr:colOff>
      <xdr:row>24</xdr:row>
      <xdr:rowOff>38100</xdr:rowOff>
    </xdr:from>
    <xdr:to>
      <xdr:col>12</xdr:col>
      <xdr:colOff>501650</xdr:colOff>
      <xdr:row>25</xdr:row>
      <xdr:rowOff>50800</xdr:rowOff>
    </xdr:to>
    <xdr:sp macro="" textlink="$O$29">
      <xdr:nvSpPr>
        <xdr:cNvPr id="7" name="文本框 6">
          <a:extLst>
            <a:ext uri="{FF2B5EF4-FFF2-40B4-BE49-F238E27FC236}">
              <a16:creationId xmlns:a16="http://schemas.microsoft.com/office/drawing/2014/main" id="{00000000-0008-0000-0300-000007000000}"/>
            </a:ext>
          </a:extLst>
        </xdr:cNvPr>
        <xdr:cNvSpPr txBox="1"/>
      </xdr:nvSpPr>
      <xdr:spPr>
        <a:xfrm>
          <a:off x="6546850" y="4305300"/>
          <a:ext cx="163830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5C1C84-A84B-46B1-93CA-106C718F4BFF}" type="TxLink">
            <a:rPr lang="zh-CN" altLang="en-US" sz="1100" b="0" i="0" u="none" strike="noStrike">
              <a:solidFill>
                <a:srgbClr val="000000"/>
              </a:solidFill>
              <a:latin typeface="宋体"/>
              <a:ea typeface="宋体"/>
            </a:rPr>
            <a:pPr/>
            <a:t>优选方案为自制元件</a:t>
          </a:fld>
          <a:endParaRPr lang="zh-CN"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73024</xdr:colOff>
      <xdr:row>26</xdr:row>
      <xdr:rowOff>104774</xdr:rowOff>
    </xdr:from>
    <xdr:to>
      <xdr:col>17</xdr:col>
      <xdr:colOff>25399</xdr:colOff>
      <xdr:row>48</xdr:row>
      <xdr:rowOff>139699</xdr:rowOff>
    </xdr:to>
    <xdr:graphicFrame macro="">
      <xdr:nvGraphicFramePr>
        <xdr:cNvPr id="6" name="图表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8</xdr:row>
      <xdr:rowOff>0</xdr:rowOff>
    </xdr:from>
    <xdr:to>
      <xdr:col>24</xdr:col>
      <xdr:colOff>497205</xdr:colOff>
      <xdr:row>32</xdr:row>
      <xdr:rowOff>100965</xdr:rowOff>
    </xdr:to>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5158740" y="1341120"/>
          <a:ext cx="5572125" cy="412432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000" b="0" i="0" u="none" strike="noStrike" baseline="0">
              <a:solidFill>
                <a:srgbClr val="000000"/>
              </a:solidFill>
              <a:latin typeface="宋体"/>
              <a:ea typeface="宋体"/>
              <a:cs typeface="Arial"/>
            </a:rPr>
            <a:t>某商店对一种商品的销售符合固定需求假定，其年需求量（年销量）为</a:t>
          </a:r>
          <a:r>
            <a:rPr lang="zh-CN" altLang="en-US" sz="1000" b="0" i="0" u="none" strike="noStrike" baseline="0">
              <a:solidFill>
                <a:srgbClr val="000000"/>
              </a:solidFill>
              <a:latin typeface="Arial"/>
              <a:ea typeface="宋体"/>
              <a:cs typeface="Arial"/>
            </a:rPr>
            <a:t>8000</a:t>
          </a:r>
          <a:r>
            <a:rPr lang="zh-CN" altLang="en-US" sz="1000" b="0" i="0" u="none" strike="noStrike" baseline="0">
              <a:solidFill>
                <a:srgbClr val="000000"/>
              </a:solidFill>
              <a:latin typeface="宋体"/>
              <a:ea typeface="宋体"/>
              <a:cs typeface="Arial"/>
            </a:rPr>
            <a:t>，一次订货的订货成本为</a:t>
          </a:r>
          <a:r>
            <a:rPr lang="zh-CN" altLang="en-US" sz="1000" b="0" i="0" u="none" strike="noStrike" baseline="0">
              <a:solidFill>
                <a:srgbClr val="000000"/>
              </a:solidFill>
              <a:latin typeface="Arial"/>
              <a:ea typeface="宋体"/>
              <a:cs typeface="Arial"/>
            </a:rPr>
            <a:t>30</a:t>
          </a:r>
          <a:r>
            <a:rPr lang="zh-CN" altLang="en-US" sz="1000" b="0" i="0" u="none" strike="noStrike" baseline="0">
              <a:solidFill>
                <a:srgbClr val="000000"/>
              </a:solidFill>
              <a:latin typeface="宋体"/>
              <a:ea typeface="宋体"/>
              <a:cs typeface="Arial"/>
            </a:rPr>
            <a:t>元，单位年储成本</a:t>
          </a:r>
          <a:r>
            <a:rPr lang="zh-CN" altLang="en-US" sz="1000" b="0" i="0" u="none" strike="noStrike" baseline="0">
              <a:solidFill>
                <a:srgbClr val="000000"/>
              </a:solidFill>
              <a:latin typeface="Arial"/>
              <a:ea typeface="宋体"/>
              <a:cs typeface="Arial"/>
            </a:rPr>
            <a:t>3.8</a:t>
          </a:r>
          <a:r>
            <a:rPr lang="zh-CN" altLang="en-US" sz="1000" b="0" i="0" u="none" strike="noStrike" baseline="0">
              <a:solidFill>
                <a:srgbClr val="000000"/>
              </a:solidFill>
              <a:latin typeface="宋体"/>
              <a:ea typeface="宋体"/>
              <a:cs typeface="Arial"/>
            </a:rPr>
            <a:t>元。试确定该商品的经济订货量与年总成本的最小值，并绘制出该商品的年订货成本、年储存成本与年总成本随订货量变化的曲线图形。年需求量控件从</a:t>
          </a:r>
          <a:r>
            <a:rPr lang="zh-CN" altLang="en-US" sz="1000" b="0" i="0" u="none" strike="noStrike" baseline="0">
              <a:solidFill>
                <a:srgbClr val="000000"/>
              </a:solidFill>
              <a:latin typeface="Arial"/>
              <a:ea typeface="宋体"/>
              <a:cs typeface="Arial"/>
            </a:rPr>
            <a:t>7000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200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9000</a:t>
          </a:r>
          <a:r>
            <a:rPr lang="zh-CN" altLang="en-US" sz="1000" b="0" i="0" u="none" strike="noStrike" baseline="0">
              <a:solidFill>
                <a:srgbClr val="000000"/>
              </a:solidFill>
              <a:latin typeface="宋体"/>
              <a:ea typeface="宋体"/>
              <a:cs typeface="Arial"/>
            </a:rPr>
            <a:t>，订货量控件从</a:t>
          </a:r>
          <a:r>
            <a:rPr lang="zh-CN" altLang="en-US" sz="1000" b="0" i="0" u="none" strike="noStrike" baseline="0">
              <a:solidFill>
                <a:srgbClr val="000000"/>
              </a:solidFill>
              <a:latin typeface="Arial"/>
              <a:ea typeface="宋体"/>
              <a:cs typeface="Arial"/>
            </a:rPr>
            <a:t>200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10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500</a:t>
          </a:r>
          <a:r>
            <a:rPr lang="zh-CN" altLang="en-US" sz="1000" b="0" i="0" u="none" strike="noStrike" baseline="0">
              <a:solidFill>
                <a:srgbClr val="000000"/>
              </a:solidFill>
              <a:latin typeface="宋体"/>
              <a:ea typeface="宋体"/>
              <a:cs typeface="Arial"/>
            </a:rPr>
            <a:t>。</a:t>
          </a:r>
          <a:endParaRPr lang="zh-CN" altLang="en-US"/>
        </a:p>
      </xdr:txBody>
    </xdr:sp>
    <xdr:clientData/>
  </xdr:twoCellAnchor>
  <xdr:twoCellAnchor>
    <xdr:from>
      <xdr:col>15</xdr:col>
      <xdr:colOff>137160</xdr:colOff>
      <xdr:row>13</xdr:row>
      <xdr:rowOff>30480</xdr:rowOff>
    </xdr:from>
    <xdr:to>
      <xdr:col>23</xdr:col>
      <xdr:colOff>253365</xdr:colOff>
      <xdr:row>30</xdr:row>
      <xdr:rowOff>32107</xdr:rowOff>
    </xdr:to>
    <xdr:pic>
      <xdr:nvPicPr>
        <xdr:cNvPr id="4" name="图片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95900" y="2209800"/>
          <a:ext cx="4581525" cy="28515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5</xdr:col>
          <xdr:colOff>120650</xdr:colOff>
          <xdr:row>29</xdr:row>
          <xdr:rowOff>50800</xdr:rowOff>
        </xdr:from>
        <xdr:to>
          <xdr:col>6</xdr:col>
          <xdr:colOff>25400</xdr:colOff>
          <xdr:row>31</xdr:row>
          <xdr:rowOff>50800</xdr:rowOff>
        </xdr:to>
        <xdr:sp macro="" textlink="">
          <xdr:nvSpPr>
            <xdr:cNvPr id="5121" name="Spinner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29</xdr:row>
          <xdr:rowOff>25400</xdr:rowOff>
        </xdr:from>
        <xdr:to>
          <xdr:col>11</xdr:col>
          <xdr:colOff>355600</xdr:colOff>
          <xdr:row>31</xdr:row>
          <xdr:rowOff>31750</xdr:rowOff>
        </xdr:to>
        <xdr:sp macro="" textlink="">
          <xdr:nvSpPr>
            <xdr:cNvPr id="5122" name="Spinner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6</xdr:col>
      <xdr:colOff>152400</xdr:colOff>
      <xdr:row>29</xdr:row>
      <xdr:rowOff>19050</xdr:rowOff>
    </xdr:from>
    <xdr:to>
      <xdr:col>10</xdr:col>
      <xdr:colOff>571500</xdr:colOff>
      <xdr:row>31</xdr:row>
      <xdr:rowOff>63500</xdr:rowOff>
    </xdr:to>
    <xdr:sp macro="" textlink="$T$37">
      <xdr:nvSpPr>
        <xdr:cNvPr id="7" name="文本框 6">
          <a:extLst>
            <a:ext uri="{FF2B5EF4-FFF2-40B4-BE49-F238E27FC236}">
              <a16:creationId xmlns:a16="http://schemas.microsoft.com/office/drawing/2014/main" id="{00000000-0008-0000-0400-000007000000}"/>
            </a:ext>
          </a:extLst>
        </xdr:cNvPr>
        <xdr:cNvSpPr txBox="1"/>
      </xdr:nvSpPr>
      <xdr:spPr>
        <a:xfrm>
          <a:off x="2127250" y="4724400"/>
          <a:ext cx="134620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0F377F-8564-46CF-B839-FB4258E24B7E}" type="TxLink">
            <a:rPr lang="zh-CN" altLang="en-US" sz="1100" b="0" i="0" u="none" strike="noStrike">
              <a:solidFill>
                <a:srgbClr val="000000"/>
              </a:solidFill>
              <a:latin typeface="宋体"/>
              <a:ea typeface="宋体"/>
            </a:rPr>
            <a:pPr/>
            <a:t>年需求量=9000</a:t>
          </a:fld>
          <a:endParaRPr lang="zh-CN" altLang="en-US" sz="1100"/>
        </a:p>
      </xdr:txBody>
    </xdr:sp>
    <xdr:clientData/>
  </xdr:twoCellAnchor>
  <xdr:twoCellAnchor>
    <xdr:from>
      <xdr:col>11</xdr:col>
      <xdr:colOff>482600</xdr:colOff>
      <xdr:row>29</xdr:row>
      <xdr:rowOff>12700</xdr:rowOff>
    </xdr:from>
    <xdr:to>
      <xdr:col>15</xdr:col>
      <xdr:colOff>482600</xdr:colOff>
      <xdr:row>30</xdr:row>
      <xdr:rowOff>152400</xdr:rowOff>
    </xdr:to>
    <xdr:sp macro="" textlink="$T$38">
      <xdr:nvSpPr>
        <xdr:cNvPr id="8" name="文本框 7">
          <a:extLst>
            <a:ext uri="{FF2B5EF4-FFF2-40B4-BE49-F238E27FC236}">
              <a16:creationId xmlns:a16="http://schemas.microsoft.com/office/drawing/2014/main" id="{00000000-0008-0000-0400-000008000000}"/>
            </a:ext>
          </a:extLst>
        </xdr:cNvPr>
        <xdr:cNvSpPr txBox="1"/>
      </xdr:nvSpPr>
      <xdr:spPr>
        <a:xfrm>
          <a:off x="4159250" y="4718050"/>
          <a:ext cx="15811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169B72-7F6A-4455-A600-2AC5490EA2AC}" type="TxLink">
            <a:rPr lang="zh-CN" altLang="en-US" sz="1100" b="0" i="0" u="none" strike="noStrike">
              <a:solidFill>
                <a:srgbClr val="000000"/>
              </a:solidFill>
              <a:latin typeface="宋体"/>
              <a:ea typeface="宋体"/>
            </a:rPr>
            <a:pPr/>
            <a:t>订货量=300</a:t>
          </a:fld>
          <a:endParaRPr lang="zh-CN"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20</xdr:col>
      <xdr:colOff>234950</xdr:colOff>
      <xdr:row>3</xdr:row>
      <xdr:rowOff>12700</xdr:rowOff>
    </xdr:from>
    <xdr:to>
      <xdr:col>28</xdr:col>
      <xdr:colOff>492125</xdr:colOff>
      <xdr:row>25</xdr:row>
      <xdr:rowOff>58419</xdr:rowOff>
    </xdr:to>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bwMode="auto">
        <a:xfrm>
          <a:off x="7321550" y="495300"/>
          <a:ext cx="5235575" cy="3627119"/>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zh-CN" altLang="en-US" sz="1000" b="0" i="0" u="none" strike="noStrike" baseline="0">
              <a:solidFill>
                <a:srgbClr val="000000"/>
              </a:solidFill>
              <a:latin typeface="宋体"/>
              <a:ea typeface="宋体"/>
              <a:cs typeface="Arial"/>
            </a:rPr>
            <a:t>在第</a:t>
          </a:r>
          <a:r>
            <a:rPr lang="en-US" altLang="zh-CN" sz="1000" b="0" i="0" u="none" strike="noStrike" baseline="0">
              <a:solidFill>
                <a:srgbClr val="000000"/>
              </a:solidFill>
              <a:latin typeface="宋体"/>
              <a:ea typeface="宋体"/>
              <a:cs typeface="Arial"/>
            </a:rPr>
            <a:t>5</a:t>
          </a:r>
          <a:r>
            <a:rPr lang="zh-CN" altLang="en-US" sz="1000" b="0" i="0" u="none" strike="noStrike" baseline="0">
              <a:solidFill>
                <a:srgbClr val="000000"/>
              </a:solidFill>
              <a:latin typeface="宋体"/>
              <a:ea typeface="宋体"/>
              <a:cs typeface="Arial"/>
            </a:rPr>
            <a:t>题所研究的问题中，若年需求量控件从</a:t>
          </a:r>
          <a:r>
            <a:rPr lang="zh-CN" altLang="en-US" sz="1000" b="0" i="0" u="none" strike="noStrike" baseline="0">
              <a:solidFill>
                <a:srgbClr val="000000"/>
              </a:solidFill>
              <a:latin typeface="Arial"/>
              <a:ea typeface="宋体"/>
              <a:cs typeface="Arial"/>
            </a:rPr>
            <a:t>5000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1000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10000</a:t>
          </a:r>
          <a:r>
            <a:rPr lang="zh-CN" altLang="en-US" sz="1000" b="0" i="0" u="none" strike="noStrike" baseline="0">
              <a:solidFill>
                <a:srgbClr val="000000"/>
              </a:solidFill>
              <a:latin typeface="宋体"/>
              <a:ea typeface="宋体"/>
              <a:cs typeface="Arial"/>
            </a:rPr>
            <a:t>，绘制如下图所示的一簇总成本曲线可调图形。</a:t>
          </a:r>
          <a:endParaRPr lang="zh-CN" altLang="en-US"/>
        </a:p>
      </xdr:txBody>
    </xdr:sp>
    <xdr:clientData/>
  </xdr:twoCellAnchor>
  <xdr:twoCellAnchor>
    <xdr:from>
      <xdr:col>20</xdr:col>
      <xdr:colOff>407670</xdr:colOff>
      <xdr:row>5</xdr:row>
      <xdr:rowOff>39370</xdr:rowOff>
    </xdr:from>
    <xdr:to>
      <xdr:col>28</xdr:col>
      <xdr:colOff>445770</xdr:colOff>
      <xdr:row>22</xdr:row>
      <xdr:rowOff>46272</xdr:rowOff>
    </xdr:to>
    <xdr:pic>
      <xdr:nvPicPr>
        <xdr:cNvPr id="3" name="图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94270" y="852170"/>
          <a:ext cx="5016500" cy="2781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377824</xdr:colOff>
      <xdr:row>23</xdr:row>
      <xdr:rowOff>104774</xdr:rowOff>
    </xdr:from>
    <xdr:to>
      <xdr:col>21</xdr:col>
      <xdr:colOff>514349</xdr:colOff>
      <xdr:row>43</xdr:row>
      <xdr:rowOff>38099</xdr:rowOff>
    </xdr:to>
    <xdr:graphicFrame macro="">
      <xdr:nvGraphicFramePr>
        <xdr:cNvPr id="4" name="图表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12</xdr:col>
          <xdr:colOff>285750</xdr:colOff>
          <xdr:row>26</xdr:row>
          <xdr:rowOff>19050</xdr:rowOff>
        </xdr:from>
        <xdr:to>
          <xdr:col>13</xdr:col>
          <xdr:colOff>177800</xdr:colOff>
          <xdr:row>29</xdr:row>
          <xdr:rowOff>50800</xdr:rowOff>
        </xdr:to>
        <xdr:sp macro="" textlink="">
          <xdr:nvSpPr>
            <xdr:cNvPr id="6147" name="Spinner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13</xdr:col>
      <xdr:colOff>203200</xdr:colOff>
      <xdr:row>26</xdr:row>
      <xdr:rowOff>139700</xdr:rowOff>
    </xdr:from>
    <xdr:to>
      <xdr:col>16</xdr:col>
      <xdr:colOff>88900</xdr:colOff>
      <xdr:row>28</xdr:row>
      <xdr:rowOff>127000</xdr:rowOff>
    </xdr:to>
    <xdr:sp macro="" textlink="$W$32">
      <xdr:nvSpPr>
        <xdr:cNvPr id="5" name="文本框 4">
          <a:extLst>
            <a:ext uri="{FF2B5EF4-FFF2-40B4-BE49-F238E27FC236}">
              <a16:creationId xmlns:a16="http://schemas.microsoft.com/office/drawing/2014/main" id="{00000000-0008-0000-0500-000005000000}"/>
            </a:ext>
          </a:extLst>
        </xdr:cNvPr>
        <xdr:cNvSpPr txBox="1"/>
      </xdr:nvSpPr>
      <xdr:spPr>
        <a:xfrm>
          <a:off x="4718050" y="4362450"/>
          <a:ext cx="11430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8D5218-6382-4743-AC6D-DB734414F764}" type="TxLink">
            <a:rPr lang="zh-CN" altLang="en-US" sz="1100" b="0" i="0" u="none" strike="noStrike">
              <a:solidFill>
                <a:srgbClr val="000000"/>
              </a:solidFill>
              <a:latin typeface="宋体"/>
              <a:ea typeface="宋体"/>
            </a:rPr>
            <a:pPr/>
            <a:t>年需求量=5000</a:t>
          </a:fld>
          <a:endParaRPr lang="zh-CN"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269874</xdr:colOff>
      <xdr:row>34</xdr:row>
      <xdr:rowOff>92074</xdr:rowOff>
    </xdr:from>
    <xdr:to>
      <xdr:col>16</xdr:col>
      <xdr:colOff>647699</xdr:colOff>
      <xdr:row>54</xdr:row>
      <xdr:rowOff>44449</xdr:rowOff>
    </xdr:to>
    <xdr:graphicFrame macro="">
      <xdr:nvGraphicFramePr>
        <xdr:cNvPr id="3" name="图表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139700</xdr:colOff>
      <xdr:row>1</xdr:row>
      <xdr:rowOff>19050</xdr:rowOff>
    </xdr:from>
    <xdr:to>
      <xdr:col>24</xdr:col>
      <xdr:colOff>33655</xdr:colOff>
      <xdr:row>34</xdr:row>
      <xdr:rowOff>100965</xdr:rowOff>
    </xdr:to>
    <xdr:grpSp>
      <xdr:nvGrpSpPr>
        <xdr:cNvPr id="8" name="组合 7">
          <a:extLst>
            <a:ext uri="{FF2B5EF4-FFF2-40B4-BE49-F238E27FC236}">
              <a16:creationId xmlns:a16="http://schemas.microsoft.com/office/drawing/2014/main" id="{00000000-0008-0000-0600-000008000000}"/>
            </a:ext>
          </a:extLst>
        </xdr:cNvPr>
        <xdr:cNvGrpSpPr/>
      </xdr:nvGrpSpPr>
      <xdr:grpSpPr>
        <a:xfrm>
          <a:off x="8267700" y="184150"/>
          <a:ext cx="5481955" cy="5536565"/>
          <a:chOff x="437958" y="350515"/>
          <a:chExt cx="5514975" cy="4981575"/>
        </a:xfrm>
      </xdr:grpSpPr>
      <xdr:sp macro="" textlink="">
        <xdr:nvSpPr>
          <xdr:cNvPr id="9" name="Text Box 2">
            <a:extLst>
              <a:ext uri="{FF2B5EF4-FFF2-40B4-BE49-F238E27FC236}">
                <a16:creationId xmlns:a16="http://schemas.microsoft.com/office/drawing/2014/main" id="{00000000-0008-0000-0600-000009000000}"/>
              </a:ext>
            </a:extLst>
          </xdr:cNvPr>
          <xdr:cNvSpPr txBox="1">
            <a:spLocks noChangeArrowheads="1"/>
          </xdr:cNvSpPr>
        </xdr:nvSpPr>
        <xdr:spPr bwMode="auto">
          <a:xfrm>
            <a:off x="437958" y="350515"/>
            <a:ext cx="5514975" cy="498157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000" b="0" i="0" u="none" strike="noStrike" baseline="0">
                <a:solidFill>
                  <a:srgbClr val="000000"/>
                </a:solidFill>
                <a:latin typeface="宋体"/>
                <a:ea typeface="宋体"/>
                <a:cs typeface="Arial"/>
              </a:rPr>
              <a:t>某工厂每年需要</a:t>
            </a:r>
            <a:r>
              <a:rPr lang="zh-CN" altLang="en-US" sz="1000" b="0" i="0" u="none" strike="noStrike" baseline="0">
                <a:solidFill>
                  <a:srgbClr val="000000"/>
                </a:solidFill>
                <a:latin typeface="Arial"/>
                <a:ea typeface="宋体"/>
                <a:cs typeface="Arial"/>
              </a:rPr>
              <a:t>5000</a:t>
            </a:r>
            <a:r>
              <a:rPr lang="zh-CN" altLang="en-US" sz="1000" b="0" i="0" u="none" strike="noStrike" baseline="0">
                <a:solidFill>
                  <a:srgbClr val="000000"/>
                </a:solidFill>
                <a:latin typeface="宋体"/>
                <a:ea typeface="宋体"/>
                <a:cs typeface="Arial"/>
              </a:rPr>
              <a:t>吨原料，每吨原料的年储存费用为</a:t>
            </a:r>
            <a:r>
              <a:rPr lang="zh-CN" altLang="en-US" sz="1000" b="0" i="0" u="none" strike="noStrike" baseline="0">
                <a:solidFill>
                  <a:srgbClr val="000000"/>
                </a:solidFill>
                <a:latin typeface="Arial"/>
                <a:ea typeface="宋体"/>
                <a:cs typeface="Arial"/>
              </a:rPr>
              <a:t>180</a:t>
            </a:r>
            <a:r>
              <a:rPr lang="zh-CN" altLang="en-US" sz="1000" b="0" i="0" u="none" strike="noStrike" baseline="0">
                <a:solidFill>
                  <a:srgbClr val="000000"/>
                </a:solidFill>
                <a:latin typeface="宋体"/>
                <a:ea typeface="宋体"/>
                <a:cs typeface="Arial"/>
              </a:rPr>
              <a:t>元，每次订货成本为</a:t>
            </a:r>
            <a:r>
              <a:rPr lang="zh-CN" altLang="en-US" sz="1000" b="0" i="0" u="none" strike="noStrike" baseline="0">
                <a:solidFill>
                  <a:srgbClr val="000000"/>
                </a:solidFill>
                <a:latin typeface="Arial"/>
                <a:ea typeface="宋体"/>
                <a:cs typeface="Arial"/>
              </a:rPr>
              <a:t>120</a:t>
            </a:r>
            <a:r>
              <a:rPr lang="zh-CN" altLang="en-US" sz="1000" b="0" i="0" u="none" strike="noStrike" baseline="0">
                <a:solidFill>
                  <a:srgbClr val="000000"/>
                </a:solidFill>
                <a:latin typeface="宋体"/>
                <a:ea typeface="宋体"/>
                <a:cs typeface="Arial"/>
              </a:rPr>
              <a:t>元。原料要通过火车从原产地运到工厂，作为散货运输，运输费为每吨</a:t>
            </a:r>
            <a:r>
              <a:rPr lang="zh-CN" altLang="en-US" sz="1000" b="0" i="0" u="none" strike="noStrike" baseline="0">
                <a:solidFill>
                  <a:srgbClr val="000000"/>
                </a:solidFill>
                <a:latin typeface="Arial"/>
                <a:ea typeface="宋体"/>
                <a:cs typeface="Arial"/>
              </a:rPr>
              <a:t>25</a:t>
            </a:r>
            <a:r>
              <a:rPr lang="zh-CN" altLang="en-US" sz="1000" b="0" i="0" u="none" strike="noStrike" baseline="0">
                <a:solidFill>
                  <a:srgbClr val="000000"/>
                </a:solidFill>
                <a:latin typeface="宋体"/>
                <a:ea typeface="宋体"/>
                <a:cs typeface="Arial"/>
              </a:rPr>
              <a:t>元；如果每次运货量大于或等于</a:t>
            </a:r>
            <a:r>
              <a:rPr lang="zh-CN" altLang="en-US" sz="1000" b="0" i="0" u="none" strike="noStrike" baseline="0">
                <a:solidFill>
                  <a:srgbClr val="000000"/>
                </a:solidFill>
                <a:latin typeface="Arial"/>
                <a:ea typeface="宋体"/>
                <a:cs typeface="Arial"/>
              </a:rPr>
              <a:t>200</a:t>
            </a:r>
            <a:r>
              <a:rPr lang="zh-CN" altLang="en-US" sz="1000" b="0" i="0" u="none" strike="noStrike" baseline="0">
                <a:solidFill>
                  <a:srgbClr val="000000"/>
                </a:solidFill>
                <a:latin typeface="宋体"/>
                <a:ea typeface="宋体"/>
                <a:cs typeface="Arial"/>
              </a:rPr>
              <a:t>吨，则作为整车运输，运输费可降到每吨</a:t>
            </a:r>
            <a:r>
              <a:rPr lang="zh-CN" altLang="en-US" sz="1000" b="0" i="0" u="none" strike="noStrike" baseline="0">
                <a:solidFill>
                  <a:srgbClr val="000000"/>
                </a:solidFill>
                <a:latin typeface="Arial"/>
                <a:ea typeface="宋体"/>
                <a:cs typeface="Arial"/>
              </a:rPr>
              <a:t>24</a:t>
            </a:r>
            <a:r>
              <a:rPr lang="zh-CN" altLang="en-US" sz="1000" b="0" i="0" u="none" strike="noStrike" baseline="0">
                <a:solidFill>
                  <a:srgbClr val="000000"/>
                </a:solidFill>
                <a:latin typeface="宋体"/>
                <a:ea typeface="宋体"/>
                <a:cs typeface="Arial"/>
              </a:rPr>
              <a:t>元。要求：</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1</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建立一个决策模型，计算在任意指定的订货量、经济订货量情况下的年订货成本、年储存成本、年运输成本和年总成本；</a:t>
            </a:r>
          </a:p>
          <a:p>
            <a:pPr algn="l" rtl="0">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绘制整车每吨运费起价分别为</a:t>
            </a:r>
            <a:r>
              <a:rPr lang="zh-CN" altLang="en-US" sz="1000" b="0" i="0" u="none" strike="noStrike" baseline="0">
                <a:solidFill>
                  <a:srgbClr val="000000"/>
                </a:solidFill>
                <a:latin typeface="Arial"/>
                <a:ea typeface="宋体"/>
                <a:cs typeface="Arial"/>
              </a:rPr>
              <a:t>22</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22.5</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23</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23.5</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24</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24.5</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25</a:t>
            </a:r>
            <a:r>
              <a:rPr lang="zh-CN" altLang="en-US" sz="1000" b="0" i="0" u="none" strike="noStrike" baseline="0">
                <a:solidFill>
                  <a:srgbClr val="000000"/>
                </a:solidFill>
                <a:latin typeface="宋体"/>
                <a:ea typeface="宋体"/>
                <a:cs typeface="Arial"/>
              </a:rPr>
              <a:t>时年总成本随订货量变化的一簇曲线图形，绘制可移动的当前年总成本红色粗线；</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3</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在图形上反映七根线的年总成本的蓝色圆点；</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4</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添加一个控制面板，对整车每吨运费进行调整，调整的范围为</a:t>
            </a:r>
            <a:r>
              <a:rPr lang="zh-CN" altLang="en-US" sz="1000" b="0" i="0" u="none" strike="noStrike" baseline="0">
                <a:solidFill>
                  <a:srgbClr val="000000"/>
                </a:solidFill>
                <a:latin typeface="Arial"/>
                <a:ea typeface="宋体"/>
                <a:cs typeface="Arial"/>
              </a:rPr>
              <a:t>22.00</a:t>
            </a:r>
            <a:r>
              <a:rPr lang="zh-CN" altLang="en-US" sz="1000" b="0" i="0" u="none" strike="noStrike" baseline="0">
                <a:solidFill>
                  <a:srgbClr val="000000"/>
                </a:solidFill>
                <a:latin typeface="宋体"/>
                <a:ea typeface="宋体"/>
                <a:cs typeface="Arial"/>
              </a:rPr>
              <a:t>元至</a:t>
            </a:r>
            <a:r>
              <a:rPr lang="zh-CN" altLang="en-US" sz="1000" b="0" i="0" u="none" strike="noStrike" baseline="0">
                <a:solidFill>
                  <a:srgbClr val="000000"/>
                </a:solidFill>
                <a:latin typeface="Arial"/>
                <a:ea typeface="宋体"/>
                <a:cs typeface="Arial"/>
              </a:rPr>
              <a:t>25.00</a:t>
            </a:r>
            <a:r>
              <a:rPr lang="zh-CN" altLang="en-US" sz="1000" b="0" i="0" u="none" strike="noStrike" baseline="0">
                <a:solidFill>
                  <a:srgbClr val="000000"/>
                </a:solidFill>
                <a:latin typeface="宋体"/>
                <a:ea typeface="宋体"/>
                <a:cs typeface="Arial"/>
              </a:rPr>
              <a:t>元，增量为</a:t>
            </a:r>
            <a:r>
              <a:rPr lang="zh-CN" altLang="en-US" sz="1000" b="0" i="0" u="none" strike="noStrike" baseline="0">
                <a:solidFill>
                  <a:srgbClr val="000000"/>
                </a:solidFill>
                <a:latin typeface="Arial"/>
                <a:ea typeface="宋体"/>
                <a:cs typeface="Arial"/>
              </a:rPr>
              <a:t>0.5</a:t>
            </a:r>
            <a:r>
              <a:rPr lang="zh-CN" altLang="en-US" sz="1000" b="0" i="0" u="none" strike="noStrike" baseline="0">
                <a:solidFill>
                  <a:srgbClr val="000000"/>
                </a:solidFill>
                <a:latin typeface="宋体"/>
                <a:ea typeface="宋体"/>
                <a:cs typeface="Arial"/>
              </a:rPr>
              <a:t>元；</a:t>
            </a:r>
          </a:p>
          <a:p>
            <a:pPr algn="l" rtl="0">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5</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用一个绿色实心点子反映最小的总成本的位置及数据标记，随控件值变化。</a:t>
            </a:r>
          </a:p>
          <a:p>
            <a:pPr algn="l" rtl="0">
              <a:lnSpc>
                <a:spcPts val="1100"/>
              </a:lnSpc>
              <a:defRPr sz="1000"/>
            </a:pPr>
            <a:endParaRPr lang="zh-CN" altLang="en-US"/>
          </a:p>
        </xdr:txBody>
      </xdr:sp>
      <xdr:pic>
        <xdr:nvPicPr>
          <xdr:cNvPr id="10" name="图片 9">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1022" y="2341233"/>
            <a:ext cx="4152900" cy="28860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mc:AlternateContent xmlns:mc="http://schemas.openxmlformats.org/markup-compatibility/2006">
    <mc:Choice xmlns:a14="http://schemas.microsoft.com/office/drawing/2010/main" Requires="a14">
      <xdr:twoCellAnchor>
        <xdr:from>
          <xdr:col>9</xdr:col>
          <xdr:colOff>527050</xdr:colOff>
          <xdr:row>36</xdr:row>
          <xdr:rowOff>101600</xdr:rowOff>
        </xdr:from>
        <xdr:to>
          <xdr:col>10</xdr:col>
          <xdr:colOff>368300</xdr:colOff>
          <xdr:row>39</xdr:row>
          <xdr:rowOff>12700</xdr:rowOff>
        </xdr:to>
        <xdr:sp macro="" textlink="">
          <xdr:nvSpPr>
            <xdr:cNvPr id="7169" name="Spinner 1"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10</xdr:col>
      <xdr:colOff>425450</xdr:colOff>
      <xdr:row>37</xdr:row>
      <xdr:rowOff>6350</xdr:rowOff>
    </xdr:from>
    <xdr:to>
      <xdr:col>14</xdr:col>
      <xdr:colOff>209550</xdr:colOff>
      <xdr:row>38</xdr:row>
      <xdr:rowOff>63500</xdr:rowOff>
    </xdr:to>
    <xdr:sp macro="" textlink="$C$23">
      <xdr:nvSpPr>
        <xdr:cNvPr id="4" name="文本框 3">
          <a:extLst>
            <a:ext uri="{FF2B5EF4-FFF2-40B4-BE49-F238E27FC236}">
              <a16:creationId xmlns:a16="http://schemas.microsoft.com/office/drawing/2014/main" id="{00000000-0008-0000-0600-000004000000}"/>
            </a:ext>
          </a:extLst>
        </xdr:cNvPr>
        <xdr:cNvSpPr txBox="1"/>
      </xdr:nvSpPr>
      <xdr:spPr>
        <a:xfrm>
          <a:off x="5048250" y="6121400"/>
          <a:ext cx="2120900" cy="22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70E02B-B6FE-497F-8CD9-6AE331365A3D}" type="TxLink">
            <a:rPr lang="zh-CN" altLang="en-US" sz="1000" b="0" i="0" u="none" strike="noStrike">
              <a:solidFill>
                <a:srgbClr val="000000"/>
              </a:solidFill>
              <a:latin typeface="Arial"/>
              <a:cs typeface="Arial"/>
            </a:rPr>
            <a:pPr/>
            <a:t>整车每吨运费=22.5元</a:t>
          </a:fld>
          <a:endParaRPr lang="zh-CN"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76200</xdr:colOff>
      <xdr:row>13</xdr:row>
      <xdr:rowOff>66675</xdr:rowOff>
    </xdr:from>
    <xdr:to>
      <xdr:col>19</xdr:col>
      <xdr:colOff>458470</xdr:colOff>
      <xdr:row>43</xdr:row>
      <xdr:rowOff>107027</xdr:rowOff>
    </xdr:to>
    <xdr:pic>
      <xdr:nvPicPr>
        <xdr:cNvPr id="3" name="图片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63200" y="2162175"/>
          <a:ext cx="5811520" cy="4698365"/>
        </a:xfrm>
        <a:prstGeom prst="rect">
          <a:avLst/>
        </a:prstGeom>
      </xdr:spPr>
    </xdr:pic>
    <xdr:clientData/>
  </xdr:twoCellAnchor>
  <xdr:twoCellAnchor>
    <xdr:from>
      <xdr:col>3</xdr:col>
      <xdr:colOff>66387</xdr:colOff>
      <xdr:row>28</xdr:row>
      <xdr:rowOff>6639</xdr:rowOff>
    </xdr:from>
    <xdr:to>
      <xdr:col>9</xdr:col>
      <xdr:colOff>749012</xdr:colOff>
      <xdr:row>44</xdr:row>
      <xdr:rowOff>94384</xdr:rowOff>
    </xdr:to>
    <xdr:graphicFrame macro="">
      <xdr:nvGraphicFramePr>
        <xdr:cNvPr id="2" name="图表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5</xdr:col>
          <xdr:colOff>311150</xdr:colOff>
          <xdr:row>28</xdr:row>
          <xdr:rowOff>152400</xdr:rowOff>
        </xdr:from>
        <xdr:to>
          <xdr:col>6</xdr:col>
          <xdr:colOff>88900</xdr:colOff>
          <xdr:row>31</xdr:row>
          <xdr:rowOff>76200</xdr:rowOff>
        </xdr:to>
        <xdr:sp macro="" textlink="">
          <xdr:nvSpPr>
            <xdr:cNvPr id="8193" name="Spinner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844550</xdr:colOff>
          <xdr:row>28</xdr:row>
          <xdr:rowOff>114300</xdr:rowOff>
        </xdr:from>
        <xdr:to>
          <xdr:col>8</xdr:col>
          <xdr:colOff>1231900</xdr:colOff>
          <xdr:row>31</xdr:row>
          <xdr:rowOff>19050</xdr:rowOff>
        </xdr:to>
        <xdr:sp macro="" textlink="">
          <xdr:nvSpPr>
            <xdr:cNvPr id="8194" name="Spinner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6</xdr:col>
      <xdr:colOff>115454</xdr:colOff>
      <xdr:row>28</xdr:row>
      <xdr:rowOff>158750</xdr:rowOff>
    </xdr:from>
    <xdr:to>
      <xdr:col>8</xdr:col>
      <xdr:colOff>570057</xdr:colOff>
      <xdr:row>30</xdr:row>
      <xdr:rowOff>122670</xdr:rowOff>
    </xdr:to>
    <xdr:sp macro="" textlink="$K$38">
      <xdr:nvSpPr>
        <xdr:cNvPr id="4" name="文本框 3">
          <a:extLst>
            <a:ext uri="{FF2B5EF4-FFF2-40B4-BE49-F238E27FC236}">
              <a16:creationId xmlns:a16="http://schemas.microsoft.com/office/drawing/2014/main" id="{00000000-0008-0000-0700-000004000000}"/>
            </a:ext>
          </a:extLst>
        </xdr:cNvPr>
        <xdr:cNvSpPr txBox="1"/>
      </xdr:nvSpPr>
      <xdr:spPr>
        <a:xfrm>
          <a:off x="4380056" y="4841875"/>
          <a:ext cx="1399887" cy="2958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670E2D-9E6A-4644-B2DE-EFA929D38D51}" type="TxLink">
            <a:rPr lang="zh-CN" altLang="en-US" sz="1100" b="0" i="0" u="none" strike="noStrike">
              <a:solidFill>
                <a:srgbClr val="000000"/>
              </a:solidFill>
              <a:latin typeface="宋体"/>
              <a:ea typeface="宋体"/>
            </a:rPr>
            <a:pPr/>
            <a:t>单位储存成本=20</a:t>
          </a:fld>
          <a:endParaRPr lang="zh-CN" altLang="en-US" sz="1100"/>
        </a:p>
      </xdr:txBody>
    </xdr:sp>
    <xdr:clientData/>
  </xdr:twoCellAnchor>
  <xdr:twoCellAnchor>
    <xdr:from>
      <xdr:col>8</xdr:col>
      <xdr:colOff>1522557</xdr:colOff>
      <xdr:row>29</xdr:row>
      <xdr:rowOff>21649</xdr:rowOff>
    </xdr:from>
    <xdr:to>
      <xdr:col>9</xdr:col>
      <xdr:colOff>815398</xdr:colOff>
      <xdr:row>30</xdr:row>
      <xdr:rowOff>122671</xdr:rowOff>
    </xdr:to>
    <xdr:sp macro="" textlink="$K$39">
      <xdr:nvSpPr>
        <xdr:cNvPr id="5" name="文本框 4">
          <a:extLst>
            <a:ext uri="{FF2B5EF4-FFF2-40B4-BE49-F238E27FC236}">
              <a16:creationId xmlns:a16="http://schemas.microsoft.com/office/drawing/2014/main" id="{00000000-0008-0000-0700-000005000000}"/>
            </a:ext>
          </a:extLst>
        </xdr:cNvPr>
        <xdr:cNvSpPr txBox="1"/>
      </xdr:nvSpPr>
      <xdr:spPr>
        <a:xfrm>
          <a:off x="6732443" y="4870740"/>
          <a:ext cx="1320512" cy="2669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8039E6-9D44-4DA4-8C04-9B8DA41E2AF2}" type="TxLink">
            <a:rPr lang="zh-CN" altLang="en-US" sz="1100" b="0" i="0" u="none" strike="noStrike">
              <a:solidFill>
                <a:srgbClr val="000000"/>
              </a:solidFill>
              <a:latin typeface="宋体"/>
              <a:ea typeface="宋体"/>
            </a:rPr>
            <a:pPr/>
            <a:t>订货量=3400</a:t>
          </a:fld>
          <a:endParaRPr lang="zh-CN" altLang="en-US" sz="1100"/>
        </a:p>
      </xdr:txBody>
    </xdr:sp>
    <xdr:clientData/>
  </xdr:twoCellAnchor>
  <xdr:twoCellAnchor>
    <xdr:from>
      <xdr:col>6</xdr:col>
      <xdr:colOff>322116</xdr:colOff>
      <xdr:row>31</xdr:row>
      <xdr:rowOff>134505</xdr:rowOff>
    </xdr:from>
    <xdr:to>
      <xdr:col>9</xdr:col>
      <xdr:colOff>721591</xdr:colOff>
      <xdr:row>33</xdr:row>
      <xdr:rowOff>1</xdr:rowOff>
    </xdr:to>
    <xdr:sp macro="" textlink="$B$23">
      <xdr:nvSpPr>
        <xdr:cNvPr id="6" name="文本框 5">
          <a:extLst>
            <a:ext uri="{FF2B5EF4-FFF2-40B4-BE49-F238E27FC236}">
              <a16:creationId xmlns:a16="http://schemas.microsoft.com/office/drawing/2014/main" id="{00000000-0008-0000-0700-000006000000}"/>
            </a:ext>
          </a:extLst>
        </xdr:cNvPr>
        <xdr:cNvSpPr txBox="1"/>
      </xdr:nvSpPr>
      <xdr:spPr>
        <a:xfrm>
          <a:off x="4586718" y="5315528"/>
          <a:ext cx="3372430" cy="197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A79AE7-F543-4B8B-AEE2-013C2B4CE2FD}" type="TxLink">
            <a:rPr lang="zh-CN" altLang="en-US" sz="1000" b="0" i="0" u="none" strike="noStrike">
              <a:solidFill>
                <a:srgbClr val="000000"/>
              </a:solidFill>
              <a:latin typeface="宋体"/>
              <a:ea typeface="宋体"/>
            </a:rPr>
            <a:pPr/>
            <a:t>采用订货量=3000的订货方案，年总成本最小值=105333</a:t>
          </a:fld>
          <a:endParaRPr lang="zh-CN" altLang="en-US" sz="1100"/>
        </a:p>
      </xdr:txBody>
    </xdr:sp>
    <xdr:clientData/>
  </xdr:twoCellAnchor>
  <xdr:twoCellAnchor>
    <xdr:from>
      <xdr:col>9</xdr:col>
      <xdr:colOff>945284</xdr:colOff>
      <xdr:row>27</xdr:row>
      <xdr:rowOff>86591</xdr:rowOff>
    </xdr:from>
    <xdr:to>
      <xdr:col>9</xdr:col>
      <xdr:colOff>991003</xdr:colOff>
      <xdr:row>27</xdr:row>
      <xdr:rowOff>132310</xdr:rowOff>
    </xdr:to>
    <xdr:sp macro="" textlink="">
      <xdr:nvSpPr>
        <xdr:cNvPr id="7" name="文本框 6">
          <a:extLst>
            <a:ext uri="{FF2B5EF4-FFF2-40B4-BE49-F238E27FC236}">
              <a16:creationId xmlns:a16="http://schemas.microsoft.com/office/drawing/2014/main" id="{00000000-0008-0000-0700-000007000000}"/>
            </a:ext>
          </a:extLst>
        </xdr:cNvPr>
        <xdr:cNvSpPr txBox="1"/>
      </xdr:nvSpPr>
      <xdr:spPr>
        <a:xfrm>
          <a:off x="8182841" y="4603750"/>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734891</xdr:colOff>
      <xdr:row>2</xdr:row>
      <xdr:rowOff>14654</xdr:rowOff>
    </xdr:from>
    <xdr:to>
      <xdr:col>18</xdr:col>
      <xdr:colOff>446601</xdr:colOff>
      <xdr:row>22</xdr:row>
      <xdr:rowOff>55929</xdr:rowOff>
    </xdr:to>
    <xdr:pic>
      <xdr:nvPicPr>
        <xdr:cNvPr id="2" name="图片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09468" y="337039"/>
          <a:ext cx="5807710" cy="3265121"/>
        </a:xfrm>
        <a:prstGeom prst="rect">
          <a:avLst/>
        </a:prstGeom>
      </xdr:spPr>
    </xdr:pic>
    <xdr:clientData/>
  </xdr:twoCellAnchor>
  <xdr:twoCellAnchor>
    <xdr:from>
      <xdr:col>10</xdr:col>
      <xdr:colOff>475525</xdr:colOff>
      <xdr:row>20</xdr:row>
      <xdr:rowOff>25990</xdr:rowOff>
    </xdr:from>
    <xdr:to>
      <xdr:col>22</xdr:col>
      <xdr:colOff>466328</xdr:colOff>
      <xdr:row>49</xdr:row>
      <xdr:rowOff>138905</xdr:rowOff>
    </xdr:to>
    <xdr:graphicFrame macro="">
      <xdr:nvGraphicFramePr>
        <xdr:cNvPr id="3" name="图表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12</xdr:col>
          <xdr:colOff>215900</xdr:colOff>
          <xdr:row>23</xdr:row>
          <xdr:rowOff>12700</xdr:rowOff>
        </xdr:from>
        <xdr:to>
          <xdr:col>13</xdr:col>
          <xdr:colOff>0</xdr:colOff>
          <xdr:row>26</xdr:row>
          <xdr:rowOff>107950</xdr:rowOff>
        </xdr:to>
        <xdr:sp macro="" textlink="">
          <xdr:nvSpPr>
            <xdr:cNvPr id="9217" name="Spinner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596900</xdr:colOff>
          <xdr:row>23</xdr:row>
          <xdr:rowOff>82550</xdr:rowOff>
        </xdr:from>
        <xdr:to>
          <xdr:col>18</xdr:col>
          <xdr:colOff>463550</xdr:colOff>
          <xdr:row>26</xdr:row>
          <xdr:rowOff>152400</xdr:rowOff>
        </xdr:to>
        <xdr:sp macro="" textlink="">
          <xdr:nvSpPr>
            <xdr:cNvPr id="9218" name="Spinner 2" hidden="1">
              <a:extLst>
                <a:ext uri="{63B3BB69-23CF-44E3-9099-C40C66FF867C}">
                  <a14:compatExt spid="_x0000_s9218"/>
                </a:ext>
                <a:ext uri="{FF2B5EF4-FFF2-40B4-BE49-F238E27FC236}">
                  <a16:creationId xmlns:a16="http://schemas.microsoft.com/office/drawing/2014/main" id="{00000000-0008-0000-0800-00000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19</xdr:col>
      <xdr:colOff>59530</xdr:colOff>
      <xdr:row>23</xdr:row>
      <xdr:rowOff>138907</xdr:rowOff>
    </xdr:from>
    <xdr:to>
      <xdr:col>22</xdr:col>
      <xdr:colOff>386953</xdr:colOff>
      <xdr:row>26</xdr:row>
      <xdr:rowOff>1</xdr:rowOff>
    </xdr:to>
    <xdr:sp macro="" textlink="$B$12">
      <xdr:nvSpPr>
        <xdr:cNvPr id="4" name="文本框 3">
          <a:extLst>
            <a:ext uri="{FF2B5EF4-FFF2-40B4-BE49-F238E27FC236}">
              <a16:creationId xmlns:a16="http://schemas.microsoft.com/office/drawing/2014/main" id="{00000000-0008-0000-0800-000004000000}"/>
            </a:ext>
          </a:extLst>
        </xdr:cNvPr>
        <xdr:cNvSpPr txBox="1"/>
      </xdr:nvSpPr>
      <xdr:spPr>
        <a:xfrm>
          <a:off x="10576718" y="3879454"/>
          <a:ext cx="2411016" cy="3373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6D8782-CF6A-4989-B6CD-38E26D2AED8A}" type="TxLink">
            <a:rPr lang="zh-CN" altLang="en-US" sz="1000" b="0" i="0" u="none" strike="noStrike">
              <a:solidFill>
                <a:srgbClr val="000000"/>
              </a:solidFill>
              <a:latin typeface="Arial"/>
              <a:cs typeface="Arial"/>
            </a:rPr>
            <a:pPr/>
            <a:t>订货周期=20天</a:t>
          </a:fld>
          <a:endParaRPr lang="zh-CN" altLang="en-US" sz="1100"/>
        </a:p>
      </xdr:txBody>
    </xdr:sp>
    <xdr:clientData/>
  </xdr:twoCellAnchor>
  <xdr:twoCellAnchor>
    <xdr:from>
      <xdr:col>13</xdr:col>
      <xdr:colOff>287734</xdr:colOff>
      <xdr:row>23</xdr:row>
      <xdr:rowOff>89297</xdr:rowOff>
    </xdr:from>
    <xdr:to>
      <xdr:col>16</xdr:col>
      <xdr:colOff>238125</xdr:colOff>
      <xdr:row>26</xdr:row>
      <xdr:rowOff>89297</xdr:rowOff>
    </xdr:to>
    <xdr:sp macro="" textlink="$B$13">
      <xdr:nvSpPr>
        <xdr:cNvPr id="5" name="文本框 4">
          <a:extLst>
            <a:ext uri="{FF2B5EF4-FFF2-40B4-BE49-F238E27FC236}">
              <a16:creationId xmlns:a16="http://schemas.microsoft.com/office/drawing/2014/main" id="{00000000-0008-0000-0800-000005000000}"/>
            </a:ext>
          </a:extLst>
        </xdr:cNvPr>
        <xdr:cNvSpPr txBox="1"/>
      </xdr:nvSpPr>
      <xdr:spPr>
        <a:xfrm>
          <a:off x="6637734" y="3829844"/>
          <a:ext cx="203398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DA9AFF-D99C-4CFF-9D23-1A3DE47503D8}" type="TxLink">
            <a:rPr lang="zh-CN" altLang="en-US" sz="1000" b="0" i="0" u="none" strike="noStrike">
              <a:solidFill>
                <a:srgbClr val="000000"/>
              </a:solidFill>
              <a:latin typeface="Arial"/>
              <a:cs typeface="Arial"/>
            </a:rPr>
            <a:pPr/>
            <a:t>时间（天）=1天</a:t>
          </a:fld>
          <a:endParaRPr lang="zh-CN" altLang="en-US" sz="11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ctrlProp" Target="../ctrlProps/ctrlProp7.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ctrlProp" Target="../ctrlProps/ctrlProp9.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0.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2.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bin"/><Relationship Id="rId5" Type="http://schemas.openxmlformats.org/officeDocument/2006/relationships/ctrlProp" Target="../ctrlProps/ctrlProp15.xml"/><Relationship Id="rId4" Type="http://schemas.openxmlformats.org/officeDocument/2006/relationships/ctrlProp" Target="../ctrlProps/ctrlProp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L37"/>
  <sheetViews>
    <sheetView zoomScale="85" zoomScaleNormal="85" workbookViewId="0">
      <selection activeCell="N34" sqref="N34"/>
    </sheetView>
  </sheetViews>
  <sheetFormatPr defaultRowHeight="14"/>
  <cols>
    <col min="1" max="1" width="3.90625" customWidth="1"/>
    <col min="2" max="2" width="2.453125" customWidth="1"/>
    <col min="3" max="3" width="22.453125" customWidth="1"/>
    <col min="5" max="5" width="3.36328125" customWidth="1"/>
  </cols>
  <sheetData>
    <row r="1" spans="2:12">
      <c r="B1" s="6"/>
      <c r="C1" s="6"/>
      <c r="D1" s="6"/>
      <c r="E1" s="14"/>
      <c r="F1" s="6"/>
      <c r="G1" s="6"/>
      <c r="H1" s="3"/>
      <c r="I1" s="3"/>
      <c r="J1" s="3"/>
      <c r="K1" s="3"/>
      <c r="L1" s="6"/>
    </row>
    <row r="2" spans="2:12">
      <c r="B2" s="15"/>
      <c r="C2" s="21"/>
      <c r="D2" s="15"/>
      <c r="E2" s="4"/>
      <c r="F2" s="3"/>
      <c r="G2" s="7"/>
      <c r="H2" s="8"/>
      <c r="I2" s="193">
        <f>D8</f>
        <v>6174</v>
      </c>
      <c r="J2" s="193">
        <f>D3</f>
        <v>2700</v>
      </c>
      <c r="K2" s="193">
        <f>D9</f>
        <v>3474</v>
      </c>
      <c r="L2" s="7"/>
    </row>
    <row r="3" spans="2:12">
      <c r="B3" s="15"/>
      <c r="C3" s="18" t="s">
        <v>0</v>
      </c>
      <c r="D3" s="24">
        <v>2700</v>
      </c>
      <c r="E3" s="4"/>
      <c r="F3" s="3"/>
      <c r="G3" s="3"/>
      <c r="H3" s="29">
        <v>1E-3</v>
      </c>
      <c r="I3" s="31">
        <f t="dataTable" ref="I3:K4" dt2D="0" dtr="0" r1="D7"/>
        <v>2.1000000000000001E-4</v>
      </c>
      <c r="J3" s="31">
        <v>2700</v>
      </c>
      <c r="K3" s="31">
        <v>-2699.9997899999998</v>
      </c>
      <c r="L3" s="3"/>
    </row>
    <row r="4" spans="2:12">
      <c r="B4" s="15"/>
      <c r="C4" s="18" t="s">
        <v>1</v>
      </c>
      <c r="D4" s="25">
        <v>0.15</v>
      </c>
      <c r="E4" s="4"/>
      <c r="F4" s="3"/>
      <c r="G4" s="3"/>
      <c r="H4" s="30">
        <v>40000</v>
      </c>
      <c r="I4" s="32">
        <v>8400</v>
      </c>
      <c r="J4" s="32">
        <v>2700</v>
      </c>
      <c r="K4" s="32">
        <v>5700</v>
      </c>
      <c r="L4" s="3"/>
    </row>
    <row r="5" spans="2:12">
      <c r="B5" s="15"/>
      <c r="C5" s="18" t="s">
        <v>2</v>
      </c>
      <c r="D5" s="26">
        <f>F5*0.01</f>
        <v>0.36</v>
      </c>
      <c r="E5" s="4">
        <v>30</v>
      </c>
      <c r="F5" s="3">
        <v>36</v>
      </c>
      <c r="G5" s="3"/>
      <c r="H5" s="9"/>
      <c r="I5" s="9"/>
      <c r="J5" s="9"/>
      <c r="K5" s="9"/>
      <c r="L5" s="3"/>
    </row>
    <row r="6" spans="2:12" ht="14.5" thickBot="1">
      <c r="B6" s="15"/>
      <c r="C6" s="19" t="s">
        <v>3</v>
      </c>
      <c r="D6" s="22">
        <f>D5-D4</f>
        <v>0.21</v>
      </c>
      <c r="E6" s="4"/>
      <c r="F6" s="3"/>
      <c r="G6" s="3"/>
      <c r="H6" s="3"/>
      <c r="I6" s="3"/>
      <c r="J6" s="3"/>
      <c r="K6" s="3"/>
      <c r="L6" s="3"/>
    </row>
    <row r="7" spans="2:12" ht="14.5" thickTop="1">
      <c r="B7" s="15"/>
      <c r="C7" s="20" t="s">
        <v>4</v>
      </c>
      <c r="D7" s="27">
        <f>F7*100</f>
        <v>29400</v>
      </c>
      <c r="E7" s="4">
        <v>300</v>
      </c>
      <c r="F7" s="3">
        <v>294</v>
      </c>
      <c r="G7" s="3"/>
      <c r="H7" s="3"/>
      <c r="I7" s="3"/>
      <c r="J7" s="3"/>
      <c r="K7" s="3"/>
      <c r="L7" s="3"/>
    </row>
    <row r="8" spans="2:12">
      <c r="B8" s="15"/>
      <c r="C8" s="20" t="s">
        <v>5</v>
      </c>
      <c r="D8" s="23">
        <f>D6*D7</f>
        <v>6174</v>
      </c>
      <c r="E8" s="4"/>
      <c r="F8" s="3"/>
      <c r="G8" s="3"/>
      <c r="H8" s="3"/>
      <c r="I8" s="3"/>
      <c r="J8" s="3"/>
      <c r="K8" s="3"/>
      <c r="L8" s="3"/>
    </row>
    <row r="9" spans="2:12">
      <c r="B9" s="15"/>
      <c r="C9" s="20" t="s">
        <v>6</v>
      </c>
      <c r="D9" s="23">
        <f>D8-D3</f>
        <v>3474</v>
      </c>
      <c r="E9" s="4"/>
      <c r="F9" s="3"/>
      <c r="G9" s="3"/>
      <c r="H9" s="194">
        <f>$D$11</f>
        <v>12857.142857142857</v>
      </c>
      <c r="I9" s="3">
        <v>8000</v>
      </c>
      <c r="J9" s="3"/>
      <c r="K9" s="3"/>
      <c r="L9" s="3" t="s">
        <v>108</v>
      </c>
    </row>
    <row r="10" spans="2:12">
      <c r="B10" s="15"/>
      <c r="C10" s="16"/>
      <c r="D10" s="17"/>
      <c r="E10" s="4"/>
      <c r="F10" s="3"/>
      <c r="G10" s="3"/>
      <c r="H10" s="194">
        <f t="shared" ref="H10:H12" si="0">$D$11</f>
        <v>12857.142857142857</v>
      </c>
      <c r="I10" s="195">
        <f>D12</f>
        <v>2700</v>
      </c>
      <c r="J10" s="3"/>
      <c r="K10" s="3"/>
      <c r="L10" s="3"/>
    </row>
    <row r="11" spans="2:12">
      <c r="B11" s="15"/>
      <c r="C11" s="18" t="s">
        <v>7</v>
      </c>
      <c r="D11" s="28">
        <f>D3/D6</f>
        <v>12857.142857142857</v>
      </c>
      <c r="E11" s="4"/>
      <c r="F11" s="3"/>
      <c r="G11" s="3"/>
      <c r="H11" s="194">
        <f t="shared" si="0"/>
        <v>12857.142857142857</v>
      </c>
      <c r="I11" s="195">
        <v>0</v>
      </c>
      <c r="J11" s="3"/>
      <c r="K11" s="3"/>
      <c r="L11" s="3"/>
    </row>
    <row r="12" spans="2:12">
      <c r="B12" s="15"/>
      <c r="C12" s="18" t="s">
        <v>8</v>
      </c>
      <c r="D12" s="23">
        <f>D11*D6</f>
        <v>2700</v>
      </c>
      <c r="E12" s="4"/>
      <c r="F12" s="3"/>
      <c r="G12" s="3"/>
      <c r="H12" s="194">
        <f t="shared" si="0"/>
        <v>12857.142857142857</v>
      </c>
      <c r="I12" s="3">
        <v>-4000</v>
      </c>
      <c r="J12" s="3"/>
      <c r="K12" s="3"/>
      <c r="L12" s="3"/>
    </row>
    <row r="13" spans="2:12">
      <c r="B13" s="15"/>
      <c r="C13" s="15"/>
      <c r="D13" s="15"/>
      <c r="E13" s="4"/>
      <c r="F13" s="3"/>
      <c r="G13" s="3"/>
      <c r="H13" s="3"/>
      <c r="I13" s="12"/>
      <c r="J13" s="12"/>
      <c r="K13" s="3"/>
      <c r="L13" s="3"/>
    </row>
    <row r="14" spans="2:12" ht="14.5" thickBot="1">
      <c r="B14" s="3"/>
      <c r="C14" s="3"/>
      <c r="D14" s="3"/>
      <c r="E14" s="3"/>
      <c r="F14" s="3"/>
      <c r="G14" s="3"/>
      <c r="H14" s="3">
        <f>D7</f>
        <v>29400</v>
      </c>
      <c r="I14" s="3">
        <v>8000</v>
      </c>
      <c r="J14" s="3"/>
      <c r="K14" s="3"/>
      <c r="L14" s="3"/>
    </row>
    <row r="15" spans="2:12" ht="15" thickTop="1" thickBot="1">
      <c r="B15" s="3"/>
      <c r="C15" s="5"/>
      <c r="D15" s="3"/>
      <c r="E15" s="3"/>
      <c r="F15" s="3"/>
      <c r="G15" s="3"/>
      <c r="H15" s="3">
        <f>$H$14</f>
        <v>29400</v>
      </c>
      <c r="I15" s="195">
        <f>D8</f>
        <v>6174</v>
      </c>
      <c r="J15" s="3"/>
      <c r="K15" s="3"/>
      <c r="L15" s="3"/>
    </row>
    <row r="16" spans="2:12" ht="14.5" thickTop="1">
      <c r="B16" s="3"/>
      <c r="C16" s="10"/>
      <c r="D16" s="13"/>
      <c r="E16" s="3"/>
      <c r="F16" s="3"/>
      <c r="G16" s="3"/>
      <c r="H16" s="3">
        <f t="shared" ref="H16:H18" si="1">$H$14</f>
        <v>29400</v>
      </c>
      <c r="I16" s="195">
        <f>D3</f>
        <v>2700</v>
      </c>
      <c r="J16" s="3"/>
      <c r="K16" s="3"/>
      <c r="L16" s="3"/>
    </row>
    <row r="17" spans="3:9">
      <c r="C17" s="10"/>
      <c r="D17" s="13"/>
      <c r="H17" s="3">
        <f t="shared" si="1"/>
        <v>29400</v>
      </c>
      <c r="I17" s="196">
        <f>D9</f>
        <v>3474</v>
      </c>
    </row>
    <row r="18" spans="3:9">
      <c r="C18" s="10"/>
      <c r="D18" s="13"/>
      <c r="H18" s="3">
        <f t="shared" si="1"/>
        <v>29400</v>
      </c>
      <c r="I18">
        <v>-4000</v>
      </c>
    </row>
    <row r="19" spans="3:9">
      <c r="C19" s="10"/>
      <c r="D19" s="13"/>
    </row>
    <row r="20" spans="3:9">
      <c r="C20" s="10"/>
      <c r="D20" s="13"/>
    </row>
    <row r="21" spans="3:9">
      <c r="C21" s="3"/>
      <c r="D21" s="11"/>
    </row>
    <row r="37" spans="4:9">
      <c r="D37" t="str">
        <f>"销量="&amp;D7</f>
        <v>销量=29400</v>
      </c>
      <c r="F37" t="str">
        <f>"单价="&amp;D5</f>
        <v>单价=0.36</v>
      </c>
      <c r="I37" t="str">
        <f>"盈亏平衡销量="&amp;ROUND(D11,0)</f>
        <v>盈亏平衡销量=12857</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7" r:id="rId3" name="Scroll Bar 3">
              <controlPr defaultSize="0" autoPict="0" altText="单价">
                <anchor moveWithCells="1">
                  <from>
                    <xdr:col>8</xdr:col>
                    <xdr:colOff>387350</xdr:colOff>
                    <xdr:row>17</xdr:row>
                    <xdr:rowOff>50800</xdr:rowOff>
                  </from>
                  <to>
                    <xdr:col>9</xdr:col>
                    <xdr:colOff>584200</xdr:colOff>
                    <xdr:row>18</xdr:row>
                    <xdr:rowOff>76200</xdr:rowOff>
                  </to>
                </anchor>
              </controlPr>
            </control>
          </mc:Choice>
        </mc:AlternateContent>
        <mc:AlternateContent xmlns:mc="http://schemas.openxmlformats.org/markup-compatibility/2006">
          <mc:Choice Requires="x14">
            <control shapeId="1030" r:id="rId4" name="Scroll Bar 6">
              <controlPr defaultSize="0" autoPict="0">
                <anchor moveWithCells="1">
                  <from>
                    <xdr:col>3</xdr:col>
                    <xdr:colOff>393700</xdr:colOff>
                    <xdr:row>17</xdr:row>
                    <xdr:rowOff>165100</xdr:rowOff>
                  </from>
                  <to>
                    <xdr:col>5</xdr:col>
                    <xdr:colOff>190500</xdr:colOff>
                    <xdr:row>18</xdr:row>
                    <xdr:rowOff>152400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31"/>
  <sheetViews>
    <sheetView zoomScale="125" zoomScaleNormal="160" workbookViewId="0">
      <selection activeCell="E7" sqref="E7"/>
    </sheetView>
  </sheetViews>
  <sheetFormatPr defaultColWidth="10" defaultRowHeight="12.5"/>
  <cols>
    <col min="1" max="1" width="3.90625" style="1" customWidth="1"/>
    <col min="2" max="2" width="2.453125" style="1" customWidth="1"/>
    <col min="3" max="3" width="27.7265625" style="1" customWidth="1"/>
    <col min="4" max="4" width="15.7265625" style="1" customWidth="1"/>
    <col min="5" max="5" width="10.6328125" style="1" customWidth="1"/>
    <col min="6" max="7" width="3" style="1" customWidth="1"/>
    <col min="8" max="16384" width="10" style="1"/>
  </cols>
  <sheetData>
    <row r="2" spans="2:6">
      <c r="B2" s="2"/>
      <c r="C2" s="2"/>
      <c r="D2" s="2"/>
      <c r="E2" s="2"/>
      <c r="F2" s="2"/>
    </row>
    <row r="3" spans="2:6" ht="13">
      <c r="B3" s="2"/>
      <c r="C3" s="33" t="s">
        <v>9</v>
      </c>
      <c r="D3" s="34">
        <v>2200</v>
      </c>
      <c r="E3" s="2"/>
      <c r="F3" s="2"/>
    </row>
    <row r="4" spans="2:6">
      <c r="B4" s="2"/>
      <c r="C4" s="35"/>
      <c r="D4" s="35"/>
      <c r="E4" s="2"/>
      <c r="F4" s="2"/>
    </row>
    <row r="5" spans="2:6" ht="13">
      <c r="B5" s="2"/>
      <c r="C5" s="36" t="s">
        <v>10</v>
      </c>
      <c r="D5" s="37" t="s">
        <v>11</v>
      </c>
      <c r="E5" s="37" t="s">
        <v>12</v>
      </c>
      <c r="F5" s="2"/>
    </row>
    <row r="6" spans="2:6" ht="13">
      <c r="B6" s="2"/>
      <c r="C6" s="36" t="s">
        <v>13</v>
      </c>
      <c r="D6" s="38">
        <v>1200</v>
      </c>
      <c r="E6" s="38">
        <f>D3-D6</f>
        <v>1000</v>
      </c>
      <c r="F6" s="2"/>
    </row>
    <row r="7" spans="2:6" ht="13">
      <c r="B7" s="2"/>
      <c r="C7" s="33" t="s">
        <v>14</v>
      </c>
      <c r="D7" s="34">
        <v>15</v>
      </c>
      <c r="E7" s="34">
        <v>12</v>
      </c>
      <c r="F7" s="2"/>
    </row>
    <row r="8" spans="2:6" ht="13">
      <c r="B8" s="2"/>
      <c r="C8" s="36" t="s">
        <v>15</v>
      </c>
      <c r="D8" s="34">
        <v>9</v>
      </c>
      <c r="E8" s="34">
        <v>6</v>
      </c>
      <c r="F8" s="2"/>
    </row>
    <row r="9" spans="2:6" ht="13">
      <c r="B9" s="2"/>
      <c r="C9" s="36" t="s">
        <v>16</v>
      </c>
      <c r="D9" s="34">
        <v>3000</v>
      </c>
      <c r="E9" s="34">
        <v>4000</v>
      </c>
      <c r="F9" s="2"/>
    </row>
    <row r="10" spans="2:6" ht="13">
      <c r="B10" s="2"/>
      <c r="C10" s="36" t="s">
        <v>17</v>
      </c>
      <c r="D10" s="39">
        <f>D7-D8</f>
        <v>6</v>
      </c>
      <c r="E10" s="39">
        <f>E7-E8</f>
        <v>6</v>
      </c>
      <c r="F10" s="2"/>
    </row>
    <row r="11" spans="2:6" ht="13">
      <c r="B11" s="2"/>
      <c r="C11" s="36" t="s">
        <v>18</v>
      </c>
      <c r="D11" s="39">
        <f>D9+D8*D6</f>
        <v>13800</v>
      </c>
      <c r="E11" s="39">
        <f>E9+E8*E6</f>
        <v>10000</v>
      </c>
      <c r="F11" s="2"/>
    </row>
    <row r="12" spans="2:6" ht="13">
      <c r="B12" s="2"/>
      <c r="C12" s="36" t="s">
        <v>19</v>
      </c>
      <c r="D12" s="39">
        <f>D7*D6</f>
        <v>18000</v>
      </c>
      <c r="E12" s="39">
        <f>E7*E6</f>
        <v>12000</v>
      </c>
      <c r="F12" s="2"/>
    </row>
    <row r="13" spans="2:6" ht="13.5" thickBot="1">
      <c r="B13" s="2"/>
      <c r="C13" s="40" t="s">
        <v>20</v>
      </c>
      <c r="D13" s="41">
        <f>D12-D11</f>
        <v>4200</v>
      </c>
      <c r="E13" s="41">
        <f>E12-E11</f>
        <v>2000</v>
      </c>
      <c r="F13" s="2"/>
    </row>
    <row r="14" spans="2:6" ht="13" thickTop="1">
      <c r="B14" s="2"/>
      <c r="C14" s="2"/>
      <c r="D14" s="2"/>
      <c r="E14" s="2"/>
      <c r="F14" s="2"/>
    </row>
    <row r="15" spans="2:6" ht="13">
      <c r="B15" s="2"/>
      <c r="C15" s="36" t="s">
        <v>21</v>
      </c>
      <c r="D15" s="39">
        <f>D9/D10</f>
        <v>500</v>
      </c>
      <c r="E15" s="39">
        <f>E9/E10</f>
        <v>666.66666666666663</v>
      </c>
      <c r="F15" s="2"/>
    </row>
    <row r="16" spans="2:6" ht="13.5">
      <c r="B16" s="2"/>
      <c r="C16" s="42" t="s">
        <v>22</v>
      </c>
      <c r="D16" s="43">
        <f>(D9-E9+D3)/(D10+E10)</f>
        <v>100</v>
      </c>
      <c r="E16" s="35"/>
      <c r="F16" s="2"/>
    </row>
    <row r="17" spans="2:8" ht="13.5">
      <c r="B17" s="2"/>
      <c r="C17" s="42" t="s">
        <v>23</v>
      </c>
      <c r="D17" s="44">
        <f>D16*D10-D9</f>
        <v>-2400</v>
      </c>
      <c r="E17" s="2"/>
      <c r="F17" s="2"/>
    </row>
    <row r="18" spans="2:8" ht="13">
      <c r="B18" s="2"/>
      <c r="C18" s="36" t="s">
        <v>24</v>
      </c>
      <c r="D18" s="39"/>
      <c r="E18" s="2"/>
      <c r="F18" s="2"/>
    </row>
    <row r="19" spans="2:8">
      <c r="B19" s="2"/>
      <c r="C19" s="2"/>
      <c r="D19" s="2"/>
      <c r="E19" s="2"/>
      <c r="F19" s="2"/>
    </row>
    <row r="22" spans="2:8" ht="13">
      <c r="C22" s="197" t="s">
        <v>111</v>
      </c>
    </row>
    <row r="23" spans="2:8">
      <c r="C23" s="1" t="s">
        <v>109</v>
      </c>
      <c r="D23" s="1" t="s">
        <v>110</v>
      </c>
    </row>
    <row r="24" spans="2:8">
      <c r="C24" s="1">
        <v>1000</v>
      </c>
      <c r="D24" s="1">
        <v>1200</v>
      </c>
    </row>
    <row r="25" spans="2:8">
      <c r="C25" s="1">
        <v>15</v>
      </c>
      <c r="D25" s="1">
        <v>12</v>
      </c>
    </row>
    <row r="26" spans="2:8">
      <c r="C26" s="1">
        <v>9</v>
      </c>
      <c r="D26" s="1">
        <v>6</v>
      </c>
    </row>
    <row r="27" spans="2:8">
      <c r="C27" s="1">
        <v>3000</v>
      </c>
      <c r="D27" s="1">
        <v>4000</v>
      </c>
      <c r="H27" s="1" t="str">
        <f>IF(D13&gt;E13,"A产品利润高",IF(D13=E13,"利润相等","B产品利润高"))</f>
        <v>A产品利润高</v>
      </c>
    </row>
    <row r="28" spans="2:8">
      <c r="C28" s="1">
        <v>6</v>
      </c>
      <c r="D28" s="1">
        <v>6</v>
      </c>
    </row>
    <row r="29" spans="2:8">
      <c r="C29" s="1">
        <v>12000</v>
      </c>
      <c r="D29" s="1">
        <v>11200</v>
      </c>
    </row>
    <row r="30" spans="2:8">
      <c r="C30" s="1">
        <v>15000</v>
      </c>
      <c r="D30" s="1">
        <v>14400</v>
      </c>
    </row>
    <row r="31" spans="2:8">
      <c r="C31" s="1">
        <v>3000</v>
      </c>
      <c r="D31" s="1">
        <v>3200</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Spinner 1">
              <controlPr defaultSize="0" autoPict="0">
                <anchor moveWithCells="1" sizeWithCells="1">
                  <from>
                    <xdr:col>5</xdr:col>
                    <xdr:colOff>158750</xdr:colOff>
                    <xdr:row>22</xdr:row>
                    <xdr:rowOff>38100</xdr:rowOff>
                  </from>
                  <to>
                    <xdr:col>7</xdr:col>
                    <xdr:colOff>158750</xdr:colOff>
                    <xdr:row>24</xdr:row>
                    <xdr:rowOff>133350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8"/>
  <sheetViews>
    <sheetView zoomScale="118" zoomScaleNormal="160" workbookViewId="0">
      <selection activeCell="P27" sqref="P27:P28"/>
    </sheetView>
  </sheetViews>
  <sheetFormatPr defaultRowHeight="14"/>
  <cols>
    <col min="1" max="1" width="2.36328125" customWidth="1"/>
    <col min="2" max="2" width="14.7265625" customWidth="1"/>
    <col min="4" max="4" width="3.453125" customWidth="1"/>
    <col min="5" max="5" width="3.6328125" customWidth="1"/>
    <col min="6" max="6" width="4.453125" customWidth="1"/>
    <col min="9" max="9" width="4.453125" customWidth="1"/>
    <col min="10" max="10" width="3.6328125" customWidth="1"/>
    <col min="11" max="11" width="4.453125" customWidth="1"/>
  </cols>
  <sheetData>
    <row r="1" spans="1:14">
      <c r="A1" s="45"/>
      <c r="B1" s="45"/>
      <c r="C1" s="45"/>
      <c r="D1" s="46"/>
      <c r="E1" s="45"/>
      <c r="F1" s="45"/>
      <c r="G1" s="47"/>
      <c r="H1" s="47"/>
      <c r="I1" s="45"/>
      <c r="J1" s="45"/>
      <c r="K1" s="45"/>
      <c r="L1" s="47"/>
      <c r="M1" s="47"/>
      <c r="N1" s="45"/>
    </row>
    <row r="2" spans="1:14">
      <c r="A2" s="48"/>
      <c r="B2" s="48"/>
      <c r="C2" s="48"/>
      <c r="D2" s="49"/>
      <c r="E2" s="47"/>
      <c r="F2" s="50"/>
      <c r="G2" s="50"/>
      <c r="H2" s="198">
        <f>C8</f>
        <v>2400</v>
      </c>
      <c r="I2" s="50"/>
      <c r="J2" s="47"/>
      <c r="K2" s="50"/>
      <c r="L2" s="50"/>
      <c r="M2" s="51"/>
      <c r="N2" s="50"/>
    </row>
    <row r="3" spans="1:14">
      <c r="A3" s="48"/>
      <c r="B3" s="18" t="s">
        <v>25</v>
      </c>
      <c r="C3" s="24">
        <v>2700</v>
      </c>
      <c r="D3" s="49"/>
      <c r="E3" s="47"/>
      <c r="F3" s="47"/>
      <c r="G3" s="52">
        <v>0</v>
      </c>
      <c r="H3" s="53">
        <f t="dataTable" ref="H3:H4" dt2D="0" dtr="0" r1="C7"/>
        <v>-2700</v>
      </c>
      <c r="I3" s="47"/>
      <c r="J3" s="47"/>
      <c r="K3" s="47"/>
      <c r="L3" s="52">
        <v>1E-3</v>
      </c>
      <c r="M3" s="53"/>
      <c r="N3" s="47"/>
    </row>
    <row r="4" spans="1:14">
      <c r="A4" s="48"/>
      <c r="B4" s="18" t="s">
        <v>26</v>
      </c>
      <c r="C4" s="25">
        <v>0.15</v>
      </c>
      <c r="D4" s="54">
        <f>C5</f>
        <v>0.32</v>
      </c>
      <c r="E4" s="47"/>
      <c r="F4" s="47"/>
      <c r="G4" s="52">
        <v>45000</v>
      </c>
      <c r="H4" s="53">
        <v>4950.0000000000009</v>
      </c>
      <c r="I4" s="47"/>
      <c r="J4" s="47"/>
      <c r="K4" s="47"/>
      <c r="L4" s="52">
        <v>3000</v>
      </c>
      <c r="M4" s="53"/>
      <c r="N4" s="47"/>
    </row>
    <row r="5" spans="1:14">
      <c r="A5" s="48"/>
      <c r="B5" s="18" t="s">
        <v>27</v>
      </c>
      <c r="C5" s="55">
        <f>0.01*E5</f>
        <v>0.32</v>
      </c>
      <c r="D5" s="49">
        <v>30</v>
      </c>
      <c r="E5" s="47">
        <v>32</v>
      </c>
      <c r="F5" s="47"/>
      <c r="G5" s="9"/>
      <c r="H5" s="9"/>
      <c r="I5" s="47"/>
      <c r="J5" s="47"/>
      <c r="K5" s="47"/>
      <c r="L5" s="9"/>
      <c r="M5" s="9"/>
      <c r="N5" s="47"/>
    </row>
    <row r="6" spans="1:14">
      <c r="A6" s="48"/>
      <c r="B6" s="20" t="s">
        <v>33</v>
      </c>
      <c r="C6" s="56">
        <f>C5-C4</f>
        <v>0.17</v>
      </c>
      <c r="D6" s="49"/>
      <c r="E6" s="47"/>
      <c r="F6" s="47"/>
      <c r="G6" s="57"/>
      <c r="H6" s="47"/>
      <c r="I6" s="47"/>
      <c r="J6" s="47"/>
      <c r="K6" s="47"/>
      <c r="L6" s="57" t="s">
        <v>34</v>
      </c>
      <c r="M6" s="47"/>
      <c r="N6" s="47"/>
    </row>
    <row r="7" spans="1:14">
      <c r="A7" s="48"/>
      <c r="B7" s="18" t="s">
        <v>35</v>
      </c>
      <c r="C7" s="58">
        <v>30000</v>
      </c>
      <c r="D7" s="49"/>
      <c r="E7" s="47"/>
      <c r="F7" s="47"/>
      <c r="G7" s="199">
        <f>C11</f>
        <v>15882.35294117647</v>
      </c>
      <c r="H7">
        <v>0</v>
      </c>
      <c r="I7" s="47"/>
      <c r="J7" s="47"/>
      <c r="K7" s="47"/>
      <c r="L7" s="59">
        <v>0</v>
      </c>
      <c r="M7" s="60">
        <f>C10</f>
        <v>1900</v>
      </c>
      <c r="N7" s="47"/>
    </row>
    <row r="8" spans="1:14">
      <c r="A8" s="48"/>
      <c r="B8" s="20" t="s">
        <v>28</v>
      </c>
      <c r="C8" s="23">
        <f>C6*C7-C3</f>
        <v>2400</v>
      </c>
      <c r="D8" s="49"/>
      <c r="E8" s="47"/>
      <c r="F8" s="57"/>
      <c r="G8" s="200">
        <f>C12</f>
        <v>27058.823529411762</v>
      </c>
      <c r="H8" s="57">
        <v>0</v>
      </c>
      <c r="I8" s="57"/>
      <c r="J8" s="47"/>
      <c r="K8" s="47"/>
      <c r="L8" s="59">
        <f>C12</f>
        <v>27058.823529411762</v>
      </c>
      <c r="M8" s="60">
        <f>C10</f>
        <v>1900</v>
      </c>
      <c r="N8" s="47"/>
    </row>
    <row r="9" spans="1:14">
      <c r="A9" s="48"/>
      <c r="B9" s="16"/>
      <c r="C9" s="61">
        <f>C10</f>
        <v>1900</v>
      </c>
      <c r="D9" s="49"/>
      <c r="E9" s="47"/>
      <c r="F9" s="57"/>
      <c r="G9" s="57"/>
      <c r="H9" s="57"/>
      <c r="I9" s="57"/>
      <c r="J9" s="47"/>
      <c r="K9" s="47"/>
      <c r="L9" s="59">
        <f>C12</f>
        <v>27058.823529411762</v>
      </c>
      <c r="M9" s="62">
        <v>0</v>
      </c>
      <c r="N9" s="47"/>
    </row>
    <row r="10" spans="1:14">
      <c r="A10" s="48"/>
      <c r="B10" s="18" t="s">
        <v>29</v>
      </c>
      <c r="C10" s="63">
        <v>1900</v>
      </c>
      <c r="D10" s="49"/>
      <c r="E10" s="47"/>
      <c r="F10" s="57"/>
      <c r="G10" s="57"/>
      <c r="H10" s="57"/>
      <c r="I10" s="57"/>
      <c r="J10" s="47"/>
      <c r="K10" s="47"/>
      <c r="L10" s="47"/>
      <c r="M10" s="47"/>
      <c r="N10" s="47"/>
    </row>
    <row r="11" spans="1:14">
      <c r="A11" s="48"/>
      <c r="B11" s="18" t="s">
        <v>30</v>
      </c>
      <c r="C11" s="64">
        <f>C3/C6</f>
        <v>15882.35294117647</v>
      </c>
      <c r="D11" s="49">
        <v>0</v>
      </c>
      <c r="E11" s="47"/>
      <c r="F11" s="57"/>
      <c r="G11" s="57"/>
      <c r="H11" s="57"/>
      <c r="I11" s="57"/>
      <c r="J11" s="47"/>
      <c r="K11" s="47"/>
      <c r="L11" s="47"/>
      <c r="M11" s="47"/>
      <c r="N11" s="47"/>
    </row>
    <row r="12" spans="1:14">
      <c r="A12" s="48"/>
      <c r="B12" s="18" t="s">
        <v>31</v>
      </c>
      <c r="C12" s="64">
        <f>(C10+C3)/C6</f>
        <v>27058.823529411762</v>
      </c>
      <c r="D12" s="49">
        <v>0</v>
      </c>
      <c r="E12" s="47"/>
      <c r="F12" s="47"/>
      <c r="G12" s="47"/>
      <c r="H12" s="65"/>
      <c r="I12" s="47"/>
      <c r="J12" s="47"/>
      <c r="K12" s="47"/>
      <c r="L12" s="47"/>
      <c r="M12" s="47"/>
      <c r="N12" s="47"/>
    </row>
    <row r="13" spans="1:14">
      <c r="A13" s="48"/>
      <c r="B13" s="18" t="s">
        <v>32</v>
      </c>
      <c r="C13" s="64">
        <f>C12-C11</f>
        <v>11176.470588235292</v>
      </c>
      <c r="D13" s="49"/>
      <c r="E13" s="47"/>
      <c r="F13" s="47"/>
      <c r="G13" s="50"/>
      <c r="H13" s="65"/>
      <c r="I13" s="47"/>
      <c r="J13" s="47"/>
      <c r="K13" s="47"/>
      <c r="L13" s="47"/>
      <c r="M13" s="47"/>
      <c r="N13" s="47"/>
    </row>
    <row r="14" spans="1:14">
      <c r="A14" s="48"/>
      <c r="B14" s="48"/>
      <c r="C14" s="48"/>
      <c r="D14" s="49"/>
      <c r="E14" s="47"/>
      <c r="F14" s="47"/>
      <c r="G14" s="47"/>
      <c r="H14" s="65"/>
      <c r="I14" s="47"/>
      <c r="J14" s="47"/>
      <c r="K14" s="47"/>
      <c r="L14" s="47"/>
      <c r="M14" s="47"/>
      <c r="N14" s="47"/>
    </row>
    <row r="15" spans="1:14">
      <c r="A15" s="47"/>
      <c r="B15" s="47"/>
      <c r="C15" s="47"/>
      <c r="D15" s="67"/>
      <c r="E15" s="47"/>
      <c r="F15" s="47"/>
      <c r="G15" s="66"/>
      <c r="H15" s="65"/>
      <c r="I15" s="47"/>
      <c r="J15" s="47"/>
      <c r="K15" s="47"/>
      <c r="L15" s="47"/>
      <c r="M15" s="47"/>
      <c r="N15" s="47"/>
    </row>
    <row r="27" spans="16:16">
      <c r="P27" t="str">
        <f>"目标利润="&amp;C10</f>
        <v>目标利润=1900</v>
      </c>
    </row>
    <row r="28" spans="16:16">
      <c r="P28" t="str">
        <f>"目标销量="&amp;ROUND(C12,0)</f>
        <v>目标销量=27059</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Spinner 1">
              <controlPr defaultSize="0" autoPict="0">
                <anchor moveWithCells="1" sizeWithCells="1">
                  <from>
                    <xdr:col>5</xdr:col>
                    <xdr:colOff>165100</xdr:colOff>
                    <xdr:row>16</xdr:row>
                    <xdr:rowOff>120650</xdr:rowOff>
                  </from>
                  <to>
                    <xdr:col>6</xdr:col>
                    <xdr:colOff>120650</xdr:colOff>
                    <xdr:row>19</xdr:row>
                    <xdr:rowOff>12700</xdr:rowOff>
                  </to>
                </anchor>
              </controlPr>
            </control>
          </mc:Choice>
        </mc:AlternateContent>
        <mc:AlternateContent xmlns:mc="http://schemas.openxmlformats.org/markup-compatibility/2006">
          <mc:Choice Requires="x14">
            <control shapeId="3075" r:id="rId4" name="Spinner 3">
              <controlPr defaultSize="0" autoPict="0">
                <anchor moveWithCells="1" sizeWithCells="1">
                  <from>
                    <xdr:col>6</xdr:col>
                    <xdr:colOff>558800</xdr:colOff>
                    <xdr:row>11</xdr:row>
                    <xdr:rowOff>95250</xdr:rowOff>
                  </from>
                  <to>
                    <xdr:col>7</xdr:col>
                    <xdr:colOff>304800</xdr:colOff>
                    <xdr:row>13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9"/>
  <sheetViews>
    <sheetView workbookViewId="0">
      <selection activeCell="S30" sqref="S30"/>
    </sheetView>
  </sheetViews>
  <sheetFormatPr defaultRowHeight="14"/>
  <cols>
    <col min="2" max="2" width="4.26953125" customWidth="1"/>
    <col min="3" max="3" width="23.7265625" customWidth="1"/>
    <col min="5" max="5" width="3.453125" customWidth="1"/>
  </cols>
  <sheetData>
    <row r="1" spans="1:13">
      <c r="A1" s="68"/>
      <c r="B1" s="68"/>
      <c r="C1" s="68"/>
      <c r="D1" s="68"/>
      <c r="E1" s="68"/>
      <c r="F1" s="68"/>
      <c r="G1" s="68"/>
      <c r="H1" s="68"/>
      <c r="I1" s="68"/>
      <c r="J1" s="68"/>
      <c r="K1" s="68"/>
      <c r="L1" s="68"/>
      <c r="M1" s="68"/>
    </row>
    <row r="2" spans="1:13">
      <c r="A2" s="68"/>
      <c r="B2" s="35"/>
      <c r="C2" s="35"/>
      <c r="D2" s="35"/>
      <c r="E2" s="35"/>
      <c r="F2" s="69"/>
      <c r="G2" s="68"/>
      <c r="H2" s="69"/>
      <c r="I2" s="70">
        <f>D6</f>
        <v>210000</v>
      </c>
      <c r="J2" s="70">
        <f>D13</f>
        <v>129300</v>
      </c>
      <c r="K2" s="68"/>
      <c r="L2" s="68"/>
      <c r="M2" s="68"/>
    </row>
    <row r="3" spans="1:13">
      <c r="A3" s="68"/>
      <c r="B3" s="35"/>
      <c r="C3" s="71" t="s">
        <v>36</v>
      </c>
      <c r="D3" s="39">
        <v>2100</v>
      </c>
      <c r="E3" s="35"/>
      <c r="F3" s="69"/>
      <c r="G3" s="68"/>
      <c r="H3" s="72">
        <v>0</v>
      </c>
      <c r="I3" s="73">
        <f t="dataTable" ref="I3:J4" dt2D="0" dtr="0" r1="D3"/>
        <v>0</v>
      </c>
      <c r="J3" s="73">
        <v>60000</v>
      </c>
      <c r="K3" s="68"/>
      <c r="L3" s="68"/>
      <c r="M3" s="68"/>
    </row>
    <row r="4" spans="1:13">
      <c r="A4" s="68"/>
      <c r="B4" s="35"/>
      <c r="C4" s="74" t="s">
        <v>37</v>
      </c>
      <c r="D4" s="35"/>
      <c r="E4" s="35"/>
      <c r="F4" s="69"/>
      <c r="G4" s="68"/>
      <c r="H4" s="72">
        <v>3000</v>
      </c>
      <c r="I4" s="73">
        <v>300000</v>
      </c>
      <c r="J4" s="73">
        <v>159000</v>
      </c>
      <c r="K4" s="68"/>
      <c r="L4" s="68"/>
      <c r="M4" s="68"/>
    </row>
    <row r="5" spans="1:13">
      <c r="A5" s="68"/>
      <c r="B5" s="35"/>
      <c r="C5" s="71" t="s">
        <v>38</v>
      </c>
      <c r="D5" s="75">
        <v>100</v>
      </c>
      <c r="E5" s="76">
        <v>80</v>
      </c>
      <c r="F5" s="69"/>
      <c r="G5" s="68"/>
      <c r="H5" s="68"/>
      <c r="I5" s="68"/>
      <c r="J5" s="68"/>
      <c r="K5" s="68"/>
      <c r="L5" s="68"/>
      <c r="M5" s="68"/>
    </row>
    <row r="6" spans="1:13">
      <c r="A6" s="68"/>
      <c r="B6" s="35"/>
      <c r="C6" s="71" t="s">
        <v>39</v>
      </c>
      <c r="D6" s="77">
        <f>D5*D3</f>
        <v>210000</v>
      </c>
      <c r="E6" s="76"/>
      <c r="F6" s="69"/>
      <c r="G6" s="68"/>
      <c r="H6" s="68"/>
      <c r="I6" s="78" t="s">
        <v>40</v>
      </c>
      <c r="J6" s="68"/>
      <c r="K6" s="68"/>
      <c r="L6" s="68"/>
      <c r="M6" s="68"/>
    </row>
    <row r="7" spans="1:13">
      <c r="A7" s="68"/>
      <c r="B7" s="35"/>
      <c r="C7" s="74" t="s">
        <v>41</v>
      </c>
      <c r="D7" s="79"/>
      <c r="E7" s="35"/>
      <c r="F7" s="69"/>
      <c r="G7" s="68"/>
      <c r="H7" s="68"/>
      <c r="I7" s="124">
        <f>D17</f>
        <v>895.52238805970148</v>
      </c>
      <c r="J7" s="73">
        <v>250000</v>
      </c>
      <c r="K7" s="68"/>
      <c r="L7" s="68"/>
      <c r="M7" s="68"/>
    </row>
    <row r="8" spans="1:13">
      <c r="A8" s="68"/>
      <c r="B8" s="35"/>
      <c r="C8" s="71" t="s">
        <v>42</v>
      </c>
      <c r="D8" s="80">
        <v>60000</v>
      </c>
      <c r="E8" s="35"/>
      <c r="F8" s="69"/>
      <c r="G8" s="68"/>
      <c r="H8" s="68"/>
      <c r="I8" s="124">
        <f>I7</f>
        <v>895.52238805970148</v>
      </c>
      <c r="J8" s="124">
        <f>D18</f>
        <v>89552.238805970148</v>
      </c>
      <c r="K8" s="68"/>
      <c r="L8" s="68"/>
      <c r="M8" s="68"/>
    </row>
    <row r="9" spans="1:13">
      <c r="A9" s="68"/>
      <c r="B9" s="35"/>
      <c r="C9" s="71" t="s">
        <v>43</v>
      </c>
      <c r="D9" s="75">
        <v>10</v>
      </c>
      <c r="E9" s="2"/>
      <c r="F9" s="69"/>
      <c r="G9" s="68"/>
      <c r="H9" s="68"/>
      <c r="I9" s="202">
        <f>D17</f>
        <v>895.52238805970148</v>
      </c>
      <c r="J9">
        <v>0</v>
      </c>
      <c r="K9" s="68"/>
      <c r="L9" s="68"/>
      <c r="M9" s="68"/>
    </row>
    <row r="10" spans="1:13">
      <c r="A10" s="68"/>
      <c r="B10" s="35"/>
      <c r="C10" s="71" t="s">
        <v>45</v>
      </c>
      <c r="D10" s="80">
        <v>15</v>
      </c>
      <c r="E10" s="2"/>
      <c r="F10" s="69"/>
      <c r="G10" s="68"/>
      <c r="H10" s="68"/>
      <c r="K10" s="68"/>
      <c r="L10" s="68"/>
      <c r="M10" s="68"/>
    </row>
    <row r="11" spans="1:13">
      <c r="A11" s="68"/>
      <c r="B11" s="35"/>
      <c r="C11" s="71" t="s">
        <v>46</v>
      </c>
      <c r="D11" s="80">
        <v>8</v>
      </c>
      <c r="E11" s="2"/>
      <c r="F11" s="69"/>
      <c r="G11" s="68"/>
      <c r="H11" s="68"/>
      <c r="K11" s="68"/>
      <c r="L11" s="68"/>
      <c r="M11" s="68"/>
    </row>
    <row r="12" spans="1:13">
      <c r="A12" s="68"/>
      <c r="B12" s="35"/>
      <c r="C12" s="71" t="s">
        <v>47</v>
      </c>
      <c r="D12" s="201">
        <f>SUM(D9:D11)</f>
        <v>33</v>
      </c>
      <c r="E12" s="2"/>
      <c r="F12" s="69"/>
      <c r="G12" s="68"/>
      <c r="H12" s="68"/>
      <c r="I12" s="68"/>
      <c r="J12" s="68"/>
      <c r="K12" s="68"/>
      <c r="L12" s="68"/>
      <c r="M12" s="68"/>
    </row>
    <row r="13" spans="1:13">
      <c r="A13" s="68"/>
      <c r="B13" s="35"/>
      <c r="C13" s="71" t="s">
        <v>48</v>
      </c>
      <c r="D13" s="77">
        <f>D12*D3+D8</f>
        <v>129300</v>
      </c>
      <c r="E13" s="35"/>
      <c r="F13" s="69"/>
      <c r="G13" s="68"/>
      <c r="H13" s="68"/>
      <c r="I13" s="78" t="s">
        <v>44</v>
      </c>
      <c r="J13" s="68"/>
      <c r="K13" s="68"/>
      <c r="L13" s="68"/>
      <c r="M13" s="68"/>
    </row>
    <row r="14" spans="1:13">
      <c r="A14" s="68"/>
      <c r="B14" s="2"/>
      <c r="C14" s="2"/>
      <c r="D14" s="81"/>
      <c r="E14" s="2"/>
      <c r="F14" s="69"/>
      <c r="G14" s="68"/>
      <c r="H14" s="68"/>
      <c r="I14" s="73">
        <f>$D$3</f>
        <v>2100</v>
      </c>
      <c r="J14" s="73">
        <v>250000</v>
      </c>
      <c r="K14" s="68"/>
      <c r="L14" s="68"/>
      <c r="M14" s="68"/>
    </row>
    <row r="15" spans="1:13">
      <c r="A15" s="68"/>
      <c r="B15" s="2"/>
      <c r="C15" s="82" t="s">
        <v>49</v>
      </c>
      <c r="D15" s="83" t="str">
        <f>IF(MIN(D6,D13)=D6,"购买元件","自制元件")</f>
        <v>自制元件</v>
      </c>
      <c r="E15" s="2"/>
      <c r="F15" s="69"/>
      <c r="G15" s="68"/>
      <c r="H15" s="68"/>
      <c r="I15" s="73">
        <f t="shared" ref="I15:I17" si="0">$D$3</f>
        <v>2100</v>
      </c>
      <c r="J15" s="73">
        <f>D6</f>
        <v>210000</v>
      </c>
      <c r="K15" s="68"/>
      <c r="L15" s="68"/>
      <c r="M15" s="68"/>
    </row>
    <row r="16" spans="1:13">
      <c r="A16" s="68"/>
      <c r="B16" s="35"/>
      <c r="C16" s="2"/>
      <c r="D16" s="84"/>
      <c r="E16" s="35"/>
      <c r="F16" s="69"/>
      <c r="G16" s="68"/>
      <c r="H16" s="68"/>
      <c r="I16" s="73">
        <f t="shared" si="0"/>
        <v>2100</v>
      </c>
      <c r="J16" s="68">
        <f>D13</f>
        <v>129300</v>
      </c>
      <c r="K16" s="68"/>
      <c r="L16" s="68"/>
      <c r="M16" s="68"/>
    </row>
    <row r="17" spans="1:15">
      <c r="A17" s="68"/>
      <c r="B17" s="35"/>
      <c r="C17" s="85" t="s">
        <v>50</v>
      </c>
      <c r="D17" s="86">
        <f>D8/(D5-D12)</f>
        <v>895.52238805970148</v>
      </c>
      <c r="E17" s="35"/>
      <c r="F17" s="68"/>
      <c r="G17" s="68"/>
      <c r="H17" s="68"/>
      <c r="I17" s="73">
        <f t="shared" si="0"/>
        <v>2100</v>
      </c>
      <c r="J17" s="68">
        <v>0</v>
      </c>
      <c r="K17" s="68"/>
      <c r="L17" s="68"/>
      <c r="M17" s="68"/>
    </row>
    <row r="18" spans="1:15">
      <c r="A18" s="68"/>
      <c r="B18" s="2"/>
      <c r="C18" s="82" t="s">
        <v>51</v>
      </c>
      <c r="D18" s="86">
        <f>D17*D5</f>
        <v>89552.238805970148</v>
      </c>
      <c r="E18" s="2"/>
      <c r="F18" s="68"/>
      <c r="G18" s="68"/>
      <c r="H18" s="68"/>
      <c r="I18" s="68"/>
      <c r="J18" s="68"/>
      <c r="K18" s="68"/>
      <c r="L18" s="68"/>
      <c r="M18" s="68"/>
    </row>
    <row r="19" spans="1:15">
      <c r="A19" s="68"/>
      <c r="B19" s="2"/>
      <c r="C19" s="2"/>
      <c r="D19" s="81"/>
      <c r="E19" s="2"/>
      <c r="F19" s="68"/>
      <c r="G19" s="68"/>
      <c r="H19" s="68"/>
      <c r="I19" s="68"/>
      <c r="J19" s="68"/>
      <c r="K19" s="68"/>
      <c r="L19" s="68"/>
      <c r="M19" s="68"/>
    </row>
    <row r="20" spans="1:15">
      <c r="A20" s="68"/>
      <c r="B20" s="68"/>
      <c r="C20" s="1"/>
      <c r="D20" s="1"/>
      <c r="E20" s="68"/>
      <c r="F20" s="68"/>
      <c r="G20" s="68"/>
      <c r="H20" s="68"/>
      <c r="I20" s="68"/>
      <c r="J20" s="68"/>
      <c r="K20" s="68"/>
      <c r="L20" s="68"/>
      <c r="M20" s="68"/>
    </row>
    <row r="27" spans="1:15">
      <c r="O27" t="str">
        <f>"购买单价="&amp;D5</f>
        <v>购买单价=100</v>
      </c>
    </row>
    <row r="28" spans="1:15">
      <c r="O28" t="str">
        <f>"生产数量="&amp;D3</f>
        <v>生产数量=2100</v>
      </c>
    </row>
    <row r="29" spans="1:15">
      <c r="O29" t="str">
        <f>"优选方案为"&amp;D15</f>
        <v>优选方案为自制元件</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Spinner 1">
              <controlPr defaultSize="0" autoPict="0">
                <anchor moveWithCells="1" sizeWithCells="1">
                  <from>
                    <xdr:col>5</xdr:col>
                    <xdr:colOff>6350</xdr:colOff>
                    <xdr:row>24</xdr:row>
                    <xdr:rowOff>82550</xdr:rowOff>
                  </from>
                  <to>
                    <xdr:col>5</xdr:col>
                    <xdr:colOff>273050</xdr:colOff>
                    <xdr:row>26</xdr:row>
                    <xdr:rowOff>165100</xdr:rowOff>
                  </to>
                </anchor>
              </controlPr>
            </control>
          </mc:Choice>
        </mc:AlternateContent>
        <mc:AlternateContent xmlns:mc="http://schemas.openxmlformats.org/markup-compatibility/2006">
          <mc:Choice Requires="x14">
            <control shapeId="4098" r:id="rId4" name="Spinner 2">
              <controlPr defaultSize="0" autoPict="0">
                <anchor moveWithCells="1" sizeWithCells="1">
                  <from>
                    <xdr:col>7</xdr:col>
                    <xdr:colOff>292100</xdr:colOff>
                    <xdr:row>24</xdr:row>
                    <xdr:rowOff>76200</xdr:rowOff>
                  </from>
                  <to>
                    <xdr:col>8</xdr:col>
                    <xdr:colOff>0</xdr:colOff>
                    <xdr:row>27</xdr:row>
                    <xdr:rowOff>6350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53"/>
  <sheetViews>
    <sheetView tabSelected="1" topLeftCell="C13" workbookViewId="0">
      <selection activeCell="T37" sqref="T37:T38"/>
    </sheetView>
  </sheetViews>
  <sheetFormatPr defaultColWidth="8.90625" defaultRowHeight="12.5"/>
  <cols>
    <col min="1" max="1" width="1.08984375" style="68" customWidth="1"/>
    <col min="2" max="2" width="2.36328125" style="68" customWidth="1"/>
    <col min="3" max="3" width="8.36328125" style="68" customWidth="1"/>
    <col min="4" max="4" width="7.36328125" style="68" customWidth="1"/>
    <col min="5" max="5" width="2.453125" style="68" customWidth="1"/>
    <col min="6" max="6" width="6.6328125" style="68" customWidth="1"/>
    <col min="7" max="7" width="2.36328125" style="68" customWidth="1"/>
    <col min="8" max="8" width="1.08984375" style="68" customWidth="1"/>
    <col min="9" max="9" width="2.453125" style="69" customWidth="1"/>
    <col min="10" max="10" width="7.36328125" style="69" bestFit="1" customWidth="1"/>
    <col min="11" max="12" width="11.08984375" style="69" bestFit="1" customWidth="1"/>
    <col min="13" max="13" width="8" style="69" customWidth="1"/>
    <col min="14" max="14" width="2.453125" style="69" customWidth="1"/>
    <col min="15" max="15" width="1.08984375" style="68" customWidth="1"/>
    <col min="16" max="17" width="8.90625" style="68"/>
    <col min="18" max="18" width="2.90625" style="68" customWidth="1"/>
    <col min="19" max="16384" width="8.90625" style="68"/>
  </cols>
  <sheetData>
    <row r="1" spans="2:21" ht="13.15" customHeight="1">
      <c r="I1" s="68"/>
      <c r="J1" s="68" t="str">
        <f>C7</f>
        <v>订货量</v>
      </c>
      <c r="K1" s="203" t="str">
        <f>C8</f>
        <v>年订货成本</v>
      </c>
      <c r="L1" s="203" t="str">
        <f>C9</f>
        <v>年储存成本</v>
      </c>
      <c r="M1" s="68" t="str">
        <f>C10</f>
        <v>年总成本</v>
      </c>
      <c r="N1" s="68"/>
    </row>
    <row r="2" spans="2:21" ht="13.15" customHeight="1">
      <c r="B2" s="2"/>
      <c r="C2" s="2"/>
      <c r="D2" s="2"/>
      <c r="E2" s="2"/>
      <c r="F2" s="2"/>
      <c r="G2" s="2"/>
      <c r="H2" s="87"/>
      <c r="I2" s="68"/>
      <c r="J2" s="67"/>
      <c r="K2" s="88">
        <f>F8</f>
        <v>900</v>
      </c>
      <c r="L2" s="88">
        <f>F9</f>
        <v>570</v>
      </c>
      <c r="M2" s="88">
        <f>F10</f>
        <v>1470</v>
      </c>
      <c r="N2" s="68"/>
    </row>
    <row r="3" spans="2:21" ht="13.15" customHeight="1">
      <c r="B3" s="2"/>
      <c r="C3" s="89" t="s">
        <v>52</v>
      </c>
      <c r="D3" s="90"/>
      <c r="E3" s="91"/>
      <c r="F3" s="92">
        <v>9000</v>
      </c>
      <c r="G3" s="93"/>
      <c r="H3" s="87"/>
      <c r="I3" s="68"/>
      <c r="J3" s="72">
        <v>100</v>
      </c>
      <c r="K3" s="94">
        <f t="dataTable" ref="K3:M13" dt2D="0" dtr="0" r1="F7"/>
        <v>2700</v>
      </c>
      <c r="L3" s="95">
        <v>190</v>
      </c>
      <c r="M3" s="95">
        <v>2890</v>
      </c>
      <c r="N3" s="68"/>
      <c r="O3" s="87"/>
      <c r="P3" s="96">
        <f>$F$12</f>
        <v>377</v>
      </c>
      <c r="Q3" s="97">
        <v>2500</v>
      </c>
      <c r="T3" s="97">
        <v>100</v>
      </c>
      <c r="U3" s="98">
        <f>F10</f>
        <v>1470</v>
      </c>
    </row>
    <row r="4" spans="2:21" ht="13.15" customHeight="1">
      <c r="B4" s="2"/>
      <c r="C4" s="99" t="s">
        <v>53</v>
      </c>
      <c r="D4" s="100"/>
      <c r="E4" s="101"/>
      <c r="F4" s="102">
        <v>30</v>
      </c>
      <c r="G4" s="103"/>
      <c r="H4" s="104"/>
      <c r="I4" s="68"/>
      <c r="J4" s="72">
        <v>150</v>
      </c>
      <c r="K4" s="95">
        <v>1800</v>
      </c>
      <c r="L4" s="95">
        <v>285</v>
      </c>
      <c r="M4" s="95">
        <v>2085</v>
      </c>
      <c r="N4" s="68"/>
      <c r="P4" s="96">
        <f t="shared" ref="P4:P7" si="0">$F$12</f>
        <v>377</v>
      </c>
      <c r="Q4" s="98">
        <f>F15</f>
        <v>1432.4803713527851</v>
      </c>
      <c r="T4" s="97">
        <f>$F$7</f>
        <v>300</v>
      </c>
      <c r="U4" s="98">
        <f>F10</f>
        <v>1470</v>
      </c>
    </row>
    <row r="5" spans="2:21" ht="13.15" customHeight="1">
      <c r="B5" s="2"/>
      <c r="C5" s="99" t="s">
        <v>54</v>
      </c>
      <c r="D5" s="100"/>
      <c r="E5" s="101"/>
      <c r="F5" s="105">
        <v>3.8</v>
      </c>
      <c r="G5" s="106"/>
      <c r="I5" s="68"/>
      <c r="J5" s="72">
        <v>200</v>
      </c>
      <c r="K5" s="95">
        <v>1350</v>
      </c>
      <c r="L5" s="95">
        <v>380</v>
      </c>
      <c r="M5" s="95">
        <v>1730</v>
      </c>
      <c r="N5" s="68"/>
      <c r="P5" s="96">
        <f t="shared" si="0"/>
        <v>377</v>
      </c>
      <c r="Q5" s="98">
        <f>F14</f>
        <v>716.3</v>
      </c>
      <c r="T5" s="97">
        <f t="shared" ref="T5:T7" si="1">$F$7</f>
        <v>300</v>
      </c>
      <c r="U5" s="98">
        <f>F8</f>
        <v>900</v>
      </c>
    </row>
    <row r="6" spans="2:21" ht="13.15" customHeight="1">
      <c r="B6" s="2"/>
      <c r="C6" s="2"/>
      <c r="D6" s="2"/>
      <c r="E6" s="2"/>
      <c r="F6" s="2"/>
      <c r="G6" s="106"/>
      <c r="I6" s="68"/>
      <c r="J6" s="72">
        <v>250</v>
      </c>
      <c r="K6" s="95">
        <v>1080</v>
      </c>
      <c r="L6" s="95">
        <v>475</v>
      </c>
      <c r="M6" s="95">
        <v>1555</v>
      </c>
      <c r="N6" s="68"/>
      <c r="P6" s="96">
        <f t="shared" si="0"/>
        <v>377</v>
      </c>
      <c r="Q6" s="98">
        <f>F14</f>
        <v>716.3</v>
      </c>
      <c r="T6" s="97">
        <f t="shared" si="1"/>
        <v>300</v>
      </c>
      <c r="U6" s="203">
        <f>F9</f>
        <v>570</v>
      </c>
    </row>
    <row r="7" spans="2:21" ht="13.15" customHeight="1">
      <c r="B7" s="2"/>
      <c r="C7" s="33" t="s">
        <v>55</v>
      </c>
      <c r="D7" s="107"/>
      <c r="E7" s="108"/>
      <c r="F7" s="39">
        <v>300</v>
      </c>
      <c r="G7" s="106"/>
      <c r="I7" s="68"/>
      <c r="J7" s="72">
        <v>300</v>
      </c>
      <c r="K7" s="95">
        <v>900</v>
      </c>
      <c r="L7" s="95">
        <v>570</v>
      </c>
      <c r="M7" s="95">
        <v>1470</v>
      </c>
      <c r="N7" s="68"/>
      <c r="P7" s="96">
        <f t="shared" si="0"/>
        <v>377</v>
      </c>
      <c r="Q7" s="97">
        <v>0</v>
      </c>
      <c r="T7" s="97">
        <f t="shared" si="1"/>
        <v>300</v>
      </c>
      <c r="U7" s="98">
        <v>0</v>
      </c>
    </row>
    <row r="8" spans="2:21" ht="13.15" customHeight="1">
      <c r="B8" s="2"/>
      <c r="C8" s="109" t="s">
        <v>56</v>
      </c>
      <c r="D8" s="110"/>
      <c r="E8" s="111"/>
      <c r="F8" s="112">
        <f>F4*F3/F7</f>
        <v>900</v>
      </c>
      <c r="G8" s="106"/>
      <c r="I8" s="68"/>
      <c r="J8" s="72">
        <v>350</v>
      </c>
      <c r="K8" s="95">
        <v>771.42857142857144</v>
      </c>
      <c r="L8" s="95">
        <v>665</v>
      </c>
      <c r="M8" s="95">
        <v>1436.4285714285716</v>
      </c>
      <c r="N8" s="68"/>
    </row>
    <row r="9" spans="2:21" ht="13.15" customHeight="1">
      <c r="B9" s="2"/>
      <c r="C9" s="109" t="s">
        <v>57</v>
      </c>
      <c r="D9" s="110"/>
      <c r="E9" s="111"/>
      <c r="F9" s="112">
        <f>F5*F7/2</f>
        <v>570</v>
      </c>
      <c r="G9" s="106"/>
      <c r="I9" s="68"/>
      <c r="J9" s="72">
        <v>400</v>
      </c>
      <c r="K9" s="95">
        <v>675</v>
      </c>
      <c r="L9" s="95">
        <v>760</v>
      </c>
      <c r="M9" s="95">
        <v>1435</v>
      </c>
      <c r="N9" s="68"/>
      <c r="T9" s="97"/>
      <c r="U9" s="98"/>
    </row>
    <row r="10" spans="2:21" ht="13.15" customHeight="1">
      <c r="B10" s="2"/>
      <c r="C10" s="109" t="s">
        <v>58</v>
      </c>
      <c r="D10" s="110"/>
      <c r="E10" s="111"/>
      <c r="F10" s="112">
        <f>F8+F9</f>
        <v>1470</v>
      </c>
      <c r="G10" s="2"/>
      <c r="I10" s="68"/>
      <c r="J10" s="72">
        <v>450</v>
      </c>
      <c r="K10" s="95">
        <v>600</v>
      </c>
      <c r="L10" s="95">
        <v>855</v>
      </c>
      <c r="M10" s="95">
        <v>1455</v>
      </c>
      <c r="N10" s="68"/>
    </row>
    <row r="11" spans="2:21" ht="13.15" customHeight="1">
      <c r="B11" s="2"/>
      <c r="C11" s="2"/>
      <c r="D11" s="2"/>
      <c r="E11" s="2"/>
      <c r="F11" s="2"/>
      <c r="G11" s="2"/>
      <c r="I11" s="68"/>
      <c r="J11" s="72">
        <v>500</v>
      </c>
      <c r="K11" s="95">
        <v>540</v>
      </c>
      <c r="L11" s="95">
        <v>950</v>
      </c>
      <c r="M11" s="95">
        <v>1490</v>
      </c>
      <c r="N11" s="68"/>
    </row>
    <row r="12" spans="2:21" ht="13.15" customHeight="1">
      <c r="B12" s="113"/>
      <c r="C12" s="33" t="s">
        <v>59</v>
      </c>
      <c r="D12" s="107"/>
      <c r="E12" s="108"/>
      <c r="F12" s="114">
        <f>ROUND(SQRT(2*F4*F3/F5),0)</f>
        <v>377</v>
      </c>
      <c r="G12" s="2"/>
      <c r="I12" s="68"/>
      <c r="J12" s="72">
        <v>550</v>
      </c>
      <c r="K12" s="95">
        <v>490.90909090909093</v>
      </c>
      <c r="L12" s="95">
        <v>1045</v>
      </c>
      <c r="M12" s="95">
        <v>1535.909090909091</v>
      </c>
      <c r="N12" s="68"/>
    </row>
    <row r="13" spans="2:21" ht="13.15" customHeight="1">
      <c r="B13" s="2"/>
      <c r="C13" s="115" t="s">
        <v>60</v>
      </c>
      <c r="D13" s="110"/>
      <c r="E13" s="111"/>
      <c r="F13" s="112">
        <f>F3*F4/F12</f>
        <v>716.18037135278519</v>
      </c>
      <c r="G13" s="2"/>
      <c r="I13" s="68"/>
      <c r="J13" s="72">
        <v>600</v>
      </c>
      <c r="K13" s="95">
        <v>450</v>
      </c>
      <c r="L13" s="95">
        <v>1140</v>
      </c>
      <c r="M13" s="95">
        <v>1590</v>
      </c>
      <c r="N13" s="68"/>
    </row>
    <row r="14" spans="2:21" ht="13.15" customHeight="1">
      <c r="B14" s="2"/>
      <c r="C14" s="115" t="s">
        <v>61</v>
      </c>
      <c r="D14" s="110"/>
      <c r="E14" s="111"/>
      <c r="F14" s="112">
        <f>F5*F12/2</f>
        <v>716.3</v>
      </c>
      <c r="G14" s="2"/>
      <c r="K14" s="116"/>
      <c r="L14" s="116"/>
      <c r="M14" s="116"/>
    </row>
    <row r="15" spans="2:21" ht="13.15" customHeight="1">
      <c r="B15" s="2"/>
      <c r="C15" s="115" t="s">
        <v>62</v>
      </c>
      <c r="D15" s="110"/>
      <c r="E15" s="111"/>
      <c r="F15" s="112">
        <f>F13+F14</f>
        <v>1432.4803713527851</v>
      </c>
      <c r="G15" s="2"/>
    </row>
    <row r="16" spans="2:21" ht="13.15" customHeight="1">
      <c r="B16" s="2"/>
      <c r="C16" s="2"/>
      <c r="D16" s="2"/>
      <c r="E16" s="2"/>
      <c r="F16" s="2"/>
      <c r="G16" s="2"/>
    </row>
    <row r="18" spans="9:13" s="68" customFormat="1"/>
    <row r="19" spans="9:13" s="68" customFormat="1">
      <c r="I19" s="69"/>
      <c r="J19" s="69"/>
      <c r="K19" s="69"/>
      <c r="L19" s="69"/>
      <c r="M19" s="116"/>
    </row>
    <row r="20" spans="9:13" s="68" customFormat="1">
      <c r="I20" s="69"/>
      <c r="J20" s="69"/>
      <c r="K20" s="69"/>
      <c r="L20" s="116"/>
      <c r="M20" s="116"/>
    </row>
    <row r="21" spans="9:13" s="68" customFormat="1">
      <c r="I21" s="69"/>
      <c r="J21" s="69"/>
      <c r="K21" s="116"/>
      <c r="L21" s="116"/>
      <c r="M21" s="116"/>
    </row>
    <row r="22" spans="9:13" s="68" customFormat="1">
      <c r="I22" s="69"/>
      <c r="J22" s="69"/>
      <c r="K22" s="116"/>
      <c r="L22" s="116"/>
      <c r="M22" s="116"/>
    </row>
    <row r="23" spans="9:13" s="68" customFormat="1">
      <c r="I23" s="69"/>
      <c r="J23" s="69"/>
      <c r="K23" s="116"/>
      <c r="L23" s="116"/>
      <c r="M23" s="116"/>
    </row>
    <row r="24" spans="9:13" s="68" customFormat="1">
      <c r="I24" s="69"/>
      <c r="J24" s="69"/>
      <c r="K24" s="116"/>
      <c r="L24" s="116"/>
      <c r="M24" s="116"/>
    </row>
    <row r="25" spans="9:13" s="68" customFormat="1">
      <c r="I25" s="69"/>
      <c r="J25" s="69"/>
      <c r="K25" s="116"/>
      <c r="L25" s="116"/>
      <c r="M25" s="116"/>
    </row>
    <row r="26" spans="9:13" s="68" customFormat="1">
      <c r="I26" s="69"/>
      <c r="J26" s="69"/>
      <c r="K26" s="116"/>
      <c r="L26" s="116"/>
      <c r="M26" s="116"/>
    </row>
    <row r="27" spans="9:13" s="68" customFormat="1">
      <c r="I27" s="69"/>
      <c r="J27" s="69"/>
      <c r="K27" s="116"/>
      <c r="L27" s="116"/>
      <c r="M27" s="116"/>
    </row>
    <row r="28" spans="9:13" s="68" customFormat="1">
      <c r="I28" s="69"/>
      <c r="J28" s="69"/>
      <c r="K28" s="116"/>
      <c r="L28" s="116"/>
      <c r="M28" s="116"/>
    </row>
    <row r="29" spans="9:13" s="68" customFormat="1">
      <c r="I29" s="69"/>
      <c r="J29" s="69"/>
      <c r="K29" s="116"/>
      <c r="L29" s="116"/>
      <c r="M29" s="116"/>
    </row>
    <row r="30" spans="9:13" s="68" customFormat="1">
      <c r="I30" s="69"/>
      <c r="J30" s="69"/>
      <c r="K30" s="116"/>
      <c r="L30" s="116"/>
      <c r="M30" s="116"/>
    </row>
    <row r="31" spans="9:13" s="68" customFormat="1">
      <c r="I31" s="69"/>
      <c r="J31" s="69"/>
      <c r="K31" s="116"/>
      <c r="L31" s="116"/>
      <c r="M31" s="116"/>
    </row>
    <row r="32" spans="9:13" s="68" customFormat="1">
      <c r="I32" s="69"/>
      <c r="J32" s="69"/>
      <c r="K32" s="116"/>
      <c r="L32" s="116"/>
      <c r="M32" s="116"/>
    </row>
    <row r="33" spans="11:20" s="68" customFormat="1">
      <c r="K33" s="116"/>
      <c r="L33" s="116"/>
      <c r="M33" s="116"/>
    </row>
    <row r="34" spans="11:20" s="68" customFormat="1">
      <c r="K34" s="116"/>
      <c r="L34" s="116"/>
      <c r="M34" s="116"/>
    </row>
    <row r="35" spans="11:20" s="68" customFormat="1">
      <c r="K35" s="116"/>
      <c r="L35" s="116"/>
      <c r="M35" s="116"/>
    </row>
    <row r="36" spans="11:20" s="68" customFormat="1">
      <c r="K36" s="116"/>
      <c r="L36" s="116"/>
      <c r="M36" s="116"/>
    </row>
    <row r="37" spans="11:20" s="68" customFormat="1" ht="14">
      <c r="K37" s="116"/>
      <c r="L37" s="116"/>
      <c r="M37" s="116"/>
      <c r="T37" t="str">
        <f>"年需求量="&amp;F3</f>
        <v>年需求量=9000</v>
      </c>
    </row>
    <row r="38" spans="11:20" s="68" customFormat="1" ht="14">
      <c r="K38" s="116"/>
      <c r="L38" s="116"/>
      <c r="M38" s="116"/>
      <c r="T38" t="str">
        <f>"订货量="&amp;F7</f>
        <v>订货量=300</v>
      </c>
    </row>
    <row r="39" spans="11:20" s="68" customFormat="1">
      <c r="K39" s="116"/>
      <c r="L39" s="116"/>
      <c r="M39" s="116"/>
    </row>
    <row r="40" spans="11:20" s="68" customFormat="1">
      <c r="K40" s="116"/>
      <c r="L40" s="116"/>
      <c r="M40" s="116"/>
    </row>
    <row r="41" spans="11:20" s="68" customFormat="1">
      <c r="K41" s="116"/>
      <c r="L41" s="116"/>
      <c r="M41" s="116"/>
    </row>
    <row r="42" spans="11:20" s="68" customFormat="1">
      <c r="K42" s="116"/>
      <c r="L42" s="116"/>
      <c r="M42" s="116"/>
    </row>
    <row r="43" spans="11:20" s="68" customFormat="1">
      <c r="K43" s="116"/>
      <c r="L43" s="116"/>
      <c r="M43" s="116"/>
    </row>
    <row r="44" spans="11:20" s="68" customFormat="1">
      <c r="K44" s="116"/>
      <c r="L44" s="116"/>
      <c r="M44" s="116"/>
    </row>
    <row r="45" spans="11:20" s="68" customFormat="1">
      <c r="K45" s="116"/>
      <c r="L45" s="116"/>
      <c r="M45" s="116"/>
    </row>
    <row r="46" spans="11:20" s="68" customFormat="1">
      <c r="K46" s="116"/>
      <c r="L46" s="116"/>
      <c r="M46" s="116"/>
    </row>
    <row r="47" spans="11:20" s="68" customFormat="1">
      <c r="K47" s="116"/>
      <c r="L47" s="116"/>
      <c r="M47" s="116"/>
    </row>
    <row r="48" spans="11:20" s="68" customFormat="1">
      <c r="K48" s="116"/>
      <c r="L48" s="116"/>
      <c r="M48" s="116"/>
    </row>
    <row r="49" spans="11:13" s="68" customFormat="1">
      <c r="K49" s="116"/>
      <c r="L49" s="116"/>
      <c r="M49" s="116"/>
    </row>
    <row r="50" spans="11:13" s="68" customFormat="1">
      <c r="K50" s="116"/>
      <c r="L50" s="116"/>
      <c r="M50" s="116"/>
    </row>
    <row r="51" spans="11:13" s="68" customFormat="1">
      <c r="K51" s="116"/>
      <c r="L51" s="116"/>
      <c r="M51" s="116"/>
    </row>
    <row r="52" spans="11:13" s="68" customFormat="1">
      <c r="K52" s="116"/>
      <c r="L52" s="116"/>
      <c r="M52" s="116"/>
    </row>
    <row r="53" spans="11:13" s="68" customFormat="1">
      <c r="K53" s="116"/>
      <c r="L53" s="116"/>
      <c r="M53" s="116"/>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Spinner 1">
              <controlPr defaultSize="0" autoPict="0">
                <anchor moveWithCells="1" sizeWithCells="1">
                  <from>
                    <xdr:col>5</xdr:col>
                    <xdr:colOff>120650</xdr:colOff>
                    <xdr:row>29</xdr:row>
                    <xdr:rowOff>50800</xdr:rowOff>
                  </from>
                  <to>
                    <xdr:col>6</xdr:col>
                    <xdr:colOff>25400</xdr:colOff>
                    <xdr:row>31</xdr:row>
                    <xdr:rowOff>50800</xdr:rowOff>
                  </to>
                </anchor>
              </controlPr>
            </control>
          </mc:Choice>
        </mc:AlternateContent>
        <mc:AlternateContent xmlns:mc="http://schemas.openxmlformats.org/markup-compatibility/2006">
          <mc:Choice Requires="x14">
            <control shapeId="5122" r:id="rId4" name="Spinner 2">
              <controlPr defaultSize="0" autoPict="0">
                <anchor moveWithCells="1" sizeWithCells="1">
                  <from>
                    <xdr:col>11</xdr:col>
                    <xdr:colOff>57150</xdr:colOff>
                    <xdr:row>29</xdr:row>
                    <xdr:rowOff>25400</xdr:rowOff>
                  </from>
                  <to>
                    <xdr:col>11</xdr:col>
                    <xdr:colOff>355600</xdr:colOff>
                    <xdr:row>31</xdr:row>
                    <xdr:rowOff>31750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53"/>
  <sheetViews>
    <sheetView workbookViewId="0">
      <selection activeCell="AA34" sqref="AA34"/>
    </sheetView>
  </sheetViews>
  <sheetFormatPr defaultColWidth="8.90625" defaultRowHeight="12.5"/>
  <cols>
    <col min="1" max="1" width="1.08984375" style="68" customWidth="1"/>
    <col min="2" max="2" width="2.36328125" style="68" customWidth="1"/>
    <col min="3" max="3" width="5.36328125" style="68" customWidth="1"/>
    <col min="4" max="6" width="7.36328125" style="68" customWidth="1"/>
    <col min="7" max="7" width="2.36328125" style="68" customWidth="1"/>
    <col min="8" max="8" width="1.08984375" style="68" customWidth="1"/>
    <col min="9" max="9" width="2.36328125" style="69" customWidth="1"/>
    <col min="10" max="10" width="5.90625" style="69" customWidth="1"/>
    <col min="11" max="11" width="10" style="69" customWidth="1"/>
    <col min="12" max="16" width="6" style="69" customWidth="1"/>
    <col min="17" max="17" width="6.453125" style="69" customWidth="1"/>
    <col min="18" max="18" width="6.90625" style="69" customWidth="1"/>
    <col min="19" max="19" width="1.08984375" style="68" customWidth="1"/>
    <col min="20" max="16384" width="8.90625" style="68"/>
  </cols>
  <sheetData>
    <row r="1" spans="2:19">
      <c r="I1" s="68"/>
      <c r="J1" s="68"/>
      <c r="K1" s="68"/>
      <c r="L1" s="68"/>
      <c r="M1" s="68"/>
      <c r="N1" s="68"/>
      <c r="O1" s="68"/>
      <c r="P1" s="68"/>
      <c r="Q1" s="68"/>
      <c r="R1" s="68"/>
    </row>
    <row r="2" spans="2:19">
      <c r="B2" s="2"/>
      <c r="C2" s="2"/>
      <c r="D2" s="2"/>
      <c r="E2" s="2"/>
      <c r="F2" s="2"/>
      <c r="G2" s="2"/>
      <c r="H2" s="87"/>
      <c r="I2" s="68"/>
      <c r="J2" s="117">
        <f>F10</f>
        <v>1130</v>
      </c>
      <c r="K2" s="118">
        <v>5000</v>
      </c>
      <c r="L2" s="118">
        <v>5000</v>
      </c>
      <c r="M2" s="118">
        <v>6000</v>
      </c>
      <c r="N2" s="118">
        <v>7000</v>
      </c>
      <c r="O2" s="118">
        <v>8000</v>
      </c>
      <c r="P2" s="118">
        <v>9000</v>
      </c>
      <c r="Q2" s="118">
        <v>10000</v>
      </c>
      <c r="R2" s="68"/>
    </row>
    <row r="3" spans="2:19" ht="13">
      <c r="B3" s="2"/>
      <c r="C3" s="89" t="s">
        <v>52</v>
      </c>
      <c r="D3" s="90"/>
      <c r="E3" s="91"/>
      <c r="F3" s="92">
        <f>K2</f>
        <v>5000</v>
      </c>
      <c r="G3" s="119"/>
      <c r="H3" s="87"/>
      <c r="I3" s="68"/>
      <c r="J3" s="72">
        <v>100</v>
      </c>
      <c r="K3" s="120">
        <f t="dataTable" ref="K3:Q13" dt2D="1" dtr="1" r1="F3" r2="F7"/>
        <v>1690</v>
      </c>
      <c r="L3" s="120">
        <v>1690</v>
      </c>
      <c r="M3" s="120">
        <v>1990</v>
      </c>
      <c r="N3" s="120">
        <v>2290</v>
      </c>
      <c r="O3" s="120">
        <v>2590</v>
      </c>
      <c r="P3" s="120">
        <v>2890</v>
      </c>
      <c r="Q3" s="120">
        <v>3190</v>
      </c>
      <c r="R3" s="68"/>
      <c r="S3" s="87"/>
    </row>
    <row r="4" spans="2:19" ht="13">
      <c r="B4" s="2"/>
      <c r="C4" s="99" t="s">
        <v>53</v>
      </c>
      <c r="D4" s="100"/>
      <c r="E4" s="101"/>
      <c r="F4" s="102">
        <v>30</v>
      </c>
      <c r="G4" s="121"/>
      <c r="H4" s="104"/>
      <c r="I4" s="68"/>
      <c r="J4" s="72">
        <v>150</v>
      </c>
      <c r="K4" s="122">
        <v>1285</v>
      </c>
      <c r="L4" s="122">
        <v>1285</v>
      </c>
      <c r="M4" s="122">
        <v>1485</v>
      </c>
      <c r="N4" s="122">
        <v>1685</v>
      </c>
      <c r="O4" s="122">
        <v>1885</v>
      </c>
      <c r="P4" s="122">
        <v>2085</v>
      </c>
      <c r="Q4" s="122">
        <v>2285</v>
      </c>
      <c r="R4" s="68"/>
    </row>
    <row r="5" spans="2:19" ht="13">
      <c r="B5" s="2"/>
      <c r="C5" s="99" t="s">
        <v>63</v>
      </c>
      <c r="D5" s="100"/>
      <c r="E5" s="101"/>
      <c r="F5" s="105">
        <v>3.8</v>
      </c>
      <c r="G5" s="123"/>
      <c r="I5" s="68"/>
      <c r="J5" s="72">
        <v>200</v>
      </c>
      <c r="K5" s="122">
        <v>1130</v>
      </c>
      <c r="L5" s="122">
        <v>1130</v>
      </c>
      <c r="M5" s="122">
        <v>1280</v>
      </c>
      <c r="N5" s="122">
        <v>1430</v>
      </c>
      <c r="O5" s="122">
        <v>1580</v>
      </c>
      <c r="P5" s="122">
        <v>1730</v>
      </c>
      <c r="Q5" s="122">
        <v>1880</v>
      </c>
      <c r="R5" s="68"/>
    </row>
    <row r="6" spans="2:19">
      <c r="B6" s="2"/>
      <c r="C6" s="2"/>
      <c r="D6" s="2"/>
      <c r="E6" s="2"/>
      <c r="F6" s="2"/>
      <c r="G6" s="123"/>
      <c r="I6" s="68"/>
      <c r="J6" s="72">
        <v>250</v>
      </c>
      <c r="K6" s="122">
        <v>1075</v>
      </c>
      <c r="L6" s="122">
        <v>1075</v>
      </c>
      <c r="M6" s="122">
        <v>1195</v>
      </c>
      <c r="N6" s="122">
        <v>1315</v>
      </c>
      <c r="O6" s="122">
        <v>1435</v>
      </c>
      <c r="P6" s="122">
        <v>1555</v>
      </c>
      <c r="Q6" s="122">
        <v>1675</v>
      </c>
      <c r="R6" s="68"/>
    </row>
    <row r="7" spans="2:19" ht="13">
      <c r="B7" s="2"/>
      <c r="C7" s="33" t="s">
        <v>55</v>
      </c>
      <c r="D7" s="107"/>
      <c r="E7" s="108"/>
      <c r="F7" s="39">
        <v>200</v>
      </c>
      <c r="G7" s="123"/>
      <c r="I7" s="68"/>
      <c r="J7" s="72">
        <v>300</v>
      </c>
      <c r="K7" s="122">
        <v>1070</v>
      </c>
      <c r="L7" s="122">
        <v>1070</v>
      </c>
      <c r="M7" s="122">
        <v>1170</v>
      </c>
      <c r="N7" s="122">
        <v>1270</v>
      </c>
      <c r="O7" s="122">
        <v>1370</v>
      </c>
      <c r="P7" s="122">
        <v>1470</v>
      </c>
      <c r="Q7" s="122">
        <v>1570</v>
      </c>
      <c r="R7" s="68"/>
    </row>
    <row r="8" spans="2:19" ht="13">
      <c r="B8" s="2"/>
      <c r="C8" s="109" t="s">
        <v>56</v>
      </c>
      <c r="D8" s="110"/>
      <c r="E8" s="111"/>
      <c r="F8" s="112">
        <f>F3*F4/F7</f>
        <v>750</v>
      </c>
      <c r="G8" s="123"/>
      <c r="I8" s="68"/>
      <c r="J8" s="72">
        <v>350</v>
      </c>
      <c r="K8" s="122">
        <v>1093.5714285714284</v>
      </c>
      <c r="L8" s="122">
        <v>1093.5714285714284</v>
      </c>
      <c r="M8" s="122">
        <v>1179.2857142857142</v>
      </c>
      <c r="N8" s="122">
        <v>1265</v>
      </c>
      <c r="O8" s="122">
        <v>1350.7142857142858</v>
      </c>
      <c r="P8" s="122">
        <v>1436.4285714285716</v>
      </c>
      <c r="Q8" s="122">
        <v>1522.1428571428571</v>
      </c>
      <c r="R8" s="68"/>
    </row>
    <row r="9" spans="2:19" ht="13">
      <c r="B9" s="2"/>
      <c r="C9" s="109" t="s">
        <v>57</v>
      </c>
      <c r="D9" s="110"/>
      <c r="E9" s="111"/>
      <c r="F9" s="112">
        <f>F5*F7/2</f>
        <v>380</v>
      </c>
      <c r="G9" s="123"/>
      <c r="I9" s="68"/>
      <c r="J9" s="72">
        <v>400</v>
      </c>
      <c r="K9" s="122">
        <v>1135</v>
      </c>
      <c r="L9" s="122">
        <v>1135</v>
      </c>
      <c r="M9" s="122">
        <v>1210</v>
      </c>
      <c r="N9" s="122">
        <v>1285</v>
      </c>
      <c r="O9" s="122">
        <v>1360</v>
      </c>
      <c r="P9" s="122">
        <v>1435</v>
      </c>
      <c r="Q9" s="122">
        <v>1510</v>
      </c>
      <c r="R9" s="68"/>
    </row>
    <row r="10" spans="2:19" ht="13">
      <c r="B10" s="2"/>
      <c r="C10" s="109" t="s">
        <v>58</v>
      </c>
      <c r="D10" s="110"/>
      <c r="E10" s="111"/>
      <c r="F10" s="112">
        <f>F8+F9</f>
        <v>1130</v>
      </c>
      <c r="G10" s="2"/>
      <c r="I10" s="68"/>
      <c r="J10" s="72">
        <v>450</v>
      </c>
      <c r="K10" s="122">
        <v>1188.3333333333333</v>
      </c>
      <c r="L10" s="122">
        <v>1188.3333333333333</v>
      </c>
      <c r="M10" s="122">
        <v>1255</v>
      </c>
      <c r="N10" s="122">
        <v>1321.6666666666667</v>
      </c>
      <c r="O10" s="122">
        <v>1388.3333333333335</v>
      </c>
      <c r="P10" s="122">
        <v>1455</v>
      </c>
      <c r="Q10" s="122">
        <v>1521.6666666666665</v>
      </c>
      <c r="R10" s="68"/>
    </row>
    <row r="11" spans="2:19">
      <c r="B11" s="2"/>
      <c r="C11" s="2"/>
      <c r="D11" s="2"/>
      <c r="E11" s="2"/>
      <c r="F11" s="2"/>
      <c r="G11" s="2"/>
      <c r="I11" s="68"/>
      <c r="J11" s="72">
        <v>500</v>
      </c>
      <c r="K11" s="122">
        <v>1250</v>
      </c>
      <c r="L11" s="122">
        <v>1250</v>
      </c>
      <c r="M11" s="122">
        <v>1310</v>
      </c>
      <c r="N11" s="122">
        <v>1370</v>
      </c>
      <c r="O11" s="122">
        <v>1430</v>
      </c>
      <c r="P11" s="122">
        <v>1490</v>
      </c>
      <c r="Q11" s="122">
        <v>1550</v>
      </c>
      <c r="R11" s="68"/>
    </row>
    <row r="12" spans="2:19" ht="14">
      <c r="B12" s="113"/>
      <c r="C12" s="33" t="s">
        <v>64</v>
      </c>
      <c r="D12" s="107"/>
      <c r="E12" s="108"/>
      <c r="F12" s="86">
        <f>ROUND(SQRT(2*F3*F4/F5),0)</f>
        <v>281</v>
      </c>
      <c r="G12" s="2"/>
      <c r="I12" s="68"/>
      <c r="J12" s="72">
        <v>550</v>
      </c>
      <c r="K12" s="122">
        <v>1317.7272727272727</v>
      </c>
      <c r="L12" s="122">
        <v>1317.7272727272727</v>
      </c>
      <c r="M12" s="122">
        <v>1372.2727272727273</v>
      </c>
      <c r="N12" s="122">
        <v>1426.8181818181818</v>
      </c>
      <c r="O12" s="122">
        <v>1481.3636363636365</v>
      </c>
      <c r="P12" s="122">
        <v>1535.909090909091</v>
      </c>
      <c r="Q12" s="122">
        <v>1590.4545454545455</v>
      </c>
      <c r="R12" s="68"/>
    </row>
    <row r="13" spans="2:19" ht="13">
      <c r="B13" s="2"/>
      <c r="C13" s="115" t="s">
        <v>62</v>
      </c>
      <c r="D13" s="110"/>
      <c r="E13" s="111"/>
      <c r="F13" s="112">
        <f>F5*F12</f>
        <v>1067.8</v>
      </c>
      <c r="G13" s="2"/>
      <c r="I13" s="68"/>
      <c r="J13" s="72">
        <v>600</v>
      </c>
      <c r="K13" s="122">
        <v>1390</v>
      </c>
      <c r="L13" s="122">
        <v>1390</v>
      </c>
      <c r="M13" s="122">
        <v>1440</v>
      </c>
      <c r="N13" s="122">
        <v>1490</v>
      </c>
      <c r="O13" s="122">
        <v>1540</v>
      </c>
      <c r="P13" s="122">
        <v>1590</v>
      </c>
      <c r="Q13" s="122">
        <v>1640</v>
      </c>
      <c r="R13" s="68"/>
    </row>
    <row r="14" spans="2:19">
      <c r="B14" s="2"/>
      <c r="C14" s="2"/>
      <c r="D14" s="2"/>
      <c r="E14" s="2"/>
      <c r="F14" s="2"/>
      <c r="G14" s="2"/>
      <c r="L14" s="116"/>
      <c r="M14" s="116"/>
      <c r="N14" s="116"/>
      <c r="O14" s="116"/>
      <c r="P14" s="116"/>
      <c r="Q14" s="116"/>
    </row>
    <row r="15" spans="2:19" ht="14">
      <c r="C15" s="78" t="s">
        <v>65</v>
      </c>
    </row>
    <row r="16" spans="2:19">
      <c r="C16" s="124">
        <f>$F$12</f>
        <v>281</v>
      </c>
      <c r="D16" s="124">
        <f t="shared" ref="D16:E16" si="0">$F$12</f>
        <v>281</v>
      </c>
      <c r="E16" s="124">
        <f t="shared" si="0"/>
        <v>281</v>
      </c>
      <c r="F16" s="124"/>
      <c r="K16" s="204"/>
      <c r="L16" s="126">
        <v>5000</v>
      </c>
      <c r="M16" s="126">
        <v>6000</v>
      </c>
      <c r="N16" s="126">
        <v>7000</v>
      </c>
      <c r="O16" s="126">
        <v>8000</v>
      </c>
      <c r="P16" s="126">
        <v>9000</v>
      </c>
      <c r="Q16" s="126">
        <v>10000</v>
      </c>
    </row>
    <row r="17" spans="3:23">
      <c r="C17" s="122">
        <v>500</v>
      </c>
      <c r="D17" s="124">
        <f>F13</f>
        <v>1067.8</v>
      </c>
      <c r="E17" s="73">
        <v>2500</v>
      </c>
      <c r="F17" s="125"/>
      <c r="K17" s="127">
        <f>F12</f>
        <v>281</v>
      </c>
      <c r="L17" s="122">
        <f t="dataTable" ref="L17:Q18" dt2D="0" dtr="1" r1="F3" ca="1"/>
        <v>281</v>
      </c>
      <c r="M17" s="122">
        <v>308</v>
      </c>
      <c r="N17" s="122">
        <v>332</v>
      </c>
      <c r="O17" s="122">
        <v>355</v>
      </c>
      <c r="P17" s="122">
        <v>377</v>
      </c>
      <c r="Q17" s="122">
        <v>397</v>
      </c>
      <c r="R17" s="68"/>
    </row>
    <row r="18" spans="3:23" ht="13">
      <c r="F18" s="128" t="s">
        <v>66</v>
      </c>
      <c r="I18" s="68"/>
      <c r="K18" s="126">
        <f>F13</f>
        <v>1067.8</v>
      </c>
      <c r="L18" s="122">
        <v>1067.8</v>
      </c>
      <c r="M18" s="122">
        <v>1170.3999999999999</v>
      </c>
      <c r="N18" s="122">
        <v>1261.5999999999999</v>
      </c>
      <c r="O18" s="122">
        <v>1349</v>
      </c>
      <c r="P18" s="122">
        <v>1432.6</v>
      </c>
      <c r="Q18" s="122">
        <v>1508.6</v>
      </c>
      <c r="R18" s="68"/>
    </row>
    <row r="21" spans="3:23">
      <c r="L21" s="116"/>
      <c r="M21" s="116"/>
      <c r="N21" s="116"/>
      <c r="O21" s="116"/>
      <c r="P21" s="116"/>
      <c r="Q21" s="116"/>
      <c r="R21" s="68"/>
    </row>
    <row r="22" spans="3:23">
      <c r="L22" s="116"/>
      <c r="M22" s="116"/>
      <c r="N22" s="116"/>
      <c r="O22" s="116"/>
      <c r="P22" s="116"/>
      <c r="Q22" s="116"/>
      <c r="R22" s="68"/>
    </row>
    <row r="23" spans="3:23">
      <c r="L23" s="116"/>
      <c r="M23" s="116"/>
      <c r="N23" s="116"/>
      <c r="O23" s="116"/>
      <c r="P23" s="116"/>
      <c r="Q23" s="116"/>
      <c r="R23" s="68"/>
    </row>
    <row r="24" spans="3:23">
      <c r="L24" s="116"/>
      <c r="M24" s="116"/>
      <c r="N24" s="116"/>
      <c r="O24" s="116"/>
      <c r="P24" s="116"/>
      <c r="Q24" s="116"/>
      <c r="R24" s="68"/>
    </row>
    <row r="25" spans="3:23">
      <c r="L25" s="116"/>
      <c r="M25" s="116"/>
      <c r="N25" s="116"/>
      <c r="O25" s="116"/>
      <c r="P25" s="116"/>
      <c r="Q25" s="116"/>
      <c r="R25" s="68"/>
    </row>
    <row r="26" spans="3:23">
      <c r="L26" s="116"/>
      <c r="M26" s="116"/>
      <c r="N26" s="116"/>
      <c r="O26" s="116"/>
      <c r="P26" s="116"/>
      <c r="Q26" s="116"/>
      <c r="R26" s="68"/>
    </row>
    <row r="27" spans="3:23">
      <c r="L27" s="116"/>
      <c r="M27" s="116"/>
      <c r="N27" s="116"/>
      <c r="O27" s="116"/>
      <c r="P27" s="116"/>
      <c r="Q27" s="116"/>
      <c r="R27" s="68"/>
    </row>
    <row r="28" spans="3:23">
      <c r="L28" s="116"/>
      <c r="M28" s="116"/>
      <c r="N28" s="116"/>
      <c r="O28" s="116"/>
      <c r="P28" s="116"/>
      <c r="Q28" s="116"/>
      <c r="R28" s="68"/>
    </row>
    <row r="29" spans="3:23">
      <c r="L29" s="116"/>
      <c r="M29" s="116"/>
      <c r="N29" s="116"/>
      <c r="O29" s="116"/>
      <c r="P29" s="116"/>
      <c r="Q29" s="116"/>
      <c r="R29" s="68"/>
    </row>
    <row r="30" spans="3:23">
      <c r="L30" s="116"/>
      <c r="M30" s="116"/>
      <c r="N30" s="116"/>
      <c r="O30" s="116"/>
      <c r="P30" s="116"/>
      <c r="Q30" s="116"/>
      <c r="R30" s="68"/>
    </row>
    <row r="31" spans="3:23">
      <c r="L31" s="116"/>
      <c r="M31" s="116"/>
      <c r="N31" s="116"/>
      <c r="O31" s="116"/>
      <c r="P31" s="116"/>
      <c r="Q31" s="116"/>
      <c r="R31" s="68"/>
    </row>
    <row r="32" spans="3:23" ht="14">
      <c r="L32" s="116"/>
      <c r="M32" s="116"/>
      <c r="N32" s="116"/>
      <c r="O32" s="116"/>
      <c r="P32" s="116"/>
      <c r="Q32" s="116"/>
      <c r="R32" s="68"/>
      <c r="W32" t="str">
        <f>"年需求量="&amp;F3</f>
        <v>年需求量=5000</v>
      </c>
    </row>
    <row r="33" spans="12:17" s="68" customFormat="1">
      <c r="L33" s="116"/>
      <c r="M33" s="116"/>
      <c r="N33" s="116"/>
      <c r="O33" s="116"/>
      <c r="P33" s="116"/>
      <c r="Q33" s="116"/>
    </row>
    <row r="34" spans="12:17" s="68" customFormat="1">
      <c r="L34" s="116"/>
      <c r="M34" s="116"/>
      <c r="N34" s="116"/>
      <c r="O34" s="116"/>
      <c r="P34" s="116"/>
      <c r="Q34" s="116"/>
    </row>
    <row r="35" spans="12:17" s="68" customFormat="1">
      <c r="L35" s="116"/>
      <c r="M35" s="116"/>
      <c r="N35" s="116"/>
      <c r="O35" s="116"/>
      <c r="P35" s="116"/>
      <c r="Q35" s="116"/>
    </row>
    <row r="36" spans="12:17" s="68" customFormat="1">
      <c r="L36" s="116"/>
      <c r="M36" s="116"/>
      <c r="N36" s="116"/>
      <c r="O36" s="116"/>
      <c r="P36" s="116"/>
      <c r="Q36" s="116"/>
    </row>
    <row r="37" spans="12:17" s="68" customFormat="1">
      <c r="L37" s="116"/>
      <c r="M37" s="116"/>
      <c r="N37" s="116"/>
      <c r="O37" s="116"/>
      <c r="P37" s="116"/>
      <c r="Q37" s="116"/>
    </row>
    <row r="38" spans="12:17" s="68" customFormat="1">
      <c r="L38" s="116"/>
      <c r="M38" s="116"/>
      <c r="N38" s="116"/>
      <c r="O38" s="116"/>
      <c r="P38" s="116"/>
      <c r="Q38" s="116"/>
    </row>
    <row r="39" spans="12:17" s="68" customFormat="1">
      <c r="L39" s="116"/>
      <c r="M39" s="116"/>
      <c r="N39" s="116"/>
      <c r="O39" s="116"/>
      <c r="P39" s="116"/>
      <c r="Q39" s="116"/>
    </row>
    <row r="40" spans="12:17" s="68" customFormat="1">
      <c r="L40" s="116"/>
      <c r="M40" s="116"/>
      <c r="N40" s="116"/>
      <c r="O40" s="116"/>
      <c r="P40" s="116"/>
      <c r="Q40" s="116"/>
    </row>
    <row r="41" spans="12:17" s="68" customFormat="1">
      <c r="L41" s="116"/>
      <c r="M41" s="116"/>
      <c r="N41" s="116"/>
      <c r="O41" s="116"/>
      <c r="P41" s="116"/>
      <c r="Q41" s="116"/>
    </row>
    <row r="42" spans="12:17" s="68" customFormat="1">
      <c r="L42" s="116"/>
      <c r="M42" s="116"/>
      <c r="N42" s="116"/>
      <c r="O42" s="116"/>
      <c r="P42" s="116"/>
      <c r="Q42" s="116"/>
    </row>
    <row r="43" spans="12:17" s="68" customFormat="1">
      <c r="L43" s="116"/>
      <c r="M43" s="116"/>
      <c r="N43" s="116"/>
      <c r="O43" s="116"/>
      <c r="P43" s="116"/>
      <c r="Q43" s="116"/>
    </row>
    <row r="44" spans="12:17" s="68" customFormat="1">
      <c r="L44" s="116"/>
      <c r="M44" s="116"/>
      <c r="N44" s="116"/>
      <c r="O44" s="116"/>
      <c r="P44" s="116"/>
      <c r="Q44" s="116"/>
    </row>
    <row r="45" spans="12:17" s="68" customFormat="1">
      <c r="L45" s="116"/>
      <c r="M45" s="116"/>
      <c r="N45" s="116"/>
      <c r="O45" s="116"/>
      <c r="P45" s="116"/>
      <c r="Q45" s="116"/>
    </row>
    <row r="46" spans="12:17" s="68" customFormat="1">
      <c r="L46" s="116"/>
      <c r="M46" s="116"/>
      <c r="N46" s="116"/>
      <c r="O46" s="116"/>
      <c r="P46" s="116"/>
      <c r="Q46" s="116"/>
    </row>
    <row r="47" spans="12:17" s="68" customFormat="1">
      <c r="L47" s="116"/>
      <c r="M47" s="116"/>
      <c r="N47" s="116"/>
      <c r="O47" s="116"/>
      <c r="P47" s="116"/>
      <c r="Q47" s="116"/>
    </row>
    <row r="48" spans="12:17" s="68" customFormat="1">
      <c r="L48" s="116"/>
      <c r="M48" s="116"/>
      <c r="N48" s="116"/>
      <c r="O48" s="116"/>
      <c r="P48" s="116"/>
      <c r="Q48" s="116"/>
    </row>
    <row r="49" spans="12:17" s="68" customFormat="1">
      <c r="L49" s="116"/>
      <c r="M49" s="116"/>
      <c r="N49" s="116"/>
      <c r="O49" s="116"/>
      <c r="P49" s="116"/>
      <c r="Q49" s="116"/>
    </row>
    <row r="50" spans="12:17" s="68" customFormat="1">
      <c r="L50" s="116"/>
      <c r="M50" s="116"/>
      <c r="N50" s="116"/>
      <c r="O50" s="116"/>
      <c r="P50" s="116"/>
      <c r="Q50" s="116"/>
    </row>
    <row r="51" spans="12:17" s="68" customFormat="1">
      <c r="L51" s="116"/>
      <c r="M51" s="116"/>
      <c r="N51" s="116"/>
      <c r="O51" s="116"/>
      <c r="P51" s="116"/>
      <c r="Q51" s="116"/>
    </row>
    <row r="52" spans="12:17" s="68" customFormat="1">
      <c r="L52" s="116"/>
      <c r="M52" s="116"/>
      <c r="N52" s="116"/>
      <c r="O52" s="116"/>
      <c r="P52" s="116"/>
      <c r="Q52" s="116"/>
    </row>
    <row r="53" spans="12:17" s="68" customFormat="1">
      <c r="L53" s="116"/>
      <c r="M53" s="116"/>
      <c r="N53" s="116"/>
      <c r="O53" s="116"/>
      <c r="P53" s="116"/>
      <c r="Q53" s="116"/>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7" r:id="rId3" name="Spinner 3">
              <controlPr defaultSize="0" autoPict="0">
                <anchor moveWithCells="1" sizeWithCells="1">
                  <from>
                    <xdr:col>12</xdr:col>
                    <xdr:colOff>285750</xdr:colOff>
                    <xdr:row>26</xdr:row>
                    <xdr:rowOff>19050</xdr:rowOff>
                  </from>
                  <to>
                    <xdr:col>13</xdr:col>
                    <xdr:colOff>177800</xdr:colOff>
                    <xdr:row>29</xdr:row>
                    <xdr:rowOff>50800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31"/>
  <sheetViews>
    <sheetView topLeftCell="C10" workbookViewId="0">
      <selection activeCell="S40" sqref="S40:S41"/>
    </sheetView>
  </sheetViews>
  <sheetFormatPr defaultColWidth="10" defaultRowHeight="13"/>
  <cols>
    <col min="1" max="1" width="2.7265625" style="129" customWidth="1"/>
    <col min="2" max="2" width="2.08984375" style="129" customWidth="1"/>
    <col min="3" max="3" width="19.08984375" style="129" bestFit="1" customWidth="1"/>
    <col min="4" max="4" width="10.6328125" style="129" bestFit="1" customWidth="1"/>
    <col min="5" max="5" width="2.7265625" style="129" customWidth="1"/>
    <col min="6" max="6" width="1.36328125" style="129" customWidth="1"/>
    <col min="7" max="7" width="2.453125" style="129" customWidth="1"/>
    <col min="8" max="16" width="8.36328125" style="129" bestFit="1" customWidth="1"/>
    <col min="17" max="16384" width="10" style="129"/>
  </cols>
  <sheetData>
    <row r="1" spans="2:16">
      <c r="H1" s="130">
        <v>225</v>
      </c>
    </row>
    <row r="2" spans="2:16">
      <c r="B2" s="2"/>
      <c r="C2" s="2"/>
      <c r="D2" s="2"/>
      <c r="E2" s="2"/>
      <c r="F2" s="68"/>
      <c r="G2" s="78"/>
      <c r="H2" s="131">
        <f>D15</f>
        <v>133500</v>
      </c>
      <c r="I2" s="132">
        <v>22</v>
      </c>
      <c r="J2" s="133">
        <v>22.5</v>
      </c>
      <c r="K2" s="132">
        <v>23</v>
      </c>
      <c r="L2" s="133">
        <v>23.5</v>
      </c>
      <c r="M2" s="132">
        <v>24</v>
      </c>
      <c r="N2" s="133">
        <v>24.5</v>
      </c>
      <c r="O2" s="132">
        <v>25</v>
      </c>
      <c r="P2" s="134">
        <f>H1/10</f>
        <v>22.5</v>
      </c>
    </row>
    <row r="3" spans="2:16" ht="13.5">
      <c r="B3" s="2"/>
      <c r="C3" s="89" t="s">
        <v>52</v>
      </c>
      <c r="D3" s="135">
        <v>5000</v>
      </c>
      <c r="E3" s="2"/>
      <c r="F3" s="68"/>
      <c r="G3" s="78"/>
      <c r="H3" s="133">
        <v>30</v>
      </c>
      <c r="I3" s="136">
        <f t="dataTable" ref="I3:P22" dt2D="1" dtr="1" r1="D7" r2="D11" ca="1"/>
        <v>147700</v>
      </c>
      <c r="J3" s="137">
        <v>147700</v>
      </c>
      <c r="K3" s="138">
        <v>147700</v>
      </c>
      <c r="L3" s="138">
        <v>147700</v>
      </c>
      <c r="M3" s="138">
        <v>147700</v>
      </c>
      <c r="N3" s="138">
        <v>147700</v>
      </c>
      <c r="O3" s="138">
        <v>147700</v>
      </c>
      <c r="P3" s="138">
        <v>147700</v>
      </c>
    </row>
    <row r="4" spans="2:16">
      <c r="B4" s="2"/>
      <c r="C4" s="99" t="s">
        <v>53</v>
      </c>
      <c r="D4" s="135">
        <v>120</v>
      </c>
      <c r="E4" s="2"/>
      <c r="F4" s="68"/>
      <c r="G4" s="78"/>
      <c r="H4" s="133">
        <v>40</v>
      </c>
      <c r="I4" s="137">
        <v>143600</v>
      </c>
      <c r="J4" s="137">
        <v>143600</v>
      </c>
      <c r="K4" s="138">
        <v>143600</v>
      </c>
      <c r="L4" s="138">
        <v>143600</v>
      </c>
      <c r="M4" s="138">
        <v>143600</v>
      </c>
      <c r="N4" s="138">
        <v>143600</v>
      </c>
      <c r="O4" s="138">
        <v>143600</v>
      </c>
      <c r="P4" s="138">
        <v>143600</v>
      </c>
    </row>
    <row r="5" spans="2:16">
      <c r="B5" s="2"/>
      <c r="C5" s="99" t="s">
        <v>54</v>
      </c>
      <c r="D5" s="135">
        <v>180</v>
      </c>
      <c r="E5" s="2"/>
      <c r="F5" s="68"/>
      <c r="G5" s="78"/>
      <c r="H5" s="133">
        <v>50</v>
      </c>
      <c r="I5" s="137">
        <v>141500</v>
      </c>
      <c r="J5" s="137">
        <v>141500</v>
      </c>
      <c r="K5" s="138">
        <v>141500</v>
      </c>
      <c r="L5" s="138">
        <v>141500</v>
      </c>
      <c r="M5" s="138">
        <v>141500</v>
      </c>
      <c r="N5" s="138">
        <v>141500</v>
      </c>
      <c r="O5" s="138">
        <v>141500</v>
      </c>
      <c r="P5" s="138">
        <v>141500</v>
      </c>
    </row>
    <row r="6" spans="2:16">
      <c r="B6" s="2"/>
      <c r="C6" s="99" t="s">
        <v>67</v>
      </c>
      <c r="D6" s="135">
        <v>25</v>
      </c>
      <c r="E6" s="2"/>
      <c r="F6" s="68"/>
      <c r="G6" s="78"/>
      <c r="H6" s="133">
        <v>60</v>
      </c>
      <c r="I6" s="137">
        <v>140400</v>
      </c>
      <c r="J6" s="137">
        <v>140400</v>
      </c>
      <c r="K6" s="138">
        <v>140400</v>
      </c>
      <c r="L6" s="138">
        <v>140400</v>
      </c>
      <c r="M6" s="138">
        <v>140400</v>
      </c>
      <c r="N6" s="138">
        <v>140400</v>
      </c>
      <c r="O6" s="138">
        <v>140400</v>
      </c>
      <c r="P6" s="138">
        <v>140400</v>
      </c>
    </row>
    <row r="7" spans="2:16">
      <c r="B7" s="2"/>
      <c r="C7" s="99" t="s">
        <v>68</v>
      </c>
      <c r="D7" s="139">
        <f>H1/10</f>
        <v>22.5</v>
      </c>
      <c r="E7" s="2"/>
      <c r="F7" s="68"/>
      <c r="G7" s="78"/>
      <c r="H7" s="133">
        <v>70</v>
      </c>
      <c r="I7" s="137">
        <v>139871.42857142858</v>
      </c>
      <c r="J7" s="137">
        <v>139871.42857142858</v>
      </c>
      <c r="K7" s="138">
        <v>139871.42857142858</v>
      </c>
      <c r="L7" s="138">
        <v>139871.42857142858</v>
      </c>
      <c r="M7" s="138">
        <v>139871.42857142858</v>
      </c>
      <c r="N7" s="138">
        <v>139871.42857142858</v>
      </c>
      <c r="O7" s="138">
        <v>139871.42857142858</v>
      </c>
      <c r="P7" s="138">
        <v>139871.42857142858</v>
      </c>
    </row>
    <row r="8" spans="2:16">
      <c r="B8" s="2"/>
      <c r="C8" s="99" t="s">
        <v>69</v>
      </c>
      <c r="D8" s="135">
        <v>200</v>
      </c>
      <c r="E8" s="49"/>
      <c r="F8" s="68"/>
      <c r="G8" s="78"/>
      <c r="H8" s="133">
        <v>80</v>
      </c>
      <c r="I8" s="137">
        <v>139700</v>
      </c>
      <c r="J8" s="137">
        <v>139700</v>
      </c>
      <c r="K8" s="138">
        <v>139700</v>
      </c>
      <c r="L8" s="138">
        <v>139700</v>
      </c>
      <c r="M8" s="138">
        <v>139700</v>
      </c>
      <c r="N8" s="138">
        <v>139700</v>
      </c>
      <c r="O8" s="138">
        <v>139700</v>
      </c>
      <c r="P8" s="138">
        <v>139700</v>
      </c>
    </row>
    <row r="9" spans="2:16">
      <c r="B9" s="2"/>
      <c r="C9" s="109" t="s">
        <v>70</v>
      </c>
      <c r="D9" s="140">
        <f>IF(D11&gt;=D8,D7,D6)</f>
        <v>22.5</v>
      </c>
      <c r="E9" s="2"/>
      <c r="G9" s="78"/>
      <c r="H9" s="133">
        <v>90</v>
      </c>
      <c r="I9" s="137">
        <v>139766.66666666666</v>
      </c>
      <c r="J9" s="137">
        <v>139766.66666666666</v>
      </c>
      <c r="K9" s="138">
        <v>139766.66666666666</v>
      </c>
      <c r="L9" s="138">
        <v>139766.66666666666</v>
      </c>
      <c r="M9" s="138">
        <v>139766.66666666666</v>
      </c>
      <c r="N9" s="138">
        <v>139766.66666666666</v>
      </c>
      <c r="O9" s="138">
        <v>139766.66666666666</v>
      </c>
      <c r="P9" s="138">
        <v>139766.66666666666</v>
      </c>
    </row>
    <row r="10" spans="2:16">
      <c r="B10" s="2"/>
      <c r="C10" s="2"/>
      <c r="D10" s="33" t="s">
        <v>71</v>
      </c>
      <c r="E10" s="2"/>
      <c r="G10" s="78"/>
      <c r="H10" s="133">
        <v>100</v>
      </c>
      <c r="I10" s="137">
        <v>140000</v>
      </c>
      <c r="J10" s="137">
        <v>140000</v>
      </c>
      <c r="K10" s="138">
        <v>140000</v>
      </c>
      <c r="L10" s="138">
        <v>140000</v>
      </c>
      <c r="M10" s="138">
        <v>140000</v>
      </c>
      <c r="N10" s="138">
        <v>140000</v>
      </c>
      <c r="O10" s="138">
        <v>140000</v>
      </c>
      <c r="P10" s="138">
        <v>140000</v>
      </c>
    </row>
    <row r="11" spans="2:16">
      <c r="B11" s="2"/>
      <c r="C11" s="33" t="s">
        <v>55</v>
      </c>
      <c r="D11" s="141">
        <f>D8</f>
        <v>200</v>
      </c>
      <c r="E11" s="2"/>
      <c r="G11" s="78"/>
      <c r="H11" s="133">
        <v>110</v>
      </c>
      <c r="I11" s="137">
        <v>140354.54545454547</v>
      </c>
      <c r="J11" s="137">
        <v>140354.54545454547</v>
      </c>
      <c r="K11" s="138">
        <v>140354.54545454547</v>
      </c>
      <c r="L11" s="138">
        <v>140354.54545454547</v>
      </c>
      <c r="M11" s="138">
        <v>140354.54545454547</v>
      </c>
      <c r="N11" s="138">
        <v>140354.54545454547</v>
      </c>
      <c r="O11" s="138">
        <v>140354.54545454547</v>
      </c>
      <c r="P11" s="138">
        <v>140354.54545454547</v>
      </c>
    </row>
    <row r="12" spans="2:16">
      <c r="B12" s="2"/>
      <c r="C12" s="109" t="s">
        <v>72</v>
      </c>
      <c r="D12" s="142">
        <f>D4*D3/D11</f>
        <v>3000</v>
      </c>
      <c r="E12" s="2"/>
      <c r="G12" s="78"/>
      <c r="H12" s="133">
        <v>120</v>
      </c>
      <c r="I12" s="137">
        <v>140800</v>
      </c>
      <c r="J12" s="137">
        <v>140800</v>
      </c>
      <c r="K12" s="138">
        <v>140800</v>
      </c>
      <c r="L12" s="138">
        <v>140800</v>
      </c>
      <c r="M12" s="138">
        <v>140800</v>
      </c>
      <c r="N12" s="138">
        <v>140800</v>
      </c>
      <c r="O12" s="138">
        <v>140800</v>
      </c>
      <c r="P12" s="138">
        <v>140800</v>
      </c>
    </row>
    <row r="13" spans="2:16">
      <c r="B13" s="2"/>
      <c r="C13" s="109" t="s">
        <v>73</v>
      </c>
      <c r="D13" s="142">
        <f>D5*D11/2</f>
        <v>18000</v>
      </c>
      <c r="E13" s="2"/>
      <c r="G13" s="78"/>
      <c r="H13" s="133">
        <v>130</v>
      </c>
      <c r="I13" s="137">
        <v>141315.38461538462</v>
      </c>
      <c r="J13" s="137">
        <v>141315.38461538462</v>
      </c>
      <c r="K13" s="138">
        <v>141315.38461538462</v>
      </c>
      <c r="L13" s="138">
        <v>141315.38461538462</v>
      </c>
      <c r="M13" s="138">
        <v>141315.38461538462</v>
      </c>
      <c r="N13" s="138">
        <v>141315.38461538462</v>
      </c>
      <c r="O13" s="138">
        <v>141315.38461538462</v>
      </c>
      <c r="P13" s="138">
        <v>141315.38461538462</v>
      </c>
    </row>
    <row r="14" spans="2:16">
      <c r="B14" s="2"/>
      <c r="C14" s="109" t="s">
        <v>74</v>
      </c>
      <c r="D14" s="142">
        <f>D9*D3</f>
        <v>112500</v>
      </c>
      <c r="E14" s="49">
        <v>240</v>
      </c>
      <c r="G14" s="78"/>
      <c r="H14" s="133">
        <v>140</v>
      </c>
      <c r="I14" s="137">
        <v>141885.71428571429</v>
      </c>
      <c r="J14" s="137">
        <v>141885.71428571429</v>
      </c>
      <c r="K14" s="138">
        <v>141885.71428571429</v>
      </c>
      <c r="L14" s="138">
        <v>141885.71428571429</v>
      </c>
      <c r="M14" s="138">
        <v>141885.71428571429</v>
      </c>
      <c r="N14" s="138">
        <v>141885.71428571429</v>
      </c>
      <c r="O14" s="138">
        <v>141885.71428571429</v>
      </c>
      <c r="P14" s="138">
        <v>141885.71428571429</v>
      </c>
    </row>
    <row r="15" spans="2:16">
      <c r="B15" s="2"/>
      <c r="C15" s="109" t="s">
        <v>75</v>
      </c>
      <c r="D15" s="142">
        <f>D12+D13+D14</f>
        <v>133500</v>
      </c>
      <c r="E15" s="2"/>
      <c r="G15" s="78"/>
      <c r="H15" s="133">
        <v>150</v>
      </c>
      <c r="I15" s="137">
        <v>142500</v>
      </c>
      <c r="J15" s="137">
        <v>142500</v>
      </c>
      <c r="K15" s="138">
        <v>142500</v>
      </c>
      <c r="L15" s="138">
        <v>142500</v>
      </c>
      <c r="M15" s="138">
        <v>142500</v>
      </c>
      <c r="N15" s="138">
        <v>142500</v>
      </c>
      <c r="O15" s="138">
        <v>142500</v>
      </c>
      <c r="P15" s="138">
        <v>142500</v>
      </c>
    </row>
    <row r="16" spans="2:16">
      <c r="B16" s="2"/>
      <c r="C16" s="2"/>
      <c r="D16" s="33" t="s">
        <v>76</v>
      </c>
      <c r="E16" s="2"/>
      <c r="G16" s="78"/>
      <c r="H16" s="133">
        <v>160</v>
      </c>
      <c r="I16" s="137">
        <v>143150</v>
      </c>
      <c r="J16" s="137">
        <v>143150</v>
      </c>
      <c r="K16" s="138">
        <v>143150</v>
      </c>
      <c r="L16" s="138">
        <v>143150</v>
      </c>
      <c r="M16" s="138">
        <v>143150</v>
      </c>
      <c r="N16" s="138">
        <v>143150</v>
      </c>
      <c r="O16" s="138">
        <v>143150</v>
      </c>
      <c r="P16" s="138">
        <v>143150</v>
      </c>
    </row>
    <row r="17" spans="2:16">
      <c r="B17" s="2"/>
      <c r="C17" s="33" t="s">
        <v>77</v>
      </c>
      <c r="D17" s="142">
        <f>D26</f>
        <v>81.649658092772611</v>
      </c>
      <c r="E17" s="2"/>
      <c r="G17" s="78"/>
      <c r="H17" s="133">
        <v>170</v>
      </c>
      <c r="I17" s="137">
        <v>143829.41176470587</v>
      </c>
      <c r="J17" s="137">
        <v>143829.41176470587</v>
      </c>
      <c r="K17" s="138">
        <v>143829.41176470587</v>
      </c>
      <c r="L17" s="138">
        <v>143829.41176470587</v>
      </c>
      <c r="M17" s="138">
        <v>143829.41176470587</v>
      </c>
      <c r="N17" s="138">
        <v>143829.41176470587</v>
      </c>
      <c r="O17" s="138">
        <v>143829.41176470587</v>
      </c>
      <c r="P17" s="138">
        <v>143829.41176470587</v>
      </c>
    </row>
    <row r="18" spans="2:16">
      <c r="B18" s="2"/>
      <c r="C18" s="109" t="s">
        <v>72</v>
      </c>
      <c r="D18" s="142">
        <f t="shared" ref="D18:D21" si="0">D27</f>
        <v>7348.4692283495333</v>
      </c>
      <c r="E18" s="2"/>
      <c r="G18" s="78"/>
      <c r="H18" s="133">
        <v>180</v>
      </c>
      <c r="I18" s="137">
        <v>144533.33333333334</v>
      </c>
      <c r="J18" s="137">
        <v>144533.33333333334</v>
      </c>
      <c r="K18" s="138">
        <v>144533.33333333334</v>
      </c>
      <c r="L18" s="138">
        <v>144533.33333333334</v>
      </c>
      <c r="M18" s="138">
        <v>144533.33333333334</v>
      </c>
      <c r="N18" s="138">
        <v>144533.33333333334</v>
      </c>
      <c r="O18" s="138">
        <v>144533.33333333334</v>
      </c>
      <c r="P18" s="138">
        <v>144533.33333333334</v>
      </c>
    </row>
    <row r="19" spans="2:16">
      <c r="B19" s="2"/>
      <c r="C19" s="109" t="s">
        <v>73</v>
      </c>
      <c r="D19" s="142">
        <f t="shared" si="0"/>
        <v>7348.4692283495351</v>
      </c>
      <c r="E19" s="2"/>
      <c r="G19" s="78"/>
      <c r="H19" s="133">
        <v>190</v>
      </c>
      <c r="I19" s="137">
        <v>145257.89473684211</v>
      </c>
      <c r="J19" s="137">
        <v>145257.89473684211</v>
      </c>
      <c r="K19" s="138">
        <v>145257.89473684211</v>
      </c>
      <c r="L19" s="138">
        <v>145257.89473684211</v>
      </c>
      <c r="M19" s="138">
        <v>145257.89473684211</v>
      </c>
      <c r="N19" s="138">
        <v>145257.89473684211</v>
      </c>
      <c r="O19" s="138">
        <v>145257.89473684211</v>
      </c>
      <c r="P19" s="138">
        <v>145257.89473684211</v>
      </c>
    </row>
    <row r="20" spans="2:16">
      <c r="B20" s="2"/>
      <c r="C20" s="109" t="s">
        <v>74</v>
      </c>
      <c r="D20" s="142">
        <f t="shared" si="0"/>
        <v>125000</v>
      </c>
      <c r="E20" s="49">
        <v>241</v>
      </c>
      <c r="G20" s="78"/>
      <c r="H20" s="137">
        <f>D8-0.00001</f>
        <v>199.99999</v>
      </c>
      <c r="I20" s="137">
        <v>145999.99924999999</v>
      </c>
      <c r="J20" s="137">
        <v>145999.99924999999</v>
      </c>
      <c r="K20" s="138">
        <v>145999.99924999999</v>
      </c>
      <c r="L20" s="138">
        <v>145999.99924999999</v>
      </c>
      <c r="M20" s="138">
        <v>145999.99924999999</v>
      </c>
      <c r="N20" s="138">
        <v>145999.99924999999</v>
      </c>
      <c r="O20" s="138">
        <v>145999.99924999999</v>
      </c>
      <c r="P20" s="138">
        <v>145999.99924999999</v>
      </c>
    </row>
    <row r="21" spans="2:16">
      <c r="B21" s="2"/>
      <c r="C21" s="109" t="s">
        <v>75</v>
      </c>
      <c r="D21" s="142">
        <f t="shared" si="0"/>
        <v>139696.93845669908</v>
      </c>
      <c r="E21" s="2"/>
      <c r="G21" s="78"/>
      <c r="H21" s="133">
        <f>D8</f>
        <v>200</v>
      </c>
      <c r="I21" s="137">
        <v>131000</v>
      </c>
      <c r="J21" s="137">
        <v>133500</v>
      </c>
      <c r="K21" s="138">
        <v>136000</v>
      </c>
      <c r="L21" s="138">
        <v>138500</v>
      </c>
      <c r="M21" s="138">
        <v>141000</v>
      </c>
      <c r="N21" s="138">
        <v>143500</v>
      </c>
      <c r="O21" s="138">
        <v>146000</v>
      </c>
      <c r="P21" s="138">
        <v>133500</v>
      </c>
    </row>
    <row r="22" spans="2:16">
      <c r="B22" s="2"/>
      <c r="C22" s="143" t="s">
        <v>78</v>
      </c>
      <c r="D22" s="144"/>
      <c r="E22" s="2"/>
      <c r="G22" s="78"/>
      <c r="H22" s="133">
        <v>350</v>
      </c>
      <c r="I22" s="137">
        <v>143214.28571428571</v>
      </c>
      <c r="J22" s="137">
        <v>145714.28571428571</v>
      </c>
      <c r="K22" s="138">
        <v>148214.28571428571</v>
      </c>
      <c r="L22" s="138">
        <v>150714.28571428571</v>
      </c>
      <c r="M22" s="138">
        <v>153214.28571428571</v>
      </c>
      <c r="N22" s="138">
        <v>155714.28571428571</v>
      </c>
      <c r="O22" s="138">
        <v>158214.28571428571</v>
      </c>
      <c r="P22" s="138">
        <v>145714.28571428571</v>
      </c>
    </row>
    <row r="23" spans="2:16">
      <c r="B23" s="2"/>
      <c r="C23" s="145" t="str">
        <f>C7&amp;"="&amp;D7&amp;"元"</f>
        <v>整车每吨运费=22.5元</v>
      </c>
      <c r="D23" s="144"/>
      <c r="E23" s="2"/>
      <c r="G23" s="78"/>
      <c r="H23" s="78"/>
      <c r="I23" s="78"/>
      <c r="J23" s="78"/>
    </row>
    <row r="24" spans="2:16">
      <c r="B24" s="2"/>
      <c r="C24" s="2"/>
      <c r="D24" s="144"/>
      <c r="E24" s="2"/>
      <c r="L24" s="132"/>
      <c r="M24" s="138">
        <f>D11</f>
        <v>200</v>
      </c>
      <c r="N24" s="138">
        <f>D15</f>
        <v>133500</v>
      </c>
    </row>
    <row r="25" spans="2:16">
      <c r="I25" s="138">
        <f>INDEX(C26:D26,MATCH(J25,C30:D30,0))</f>
        <v>200</v>
      </c>
      <c r="J25" s="138">
        <f>MIN(C30,D30)</f>
        <v>133500</v>
      </c>
      <c r="L25" s="134">
        <v>22</v>
      </c>
      <c r="M25" s="146">
        <f t="dataTable" ref="M25:N31" dt2D="0" dtr="0" r1="D7"/>
        <v>200</v>
      </c>
      <c r="N25" s="146">
        <v>131000</v>
      </c>
    </row>
    <row r="26" spans="2:16">
      <c r="C26" s="129">
        <v>200</v>
      </c>
      <c r="D26" s="129">
        <f>SQRT(2*D3*D4/D5)</f>
        <v>81.649658092772611</v>
      </c>
      <c r="L26" s="134">
        <v>22.5</v>
      </c>
      <c r="M26" s="146">
        <v>200</v>
      </c>
      <c r="N26" s="146">
        <v>133500</v>
      </c>
    </row>
    <row r="27" spans="2:16">
      <c r="C27" s="129">
        <f>D4*D3/C26</f>
        <v>3000</v>
      </c>
      <c r="D27" s="129">
        <f>D4*D3/D26</f>
        <v>7348.4692283495333</v>
      </c>
      <c r="L27" s="134">
        <v>23</v>
      </c>
      <c r="M27" s="146">
        <v>200</v>
      </c>
      <c r="N27" s="146">
        <v>136000</v>
      </c>
    </row>
    <row r="28" spans="2:16">
      <c r="C28" s="129">
        <f>D5*C26/2</f>
        <v>18000</v>
      </c>
      <c r="D28" s="129">
        <f>D26*D5/2</f>
        <v>7348.4692283495351</v>
      </c>
      <c r="L28" s="134">
        <v>23.5</v>
      </c>
      <c r="M28" s="146">
        <v>200</v>
      </c>
      <c r="N28" s="146">
        <v>138500</v>
      </c>
    </row>
    <row r="29" spans="2:16">
      <c r="C29" s="129">
        <f>D7*D3</f>
        <v>112500</v>
      </c>
      <c r="D29" s="129">
        <f>D6*D3</f>
        <v>125000</v>
      </c>
      <c r="L29" s="134">
        <v>24</v>
      </c>
      <c r="M29" s="146">
        <v>200</v>
      </c>
      <c r="N29" s="146">
        <v>141000</v>
      </c>
    </row>
    <row r="30" spans="2:16">
      <c r="C30" s="129">
        <f>C27+C28+C29</f>
        <v>133500</v>
      </c>
      <c r="D30" s="129">
        <f>D27+D28+D29</f>
        <v>139696.93845669908</v>
      </c>
      <c r="L30" s="134">
        <v>24.5</v>
      </c>
      <c r="M30" s="146">
        <v>200</v>
      </c>
      <c r="N30" s="146">
        <v>143500</v>
      </c>
    </row>
    <row r="31" spans="2:16">
      <c r="L31" s="134">
        <v>25</v>
      </c>
      <c r="M31" s="146">
        <v>200</v>
      </c>
      <c r="N31" s="146">
        <v>146000</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69" r:id="rId3" name="Spinner 1">
              <controlPr defaultSize="0" autoPict="0">
                <anchor moveWithCells="1" sizeWithCells="1">
                  <from>
                    <xdr:col>9</xdr:col>
                    <xdr:colOff>527050</xdr:colOff>
                    <xdr:row>36</xdr:row>
                    <xdr:rowOff>101600</xdr:rowOff>
                  </from>
                  <to>
                    <xdr:col>10</xdr:col>
                    <xdr:colOff>368300</xdr:colOff>
                    <xdr:row>39</xdr:row>
                    <xdr:rowOff>12700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9"/>
  <sheetViews>
    <sheetView topLeftCell="B4" zoomScale="88" workbookViewId="0">
      <selection activeCell="J50" sqref="J50"/>
    </sheetView>
  </sheetViews>
  <sheetFormatPr defaultColWidth="10" defaultRowHeight="13"/>
  <cols>
    <col min="1" max="1" width="2.90625" style="148" customWidth="1"/>
    <col min="2" max="2" width="28" style="148" customWidth="1"/>
    <col min="3" max="3" width="17.08984375" style="148" customWidth="1"/>
    <col min="4" max="4" width="2.453125" style="148" customWidth="1"/>
    <col min="5" max="5" width="2.6328125" style="148" customWidth="1"/>
    <col min="6" max="6" width="7.90625" style="148" bestFit="1" customWidth="1"/>
    <col min="7" max="7" width="11.6328125" style="148" bestFit="1" customWidth="1"/>
    <col min="8" max="8" width="1.90625" style="148" customWidth="1"/>
    <col min="9" max="9" width="29" style="148" bestFit="1" customWidth="1"/>
    <col min="10" max="10" width="14.453125" style="148" customWidth="1"/>
    <col min="11" max="11" width="14.08984375" style="148" bestFit="1" customWidth="1"/>
    <col min="12" max="12" width="2.90625" style="148" customWidth="1"/>
    <col min="13" max="13" width="15.7265625" style="148" bestFit="1" customWidth="1"/>
    <col min="14" max="14" width="11.6328125" style="148" bestFit="1" customWidth="1"/>
    <col min="15" max="15" width="3.90625" style="148" customWidth="1"/>
    <col min="16" max="16384" width="10" style="148"/>
  </cols>
  <sheetData>
    <row r="1" spans="1:14">
      <c r="A1" s="147"/>
      <c r="B1" s="147"/>
      <c r="C1" s="147"/>
      <c r="D1" s="147"/>
    </row>
    <row r="2" spans="1:14">
      <c r="A2" s="147"/>
      <c r="B2" s="149" t="s">
        <v>79</v>
      </c>
      <c r="C2" s="150">
        <f>INDEX(J4:J10,MATCH(C9,I4:I10,1))</f>
        <v>0.2</v>
      </c>
      <c r="D2" s="147"/>
      <c r="F2" s="151" t="str">
        <f>B9</f>
        <v>订货量</v>
      </c>
      <c r="G2" s="151" t="str">
        <f>B13</f>
        <v>年总成本</v>
      </c>
      <c r="I2" s="152" t="s">
        <v>80</v>
      </c>
      <c r="J2" s="152"/>
    </row>
    <row r="3" spans="1:14">
      <c r="A3" s="147"/>
      <c r="B3" s="149" t="s">
        <v>81</v>
      </c>
      <c r="C3" s="153">
        <f>INDEX(I4:I10,MATCH(C9,I4:I10,1))</f>
        <v>3000</v>
      </c>
      <c r="D3" s="147"/>
      <c r="G3" s="154">
        <f>C13</f>
        <v>108941.17647058824</v>
      </c>
      <c r="I3" s="149" t="s">
        <v>81</v>
      </c>
      <c r="J3" s="155" t="s">
        <v>82</v>
      </c>
      <c r="M3" s="152" t="s">
        <v>83</v>
      </c>
    </row>
    <row r="4" spans="1:14">
      <c r="A4" s="147"/>
      <c r="B4" s="149" t="s">
        <v>84</v>
      </c>
      <c r="C4" s="156">
        <v>20000</v>
      </c>
      <c r="D4" s="147"/>
      <c r="F4" s="157">
        <v>300</v>
      </c>
      <c r="G4" s="158">
        <f t="dataTable" ref="G4:G23" dt2D="0" dtr="0" r1="C9"/>
        <v>126333.33333333334</v>
      </c>
      <c r="I4" s="159">
        <v>0</v>
      </c>
      <c r="J4" s="160">
        <v>0</v>
      </c>
      <c r="M4" s="161">
        <f>$C$9</f>
        <v>3400</v>
      </c>
      <c r="N4" s="161">
        <v>100000</v>
      </c>
    </row>
    <row r="5" spans="1:14">
      <c r="A5" s="147"/>
      <c r="B5" s="149" t="s">
        <v>85</v>
      </c>
      <c r="C5" s="162">
        <v>500</v>
      </c>
      <c r="D5" s="147"/>
      <c r="F5" s="157">
        <v>400</v>
      </c>
      <c r="G5" s="158">
        <v>119000</v>
      </c>
      <c r="I5" s="163">
        <v>1500</v>
      </c>
      <c r="J5" s="164">
        <v>0.05</v>
      </c>
      <c r="M5" s="161">
        <f>$C$9</f>
        <v>3400</v>
      </c>
      <c r="N5" s="161">
        <v>140000</v>
      </c>
    </row>
    <row r="6" spans="1:14">
      <c r="A6" s="147"/>
      <c r="B6" s="149" t="s">
        <v>86</v>
      </c>
      <c r="C6" s="162">
        <v>20</v>
      </c>
      <c r="D6" s="147"/>
      <c r="F6" s="157">
        <v>500</v>
      </c>
      <c r="G6" s="158">
        <v>115000</v>
      </c>
      <c r="I6" s="163">
        <v>2000</v>
      </c>
      <c r="J6" s="164">
        <v>0.1</v>
      </c>
    </row>
    <row r="7" spans="1:14">
      <c r="A7" s="147"/>
      <c r="B7" s="149" t="s">
        <v>87</v>
      </c>
      <c r="C7" s="162">
        <v>4.5</v>
      </c>
      <c r="D7" s="147"/>
      <c r="F7" s="157">
        <v>600</v>
      </c>
      <c r="G7" s="158">
        <v>112666.66666666667</v>
      </c>
      <c r="I7" s="163">
        <v>2500</v>
      </c>
      <c r="J7" s="164">
        <v>0.15</v>
      </c>
      <c r="M7" s="148" t="s">
        <v>88</v>
      </c>
    </row>
    <row r="8" spans="1:14">
      <c r="A8" s="147"/>
      <c r="B8" s="149" t="s">
        <v>89</v>
      </c>
      <c r="C8" s="165">
        <f>(1-INDEX(J4:J10,MATCH(C9,I4:I10,1)))*C7</f>
        <v>3.6</v>
      </c>
      <c r="D8" s="147"/>
      <c r="F8" s="157">
        <v>700</v>
      </c>
      <c r="G8" s="158">
        <v>111285.71428571429</v>
      </c>
      <c r="I8" s="163">
        <v>3000</v>
      </c>
      <c r="J8" s="164">
        <v>0.2</v>
      </c>
      <c r="M8" s="166">
        <v>0</v>
      </c>
      <c r="N8" s="166">
        <f>$C$13</f>
        <v>108941.17647058824</v>
      </c>
    </row>
    <row r="9" spans="1:14">
      <c r="A9" s="147"/>
      <c r="B9" s="149" t="s">
        <v>90</v>
      </c>
      <c r="C9" s="167">
        <v>3400</v>
      </c>
      <c r="D9" s="147"/>
      <c r="F9" s="157">
        <v>800</v>
      </c>
      <c r="G9" s="158">
        <v>110500</v>
      </c>
      <c r="I9" s="163">
        <v>3500</v>
      </c>
      <c r="J9" s="164">
        <v>0.25</v>
      </c>
      <c r="M9" s="166">
        <v>6000</v>
      </c>
      <c r="N9" s="166">
        <f>$C$13</f>
        <v>108941.17647058824</v>
      </c>
    </row>
    <row r="10" spans="1:14">
      <c r="A10" s="147"/>
      <c r="B10" s="149" t="s">
        <v>91</v>
      </c>
      <c r="C10" s="153">
        <f>C4*C5/C9</f>
        <v>2941.1764705882351</v>
      </c>
      <c r="D10" s="147"/>
      <c r="F10" s="157">
        <v>900</v>
      </c>
      <c r="G10" s="158">
        <v>110111.11111111111</v>
      </c>
      <c r="I10" s="163">
        <v>4000</v>
      </c>
      <c r="J10" s="164">
        <v>0.3</v>
      </c>
      <c r="M10" s="148" t="s">
        <v>92</v>
      </c>
    </row>
    <row r="11" spans="1:14">
      <c r="A11" s="147"/>
      <c r="B11" s="149" t="s">
        <v>93</v>
      </c>
      <c r="C11" s="153">
        <f>C9*C6/2</f>
        <v>34000</v>
      </c>
      <c r="D11" s="147"/>
      <c r="F11" s="157">
        <f>I5-0.001</f>
        <v>1499.999</v>
      </c>
      <c r="G11" s="158">
        <v>111666.66111111408</v>
      </c>
      <c r="M11" s="166">
        <f>C9</f>
        <v>3400</v>
      </c>
      <c r="N11" s="166">
        <f>C13</f>
        <v>108941.17647058824</v>
      </c>
    </row>
    <row r="12" spans="1:14">
      <c r="A12" s="147"/>
      <c r="B12" s="149" t="s">
        <v>94</v>
      </c>
      <c r="C12" s="153">
        <f>C8*C4</f>
        <v>72000</v>
      </c>
      <c r="D12" s="147"/>
      <c r="F12" s="157">
        <f>I5</f>
        <v>1500</v>
      </c>
      <c r="G12" s="158">
        <v>107166.66666666666</v>
      </c>
    </row>
    <row r="13" spans="1:14">
      <c r="A13" s="147"/>
      <c r="B13" s="149" t="s">
        <v>95</v>
      </c>
      <c r="C13" s="168">
        <f>C10+C11+C12</f>
        <v>108941.17647058824</v>
      </c>
      <c r="D13" s="147"/>
      <c r="F13" s="157">
        <f>I6-0.01</f>
        <v>1999.99</v>
      </c>
      <c r="G13" s="158">
        <v>110499.92500012499</v>
      </c>
    </row>
    <row r="14" spans="1:14">
      <c r="A14" s="147"/>
      <c r="B14" s="147"/>
      <c r="C14" s="169"/>
      <c r="D14" s="147"/>
      <c r="F14" s="157">
        <f>I6</f>
        <v>2000</v>
      </c>
      <c r="G14" s="158">
        <v>106000</v>
      </c>
      <c r="K14" s="155"/>
    </row>
    <row r="15" spans="1:14" ht="13.5">
      <c r="A15" s="147"/>
      <c r="B15" s="149" t="s">
        <v>96</v>
      </c>
      <c r="C15" s="170">
        <f>SQRT(2*C4*C5/C6)</f>
        <v>1000</v>
      </c>
      <c r="D15" s="147"/>
      <c r="F15" s="157">
        <f>I7-0.001</f>
        <v>2499.9989999999998</v>
      </c>
      <c r="G15" s="158">
        <v>109999.99160000063</v>
      </c>
      <c r="I15" s="171"/>
      <c r="J15" s="172">
        <f>C15</f>
        <v>1000</v>
      </c>
      <c r="K15" s="173"/>
    </row>
    <row r="16" spans="1:14" ht="13.5">
      <c r="A16" s="147"/>
      <c r="B16" s="174" t="s">
        <v>97</v>
      </c>
      <c r="C16" s="153">
        <f>C4*C5/C15</f>
        <v>10000</v>
      </c>
      <c r="D16" s="147"/>
      <c r="F16" s="157">
        <f>I7</f>
        <v>2500</v>
      </c>
      <c r="G16" s="158">
        <v>105500</v>
      </c>
      <c r="I16" s="171"/>
      <c r="J16" s="172">
        <f t="shared" ref="J16:J21" si="0">I5</f>
        <v>1500</v>
      </c>
      <c r="K16" s="173"/>
    </row>
    <row r="17" spans="1:11" ht="13.5">
      <c r="A17" s="147"/>
      <c r="B17" s="174" t="s">
        <v>98</v>
      </c>
      <c r="C17" s="153">
        <f>C15*C6/2</f>
        <v>10000</v>
      </c>
      <c r="D17" s="147"/>
      <c r="F17" s="157">
        <f>I8-0.001</f>
        <v>2999.9989999999998</v>
      </c>
      <c r="G17" s="158">
        <v>109833.32444444482</v>
      </c>
      <c r="I17" s="171"/>
      <c r="J17" s="172">
        <f t="shared" si="0"/>
        <v>2000</v>
      </c>
      <c r="K17" s="173"/>
    </row>
    <row r="18" spans="1:11" ht="13.5">
      <c r="A18" s="147"/>
      <c r="B18" s="174" t="s">
        <v>99</v>
      </c>
      <c r="C18" s="153">
        <f>C7*C4</f>
        <v>90000</v>
      </c>
      <c r="D18" s="147"/>
      <c r="F18" s="157">
        <f>I8</f>
        <v>3000</v>
      </c>
      <c r="G18" s="158">
        <v>105333.33333333334</v>
      </c>
      <c r="I18" s="171"/>
      <c r="J18" s="172">
        <f t="shared" si="0"/>
        <v>2500</v>
      </c>
      <c r="K18" s="173"/>
    </row>
    <row r="19" spans="1:11" ht="13.5">
      <c r="A19" s="147"/>
      <c r="B19" s="174" t="s">
        <v>100</v>
      </c>
      <c r="C19" s="168">
        <f>C16+C17+C18</f>
        <v>110000</v>
      </c>
      <c r="D19" s="147"/>
      <c r="F19" s="157">
        <f>I9-0.0001</f>
        <v>3499.9998999999998</v>
      </c>
      <c r="G19" s="158">
        <v>109857.14193877552</v>
      </c>
      <c r="I19" s="171"/>
      <c r="J19" s="172">
        <f t="shared" si="0"/>
        <v>3000</v>
      </c>
      <c r="K19" s="173"/>
    </row>
    <row r="20" spans="1:11">
      <c r="A20" s="147"/>
      <c r="B20" s="147"/>
      <c r="C20" s="147"/>
      <c r="D20" s="147"/>
      <c r="F20" s="157">
        <f>I9</f>
        <v>3500</v>
      </c>
      <c r="G20" s="158">
        <v>105357.14285714286</v>
      </c>
      <c r="I20" s="171"/>
      <c r="J20" s="172">
        <f t="shared" si="0"/>
        <v>3500</v>
      </c>
      <c r="K20" s="173"/>
    </row>
    <row r="21" spans="1:11">
      <c r="B21" s="175"/>
      <c r="F21" s="157">
        <f>I10-0.0001</f>
        <v>3999.9998999999998</v>
      </c>
      <c r="G21" s="158">
        <v>109999.99906249999</v>
      </c>
      <c r="I21" s="171"/>
      <c r="J21" s="172">
        <f t="shared" si="0"/>
        <v>4000</v>
      </c>
      <c r="K21" s="173"/>
    </row>
    <row r="22" spans="1:11">
      <c r="B22" s="205">
        <f>MIN(G4:G23)</f>
        <v>105333.33333333334</v>
      </c>
      <c r="C22" s="148">
        <f>INDEX(F4:F23,MATCH(B22,G4:G23,0))</f>
        <v>3000</v>
      </c>
      <c r="F22" s="157">
        <f>I10</f>
        <v>4000</v>
      </c>
      <c r="G22" s="158">
        <v>105500</v>
      </c>
      <c r="I22" s="176"/>
      <c r="J22" s="176"/>
      <c r="K22" s="177"/>
    </row>
    <row r="23" spans="1:11">
      <c r="B23" s="207" t="str">
        <f>"采用订货量="&amp;C22&amp;"的订货方案，年总成本最小值="&amp;C24</f>
        <v>采用订货量=3000的订货方案，年总成本最小值=105333</v>
      </c>
      <c r="C23" s="208"/>
      <c r="D23" s="209"/>
      <c r="F23" s="157">
        <v>6000</v>
      </c>
      <c r="G23" s="158">
        <v>124666.66666666666</v>
      </c>
    </row>
    <row r="24" spans="1:11">
      <c r="B24" s="148">
        <f>C22</f>
        <v>3000</v>
      </c>
      <c r="C24" s="206">
        <f>ROUND(B22,0)</f>
        <v>105333</v>
      </c>
    </row>
    <row r="38" spans="11:14" ht="14">
      <c r="K38" t="str">
        <f>"单位储存成本="&amp;C6</f>
        <v>单位储存成本=20</v>
      </c>
    </row>
    <row r="39" spans="11:14" ht="14">
      <c r="K39" t="str">
        <f>"订货量="&amp;C9</f>
        <v>订货量=3400</v>
      </c>
      <c r="N39" s="178"/>
    </row>
  </sheetData>
  <mergeCells count="1">
    <mergeCell ref="B23:D23"/>
  </mergeCells>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Spinner 1">
              <controlPr defaultSize="0" autoPict="0">
                <anchor moveWithCells="1" sizeWithCells="1">
                  <from>
                    <xdr:col>5</xdr:col>
                    <xdr:colOff>311150</xdr:colOff>
                    <xdr:row>28</xdr:row>
                    <xdr:rowOff>152400</xdr:rowOff>
                  </from>
                  <to>
                    <xdr:col>6</xdr:col>
                    <xdr:colOff>88900</xdr:colOff>
                    <xdr:row>31</xdr:row>
                    <xdr:rowOff>76200</xdr:rowOff>
                  </to>
                </anchor>
              </controlPr>
            </control>
          </mc:Choice>
        </mc:AlternateContent>
        <mc:AlternateContent xmlns:mc="http://schemas.openxmlformats.org/markup-compatibility/2006">
          <mc:Choice Requires="x14">
            <control shapeId="8194" r:id="rId4" name="Spinner 2">
              <controlPr defaultSize="0" autoPict="0">
                <anchor moveWithCells="1" sizeWithCells="1">
                  <from>
                    <xdr:col>8</xdr:col>
                    <xdr:colOff>844550</xdr:colOff>
                    <xdr:row>28</xdr:row>
                    <xdr:rowOff>114300</xdr:rowOff>
                  </from>
                  <to>
                    <xdr:col>8</xdr:col>
                    <xdr:colOff>1231900</xdr:colOff>
                    <xdr:row>31</xdr:row>
                    <xdr:rowOff>19050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3"/>
  <sheetViews>
    <sheetView zoomScale="64" zoomScaleNormal="145" workbookViewId="0">
      <selection activeCell="J19" sqref="J19"/>
    </sheetView>
  </sheetViews>
  <sheetFormatPr defaultColWidth="10" defaultRowHeight="12.5"/>
  <cols>
    <col min="1" max="1" width="2.26953125" style="180" customWidth="1"/>
    <col min="2" max="2" width="16.6328125" style="180" bestFit="1" customWidth="1"/>
    <col min="3" max="3" width="8" style="180" customWidth="1"/>
    <col min="4" max="4" width="2.26953125" style="180" customWidth="1"/>
    <col min="5" max="5" width="1.6328125" style="180" customWidth="1"/>
    <col min="6" max="6" width="4.453125" style="180" bestFit="1" customWidth="1"/>
    <col min="7" max="7" width="7.453125" style="180" bestFit="1" customWidth="1"/>
    <col min="8" max="8" width="6.453125" style="180" bestFit="1" customWidth="1"/>
    <col min="9" max="9" width="2.08984375" style="180" customWidth="1"/>
    <col min="10" max="16384" width="10" style="180"/>
  </cols>
  <sheetData>
    <row r="1" spans="1:10">
      <c r="A1" s="179"/>
      <c r="B1" s="179"/>
      <c r="C1" s="179"/>
      <c r="D1" s="179"/>
    </row>
    <row r="2" spans="1:10" ht="13">
      <c r="A2" s="179"/>
      <c r="B2" s="181" t="s">
        <v>52</v>
      </c>
      <c r="C2" s="182">
        <v>10000</v>
      </c>
      <c r="D2" s="179"/>
      <c r="G2" s="183">
        <f>C10</f>
        <v>520.54794520547944</v>
      </c>
    </row>
    <row r="3" spans="1:10" ht="13">
      <c r="A3" s="179"/>
      <c r="B3" s="181" t="s">
        <v>101</v>
      </c>
      <c r="C3" s="184">
        <f>C2/365</f>
        <v>27.397260273972602</v>
      </c>
      <c r="D3" s="179"/>
      <c r="F3" s="185">
        <v>0</v>
      </c>
      <c r="G3" s="186">
        <f t="dataTable" ref="G3:G103" dt2D="0" dtr="0" r1="C7"/>
        <v>547.94520547945206</v>
      </c>
      <c r="H3" s="186">
        <f>IF($C$7=F3,G3,0)</f>
        <v>0</v>
      </c>
      <c r="J3" s="187"/>
    </row>
    <row r="4" spans="1:10" ht="13">
      <c r="A4" s="179"/>
      <c r="B4" s="149" t="s">
        <v>55</v>
      </c>
      <c r="C4" s="188">
        <f>C3*C5</f>
        <v>547.94520547945206</v>
      </c>
      <c r="D4" s="179"/>
      <c r="F4" s="185">
        <v>1</v>
      </c>
      <c r="G4" s="186">
        <v>520.54794520547944</v>
      </c>
      <c r="H4" s="186">
        <f t="shared" ref="H4:H67" si="0">IF($C$7=F4,G4,0)</f>
        <v>520.54794520547944</v>
      </c>
    </row>
    <row r="5" spans="1:10" ht="13">
      <c r="A5" s="179"/>
      <c r="B5" s="149" t="s">
        <v>102</v>
      </c>
      <c r="C5" s="189">
        <v>20</v>
      </c>
      <c r="D5" s="179"/>
      <c r="F5" s="185">
        <v>2</v>
      </c>
      <c r="G5" s="186">
        <v>493.15068493150687</v>
      </c>
      <c r="H5" s="186">
        <f t="shared" si="0"/>
        <v>0</v>
      </c>
      <c r="J5" s="187"/>
    </row>
    <row r="6" spans="1:10" ht="13">
      <c r="A6" s="179"/>
      <c r="B6" s="149" t="s">
        <v>103</v>
      </c>
      <c r="C6" s="190">
        <v>0</v>
      </c>
      <c r="D6" s="179"/>
      <c r="F6" s="185">
        <v>3</v>
      </c>
      <c r="G6" s="186">
        <v>465.75342465753425</v>
      </c>
      <c r="H6" s="186">
        <f t="shared" si="0"/>
        <v>0</v>
      </c>
    </row>
    <row r="7" spans="1:10" ht="13">
      <c r="A7" s="179"/>
      <c r="B7" s="149" t="s">
        <v>104</v>
      </c>
      <c r="C7" s="189">
        <v>1</v>
      </c>
      <c r="D7" s="179"/>
      <c r="F7" s="185">
        <v>4</v>
      </c>
      <c r="G7" s="186">
        <v>438.35616438356163</v>
      </c>
      <c r="H7" s="186">
        <f t="shared" si="0"/>
        <v>0</v>
      </c>
    </row>
    <row r="8" spans="1:10" ht="13">
      <c r="A8" s="179"/>
      <c r="B8" s="149" t="s">
        <v>105</v>
      </c>
      <c r="C8" s="191">
        <f>INT(C7/C5)</f>
        <v>0</v>
      </c>
      <c r="D8" s="179"/>
      <c r="F8" s="185">
        <v>5</v>
      </c>
      <c r="G8" s="186">
        <v>410.95890410958907</v>
      </c>
      <c r="H8" s="186">
        <f t="shared" si="0"/>
        <v>0</v>
      </c>
    </row>
    <row r="9" spans="1:10" ht="13">
      <c r="A9" s="179"/>
      <c r="B9" s="149" t="s">
        <v>106</v>
      </c>
      <c r="C9" s="191">
        <f>C7-C5*C8</f>
        <v>1</v>
      </c>
      <c r="D9" s="179"/>
      <c r="F9" s="185">
        <v>6</v>
      </c>
      <c r="G9" s="186">
        <v>383.56164383561645</v>
      </c>
      <c r="H9" s="186">
        <f t="shared" si="0"/>
        <v>0</v>
      </c>
    </row>
    <row r="10" spans="1:10" ht="13">
      <c r="A10" s="179"/>
      <c r="B10" s="149" t="s">
        <v>107</v>
      </c>
      <c r="C10" s="170">
        <f>C4-C9*C3</f>
        <v>520.54794520547944</v>
      </c>
      <c r="D10" s="179"/>
      <c r="F10" s="185">
        <v>7</v>
      </c>
      <c r="G10" s="186">
        <v>356.16438356164383</v>
      </c>
      <c r="H10" s="186">
        <f t="shared" si="0"/>
        <v>0</v>
      </c>
    </row>
    <row r="11" spans="1:10">
      <c r="A11" s="179"/>
      <c r="B11" s="179"/>
      <c r="C11" s="179"/>
      <c r="D11" s="179"/>
      <c r="F11" s="185">
        <v>8</v>
      </c>
      <c r="G11" s="186">
        <v>328.76712328767121</v>
      </c>
      <c r="H11" s="186">
        <f t="shared" si="0"/>
        <v>0</v>
      </c>
    </row>
    <row r="12" spans="1:10">
      <c r="B12" s="192" t="str">
        <f>B5&amp;"="&amp;C5&amp;"天"</f>
        <v>订货周期=20天</v>
      </c>
      <c r="F12" s="185">
        <v>9</v>
      </c>
      <c r="G12" s="186">
        <v>301.36986301369865</v>
      </c>
      <c r="H12" s="186">
        <f t="shared" si="0"/>
        <v>0</v>
      </c>
    </row>
    <row r="13" spans="1:10">
      <c r="B13" s="192" t="str">
        <f>B7&amp;"="&amp;C7&amp;"天"</f>
        <v>时间（天）=1天</v>
      </c>
      <c r="F13" s="185">
        <v>10</v>
      </c>
      <c r="G13" s="186">
        <v>273.97260273972603</v>
      </c>
      <c r="H13" s="186">
        <f t="shared" si="0"/>
        <v>0</v>
      </c>
    </row>
    <row r="14" spans="1:10">
      <c r="F14" s="185">
        <v>11</v>
      </c>
      <c r="G14" s="186">
        <v>246.57534246575341</v>
      </c>
      <c r="H14" s="186">
        <f t="shared" si="0"/>
        <v>0</v>
      </c>
    </row>
    <row r="15" spans="1:10">
      <c r="F15" s="185">
        <v>12</v>
      </c>
      <c r="G15" s="186">
        <v>219.17808219178085</v>
      </c>
      <c r="H15" s="186">
        <f t="shared" si="0"/>
        <v>0</v>
      </c>
    </row>
    <row r="16" spans="1:10">
      <c r="F16" s="185">
        <v>13</v>
      </c>
      <c r="G16" s="186">
        <v>191.78082191780823</v>
      </c>
      <c r="H16" s="186">
        <f t="shared" si="0"/>
        <v>0</v>
      </c>
    </row>
    <row r="17" spans="6:8">
      <c r="F17" s="185">
        <v>14</v>
      </c>
      <c r="G17" s="186">
        <v>164.38356164383561</v>
      </c>
      <c r="H17" s="186">
        <f t="shared" si="0"/>
        <v>0</v>
      </c>
    </row>
    <row r="18" spans="6:8">
      <c r="F18" s="185">
        <v>15</v>
      </c>
      <c r="G18" s="186">
        <v>136.98630136986304</v>
      </c>
      <c r="H18" s="186">
        <f t="shared" si="0"/>
        <v>0</v>
      </c>
    </row>
    <row r="19" spans="6:8">
      <c r="F19" s="185">
        <v>16</v>
      </c>
      <c r="G19" s="186">
        <v>109.58904109589042</v>
      </c>
      <c r="H19" s="186">
        <f t="shared" si="0"/>
        <v>0</v>
      </c>
    </row>
    <row r="20" spans="6:8">
      <c r="F20" s="185">
        <v>17</v>
      </c>
      <c r="G20" s="186">
        <v>82.191780821917803</v>
      </c>
      <c r="H20" s="186">
        <f t="shared" si="0"/>
        <v>0</v>
      </c>
    </row>
    <row r="21" spans="6:8">
      <c r="F21" s="185">
        <v>18</v>
      </c>
      <c r="G21" s="186">
        <v>54.79452054794524</v>
      </c>
      <c r="H21" s="186">
        <f t="shared" si="0"/>
        <v>0</v>
      </c>
    </row>
    <row r="22" spans="6:8">
      <c r="F22" s="185">
        <v>19</v>
      </c>
      <c r="G22" s="186">
        <v>27.39726027397262</v>
      </c>
      <c r="H22" s="186">
        <f t="shared" si="0"/>
        <v>0</v>
      </c>
    </row>
    <row r="23" spans="6:8">
      <c r="F23" s="185">
        <v>20</v>
      </c>
      <c r="G23" s="186">
        <v>547.94520547945206</v>
      </c>
      <c r="H23" s="186">
        <f t="shared" si="0"/>
        <v>0</v>
      </c>
    </row>
    <row r="24" spans="6:8">
      <c r="F24" s="185">
        <v>21</v>
      </c>
      <c r="G24" s="186">
        <v>520.54794520547944</v>
      </c>
      <c r="H24" s="186">
        <f t="shared" si="0"/>
        <v>0</v>
      </c>
    </row>
    <row r="25" spans="6:8">
      <c r="F25" s="185">
        <v>22</v>
      </c>
      <c r="G25" s="186">
        <v>493.15068493150687</v>
      </c>
      <c r="H25" s="186">
        <f t="shared" si="0"/>
        <v>0</v>
      </c>
    </row>
    <row r="26" spans="6:8">
      <c r="F26" s="185">
        <v>23</v>
      </c>
      <c r="G26" s="186">
        <v>465.75342465753425</v>
      </c>
      <c r="H26" s="186">
        <f t="shared" si="0"/>
        <v>0</v>
      </c>
    </row>
    <row r="27" spans="6:8">
      <c r="F27" s="185">
        <v>24</v>
      </c>
      <c r="G27" s="186">
        <v>438.35616438356163</v>
      </c>
      <c r="H27" s="186">
        <f t="shared" si="0"/>
        <v>0</v>
      </c>
    </row>
    <row r="28" spans="6:8">
      <c r="F28" s="185">
        <v>25</v>
      </c>
      <c r="G28" s="186">
        <v>410.95890410958907</v>
      </c>
      <c r="H28" s="186">
        <f t="shared" si="0"/>
        <v>0</v>
      </c>
    </row>
    <row r="29" spans="6:8">
      <c r="F29" s="185">
        <v>26</v>
      </c>
      <c r="G29" s="186">
        <v>383.56164383561645</v>
      </c>
      <c r="H29" s="186">
        <f t="shared" si="0"/>
        <v>0</v>
      </c>
    </row>
    <row r="30" spans="6:8">
      <c r="F30" s="185">
        <v>27</v>
      </c>
      <c r="G30" s="186">
        <v>356.16438356164383</v>
      </c>
      <c r="H30" s="186">
        <f t="shared" si="0"/>
        <v>0</v>
      </c>
    </row>
    <row r="31" spans="6:8">
      <c r="F31" s="185">
        <v>28</v>
      </c>
      <c r="G31" s="186">
        <v>328.76712328767121</v>
      </c>
      <c r="H31" s="186">
        <f t="shared" si="0"/>
        <v>0</v>
      </c>
    </row>
    <row r="32" spans="6:8">
      <c r="F32" s="185">
        <v>29</v>
      </c>
      <c r="G32" s="186">
        <v>301.36986301369865</v>
      </c>
      <c r="H32" s="186">
        <f t="shared" si="0"/>
        <v>0</v>
      </c>
    </row>
    <row r="33" spans="6:8">
      <c r="F33" s="185">
        <v>30</v>
      </c>
      <c r="G33" s="186">
        <v>273.97260273972603</v>
      </c>
      <c r="H33" s="186">
        <f t="shared" si="0"/>
        <v>0</v>
      </c>
    </row>
    <row r="34" spans="6:8">
      <c r="F34" s="185">
        <v>31</v>
      </c>
      <c r="G34" s="186">
        <v>246.57534246575341</v>
      </c>
      <c r="H34" s="186">
        <f t="shared" si="0"/>
        <v>0</v>
      </c>
    </row>
    <row r="35" spans="6:8">
      <c r="F35" s="185">
        <v>32</v>
      </c>
      <c r="G35" s="186">
        <v>219.17808219178085</v>
      </c>
      <c r="H35" s="186">
        <f t="shared" si="0"/>
        <v>0</v>
      </c>
    </row>
    <row r="36" spans="6:8">
      <c r="F36" s="185">
        <v>33</v>
      </c>
      <c r="G36" s="186">
        <v>191.78082191780823</v>
      </c>
      <c r="H36" s="186">
        <f t="shared" si="0"/>
        <v>0</v>
      </c>
    </row>
    <row r="37" spans="6:8">
      <c r="F37" s="185">
        <v>34</v>
      </c>
      <c r="G37" s="186">
        <v>164.38356164383561</v>
      </c>
      <c r="H37" s="186">
        <f t="shared" si="0"/>
        <v>0</v>
      </c>
    </row>
    <row r="38" spans="6:8">
      <c r="F38" s="185">
        <v>35</v>
      </c>
      <c r="G38" s="186">
        <v>136.98630136986304</v>
      </c>
      <c r="H38" s="186">
        <f t="shared" si="0"/>
        <v>0</v>
      </c>
    </row>
    <row r="39" spans="6:8">
      <c r="F39" s="185">
        <v>36</v>
      </c>
      <c r="G39" s="186">
        <v>109.58904109589042</v>
      </c>
      <c r="H39" s="186">
        <f t="shared" si="0"/>
        <v>0</v>
      </c>
    </row>
    <row r="40" spans="6:8">
      <c r="F40" s="185">
        <v>37</v>
      </c>
      <c r="G40" s="186">
        <v>82.191780821917803</v>
      </c>
      <c r="H40" s="186">
        <f t="shared" si="0"/>
        <v>0</v>
      </c>
    </row>
    <row r="41" spans="6:8">
      <c r="F41" s="185">
        <v>38</v>
      </c>
      <c r="G41" s="186">
        <v>54.79452054794524</v>
      </c>
      <c r="H41" s="186">
        <f t="shared" si="0"/>
        <v>0</v>
      </c>
    </row>
    <row r="42" spans="6:8">
      <c r="F42" s="185">
        <v>39</v>
      </c>
      <c r="G42" s="186">
        <v>27.39726027397262</v>
      </c>
      <c r="H42" s="186">
        <f t="shared" si="0"/>
        <v>0</v>
      </c>
    </row>
    <row r="43" spans="6:8">
      <c r="F43" s="185">
        <v>40</v>
      </c>
      <c r="G43" s="186">
        <v>547.94520547945206</v>
      </c>
      <c r="H43" s="186">
        <f t="shared" si="0"/>
        <v>0</v>
      </c>
    </row>
    <row r="44" spans="6:8">
      <c r="F44" s="185">
        <v>41</v>
      </c>
      <c r="G44" s="186">
        <v>520.54794520547944</v>
      </c>
      <c r="H44" s="186">
        <f t="shared" si="0"/>
        <v>0</v>
      </c>
    </row>
    <row r="45" spans="6:8">
      <c r="F45" s="185">
        <v>42</v>
      </c>
      <c r="G45" s="186">
        <v>493.15068493150687</v>
      </c>
      <c r="H45" s="186">
        <f t="shared" si="0"/>
        <v>0</v>
      </c>
    </row>
    <row r="46" spans="6:8">
      <c r="F46" s="185">
        <v>43</v>
      </c>
      <c r="G46" s="186">
        <v>465.75342465753425</v>
      </c>
      <c r="H46" s="186">
        <f t="shared" si="0"/>
        <v>0</v>
      </c>
    </row>
    <row r="47" spans="6:8">
      <c r="F47" s="185">
        <v>44</v>
      </c>
      <c r="G47" s="186">
        <v>438.35616438356163</v>
      </c>
      <c r="H47" s="186">
        <f t="shared" si="0"/>
        <v>0</v>
      </c>
    </row>
    <row r="48" spans="6:8">
      <c r="F48" s="185">
        <v>45</v>
      </c>
      <c r="G48" s="186">
        <v>410.95890410958907</v>
      </c>
      <c r="H48" s="186">
        <f t="shared" si="0"/>
        <v>0</v>
      </c>
    </row>
    <row r="49" spans="6:8">
      <c r="F49" s="185">
        <v>46</v>
      </c>
      <c r="G49" s="186">
        <v>383.56164383561645</v>
      </c>
      <c r="H49" s="186">
        <f t="shared" si="0"/>
        <v>0</v>
      </c>
    </row>
    <row r="50" spans="6:8">
      <c r="F50" s="185">
        <v>47</v>
      </c>
      <c r="G50" s="186">
        <v>356.16438356164383</v>
      </c>
      <c r="H50" s="186">
        <f t="shared" si="0"/>
        <v>0</v>
      </c>
    </row>
    <row r="51" spans="6:8">
      <c r="F51" s="185">
        <v>48</v>
      </c>
      <c r="G51" s="186">
        <v>328.76712328767121</v>
      </c>
      <c r="H51" s="186">
        <f t="shared" si="0"/>
        <v>0</v>
      </c>
    </row>
    <row r="52" spans="6:8">
      <c r="F52" s="185">
        <v>49</v>
      </c>
      <c r="G52" s="186">
        <v>301.36986301369865</v>
      </c>
      <c r="H52" s="186">
        <f t="shared" si="0"/>
        <v>0</v>
      </c>
    </row>
    <row r="53" spans="6:8">
      <c r="F53" s="185">
        <v>50</v>
      </c>
      <c r="G53" s="186">
        <v>273.97260273972603</v>
      </c>
      <c r="H53" s="186">
        <f t="shared" si="0"/>
        <v>0</v>
      </c>
    </row>
    <row r="54" spans="6:8">
      <c r="F54" s="185">
        <v>51</v>
      </c>
      <c r="G54" s="186">
        <v>246.57534246575341</v>
      </c>
      <c r="H54" s="186">
        <f t="shared" si="0"/>
        <v>0</v>
      </c>
    </row>
    <row r="55" spans="6:8">
      <c r="F55" s="185">
        <v>52</v>
      </c>
      <c r="G55" s="186">
        <v>219.17808219178085</v>
      </c>
      <c r="H55" s="186">
        <f t="shared" si="0"/>
        <v>0</v>
      </c>
    </row>
    <row r="56" spans="6:8">
      <c r="F56" s="185">
        <v>53</v>
      </c>
      <c r="G56" s="186">
        <v>191.78082191780823</v>
      </c>
      <c r="H56" s="186">
        <f t="shared" si="0"/>
        <v>0</v>
      </c>
    </row>
    <row r="57" spans="6:8">
      <c r="F57" s="185">
        <v>54</v>
      </c>
      <c r="G57" s="186">
        <v>164.38356164383561</v>
      </c>
      <c r="H57" s="186">
        <f t="shared" si="0"/>
        <v>0</v>
      </c>
    </row>
    <row r="58" spans="6:8">
      <c r="F58" s="185">
        <v>55</v>
      </c>
      <c r="G58" s="186">
        <v>136.98630136986304</v>
      </c>
      <c r="H58" s="186">
        <f t="shared" si="0"/>
        <v>0</v>
      </c>
    </row>
    <row r="59" spans="6:8">
      <c r="F59" s="185">
        <v>56</v>
      </c>
      <c r="G59" s="186">
        <v>109.58904109589042</v>
      </c>
      <c r="H59" s="186">
        <f t="shared" si="0"/>
        <v>0</v>
      </c>
    </row>
    <row r="60" spans="6:8">
      <c r="F60" s="185">
        <v>57</v>
      </c>
      <c r="G60" s="186">
        <v>82.191780821917803</v>
      </c>
      <c r="H60" s="186">
        <f t="shared" si="0"/>
        <v>0</v>
      </c>
    </row>
    <row r="61" spans="6:8">
      <c r="F61" s="185">
        <v>58</v>
      </c>
      <c r="G61" s="186">
        <v>54.79452054794524</v>
      </c>
      <c r="H61" s="186">
        <f t="shared" si="0"/>
        <v>0</v>
      </c>
    </row>
    <row r="62" spans="6:8">
      <c r="F62" s="185">
        <v>59</v>
      </c>
      <c r="G62" s="186">
        <v>27.39726027397262</v>
      </c>
      <c r="H62" s="186">
        <f t="shared" si="0"/>
        <v>0</v>
      </c>
    </row>
    <row r="63" spans="6:8">
      <c r="F63" s="185">
        <v>60</v>
      </c>
      <c r="G63" s="186">
        <v>547.94520547945206</v>
      </c>
      <c r="H63" s="186">
        <f t="shared" si="0"/>
        <v>0</v>
      </c>
    </row>
    <row r="64" spans="6:8">
      <c r="F64" s="185">
        <v>61</v>
      </c>
      <c r="G64" s="186">
        <v>520.54794520547944</v>
      </c>
      <c r="H64" s="186">
        <f t="shared" si="0"/>
        <v>0</v>
      </c>
    </row>
    <row r="65" spans="6:8">
      <c r="F65" s="185">
        <v>62</v>
      </c>
      <c r="G65" s="186">
        <v>493.15068493150687</v>
      </c>
      <c r="H65" s="186">
        <f t="shared" si="0"/>
        <v>0</v>
      </c>
    </row>
    <row r="66" spans="6:8">
      <c r="F66" s="185">
        <v>63</v>
      </c>
      <c r="G66" s="186">
        <v>465.75342465753425</v>
      </c>
      <c r="H66" s="186">
        <f t="shared" si="0"/>
        <v>0</v>
      </c>
    </row>
    <row r="67" spans="6:8">
      <c r="F67" s="185">
        <v>64</v>
      </c>
      <c r="G67" s="186">
        <v>438.35616438356163</v>
      </c>
      <c r="H67" s="186">
        <f t="shared" si="0"/>
        <v>0</v>
      </c>
    </row>
    <row r="68" spans="6:8">
      <c r="F68" s="185">
        <v>65</v>
      </c>
      <c r="G68" s="186">
        <v>410.95890410958907</v>
      </c>
      <c r="H68" s="186">
        <f t="shared" ref="H68:H103" si="1">IF($C$7=F68,G68,0)</f>
        <v>0</v>
      </c>
    </row>
    <row r="69" spans="6:8">
      <c r="F69" s="185">
        <v>66</v>
      </c>
      <c r="G69" s="186">
        <v>383.56164383561645</v>
      </c>
      <c r="H69" s="186">
        <f t="shared" si="1"/>
        <v>0</v>
      </c>
    </row>
    <row r="70" spans="6:8">
      <c r="F70" s="185">
        <v>67</v>
      </c>
      <c r="G70" s="186">
        <v>356.16438356164383</v>
      </c>
      <c r="H70" s="186">
        <f t="shared" si="1"/>
        <v>0</v>
      </c>
    </row>
    <row r="71" spans="6:8">
      <c r="F71" s="185">
        <v>68</v>
      </c>
      <c r="G71" s="186">
        <v>328.76712328767121</v>
      </c>
      <c r="H71" s="186">
        <f t="shared" si="1"/>
        <v>0</v>
      </c>
    </row>
    <row r="72" spans="6:8">
      <c r="F72" s="185">
        <v>69</v>
      </c>
      <c r="G72" s="186">
        <v>301.36986301369865</v>
      </c>
      <c r="H72" s="186">
        <f t="shared" si="1"/>
        <v>0</v>
      </c>
    </row>
    <row r="73" spans="6:8">
      <c r="F73" s="185">
        <v>70</v>
      </c>
      <c r="G73" s="186">
        <v>273.97260273972603</v>
      </c>
      <c r="H73" s="186">
        <f t="shared" si="1"/>
        <v>0</v>
      </c>
    </row>
    <row r="74" spans="6:8">
      <c r="F74" s="185">
        <v>71</v>
      </c>
      <c r="G74" s="186">
        <v>246.57534246575341</v>
      </c>
      <c r="H74" s="186">
        <f t="shared" si="1"/>
        <v>0</v>
      </c>
    </row>
    <row r="75" spans="6:8">
      <c r="F75" s="185">
        <v>72</v>
      </c>
      <c r="G75" s="186">
        <v>219.17808219178085</v>
      </c>
      <c r="H75" s="186">
        <f t="shared" si="1"/>
        <v>0</v>
      </c>
    </row>
    <row r="76" spans="6:8">
      <c r="F76" s="185">
        <v>73</v>
      </c>
      <c r="G76" s="186">
        <v>191.78082191780823</v>
      </c>
      <c r="H76" s="186">
        <f t="shared" si="1"/>
        <v>0</v>
      </c>
    </row>
    <row r="77" spans="6:8">
      <c r="F77" s="185">
        <v>74</v>
      </c>
      <c r="G77" s="186">
        <v>164.38356164383561</v>
      </c>
      <c r="H77" s="186">
        <f t="shared" si="1"/>
        <v>0</v>
      </c>
    </row>
    <row r="78" spans="6:8">
      <c r="F78" s="185">
        <v>75</v>
      </c>
      <c r="G78" s="186">
        <v>136.98630136986304</v>
      </c>
      <c r="H78" s="186">
        <f t="shared" si="1"/>
        <v>0</v>
      </c>
    </row>
    <row r="79" spans="6:8">
      <c r="F79" s="185">
        <v>76</v>
      </c>
      <c r="G79" s="186">
        <v>109.58904109589042</v>
      </c>
      <c r="H79" s="186">
        <f t="shared" si="1"/>
        <v>0</v>
      </c>
    </row>
    <row r="80" spans="6:8">
      <c r="F80" s="185">
        <v>77</v>
      </c>
      <c r="G80" s="186">
        <v>82.191780821917803</v>
      </c>
      <c r="H80" s="186">
        <f t="shared" si="1"/>
        <v>0</v>
      </c>
    </row>
    <row r="81" spans="6:8">
      <c r="F81" s="185">
        <v>78</v>
      </c>
      <c r="G81" s="186">
        <v>54.79452054794524</v>
      </c>
      <c r="H81" s="186">
        <f t="shared" si="1"/>
        <v>0</v>
      </c>
    </row>
    <row r="82" spans="6:8">
      <c r="F82" s="185">
        <v>79</v>
      </c>
      <c r="G82" s="186">
        <v>27.39726027397262</v>
      </c>
      <c r="H82" s="186">
        <f t="shared" si="1"/>
        <v>0</v>
      </c>
    </row>
    <row r="83" spans="6:8">
      <c r="F83" s="185">
        <v>80</v>
      </c>
      <c r="G83" s="186">
        <v>547.94520547945206</v>
      </c>
      <c r="H83" s="186">
        <f t="shared" si="1"/>
        <v>0</v>
      </c>
    </row>
    <row r="84" spans="6:8">
      <c r="F84" s="185">
        <v>81</v>
      </c>
      <c r="G84" s="186">
        <v>520.54794520547944</v>
      </c>
      <c r="H84" s="186">
        <f t="shared" si="1"/>
        <v>0</v>
      </c>
    </row>
    <row r="85" spans="6:8">
      <c r="F85" s="185">
        <v>82</v>
      </c>
      <c r="G85" s="186">
        <v>493.15068493150687</v>
      </c>
      <c r="H85" s="186">
        <f t="shared" si="1"/>
        <v>0</v>
      </c>
    </row>
    <row r="86" spans="6:8">
      <c r="F86" s="185">
        <v>83</v>
      </c>
      <c r="G86" s="186">
        <v>465.75342465753425</v>
      </c>
      <c r="H86" s="186">
        <f t="shared" si="1"/>
        <v>0</v>
      </c>
    </row>
    <row r="87" spans="6:8">
      <c r="F87" s="185">
        <v>84</v>
      </c>
      <c r="G87" s="186">
        <v>438.35616438356163</v>
      </c>
      <c r="H87" s="186">
        <f t="shared" si="1"/>
        <v>0</v>
      </c>
    </row>
    <row r="88" spans="6:8">
      <c r="F88" s="185">
        <v>85</v>
      </c>
      <c r="G88" s="186">
        <v>410.95890410958907</v>
      </c>
      <c r="H88" s="186">
        <f t="shared" si="1"/>
        <v>0</v>
      </c>
    </row>
    <row r="89" spans="6:8">
      <c r="F89" s="185">
        <v>86</v>
      </c>
      <c r="G89" s="186">
        <v>383.56164383561645</v>
      </c>
      <c r="H89" s="186">
        <f t="shared" si="1"/>
        <v>0</v>
      </c>
    </row>
    <row r="90" spans="6:8">
      <c r="F90" s="185">
        <v>87</v>
      </c>
      <c r="G90" s="186">
        <v>356.16438356164383</v>
      </c>
      <c r="H90" s="186">
        <f t="shared" si="1"/>
        <v>0</v>
      </c>
    </row>
    <row r="91" spans="6:8">
      <c r="F91" s="185">
        <v>88</v>
      </c>
      <c r="G91" s="186">
        <v>328.76712328767121</v>
      </c>
      <c r="H91" s="186">
        <f t="shared" si="1"/>
        <v>0</v>
      </c>
    </row>
    <row r="92" spans="6:8">
      <c r="F92" s="185">
        <v>89</v>
      </c>
      <c r="G92" s="186">
        <v>301.36986301369865</v>
      </c>
      <c r="H92" s="186">
        <f t="shared" si="1"/>
        <v>0</v>
      </c>
    </row>
    <row r="93" spans="6:8">
      <c r="F93" s="185">
        <v>90</v>
      </c>
      <c r="G93" s="186">
        <v>273.97260273972603</v>
      </c>
      <c r="H93" s="186">
        <f t="shared" si="1"/>
        <v>0</v>
      </c>
    </row>
    <row r="94" spans="6:8">
      <c r="F94" s="185">
        <v>91</v>
      </c>
      <c r="G94" s="186">
        <v>246.57534246575341</v>
      </c>
      <c r="H94" s="186">
        <f t="shared" si="1"/>
        <v>0</v>
      </c>
    </row>
    <row r="95" spans="6:8">
      <c r="F95" s="185">
        <v>92</v>
      </c>
      <c r="G95" s="186">
        <v>219.17808219178085</v>
      </c>
      <c r="H95" s="186">
        <f t="shared" si="1"/>
        <v>0</v>
      </c>
    </row>
    <row r="96" spans="6:8">
      <c r="F96" s="185">
        <v>93</v>
      </c>
      <c r="G96" s="186">
        <v>191.78082191780823</v>
      </c>
      <c r="H96" s="186">
        <f t="shared" si="1"/>
        <v>0</v>
      </c>
    </row>
    <row r="97" spans="6:8">
      <c r="F97" s="185">
        <v>94</v>
      </c>
      <c r="G97" s="186">
        <v>164.38356164383561</v>
      </c>
      <c r="H97" s="186">
        <f t="shared" si="1"/>
        <v>0</v>
      </c>
    </row>
    <row r="98" spans="6:8">
      <c r="F98" s="185">
        <v>95</v>
      </c>
      <c r="G98" s="186">
        <v>136.98630136986304</v>
      </c>
      <c r="H98" s="186">
        <f t="shared" si="1"/>
        <v>0</v>
      </c>
    </row>
    <row r="99" spans="6:8">
      <c r="F99" s="185">
        <v>96</v>
      </c>
      <c r="G99" s="186">
        <v>109.58904109589042</v>
      </c>
      <c r="H99" s="186">
        <f t="shared" si="1"/>
        <v>0</v>
      </c>
    </row>
    <row r="100" spans="6:8">
      <c r="F100" s="185">
        <v>97</v>
      </c>
      <c r="G100" s="186">
        <v>82.191780821917803</v>
      </c>
      <c r="H100" s="186">
        <f t="shared" si="1"/>
        <v>0</v>
      </c>
    </row>
    <row r="101" spans="6:8">
      <c r="F101" s="185">
        <v>98</v>
      </c>
      <c r="G101" s="186">
        <v>54.79452054794524</v>
      </c>
      <c r="H101" s="186">
        <f t="shared" si="1"/>
        <v>0</v>
      </c>
    </row>
    <row r="102" spans="6:8">
      <c r="F102" s="185">
        <v>99</v>
      </c>
      <c r="G102" s="186">
        <v>27.39726027397262</v>
      </c>
      <c r="H102" s="186">
        <f t="shared" si="1"/>
        <v>0</v>
      </c>
    </row>
    <row r="103" spans="6:8">
      <c r="F103" s="185">
        <v>100</v>
      </c>
      <c r="G103" s="186">
        <v>547.94520547945206</v>
      </c>
      <c r="H103" s="186">
        <f t="shared" si="1"/>
        <v>0</v>
      </c>
    </row>
  </sheetData>
  <phoneticPr fontId="10" type="noConversion"/>
  <pageMargins left="0.7" right="0.7" top="0.75" bottom="0.75" header="0.3" footer="0.3"/>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Spinner 1">
              <controlPr defaultSize="0" autoPict="0">
                <anchor moveWithCells="1" sizeWithCells="1">
                  <from>
                    <xdr:col>12</xdr:col>
                    <xdr:colOff>215900</xdr:colOff>
                    <xdr:row>23</xdr:row>
                    <xdr:rowOff>12700</xdr:rowOff>
                  </from>
                  <to>
                    <xdr:col>13</xdr:col>
                    <xdr:colOff>0</xdr:colOff>
                    <xdr:row>26</xdr:row>
                    <xdr:rowOff>107950</xdr:rowOff>
                  </to>
                </anchor>
              </controlPr>
            </control>
          </mc:Choice>
        </mc:AlternateContent>
        <mc:AlternateContent xmlns:mc="http://schemas.openxmlformats.org/markup-compatibility/2006">
          <mc:Choice Requires="x14">
            <control shapeId="9218" r:id="rId5" name="Spinner 2">
              <controlPr defaultSize="0" autoPict="0">
                <anchor moveWithCells="1" sizeWithCells="1">
                  <from>
                    <xdr:col>17</xdr:col>
                    <xdr:colOff>596900</xdr:colOff>
                    <xdr:row>23</xdr:row>
                    <xdr:rowOff>82550</xdr:rowOff>
                  </from>
                  <to>
                    <xdr:col>18</xdr:col>
                    <xdr:colOff>463550</xdr:colOff>
                    <xdr:row>26</xdr:row>
                    <xdr:rowOff>152400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第1题</vt:lpstr>
      <vt:lpstr>第2题</vt:lpstr>
      <vt:lpstr>第3题</vt:lpstr>
      <vt:lpstr>第4题</vt:lpstr>
      <vt:lpstr>第5题</vt:lpstr>
      <vt:lpstr>第6题</vt:lpstr>
      <vt:lpstr>第7题</vt:lpstr>
      <vt:lpstr>第8题</vt:lpstr>
      <vt:lpstr>第9题</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bin jiao</cp:lastModifiedBy>
  <dcterms:created xsi:type="dcterms:W3CDTF">2016-05-11T03:11:39Z</dcterms:created>
  <dcterms:modified xsi:type="dcterms:W3CDTF">2025-12-22T13:36:28Z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fa58abff-d8c8-459c-b34e-1128256bd1b3</vt:lpwstr>
  </property>
</Properties>
</file>