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07库存模型\"/>
    </mc:Choice>
  </mc:AlternateContent>
  <xr:revisionPtr revIDLastSave="0" documentId="13_ncr:1_{CAF402B1-0357-4E8A-A8A3-59AEAFCED651}" xr6:coauthVersionLast="47" xr6:coauthVersionMax="47" xr10:uidLastSave="{00000000-0000-0000-0000-000000000000}"/>
  <bookViews>
    <workbookView xWindow="9500" yWindow="3030" windowWidth="13830" windowHeight="12590" activeTab="1" xr2:uid="{00000000-000D-0000-FFFF-FFFF00000000}"/>
  </bookViews>
  <sheets>
    <sheet name="例8-2" sheetId="2" r:id="rId1"/>
    <sheet name="经济订货量分析模型" sheetId="4" r:id="rId2"/>
    <sheet name="经济订货量分析图形" sheetId="3" r:id="rId3"/>
    <sheet name="经济订货量情景分析图形" sheetId="5" r:id="rId4"/>
  </sheets>
  <definedNames>
    <definedName name="solver_adj" localSheetId="1" hidden="1">经济订货量分析模型!$C$6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经济订货量分析模型!$C$9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" l="1"/>
  <c r="W2" i="4" l="1"/>
  <c r="C11" i="4" l="1"/>
  <c r="Z2" i="4" s="1"/>
  <c r="C14" i="4" l="1"/>
  <c r="I5" i="4"/>
  <c r="I6" i="4"/>
  <c r="I7" i="4"/>
  <c r="I8" i="4"/>
  <c r="I9" i="4"/>
  <c r="I10" i="4"/>
  <c r="I11" i="4"/>
  <c r="I12" i="4"/>
  <c r="I13" i="4"/>
  <c r="I14" i="4"/>
  <c r="I4" i="4"/>
  <c r="B18" i="4" l="1"/>
  <c r="AA2" i="4"/>
  <c r="C7" i="4"/>
  <c r="I19" i="4" s="1"/>
  <c r="B17" i="4"/>
  <c r="B16" i="4"/>
  <c r="C8" i="4"/>
  <c r="I18" i="4" s="1"/>
  <c r="H17" i="4"/>
  <c r="H18" i="4" s="1"/>
  <c r="H19" i="4" s="1"/>
  <c r="H20" i="4" s="1"/>
  <c r="H21" i="4" s="1"/>
  <c r="H2" i="4"/>
  <c r="G2" i="4"/>
  <c r="F2" i="4"/>
  <c r="C12" i="4" l="1"/>
  <c r="F18" i="4" s="1"/>
  <c r="E17" i="4"/>
  <c r="E18" i="4" s="1"/>
  <c r="E19" i="4" s="1"/>
  <c r="E20" i="4" s="1"/>
  <c r="C13" i="4"/>
  <c r="G3" i="4"/>
  <c r="C9" i="4"/>
  <c r="F3" i="4"/>
  <c r="I20" i="4" l="1"/>
  <c r="K2" i="4"/>
  <c r="H3" i="4"/>
  <c r="F19" i="4" l="1"/>
</calcChain>
</file>

<file path=xl/sharedStrings.xml><?xml version="1.0" encoding="utf-8"?>
<sst xmlns="http://schemas.openxmlformats.org/spreadsheetml/2006/main" count="19" uniqueCount="19">
  <si>
    <t>订货量</t>
    <phoneticPr fontId="1" type="noConversion"/>
  </si>
  <si>
    <t>经济订货量垂直参考线</t>
    <phoneticPr fontId="1" type="noConversion"/>
  </si>
  <si>
    <t>当前订货量垂直参考线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</si>
  <si>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</si>
  <si>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</si>
  <si>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</si>
  <si>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订货成本与</t>
    <phoneticPr fontId="1" type="noConversion"/>
  </si>
  <si>
    <t>储存成本差</t>
  </si>
  <si>
    <t>当前线</t>
    <phoneticPr fontId="1" type="noConversion"/>
  </si>
  <si>
    <t>年需求量(D)</t>
    <phoneticPr fontId="1" type="noConversion"/>
  </si>
  <si>
    <t>单次订货成本(k)</t>
    <phoneticPr fontId="1" type="noConversion"/>
  </si>
  <si>
    <t>单位年储存成本(h)</t>
    <phoneticPr fontId="1" type="noConversion"/>
  </si>
  <si>
    <t>订货量(Q)</t>
    <phoneticPr fontId="1" type="noConversion"/>
  </si>
  <si>
    <t>经济订货量(EOQ)</t>
    <phoneticPr fontId="1" type="noConversion"/>
  </si>
  <si>
    <t>EOQ下的年订货成本</t>
    <phoneticPr fontId="1" type="noConversion"/>
  </si>
  <si>
    <t>EOQ下的年储存成本</t>
    <phoneticPr fontId="1" type="noConversion"/>
  </si>
  <si>
    <t>EOQ下的年总成本</t>
    <phoneticPr fontId="1" type="noConversion"/>
  </si>
  <si>
    <t>决策参考点轨迹</t>
    <phoneticPr fontId="1" type="noConversion"/>
  </si>
  <si>
    <t>不要直接等于C2,都等于第三方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</si>
</sst>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/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0" xfId="0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76" fontId="3" fillId="2" borderId="0" xfId="0" applyNumberFormat="1" applyFont="1" applyFill="1"/>
    <xf numFmtId="0" fontId="4" fillId="0" borderId="0" xfId="0" applyFont="1"/>
    <xf numFmtId="1" fontId="3" fillId="2" borderId="0" xfId="0" applyNumberFormat="1" applyFont="1" applyFill="1" applyBorder="1"/>
    <xf numFmtId="0" fontId="3" fillId="0" borderId="0" xfId="0" applyFont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" fontId="3" fillId="5" borderId="1" xfId="0" applyNumberFormat="1" applyFont="1" applyFill="1" applyBorder="1"/>
    <xf numFmtId="0" fontId="3" fillId="5" borderId="1" xfId="0" applyFont="1" applyFill="1" applyBorder="1"/>
    <xf numFmtId="1" fontId="3" fillId="6" borderId="1" xfId="0" applyNumberFormat="1" applyFont="1" applyFill="1" applyBorder="1"/>
    <xf numFmtId="1" fontId="3" fillId="7" borderId="1" xfId="0" applyNumberFormat="1" applyFont="1" applyFill="1" applyBorder="1"/>
    <xf numFmtId="2" fontId="3" fillId="7" borderId="1" xfId="0" applyNumberFormat="1" applyFont="1" applyFill="1" applyBorder="1"/>
    <xf numFmtId="2" fontId="3" fillId="6" borderId="1" xfId="0" applyNumberFormat="1" applyFont="1" applyFill="1" applyBorder="1"/>
    <xf numFmtId="2" fontId="3" fillId="8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5" fillId="1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经济订货量分析模型</a:t>
            </a:r>
          </a:p>
        </c:rich>
      </c:tx>
      <c:layout>
        <c:manualLayout>
          <c:xMode val="edge"/>
          <c:yMode val="edge"/>
          <c:x val="0.36948408625055912"/>
          <c:y val="1.89265827752839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66909378263201"/>
          <c:y val="0.20971023427866831"/>
          <c:w val="0.82920883357091602"/>
          <c:h val="0.630033399031039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经济订货量分析模型!$F$2</c:f>
              <c:strCache>
                <c:ptCount val="1"/>
                <c:pt idx="0">
                  <c:v>年订货成本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经济订货量分析模型!$E$4:$E$14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经济订货量分析模型!$F$4:$F$14</c:f>
              <c:numCache>
                <c:formatCode>0.00</c:formatCode>
                <c:ptCount val="11"/>
                <c:pt idx="0">
                  <c:v>12000</c:v>
                </c:pt>
                <c:pt idx="1">
                  <c:v>10285.714285714286</c:v>
                </c:pt>
                <c:pt idx="2">
                  <c:v>9000</c:v>
                </c:pt>
                <c:pt idx="3">
                  <c:v>8000</c:v>
                </c:pt>
                <c:pt idx="4">
                  <c:v>7200</c:v>
                </c:pt>
                <c:pt idx="5">
                  <c:v>6545.454545454545</c:v>
                </c:pt>
                <c:pt idx="6">
                  <c:v>6000</c:v>
                </c:pt>
                <c:pt idx="7">
                  <c:v>5538.461538461539</c:v>
                </c:pt>
                <c:pt idx="8">
                  <c:v>5142.8571428571431</c:v>
                </c:pt>
                <c:pt idx="9">
                  <c:v>4800</c:v>
                </c:pt>
                <c:pt idx="10">
                  <c:v>4500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4-4D56-B76F-C3EBD2F4D192}"/>
            </c:ext>
          </c:extLst>
        </c:ser>
        <c:ser>
          <c:idx val="1"/>
          <c:order val="1"/>
          <c:tx>
            <c:strRef>
              <c:f>经济订货量分析模型!$G$2</c:f>
              <c:strCache>
                <c:ptCount val="1"/>
                <c:pt idx="0">
                  <c:v>年储存成本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经济订货量分析模型!$E$4:$E$15</c:f>
              <c:numCache>
                <c:formatCode>General</c:formatCode>
                <c:ptCount val="12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经济订货量分析模型!$G$4:$G$15</c:f>
              <c:numCache>
                <c:formatCode>0.00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4000</c:v>
                </c:pt>
                <c:pt idx="3">
                  <c:v>4500</c:v>
                </c:pt>
                <c:pt idx="4">
                  <c:v>5000</c:v>
                </c:pt>
                <c:pt idx="5">
                  <c:v>5500</c:v>
                </c:pt>
                <c:pt idx="6">
                  <c:v>6000</c:v>
                </c:pt>
                <c:pt idx="7">
                  <c:v>6500</c:v>
                </c:pt>
                <c:pt idx="8">
                  <c:v>7000</c:v>
                </c:pt>
                <c:pt idx="9">
                  <c:v>7500</c:v>
                </c:pt>
                <c:pt idx="10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24-4D56-B76F-C3EBD2F4D192}"/>
            </c:ext>
          </c:extLst>
        </c:ser>
        <c:ser>
          <c:idx val="2"/>
          <c:order val="2"/>
          <c:tx>
            <c:strRef>
              <c:f>经济订货量分析模型!$H$2</c:f>
              <c:strCache>
                <c:ptCount val="1"/>
                <c:pt idx="0">
                  <c:v>年总成本</c:v>
                </c:pt>
              </c:strCache>
            </c:strRef>
          </c:tx>
          <c:marker>
            <c:symbol val="none"/>
          </c:marker>
          <c:xVal>
            <c:numRef>
              <c:f>经济订货量分析模型!$E$4:$E$15</c:f>
              <c:numCache>
                <c:formatCode>General</c:formatCode>
                <c:ptCount val="12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经济订货量分析模型!$H$4:$H$15</c:f>
              <c:numCache>
                <c:formatCode>0.00</c:formatCode>
                <c:ptCount val="12"/>
                <c:pt idx="0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24-4D56-B76F-C3EBD2F4D192}"/>
            </c:ext>
          </c:extLst>
        </c:ser>
        <c:ser>
          <c:idx val="3"/>
          <c:order val="3"/>
          <c:spPr>
            <a:ln w="28575"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chemeClr val="lt1"/>
              </a:solidFill>
              <a:ln>
                <a:solidFill>
                  <a:schemeClr val="tx2">
                    <a:lumMod val="50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8324-4D56-B76F-C3EBD2F4D192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8324-4D56-B76F-C3EBD2F4D19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8324-4D56-B76F-C3EBD2F4D192}"/>
              </c:ext>
            </c:extLst>
          </c:dPt>
          <c:dLbls>
            <c:dLbl>
              <c:idx val="2"/>
              <c:layout>
                <c:manualLayout>
                  <c:x val="-1.4470555299917302E-2"/>
                  <c:y val="-3.3908754623921088E-2"/>
                </c:manualLayout>
              </c:layout>
              <c:numFmt formatCode="#,##0_);[Red]\(#,##0\)" sourceLinked="0"/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8B-4770-8516-CD819C883C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经济订货量分析模型!$E$17:$E$20</c:f>
              <c:numCache>
                <c:formatCode>0</c:formatCode>
                <c:ptCount val="4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</c:numCache>
            </c:numRef>
          </c:xVal>
          <c:yVal>
            <c:numRef>
              <c:f>经济订货量分析模型!$F$17:$F$20</c:f>
              <c:numCache>
                <c:formatCode>0.00</c:formatCode>
                <c:ptCount val="4"/>
                <c:pt idx="0">
                  <c:v>0</c:v>
                </c:pt>
                <c:pt idx="1">
                  <c:v>6000</c:v>
                </c:pt>
                <c:pt idx="2">
                  <c:v>12000</c:v>
                </c:pt>
                <c:pt idx="3">
                  <c:v>25000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24-4D56-B76F-C3EBD2F4D192}"/>
            </c:ext>
          </c:extLst>
        </c:ser>
        <c:ser>
          <c:idx val="4"/>
          <c:order val="4"/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chemeClr val="lt1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8324-4D56-B76F-C3EBD2F4D19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8324-4D56-B76F-C3EBD2F4D19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24-4D56-B76F-C3EBD2F4D192}"/>
                </c:ext>
              </c:extLst>
            </c:dLbl>
            <c:dLbl>
              <c:idx val="1"/>
              <c:layout>
                <c:manualLayout>
                  <c:x val="-6.1299550469963221E-3"/>
                  <c:y val="-2.7743526510480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8B-4770-8516-CD819C883C39}"/>
                </c:ext>
              </c:extLst>
            </c:dLbl>
            <c:dLbl>
              <c:idx val="2"/>
              <c:layout>
                <c:manualLayout>
                  <c:x val="-1.2259910093992644E-2"/>
                  <c:y val="-2.4660912453760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8B-4770-8516-CD819C883C39}"/>
                </c:ext>
              </c:extLst>
            </c:dLbl>
            <c:dLbl>
              <c:idx val="3"/>
              <c:layout>
                <c:manualLayout>
                  <c:x val="-1.2259910093992644E-2"/>
                  <c:y val="-2.4660912453760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8B-4770-8516-CD819C883C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经济订货量分析模型!$H$17:$H$21</c:f>
              <c:numCache>
                <c:formatCode>0</c:formatCode>
                <c:ptCount val="5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</c:numCache>
            </c:numRef>
          </c:xVal>
          <c:yVal>
            <c:numRef>
              <c:f>经济订货量分析模型!$I$17:$I$21</c:f>
              <c:numCache>
                <c:formatCode>0</c:formatCode>
                <c:ptCount val="5"/>
                <c:pt idx="0">
                  <c:v>0</c:v>
                </c:pt>
                <c:pt idx="1">
                  <c:v>4500</c:v>
                </c:pt>
                <c:pt idx="2">
                  <c:v>8000</c:v>
                </c:pt>
                <c:pt idx="3">
                  <c:v>12500</c:v>
                </c:pt>
                <c:pt idx="4">
                  <c:v>25000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24-4D56-B76F-C3EBD2F4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36512"/>
        <c:axId val="130537088"/>
      </c:scatterChart>
      <c:valAx>
        <c:axId val="130536512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zh-CN" altLang="en-US" sz="1100"/>
                  <a:t>订</a:t>
                </a:r>
                <a:endParaRPr lang="en-US" altLang="zh-CN" sz="1100"/>
              </a:p>
              <a:p>
                <a:pPr>
                  <a:defRPr sz="1100"/>
                </a:pPr>
                <a:r>
                  <a:rPr lang="zh-CN" altLang="en-US" sz="1100"/>
                  <a:t>货</a:t>
                </a:r>
                <a:endParaRPr lang="en-US" altLang="zh-CN" sz="1100"/>
              </a:p>
              <a:p>
                <a:pPr>
                  <a:defRPr sz="1100"/>
                </a:pPr>
                <a:r>
                  <a:rPr lang="zh-CN" altLang="en-US" sz="1100"/>
                  <a:t>量</a:t>
                </a:r>
              </a:p>
            </c:rich>
          </c:tx>
          <c:layout>
            <c:manualLayout>
              <c:xMode val="edge"/>
              <c:yMode val="edge"/>
              <c:x val="0.95792823608532396"/>
              <c:y val="0.7012946979038224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30537088"/>
        <c:crosses val="autoZero"/>
        <c:crossBetween val="midCat"/>
      </c:valAx>
      <c:valAx>
        <c:axId val="130537088"/>
        <c:scaling>
          <c:orientation val="minMax"/>
          <c:max val="18000"/>
        </c:scaling>
        <c:delete val="0"/>
        <c:axPos val="l"/>
        <c:numFmt formatCode="#,##0_);[Red]\(#,##0\)" sourceLinked="0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30536512"/>
        <c:crosses val="autoZero"/>
        <c:crossBetween val="midCat"/>
        <c:majorUnit val="2000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1229064031483192"/>
          <c:y val="0.91835329177602809"/>
          <c:w val="0.72043010752688175"/>
          <c:h val="6.3968996062992126E-2"/>
        </c:manualLayout>
      </c:layout>
      <c:overlay val="0"/>
      <c:txPr>
        <a:bodyPr/>
        <a:lstStyle/>
        <a:p>
          <a:pPr>
            <a:defRPr sz="110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400"/>
              <a:t>经济订货量情景分析模型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795519116811435E-2"/>
          <c:y val="0.13463100065040201"/>
          <c:w val="0.87161685201720918"/>
          <c:h val="0.770284101130592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经济订货量分析模型!$L$2</c:f>
              <c:strCache>
                <c:ptCount val="1"/>
                <c:pt idx="0">
                  <c:v>30000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经济订货量分析模型!$L$3:$L$13</c:f>
              <c:numCache>
                <c:formatCode>0</c:formatCode>
                <c:ptCount val="11"/>
                <c:pt idx="0">
                  <c:v>13000</c:v>
                </c:pt>
                <c:pt idx="1">
                  <c:v>12071.428571428571</c:v>
                </c:pt>
                <c:pt idx="2">
                  <c:v>11500</c:v>
                </c:pt>
                <c:pt idx="3">
                  <c:v>11166.666666666668</c:v>
                </c:pt>
                <c:pt idx="4">
                  <c:v>11000</c:v>
                </c:pt>
                <c:pt idx="5">
                  <c:v>10954.545454545456</c:v>
                </c:pt>
                <c:pt idx="6">
                  <c:v>11000</c:v>
                </c:pt>
                <c:pt idx="7">
                  <c:v>11115.384615384615</c:v>
                </c:pt>
                <c:pt idx="8">
                  <c:v>11285.714285714286</c:v>
                </c:pt>
                <c:pt idx="9">
                  <c:v>11500</c:v>
                </c:pt>
                <c:pt idx="10">
                  <c:v>11750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F-4FAE-93F3-A8839035CD62}"/>
            </c:ext>
          </c:extLst>
        </c:ser>
        <c:ser>
          <c:idx val="2"/>
          <c:order val="1"/>
          <c:tx>
            <c:strRef>
              <c:f>经济订货量分析模型!$M$2</c:f>
              <c:strCache>
                <c:ptCount val="1"/>
                <c:pt idx="0">
                  <c:v>31000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经济订货量分析模型!$M$3:$M$13</c:f>
              <c:numCache>
                <c:formatCode>0</c:formatCode>
                <c:ptCount val="11"/>
                <c:pt idx="0">
                  <c:v>13333.333333333332</c:v>
                </c:pt>
                <c:pt idx="1">
                  <c:v>12357.142857142857</c:v>
                </c:pt>
                <c:pt idx="2">
                  <c:v>11750</c:v>
                </c:pt>
                <c:pt idx="3">
                  <c:v>11388.888888888889</c:v>
                </c:pt>
                <c:pt idx="4">
                  <c:v>11200</c:v>
                </c:pt>
                <c:pt idx="5">
                  <c:v>11136.363636363636</c:v>
                </c:pt>
                <c:pt idx="6">
                  <c:v>11166.666666666666</c:v>
                </c:pt>
                <c:pt idx="7">
                  <c:v>11269.23076923077</c:v>
                </c:pt>
                <c:pt idx="8">
                  <c:v>11428.571428571428</c:v>
                </c:pt>
                <c:pt idx="9">
                  <c:v>11633.333333333334</c:v>
                </c:pt>
                <c:pt idx="10">
                  <c:v>11875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F-4FAE-93F3-A8839035CD62}"/>
            </c:ext>
          </c:extLst>
        </c:ser>
        <c:ser>
          <c:idx val="3"/>
          <c:order val="2"/>
          <c:tx>
            <c:strRef>
              <c:f>经济订货量分析模型!$N$2</c:f>
              <c:strCache>
                <c:ptCount val="1"/>
                <c:pt idx="0">
                  <c:v>32000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经济订货量分析模型!$N$3:$N$13</c:f>
              <c:numCache>
                <c:formatCode>0</c:formatCode>
                <c:ptCount val="11"/>
                <c:pt idx="0">
                  <c:v>13666.666666666668</c:v>
                </c:pt>
                <c:pt idx="1">
                  <c:v>12642.857142857143</c:v>
                </c:pt>
                <c:pt idx="2">
                  <c:v>12000</c:v>
                </c:pt>
                <c:pt idx="3">
                  <c:v>11611.111111111111</c:v>
                </c:pt>
                <c:pt idx="4">
                  <c:v>11400</c:v>
                </c:pt>
                <c:pt idx="5">
                  <c:v>11318.181818181818</c:v>
                </c:pt>
                <c:pt idx="6">
                  <c:v>11333.333333333334</c:v>
                </c:pt>
                <c:pt idx="7">
                  <c:v>11423.076923076924</c:v>
                </c:pt>
                <c:pt idx="8">
                  <c:v>11571.428571428572</c:v>
                </c:pt>
                <c:pt idx="9">
                  <c:v>11766.666666666666</c:v>
                </c:pt>
                <c:pt idx="10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F-4FAE-93F3-A8839035CD62}"/>
            </c:ext>
          </c:extLst>
        </c:ser>
        <c:ser>
          <c:idx val="4"/>
          <c:order val="3"/>
          <c:tx>
            <c:strRef>
              <c:f>经济订货量分析模型!$O$2</c:f>
              <c:strCache>
                <c:ptCount val="1"/>
                <c:pt idx="0">
                  <c:v>33000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经济订货量分析模型!$O$3:$O$13</c:f>
              <c:numCache>
                <c:formatCode>0</c:formatCode>
                <c:ptCount val="11"/>
                <c:pt idx="0">
                  <c:v>14000</c:v>
                </c:pt>
                <c:pt idx="1">
                  <c:v>12928.571428571429</c:v>
                </c:pt>
                <c:pt idx="2">
                  <c:v>12250</c:v>
                </c:pt>
                <c:pt idx="3">
                  <c:v>11833.333333333332</c:v>
                </c:pt>
                <c:pt idx="4">
                  <c:v>11600</c:v>
                </c:pt>
                <c:pt idx="5">
                  <c:v>11500</c:v>
                </c:pt>
                <c:pt idx="6">
                  <c:v>11500</c:v>
                </c:pt>
                <c:pt idx="7">
                  <c:v>11576.923076923076</c:v>
                </c:pt>
                <c:pt idx="8">
                  <c:v>11714.285714285714</c:v>
                </c:pt>
                <c:pt idx="9">
                  <c:v>11900</c:v>
                </c:pt>
                <c:pt idx="10">
                  <c:v>12125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EF-4FAE-93F3-A8839035CD62}"/>
            </c:ext>
          </c:extLst>
        </c:ser>
        <c:ser>
          <c:idx val="5"/>
          <c:order val="4"/>
          <c:tx>
            <c:strRef>
              <c:f>经济订货量分析模型!$P$2</c:f>
              <c:strCache>
                <c:ptCount val="1"/>
                <c:pt idx="0">
                  <c:v>34000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经济订货量分析模型!$P$3:$P$13</c:f>
              <c:numCache>
                <c:formatCode>0</c:formatCode>
                <c:ptCount val="11"/>
                <c:pt idx="0">
                  <c:v>14333.333333333332</c:v>
                </c:pt>
                <c:pt idx="1">
                  <c:v>13214.285714285714</c:v>
                </c:pt>
                <c:pt idx="2">
                  <c:v>12500</c:v>
                </c:pt>
                <c:pt idx="3">
                  <c:v>12055.555555555555</c:v>
                </c:pt>
                <c:pt idx="4">
                  <c:v>11800</c:v>
                </c:pt>
                <c:pt idx="5">
                  <c:v>11681.818181818182</c:v>
                </c:pt>
                <c:pt idx="6">
                  <c:v>11666.666666666666</c:v>
                </c:pt>
                <c:pt idx="7">
                  <c:v>11730.76923076923</c:v>
                </c:pt>
                <c:pt idx="8">
                  <c:v>11857.142857142857</c:v>
                </c:pt>
                <c:pt idx="9">
                  <c:v>12033.333333333334</c:v>
                </c:pt>
                <c:pt idx="10">
                  <c:v>12250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EF-4FAE-93F3-A8839035CD62}"/>
            </c:ext>
          </c:extLst>
        </c:ser>
        <c:ser>
          <c:idx val="6"/>
          <c:order val="5"/>
          <c:tx>
            <c:strRef>
              <c:f>经济订货量分析模型!$Q$2</c:f>
              <c:strCache>
                <c:ptCount val="1"/>
                <c:pt idx="0">
                  <c:v>35000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经济订货量分析模型!$Q$3:$Q$13</c:f>
              <c:numCache>
                <c:formatCode>0</c:formatCode>
                <c:ptCount val="11"/>
                <c:pt idx="0">
                  <c:v>14666.666666666668</c:v>
                </c:pt>
                <c:pt idx="1">
                  <c:v>13500</c:v>
                </c:pt>
                <c:pt idx="2">
                  <c:v>12750</c:v>
                </c:pt>
                <c:pt idx="3">
                  <c:v>12277.777777777777</c:v>
                </c:pt>
                <c:pt idx="4">
                  <c:v>12000</c:v>
                </c:pt>
                <c:pt idx="5">
                  <c:v>11863.636363636364</c:v>
                </c:pt>
                <c:pt idx="6">
                  <c:v>11833.333333333334</c:v>
                </c:pt>
                <c:pt idx="7">
                  <c:v>11884.615384615385</c:v>
                </c:pt>
                <c:pt idx="8">
                  <c:v>12000</c:v>
                </c:pt>
                <c:pt idx="9">
                  <c:v>12166.666666666666</c:v>
                </c:pt>
                <c:pt idx="10">
                  <c:v>12375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EF-4FAE-93F3-A8839035CD62}"/>
            </c:ext>
          </c:extLst>
        </c:ser>
        <c:ser>
          <c:idx val="7"/>
          <c:order val="6"/>
          <c:tx>
            <c:strRef>
              <c:f>经济订货量分析模型!$R$2</c:f>
              <c:strCache>
                <c:ptCount val="1"/>
                <c:pt idx="0">
                  <c:v>36000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经济订货量分析模型!$R$3:$R$13</c:f>
              <c:numCache>
                <c:formatCode>0</c:formatCode>
                <c:ptCount val="11"/>
                <c:pt idx="0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EF-4FAE-93F3-A8839035CD62}"/>
            </c:ext>
          </c:extLst>
        </c:ser>
        <c:ser>
          <c:idx val="8"/>
          <c:order val="7"/>
          <c:tx>
            <c:strRef>
              <c:f>经济订货量分析模型!$S$2</c:f>
              <c:strCache>
                <c:ptCount val="1"/>
                <c:pt idx="0">
                  <c:v>37000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经济订货量分析模型!$S$3:$S$13</c:f>
              <c:numCache>
                <c:formatCode>0</c:formatCode>
                <c:ptCount val="11"/>
                <c:pt idx="0">
                  <c:v>15333.333333333332</c:v>
                </c:pt>
                <c:pt idx="1">
                  <c:v>14071.428571428571</c:v>
                </c:pt>
                <c:pt idx="2">
                  <c:v>13250</c:v>
                </c:pt>
                <c:pt idx="3">
                  <c:v>12722.222222222223</c:v>
                </c:pt>
                <c:pt idx="4">
                  <c:v>12400</c:v>
                </c:pt>
                <c:pt idx="5">
                  <c:v>12227.272727272728</c:v>
                </c:pt>
                <c:pt idx="6">
                  <c:v>12166.666666666666</c:v>
                </c:pt>
                <c:pt idx="7">
                  <c:v>12192.307692307691</c:v>
                </c:pt>
                <c:pt idx="8">
                  <c:v>12285.714285714286</c:v>
                </c:pt>
                <c:pt idx="9">
                  <c:v>12433.333333333334</c:v>
                </c:pt>
                <c:pt idx="10">
                  <c:v>12625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EF-4FAE-93F3-A8839035CD62}"/>
            </c:ext>
          </c:extLst>
        </c:ser>
        <c:ser>
          <c:idx val="9"/>
          <c:order val="8"/>
          <c:tx>
            <c:strRef>
              <c:f>经济订货量分析模型!$T$2</c:f>
              <c:strCache>
                <c:ptCount val="1"/>
                <c:pt idx="0">
                  <c:v>38000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经济订货量分析模型!$T$3:$T$13</c:f>
              <c:numCache>
                <c:formatCode>0</c:formatCode>
                <c:ptCount val="11"/>
                <c:pt idx="0">
                  <c:v>15666.666666666668</c:v>
                </c:pt>
                <c:pt idx="1">
                  <c:v>14357.142857142857</c:v>
                </c:pt>
                <c:pt idx="2">
                  <c:v>13500</c:v>
                </c:pt>
                <c:pt idx="3">
                  <c:v>12944.444444444443</c:v>
                </c:pt>
                <c:pt idx="4">
                  <c:v>12600</c:v>
                </c:pt>
                <c:pt idx="5">
                  <c:v>12409.090909090908</c:v>
                </c:pt>
                <c:pt idx="6">
                  <c:v>12333.333333333334</c:v>
                </c:pt>
                <c:pt idx="7">
                  <c:v>12346.153846153846</c:v>
                </c:pt>
                <c:pt idx="8">
                  <c:v>12428.571428571428</c:v>
                </c:pt>
                <c:pt idx="9">
                  <c:v>12566.666666666666</c:v>
                </c:pt>
                <c:pt idx="10">
                  <c:v>12750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8EF-4FAE-93F3-A8839035CD62}"/>
            </c:ext>
          </c:extLst>
        </c:ser>
        <c:ser>
          <c:idx val="10"/>
          <c:order val="9"/>
          <c:tx>
            <c:strRef>
              <c:f>经济订货量分析模型!$U$2</c:f>
              <c:strCache>
                <c:ptCount val="1"/>
                <c:pt idx="0">
                  <c:v>39000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经济订货量分析模型!$U$3:$U$13</c:f>
              <c:numCache>
                <c:formatCode>0</c:formatCode>
                <c:ptCount val="11"/>
                <c:pt idx="0">
                  <c:v>16000</c:v>
                </c:pt>
                <c:pt idx="1">
                  <c:v>14642.857142857143</c:v>
                </c:pt>
                <c:pt idx="2">
                  <c:v>13750</c:v>
                </c:pt>
                <c:pt idx="3">
                  <c:v>13166.666666666668</c:v>
                </c:pt>
                <c:pt idx="4">
                  <c:v>12800</c:v>
                </c:pt>
                <c:pt idx="5">
                  <c:v>12590.909090909092</c:v>
                </c:pt>
                <c:pt idx="6">
                  <c:v>12500</c:v>
                </c:pt>
                <c:pt idx="7">
                  <c:v>12500</c:v>
                </c:pt>
                <c:pt idx="8">
                  <c:v>12571.428571428572</c:v>
                </c:pt>
                <c:pt idx="9">
                  <c:v>12700</c:v>
                </c:pt>
                <c:pt idx="10">
                  <c:v>12875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8EF-4FAE-93F3-A8839035CD62}"/>
            </c:ext>
          </c:extLst>
        </c:ser>
        <c:ser>
          <c:idx val="11"/>
          <c:order val="10"/>
          <c:tx>
            <c:strRef>
              <c:f>经济订货量分析模型!$V$2</c:f>
              <c:strCache>
                <c:ptCount val="1"/>
                <c:pt idx="0">
                  <c:v>40000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经济订货量分析模型!$V$3:$V$13</c:f>
              <c:numCache>
                <c:formatCode>0</c:formatCode>
                <c:ptCount val="11"/>
                <c:pt idx="0">
                  <c:v>16333.333333333334</c:v>
                </c:pt>
                <c:pt idx="1">
                  <c:v>14928.571428571429</c:v>
                </c:pt>
                <c:pt idx="2">
                  <c:v>14000</c:v>
                </c:pt>
                <c:pt idx="3">
                  <c:v>13388.888888888889</c:v>
                </c:pt>
                <c:pt idx="4">
                  <c:v>13000</c:v>
                </c:pt>
                <c:pt idx="5">
                  <c:v>12772.727272727272</c:v>
                </c:pt>
                <c:pt idx="6">
                  <c:v>12666.666666666668</c:v>
                </c:pt>
                <c:pt idx="7">
                  <c:v>12653.846153846154</c:v>
                </c:pt>
                <c:pt idx="8">
                  <c:v>12714.285714285714</c:v>
                </c:pt>
                <c:pt idx="9">
                  <c:v>12833.333333333334</c:v>
                </c:pt>
                <c:pt idx="10">
                  <c:v>13000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8EF-4FAE-93F3-A8839035CD62}"/>
            </c:ext>
          </c:extLst>
        </c:ser>
        <c:ser>
          <c:idx val="0"/>
          <c:order val="11"/>
          <c:tx>
            <c:strRef>
              <c:f>经济订货量分析模型!$W$2</c:f>
              <c:strCache>
                <c:ptCount val="1"/>
                <c:pt idx="0">
                  <c:v>36000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经济订货量分析模型!$W$3:$W$13</c:f>
              <c:numCache>
                <c:formatCode>0</c:formatCode>
                <c:ptCount val="11"/>
                <c:pt idx="0" formatCode="General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8EF-4FAE-93F3-A8839035CD62}"/>
            </c:ext>
          </c:extLst>
        </c:ser>
        <c:ser>
          <c:idx val="12"/>
          <c:order val="12"/>
          <c:spPr>
            <a:ln>
              <a:solidFill>
                <a:srgbClr val="00B050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经济订货量分析模型!$Z$3:$Z$13</c:f>
              <c:numCache>
                <c:formatCode>0</c:formatCode>
                <c:ptCount val="11"/>
                <c:pt idx="0">
                  <c:v>1095</c:v>
                </c:pt>
                <c:pt idx="1">
                  <c:v>1114</c:v>
                </c:pt>
                <c:pt idx="2">
                  <c:v>1131</c:v>
                </c:pt>
                <c:pt idx="3">
                  <c:v>1149</c:v>
                </c:pt>
                <c:pt idx="4">
                  <c:v>1166</c:v>
                </c:pt>
                <c:pt idx="5">
                  <c:v>1183</c:v>
                </c:pt>
                <c:pt idx="6">
                  <c:v>1200</c:v>
                </c:pt>
                <c:pt idx="7">
                  <c:v>1217</c:v>
                </c:pt>
                <c:pt idx="8">
                  <c:v>1233</c:v>
                </c:pt>
                <c:pt idx="9">
                  <c:v>1249</c:v>
                </c:pt>
                <c:pt idx="10">
                  <c:v>1265</c:v>
                </c:pt>
              </c:numCache>
            </c:numRef>
          </c:xVal>
          <c:yVal>
            <c:numRef>
              <c:f>经济订货量分析模型!$AA$3:$AA$13</c:f>
              <c:numCache>
                <c:formatCode>0</c:formatCode>
                <c:ptCount val="11"/>
                <c:pt idx="0">
                  <c:v>10954.45</c:v>
                </c:pt>
                <c:pt idx="1">
                  <c:v>11135.53</c:v>
                </c:pt>
                <c:pt idx="2">
                  <c:v>11313.71</c:v>
                </c:pt>
                <c:pt idx="3">
                  <c:v>11489.13</c:v>
                </c:pt>
                <c:pt idx="4">
                  <c:v>11661.9</c:v>
                </c:pt>
                <c:pt idx="5">
                  <c:v>11832.16</c:v>
                </c:pt>
                <c:pt idx="6">
                  <c:v>12000</c:v>
                </c:pt>
                <c:pt idx="7">
                  <c:v>12165.53</c:v>
                </c:pt>
                <c:pt idx="8">
                  <c:v>12328.83</c:v>
                </c:pt>
                <c:pt idx="9">
                  <c:v>12490</c:v>
                </c:pt>
                <c:pt idx="10">
                  <c:v>12649.11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8EF-4FAE-93F3-A8839035CD62}"/>
            </c:ext>
          </c:extLst>
        </c:ser>
        <c:ser>
          <c:idx val="13"/>
          <c:order val="13"/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经济订货量分析模型!$E$17:$E$20</c:f>
              <c:numCache>
                <c:formatCode>0</c:formatCode>
                <c:ptCount val="4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</c:numCache>
            </c:numRef>
          </c:xVal>
          <c:yVal>
            <c:numRef>
              <c:f>经济订货量分析模型!$F$17:$F$20</c:f>
              <c:numCache>
                <c:formatCode>0.00</c:formatCode>
                <c:ptCount val="4"/>
                <c:pt idx="0">
                  <c:v>0</c:v>
                </c:pt>
                <c:pt idx="1">
                  <c:v>6000</c:v>
                </c:pt>
                <c:pt idx="2">
                  <c:v>12000</c:v>
                </c:pt>
                <c:pt idx="3">
                  <c:v>25000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8EF-4FAE-93F3-A8839035CD62}"/>
            </c:ext>
          </c:extLst>
        </c:ser>
        <c:ser>
          <c:idx val="14"/>
          <c:order val="14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bubble3D val="0"/>
            <c:spPr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78EF-4FAE-93F3-A8839035CD62}"/>
              </c:ext>
            </c:extLst>
          </c:dPt>
          <c:xVal>
            <c:numRef>
              <c:f>经济订货量分析模型!$Z$2</c:f>
              <c:numCache>
                <c:formatCode>0</c:formatCode>
                <c:ptCount val="1"/>
                <c:pt idx="0">
                  <c:v>1200</c:v>
                </c:pt>
              </c:numCache>
            </c:numRef>
          </c:xVal>
          <c:yVal>
            <c:numRef>
              <c:f>经济订货量分析模型!$AA$2</c:f>
              <c:numCache>
                <c:formatCode>0</c:formatCode>
                <c:ptCount val="1"/>
                <c:pt idx="0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8EF-4FAE-93F3-A8839035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62752"/>
        <c:axId val="77163328"/>
      </c:scatterChart>
      <c:valAx>
        <c:axId val="77162752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订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货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量</a:t>
                </a:r>
              </a:p>
            </c:rich>
          </c:tx>
          <c:layout>
            <c:manualLayout>
              <c:xMode val="edge"/>
              <c:yMode val="edge"/>
              <c:x val="0.95965549151716856"/>
              <c:y val="0.750439367311072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7163328"/>
        <c:crosses val="autoZero"/>
        <c:crossBetween val="midCat"/>
      </c:valAx>
      <c:valAx>
        <c:axId val="77163328"/>
        <c:scaling>
          <c:orientation val="minMax"/>
          <c:max val="17000"/>
          <c:min val="10000"/>
        </c:scaling>
        <c:delete val="0"/>
        <c:axPos val="l"/>
        <c:numFmt formatCode="0" sourceLinked="1"/>
        <c:majorTickMark val="out"/>
        <c:minorTickMark val="none"/>
        <c:tickLblPos val="nextTo"/>
        <c:crossAx val="77162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经济订货量分析模型!$D$2" inc="100" max="4000" min="3000" page="10" val="3600"/>
</file>

<file path=xl/ctrlProps/ctrlProp2.xml><?xml version="1.0" encoding="utf-8"?>
<formControlPr xmlns="http://schemas.microsoft.com/office/spreadsheetml/2009/9/main" objectType="Spin" dx="16" fmlaLink="经济订货量分析模型!$C$6" inc="50" max="1600" min="600" page="10" val="900"/>
</file>

<file path=xl/ctrlProps/ctrlProp3.xml><?xml version="1.0" encoding="utf-8"?>
<formControlPr xmlns="http://schemas.microsoft.com/office/spreadsheetml/2009/9/main" objectType="Spin" dx="16" fmlaLink="经济订货量分析模型!$D$2" inc="100" max="4000" min="3000" page="10" val="360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0</xdr:row>
      <xdr:rowOff>76200</xdr:rowOff>
    </xdr:from>
    <xdr:to>
      <xdr:col>8</xdr:col>
      <xdr:colOff>387350</xdr:colOff>
      <xdr:row>41</xdr:row>
      <xdr:rowOff>133350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 txBox="1">
          <a:spLocks noChangeArrowheads="1"/>
        </xdr:cNvSpPr>
      </xdr:nvSpPr>
      <xdr:spPr bwMode="auto">
        <a:xfrm>
          <a:off x="619125" y="76200"/>
          <a:ext cx="5254625" cy="682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zh-CN" sz="10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8-2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】某公司全年需采购某种零件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36000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件，每次订货成本为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200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元，单件零件的储存一年的成本为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元，目前公司每次按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900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件订货。公司库存管理员想通过经济订货量模型分析每次订货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900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件是否是经济的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? 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如何调整订货策略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？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在公司实际运营中，年需求量不可能一成不变。为使模型能适用于不同的场景，我们考虑年需求量的可能在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30000-40000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之间变动。参考下面两图建立模型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184150</xdr:colOff>
      <xdr:row>5</xdr:row>
      <xdr:rowOff>134096</xdr:rowOff>
    </xdr:from>
    <xdr:to>
      <xdr:col>8</xdr:col>
      <xdr:colOff>228600</xdr:colOff>
      <xdr:row>24</xdr:row>
      <xdr:rowOff>65124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" y="959596"/>
          <a:ext cx="4845050" cy="3067928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23</xdr:row>
      <xdr:rowOff>120650</xdr:rowOff>
    </xdr:from>
    <xdr:to>
      <xdr:col>8</xdr:col>
      <xdr:colOff>194337</xdr:colOff>
      <xdr:row>40</xdr:row>
      <xdr:rowOff>164827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3917950"/>
          <a:ext cx="4848887" cy="28508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24</xdr:row>
      <xdr:rowOff>82220</xdr:rowOff>
    </xdr:from>
    <xdr:to>
      <xdr:col>8</xdr:col>
      <xdr:colOff>367567</xdr:colOff>
      <xdr:row>35</xdr:row>
      <xdr:rowOff>120140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1100" y="4349420"/>
          <a:ext cx="2869467" cy="1993720"/>
        </a:xfrm>
        <a:prstGeom prst="rect">
          <a:avLst/>
        </a:prstGeom>
      </xdr:spPr>
    </xdr:pic>
    <xdr:clientData/>
  </xdr:twoCellAnchor>
  <xdr:twoCellAnchor editAs="oneCell">
    <xdr:from>
      <xdr:col>11</xdr:col>
      <xdr:colOff>241300</xdr:colOff>
      <xdr:row>27</xdr:row>
      <xdr:rowOff>13606</xdr:rowOff>
    </xdr:from>
    <xdr:to>
      <xdr:col>18</xdr:col>
      <xdr:colOff>43783</xdr:colOff>
      <xdr:row>32</xdr:row>
      <xdr:rowOff>12489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4350" y="4814206"/>
          <a:ext cx="2825083" cy="88788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571501</xdr:colOff>
      <xdr:row>36</xdr:row>
      <xdr:rowOff>27903</xdr:rowOff>
    </xdr:from>
    <xdr:to>
      <xdr:col>9</xdr:col>
      <xdr:colOff>38473</xdr:colOff>
      <xdr:row>49</xdr:row>
      <xdr:rowOff>165101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1" y="6428703"/>
          <a:ext cx="3823072" cy="2448598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32</xdr:row>
      <xdr:rowOff>17471</xdr:rowOff>
    </xdr:from>
    <xdr:to>
      <xdr:col>19</xdr:col>
      <xdr:colOff>145264</xdr:colOff>
      <xdr:row>50</xdr:row>
      <xdr:rowOff>107075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5707071"/>
          <a:ext cx="2958314" cy="329000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28</xdr:col>
      <xdr:colOff>46983</xdr:colOff>
      <xdr:row>18</xdr:row>
      <xdr:rowOff>104695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52050" y="2667000"/>
          <a:ext cx="5133333" cy="6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1</xdr:row>
      <xdr:rowOff>31751</xdr:rowOff>
    </xdr:from>
    <xdr:to>
      <xdr:col>9</xdr:col>
      <xdr:colOff>450850</xdr:colOff>
      <xdr:row>23</xdr:row>
      <xdr:rowOff>57151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407670" y="196851"/>
          <a:ext cx="6215380" cy="3657600"/>
          <a:chOff x="368428" y="273458"/>
          <a:chExt cx="4572000" cy="2743200"/>
        </a:xfrm>
      </xdr:grpSpPr>
      <xdr:graphicFrame macro="">
        <xdr:nvGraphicFramePr>
          <xdr:cNvPr id="11" name="图表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GraphicFramePr>
            <a:graphicFrameLocks/>
          </xdr:cNvGraphicFramePr>
        </xdr:nvGraphicFramePr>
        <xdr:xfrm>
          <a:off x="368428" y="273458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经济订货量分析模型!B16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 txBox="1"/>
        </xdr:nvSpPr>
        <xdr:spPr>
          <a:xfrm>
            <a:off x="1918949" y="593078"/>
            <a:ext cx="896162" cy="1613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DEF2AEC-D82F-4355-9120-DADCE326EF48}" type="TxLink">
              <a:rPr lang="zh-CN" altLang="en-US" sz="1100"/>
              <a:pPr algn="ctr"/>
              <a:t>年需求量=36000</a:t>
            </a:fld>
            <a:endParaRPr lang="zh-CN" altLang="en-US" sz="1100"/>
          </a:p>
        </xdr:txBody>
      </xdr:sp>
      <xdr:sp macro="" textlink="经济订货量分析模型!B17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3137848" y="589009"/>
            <a:ext cx="728245" cy="1674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EF52E32-4A87-4B28-80B3-897817FC457A}" type="TxLink">
              <a:rPr lang="zh-CN" altLang="en-US" sz="1100"/>
              <a:pPr algn="ctr"/>
              <a:t>订货量=900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Spinner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200-000005140000}"/>
                  </a:ext>
                </a:extLst>
              </xdr:cNvPr>
              <xdr:cNvSpPr/>
            </xdr:nvSpPr>
            <xdr:spPr bwMode="auto">
              <a:xfrm>
                <a:off x="1733920" y="588305"/>
                <a:ext cx="179943" cy="1714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Spinner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200-000006140000}"/>
                  </a:ext>
                </a:extLst>
              </xdr:cNvPr>
              <xdr:cNvSpPr/>
            </xdr:nvSpPr>
            <xdr:spPr bwMode="auto">
              <a:xfrm>
                <a:off x="2959914" y="589330"/>
                <a:ext cx="172849" cy="16462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经济订货量分析模型!B18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690516" y="836792"/>
            <a:ext cx="2231627" cy="169125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FEEEE9-4304-487B-A9CE-EEC926FC5B98}" type="TxLink">
              <a:rPr lang="zh-CN" altLang="en-US" sz="1100"/>
              <a:pPr algn="ctr"/>
              <a:t>经济订货量=1200，年总成本最小值=12000元</a:t>
            </a:fld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628650</xdr:colOff>
      <xdr:row>25</xdr:row>
      <xdr:rowOff>17760</xdr:rowOff>
    </xdr:from>
    <xdr:to>
      <xdr:col>6</xdr:col>
      <xdr:colOff>63500</xdr:colOff>
      <xdr:row>42</xdr:row>
      <xdr:rowOff>139267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145260"/>
          <a:ext cx="2863850" cy="29282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177800</xdr:rowOff>
    </xdr:from>
    <xdr:to>
      <xdr:col>9</xdr:col>
      <xdr:colOff>336550</xdr:colOff>
      <xdr:row>19</xdr:row>
      <xdr:rowOff>171450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20650" y="177800"/>
          <a:ext cx="6159500" cy="3613150"/>
          <a:chOff x="120650" y="177800"/>
          <a:chExt cx="6159500" cy="361315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120650" y="177800"/>
          <a:ext cx="6159500" cy="3613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经济订货量分析模型!B16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629486" y="623043"/>
            <a:ext cx="1218282" cy="23976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DEF2AEC-D82F-4355-9120-DADCE326EF48}" type="TxLink">
              <a:rPr lang="zh-CN" altLang="en-US" sz="1100"/>
              <a:pPr algn="ctr"/>
              <a:t>年需求量=36000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69" name="Spinner 1" hidden="1">
                <a:extLst>
                  <a:ext uri="{63B3BB69-23CF-44E3-9099-C40C66FF867C}">
                    <a14:compatExt spid="_x0000_s7169"/>
                  </a:ext>
                  <a:ext uri="{FF2B5EF4-FFF2-40B4-BE49-F238E27FC236}">
                    <a16:creationId xmlns:a16="http://schemas.microsoft.com/office/drawing/2014/main" id="{00000000-0008-0000-0300-0000011C0000}"/>
                  </a:ext>
                </a:extLst>
              </xdr:cNvPr>
              <xdr:cNvSpPr/>
            </xdr:nvSpPr>
            <xdr:spPr bwMode="auto">
              <a:xfrm>
                <a:off x="1377950" y="609600"/>
                <a:ext cx="244623" cy="254794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经济订货量分析模型!B18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2933700" y="628650"/>
            <a:ext cx="3033773" cy="251339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FEEEE9-4304-487B-A9CE-EEC926FC5B98}" type="TxLink">
              <a:rPr lang="zh-CN" altLang="en-US" sz="1100"/>
              <a:pPr algn="ctr"/>
              <a:t>经济订货量=1200，年总成本最小值=12000元</a:t>
            </a:fld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ColWidth="9" defaultRowHeight="13" x14ac:dyDescent="0.25"/>
  <cols>
    <col min="1" max="16384" width="9" style="1"/>
  </cols>
  <sheetData/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showGridLines="0" tabSelected="1" zoomScale="130" zoomScaleNormal="100" workbookViewId="0">
      <selection activeCell="C11" sqref="C11"/>
    </sheetView>
  </sheetViews>
  <sheetFormatPr defaultColWidth="9" defaultRowHeight="14" x14ac:dyDescent="0.25"/>
  <cols>
    <col min="1" max="1" width="1.9140625" style="2" customWidth="1"/>
    <col min="2" max="2" width="21.6640625" style="3" customWidth="1"/>
    <col min="3" max="3" width="14.9140625" style="3" customWidth="1"/>
    <col min="4" max="4" width="8.08203125" style="3" customWidth="1"/>
    <col min="5" max="5" width="5.58203125" style="3" customWidth="1"/>
    <col min="6" max="6" width="10.75" style="3" customWidth="1"/>
    <col min="7" max="7" width="9.6640625" style="3" bestFit="1" customWidth="1"/>
    <col min="8" max="8" width="9.08203125" style="3" customWidth="1"/>
    <col min="9" max="9" width="14" style="3" customWidth="1"/>
    <col min="10" max="10" width="2.5" style="3" customWidth="1"/>
    <col min="11" max="11" width="5.4140625" style="3" customWidth="1"/>
    <col min="12" max="23" width="5.6640625" style="3" customWidth="1"/>
    <col min="24" max="24" width="1.58203125" style="3" customWidth="1"/>
    <col min="25" max="27" width="5.5" style="3" customWidth="1"/>
    <col min="28" max="16384" width="9" style="3"/>
  </cols>
  <sheetData>
    <row r="1" spans="2:27" x14ac:dyDescent="0.25">
      <c r="B1" s="2"/>
      <c r="C1" s="2"/>
      <c r="W1" s="4" t="s">
        <v>8</v>
      </c>
      <c r="AA1" s="14" t="s">
        <v>17</v>
      </c>
    </row>
    <row r="2" spans="2:27" x14ac:dyDescent="0.25">
      <c r="B2" s="15" t="s">
        <v>9</v>
      </c>
      <c r="C2" s="17">
        <f>D2*10</f>
        <v>36000</v>
      </c>
      <c r="D2" s="2">
        <v>3600</v>
      </c>
      <c r="E2" s="7" t="s">
        <v>0</v>
      </c>
      <c r="F2" s="8" t="str">
        <f>B7</f>
        <v>年订货成本</v>
      </c>
      <c r="G2" s="8" t="str">
        <f>B8</f>
        <v>年储存成本</v>
      </c>
      <c r="H2" s="8" t="str">
        <f>B9</f>
        <v>年总成本</v>
      </c>
      <c r="I2" s="2" t="s">
        <v>6</v>
      </c>
      <c r="J2" s="2"/>
      <c r="K2" s="27">
        <f>C9</f>
        <v>12500</v>
      </c>
      <c r="L2" s="16">
        <v>30000</v>
      </c>
      <c r="M2" s="16">
        <v>31000</v>
      </c>
      <c r="N2" s="16">
        <v>32000</v>
      </c>
      <c r="O2" s="16">
        <v>33000</v>
      </c>
      <c r="P2" s="16">
        <v>34000</v>
      </c>
      <c r="Q2" s="16">
        <v>35000</v>
      </c>
      <c r="R2" s="16">
        <v>36000</v>
      </c>
      <c r="S2" s="16">
        <v>37000</v>
      </c>
      <c r="T2" s="16">
        <v>38000</v>
      </c>
      <c r="U2" s="16">
        <v>39000</v>
      </c>
      <c r="V2" s="16">
        <v>40000</v>
      </c>
      <c r="W2" s="29">
        <f>D2*10</f>
        <v>36000</v>
      </c>
      <c r="Y2" s="9"/>
      <c r="Z2" s="27">
        <f>C11</f>
        <v>1200</v>
      </c>
      <c r="AA2" s="27">
        <f>C14</f>
        <v>12000</v>
      </c>
    </row>
    <row r="3" spans="2:27" x14ac:dyDescent="0.25">
      <c r="B3" s="15" t="s">
        <v>10</v>
      </c>
      <c r="C3" s="18">
        <v>200</v>
      </c>
      <c r="D3" s="2"/>
      <c r="E3" s="9"/>
      <c r="F3" s="23">
        <f>C7</f>
        <v>8000</v>
      </c>
      <c r="G3" s="23">
        <f>C8</f>
        <v>4500</v>
      </c>
      <c r="H3" s="23">
        <f>C9</f>
        <v>12500</v>
      </c>
      <c r="I3" s="9" t="s">
        <v>7</v>
      </c>
      <c r="J3" s="2"/>
      <c r="K3" s="16">
        <v>600</v>
      </c>
      <c r="L3" s="25">
        <f t="dataTable" ref="L3:W13" dt2D="1" dtr="1" r1="C2" r2="C6" ca="1"/>
        <v>13000</v>
      </c>
      <c r="M3" s="25">
        <v>13333.333333333332</v>
      </c>
      <c r="N3" s="25">
        <v>13666.666666666668</v>
      </c>
      <c r="O3" s="25">
        <v>14000</v>
      </c>
      <c r="P3" s="25">
        <v>14333.333333333332</v>
      </c>
      <c r="Q3" s="25">
        <v>14666.666666666668</v>
      </c>
      <c r="R3" s="25">
        <v>15000</v>
      </c>
      <c r="S3" s="25">
        <v>15333.333333333332</v>
      </c>
      <c r="T3" s="25">
        <v>15666.666666666668</v>
      </c>
      <c r="U3" s="25">
        <v>16000</v>
      </c>
      <c r="V3" s="25">
        <v>16333.333333333334</v>
      </c>
      <c r="W3" s="26">
        <v>15000</v>
      </c>
      <c r="Y3" s="28">
        <v>30000</v>
      </c>
      <c r="Z3" s="25">
        <f t="dataTable" ref="Z3:AA13" dt2D="0" dtr="0" r1="C2" ca="1"/>
        <v>1095</v>
      </c>
      <c r="AA3" s="25">
        <v>10954.45</v>
      </c>
    </row>
    <row r="4" spans="2:27" x14ac:dyDescent="0.25">
      <c r="B4" s="15" t="s">
        <v>11</v>
      </c>
      <c r="C4" s="18">
        <v>10</v>
      </c>
      <c r="D4" s="2"/>
      <c r="E4" s="16">
        <v>600</v>
      </c>
      <c r="F4" s="24">
        <f t="dataTable" ref="F4:H14" dt2D="0" dtr="0" r1="C6"/>
        <v>12000</v>
      </c>
      <c r="G4" s="24">
        <v>3000</v>
      </c>
      <c r="H4" s="24">
        <v>15000</v>
      </c>
      <c r="I4" s="10">
        <f>F4-G4</f>
        <v>9000</v>
      </c>
      <c r="J4" s="2"/>
      <c r="K4" s="16">
        <v>700</v>
      </c>
      <c r="L4" s="25">
        <v>12071.428571428571</v>
      </c>
      <c r="M4" s="25">
        <v>12357.142857142857</v>
      </c>
      <c r="N4" s="25">
        <v>12642.857142857143</v>
      </c>
      <c r="O4" s="25">
        <v>12928.571428571429</v>
      </c>
      <c r="P4" s="25">
        <v>13214.285714285714</v>
      </c>
      <c r="Q4" s="25">
        <v>13500</v>
      </c>
      <c r="R4" s="25">
        <v>13785.714285714286</v>
      </c>
      <c r="S4" s="25">
        <v>14071.428571428571</v>
      </c>
      <c r="T4" s="25">
        <v>14357.142857142857</v>
      </c>
      <c r="U4" s="25">
        <v>14642.857142857143</v>
      </c>
      <c r="V4" s="25">
        <v>14928.571428571429</v>
      </c>
      <c r="W4" s="27">
        <v>13785.714285714286</v>
      </c>
      <c r="Y4" s="28">
        <v>31000</v>
      </c>
      <c r="Z4" s="25">
        <v>1114</v>
      </c>
      <c r="AA4" s="25">
        <v>11135.53</v>
      </c>
    </row>
    <row r="5" spans="2:27" x14ac:dyDescent="0.25">
      <c r="B5" s="2"/>
      <c r="C5" s="2"/>
      <c r="D5" s="2"/>
      <c r="E5" s="16">
        <v>700</v>
      </c>
      <c r="F5" s="24">
        <v>10285.714285714286</v>
      </c>
      <c r="G5" s="24">
        <v>3500</v>
      </c>
      <c r="H5" s="24">
        <v>13785.714285714286</v>
      </c>
      <c r="I5" s="10">
        <f t="shared" ref="I5:I14" si="0">F5-G5</f>
        <v>6785.7142857142862</v>
      </c>
      <c r="J5" s="2"/>
      <c r="K5" s="16">
        <v>800</v>
      </c>
      <c r="L5" s="25">
        <v>11500</v>
      </c>
      <c r="M5" s="25">
        <v>11750</v>
      </c>
      <c r="N5" s="25">
        <v>12000</v>
      </c>
      <c r="O5" s="25">
        <v>12250</v>
      </c>
      <c r="P5" s="25">
        <v>12500</v>
      </c>
      <c r="Q5" s="25">
        <v>12750</v>
      </c>
      <c r="R5" s="25">
        <v>13000</v>
      </c>
      <c r="S5" s="25">
        <v>13250</v>
      </c>
      <c r="T5" s="25">
        <v>13500</v>
      </c>
      <c r="U5" s="25">
        <v>13750</v>
      </c>
      <c r="V5" s="25">
        <v>14000</v>
      </c>
      <c r="W5" s="27">
        <v>13000</v>
      </c>
      <c r="Y5" s="28">
        <v>32000</v>
      </c>
      <c r="Z5" s="25">
        <v>1131</v>
      </c>
      <c r="AA5" s="25">
        <v>11313.71</v>
      </c>
    </row>
    <row r="6" spans="2:27" x14ac:dyDescent="0.25">
      <c r="B6" s="15" t="s">
        <v>12</v>
      </c>
      <c r="C6" s="6">
        <v>900</v>
      </c>
      <c r="D6" s="2"/>
      <c r="E6" s="16">
        <v>800</v>
      </c>
      <c r="F6" s="24">
        <v>9000</v>
      </c>
      <c r="G6" s="24">
        <v>4000</v>
      </c>
      <c r="H6" s="24">
        <v>13000</v>
      </c>
      <c r="I6" s="10">
        <f t="shared" si="0"/>
        <v>5000</v>
      </c>
      <c r="J6" s="2"/>
      <c r="K6" s="16">
        <v>900</v>
      </c>
      <c r="L6" s="25">
        <v>11166.666666666668</v>
      </c>
      <c r="M6" s="25">
        <v>11388.888888888889</v>
      </c>
      <c r="N6" s="25">
        <v>11611.111111111111</v>
      </c>
      <c r="O6" s="25">
        <v>11833.333333333332</v>
      </c>
      <c r="P6" s="25">
        <v>12055.555555555555</v>
      </c>
      <c r="Q6" s="25">
        <v>12277.777777777777</v>
      </c>
      <c r="R6" s="25">
        <v>12500</v>
      </c>
      <c r="S6" s="25">
        <v>12722.222222222223</v>
      </c>
      <c r="T6" s="25">
        <v>12944.444444444443</v>
      </c>
      <c r="U6" s="25">
        <v>13166.666666666668</v>
      </c>
      <c r="V6" s="25">
        <v>13388.888888888889</v>
      </c>
      <c r="W6" s="27">
        <v>12500</v>
      </c>
      <c r="Y6" s="28">
        <v>33000</v>
      </c>
      <c r="Z6" s="25">
        <v>1149</v>
      </c>
      <c r="AA6" s="25">
        <v>11489.13</v>
      </c>
    </row>
    <row r="7" spans="2:27" x14ac:dyDescent="0.25">
      <c r="B7" s="15" t="s">
        <v>3</v>
      </c>
      <c r="C7" s="19">
        <f>C2/C6*C3</f>
        <v>8000</v>
      </c>
      <c r="D7" s="2"/>
      <c r="E7" s="16">
        <v>900</v>
      </c>
      <c r="F7" s="24">
        <v>8000</v>
      </c>
      <c r="G7" s="24">
        <v>4500</v>
      </c>
      <c r="H7" s="24">
        <v>12500</v>
      </c>
      <c r="I7" s="10">
        <f t="shared" si="0"/>
        <v>3500</v>
      </c>
      <c r="J7" s="2"/>
      <c r="K7" s="16">
        <v>1000</v>
      </c>
      <c r="L7" s="25">
        <v>11000</v>
      </c>
      <c r="M7" s="25">
        <v>11200</v>
      </c>
      <c r="N7" s="25">
        <v>11400</v>
      </c>
      <c r="O7" s="25">
        <v>11600</v>
      </c>
      <c r="P7" s="25">
        <v>11800</v>
      </c>
      <c r="Q7" s="25">
        <v>12000</v>
      </c>
      <c r="R7" s="25">
        <v>12200</v>
      </c>
      <c r="S7" s="25">
        <v>12400</v>
      </c>
      <c r="T7" s="25">
        <v>12600</v>
      </c>
      <c r="U7" s="25">
        <v>12800</v>
      </c>
      <c r="V7" s="25">
        <v>13000</v>
      </c>
      <c r="W7" s="27">
        <v>12200</v>
      </c>
      <c r="Y7" s="28">
        <v>34000</v>
      </c>
      <c r="Z7" s="25">
        <v>1166</v>
      </c>
      <c r="AA7" s="25">
        <v>11661.9</v>
      </c>
    </row>
    <row r="8" spans="2:27" x14ac:dyDescent="0.25">
      <c r="B8" s="15" t="s">
        <v>4</v>
      </c>
      <c r="C8" s="19">
        <f>C4*C6/2</f>
        <v>4500</v>
      </c>
      <c r="D8" s="2"/>
      <c r="E8" s="16">
        <v>1000</v>
      </c>
      <c r="F8" s="24">
        <v>7200</v>
      </c>
      <c r="G8" s="24">
        <v>5000</v>
      </c>
      <c r="H8" s="24">
        <v>12200</v>
      </c>
      <c r="I8" s="10">
        <f t="shared" si="0"/>
        <v>2200</v>
      </c>
      <c r="J8" s="2"/>
      <c r="K8" s="16">
        <v>1100</v>
      </c>
      <c r="L8" s="25">
        <v>10954.545454545456</v>
      </c>
      <c r="M8" s="25">
        <v>11136.363636363636</v>
      </c>
      <c r="N8" s="25">
        <v>11318.181818181818</v>
      </c>
      <c r="O8" s="25">
        <v>11500</v>
      </c>
      <c r="P8" s="25">
        <v>11681.818181818182</v>
      </c>
      <c r="Q8" s="25">
        <v>11863.636363636364</v>
      </c>
      <c r="R8" s="25">
        <v>12045.454545454544</v>
      </c>
      <c r="S8" s="25">
        <v>12227.272727272728</v>
      </c>
      <c r="T8" s="25">
        <v>12409.090909090908</v>
      </c>
      <c r="U8" s="25">
        <v>12590.909090909092</v>
      </c>
      <c r="V8" s="25">
        <v>12772.727272727272</v>
      </c>
      <c r="W8" s="27">
        <v>12045.454545454544</v>
      </c>
      <c r="Y8" s="28">
        <v>35000</v>
      </c>
      <c r="Z8" s="25">
        <v>1183</v>
      </c>
      <c r="AA8" s="25">
        <v>11832.16</v>
      </c>
    </row>
    <row r="9" spans="2:27" x14ac:dyDescent="0.25">
      <c r="B9" s="15" t="s">
        <v>5</v>
      </c>
      <c r="C9" s="20">
        <f>C7+C8</f>
        <v>12500</v>
      </c>
      <c r="D9" s="2"/>
      <c r="E9" s="16">
        <v>1100</v>
      </c>
      <c r="F9" s="24">
        <v>6545.454545454545</v>
      </c>
      <c r="G9" s="24">
        <v>5500</v>
      </c>
      <c r="H9" s="24">
        <v>12045.454545454544</v>
      </c>
      <c r="I9" s="10">
        <f t="shared" si="0"/>
        <v>1045.454545454545</v>
      </c>
      <c r="J9" s="2"/>
      <c r="K9" s="16">
        <v>1200</v>
      </c>
      <c r="L9" s="25">
        <v>11000</v>
      </c>
      <c r="M9" s="25">
        <v>11166.666666666666</v>
      </c>
      <c r="N9" s="25">
        <v>11333.333333333334</v>
      </c>
      <c r="O9" s="25">
        <v>11500</v>
      </c>
      <c r="P9" s="25">
        <v>11666.666666666666</v>
      </c>
      <c r="Q9" s="25">
        <v>11833.333333333334</v>
      </c>
      <c r="R9" s="25">
        <v>12000</v>
      </c>
      <c r="S9" s="25">
        <v>12166.666666666666</v>
      </c>
      <c r="T9" s="25">
        <v>12333.333333333334</v>
      </c>
      <c r="U9" s="25">
        <v>12500</v>
      </c>
      <c r="V9" s="25">
        <v>12666.666666666668</v>
      </c>
      <c r="W9" s="27">
        <v>12000</v>
      </c>
      <c r="Y9" s="28">
        <v>36000</v>
      </c>
      <c r="Z9" s="25">
        <v>1200</v>
      </c>
      <c r="AA9" s="25">
        <v>12000</v>
      </c>
    </row>
    <row r="10" spans="2:27" x14ac:dyDescent="0.25">
      <c r="B10" s="2"/>
      <c r="C10" s="11"/>
      <c r="D10" s="2"/>
      <c r="E10" s="16">
        <v>1200</v>
      </c>
      <c r="F10" s="24">
        <v>6000</v>
      </c>
      <c r="G10" s="24">
        <v>6000</v>
      </c>
      <c r="H10" s="24">
        <v>12000</v>
      </c>
      <c r="I10" s="10">
        <f t="shared" si="0"/>
        <v>0</v>
      </c>
      <c r="J10" s="2"/>
      <c r="K10" s="16">
        <v>1300</v>
      </c>
      <c r="L10" s="25">
        <v>11115.384615384615</v>
      </c>
      <c r="M10" s="25">
        <v>11269.23076923077</v>
      </c>
      <c r="N10" s="25">
        <v>11423.076923076924</v>
      </c>
      <c r="O10" s="25">
        <v>11576.923076923076</v>
      </c>
      <c r="P10" s="25">
        <v>11730.76923076923</v>
      </c>
      <c r="Q10" s="25">
        <v>11884.615384615385</v>
      </c>
      <c r="R10" s="25">
        <v>12038.461538461539</v>
      </c>
      <c r="S10" s="25">
        <v>12192.307692307691</v>
      </c>
      <c r="T10" s="25">
        <v>12346.153846153846</v>
      </c>
      <c r="U10" s="25">
        <v>12500</v>
      </c>
      <c r="V10" s="25">
        <v>12653.846153846154</v>
      </c>
      <c r="W10" s="27">
        <v>12038.461538461539</v>
      </c>
      <c r="Y10" s="28">
        <v>37000</v>
      </c>
      <c r="Z10" s="25">
        <v>1217</v>
      </c>
      <c r="AA10" s="25">
        <v>12165.53</v>
      </c>
    </row>
    <row r="11" spans="2:27" x14ac:dyDescent="0.25">
      <c r="B11" s="15" t="s">
        <v>13</v>
      </c>
      <c r="C11" s="20">
        <f>ROUND(SQRT(2*C2*C3/C4),0)</f>
        <v>1200</v>
      </c>
      <c r="D11" s="2"/>
      <c r="E11" s="16">
        <v>1300</v>
      </c>
      <c r="F11" s="24">
        <v>5538.461538461539</v>
      </c>
      <c r="G11" s="24">
        <v>6500</v>
      </c>
      <c r="H11" s="24">
        <v>12038.461538461539</v>
      </c>
      <c r="I11" s="10">
        <f t="shared" si="0"/>
        <v>-961.53846153846098</v>
      </c>
      <c r="J11" s="2"/>
      <c r="K11" s="16">
        <v>1400</v>
      </c>
      <c r="L11" s="25">
        <v>11285.714285714286</v>
      </c>
      <c r="M11" s="25">
        <v>11428.571428571428</v>
      </c>
      <c r="N11" s="25">
        <v>11571.428571428572</v>
      </c>
      <c r="O11" s="25">
        <v>11714.285714285714</v>
      </c>
      <c r="P11" s="25">
        <v>11857.142857142857</v>
      </c>
      <c r="Q11" s="25">
        <v>12000</v>
      </c>
      <c r="R11" s="25">
        <v>12142.857142857143</v>
      </c>
      <c r="S11" s="25">
        <v>12285.714285714286</v>
      </c>
      <c r="T11" s="25">
        <v>12428.571428571428</v>
      </c>
      <c r="U11" s="25">
        <v>12571.428571428572</v>
      </c>
      <c r="V11" s="25">
        <v>12714.285714285714</v>
      </c>
      <c r="W11" s="27">
        <v>12142.857142857143</v>
      </c>
      <c r="Y11" s="28">
        <v>38000</v>
      </c>
      <c r="Z11" s="25">
        <v>1233</v>
      </c>
      <c r="AA11" s="25">
        <v>12328.83</v>
      </c>
    </row>
    <row r="12" spans="2:27" x14ac:dyDescent="0.25">
      <c r="B12" s="15" t="s">
        <v>14</v>
      </c>
      <c r="C12" s="22">
        <f>C2/C11*C3</f>
        <v>6000</v>
      </c>
      <c r="D12" s="2"/>
      <c r="E12" s="16">
        <v>1400</v>
      </c>
      <c r="F12" s="24">
        <v>5142.8571428571431</v>
      </c>
      <c r="G12" s="24">
        <v>7000</v>
      </c>
      <c r="H12" s="24">
        <v>12142.857142857143</v>
      </c>
      <c r="I12" s="10">
        <f t="shared" si="0"/>
        <v>-1857.1428571428569</v>
      </c>
      <c r="J12" s="2"/>
      <c r="K12" s="16">
        <v>1500</v>
      </c>
      <c r="L12" s="25">
        <v>11500</v>
      </c>
      <c r="M12" s="25">
        <v>11633.333333333334</v>
      </c>
      <c r="N12" s="25">
        <v>11766.666666666666</v>
      </c>
      <c r="O12" s="25">
        <v>11900</v>
      </c>
      <c r="P12" s="25">
        <v>12033.333333333334</v>
      </c>
      <c r="Q12" s="25">
        <v>12166.666666666666</v>
      </c>
      <c r="R12" s="25">
        <v>12300</v>
      </c>
      <c r="S12" s="25">
        <v>12433.333333333334</v>
      </c>
      <c r="T12" s="25">
        <v>12566.666666666666</v>
      </c>
      <c r="U12" s="25">
        <v>12700</v>
      </c>
      <c r="V12" s="25">
        <v>12833.333333333334</v>
      </c>
      <c r="W12" s="27">
        <v>12300</v>
      </c>
      <c r="Y12" s="28">
        <v>39000</v>
      </c>
      <c r="Z12" s="25">
        <v>1249</v>
      </c>
      <c r="AA12" s="25">
        <v>12490</v>
      </c>
    </row>
    <row r="13" spans="2:27" x14ac:dyDescent="0.25">
      <c r="B13" s="15" t="s">
        <v>15</v>
      </c>
      <c r="C13" s="22">
        <f>C11/2*C4</f>
        <v>6000</v>
      </c>
      <c r="D13" s="2"/>
      <c r="E13" s="16">
        <v>1500</v>
      </c>
      <c r="F13" s="24">
        <v>4800</v>
      </c>
      <c r="G13" s="24">
        <v>7500</v>
      </c>
      <c r="H13" s="24">
        <v>12300</v>
      </c>
      <c r="I13" s="10">
        <f t="shared" si="0"/>
        <v>-2700</v>
      </c>
      <c r="J13" s="2"/>
      <c r="K13" s="16">
        <v>1600</v>
      </c>
      <c r="L13" s="25">
        <v>11750</v>
      </c>
      <c r="M13" s="25">
        <v>11875</v>
      </c>
      <c r="N13" s="25">
        <v>12000</v>
      </c>
      <c r="O13" s="25">
        <v>12125</v>
      </c>
      <c r="P13" s="25">
        <v>12250</v>
      </c>
      <c r="Q13" s="25">
        <v>12375</v>
      </c>
      <c r="R13" s="25">
        <v>12500</v>
      </c>
      <c r="S13" s="25">
        <v>12625</v>
      </c>
      <c r="T13" s="25">
        <v>12750</v>
      </c>
      <c r="U13" s="25">
        <v>12875</v>
      </c>
      <c r="V13" s="25">
        <v>13000</v>
      </c>
      <c r="W13" s="27">
        <v>12500</v>
      </c>
      <c r="Y13" s="28">
        <v>40000</v>
      </c>
      <c r="Z13" s="25">
        <v>1265</v>
      </c>
      <c r="AA13" s="25">
        <v>12649.11</v>
      </c>
    </row>
    <row r="14" spans="2:27" x14ac:dyDescent="0.25">
      <c r="B14" s="15" t="s">
        <v>16</v>
      </c>
      <c r="C14" s="21">
        <f>ROUND(SQRT(2*C4*C3*C2),2)</f>
        <v>12000</v>
      </c>
      <c r="D14" s="2"/>
      <c r="E14" s="16">
        <v>1600</v>
      </c>
      <c r="F14" s="24">
        <v>4500</v>
      </c>
      <c r="G14" s="24">
        <v>8000</v>
      </c>
      <c r="H14" s="24">
        <v>12500</v>
      </c>
      <c r="I14" s="10">
        <f t="shared" si="0"/>
        <v>-3500</v>
      </c>
      <c r="J14" s="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3"/>
      <c r="W14" s="12"/>
      <c r="Y14" s="12"/>
    </row>
    <row r="15" spans="2:27" x14ac:dyDescent="0.25">
      <c r="B15" s="2"/>
      <c r="C15" s="2"/>
      <c r="D15" s="2"/>
      <c r="J15" s="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3"/>
      <c r="W15" s="12"/>
      <c r="Y15" s="12"/>
    </row>
    <row r="16" spans="2:27" x14ac:dyDescent="0.25">
      <c r="B16" s="5" t="str">
        <f>"年需求量="&amp;C2</f>
        <v>年需求量=36000</v>
      </c>
      <c r="C16" s="2"/>
      <c r="D16" s="2"/>
      <c r="E16" s="2" t="s">
        <v>1</v>
      </c>
      <c r="F16" s="2"/>
      <c r="G16" s="2"/>
      <c r="H16" s="2" t="s">
        <v>2</v>
      </c>
      <c r="I16" s="2"/>
      <c r="J16" s="2"/>
      <c r="Y16" s="12"/>
    </row>
    <row r="17" spans="2:25" x14ac:dyDescent="0.25">
      <c r="B17" s="5" t="str">
        <f>"订货量="&amp;C6</f>
        <v>订货量=900</v>
      </c>
      <c r="C17" s="2"/>
      <c r="D17" s="2"/>
      <c r="E17" s="25">
        <f>C11</f>
        <v>1200</v>
      </c>
      <c r="F17" s="24">
        <v>0</v>
      </c>
      <c r="G17" s="2"/>
      <c r="H17" s="25">
        <f>C6</f>
        <v>900</v>
      </c>
      <c r="I17" s="25">
        <v>0</v>
      </c>
      <c r="J17" s="2"/>
      <c r="Y17" s="12"/>
    </row>
    <row r="18" spans="2:25" x14ac:dyDescent="0.25">
      <c r="B18" s="5" t="str">
        <f>"经济订货量="&amp;C11&amp;"，年总成本最小值="&amp;C14&amp;"元"</f>
        <v>经济订货量=1200，年总成本最小值=12000元</v>
      </c>
      <c r="C18" s="5"/>
      <c r="D18" s="2"/>
      <c r="E18" s="25">
        <f>E17</f>
        <v>1200</v>
      </c>
      <c r="F18" s="24">
        <f>C12</f>
        <v>6000</v>
      </c>
      <c r="G18" s="2"/>
      <c r="H18" s="25">
        <f>H17</f>
        <v>900</v>
      </c>
      <c r="I18" s="25">
        <f>C8</f>
        <v>4500</v>
      </c>
      <c r="J18" s="2"/>
      <c r="Y18" s="12"/>
    </row>
    <row r="19" spans="2:25" x14ac:dyDescent="0.25">
      <c r="B19" s="2"/>
      <c r="C19" s="2"/>
      <c r="D19" s="2"/>
      <c r="E19" s="25">
        <f>E18</f>
        <v>1200</v>
      </c>
      <c r="F19" s="24">
        <f>C14</f>
        <v>12000</v>
      </c>
      <c r="G19" s="2"/>
      <c r="H19" s="25">
        <f>H18</f>
        <v>900</v>
      </c>
      <c r="I19" s="25">
        <f>C7</f>
        <v>8000</v>
      </c>
      <c r="J19" s="2"/>
      <c r="Y19" s="12"/>
    </row>
    <row r="20" spans="2:25" x14ac:dyDescent="0.25">
      <c r="B20" s="2"/>
      <c r="C20" s="2"/>
      <c r="D20" s="2"/>
      <c r="E20" s="25">
        <f>E19</f>
        <v>1200</v>
      </c>
      <c r="F20" s="24">
        <v>25000</v>
      </c>
      <c r="G20" s="2"/>
      <c r="H20" s="25">
        <f>H19</f>
        <v>900</v>
      </c>
      <c r="I20" s="25">
        <f>C9</f>
        <v>12500</v>
      </c>
      <c r="J20" s="2"/>
      <c r="Y20" s="12"/>
    </row>
    <row r="21" spans="2:25" x14ac:dyDescent="0.25">
      <c r="B21" s="2"/>
      <c r="C21" s="2"/>
      <c r="D21" s="2"/>
      <c r="G21" s="2"/>
      <c r="H21" s="25">
        <f>H20</f>
        <v>900</v>
      </c>
      <c r="I21" s="25">
        <v>25000</v>
      </c>
      <c r="J21" s="2"/>
      <c r="R21" s="3" t="s">
        <v>18</v>
      </c>
      <c r="Y21" s="12"/>
    </row>
    <row r="22" spans="2:25" x14ac:dyDescent="0.25">
      <c r="B22" s="2"/>
      <c r="C22" s="2"/>
      <c r="D22" s="2"/>
      <c r="G22" s="2"/>
      <c r="J22" s="2"/>
      <c r="Y22" s="12"/>
    </row>
    <row r="23" spans="2:25" x14ac:dyDescent="0.25">
      <c r="B23" s="2"/>
      <c r="C23" s="2"/>
      <c r="D23" s="2"/>
      <c r="G23" s="2"/>
      <c r="H23" s="2"/>
      <c r="I23" s="2"/>
      <c r="J23" s="2"/>
      <c r="Y23" s="12"/>
    </row>
    <row r="24" spans="2:25" x14ac:dyDescent="0.25">
      <c r="B24" s="2"/>
      <c r="C24" s="2"/>
      <c r="D24" s="2"/>
      <c r="G24" s="2"/>
      <c r="H24" s="2"/>
      <c r="I24" s="2"/>
      <c r="J24" s="2"/>
      <c r="Y24" s="12"/>
    </row>
    <row r="25" spans="2:25" x14ac:dyDescent="0.25">
      <c r="B25" s="2"/>
      <c r="C25" s="2"/>
      <c r="D25" s="2"/>
      <c r="G25" s="2"/>
      <c r="H25" s="2"/>
      <c r="I25" s="2"/>
      <c r="J25" s="2"/>
    </row>
    <row r="26" spans="2:25" x14ac:dyDescent="0.25">
      <c r="B26" s="2"/>
      <c r="C26" s="2"/>
      <c r="D26" s="2"/>
      <c r="G26" s="2"/>
      <c r="H26" s="2"/>
      <c r="I26" s="2"/>
      <c r="J26" s="2"/>
    </row>
    <row r="27" spans="2:25" x14ac:dyDescent="0.25">
      <c r="B27" s="2"/>
      <c r="C27" s="2"/>
      <c r="D27" s="2"/>
      <c r="E27" s="2"/>
      <c r="F27" s="2"/>
      <c r="G27" s="2"/>
      <c r="H27" s="2"/>
      <c r="I27" s="2"/>
      <c r="J27" s="2"/>
    </row>
    <row r="28" spans="2:25" x14ac:dyDescent="0.25">
      <c r="B28" s="2"/>
      <c r="C28" s="2"/>
      <c r="D28" s="2"/>
      <c r="J28" s="2"/>
    </row>
    <row r="29" spans="2:25" x14ac:dyDescent="0.25">
      <c r="B29" s="2"/>
      <c r="C29" s="2"/>
      <c r="D29" s="2"/>
      <c r="J29" s="2"/>
    </row>
    <row r="30" spans="2:25" x14ac:dyDescent="0.25">
      <c r="B30" s="2"/>
      <c r="C30" s="2"/>
      <c r="D30" s="2"/>
      <c r="J30" s="2"/>
    </row>
    <row r="31" spans="2:25" x14ac:dyDescent="0.25">
      <c r="B31" s="2"/>
      <c r="C31" s="2"/>
      <c r="D31" s="2"/>
      <c r="J31" s="2"/>
    </row>
    <row r="32" spans="2:25" x14ac:dyDescent="0.25">
      <c r="B32" s="2"/>
      <c r="C32" s="2"/>
      <c r="D32" s="2"/>
      <c r="J32" s="2"/>
    </row>
    <row r="33" spans="2:10" x14ac:dyDescent="0.25">
      <c r="B33" s="2"/>
      <c r="C33" s="2"/>
      <c r="D33" s="2"/>
      <c r="J33" s="2"/>
    </row>
  </sheetData>
  <phoneticPr fontId="1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17" zoomScaleNormal="100" workbookViewId="0">
      <selection activeCell="C29" sqref="C29"/>
    </sheetView>
  </sheetViews>
  <sheetFormatPr defaultColWidth="9" defaultRowHeight="13" x14ac:dyDescent="0.25"/>
  <cols>
    <col min="1" max="16384" width="9" style="1"/>
  </cols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3" name="Spinner 5">
              <controlPr defaultSize="0" autoPict="0">
                <anchor moveWithCells="1" sizeWithCells="1">
                  <from>
                    <xdr:col>3</xdr:col>
                    <xdr:colOff>209550</xdr:colOff>
                    <xdr:row>3</xdr:row>
                    <xdr:rowOff>120650</xdr:rowOff>
                  </from>
                  <to>
                    <xdr:col>3</xdr:col>
                    <xdr:colOff>450850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4" name="Spinner 6">
              <controlPr defaultSize="0" autoPict="0">
                <anchor moveWithCells="1" sizeWithCells="1">
                  <from>
                    <xdr:col>5</xdr:col>
                    <xdr:colOff>501650</xdr:colOff>
                    <xdr:row>3</xdr:row>
                    <xdr:rowOff>120650</xdr:rowOff>
                  </from>
                  <to>
                    <xdr:col>6</xdr:col>
                    <xdr:colOff>50800</xdr:colOff>
                    <xdr:row>5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2" sqref="K2"/>
    </sheetView>
  </sheetViews>
  <sheetFormatPr defaultRowHeight="15" x14ac:dyDescent="0.25"/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2</xdr:col>
                    <xdr:colOff>57150</xdr:colOff>
                    <xdr:row>3</xdr:row>
                    <xdr:rowOff>38100</xdr:rowOff>
                  </from>
                  <to>
                    <xdr:col>2</xdr:col>
                    <xdr:colOff>304800</xdr:colOff>
                    <xdr:row>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例8-2</vt:lpstr>
      <vt:lpstr>经济订货量分析模型</vt:lpstr>
      <vt:lpstr>经济订货量分析图形</vt:lpstr>
      <vt:lpstr>经济订货量情景分析图形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bin jiao</cp:lastModifiedBy>
  <cp:lastPrinted>2004-06-28T23:31:30Z</cp:lastPrinted>
  <dcterms:created xsi:type="dcterms:W3CDTF">1996-12-17T01:32:42Z</dcterms:created>
  <dcterms:modified xsi:type="dcterms:W3CDTF">2025-12-21T04:34:27Z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f900c73f</vt:lpwstr>
  </property>
</Properties>
</file>