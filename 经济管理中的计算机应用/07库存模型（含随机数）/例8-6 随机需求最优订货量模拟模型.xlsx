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作业与资料\经管机\第08章例题答案2\"/>
    </mc:Choice>
  </mc:AlternateContent>
  <xr:revisionPtr revIDLastSave="0" documentId="13_ncr:1_{B0239BDE-7319-4B62-A501-C455471A1A0A}" xr6:coauthVersionLast="47" xr6:coauthVersionMax="47" xr10:uidLastSave="{00000000-0000-0000-0000-000000000000}"/>
  <bookViews>
    <workbookView xWindow="12080" yWindow="1740" windowWidth="13830" windowHeight="12590" tabRatio="493" firstSheet="3" activeTab="4" xr2:uid="{00000000-000D-0000-FFFF-FFFF00000000}"/>
  </bookViews>
  <sheets>
    <sheet name="例8-6" sheetId="60031" r:id="rId1"/>
    <sheet name="EOQ模型" sheetId="27401" r:id="rId2"/>
    <sheet name="固定需求模拟模型" sheetId="60032" r:id="rId3"/>
    <sheet name="随机需求模拟模型" sheetId="60034" r:id="rId4"/>
    <sheet name="年总成本随订货量变化图形" sheetId="60024" r:id="rId5"/>
  </sheets>
  <definedNames>
    <definedName name="solver_adj" localSheetId="1" hidden="1">EOQ模型!#REF!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EOQ模型!#REF!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91029" calcMode="autoNoTable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0032" l="1"/>
  <c r="C11" i="27401"/>
  <c r="C8" i="60032" l="1"/>
  <c r="C9" i="60034"/>
  <c r="F365" i="60034" l="1"/>
  <c r="F366" i="60034"/>
  <c r="F367" i="60034"/>
  <c r="F368" i="60034"/>
  <c r="F369" i="60034"/>
  <c r="C17" i="60034"/>
  <c r="C18" i="60034" s="1"/>
  <c r="M16" i="60034" s="1"/>
  <c r="F6" i="60034" l="1"/>
  <c r="F7" i="60034"/>
  <c r="F8" i="60034"/>
  <c r="F9" i="60034"/>
  <c r="F10" i="60034"/>
  <c r="F11" i="60034"/>
  <c r="F12" i="60034"/>
  <c r="F13" i="60034"/>
  <c r="F14" i="60034"/>
  <c r="F15" i="60034"/>
  <c r="F16" i="60034"/>
  <c r="F17" i="60034"/>
  <c r="F18" i="60034"/>
  <c r="F19" i="60034"/>
  <c r="F20" i="60034"/>
  <c r="F21" i="60034"/>
  <c r="F22" i="60034"/>
  <c r="F23" i="60034"/>
  <c r="F24" i="60034"/>
  <c r="F25" i="60034"/>
  <c r="F26" i="60034"/>
  <c r="F27" i="60034"/>
  <c r="F28" i="60034"/>
  <c r="F29" i="60034"/>
  <c r="F30" i="60034"/>
  <c r="F31" i="60034"/>
  <c r="F32" i="60034"/>
  <c r="F33" i="60034"/>
  <c r="F34" i="60034"/>
  <c r="F35" i="60034"/>
  <c r="F36" i="60034"/>
  <c r="F37" i="60034"/>
  <c r="F38" i="60034"/>
  <c r="F39" i="60034"/>
  <c r="F40" i="60034"/>
  <c r="F41" i="60034"/>
  <c r="F42" i="60034"/>
  <c r="F43" i="60034"/>
  <c r="F44" i="60034"/>
  <c r="F45" i="60034"/>
  <c r="F46" i="60034"/>
  <c r="F47" i="60034"/>
  <c r="F48" i="60034"/>
  <c r="F49" i="60034"/>
  <c r="F50" i="60034"/>
  <c r="F51" i="60034"/>
  <c r="F52" i="60034"/>
  <c r="F53" i="60034"/>
  <c r="F54" i="60034"/>
  <c r="F55" i="60034"/>
  <c r="F56" i="60034"/>
  <c r="F57" i="60034"/>
  <c r="F58" i="60034"/>
  <c r="F59" i="60034"/>
  <c r="F60" i="60034"/>
  <c r="F61" i="60034"/>
  <c r="F62" i="60034"/>
  <c r="F63" i="60034"/>
  <c r="F64" i="60034"/>
  <c r="F65" i="60034"/>
  <c r="F66" i="60034"/>
  <c r="F67" i="60034"/>
  <c r="F68" i="60034"/>
  <c r="F69" i="60034"/>
  <c r="F70" i="60034"/>
  <c r="F71" i="60034"/>
  <c r="F72" i="60034"/>
  <c r="F73" i="60034"/>
  <c r="F74" i="60034"/>
  <c r="F75" i="60034"/>
  <c r="F76" i="60034"/>
  <c r="F77" i="60034"/>
  <c r="F78" i="60034"/>
  <c r="F79" i="60034"/>
  <c r="F80" i="60034"/>
  <c r="F81" i="60034"/>
  <c r="F82" i="60034"/>
  <c r="F83" i="60034"/>
  <c r="F84" i="60034"/>
  <c r="F85" i="60034"/>
  <c r="F86" i="60034"/>
  <c r="F87" i="60034"/>
  <c r="F88" i="60034"/>
  <c r="F89" i="60034"/>
  <c r="F90" i="60034"/>
  <c r="F91" i="60034"/>
  <c r="F92" i="60034"/>
  <c r="F93" i="60034"/>
  <c r="F94" i="60034"/>
  <c r="F95" i="60034"/>
  <c r="F96" i="60034"/>
  <c r="F97" i="60034"/>
  <c r="F98" i="60034"/>
  <c r="F99" i="60034"/>
  <c r="F100" i="60034"/>
  <c r="F101" i="60034"/>
  <c r="F102" i="60034"/>
  <c r="F103" i="60034"/>
  <c r="F104" i="60034"/>
  <c r="F105" i="60034"/>
  <c r="F106" i="60034"/>
  <c r="F107" i="60034"/>
  <c r="F108" i="60034"/>
  <c r="F109" i="60034"/>
  <c r="F110" i="60034"/>
  <c r="F111" i="60034"/>
  <c r="F112" i="60034"/>
  <c r="F113" i="60034"/>
  <c r="F114" i="60034"/>
  <c r="F115" i="60034"/>
  <c r="F116" i="60034"/>
  <c r="F117" i="60034"/>
  <c r="F118" i="60034"/>
  <c r="F119" i="60034"/>
  <c r="F120" i="60034"/>
  <c r="F121" i="60034"/>
  <c r="F122" i="60034"/>
  <c r="F123" i="60034"/>
  <c r="F124" i="60034"/>
  <c r="F125" i="60034"/>
  <c r="F126" i="60034"/>
  <c r="F127" i="60034"/>
  <c r="F128" i="60034"/>
  <c r="F129" i="60034"/>
  <c r="F130" i="60034"/>
  <c r="F131" i="60034"/>
  <c r="F132" i="60034"/>
  <c r="F133" i="60034"/>
  <c r="F134" i="60034"/>
  <c r="F135" i="60034"/>
  <c r="F136" i="60034"/>
  <c r="F137" i="60034"/>
  <c r="F138" i="60034"/>
  <c r="F139" i="60034"/>
  <c r="F140" i="60034"/>
  <c r="F141" i="60034"/>
  <c r="F142" i="60034"/>
  <c r="F143" i="60034"/>
  <c r="F144" i="60034"/>
  <c r="F145" i="60034"/>
  <c r="F146" i="60034"/>
  <c r="F147" i="60034"/>
  <c r="F148" i="60034"/>
  <c r="F149" i="60034"/>
  <c r="F150" i="60034"/>
  <c r="F151" i="60034"/>
  <c r="F152" i="60034"/>
  <c r="F153" i="60034"/>
  <c r="F154" i="60034"/>
  <c r="F155" i="60034"/>
  <c r="F156" i="60034"/>
  <c r="F157" i="60034"/>
  <c r="F158" i="60034"/>
  <c r="F159" i="60034"/>
  <c r="F160" i="60034"/>
  <c r="F161" i="60034"/>
  <c r="F162" i="60034"/>
  <c r="F163" i="60034"/>
  <c r="F164" i="60034"/>
  <c r="F165" i="60034"/>
  <c r="F166" i="60034"/>
  <c r="F167" i="60034"/>
  <c r="F168" i="60034"/>
  <c r="F169" i="60034"/>
  <c r="F170" i="60034"/>
  <c r="F171" i="60034"/>
  <c r="F172" i="60034"/>
  <c r="F173" i="60034"/>
  <c r="F174" i="60034"/>
  <c r="F175" i="60034"/>
  <c r="F176" i="60034"/>
  <c r="F177" i="60034"/>
  <c r="F178" i="60034"/>
  <c r="F179" i="60034"/>
  <c r="F180" i="60034"/>
  <c r="F181" i="60034"/>
  <c r="F182" i="60034"/>
  <c r="F183" i="60034"/>
  <c r="F184" i="60034"/>
  <c r="F185" i="60034"/>
  <c r="F186" i="60034"/>
  <c r="F187" i="60034"/>
  <c r="F188" i="60034"/>
  <c r="F189" i="60034"/>
  <c r="F190" i="60034"/>
  <c r="F191" i="60034"/>
  <c r="F192" i="60034"/>
  <c r="F193" i="60034"/>
  <c r="F194" i="60034"/>
  <c r="F195" i="60034"/>
  <c r="F196" i="60034"/>
  <c r="F197" i="60034"/>
  <c r="F198" i="60034"/>
  <c r="F199" i="60034"/>
  <c r="F200" i="60034"/>
  <c r="F201" i="60034"/>
  <c r="F202" i="60034"/>
  <c r="F203" i="60034"/>
  <c r="F204" i="60034"/>
  <c r="F205" i="60034"/>
  <c r="F206" i="60034"/>
  <c r="F207" i="60034"/>
  <c r="F208" i="60034"/>
  <c r="F209" i="60034"/>
  <c r="F210" i="60034"/>
  <c r="F211" i="60034"/>
  <c r="F212" i="60034"/>
  <c r="F213" i="60034"/>
  <c r="F214" i="60034"/>
  <c r="F215" i="60034"/>
  <c r="F216" i="60034"/>
  <c r="F217" i="60034"/>
  <c r="F218" i="60034"/>
  <c r="F219" i="60034"/>
  <c r="F220" i="60034"/>
  <c r="F221" i="60034"/>
  <c r="F222" i="60034"/>
  <c r="F223" i="60034"/>
  <c r="F224" i="60034"/>
  <c r="F225" i="60034"/>
  <c r="F226" i="60034"/>
  <c r="F227" i="60034"/>
  <c r="F228" i="60034"/>
  <c r="F229" i="60034"/>
  <c r="F230" i="60034"/>
  <c r="F231" i="60034"/>
  <c r="F232" i="60034"/>
  <c r="F233" i="60034"/>
  <c r="F234" i="60034"/>
  <c r="F235" i="60034"/>
  <c r="F236" i="60034"/>
  <c r="F237" i="60034"/>
  <c r="F238" i="60034"/>
  <c r="F239" i="60034"/>
  <c r="F240" i="60034"/>
  <c r="F241" i="60034"/>
  <c r="F242" i="60034"/>
  <c r="F243" i="60034"/>
  <c r="F244" i="60034"/>
  <c r="F245" i="60034"/>
  <c r="F246" i="60034"/>
  <c r="F247" i="60034"/>
  <c r="F248" i="60034"/>
  <c r="F249" i="60034"/>
  <c r="F250" i="60034"/>
  <c r="F251" i="60034"/>
  <c r="F252" i="60034"/>
  <c r="F253" i="60034"/>
  <c r="F254" i="60034"/>
  <c r="F255" i="60034"/>
  <c r="F256" i="60034"/>
  <c r="F257" i="60034"/>
  <c r="F258" i="60034"/>
  <c r="F259" i="60034"/>
  <c r="F260" i="60034"/>
  <c r="F261" i="60034"/>
  <c r="F262" i="60034"/>
  <c r="F263" i="60034"/>
  <c r="F264" i="60034"/>
  <c r="F265" i="60034"/>
  <c r="F266" i="60034"/>
  <c r="F267" i="60034"/>
  <c r="F268" i="60034"/>
  <c r="F269" i="60034"/>
  <c r="F270" i="60034"/>
  <c r="F271" i="60034"/>
  <c r="F272" i="60034"/>
  <c r="F273" i="60034"/>
  <c r="F274" i="60034"/>
  <c r="F275" i="60034"/>
  <c r="F276" i="60034"/>
  <c r="F277" i="60034"/>
  <c r="F278" i="60034"/>
  <c r="F279" i="60034"/>
  <c r="F280" i="60034"/>
  <c r="F281" i="60034"/>
  <c r="F282" i="60034"/>
  <c r="F283" i="60034"/>
  <c r="F284" i="60034"/>
  <c r="F285" i="60034"/>
  <c r="F286" i="60034"/>
  <c r="F287" i="60034"/>
  <c r="F288" i="60034"/>
  <c r="F289" i="60034"/>
  <c r="F290" i="60034"/>
  <c r="F291" i="60034"/>
  <c r="F292" i="60034"/>
  <c r="F293" i="60034"/>
  <c r="F294" i="60034"/>
  <c r="F295" i="60034"/>
  <c r="F296" i="60034"/>
  <c r="F297" i="60034"/>
  <c r="F298" i="60034"/>
  <c r="F299" i="60034"/>
  <c r="F300" i="60034"/>
  <c r="F301" i="60034"/>
  <c r="F302" i="60034"/>
  <c r="F303" i="60034"/>
  <c r="F304" i="60034"/>
  <c r="F305" i="60034"/>
  <c r="F306" i="60034"/>
  <c r="F307" i="60034"/>
  <c r="F308" i="60034"/>
  <c r="F309" i="60034"/>
  <c r="F310" i="60034"/>
  <c r="F311" i="60034"/>
  <c r="F312" i="60034"/>
  <c r="F313" i="60034"/>
  <c r="F314" i="60034"/>
  <c r="F315" i="60034"/>
  <c r="F316" i="60034"/>
  <c r="F317" i="60034"/>
  <c r="F318" i="60034"/>
  <c r="F319" i="60034"/>
  <c r="F320" i="60034"/>
  <c r="F321" i="60034"/>
  <c r="F322" i="60034"/>
  <c r="F323" i="60034"/>
  <c r="F324" i="60034"/>
  <c r="F325" i="60034"/>
  <c r="F326" i="60034"/>
  <c r="F327" i="60034"/>
  <c r="F328" i="60034"/>
  <c r="F329" i="60034"/>
  <c r="F330" i="60034"/>
  <c r="F331" i="60034"/>
  <c r="F332" i="60034"/>
  <c r="F333" i="60034"/>
  <c r="F334" i="60034"/>
  <c r="F335" i="60034"/>
  <c r="F336" i="60034"/>
  <c r="F337" i="60034"/>
  <c r="F338" i="60034"/>
  <c r="F339" i="60034"/>
  <c r="F340" i="60034"/>
  <c r="F341" i="60034"/>
  <c r="F342" i="60034"/>
  <c r="F343" i="60034"/>
  <c r="F344" i="60034"/>
  <c r="F345" i="60034"/>
  <c r="F346" i="60034"/>
  <c r="F347" i="60034"/>
  <c r="F348" i="60034"/>
  <c r="F349" i="60034"/>
  <c r="F350" i="60034"/>
  <c r="F351" i="60034"/>
  <c r="F352" i="60034"/>
  <c r="F353" i="60034"/>
  <c r="F354" i="60034"/>
  <c r="F355" i="60034"/>
  <c r="F356" i="60034"/>
  <c r="F357" i="60034"/>
  <c r="F358" i="60034"/>
  <c r="F359" i="60034"/>
  <c r="F360" i="60034"/>
  <c r="F361" i="60034"/>
  <c r="F362" i="60034"/>
  <c r="F363" i="60034"/>
  <c r="F364" i="60034"/>
  <c r="F5" i="60034"/>
  <c r="DM4" i="60034" l="1"/>
  <c r="DM5" i="60034"/>
  <c r="DM6" i="60034"/>
  <c r="DM7" i="60034"/>
  <c r="DM8" i="60034"/>
  <c r="DM9" i="60034"/>
  <c r="DM10" i="60034"/>
  <c r="DM11" i="60034"/>
  <c r="DM12" i="60034"/>
  <c r="DM13" i="60034"/>
  <c r="DM3" i="60034"/>
  <c r="J4" i="60034"/>
  <c r="H4" i="60034"/>
  <c r="G5" i="60034" s="1"/>
  <c r="H5" i="60034" s="1"/>
  <c r="C15" i="60032"/>
  <c r="C16" i="60032" s="1"/>
  <c r="I4" i="60032"/>
  <c r="G4" i="60032"/>
  <c r="F5" i="60032" s="1"/>
  <c r="C14" i="27401"/>
  <c r="C18" i="27401" s="1"/>
  <c r="C12" i="27401"/>
  <c r="C7" i="27401"/>
  <c r="C8" i="27401"/>
  <c r="C21" i="60034" l="1"/>
  <c r="C22" i="60034" s="1"/>
  <c r="M17" i="60034"/>
  <c r="M18" i="60034" s="1"/>
  <c r="I5" i="60034"/>
  <c r="J5" i="60034" s="1"/>
  <c r="K5" i="60034"/>
  <c r="G5" i="60032"/>
  <c r="B17" i="27401"/>
  <c r="C13" i="27401"/>
  <c r="C9" i="27401"/>
  <c r="F2" i="27401" s="1"/>
  <c r="J5" i="60032" l="1"/>
  <c r="M21" i="60034"/>
  <c r="M22" i="60034" s="1"/>
  <c r="M23" i="60034" s="1"/>
  <c r="N22" i="60034"/>
  <c r="N17" i="60034"/>
  <c r="G6" i="60034"/>
  <c r="B18" i="27401"/>
  <c r="B19" i="27401" s="1"/>
  <c r="H5" i="60032"/>
  <c r="I5" i="60032" s="1"/>
  <c r="F6" i="60032" l="1"/>
  <c r="G6" i="60032" s="1"/>
  <c r="H6" i="60034"/>
  <c r="J6" i="60032" l="1"/>
  <c r="H6" i="60032"/>
  <c r="I6" i="60032" s="1"/>
  <c r="K6" i="60034"/>
  <c r="I6" i="60034"/>
  <c r="J6" i="60034" s="1"/>
  <c r="F7" i="60032" l="1"/>
  <c r="G7" i="60032" s="1"/>
  <c r="G7" i="60034"/>
  <c r="H7" i="60034" s="1"/>
  <c r="H7" i="60032" l="1"/>
  <c r="I7" i="60032" s="1"/>
  <c r="J7" i="60032"/>
  <c r="K7" i="60034"/>
  <c r="I7" i="60034"/>
  <c r="J7" i="60034" s="1"/>
  <c r="F8" i="60032" l="1"/>
  <c r="G8" i="60032" s="1"/>
  <c r="H8" i="60032" s="1"/>
  <c r="I8" i="60032" s="1"/>
  <c r="G8" i="60034"/>
  <c r="H8" i="60034" s="1"/>
  <c r="I8" i="60034" s="1"/>
  <c r="J8" i="60032" l="1"/>
  <c r="F9" i="60032"/>
  <c r="G9" i="60032" s="1"/>
  <c r="K8" i="60034"/>
  <c r="J8" i="60034"/>
  <c r="G9" i="60034"/>
  <c r="H9" i="60034" s="1"/>
  <c r="H9" i="60032" l="1"/>
  <c r="I9" i="60032" s="1"/>
  <c r="J9" i="60032"/>
  <c r="I9" i="60034"/>
  <c r="J9" i="60034" s="1"/>
  <c r="K9" i="60034"/>
  <c r="F10" i="60032" l="1"/>
  <c r="G10" i="60032" s="1"/>
  <c r="G10" i="60034"/>
  <c r="H10" i="60034" s="1"/>
  <c r="H10" i="60032" l="1"/>
  <c r="I10" i="60032" s="1"/>
  <c r="J10" i="60032"/>
  <c r="K10" i="60034"/>
  <c r="I10" i="60034"/>
  <c r="J10" i="60034" s="1"/>
  <c r="F11" i="60032" l="1"/>
  <c r="G11" i="60032" s="1"/>
  <c r="G11" i="60034"/>
  <c r="H11" i="60034" s="1"/>
  <c r="H11" i="60032" l="1"/>
  <c r="I11" i="60032" s="1"/>
  <c r="J11" i="60032"/>
  <c r="K11" i="60034"/>
  <c r="I11" i="60034"/>
  <c r="J11" i="60034" s="1"/>
  <c r="F12" i="60032" l="1"/>
  <c r="G12" i="60032" s="1"/>
  <c r="J12" i="60032" s="1"/>
  <c r="G12" i="60034"/>
  <c r="H12" i="60034" s="1"/>
  <c r="H12" i="60032" l="1"/>
  <c r="I12" i="60032" s="1"/>
  <c r="I12" i="60034"/>
  <c r="J12" i="60034" s="1"/>
  <c r="K12" i="60034"/>
  <c r="F13" i="60032" l="1"/>
  <c r="G13" i="60032" s="1"/>
  <c r="H13" i="60032" s="1"/>
  <c r="I13" i="60032" s="1"/>
  <c r="G13" i="60034"/>
  <c r="H13" i="60034" s="1"/>
  <c r="I13" i="60034" s="1"/>
  <c r="J13" i="60032" l="1"/>
  <c r="F14" i="60032"/>
  <c r="K13" i="60034"/>
  <c r="J13" i="60034"/>
  <c r="G14" i="60034"/>
  <c r="H14" i="60034" s="1"/>
  <c r="I14" i="60034" s="1"/>
  <c r="G14" i="60032"/>
  <c r="H14" i="60032" l="1"/>
  <c r="I14" i="60032" s="1"/>
  <c r="J14" i="60032"/>
  <c r="K14" i="60034"/>
  <c r="F15" i="60032" l="1"/>
  <c r="G15" i="60032" s="1"/>
  <c r="J14" i="60034"/>
  <c r="G15" i="60034"/>
  <c r="H15" i="60034" s="1"/>
  <c r="I15" i="60034" s="1"/>
  <c r="H15" i="60032" l="1"/>
  <c r="I15" i="60032" s="1"/>
  <c r="J15" i="60032"/>
  <c r="K15" i="60034"/>
  <c r="F16" i="60032" l="1"/>
  <c r="G16" i="60032" s="1"/>
  <c r="J15" i="60034"/>
  <c r="G16" i="60034"/>
  <c r="H16" i="60034" s="1"/>
  <c r="I16" i="60034" s="1"/>
  <c r="H16" i="60032" l="1"/>
  <c r="I16" i="60032" s="1"/>
  <c r="J16" i="60032"/>
  <c r="K16" i="60034"/>
  <c r="F17" i="60032" l="1"/>
  <c r="G17" i="60032" s="1"/>
  <c r="H17" i="60032" s="1"/>
  <c r="I17" i="60032" s="1"/>
  <c r="J16" i="60034"/>
  <c r="G17" i="60034"/>
  <c r="H17" i="60034" s="1"/>
  <c r="I17" i="60034" s="1"/>
  <c r="J17" i="60032" l="1"/>
  <c r="F18" i="60032"/>
  <c r="K17" i="60034"/>
  <c r="G18" i="60032"/>
  <c r="H18" i="60032" l="1"/>
  <c r="I18" i="60032" s="1"/>
  <c r="J18" i="60032"/>
  <c r="J17" i="60034"/>
  <c r="G18" i="60034"/>
  <c r="H18" i="60034" s="1"/>
  <c r="I18" i="60034" s="1"/>
  <c r="F19" i="60032" l="1"/>
  <c r="G19" i="60032" s="1"/>
  <c r="H19" i="60032" s="1"/>
  <c r="I19" i="60032" s="1"/>
  <c r="K18" i="60034"/>
  <c r="J19" i="60032" l="1"/>
  <c r="F20" i="60032"/>
  <c r="G20" i="60032" s="1"/>
  <c r="J18" i="60034"/>
  <c r="G19" i="60034"/>
  <c r="H19" i="60034" s="1"/>
  <c r="I19" i="60034" s="1"/>
  <c r="H20" i="60032" l="1"/>
  <c r="I20" i="60032" s="1"/>
  <c r="J20" i="60032"/>
  <c r="J19" i="60034"/>
  <c r="K19" i="60034"/>
  <c r="F21" i="60032" l="1"/>
  <c r="G21" i="60032" s="1"/>
  <c r="H21" i="60032" s="1"/>
  <c r="I21" i="60032" s="1"/>
  <c r="G20" i="60034"/>
  <c r="H20" i="60034" s="1"/>
  <c r="I20" i="60034" s="1"/>
  <c r="J21" i="60032" l="1"/>
  <c r="F22" i="60032"/>
  <c r="G22" i="60032" s="1"/>
  <c r="H22" i="60032" s="1"/>
  <c r="I22" i="60032" s="1"/>
  <c r="J20" i="60034"/>
  <c r="K20" i="60034"/>
  <c r="J22" i="60032" l="1"/>
  <c r="F23" i="60032"/>
  <c r="G23" i="60032" s="1"/>
  <c r="G21" i="60034"/>
  <c r="H21" i="60034" s="1"/>
  <c r="I21" i="60034" s="1"/>
  <c r="H23" i="60032" l="1"/>
  <c r="I23" i="60032" s="1"/>
  <c r="J23" i="60032"/>
  <c r="J21" i="60034"/>
  <c r="K21" i="60034"/>
  <c r="F24" i="60032" l="1"/>
  <c r="G24" i="60032" s="1"/>
  <c r="G22" i="60034"/>
  <c r="H24" i="60032" l="1"/>
  <c r="I24" i="60032" s="1"/>
  <c r="J24" i="60032"/>
  <c r="H22" i="60034"/>
  <c r="F25" i="60032" l="1"/>
  <c r="G25" i="60032" s="1"/>
  <c r="I22" i="60034"/>
  <c r="J22" i="60034" s="1"/>
  <c r="K22" i="60034"/>
  <c r="H25" i="60032" l="1"/>
  <c r="I25" i="60032" s="1"/>
  <c r="J25" i="60032"/>
  <c r="G23" i="60034"/>
  <c r="H23" i="60034" s="1"/>
  <c r="I23" i="60034" s="1"/>
  <c r="J23" i="60034" s="1"/>
  <c r="F26" i="60032" l="1"/>
  <c r="K23" i="60034"/>
  <c r="G24" i="60034"/>
  <c r="H24" i="60034" s="1"/>
  <c r="I24" i="60034" s="1"/>
  <c r="G26" i="60032"/>
  <c r="H26" i="60032" l="1"/>
  <c r="I26" i="60032" s="1"/>
  <c r="J26" i="60032"/>
  <c r="K24" i="60034"/>
  <c r="J24" i="60034"/>
  <c r="G25" i="60034"/>
  <c r="H25" i="60034" s="1"/>
  <c r="I25" i="60034" s="1"/>
  <c r="F27" i="60032" l="1"/>
  <c r="G27" i="60032" s="1"/>
  <c r="H27" i="60032" s="1"/>
  <c r="I27" i="60032" s="1"/>
  <c r="K25" i="60034"/>
  <c r="J25" i="60034"/>
  <c r="J27" i="60032" l="1"/>
  <c r="F28" i="60032"/>
  <c r="G26" i="60034"/>
  <c r="H26" i="60034" s="1"/>
  <c r="I26" i="60034" s="1"/>
  <c r="G28" i="60032"/>
  <c r="H28" i="60032" l="1"/>
  <c r="I28" i="60032" s="1"/>
  <c r="J28" i="60032"/>
  <c r="J26" i="60034"/>
  <c r="K26" i="60034"/>
  <c r="F29" i="60032" l="1"/>
  <c r="G29" i="60032" s="1"/>
  <c r="G27" i="60034"/>
  <c r="H29" i="60032" l="1"/>
  <c r="I29" i="60032" s="1"/>
  <c r="J29" i="60032"/>
  <c r="H27" i="60034"/>
  <c r="F30" i="60032" l="1"/>
  <c r="G30" i="60032" s="1"/>
  <c r="K27" i="60034"/>
  <c r="I27" i="60034"/>
  <c r="J27" i="60034" s="1"/>
  <c r="H30" i="60032" l="1"/>
  <c r="I30" i="60032" s="1"/>
  <c r="J30" i="60032"/>
  <c r="G28" i="60034"/>
  <c r="H28" i="60034" s="1"/>
  <c r="F31" i="60032" l="1"/>
  <c r="G31" i="60032" s="1"/>
  <c r="H31" i="60032" s="1"/>
  <c r="I31" i="60032" s="1"/>
  <c r="I28" i="60034"/>
  <c r="J28" i="60034" s="1"/>
  <c r="K28" i="60034"/>
  <c r="J31" i="60032" l="1"/>
  <c r="F32" i="60032"/>
  <c r="G29" i="60034"/>
  <c r="H29" i="60034" s="1"/>
  <c r="K29" i="60034" s="1"/>
  <c r="G32" i="60032"/>
  <c r="H32" i="60032" l="1"/>
  <c r="I32" i="60032" s="1"/>
  <c r="J32" i="60032"/>
  <c r="I29" i="60034"/>
  <c r="J29" i="60034" s="1"/>
  <c r="F33" i="60032" l="1"/>
  <c r="G33" i="60032" s="1"/>
  <c r="G30" i="60034"/>
  <c r="H30" i="60034" s="1"/>
  <c r="K30" i="60034" s="1"/>
  <c r="H33" i="60032" l="1"/>
  <c r="I33" i="60032" s="1"/>
  <c r="J33" i="60032"/>
  <c r="I30" i="60034"/>
  <c r="J30" i="60034" s="1"/>
  <c r="F34" i="60032" l="1"/>
  <c r="G34" i="60032" s="1"/>
  <c r="G31" i="60034"/>
  <c r="H31" i="60034" s="1"/>
  <c r="I31" i="60034" s="1"/>
  <c r="J31" i="60034" s="1"/>
  <c r="H34" i="60032" l="1"/>
  <c r="I34" i="60032" s="1"/>
  <c r="J34" i="60032"/>
  <c r="K31" i="60034"/>
  <c r="G32" i="60034"/>
  <c r="H32" i="60034" s="1"/>
  <c r="I32" i="60034" s="1"/>
  <c r="F35" i="60032" l="1"/>
  <c r="G35" i="60032" s="1"/>
  <c r="K32" i="60034"/>
  <c r="J32" i="60034"/>
  <c r="H35" i="60032" l="1"/>
  <c r="I35" i="60032" s="1"/>
  <c r="J35" i="60032"/>
  <c r="G33" i="60034"/>
  <c r="H33" i="60034" s="1"/>
  <c r="F36" i="60032" l="1"/>
  <c r="G36" i="60032" s="1"/>
  <c r="K33" i="60034"/>
  <c r="I33" i="60034"/>
  <c r="J33" i="60034" s="1"/>
  <c r="H36" i="60032" l="1"/>
  <c r="I36" i="60032" s="1"/>
  <c r="J36" i="60032"/>
  <c r="G34" i="60034"/>
  <c r="H34" i="60034" s="1"/>
  <c r="I34" i="60034" s="1"/>
  <c r="F37" i="60032" l="1"/>
  <c r="G37" i="60032" s="1"/>
  <c r="H37" i="60032" s="1"/>
  <c r="I37" i="60032" s="1"/>
  <c r="K34" i="60034"/>
  <c r="J34" i="60034"/>
  <c r="G35" i="60034"/>
  <c r="H35" i="60034" s="1"/>
  <c r="J37" i="60032" l="1"/>
  <c r="F38" i="60032"/>
  <c r="G38" i="60032" s="1"/>
  <c r="K35" i="60034"/>
  <c r="I35" i="60034"/>
  <c r="J35" i="60034" s="1"/>
  <c r="H38" i="60032" l="1"/>
  <c r="I38" i="60032" s="1"/>
  <c r="J38" i="60032"/>
  <c r="G36" i="60034"/>
  <c r="H36" i="60034" s="1"/>
  <c r="I36" i="60034" s="1"/>
  <c r="F39" i="60032" l="1"/>
  <c r="G39" i="60032" s="1"/>
  <c r="K36" i="60034"/>
  <c r="J36" i="60034"/>
  <c r="H39" i="60032" l="1"/>
  <c r="I39" i="60032" s="1"/>
  <c r="J39" i="60032"/>
  <c r="G37" i="60034"/>
  <c r="H37" i="60034" s="1"/>
  <c r="I37" i="60034" s="1"/>
  <c r="F40" i="60032" l="1"/>
  <c r="G40" i="60032" s="1"/>
  <c r="J37" i="60034"/>
  <c r="K37" i="60034"/>
  <c r="H40" i="60032" l="1"/>
  <c r="I40" i="60032" s="1"/>
  <c r="J40" i="60032"/>
  <c r="G38" i="60034"/>
  <c r="H38" i="60034" s="1"/>
  <c r="I38" i="60034" s="1"/>
  <c r="F41" i="60032" l="1"/>
  <c r="G41" i="60032" s="1"/>
  <c r="K38" i="60034"/>
  <c r="H41" i="60032" l="1"/>
  <c r="I41" i="60032" s="1"/>
  <c r="J41" i="60032"/>
  <c r="J38" i="60034"/>
  <c r="G39" i="60034"/>
  <c r="H39" i="60034" s="1"/>
  <c r="I39" i="60034" s="1"/>
  <c r="F42" i="60032" l="1"/>
  <c r="G42" i="60032" s="1"/>
  <c r="H42" i="60032" s="1"/>
  <c r="I42" i="60032" s="1"/>
  <c r="K39" i="60034"/>
  <c r="J42" i="60032" l="1"/>
  <c r="F43" i="60032"/>
  <c r="G43" i="60032" s="1"/>
  <c r="J39" i="60034"/>
  <c r="G40" i="60034"/>
  <c r="H40" i="60034" s="1"/>
  <c r="I40" i="60034" s="1"/>
  <c r="H43" i="60032" l="1"/>
  <c r="I43" i="60032" s="1"/>
  <c r="J43" i="60032"/>
  <c r="K40" i="60034"/>
  <c r="F44" i="60032" l="1"/>
  <c r="G44" i="60032" s="1"/>
  <c r="J40" i="60034"/>
  <c r="G41" i="60034"/>
  <c r="H41" i="60034" s="1"/>
  <c r="I41" i="60034" s="1"/>
  <c r="J44" i="60032" l="1"/>
  <c r="H44" i="60032"/>
  <c r="I44" i="60032" s="1"/>
  <c r="J41" i="60034"/>
  <c r="K41" i="60034"/>
  <c r="F45" i="60032" l="1"/>
  <c r="G45" i="60032" s="1"/>
  <c r="G42" i="60034"/>
  <c r="H42" i="60034" s="1"/>
  <c r="I42" i="60034" s="1"/>
  <c r="H45" i="60032" l="1"/>
  <c r="I45" i="60032" s="1"/>
  <c r="J45" i="60032"/>
  <c r="K42" i="60034"/>
  <c r="J42" i="60034"/>
  <c r="F46" i="60032" l="1"/>
  <c r="G46" i="60032" s="1"/>
  <c r="H46" i="60032" s="1"/>
  <c r="G43" i="60034"/>
  <c r="H43" i="60034" s="1"/>
  <c r="J46" i="60032" l="1"/>
  <c r="F47" i="60032"/>
  <c r="G47" i="60032" s="1"/>
  <c r="I46" i="60032"/>
  <c r="K43" i="60034"/>
  <c r="I43" i="60034"/>
  <c r="J43" i="60034" s="1"/>
  <c r="H47" i="60032" l="1"/>
  <c r="F48" i="60032" s="1"/>
  <c r="J47" i="60032"/>
  <c r="G44" i="60034"/>
  <c r="H44" i="60034" s="1"/>
  <c r="I47" i="60032" l="1"/>
  <c r="G48" i="60032"/>
  <c r="I44" i="60034"/>
  <c r="J44" i="60034" s="1"/>
  <c r="K44" i="60034"/>
  <c r="H48" i="60032" l="1"/>
  <c r="F49" i="60032" s="1"/>
  <c r="J48" i="60032"/>
  <c r="G45" i="60034"/>
  <c r="H45" i="60034" s="1"/>
  <c r="I45" i="60034" s="1"/>
  <c r="J45" i="60034" s="1"/>
  <c r="I48" i="60032" l="1"/>
  <c r="G49" i="60032"/>
  <c r="K45" i="60034"/>
  <c r="G46" i="60034"/>
  <c r="H46" i="60034" s="1"/>
  <c r="I46" i="60034" s="1"/>
  <c r="H49" i="60032" l="1"/>
  <c r="F50" i="60032" s="1"/>
  <c r="J49" i="60032"/>
  <c r="J46" i="60034"/>
  <c r="K46" i="60034"/>
  <c r="I49" i="60032" l="1"/>
  <c r="G50" i="60032"/>
  <c r="G47" i="60034"/>
  <c r="H47" i="60034" s="1"/>
  <c r="I47" i="60034" s="1"/>
  <c r="H50" i="60032" l="1"/>
  <c r="I50" i="60032" s="1"/>
  <c r="J50" i="60032"/>
  <c r="J47" i="60034"/>
  <c r="K47" i="60034"/>
  <c r="F51" i="60032" l="1"/>
  <c r="G51" i="60032" s="1"/>
  <c r="G48" i="60034"/>
  <c r="H48" i="60034" s="1"/>
  <c r="I48" i="60034" s="1"/>
  <c r="H51" i="60032" l="1"/>
  <c r="I51" i="60032" s="1"/>
  <c r="J51" i="60032"/>
  <c r="K48" i="60034"/>
  <c r="J48" i="60034"/>
  <c r="F52" i="60032" l="1"/>
  <c r="G52" i="60032" s="1"/>
  <c r="H52" i="60032" s="1"/>
  <c r="I52" i="60032" s="1"/>
  <c r="G49" i="60034"/>
  <c r="H49" i="60034" s="1"/>
  <c r="J52" i="60032" l="1"/>
  <c r="F53" i="60032"/>
  <c r="G53" i="60032" s="1"/>
  <c r="I49" i="60034"/>
  <c r="J49" i="60034" s="1"/>
  <c r="K49" i="60034"/>
  <c r="H53" i="60032" l="1"/>
  <c r="F54" i="60032" s="1"/>
  <c r="J53" i="60032"/>
  <c r="G50" i="60034"/>
  <c r="H50" i="60034" s="1"/>
  <c r="I50" i="60034" s="1"/>
  <c r="J50" i="60034" s="1"/>
  <c r="I53" i="60032" l="1"/>
  <c r="G54" i="60032"/>
  <c r="G51" i="60034"/>
  <c r="H51" i="60034" s="1"/>
  <c r="I51" i="60034" s="1"/>
  <c r="J51" i="60034" s="1"/>
  <c r="K50" i="60034"/>
  <c r="H54" i="60032" l="1"/>
  <c r="I54" i="60032" s="1"/>
  <c r="J54" i="60032"/>
  <c r="K51" i="60034"/>
  <c r="G52" i="60034"/>
  <c r="H52" i="60034" s="1"/>
  <c r="F55" i="60032" l="1"/>
  <c r="G55" i="60032" s="1"/>
  <c r="H55" i="60032" s="1"/>
  <c r="I55" i="60032" s="1"/>
  <c r="K52" i="60034"/>
  <c r="I52" i="60034"/>
  <c r="J52" i="60034" s="1"/>
  <c r="J55" i="60032" l="1"/>
  <c r="F56" i="60032"/>
  <c r="G56" i="60032" s="1"/>
  <c r="H56" i="60032" s="1"/>
  <c r="I56" i="60032" s="1"/>
  <c r="G53" i="60034"/>
  <c r="H53" i="60034" s="1"/>
  <c r="J56" i="60032" l="1"/>
  <c r="F57" i="60032"/>
  <c r="G57" i="60032" s="1"/>
  <c r="K53" i="60034"/>
  <c r="I53" i="60034"/>
  <c r="J53" i="60034" s="1"/>
  <c r="H57" i="60032" l="1"/>
  <c r="I57" i="60032" s="1"/>
  <c r="J57" i="60032"/>
  <c r="G54" i="60034"/>
  <c r="H54" i="60034" s="1"/>
  <c r="F58" i="60032" l="1"/>
  <c r="G58" i="60032" s="1"/>
  <c r="H58" i="60032" s="1"/>
  <c r="I58" i="60032" s="1"/>
  <c r="I54" i="60034"/>
  <c r="G55" i="60034" s="1"/>
  <c r="H55" i="60034" s="1"/>
  <c r="K54" i="60034"/>
  <c r="J58" i="60032" l="1"/>
  <c r="F59" i="60032"/>
  <c r="G59" i="60032" s="1"/>
  <c r="J54" i="60034"/>
  <c r="I55" i="60034"/>
  <c r="G56" i="60034" s="1"/>
  <c r="H56" i="60034" s="1"/>
  <c r="I56" i="60034" s="1"/>
  <c r="K55" i="60034"/>
  <c r="H59" i="60032" l="1"/>
  <c r="I59" i="60032" s="1"/>
  <c r="J59" i="60032"/>
  <c r="J55" i="60034"/>
  <c r="J56" i="60034"/>
  <c r="K56" i="60034"/>
  <c r="F60" i="60032" l="1"/>
  <c r="G60" i="60032" s="1"/>
  <c r="G57" i="60034"/>
  <c r="H57" i="60034" s="1"/>
  <c r="I57" i="60034" s="1"/>
  <c r="H60" i="60032" l="1"/>
  <c r="I60" i="60032" s="1"/>
  <c r="J60" i="60032"/>
  <c r="J57" i="60034"/>
  <c r="K57" i="60034"/>
  <c r="F61" i="60032" l="1"/>
  <c r="G61" i="60032" s="1"/>
  <c r="G58" i="60034"/>
  <c r="H58" i="60034" s="1"/>
  <c r="H61" i="60032" l="1"/>
  <c r="I61" i="60032" s="1"/>
  <c r="J61" i="60032"/>
  <c r="I58" i="60034"/>
  <c r="J58" i="60034" s="1"/>
  <c r="K58" i="60034"/>
  <c r="F62" i="60032" l="1"/>
  <c r="G62" i="60032" s="1"/>
  <c r="G59" i="60034"/>
  <c r="H59" i="60034" s="1"/>
  <c r="K59" i="60034" s="1"/>
  <c r="H62" i="60032" l="1"/>
  <c r="I62" i="60032" s="1"/>
  <c r="J62" i="60032"/>
  <c r="I59" i="60034"/>
  <c r="J59" i="60034" s="1"/>
  <c r="F63" i="60032" l="1"/>
  <c r="G63" i="60032" s="1"/>
  <c r="G60" i="60034"/>
  <c r="H60" i="60034" s="1"/>
  <c r="I60" i="60034" s="1"/>
  <c r="J60" i="60034" s="1"/>
  <c r="H63" i="60032" l="1"/>
  <c r="I63" i="60032" s="1"/>
  <c r="J63" i="60032"/>
  <c r="K60" i="60034"/>
  <c r="G61" i="60034"/>
  <c r="H61" i="60034" s="1"/>
  <c r="F64" i="60032" l="1"/>
  <c r="G64" i="60032" s="1"/>
  <c r="I61" i="60034"/>
  <c r="K61" i="60034"/>
  <c r="H64" i="60032" l="1"/>
  <c r="I64" i="60032" s="1"/>
  <c r="J64" i="60032"/>
  <c r="J61" i="60034"/>
  <c r="G62" i="60034"/>
  <c r="H62" i="60034" s="1"/>
  <c r="F65" i="60032" l="1"/>
  <c r="G65" i="60032" s="1"/>
  <c r="I62" i="60034"/>
  <c r="J62" i="60034" s="1"/>
  <c r="K62" i="60034"/>
  <c r="H65" i="60032" l="1"/>
  <c r="I65" i="60032" s="1"/>
  <c r="J65" i="60032"/>
  <c r="G63" i="60034"/>
  <c r="H63" i="60034" s="1"/>
  <c r="F66" i="60032" l="1"/>
  <c r="G66" i="60032" s="1"/>
  <c r="I63" i="60034"/>
  <c r="J63" i="60034" s="1"/>
  <c r="K63" i="60034"/>
  <c r="H66" i="60032" l="1"/>
  <c r="I66" i="60032" s="1"/>
  <c r="J66" i="60032"/>
  <c r="G64" i="60034"/>
  <c r="H64" i="60034" s="1"/>
  <c r="F67" i="60032" l="1"/>
  <c r="G67" i="60032" s="1"/>
  <c r="H67" i="60032" s="1"/>
  <c r="I67" i="60032" s="1"/>
  <c r="I64" i="60034"/>
  <c r="J64" i="60034" s="1"/>
  <c r="K64" i="60034"/>
  <c r="J67" i="60032" l="1"/>
  <c r="F68" i="60032"/>
  <c r="G68" i="60032"/>
  <c r="G65" i="60034"/>
  <c r="H65" i="60034" s="1"/>
  <c r="H68" i="60032" l="1"/>
  <c r="I68" i="60032" s="1"/>
  <c r="J68" i="60032"/>
  <c r="I65" i="60034"/>
  <c r="J65" i="60034" s="1"/>
  <c r="K65" i="60034"/>
  <c r="F69" i="60032" l="1"/>
  <c r="G69" i="60032" s="1"/>
  <c r="G66" i="60034"/>
  <c r="H66" i="60034" s="1"/>
  <c r="H69" i="60032" l="1"/>
  <c r="I69" i="60032" s="1"/>
  <c r="J69" i="60032"/>
  <c r="K66" i="60034"/>
  <c r="I66" i="60034"/>
  <c r="J66" i="60034" s="1"/>
  <c r="F70" i="60032" l="1"/>
  <c r="G70" i="60032" s="1"/>
  <c r="G67" i="60034"/>
  <c r="H67" i="60034" s="1"/>
  <c r="K67" i="60034" s="1"/>
  <c r="H70" i="60032" l="1"/>
  <c r="I70" i="60032" s="1"/>
  <c r="J70" i="60032"/>
  <c r="I67" i="60034"/>
  <c r="J67" i="60034" s="1"/>
  <c r="F71" i="60032" l="1"/>
  <c r="G71" i="60032" s="1"/>
  <c r="H71" i="60032" s="1"/>
  <c r="I71" i="60032" s="1"/>
  <c r="G68" i="60034"/>
  <c r="H68" i="60034" s="1"/>
  <c r="I68" i="60034" s="1"/>
  <c r="J68" i="60034" s="1"/>
  <c r="J71" i="60032" l="1"/>
  <c r="F72" i="60032"/>
  <c r="G72" i="60032" s="1"/>
  <c r="G69" i="60034"/>
  <c r="H69" i="60034" s="1"/>
  <c r="K69" i="60034" s="1"/>
  <c r="K68" i="60034"/>
  <c r="H72" i="60032" l="1"/>
  <c r="I72" i="60032" s="1"/>
  <c r="J72" i="60032"/>
  <c r="I69" i="60034"/>
  <c r="J69" i="60034" s="1"/>
  <c r="F73" i="60032" l="1"/>
  <c r="G73" i="60032" s="1"/>
  <c r="H73" i="60032" s="1"/>
  <c r="I73" i="60032" s="1"/>
  <c r="G70" i="60034"/>
  <c r="H70" i="60034" s="1"/>
  <c r="K70" i="60034" s="1"/>
  <c r="J73" i="60032" l="1"/>
  <c r="F74" i="60032"/>
  <c r="G74" i="60032" s="1"/>
  <c r="J74" i="60032" s="1"/>
  <c r="H74" i="60032"/>
  <c r="I70" i="60034"/>
  <c r="J70" i="60034" s="1"/>
  <c r="F75" i="60032" l="1"/>
  <c r="G75" i="60032" s="1"/>
  <c r="I74" i="60032"/>
  <c r="G71" i="60034"/>
  <c r="H71" i="60034" s="1"/>
  <c r="I71" i="60034" s="1"/>
  <c r="J71" i="60034" s="1"/>
  <c r="H75" i="60032" l="1"/>
  <c r="I75" i="60032" s="1"/>
  <c r="J75" i="60032"/>
  <c r="K71" i="60034"/>
  <c r="G72" i="60034"/>
  <c r="H72" i="60034" s="1"/>
  <c r="K72" i="60034" s="1"/>
  <c r="F76" i="60032" l="1"/>
  <c r="G76" i="60032" s="1"/>
  <c r="J76" i="60032" s="1"/>
  <c r="I72" i="60034"/>
  <c r="J72" i="60034" s="1"/>
  <c r="H76" i="60032" l="1"/>
  <c r="I76" i="60032" s="1"/>
  <c r="G73" i="60034"/>
  <c r="H73" i="60034" s="1"/>
  <c r="K73" i="60034" s="1"/>
  <c r="F77" i="60032" l="1"/>
  <c r="G77" i="60032" s="1"/>
  <c r="I73" i="60034"/>
  <c r="J73" i="60034" s="1"/>
  <c r="H77" i="60032" l="1"/>
  <c r="I77" i="60032" s="1"/>
  <c r="J77" i="60032"/>
  <c r="G74" i="60034"/>
  <c r="H74" i="60034" s="1"/>
  <c r="F78" i="60032" l="1"/>
  <c r="G78" i="60032" s="1"/>
  <c r="I74" i="60034"/>
  <c r="J74" i="60034" s="1"/>
  <c r="K74" i="60034"/>
  <c r="J78" i="60032" l="1"/>
  <c r="H78" i="60032"/>
  <c r="G75" i="60034"/>
  <c r="H75" i="60034" s="1"/>
  <c r="I75" i="60034" s="1"/>
  <c r="J75" i="60034" s="1"/>
  <c r="F79" i="60032" l="1"/>
  <c r="G79" i="60032" s="1"/>
  <c r="I78" i="60032"/>
  <c r="K75" i="60034"/>
  <c r="G76" i="60034"/>
  <c r="H76" i="60034" s="1"/>
  <c r="H79" i="60032" l="1"/>
  <c r="I79" i="60032" s="1"/>
  <c r="J79" i="60032"/>
  <c r="I76" i="60034"/>
  <c r="J76" i="60034" s="1"/>
  <c r="K76" i="60034"/>
  <c r="F80" i="60032" l="1"/>
  <c r="G80" i="60032" s="1"/>
  <c r="G77" i="60034"/>
  <c r="H77" i="60034" s="1"/>
  <c r="J80" i="60032" l="1"/>
  <c r="H80" i="60032"/>
  <c r="I77" i="60034"/>
  <c r="J77" i="60034" s="1"/>
  <c r="K77" i="60034"/>
  <c r="F81" i="60032" l="1"/>
  <c r="G81" i="60032" s="1"/>
  <c r="I80" i="60032"/>
  <c r="G78" i="60034"/>
  <c r="H78" i="60034" s="1"/>
  <c r="I78" i="60034" s="1"/>
  <c r="J78" i="60034" s="1"/>
  <c r="H81" i="60032" l="1"/>
  <c r="J81" i="60032"/>
  <c r="K78" i="60034"/>
  <c r="G79" i="60034"/>
  <c r="H79" i="60034" s="1"/>
  <c r="I79" i="60034" s="1"/>
  <c r="J79" i="60034" s="1"/>
  <c r="F82" i="60032" l="1"/>
  <c r="G82" i="60032" s="1"/>
  <c r="I81" i="60032"/>
  <c r="K79" i="60034"/>
  <c r="G80" i="60034"/>
  <c r="H80" i="60034" s="1"/>
  <c r="I80" i="60034" s="1"/>
  <c r="J80" i="60034" s="1"/>
  <c r="H82" i="60032" l="1"/>
  <c r="J82" i="60032"/>
  <c r="K80" i="60034"/>
  <c r="G81" i="60034"/>
  <c r="H81" i="60034" s="1"/>
  <c r="F83" i="60032" l="1"/>
  <c r="G83" i="60032" s="1"/>
  <c r="I82" i="60032"/>
  <c r="K81" i="60034"/>
  <c r="I81" i="60034"/>
  <c r="J81" i="60034" s="1"/>
  <c r="H83" i="60032" l="1"/>
  <c r="I83" i="60032" s="1"/>
  <c r="J83" i="60032"/>
  <c r="G82" i="60034"/>
  <c r="H82" i="60034" s="1"/>
  <c r="F84" i="60032" l="1"/>
  <c r="G84" i="60032" s="1"/>
  <c r="I82" i="60034"/>
  <c r="J82" i="60034" s="1"/>
  <c r="K82" i="60034"/>
  <c r="J84" i="60032" l="1"/>
  <c r="H84" i="60032"/>
  <c r="I84" i="60032" s="1"/>
  <c r="F85" i="60032"/>
  <c r="G85" i="60032" s="1"/>
  <c r="G83" i="60034"/>
  <c r="H83" i="60034" s="1"/>
  <c r="I83" i="60034" s="1"/>
  <c r="J83" i="60034" s="1"/>
  <c r="H85" i="60032" l="1"/>
  <c r="I85" i="60032" s="1"/>
  <c r="J85" i="60032"/>
  <c r="K83" i="60034"/>
  <c r="G84" i="60034"/>
  <c r="H84" i="60034" s="1"/>
  <c r="I84" i="60034" s="1"/>
  <c r="F86" i="60032" l="1"/>
  <c r="G86" i="60032" s="1"/>
  <c r="H86" i="60032" s="1"/>
  <c r="K84" i="60034"/>
  <c r="J86" i="60032" l="1"/>
  <c r="I86" i="60032"/>
  <c r="F87" i="60032"/>
  <c r="G87" i="60032" s="1"/>
  <c r="J84" i="60034"/>
  <c r="G85" i="60034"/>
  <c r="H85" i="60034" s="1"/>
  <c r="I85" i="60034" s="1"/>
  <c r="H87" i="60032" l="1"/>
  <c r="I87" i="60032" s="1"/>
  <c r="J87" i="60032"/>
  <c r="K85" i="60034"/>
  <c r="J85" i="60034"/>
  <c r="F88" i="60032" l="1"/>
  <c r="G88" i="60032" s="1"/>
  <c r="G86" i="60034"/>
  <c r="H86" i="60034" s="1"/>
  <c r="H88" i="60032" l="1"/>
  <c r="I88" i="60032" s="1"/>
  <c r="J88" i="60032"/>
  <c r="I86" i="60034"/>
  <c r="J86" i="60034" s="1"/>
  <c r="K86" i="60034"/>
  <c r="F89" i="60032" l="1"/>
  <c r="G89" i="60032" s="1"/>
  <c r="G87" i="60034"/>
  <c r="H87" i="60034" s="1"/>
  <c r="I87" i="60034" s="1"/>
  <c r="J87" i="60034" s="1"/>
  <c r="H89" i="60032" l="1"/>
  <c r="J89" i="60032"/>
  <c r="K87" i="60034"/>
  <c r="G88" i="60034"/>
  <c r="H88" i="60034" s="1"/>
  <c r="F90" i="60032" l="1"/>
  <c r="G90" i="60032" s="1"/>
  <c r="I89" i="60032"/>
  <c r="K88" i="60034"/>
  <c r="I88" i="60034"/>
  <c r="J88" i="60034" s="1"/>
  <c r="H90" i="60032" l="1"/>
  <c r="I90" i="60032" s="1"/>
  <c r="J90" i="60032"/>
  <c r="G89" i="60034"/>
  <c r="H89" i="60034" s="1"/>
  <c r="I89" i="60034" s="1"/>
  <c r="F91" i="60032" l="1"/>
  <c r="G91" i="60032" s="1"/>
  <c r="J89" i="60034"/>
  <c r="K89" i="60034"/>
  <c r="H91" i="60032" l="1"/>
  <c r="I91" i="60032" s="1"/>
  <c r="J91" i="60032"/>
  <c r="G90" i="60034"/>
  <c r="H90" i="60034" s="1"/>
  <c r="I90" i="60034" s="1"/>
  <c r="F92" i="60032" l="1"/>
  <c r="G92" i="60032" s="1"/>
  <c r="K90" i="60034"/>
  <c r="H92" i="60032" l="1"/>
  <c r="I92" i="60032" s="1"/>
  <c r="J92" i="60032"/>
  <c r="J90" i="60034"/>
  <c r="G91" i="60034"/>
  <c r="H91" i="60034" s="1"/>
  <c r="I91" i="60034" s="1"/>
  <c r="F93" i="60032" l="1"/>
  <c r="G93" i="60032" s="1"/>
  <c r="J91" i="60034"/>
  <c r="K91" i="60034"/>
  <c r="H93" i="60032" l="1"/>
  <c r="I93" i="60032" s="1"/>
  <c r="J93" i="60032"/>
  <c r="G92" i="60034"/>
  <c r="H92" i="60034" s="1"/>
  <c r="F94" i="60032" l="1"/>
  <c r="G94" i="60032" s="1"/>
  <c r="K92" i="60034"/>
  <c r="I92" i="60034"/>
  <c r="J92" i="60034" s="1"/>
  <c r="H94" i="60032" l="1"/>
  <c r="J94" i="60032"/>
  <c r="G93" i="60034"/>
  <c r="H93" i="60034" s="1"/>
  <c r="I93" i="60034" s="1"/>
  <c r="F95" i="60032" l="1"/>
  <c r="G95" i="60032" s="1"/>
  <c r="I94" i="60032"/>
  <c r="J93" i="60034"/>
  <c r="K93" i="60034"/>
  <c r="H95" i="60032" l="1"/>
  <c r="J95" i="60032"/>
  <c r="G94" i="60034"/>
  <c r="H94" i="60034" s="1"/>
  <c r="I94" i="60034" s="1"/>
  <c r="F96" i="60032" l="1"/>
  <c r="G96" i="60032" s="1"/>
  <c r="I95" i="60032"/>
  <c r="J94" i="60034"/>
  <c r="K94" i="60034"/>
  <c r="H96" i="60032" l="1"/>
  <c r="I96" i="60032" s="1"/>
  <c r="J96" i="60032"/>
  <c r="G95" i="60034"/>
  <c r="H95" i="60034" s="1"/>
  <c r="I95" i="60034" s="1"/>
  <c r="F97" i="60032" l="1"/>
  <c r="G97" i="60032" s="1"/>
  <c r="K95" i="60034"/>
  <c r="J95" i="60034"/>
  <c r="H97" i="60032" l="1"/>
  <c r="I97" i="60032" s="1"/>
  <c r="J97" i="60032"/>
  <c r="G96" i="60034"/>
  <c r="H96" i="60034" s="1"/>
  <c r="F98" i="60032" l="1"/>
  <c r="G98" i="60032" s="1"/>
  <c r="I96" i="60034"/>
  <c r="G97" i="60034" s="1"/>
  <c r="H97" i="60034" s="1"/>
  <c r="I97" i="60034" s="1"/>
  <c r="K96" i="60034"/>
  <c r="J98" i="60032" l="1"/>
  <c r="H98" i="60032"/>
  <c r="I98" i="60032" s="1"/>
  <c r="F99" i="60032"/>
  <c r="G99" i="60032" s="1"/>
  <c r="J96" i="60034"/>
  <c r="K97" i="60034"/>
  <c r="J97" i="60034"/>
  <c r="H99" i="60032" l="1"/>
  <c r="I99" i="60032" s="1"/>
  <c r="J99" i="60032"/>
  <c r="G98" i="60034"/>
  <c r="H98" i="60034" s="1"/>
  <c r="I98" i="60034" s="1"/>
  <c r="F100" i="60032" l="1"/>
  <c r="G100" i="60032" s="1"/>
  <c r="H100" i="60032" s="1"/>
  <c r="I100" i="60032" s="1"/>
  <c r="J98" i="60034"/>
  <c r="K98" i="60034"/>
  <c r="J100" i="60032" l="1"/>
  <c r="F101" i="60032"/>
  <c r="G101" i="60032" s="1"/>
  <c r="G99" i="60034"/>
  <c r="H99" i="60034" s="1"/>
  <c r="I99" i="60034" s="1"/>
  <c r="J101" i="60032" l="1"/>
  <c r="H101" i="60032"/>
  <c r="I101" i="60032" s="1"/>
  <c r="F102" i="60032"/>
  <c r="G102" i="60032" s="1"/>
  <c r="K99" i="60034"/>
  <c r="J102" i="60032" l="1"/>
  <c r="H102" i="60032"/>
  <c r="I102" i="60032" s="1"/>
  <c r="F103" i="60032"/>
  <c r="G103" i="60032" s="1"/>
  <c r="J99" i="60034"/>
  <c r="G100" i="60034"/>
  <c r="H100" i="60034" s="1"/>
  <c r="I100" i="60034" s="1"/>
  <c r="H103" i="60032" l="1"/>
  <c r="I103" i="60032" s="1"/>
  <c r="J103" i="60032"/>
  <c r="J100" i="60034"/>
  <c r="K100" i="60034"/>
  <c r="F104" i="60032" l="1"/>
  <c r="G104" i="60032" s="1"/>
  <c r="G101" i="60034"/>
  <c r="H101" i="60034" s="1"/>
  <c r="J104" i="60032" l="1"/>
  <c r="H104" i="60032"/>
  <c r="I104" i="60032" s="1"/>
  <c r="I101" i="60034"/>
  <c r="J101" i="60034" s="1"/>
  <c r="K101" i="60034"/>
  <c r="F105" i="60032" l="1"/>
  <c r="G105" i="60032" s="1"/>
  <c r="J105" i="60032" s="1"/>
  <c r="G102" i="60034"/>
  <c r="H102" i="60034" s="1"/>
  <c r="K102" i="60034" s="1"/>
  <c r="H105" i="60032" l="1"/>
  <c r="I105" i="60032" s="1"/>
  <c r="I102" i="60034"/>
  <c r="J102" i="60034" s="1"/>
  <c r="F106" i="60032" l="1"/>
  <c r="G106" i="60032" s="1"/>
  <c r="J106" i="60032" s="1"/>
  <c r="G103" i="60034"/>
  <c r="H103" i="60034" s="1"/>
  <c r="I103" i="60034" s="1"/>
  <c r="G104" i="60034" s="1"/>
  <c r="H104" i="60034" s="1"/>
  <c r="H106" i="60032" l="1"/>
  <c r="I106" i="60032" s="1"/>
  <c r="F107" i="60032"/>
  <c r="G107" i="60032" s="1"/>
  <c r="K103" i="60034"/>
  <c r="I104" i="60034"/>
  <c r="J104" i="60034" s="1"/>
  <c r="K104" i="60034"/>
  <c r="J103" i="60034"/>
  <c r="H107" i="60032" l="1"/>
  <c r="I107" i="60032" s="1"/>
  <c r="J107" i="60032"/>
  <c r="G105" i="60034"/>
  <c r="H105" i="60034" s="1"/>
  <c r="F108" i="60032" l="1"/>
  <c r="G108" i="60032" s="1"/>
  <c r="I105" i="60034"/>
  <c r="J105" i="60034" s="1"/>
  <c r="K105" i="60034"/>
  <c r="J108" i="60032" l="1"/>
  <c r="H108" i="60032"/>
  <c r="I108" i="60032" s="1"/>
  <c r="G106" i="60034"/>
  <c r="H106" i="60034" s="1"/>
  <c r="F109" i="60032" l="1"/>
  <c r="G109" i="60032" s="1"/>
  <c r="H109" i="60032" s="1"/>
  <c r="I109" i="60032" s="1"/>
  <c r="I106" i="60034"/>
  <c r="J106" i="60034" s="1"/>
  <c r="K106" i="60034"/>
  <c r="J109" i="60032" l="1"/>
  <c r="F110" i="60032"/>
  <c r="G110" i="60032" s="1"/>
  <c r="G107" i="60034"/>
  <c r="H107" i="60034" s="1"/>
  <c r="K107" i="60034" s="1"/>
  <c r="J110" i="60032" l="1"/>
  <c r="H110" i="60032"/>
  <c r="I110" i="60032" s="1"/>
  <c r="I107" i="60034"/>
  <c r="J107" i="60034" s="1"/>
  <c r="F111" i="60032" l="1"/>
  <c r="G111" i="60032" s="1"/>
  <c r="G108" i="60034"/>
  <c r="H108" i="60034" s="1"/>
  <c r="J111" i="60032" l="1"/>
  <c r="H111" i="60032"/>
  <c r="I111" i="60032" s="1"/>
  <c r="I108" i="60034"/>
  <c r="J108" i="60034" s="1"/>
  <c r="K108" i="60034"/>
  <c r="F112" i="60032" l="1"/>
  <c r="G112" i="60032" s="1"/>
  <c r="J112" i="60032" s="1"/>
  <c r="H112" i="60032"/>
  <c r="I112" i="60032" s="1"/>
  <c r="G109" i="60034"/>
  <c r="H109" i="60034" s="1"/>
  <c r="F113" i="60032" l="1"/>
  <c r="G113" i="60032" s="1"/>
  <c r="K109" i="60034"/>
  <c r="I109" i="60034"/>
  <c r="J109" i="60034" s="1"/>
  <c r="H113" i="60032" l="1"/>
  <c r="I113" i="60032" s="1"/>
  <c r="J113" i="60032"/>
  <c r="G110" i="60034"/>
  <c r="H110" i="60034" s="1"/>
  <c r="I110" i="60034" s="1"/>
  <c r="F114" i="60032" l="1"/>
  <c r="G114" i="60032" s="1"/>
  <c r="K110" i="60034"/>
  <c r="J110" i="60034"/>
  <c r="G111" i="60034"/>
  <c r="H111" i="60034" s="1"/>
  <c r="H114" i="60032" l="1"/>
  <c r="I114" i="60032" s="1"/>
  <c r="J114" i="60032"/>
  <c r="I111" i="60034"/>
  <c r="K111" i="60034"/>
  <c r="F115" i="60032" l="1"/>
  <c r="G115" i="60032" s="1"/>
  <c r="J111" i="60034"/>
  <c r="G112" i="60034"/>
  <c r="H112" i="60034" s="1"/>
  <c r="H115" i="60032" l="1"/>
  <c r="I115" i="60032" s="1"/>
  <c r="J115" i="60032"/>
  <c r="I112" i="60034"/>
  <c r="K112" i="60034"/>
  <c r="F116" i="60032" l="1"/>
  <c r="G116" i="60032" s="1"/>
  <c r="G113" i="60034"/>
  <c r="H113" i="60034" s="1"/>
  <c r="J112" i="60034"/>
  <c r="H116" i="60032" l="1"/>
  <c r="I116" i="60032" s="1"/>
  <c r="J116" i="60032"/>
  <c r="I113" i="60034"/>
  <c r="K113" i="60034"/>
  <c r="F117" i="60032" l="1"/>
  <c r="G117" i="60032" s="1"/>
  <c r="G114" i="60034"/>
  <c r="H114" i="60034" s="1"/>
  <c r="J113" i="60034"/>
  <c r="H117" i="60032" l="1"/>
  <c r="I117" i="60032" s="1"/>
  <c r="J117" i="60032"/>
  <c r="I114" i="60034"/>
  <c r="J114" i="60034" s="1"/>
  <c r="K114" i="60034"/>
  <c r="F118" i="60032" l="1"/>
  <c r="G118" i="60032" s="1"/>
  <c r="G115" i="60034"/>
  <c r="H115" i="60034" s="1"/>
  <c r="H118" i="60032" l="1"/>
  <c r="I118" i="60032" s="1"/>
  <c r="J118" i="60032"/>
  <c r="I115" i="60034"/>
  <c r="K115" i="60034"/>
  <c r="F119" i="60032" l="1"/>
  <c r="G119" i="60032" s="1"/>
  <c r="J115" i="60034"/>
  <c r="G116" i="60034"/>
  <c r="H116" i="60034" s="1"/>
  <c r="H119" i="60032" l="1"/>
  <c r="I119" i="60032" s="1"/>
  <c r="J119" i="60032"/>
  <c r="I116" i="60034"/>
  <c r="K116" i="60034"/>
  <c r="F120" i="60032" l="1"/>
  <c r="G120" i="60032" s="1"/>
  <c r="J116" i="60034"/>
  <c r="G117" i="60034"/>
  <c r="H117" i="60034" s="1"/>
  <c r="H120" i="60032" l="1"/>
  <c r="I120" i="60032" s="1"/>
  <c r="J120" i="60032"/>
  <c r="I117" i="60034"/>
  <c r="K117" i="60034"/>
  <c r="F121" i="60032" l="1"/>
  <c r="G121" i="60032" s="1"/>
  <c r="J117" i="60034"/>
  <c r="G118" i="60034"/>
  <c r="H118" i="60034" s="1"/>
  <c r="J121" i="60032" l="1"/>
  <c r="H121" i="60032"/>
  <c r="I121" i="60032" s="1"/>
  <c r="I118" i="60034"/>
  <c r="K118" i="60034"/>
  <c r="F122" i="60032" l="1"/>
  <c r="G122" i="60032" s="1"/>
  <c r="H122" i="60032" s="1"/>
  <c r="I122" i="60032" s="1"/>
  <c r="J118" i="60034"/>
  <c r="G119" i="60034"/>
  <c r="H119" i="60034" s="1"/>
  <c r="J122" i="60032" l="1"/>
  <c r="F123" i="60032"/>
  <c r="G123" i="60032" s="1"/>
  <c r="H123" i="60032" s="1"/>
  <c r="I123" i="60032" s="1"/>
  <c r="I119" i="60034"/>
  <c r="K119" i="60034"/>
  <c r="J123" i="60032" l="1"/>
  <c r="F124" i="60032"/>
  <c r="G124" i="60032" s="1"/>
  <c r="J119" i="60034"/>
  <c r="G120" i="60034"/>
  <c r="H120" i="60034" s="1"/>
  <c r="J124" i="60032" l="1"/>
  <c r="H124" i="60032"/>
  <c r="I124" i="60032" s="1"/>
  <c r="I120" i="60034"/>
  <c r="J120" i="60034" s="1"/>
  <c r="K120" i="60034"/>
  <c r="F125" i="60032" l="1"/>
  <c r="G125" i="60032" s="1"/>
  <c r="J125" i="60032" s="1"/>
  <c r="H125" i="60032"/>
  <c r="G121" i="60034"/>
  <c r="H121" i="60034" s="1"/>
  <c r="I121" i="60034" s="1"/>
  <c r="I125" i="60032" l="1"/>
  <c r="F126" i="60032"/>
  <c r="G126" i="60032" s="1"/>
  <c r="K121" i="60034"/>
  <c r="J121" i="60034"/>
  <c r="G122" i="60034"/>
  <c r="H122" i="60034" s="1"/>
  <c r="H126" i="60032" l="1"/>
  <c r="J126" i="60032"/>
  <c r="I122" i="60034"/>
  <c r="K122" i="60034"/>
  <c r="I126" i="60032" l="1"/>
  <c r="F127" i="60032"/>
  <c r="G127" i="60032" s="1"/>
  <c r="J122" i="60034"/>
  <c r="G123" i="60034"/>
  <c r="H123" i="60034" s="1"/>
  <c r="J127" i="60032" l="1"/>
  <c r="H127" i="60032"/>
  <c r="I123" i="60034"/>
  <c r="K123" i="60034"/>
  <c r="I127" i="60032" l="1"/>
  <c r="F128" i="60032"/>
  <c r="G128" i="60032" s="1"/>
  <c r="J123" i="60034"/>
  <c r="G124" i="60034"/>
  <c r="H124" i="60034" s="1"/>
  <c r="J128" i="60032" l="1"/>
  <c r="H128" i="60032"/>
  <c r="K124" i="60034"/>
  <c r="I124" i="60034"/>
  <c r="J124" i="60034" s="1"/>
  <c r="I128" i="60032" l="1"/>
  <c r="F129" i="60032"/>
  <c r="G129" i="60032" s="1"/>
  <c r="G125" i="60034"/>
  <c r="H125" i="60034" s="1"/>
  <c r="I125" i="60034" s="1"/>
  <c r="J125" i="60034" s="1"/>
  <c r="J129" i="60032" l="1"/>
  <c r="H129" i="60032"/>
  <c r="K125" i="60034"/>
  <c r="G126" i="60034"/>
  <c r="H126" i="60034" s="1"/>
  <c r="K126" i="60034" s="1"/>
  <c r="I129" i="60032" l="1"/>
  <c r="F130" i="60032"/>
  <c r="G130" i="60032" s="1"/>
  <c r="I126" i="60034"/>
  <c r="J126" i="60034" s="1"/>
  <c r="J130" i="60032" l="1"/>
  <c r="H130" i="60032"/>
  <c r="G127" i="60034"/>
  <c r="H127" i="60034" s="1"/>
  <c r="I127" i="60034" s="1"/>
  <c r="J127" i="60034" s="1"/>
  <c r="I130" i="60032" l="1"/>
  <c r="F131" i="60032"/>
  <c r="G131" i="60032" s="1"/>
  <c r="K127" i="60034"/>
  <c r="G128" i="60034"/>
  <c r="H128" i="60034" s="1"/>
  <c r="H131" i="60032" l="1"/>
  <c r="I131" i="60032" s="1"/>
  <c r="J131" i="60032"/>
  <c r="I128" i="60034"/>
  <c r="J128" i="60034" s="1"/>
  <c r="K128" i="60034"/>
  <c r="F132" i="60032" l="1"/>
  <c r="G132" i="60032" s="1"/>
  <c r="G129" i="60034"/>
  <c r="H129" i="60034" s="1"/>
  <c r="J132" i="60032" l="1"/>
  <c r="H132" i="60032"/>
  <c r="I132" i="60032" s="1"/>
  <c r="I129" i="60034"/>
  <c r="J129" i="60034" s="1"/>
  <c r="K129" i="60034"/>
  <c r="F133" i="60032" l="1"/>
  <c r="G133" i="60032" s="1"/>
  <c r="J133" i="60032" s="1"/>
  <c r="G130" i="60034"/>
  <c r="H130" i="60034" s="1"/>
  <c r="H133" i="60032" l="1"/>
  <c r="I133" i="60032" s="1"/>
  <c r="I130" i="60034"/>
  <c r="J130" i="60034" s="1"/>
  <c r="K130" i="60034"/>
  <c r="F134" i="60032" l="1"/>
  <c r="G134" i="60032" s="1"/>
  <c r="H134" i="60032" s="1"/>
  <c r="I134" i="60032" s="1"/>
  <c r="G131" i="60034"/>
  <c r="H131" i="60034" s="1"/>
  <c r="K131" i="60034" s="1"/>
  <c r="F135" i="60032" l="1"/>
  <c r="G135" i="60032" s="1"/>
  <c r="J134" i="60032"/>
  <c r="I131" i="60034"/>
  <c r="J131" i="60034" s="1"/>
  <c r="H135" i="60032" l="1"/>
  <c r="I135" i="60032" s="1"/>
  <c r="J135" i="60032"/>
  <c r="G132" i="60034"/>
  <c r="H132" i="60034" s="1"/>
  <c r="I132" i="60034" s="1"/>
  <c r="F136" i="60032" l="1"/>
  <c r="G136" i="60032" s="1"/>
  <c r="K132" i="60034"/>
  <c r="J132" i="60034"/>
  <c r="G133" i="60034"/>
  <c r="H133" i="60034" s="1"/>
  <c r="H136" i="60032" l="1"/>
  <c r="J136" i="60032"/>
  <c r="I133" i="60034"/>
  <c r="K133" i="60034"/>
  <c r="I136" i="60032" l="1"/>
  <c r="F137" i="60032"/>
  <c r="G137" i="60032" s="1"/>
  <c r="J133" i="60034"/>
  <c r="G134" i="60034"/>
  <c r="H134" i="60034" s="1"/>
  <c r="H137" i="60032" l="1"/>
  <c r="I137" i="60032" s="1"/>
  <c r="J137" i="60032"/>
  <c r="I134" i="60034"/>
  <c r="K134" i="60034"/>
  <c r="F138" i="60032" l="1"/>
  <c r="G138" i="60032" s="1"/>
  <c r="G135" i="60034"/>
  <c r="H135" i="60034" s="1"/>
  <c r="J134" i="60034"/>
  <c r="H138" i="60032" l="1"/>
  <c r="I138" i="60032" s="1"/>
  <c r="J138" i="60032"/>
  <c r="I135" i="60034"/>
  <c r="J135" i="60034" s="1"/>
  <c r="K135" i="60034"/>
  <c r="F139" i="60032" l="1"/>
  <c r="G139" i="60032" s="1"/>
  <c r="J139" i="60032" s="1"/>
  <c r="G136" i="60034"/>
  <c r="H136" i="60034" s="1"/>
  <c r="H139" i="60032" l="1"/>
  <c r="I139" i="60032" s="1"/>
  <c r="F140" i="60032"/>
  <c r="G140" i="60032" s="1"/>
  <c r="I136" i="60034"/>
  <c r="K136" i="60034"/>
  <c r="H140" i="60032" l="1"/>
  <c r="I140" i="60032" s="1"/>
  <c r="J140" i="60032"/>
  <c r="J136" i="60034"/>
  <c r="G137" i="60034"/>
  <c r="H137" i="60034" s="1"/>
  <c r="F141" i="60032" l="1"/>
  <c r="G141" i="60032" s="1"/>
  <c r="K137" i="60034"/>
  <c r="I137" i="60034"/>
  <c r="J137" i="60034" s="1"/>
  <c r="J141" i="60032" l="1"/>
  <c r="H141" i="60032"/>
  <c r="I141" i="60032" s="1"/>
  <c r="G138" i="60034"/>
  <c r="H138" i="60034" s="1"/>
  <c r="F142" i="60032" l="1"/>
  <c r="G142" i="60032" s="1"/>
  <c r="I138" i="60034"/>
  <c r="K138" i="60034"/>
  <c r="J142" i="60032" l="1"/>
  <c r="H142" i="60032"/>
  <c r="I142" i="60032" s="1"/>
  <c r="F143" i="60032"/>
  <c r="G143" i="60032" s="1"/>
  <c r="G139" i="60034"/>
  <c r="H139" i="60034" s="1"/>
  <c r="J138" i="60034"/>
  <c r="H143" i="60032" l="1"/>
  <c r="I143" i="60032" s="1"/>
  <c r="J143" i="60032"/>
  <c r="I139" i="60034"/>
  <c r="J139" i="60034" s="1"/>
  <c r="K139" i="60034"/>
  <c r="F144" i="60032" l="1"/>
  <c r="G144" i="60032" s="1"/>
  <c r="G140" i="60034"/>
  <c r="H140" i="60034" s="1"/>
  <c r="I140" i="60034" s="1"/>
  <c r="J144" i="60032" l="1"/>
  <c r="H144" i="60032"/>
  <c r="K140" i="60034"/>
  <c r="J140" i="60034"/>
  <c r="G141" i="60034"/>
  <c r="H141" i="60034" s="1"/>
  <c r="I144" i="60032" l="1"/>
  <c r="F145" i="60032"/>
  <c r="G145" i="60032" s="1"/>
  <c r="I141" i="60034"/>
  <c r="K141" i="60034"/>
  <c r="H145" i="60032" l="1"/>
  <c r="I145" i="60032" s="1"/>
  <c r="J145" i="60032"/>
  <c r="J141" i="60034"/>
  <c r="G142" i="60034"/>
  <c r="H142" i="60034" s="1"/>
  <c r="F146" i="60032" l="1"/>
  <c r="G146" i="60032" s="1"/>
  <c r="I142" i="60034"/>
  <c r="J142" i="60034" s="1"/>
  <c r="K142" i="60034"/>
  <c r="J146" i="60032" l="1"/>
  <c r="H146" i="60032"/>
  <c r="I146" i="60032" s="1"/>
  <c r="G143" i="60034"/>
  <c r="H143" i="60034" s="1"/>
  <c r="I143" i="60034" s="1"/>
  <c r="J143" i="60034" s="1"/>
  <c r="F147" i="60032" l="1"/>
  <c r="G147" i="60032" s="1"/>
  <c r="G144" i="60034"/>
  <c r="H144" i="60034" s="1"/>
  <c r="I144" i="60034" s="1"/>
  <c r="K143" i="60034"/>
  <c r="J147" i="60032" l="1"/>
  <c r="H147" i="60032"/>
  <c r="I147" i="60032" s="1"/>
  <c r="K144" i="60034"/>
  <c r="J144" i="60034"/>
  <c r="G145" i="60034"/>
  <c r="H145" i="60034" s="1"/>
  <c r="F148" i="60032" l="1"/>
  <c r="G148" i="60032" s="1"/>
  <c r="I145" i="60034"/>
  <c r="K145" i="60034"/>
  <c r="H148" i="60032" l="1"/>
  <c r="I148" i="60032" s="1"/>
  <c r="J148" i="60032"/>
  <c r="G146" i="60034"/>
  <c r="H146" i="60034" s="1"/>
  <c r="J145" i="60034"/>
  <c r="F149" i="60032" l="1"/>
  <c r="G149" i="60032" s="1"/>
  <c r="I146" i="60034"/>
  <c r="J146" i="60034" s="1"/>
  <c r="K146" i="60034"/>
  <c r="J149" i="60032" l="1"/>
  <c r="H149" i="60032"/>
  <c r="I149" i="60032" s="1"/>
  <c r="G147" i="60034"/>
  <c r="H147" i="60034" s="1"/>
  <c r="K147" i="60034" s="1"/>
  <c r="F150" i="60032" l="1"/>
  <c r="G150" i="60032" s="1"/>
  <c r="I147" i="60034"/>
  <c r="J147" i="60034" s="1"/>
  <c r="H150" i="60032" l="1"/>
  <c r="I150" i="60032" s="1"/>
  <c r="F151" i="60032"/>
  <c r="G151" i="60032" s="1"/>
  <c r="J150" i="60032"/>
  <c r="G148" i="60034"/>
  <c r="H148" i="60034" s="1"/>
  <c r="I148" i="60034" s="1"/>
  <c r="H151" i="60032" l="1"/>
  <c r="I151" i="60032" s="1"/>
  <c r="J151" i="60032"/>
  <c r="K148" i="60034"/>
  <c r="G149" i="60034"/>
  <c r="H149" i="60034" s="1"/>
  <c r="J148" i="60034"/>
  <c r="F152" i="60032" l="1"/>
  <c r="G152" i="60032" s="1"/>
  <c r="K149" i="60034"/>
  <c r="I149" i="60034"/>
  <c r="J149" i="60034" s="1"/>
  <c r="H152" i="60032" l="1"/>
  <c r="I152" i="60032" s="1"/>
  <c r="J152" i="60032"/>
  <c r="G150" i="60034"/>
  <c r="H150" i="60034" s="1"/>
  <c r="I150" i="60034" s="1"/>
  <c r="F153" i="60032" l="1"/>
  <c r="G153" i="60032" s="1"/>
  <c r="K150" i="60034"/>
  <c r="J150" i="60034"/>
  <c r="G151" i="60034"/>
  <c r="H151" i="60034" s="1"/>
  <c r="J153" i="60032" l="1"/>
  <c r="H153" i="60032"/>
  <c r="I153" i="60032" s="1"/>
  <c r="I151" i="60034"/>
  <c r="K151" i="60034"/>
  <c r="F154" i="60032" l="1"/>
  <c r="G154" i="60032" s="1"/>
  <c r="G152" i="60034"/>
  <c r="H152" i="60034" s="1"/>
  <c r="J151" i="60034"/>
  <c r="J154" i="60032" l="1"/>
  <c r="H154" i="60032"/>
  <c r="I154" i="60032" s="1"/>
  <c r="K152" i="60034"/>
  <c r="I152" i="60034"/>
  <c r="J152" i="60034" s="1"/>
  <c r="F155" i="60032" l="1"/>
  <c r="G155" i="60032" s="1"/>
  <c r="G153" i="60034"/>
  <c r="H153" i="60034" s="1"/>
  <c r="K153" i="60034" s="1"/>
  <c r="J155" i="60032" l="1"/>
  <c r="H155" i="60032"/>
  <c r="I155" i="60032" s="1"/>
  <c r="I153" i="60034"/>
  <c r="G154" i="60034" s="1"/>
  <c r="H154" i="60034" s="1"/>
  <c r="F156" i="60032" l="1"/>
  <c r="G156" i="60032" s="1"/>
  <c r="J153" i="60034"/>
  <c r="K154" i="60034"/>
  <c r="I154" i="60034"/>
  <c r="H156" i="60032" l="1"/>
  <c r="I156" i="60032" s="1"/>
  <c r="F157" i="60032"/>
  <c r="G157" i="60032" s="1"/>
  <c r="J156" i="60032"/>
  <c r="G155" i="60034"/>
  <c r="H155" i="60034" s="1"/>
  <c r="J154" i="60034"/>
  <c r="H157" i="60032" l="1"/>
  <c r="I157" i="60032" s="1"/>
  <c r="J157" i="60032"/>
  <c r="I155" i="60034"/>
  <c r="J155" i="60034" s="1"/>
  <c r="K155" i="60034"/>
  <c r="F158" i="60032" l="1"/>
  <c r="G158" i="60032" s="1"/>
  <c r="G156" i="60034"/>
  <c r="H156" i="60034" s="1"/>
  <c r="I156" i="60034" s="1"/>
  <c r="J156" i="60034" s="1"/>
  <c r="H158" i="60032" l="1"/>
  <c r="I158" i="60032" s="1"/>
  <c r="J158" i="60032"/>
  <c r="K156" i="60034"/>
  <c r="G157" i="60034"/>
  <c r="H157" i="60034" s="1"/>
  <c r="I157" i="60034" s="1"/>
  <c r="F159" i="60032" l="1"/>
  <c r="G159" i="60032" s="1"/>
  <c r="K157" i="60034"/>
  <c r="J157" i="60034"/>
  <c r="G158" i="60034"/>
  <c r="H158" i="60034" s="1"/>
  <c r="H159" i="60032" l="1"/>
  <c r="I159" i="60032" s="1"/>
  <c r="J159" i="60032"/>
  <c r="I158" i="60034"/>
  <c r="K158" i="60034"/>
  <c r="F160" i="60032" l="1"/>
  <c r="G160" i="60032" s="1"/>
  <c r="J158" i="60034"/>
  <c r="G159" i="60034"/>
  <c r="H159" i="60034" s="1"/>
  <c r="J160" i="60032" l="1"/>
  <c r="H160" i="60032"/>
  <c r="I160" i="60032" s="1"/>
  <c r="I159" i="60034"/>
  <c r="K159" i="60034"/>
  <c r="F161" i="60032" l="1"/>
  <c r="G161" i="60032" s="1"/>
  <c r="J159" i="60034"/>
  <c r="G160" i="60034"/>
  <c r="H160" i="60034" s="1"/>
  <c r="H161" i="60032" l="1"/>
  <c r="I161" i="60032" s="1"/>
  <c r="J161" i="60032"/>
  <c r="K160" i="60034"/>
  <c r="I160" i="60034"/>
  <c r="F162" i="60032" l="1"/>
  <c r="G162" i="60032" s="1"/>
  <c r="J160" i="60034"/>
  <c r="G161" i="60034"/>
  <c r="H161" i="60034" s="1"/>
  <c r="H162" i="60032" l="1"/>
  <c r="I162" i="60032" s="1"/>
  <c r="F163" i="60032"/>
  <c r="G163" i="60032" s="1"/>
  <c r="J162" i="60032"/>
  <c r="K161" i="60034"/>
  <c r="I161" i="60034"/>
  <c r="J163" i="60032" l="1"/>
  <c r="H163" i="60032"/>
  <c r="I163" i="60032" s="1"/>
  <c r="J161" i="60034"/>
  <c r="G162" i="60034"/>
  <c r="H162" i="60034" s="1"/>
  <c r="F164" i="60032" l="1"/>
  <c r="G164" i="60032" s="1"/>
  <c r="I162" i="60034"/>
  <c r="K162" i="60034"/>
  <c r="J164" i="60032" l="1"/>
  <c r="H164" i="60032"/>
  <c r="I164" i="60032" s="1"/>
  <c r="J162" i="60034"/>
  <c r="G163" i="60034"/>
  <c r="H163" i="60034" s="1"/>
  <c r="F165" i="60032" l="1"/>
  <c r="G165" i="60032" s="1"/>
  <c r="J165" i="60032"/>
  <c r="H165" i="60032"/>
  <c r="I165" i="60032" s="1"/>
  <c r="I163" i="60034"/>
  <c r="J163" i="60034" s="1"/>
  <c r="K163" i="60034"/>
  <c r="F166" i="60032" l="1"/>
  <c r="G166" i="60032" s="1"/>
  <c r="H166" i="60032"/>
  <c r="I166" i="60032" s="1"/>
  <c r="J166" i="60032"/>
  <c r="G164" i="60034"/>
  <c r="H164" i="60034" s="1"/>
  <c r="K164" i="60034" s="1"/>
  <c r="F167" i="60032" l="1"/>
  <c r="G167" i="60032" s="1"/>
  <c r="I164" i="60034"/>
  <c r="J164" i="60034" s="1"/>
  <c r="J167" i="60032" l="1"/>
  <c r="H167" i="60032"/>
  <c r="I167" i="60032" s="1"/>
  <c r="F168" i="60032"/>
  <c r="G168" i="60032" s="1"/>
  <c r="G165" i="60034"/>
  <c r="H165" i="60034" s="1"/>
  <c r="I165" i="60034" s="1"/>
  <c r="J165" i="60034" s="1"/>
  <c r="H168" i="60032" l="1"/>
  <c r="J168" i="60032"/>
  <c r="K165" i="60034"/>
  <c r="G166" i="60034"/>
  <c r="H166" i="60034" s="1"/>
  <c r="I166" i="60034" s="1"/>
  <c r="I168" i="60032" l="1"/>
  <c r="F169" i="60032"/>
  <c r="G169" i="60032" s="1"/>
  <c r="K166" i="60034"/>
  <c r="J166" i="60034"/>
  <c r="G167" i="60034"/>
  <c r="H167" i="60034" s="1"/>
  <c r="H169" i="60032" l="1"/>
  <c r="I169" i="60032" s="1"/>
  <c r="J169" i="60032"/>
  <c r="I167" i="60034"/>
  <c r="K167" i="60034"/>
  <c r="F170" i="60032" l="1"/>
  <c r="G170" i="60032" s="1"/>
  <c r="J167" i="60034"/>
  <c r="G168" i="60034"/>
  <c r="H168" i="60034" s="1"/>
  <c r="H170" i="60032" l="1"/>
  <c r="I170" i="60032" s="1"/>
  <c r="J170" i="60032"/>
  <c r="I168" i="60034"/>
  <c r="J168" i="60034" s="1"/>
  <c r="K168" i="60034"/>
  <c r="F171" i="60032" l="1"/>
  <c r="G171" i="60032" s="1"/>
  <c r="G169" i="60034"/>
  <c r="H169" i="60034" s="1"/>
  <c r="I169" i="60034" s="1"/>
  <c r="H171" i="60032" l="1"/>
  <c r="J171" i="60032"/>
  <c r="K169" i="60034"/>
  <c r="J169" i="60034"/>
  <c r="G170" i="60034"/>
  <c r="H170" i="60034" s="1"/>
  <c r="I171" i="60032" l="1"/>
  <c r="F172" i="60032"/>
  <c r="G172" i="60032" s="1"/>
  <c r="I170" i="60034"/>
  <c r="J170" i="60034" s="1"/>
  <c r="K170" i="60034"/>
  <c r="J172" i="60032" l="1"/>
  <c r="H172" i="60032"/>
  <c r="I172" i="60032" s="1"/>
  <c r="G171" i="60034"/>
  <c r="H171" i="60034" s="1"/>
  <c r="I171" i="60034" s="1"/>
  <c r="F173" i="60032" l="1"/>
  <c r="G173" i="60032" s="1"/>
  <c r="K171" i="60034"/>
  <c r="J171" i="60034"/>
  <c r="G172" i="60034"/>
  <c r="H172" i="60034" s="1"/>
  <c r="H173" i="60032" l="1"/>
  <c r="I173" i="60032" s="1"/>
  <c r="J173" i="60032"/>
  <c r="K172" i="60034"/>
  <c r="I172" i="60034"/>
  <c r="F174" i="60032" l="1"/>
  <c r="G174" i="60032" s="1"/>
  <c r="J172" i="60034"/>
  <c r="G173" i="60034"/>
  <c r="H173" i="60034" s="1"/>
  <c r="J174" i="60032" l="1"/>
  <c r="H174" i="60032"/>
  <c r="I174" i="60032" s="1"/>
  <c r="K173" i="60034"/>
  <c r="I173" i="60034"/>
  <c r="F175" i="60032" l="1"/>
  <c r="G175" i="60032" s="1"/>
  <c r="J173" i="60034"/>
  <c r="G174" i="60034"/>
  <c r="H174" i="60034" s="1"/>
  <c r="J175" i="60032" l="1"/>
  <c r="H175" i="60032"/>
  <c r="I175" i="60032" s="1"/>
  <c r="I174" i="60034"/>
  <c r="K174" i="60034"/>
  <c r="F176" i="60032" l="1"/>
  <c r="G176" i="60032" s="1"/>
  <c r="J174" i="60034"/>
  <c r="G175" i="60034"/>
  <c r="H175" i="60034" s="1"/>
  <c r="J176" i="60032" l="1"/>
  <c r="H176" i="60032"/>
  <c r="I176" i="60032" s="1"/>
  <c r="K175" i="60034"/>
  <c r="I175" i="60034"/>
  <c r="F177" i="60032" l="1"/>
  <c r="G177" i="60032" s="1"/>
  <c r="J175" i="60034"/>
  <c r="G176" i="60034"/>
  <c r="H176" i="60034" s="1"/>
  <c r="J177" i="60032" l="1"/>
  <c r="H177" i="60032"/>
  <c r="I177" i="60032" s="1"/>
  <c r="I176" i="60034"/>
  <c r="J176" i="60034" s="1"/>
  <c r="K176" i="60034"/>
  <c r="F178" i="60032" l="1"/>
  <c r="G178" i="60032" s="1"/>
  <c r="G177" i="60034"/>
  <c r="H177" i="60034" s="1"/>
  <c r="I177" i="60034" s="1"/>
  <c r="J178" i="60032" l="1"/>
  <c r="H178" i="60032"/>
  <c r="I178" i="60032" s="1"/>
  <c r="K177" i="60034"/>
  <c r="J177" i="60034"/>
  <c r="G178" i="60034"/>
  <c r="H178" i="60034" s="1"/>
  <c r="F179" i="60032" l="1"/>
  <c r="G179" i="60032" s="1"/>
  <c r="K178" i="60034"/>
  <c r="I178" i="60034"/>
  <c r="J179" i="60032" l="1"/>
  <c r="H179" i="60032"/>
  <c r="I179" i="60032" s="1"/>
  <c r="G179" i="60034"/>
  <c r="H179" i="60034" s="1"/>
  <c r="J178" i="60034"/>
  <c r="F180" i="60032" l="1"/>
  <c r="G180" i="60032" s="1"/>
  <c r="I179" i="60034"/>
  <c r="J179" i="60034" s="1"/>
  <c r="K179" i="60034"/>
  <c r="J180" i="60032" l="1"/>
  <c r="H180" i="60032"/>
  <c r="I180" i="60032" s="1"/>
  <c r="G180" i="60034"/>
  <c r="H180" i="60034" s="1"/>
  <c r="I180" i="60034" s="1"/>
  <c r="F181" i="60032" l="1"/>
  <c r="G181" i="60032" s="1"/>
  <c r="K180" i="60034"/>
  <c r="J180" i="60034"/>
  <c r="G181" i="60034"/>
  <c r="H181" i="60034" s="1"/>
  <c r="J181" i="60032" l="1"/>
  <c r="H181" i="60032"/>
  <c r="I181" i="60032" s="1"/>
  <c r="I181" i="60034"/>
  <c r="K181" i="60034"/>
  <c r="F182" i="60032" l="1"/>
  <c r="G182" i="60032" s="1"/>
  <c r="G182" i="60034"/>
  <c r="H182" i="60034" s="1"/>
  <c r="J181" i="60034"/>
  <c r="H182" i="60032" l="1"/>
  <c r="I182" i="60032" s="1"/>
  <c r="F183" i="60032"/>
  <c r="G183" i="60032" s="1"/>
  <c r="J182" i="60032"/>
  <c r="I182" i="60034"/>
  <c r="J182" i="60034" s="1"/>
  <c r="K182" i="60034"/>
  <c r="H183" i="60032" l="1"/>
  <c r="I183" i="60032" s="1"/>
  <c r="J183" i="60032"/>
  <c r="G183" i="60034"/>
  <c r="H183" i="60034" s="1"/>
  <c r="I183" i="60034" s="1"/>
  <c r="F184" i="60032" l="1"/>
  <c r="G184" i="60032" s="1"/>
  <c r="K183" i="60034"/>
  <c r="G184" i="60034"/>
  <c r="H184" i="60034" s="1"/>
  <c r="J183" i="60034"/>
  <c r="H184" i="60032" l="1"/>
  <c r="I184" i="60032" s="1"/>
  <c r="J184" i="60032"/>
  <c r="I184" i="60034"/>
  <c r="J184" i="60034" s="1"/>
  <c r="K184" i="60034"/>
  <c r="F185" i="60032" l="1"/>
  <c r="G185" i="60032" s="1"/>
  <c r="G185" i="60034"/>
  <c r="H185" i="60034" s="1"/>
  <c r="K185" i="60034" s="1"/>
  <c r="H185" i="60032" l="1"/>
  <c r="I185" i="60032" s="1"/>
  <c r="J185" i="60032"/>
  <c r="I185" i="60034"/>
  <c r="J185" i="60034" s="1"/>
  <c r="F186" i="60032" l="1"/>
  <c r="G186" i="60032" s="1"/>
  <c r="G186" i="60034"/>
  <c r="H186" i="60034" s="1"/>
  <c r="I186" i="60034" s="1"/>
  <c r="H186" i="60032" l="1"/>
  <c r="I186" i="60032" s="1"/>
  <c r="F187" i="60032"/>
  <c r="G187" i="60032" s="1"/>
  <c r="J186" i="60032"/>
  <c r="K186" i="60034"/>
  <c r="J186" i="60034"/>
  <c r="G187" i="60034"/>
  <c r="H187" i="60034" s="1"/>
  <c r="J187" i="60032" l="1"/>
  <c r="H187" i="60032"/>
  <c r="I187" i="60032" s="1"/>
  <c r="K187" i="60034"/>
  <c r="I187" i="60034"/>
  <c r="F188" i="60032" l="1"/>
  <c r="G188" i="60032" s="1"/>
  <c r="J188" i="60032"/>
  <c r="H188" i="60032"/>
  <c r="I188" i="60032" s="1"/>
  <c r="G188" i="60034"/>
  <c r="H188" i="60034" s="1"/>
  <c r="J187" i="60034"/>
  <c r="F189" i="60032" l="1"/>
  <c r="G189" i="60032" s="1"/>
  <c r="J189" i="60032"/>
  <c r="H189" i="60032"/>
  <c r="I189" i="60032" s="1"/>
  <c r="I188" i="60034"/>
  <c r="J188" i="60034" s="1"/>
  <c r="K188" i="60034"/>
  <c r="F190" i="60032" l="1"/>
  <c r="G190" i="60032" s="1"/>
  <c r="H190" i="60032"/>
  <c r="I190" i="60032" s="1"/>
  <c r="J190" i="60032"/>
  <c r="F191" i="60032"/>
  <c r="G191" i="60032" s="1"/>
  <c r="G189" i="60034"/>
  <c r="H189" i="60034" s="1"/>
  <c r="I189" i="60034" s="1"/>
  <c r="H191" i="60032" l="1"/>
  <c r="I191" i="60032" s="1"/>
  <c r="J191" i="60032"/>
  <c r="K189" i="60034"/>
  <c r="J189" i="60034"/>
  <c r="G190" i="60034"/>
  <c r="H190" i="60034" s="1"/>
  <c r="F192" i="60032" l="1"/>
  <c r="G192" i="60032" s="1"/>
  <c r="I190" i="60034"/>
  <c r="K190" i="60034"/>
  <c r="H192" i="60032" l="1"/>
  <c r="I192" i="60032" s="1"/>
  <c r="J192" i="60032"/>
  <c r="J190" i="60034"/>
  <c r="G191" i="60034"/>
  <c r="H191" i="60034" s="1"/>
  <c r="F193" i="60032" l="1"/>
  <c r="G193" i="60032" s="1"/>
  <c r="I191" i="60034"/>
  <c r="K191" i="60034"/>
  <c r="H193" i="60032" l="1"/>
  <c r="I193" i="60032" s="1"/>
  <c r="J193" i="60032"/>
  <c r="J191" i="60034"/>
  <c r="G192" i="60034"/>
  <c r="H192" i="60034" s="1"/>
  <c r="F194" i="60032" l="1"/>
  <c r="G194" i="60032" s="1"/>
  <c r="I192" i="60034"/>
  <c r="K192" i="60034"/>
  <c r="H194" i="60032" l="1"/>
  <c r="I194" i="60032" s="1"/>
  <c r="J194" i="60032"/>
  <c r="J192" i="60034"/>
  <c r="G193" i="60034"/>
  <c r="H193" i="60034" s="1"/>
  <c r="F195" i="60032" l="1"/>
  <c r="G195" i="60032" s="1"/>
  <c r="H195" i="60032" s="1"/>
  <c r="I195" i="60032" s="1"/>
  <c r="K193" i="60034"/>
  <c r="I193" i="60034"/>
  <c r="J195" i="60032" l="1"/>
  <c r="F196" i="60032"/>
  <c r="G196" i="60032" s="1"/>
  <c r="H196" i="60032" s="1"/>
  <c r="I196" i="60032" s="1"/>
  <c r="J193" i="60034"/>
  <c r="G194" i="60034"/>
  <c r="H194" i="60034" s="1"/>
  <c r="J196" i="60032" l="1"/>
  <c r="F197" i="60032"/>
  <c r="G197" i="60032" s="1"/>
  <c r="K194" i="60034"/>
  <c r="I194" i="60034"/>
  <c r="H197" i="60032" l="1"/>
  <c r="I197" i="60032" s="1"/>
  <c r="J197" i="60032"/>
  <c r="J194" i="60034"/>
  <c r="G195" i="60034"/>
  <c r="H195" i="60034" s="1"/>
  <c r="F198" i="60032" l="1"/>
  <c r="G198" i="60032" s="1"/>
  <c r="I195" i="60034"/>
  <c r="J195" i="60034" s="1"/>
  <c r="K195" i="60034"/>
  <c r="H198" i="60032" l="1"/>
  <c r="I198" i="60032" s="1"/>
  <c r="J198" i="60032"/>
  <c r="G196" i="60034"/>
  <c r="H196" i="60034" s="1"/>
  <c r="F199" i="60032" l="1"/>
  <c r="G199" i="60032" s="1"/>
  <c r="K196" i="60034"/>
  <c r="I196" i="60034"/>
  <c r="H199" i="60032" l="1"/>
  <c r="I199" i="60032" s="1"/>
  <c r="J199" i="60032"/>
  <c r="J196" i="60034"/>
  <c r="G197" i="60034"/>
  <c r="H197" i="60034" s="1"/>
  <c r="F200" i="60032" l="1"/>
  <c r="G200" i="60032" s="1"/>
  <c r="K197" i="60034"/>
  <c r="I197" i="60034"/>
  <c r="H200" i="60032" l="1"/>
  <c r="I200" i="60032" s="1"/>
  <c r="J200" i="60032"/>
  <c r="G198" i="60034"/>
  <c r="H198" i="60034" s="1"/>
  <c r="J197" i="60034"/>
  <c r="F201" i="60032" l="1"/>
  <c r="G201" i="60032" s="1"/>
  <c r="I198" i="60034"/>
  <c r="J198" i="60034" s="1"/>
  <c r="K198" i="60034"/>
  <c r="H201" i="60032" l="1"/>
  <c r="I201" i="60032" s="1"/>
  <c r="J201" i="60032"/>
  <c r="G199" i="60034"/>
  <c r="H199" i="60034" s="1"/>
  <c r="I199" i="60034" s="1"/>
  <c r="F202" i="60032" l="1"/>
  <c r="G202" i="60032" s="1"/>
  <c r="H202" i="60032" s="1"/>
  <c r="I202" i="60032" s="1"/>
  <c r="J199" i="60034"/>
  <c r="G200" i="60034"/>
  <c r="H200" i="60034" s="1"/>
  <c r="I200" i="60034" s="1"/>
  <c r="J200" i="60034" s="1"/>
  <c r="K199" i="60034"/>
  <c r="J202" i="60032" l="1"/>
  <c r="F203" i="60032"/>
  <c r="G203" i="60032" s="1"/>
  <c r="K200" i="60034"/>
  <c r="G201" i="60034"/>
  <c r="H201" i="60034" s="1"/>
  <c r="I201" i="60034" s="1"/>
  <c r="H203" i="60032" l="1"/>
  <c r="I203" i="60032" s="1"/>
  <c r="J203" i="60032"/>
  <c r="K201" i="60034"/>
  <c r="J201" i="60034"/>
  <c r="G202" i="60034"/>
  <c r="H202" i="60034" s="1"/>
  <c r="F204" i="60032" l="1"/>
  <c r="G204" i="60032" s="1"/>
  <c r="I202" i="60034"/>
  <c r="K202" i="60034"/>
  <c r="J204" i="60032" l="1"/>
  <c r="H204" i="60032"/>
  <c r="I204" i="60032" s="1"/>
  <c r="J202" i="60034"/>
  <c r="G203" i="60034"/>
  <c r="H203" i="60034" s="1"/>
  <c r="F205" i="60032" l="1"/>
  <c r="G205" i="60032" s="1"/>
  <c r="I203" i="60034"/>
  <c r="K203" i="60034"/>
  <c r="H205" i="60032" l="1"/>
  <c r="I205" i="60032" s="1"/>
  <c r="J205" i="60032"/>
  <c r="J203" i="60034"/>
  <c r="G204" i="60034"/>
  <c r="H204" i="60034" s="1"/>
  <c r="F206" i="60032" l="1"/>
  <c r="G206" i="60032" s="1"/>
  <c r="I204" i="60034"/>
  <c r="K204" i="60034"/>
  <c r="H206" i="60032" l="1"/>
  <c r="I206" i="60032" s="1"/>
  <c r="J206" i="60032"/>
  <c r="G205" i="60034"/>
  <c r="H205" i="60034" s="1"/>
  <c r="J204" i="60034"/>
  <c r="F207" i="60032" l="1"/>
  <c r="G207" i="60032" s="1"/>
  <c r="K205" i="60034"/>
  <c r="I205" i="60034"/>
  <c r="J205" i="60034" s="1"/>
  <c r="H207" i="60032" l="1"/>
  <c r="I207" i="60032" s="1"/>
  <c r="J207" i="60032"/>
  <c r="G206" i="60034"/>
  <c r="H206" i="60034" s="1"/>
  <c r="F208" i="60032" l="1"/>
  <c r="G208" i="60032" s="1"/>
  <c r="I206" i="60034"/>
  <c r="J206" i="60034" s="1"/>
  <c r="K206" i="60034"/>
  <c r="H208" i="60032" l="1"/>
  <c r="I208" i="60032" s="1"/>
  <c r="J208" i="60032"/>
  <c r="G207" i="60034"/>
  <c r="H207" i="60034" s="1"/>
  <c r="K207" i="60034" s="1"/>
  <c r="F209" i="60032" l="1"/>
  <c r="G209" i="60032" s="1"/>
  <c r="I207" i="60034"/>
  <c r="J207" i="60034" s="1"/>
  <c r="H209" i="60032" l="1"/>
  <c r="I209" i="60032" s="1"/>
  <c r="J209" i="60032"/>
  <c r="G208" i="60034"/>
  <c r="H208" i="60034" s="1"/>
  <c r="I208" i="60034" s="1"/>
  <c r="F210" i="60032" l="1"/>
  <c r="G210" i="60032" s="1"/>
  <c r="K208" i="60034"/>
  <c r="J208" i="60034"/>
  <c r="G209" i="60034"/>
  <c r="H209" i="60034" s="1"/>
  <c r="H210" i="60032" l="1"/>
  <c r="I210" i="60032" s="1"/>
  <c r="J210" i="60032"/>
  <c r="I209" i="60034"/>
  <c r="K209" i="60034"/>
  <c r="F211" i="60032" l="1"/>
  <c r="G211" i="60032" s="1"/>
  <c r="G210" i="60034"/>
  <c r="H210" i="60034" s="1"/>
  <c r="J209" i="60034"/>
  <c r="H211" i="60032" l="1"/>
  <c r="I211" i="60032" s="1"/>
  <c r="J211" i="60032"/>
  <c r="I210" i="60034"/>
  <c r="K210" i="60034"/>
  <c r="F212" i="60032" l="1"/>
  <c r="G212" i="60032" s="1"/>
  <c r="J210" i="60034"/>
  <c r="G211" i="60034"/>
  <c r="H211" i="60034" s="1"/>
  <c r="H212" i="60032" l="1"/>
  <c r="I212" i="60032" s="1"/>
  <c r="J212" i="60032"/>
  <c r="I211" i="60034"/>
  <c r="J211" i="60034" s="1"/>
  <c r="K211" i="60034"/>
  <c r="F213" i="60032" l="1"/>
  <c r="G213" i="60032" s="1"/>
  <c r="G212" i="60034"/>
  <c r="H212" i="60034" s="1"/>
  <c r="H213" i="60032" l="1"/>
  <c r="I213" i="60032" s="1"/>
  <c r="J213" i="60032"/>
  <c r="I212" i="60034"/>
  <c r="J212" i="60034" s="1"/>
  <c r="K212" i="60034"/>
  <c r="F214" i="60032" l="1"/>
  <c r="G214" i="60032" s="1"/>
  <c r="G213" i="60034"/>
  <c r="H213" i="60034" s="1"/>
  <c r="H214" i="60032" l="1"/>
  <c r="I214" i="60032" s="1"/>
  <c r="J214" i="60032"/>
  <c r="I213" i="60034"/>
  <c r="K213" i="60034"/>
  <c r="F215" i="60032" l="1"/>
  <c r="G215" i="60032" s="1"/>
  <c r="J213" i="60034"/>
  <c r="G214" i="60034"/>
  <c r="H214" i="60034" s="1"/>
  <c r="H215" i="60032" l="1"/>
  <c r="I215" i="60032" s="1"/>
  <c r="J215" i="60032"/>
  <c r="I214" i="60034"/>
  <c r="K214" i="60034"/>
  <c r="F216" i="60032" l="1"/>
  <c r="G216" i="60032" s="1"/>
  <c r="J214" i="60034"/>
  <c r="G215" i="60034"/>
  <c r="H215" i="60034" s="1"/>
  <c r="H216" i="60032" l="1"/>
  <c r="I216" i="60032" s="1"/>
  <c r="J216" i="60032"/>
  <c r="I215" i="60034"/>
  <c r="J215" i="60034" s="1"/>
  <c r="K215" i="60034"/>
  <c r="F217" i="60032" l="1"/>
  <c r="G217" i="60032" s="1"/>
  <c r="G216" i="60034"/>
  <c r="H216" i="60034" s="1"/>
  <c r="H217" i="60032" l="1"/>
  <c r="I217" i="60032" s="1"/>
  <c r="J217" i="60032"/>
  <c r="I216" i="60034"/>
  <c r="J216" i="60034" s="1"/>
  <c r="K216" i="60034"/>
  <c r="F218" i="60032" l="1"/>
  <c r="G218" i="60032" s="1"/>
  <c r="G217" i="60034"/>
  <c r="H217" i="60034" s="1"/>
  <c r="H218" i="60032" l="1"/>
  <c r="I218" i="60032" s="1"/>
  <c r="J218" i="60032"/>
  <c r="I217" i="60034"/>
  <c r="K217" i="60034"/>
  <c r="F219" i="60032" l="1"/>
  <c r="G219" i="60032" s="1"/>
  <c r="H219" i="60032" s="1"/>
  <c r="I219" i="60032" s="1"/>
  <c r="J217" i="60034"/>
  <c r="G218" i="60034"/>
  <c r="H218" i="60034" s="1"/>
  <c r="J219" i="60032" l="1"/>
  <c r="F220" i="60032"/>
  <c r="G220" i="60032" s="1"/>
  <c r="K218" i="60034"/>
  <c r="I218" i="60034"/>
  <c r="J218" i="60034" s="1"/>
  <c r="H220" i="60032" l="1"/>
  <c r="I220" i="60032" s="1"/>
  <c r="J220" i="60032"/>
  <c r="G219" i="60034"/>
  <c r="H219" i="60034" s="1"/>
  <c r="F221" i="60032" l="1"/>
  <c r="G221" i="60032" s="1"/>
  <c r="I219" i="60034"/>
  <c r="J219" i="60034" s="1"/>
  <c r="K219" i="60034"/>
  <c r="H221" i="60032" l="1"/>
  <c r="I221" i="60032" s="1"/>
  <c r="J221" i="60032"/>
  <c r="G220" i="60034"/>
  <c r="H220" i="60034" s="1"/>
  <c r="K220" i="60034" s="1"/>
  <c r="F222" i="60032" l="1"/>
  <c r="G222" i="60032" s="1"/>
  <c r="I220" i="60034"/>
  <c r="G221" i="60034" s="1"/>
  <c r="H221" i="60034" s="1"/>
  <c r="H222" i="60032" l="1"/>
  <c r="I222" i="60032" s="1"/>
  <c r="J222" i="60032"/>
  <c r="J220" i="60034"/>
  <c r="K221" i="60034"/>
  <c r="I221" i="60034"/>
  <c r="J221" i="60034" s="1"/>
  <c r="F223" i="60032" l="1"/>
  <c r="G223" i="60032" s="1"/>
  <c r="G222" i="60034"/>
  <c r="H222" i="60034" s="1"/>
  <c r="H223" i="60032" l="1"/>
  <c r="I223" i="60032" s="1"/>
  <c r="J223" i="60032"/>
  <c r="I222" i="60034"/>
  <c r="J222" i="60034" s="1"/>
  <c r="K222" i="60034"/>
  <c r="F224" i="60032" l="1"/>
  <c r="G224" i="60032" s="1"/>
  <c r="G223" i="60034"/>
  <c r="H223" i="60034" s="1"/>
  <c r="H224" i="60032" l="1"/>
  <c r="I224" i="60032" s="1"/>
  <c r="J224" i="60032"/>
  <c r="I223" i="60034"/>
  <c r="J223" i="60034" s="1"/>
  <c r="K223" i="60034"/>
  <c r="F225" i="60032" l="1"/>
  <c r="G225" i="60032" s="1"/>
  <c r="G224" i="60034"/>
  <c r="H224" i="60034" s="1"/>
  <c r="H225" i="60032" l="1"/>
  <c r="I225" i="60032" s="1"/>
  <c r="J225" i="60032"/>
  <c r="I224" i="60034"/>
  <c r="J224" i="60034" s="1"/>
  <c r="K224" i="60034"/>
  <c r="F226" i="60032" l="1"/>
  <c r="G226" i="60032" s="1"/>
  <c r="G225" i="60034"/>
  <c r="H225" i="60034" s="1"/>
  <c r="K225" i="60034" s="1"/>
  <c r="H226" i="60032" l="1"/>
  <c r="I226" i="60032" s="1"/>
  <c r="J226" i="60032"/>
  <c r="I225" i="60034"/>
  <c r="J225" i="60034" s="1"/>
  <c r="F227" i="60032" l="1"/>
  <c r="G227" i="60032" s="1"/>
  <c r="G226" i="60034"/>
  <c r="H226" i="60034" s="1"/>
  <c r="K226" i="60034" s="1"/>
  <c r="H227" i="60032" l="1"/>
  <c r="I227" i="60032" s="1"/>
  <c r="J227" i="60032"/>
  <c r="I226" i="60034"/>
  <c r="G227" i="60034" s="1"/>
  <c r="H227" i="60034" s="1"/>
  <c r="I227" i="60034" s="1"/>
  <c r="J227" i="60034" s="1"/>
  <c r="F228" i="60032" l="1"/>
  <c r="G228" i="60032" s="1"/>
  <c r="K227" i="60034"/>
  <c r="J226" i="60034"/>
  <c r="G228" i="60034"/>
  <c r="H228" i="60034" s="1"/>
  <c r="I228" i="60034" s="1"/>
  <c r="H228" i="60032" l="1"/>
  <c r="I228" i="60032" s="1"/>
  <c r="J228" i="60032"/>
  <c r="K228" i="60034"/>
  <c r="G229" i="60034"/>
  <c r="H229" i="60034" s="1"/>
  <c r="J228" i="60034"/>
  <c r="F229" i="60032" l="1"/>
  <c r="G229" i="60032" s="1"/>
  <c r="I229" i="60034"/>
  <c r="J229" i="60034" s="1"/>
  <c r="K229" i="60034"/>
  <c r="H229" i="60032" l="1"/>
  <c r="I229" i="60032" s="1"/>
  <c r="J229" i="60032"/>
  <c r="G230" i="60034"/>
  <c r="H230" i="60034" s="1"/>
  <c r="K230" i="60034" s="1"/>
  <c r="F230" i="60032" l="1"/>
  <c r="G230" i="60032" s="1"/>
  <c r="I230" i="60034"/>
  <c r="J230" i="60034" s="1"/>
  <c r="H230" i="60032" l="1"/>
  <c r="I230" i="60032" s="1"/>
  <c r="J230" i="60032"/>
  <c r="G231" i="60034"/>
  <c r="H231" i="60034" s="1"/>
  <c r="K231" i="60034" s="1"/>
  <c r="F231" i="60032" l="1"/>
  <c r="G231" i="60032" s="1"/>
  <c r="H231" i="60032" s="1"/>
  <c r="I231" i="60032" s="1"/>
  <c r="I231" i="60034"/>
  <c r="J231" i="60034" s="1"/>
  <c r="J231" i="60032" l="1"/>
  <c r="F232" i="60032"/>
  <c r="G232" i="60032" s="1"/>
  <c r="G232" i="60034"/>
  <c r="H232" i="60034" s="1"/>
  <c r="K232" i="60034" s="1"/>
  <c r="H232" i="60032" l="1"/>
  <c r="I232" i="60032" s="1"/>
  <c r="J232" i="60032"/>
  <c r="I232" i="60034"/>
  <c r="G233" i="60034" s="1"/>
  <c r="H233" i="60034" s="1"/>
  <c r="F233" i="60032" l="1"/>
  <c r="G233" i="60032" s="1"/>
  <c r="J232" i="60034"/>
  <c r="K233" i="60034"/>
  <c r="I233" i="60034"/>
  <c r="J233" i="60034" s="1"/>
  <c r="H233" i="60032" l="1"/>
  <c r="I233" i="60032" s="1"/>
  <c r="J233" i="60032"/>
  <c r="G234" i="60034"/>
  <c r="H234" i="60034" s="1"/>
  <c r="F234" i="60032" l="1"/>
  <c r="G234" i="60032" s="1"/>
  <c r="K234" i="60034"/>
  <c r="I234" i="60034"/>
  <c r="H234" i="60032" l="1"/>
  <c r="I234" i="60032" s="1"/>
  <c r="J234" i="60032"/>
  <c r="G235" i="60034"/>
  <c r="H235" i="60034" s="1"/>
  <c r="J234" i="60034"/>
  <c r="F235" i="60032" l="1"/>
  <c r="G235" i="60032" s="1"/>
  <c r="H235" i="60032" s="1"/>
  <c r="I235" i="60032" s="1"/>
  <c r="I235" i="60034"/>
  <c r="K235" i="60034"/>
  <c r="J235" i="60032" l="1"/>
  <c r="F236" i="60032"/>
  <c r="G236" i="60032" s="1"/>
  <c r="G236" i="60034"/>
  <c r="H236" i="60034" s="1"/>
  <c r="J235" i="60034"/>
  <c r="H236" i="60032" l="1"/>
  <c r="I236" i="60032" s="1"/>
  <c r="J236" i="60032"/>
  <c r="K236" i="60034"/>
  <c r="I236" i="60034"/>
  <c r="J236" i="60034" s="1"/>
  <c r="F237" i="60032" l="1"/>
  <c r="G237" i="60032" s="1"/>
  <c r="G237" i="60034"/>
  <c r="H237" i="60034" s="1"/>
  <c r="H237" i="60032" l="1"/>
  <c r="I237" i="60032" s="1"/>
  <c r="J237" i="60032"/>
  <c r="K237" i="60034"/>
  <c r="I237" i="60034"/>
  <c r="J237" i="60034" s="1"/>
  <c r="F238" i="60032" l="1"/>
  <c r="G238" i="60032" s="1"/>
  <c r="G238" i="60034"/>
  <c r="H238" i="60034" s="1"/>
  <c r="H238" i="60032" l="1"/>
  <c r="I238" i="60032" s="1"/>
  <c r="J238" i="60032"/>
  <c r="I238" i="60034"/>
  <c r="J238" i="60034" s="1"/>
  <c r="K238" i="60034"/>
  <c r="F239" i="60032" l="1"/>
  <c r="G239" i="60032" s="1"/>
  <c r="G239" i="60034"/>
  <c r="H239" i="60034" s="1"/>
  <c r="H239" i="60032" l="1"/>
  <c r="I239" i="60032" s="1"/>
  <c r="J239" i="60032"/>
  <c r="I239" i="60034"/>
  <c r="J239" i="60034" s="1"/>
  <c r="K239" i="60034"/>
  <c r="F240" i="60032" l="1"/>
  <c r="G240" i="60032" s="1"/>
  <c r="G240" i="60034"/>
  <c r="H240" i="60034" s="1"/>
  <c r="I240" i="60034" s="1"/>
  <c r="J240" i="60034" s="1"/>
  <c r="H240" i="60032" l="1"/>
  <c r="I240" i="60032" s="1"/>
  <c r="J240" i="60032"/>
  <c r="K240" i="60034"/>
  <c r="G241" i="60034"/>
  <c r="H241" i="60034" s="1"/>
  <c r="F241" i="60032" l="1"/>
  <c r="G241" i="60032" s="1"/>
  <c r="I241" i="60034"/>
  <c r="J241" i="60034" s="1"/>
  <c r="K241" i="60034"/>
  <c r="H241" i="60032" l="1"/>
  <c r="I241" i="60032" s="1"/>
  <c r="J241" i="60032"/>
  <c r="G242" i="60034"/>
  <c r="H242" i="60034" s="1"/>
  <c r="K242" i="60034" s="1"/>
  <c r="F242" i="60032" l="1"/>
  <c r="G242" i="60032" s="1"/>
  <c r="I242" i="60034"/>
  <c r="J242" i="60034" s="1"/>
  <c r="H242" i="60032" l="1"/>
  <c r="I242" i="60032" s="1"/>
  <c r="J242" i="60032"/>
  <c r="G243" i="60034"/>
  <c r="H243" i="60034" s="1"/>
  <c r="K243" i="60034" s="1"/>
  <c r="F243" i="60032" l="1"/>
  <c r="G243" i="60032" s="1"/>
  <c r="I243" i="60034"/>
  <c r="J243" i="60034" s="1"/>
  <c r="H243" i="60032" l="1"/>
  <c r="I243" i="60032" s="1"/>
  <c r="J243" i="60032"/>
  <c r="G244" i="60034"/>
  <c r="H244" i="60034" s="1"/>
  <c r="I244" i="60034" s="1"/>
  <c r="J244" i="60034" s="1"/>
  <c r="F244" i="60032" l="1"/>
  <c r="G244" i="60032" s="1"/>
  <c r="K244" i="60034"/>
  <c r="G245" i="60034"/>
  <c r="H245" i="60034" s="1"/>
  <c r="H244" i="60032" l="1"/>
  <c r="I244" i="60032" s="1"/>
  <c r="J244" i="60032"/>
  <c r="K245" i="60034"/>
  <c r="I245" i="60034"/>
  <c r="J245" i="60034" s="1"/>
  <c r="F245" i="60032" l="1"/>
  <c r="G245" i="60032" s="1"/>
  <c r="H245" i="60032" s="1"/>
  <c r="I245" i="60032" s="1"/>
  <c r="G246" i="60034"/>
  <c r="H246" i="60034" s="1"/>
  <c r="J245" i="60032" l="1"/>
  <c r="F246" i="60032"/>
  <c r="G246" i="60032" s="1"/>
  <c r="I246" i="60034"/>
  <c r="J246" i="60034" s="1"/>
  <c r="K246" i="60034"/>
  <c r="H246" i="60032" l="1"/>
  <c r="I246" i="60032" s="1"/>
  <c r="J246" i="60032"/>
  <c r="G247" i="60034"/>
  <c r="H247" i="60034" s="1"/>
  <c r="I247" i="60034" s="1"/>
  <c r="J247" i="60034" s="1"/>
  <c r="F247" i="60032" l="1"/>
  <c r="G247" i="60032" s="1"/>
  <c r="K247" i="60034"/>
  <c r="G248" i="60034"/>
  <c r="H248" i="60034" s="1"/>
  <c r="I248" i="60034" s="1"/>
  <c r="J248" i="60034" s="1"/>
  <c r="H247" i="60032" l="1"/>
  <c r="I247" i="60032" s="1"/>
  <c r="J247" i="60032"/>
  <c r="K248" i="60034"/>
  <c r="G249" i="60034"/>
  <c r="H249" i="60034" s="1"/>
  <c r="F248" i="60032" l="1"/>
  <c r="G248" i="60032" s="1"/>
  <c r="K249" i="60034"/>
  <c r="I249" i="60034"/>
  <c r="J249" i="60034" s="1"/>
  <c r="H248" i="60032" l="1"/>
  <c r="I248" i="60032" s="1"/>
  <c r="J248" i="60032"/>
  <c r="G250" i="60034"/>
  <c r="H250" i="60034" s="1"/>
  <c r="F249" i="60032" l="1"/>
  <c r="G249" i="60032"/>
  <c r="K250" i="60034"/>
  <c r="I250" i="60034"/>
  <c r="J250" i="60034" s="1"/>
  <c r="H249" i="60032" l="1"/>
  <c r="I249" i="60032" s="1"/>
  <c r="J249" i="60032"/>
  <c r="G251" i="60034"/>
  <c r="H251" i="60034" s="1"/>
  <c r="F250" i="60032" l="1"/>
  <c r="G250" i="60032" s="1"/>
  <c r="I251" i="60034"/>
  <c r="J251" i="60034" s="1"/>
  <c r="K251" i="60034"/>
  <c r="H250" i="60032" l="1"/>
  <c r="I250" i="60032" s="1"/>
  <c r="J250" i="60032"/>
  <c r="G252" i="60034"/>
  <c r="H252" i="60034" s="1"/>
  <c r="K252" i="60034" s="1"/>
  <c r="F251" i="60032" l="1"/>
  <c r="G251" i="60032" s="1"/>
  <c r="I252" i="60034"/>
  <c r="J252" i="60034" s="1"/>
  <c r="H251" i="60032" l="1"/>
  <c r="I251" i="60032" s="1"/>
  <c r="J251" i="60032"/>
  <c r="G253" i="60034"/>
  <c r="H253" i="60034" s="1"/>
  <c r="I253" i="60034" s="1"/>
  <c r="J253" i="60034" s="1"/>
  <c r="F252" i="60032" l="1"/>
  <c r="G252" i="60032" s="1"/>
  <c r="G254" i="60034"/>
  <c r="H254" i="60034" s="1"/>
  <c r="I254" i="60034" s="1"/>
  <c r="J254" i="60034" s="1"/>
  <c r="K253" i="60034"/>
  <c r="H252" i="60032" l="1"/>
  <c r="I252" i="60032" s="1"/>
  <c r="J252" i="60032"/>
  <c r="K254" i="60034"/>
  <c r="G255" i="60034"/>
  <c r="H255" i="60034" s="1"/>
  <c r="F253" i="60032" l="1"/>
  <c r="G253" i="60032" s="1"/>
  <c r="I255" i="60034"/>
  <c r="J255" i="60034" s="1"/>
  <c r="K255" i="60034"/>
  <c r="J253" i="60032" l="1"/>
  <c r="H253" i="60032"/>
  <c r="I253" i="60032" s="1"/>
  <c r="G256" i="60034"/>
  <c r="H256" i="60034" s="1"/>
  <c r="F254" i="60032" l="1"/>
  <c r="G254" i="60032" s="1"/>
  <c r="H254" i="60032" s="1"/>
  <c r="I254" i="60032" s="1"/>
  <c r="I256" i="60034"/>
  <c r="J256" i="60034" s="1"/>
  <c r="K256" i="60034"/>
  <c r="J254" i="60032" l="1"/>
  <c r="F255" i="60032"/>
  <c r="G255" i="60032" s="1"/>
  <c r="G257" i="60034"/>
  <c r="H257" i="60034" s="1"/>
  <c r="H255" i="60032" l="1"/>
  <c r="I255" i="60032" s="1"/>
  <c r="J255" i="60032"/>
  <c r="I257" i="60034"/>
  <c r="J257" i="60034" s="1"/>
  <c r="K257" i="60034"/>
  <c r="F256" i="60032" l="1"/>
  <c r="G256" i="60032" s="1"/>
  <c r="G258" i="60034"/>
  <c r="H258" i="60034" s="1"/>
  <c r="I258" i="60034" s="1"/>
  <c r="J258" i="60034" s="1"/>
  <c r="H256" i="60032" l="1"/>
  <c r="I256" i="60032" s="1"/>
  <c r="J256" i="60032"/>
  <c r="K258" i="60034"/>
  <c r="G259" i="60034"/>
  <c r="H259" i="60034" s="1"/>
  <c r="F257" i="60032" l="1"/>
  <c r="G257" i="60032" s="1"/>
  <c r="I259" i="60034"/>
  <c r="J259" i="60034" s="1"/>
  <c r="K259" i="60034"/>
  <c r="H257" i="60032" l="1"/>
  <c r="I257" i="60032" s="1"/>
  <c r="J257" i="60032"/>
  <c r="G260" i="60034"/>
  <c r="H260" i="60034" s="1"/>
  <c r="K260" i="60034" s="1"/>
  <c r="F258" i="60032" l="1"/>
  <c r="G258" i="60032" s="1"/>
  <c r="I260" i="60034"/>
  <c r="G261" i="60034" s="1"/>
  <c r="H261" i="60034" s="1"/>
  <c r="H258" i="60032" l="1"/>
  <c r="I258" i="60032" s="1"/>
  <c r="J258" i="60032"/>
  <c r="J260" i="60034"/>
  <c r="K261" i="60034"/>
  <c r="I261" i="60034"/>
  <c r="J261" i="60034" s="1"/>
  <c r="F259" i="60032" l="1"/>
  <c r="G259" i="60032" s="1"/>
  <c r="G262" i="60034"/>
  <c r="H262" i="60034" s="1"/>
  <c r="H259" i="60032" l="1"/>
  <c r="I259" i="60032" s="1"/>
  <c r="J259" i="60032"/>
  <c r="K262" i="60034"/>
  <c r="I262" i="60034"/>
  <c r="J262" i="60034" s="1"/>
  <c r="F260" i="60032" l="1"/>
  <c r="G260" i="60032" s="1"/>
  <c r="G263" i="60034"/>
  <c r="H263" i="60034" s="1"/>
  <c r="H260" i="60032" l="1"/>
  <c r="I260" i="60032" s="1"/>
  <c r="J260" i="60032"/>
  <c r="I263" i="60034"/>
  <c r="J263" i="60034" s="1"/>
  <c r="K263" i="60034"/>
  <c r="F261" i="60032" l="1"/>
  <c r="G261" i="60032" s="1"/>
  <c r="J261" i="60032" s="1"/>
  <c r="G264" i="60034"/>
  <c r="H264" i="60034" s="1"/>
  <c r="H261" i="60032" l="1"/>
  <c r="I261" i="60032" s="1"/>
  <c r="K264" i="60034"/>
  <c r="I264" i="60034"/>
  <c r="J264" i="60034" s="1"/>
  <c r="F262" i="60032" l="1"/>
  <c r="G262" i="60032" s="1"/>
  <c r="H262" i="60032" s="1"/>
  <c r="I262" i="60032" s="1"/>
  <c r="G265" i="60034"/>
  <c r="H265" i="60034" s="1"/>
  <c r="J262" i="60032" l="1"/>
  <c r="F263" i="60032"/>
  <c r="G263" i="60032" s="1"/>
  <c r="K265" i="60034"/>
  <c r="I265" i="60034"/>
  <c r="J265" i="60034" s="1"/>
  <c r="H263" i="60032" l="1"/>
  <c r="I263" i="60032" s="1"/>
  <c r="J263" i="60032"/>
  <c r="G266" i="60034"/>
  <c r="H266" i="60034" s="1"/>
  <c r="F264" i="60032" l="1"/>
  <c r="G264" i="60032" s="1"/>
  <c r="I266" i="60034"/>
  <c r="J266" i="60034" s="1"/>
  <c r="K266" i="60034"/>
  <c r="H264" i="60032" l="1"/>
  <c r="I264" i="60032" s="1"/>
  <c r="J264" i="60032"/>
  <c r="G267" i="60034"/>
  <c r="H267" i="60034" s="1"/>
  <c r="F265" i="60032" l="1"/>
  <c r="G265" i="60032" s="1"/>
  <c r="K267" i="60034"/>
  <c r="I267" i="60034"/>
  <c r="J267" i="60034" s="1"/>
  <c r="H265" i="60032" l="1"/>
  <c r="I265" i="60032" s="1"/>
  <c r="J265" i="60032"/>
  <c r="G268" i="60034"/>
  <c r="H268" i="60034" s="1"/>
  <c r="K268" i="60034" s="1"/>
  <c r="F266" i="60032" l="1"/>
  <c r="G266" i="60032" s="1"/>
  <c r="I268" i="60034"/>
  <c r="J268" i="60034" s="1"/>
  <c r="J266" i="60032" l="1"/>
  <c r="H266" i="60032"/>
  <c r="I266" i="60032" s="1"/>
  <c r="G269" i="60034"/>
  <c r="H269" i="60034" s="1"/>
  <c r="I269" i="60034" s="1"/>
  <c r="J269" i="60034" s="1"/>
  <c r="F267" i="60032" l="1"/>
  <c r="G267" i="60032" s="1"/>
  <c r="J267" i="60032" s="1"/>
  <c r="K269" i="60034"/>
  <c r="G270" i="60034"/>
  <c r="H270" i="60034" s="1"/>
  <c r="H267" i="60032" l="1"/>
  <c r="I267" i="60032" s="1"/>
  <c r="K270" i="60034"/>
  <c r="I270" i="60034"/>
  <c r="J270" i="60034" s="1"/>
  <c r="F268" i="60032" l="1"/>
  <c r="G268" i="60032" s="1"/>
  <c r="H268" i="60032" s="1"/>
  <c r="I268" i="60032" s="1"/>
  <c r="G271" i="60034"/>
  <c r="H271" i="60034" s="1"/>
  <c r="J268" i="60032" l="1"/>
  <c r="F269" i="60032"/>
  <c r="G269" i="60032" s="1"/>
  <c r="J269" i="60032" s="1"/>
  <c r="K271" i="60034"/>
  <c r="I271" i="60034"/>
  <c r="J271" i="60034" s="1"/>
  <c r="H269" i="60032" l="1"/>
  <c r="I269" i="60032" s="1"/>
  <c r="F270" i="60032"/>
  <c r="G270" i="60032" s="1"/>
  <c r="G272" i="60034"/>
  <c r="H272" i="60034" s="1"/>
  <c r="H270" i="60032" l="1"/>
  <c r="I270" i="60032" s="1"/>
  <c r="J270" i="60032"/>
  <c r="K272" i="60034"/>
  <c r="I272" i="60034"/>
  <c r="J272" i="60034" s="1"/>
  <c r="F271" i="60032" l="1"/>
  <c r="G271" i="60032" s="1"/>
  <c r="G273" i="60034"/>
  <c r="H273" i="60034" s="1"/>
  <c r="H271" i="60032" l="1"/>
  <c r="I271" i="60032" s="1"/>
  <c r="J271" i="60032"/>
  <c r="I273" i="60034"/>
  <c r="J273" i="60034" s="1"/>
  <c r="K273" i="60034"/>
  <c r="F272" i="60032" l="1"/>
  <c r="G272" i="60032" s="1"/>
  <c r="G274" i="60034"/>
  <c r="H274" i="60034" s="1"/>
  <c r="K274" i="60034" s="1"/>
  <c r="H272" i="60032" l="1"/>
  <c r="I272" i="60032" s="1"/>
  <c r="J272" i="60032"/>
  <c r="I274" i="60034"/>
  <c r="J274" i="60034" s="1"/>
  <c r="F273" i="60032" l="1"/>
  <c r="G273" i="60032" s="1"/>
  <c r="G275" i="60034"/>
  <c r="H275" i="60034" s="1"/>
  <c r="I275" i="60034" s="1"/>
  <c r="J275" i="60034" s="1"/>
  <c r="J273" i="60032" l="1"/>
  <c r="H273" i="60032"/>
  <c r="I273" i="60032" s="1"/>
  <c r="G276" i="60034"/>
  <c r="H276" i="60034" s="1"/>
  <c r="K276" i="60034" s="1"/>
  <c r="K275" i="60034"/>
  <c r="F274" i="60032" l="1"/>
  <c r="G274" i="60032" s="1"/>
  <c r="I276" i="60034"/>
  <c r="J276" i="60034" s="1"/>
  <c r="J274" i="60032" l="1"/>
  <c r="H274" i="60032"/>
  <c r="I274" i="60032" s="1"/>
  <c r="G277" i="60034"/>
  <c r="H277" i="60034" s="1"/>
  <c r="K277" i="60034" s="1"/>
  <c r="F275" i="60032" l="1"/>
  <c r="G275" i="60032" s="1"/>
  <c r="I277" i="60034"/>
  <c r="J277" i="60034" s="1"/>
  <c r="J275" i="60032" l="1"/>
  <c r="H275" i="60032"/>
  <c r="I275" i="60032" s="1"/>
  <c r="G278" i="60034"/>
  <c r="H278" i="60034" s="1"/>
  <c r="K278" i="60034" s="1"/>
  <c r="F276" i="60032" l="1"/>
  <c r="G276" i="60032" s="1"/>
  <c r="I278" i="60034"/>
  <c r="J278" i="60034" s="1"/>
  <c r="J276" i="60032" l="1"/>
  <c r="H276" i="60032"/>
  <c r="I276" i="60032" s="1"/>
  <c r="G279" i="60034"/>
  <c r="H279" i="60034" s="1"/>
  <c r="K279" i="60034" s="1"/>
  <c r="F277" i="60032" l="1"/>
  <c r="G277" i="60032" s="1"/>
  <c r="I279" i="60034"/>
  <c r="J279" i="60034" s="1"/>
  <c r="H277" i="60032" l="1"/>
  <c r="I277" i="60032" s="1"/>
  <c r="J277" i="60032"/>
  <c r="G280" i="60034"/>
  <c r="H280" i="60034" s="1"/>
  <c r="K280" i="60034" s="1"/>
  <c r="F278" i="60032" l="1"/>
  <c r="G278" i="60032" s="1"/>
  <c r="I280" i="60034"/>
  <c r="J280" i="60034" s="1"/>
  <c r="H278" i="60032" l="1"/>
  <c r="I278" i="60032" s="1"/>
  <c r="J278" i="60032"/>
  <c r="G281" i="60034"/>
  <c r="H281" i="60034" s="1"/>
  <c r="I281" i="60034" s="1"/>
  <c r="J281" i="60034" s="1"/>
  <c r="F279" i="60032" l="1"/>
  <c r="G279" i="60032" s="1"/>
  <c r="K281" i="60034"/>
  <c r="G282" i="60034"/>
  <c r="H282" i="60034" s="1"/>
  <c r="H279" i="60032" l="1"/>
  <c r="I279" i="60032" s="1"/>
  <c r="J279" i="60032"/>
  <c r="I282" i="60034"/>
  <c r="J282" i="60034" s="1"/>
  <c r="K282" i="60034"/>
  <c r="F280" i="60032" l="1"/>
  <c r="G280" i="60032" s="1"/>
  <c r="G283" i="60034"/>
  <c r="H283" i="60034" s="1"/>
  <c r="I283" i="60034" s="1"/>
  <c r="H280" i="60032" l="1"/>
  <c r="I280" i="60032" s="1"/>
  <c r="J280" i="60032"/>
  <c r="K283" i="60034"/>
  <c r="J283" i="60034"/>
  <c r="G284" i="60034"/>
  <c r="H284" i="60034" s="1"/>
  <c r="F281" i="60032" l="1"/>
  <c r="G281" i="60032" s="1"/>
  <c r="K284" i="60034"/>
  <c r="I284" i="60034"/>
  <c r="J284" i="60034" s="1"/>
  <c r="H281" i="60032" l="1"/>
  <c r="I281" i="60032" s="1"/>
  <c r="J281" i="60032"/>
  <c r="G285" i="60034"/>
  <c r="H285" i="60034" s="1"/>
  <c r="K285" i="60034" s="1"/>
  <c r="F282" i="60032" l="1"/>
  <c r="G282" i="60032" s="1"/>
  <c r="I285" i="60034"/>
  <c r="J285" i="60034" s="1"/>
  <c r="J282" i="60032" l="1"/>
  <c r="H282" i="60032"/>
  <c r="I282" i="60032" s="1"/>
  <c r="G286" i="60034"/>
  <c r="H286" i="60034" s="1"/>
  <c r="I286" i="60034" s="1"/>
  <c r="J286" i="60034" s="1"/>
  <c r="F283" i="60032" l="1"/>
  <c r="G283" i="60032" s="1"/>
  <c r="K286" i="60034"/>
  <c r="G287" i="60034"/>
  <c r="H287" i="60034" s="1"/>
  <c r="H283" i="60032" l="1"/>
  <c r="I283" i="60032" s="1"/>
  <c r="J283" i="60032"/>
  <c r="I287" i="60034"/>
  <c r="J287" i="60034" s="1"/>
  <c r="K287" i="60034"/>
  <c r="F284" i="60032" l="1"/>
  <c r="G284" i="60032" s="1"/>
  <c r="G288" i="60034"/>
  <c r="H288" i="60034" s="1"/>
  <c r="H284" i="60032" l="1"/>
  <c r="I284" i="60032" s="1"/>
  <c r="J284" i="60032"/>
  <c r="I288" i="60034"/>
  <c r="J288" i="60034" s="1"/>
  <c r="K288" i="60034"/>
  <c r="F285" i="60032" l="1"/>
  <c r="G285" i="60032" s="1"/>
  <c r="G289" i="60034"/>
  <c r="H289" i="60034" s="1"/>
  <c r="H285" i="60032" l="1"/>
  <c r="I285" i="60032" s="1"/>
  <c r="J285" i="60032"/>
  <c r="K289" i="60034"/>
  <c r="I289" i="60034"/>
  <c r="J289" i="60034" s="1"/>
  <c r="F286" i="60032" l="1"/>
  <c r="G286" i="60032" s="1"/>
  <c r="G290" i="60034"/>
  <c r="H290" i="60034" s="1"/>
  <c r="H286" i="60032" l="1"/>
  <c r="I286" i="60032" s="1"/>
  <c r="J286" i="60032"/>
  <c r="K290" i="60034"/>
  <c r="I290" i="60034"/>
  <c r="J290" i="60034" s="1"/>
  <c r="F287" i="60032" l="1"/>
  <c r="G287" i="60032" s="1"/>
  <c r="G291" i="60034"/>
  <c r="H291" i="60034" s="1"/>
  <c r="K291" i="60034" s="1"/>
  <c r="H287" i="60032" l="1"/>
  <c r="I287" i="60032" s="1"/>
  <c r="J287" i="60032"/>
  <c r="I291" i="60034"/>
  <c r="J291" i="60034" s="1"/>
  <c r="F288" i="60032" l="1"/>
  <c r="G288" i="60032" s="1"/>
  <c r="G292" i="60034"/>
  <c r="H292" i="60034" s="1"/>
  <c r="I292" i="60034" s="1"/>
  <c r="J292" i="60034" s="1"/>
  <c r="H288" i="60032" l="1"/>
  <c r="I288" i="60032" s="1"/>
  <c r="J288" i="60032"/>
  <c r="K292" i="60034"/>
  <c r="G293" i="60034"/>
  <c r="H293" i="60034" s="1"/>
  <c r="K293" i="60034" s="1"/>
  <c r="F289" i="60032" l="1"/>
  <c r="G289" i="60032" s="1"/>
  <c r="J289" i="60032" s="1"/>
  <c r="I293" i="60034"/>
  <c r="J293" i="60034" s="1"/>
  <c r="H289" i="60032" l="1"/>
  <c r="G294" i="60034"/>
  <c r="H294" i="60034" s="1"/>
  <c r="K294" i="60034" s="1"/>
  <c r="I289" i="60032" l="1"/>
  <c r="F290" i="60032"/>
  <c r="G290" i="60032" s="1"/>
  <c r="I294" i="60034"/>
  <c r="J294" i="60034" s="1"/>
  <c r="J290" i="60032" l="1"/>
  <c r="H290" i="60032"/>
  <c r="I290" i="60032" s="1"/>
  <c r="G295" i="60034"/>
  <c r="H295" i="60034" s="1"/>
  <c r="K295" i="60034" s="1"/>
  <c r="F291" i="60032" l="1"/>
  <c r="G291" i="60032" s="1"/>
  <c r="I295" i="60034"/>
  <c r="J295" i="60034" s="1"/>
  <c r="J291" i="60032" l="1"/>
  <c r="H291" i="60032"/>
  <c r="G296" i="60034"/>
  <c r="H296" i="60034" s="1"/>
  <c r="I296" i="60034" s="1"/>
  <c r="J296" i="60034" s="1"/>
  <c r="I291" i="60032" l="1"/>
  <c r="F292" i="60032"/>
  <c r="G292" i="60032" s="1"/>
  <c r="K296" i="60034"/>
  <c r="G297" i="60034"/>
  <c r="H297" i="60034" s="1"/>
  <c r="J292" i="60032" l="1"/>
  <c r="H292" i="60032"/>
  <c r="I292" i="60032" s="1"/>
  <c r="I297" i="60034"/>
  <c r="J297" i="60034" s="1"/>
  <c r="K297" i="60034"/>
  <c r="F293" i="60032" l="1"/>
  <c r="G293" i="60032" s="1"/>
  <c r="G298" i="60034"/>
  <c r="H298" i="60034" s="1"/>
  <c r="H293" i="60032" l="1"/>
  <c r="I293" i="60032" s="1"/>
  <c r="J293" i="60032"/>
  <c r="K298" i="60034"/>
  <c r="I298" i="60034"/>
  <c r="J298" i="60034" s="1"/>
  <c r="F294" i="60032" l="1"/>
  <c r="G294" i="60032" s="1"/>
  <c r="G299" i="60034"/>
  <c r="H299" i="60034" s="1"/>
  <c r="H294" i="60032" l="1"/>
  <c r="I294" i="60032" s="1"/>
  <c r="J294" i="60032"/>
  <c r="K299" i="60034"/>
  <c r="I299" i="60034"/>
  <c r="J299" i="60034" s="1"/>
  <c r="F295" i="60032" l="1"/>
  <c r="G295" i="60032" s="1"/>
  <c r="J295" i="60032" s="1"/>
  <c r="G300" i="60034"/>
  <c r="H300" i="60034" s="1"/>
  <c r="H295" i="60032" l="1"/>
  <c r="I295" i="60032" s="1"/>
  <c r="I300" i="60034"/>
  <c r="J300" i="60034" s="1"/>
  <c r="K300" i="60034"/>
  <c r="F296" i="60032" l="1"/>
  <c r="G296" i="60032" s="1"/>
  <c r="J296" i="60032" s="1"/>
  <c r="G301" i="60034"/>
  <c r="H301" i="60034" s="1"/>
  <c r="H296" i="60032" l="1"/>
  <c r="I296" i="60032" s="1"/>
  <c r="I301" i="60034"/>
  <c r="J301" i="60034" s="1"/>
  <c r="K301" i="60034"/>
  <c r="F297" i="60032" l="1"/>
  <c r="G297" i="60032" s="1"/>
  <c r="J297" i="60032" s="1"/>
  <c r="G302" i="60034"/>
  <c r="H302" i="60034" s="1"/>
  <c r="I302" i="60034" s="1"/>
  <c r="J302" i="60034" s="1"/>
  <c r="H297" i="60032" l="1"/>
  <c r="I297" i="60032" s="1"/>
  <c r="K302" i="60034"/>
  <c r="G303" i="60034"/>
  <c r="H303" i="60034" s="1"/>
  <c r="F298" i="60032" l="1"/>
  <c r="G298" i="60032" s="1"/>
  <c r="H298" i="60032" s="1"/>
  <c r="I298" i="60032" s="1"/>
  <c r="I303" i="60034"/>
  <c r="J303" i="60034" s="1"/>
  <c r="K303" i="60034"/>
  <c r="J298" i="60032" l="1"/>
  <c r="F299" i="60032"/>
  <c r="G299" i="60032" s="1"/>
  <c r="G304" i="60034"/>
  <c r="H304" i="60034" s="1"/>
  <c r="J299" i="60032" l="1"/>
  <c r="H299" i="60032"/>
  <c r="I299" i="60032" s="1"/>
  <c r="I304" i="60034"/>
  <c r="J304" i="60034" s="1"/>
  <c r="K304" i="60034"/>
  <c r="F300" i="60032" l="1"/>
  <c r="G300" i="60032" s="1"/>
  <c r="G305" i="60034"/>
  <c r="H305" i="60034" s="1"/>
  <c r="K305" i="60034" s="1"/>
  <c r="H300" i="60032" l="1"/>
  <c r="I300" i="60032" s="1"/>
  <c r="J300" i="60032"/>
  <c r="I305" i="60034"/>
  <c r="F301" i="60032" l="1"/>
  <c r="G301" i="60032" s="1"/>
  <c r="J305" i="60034"/>
  <c r="G306" i="60034"/>
  <c r="H306" i="60034" s="1"/>
  <c r="J301" i="60032" l="1"/>
  <c r="H301" i="60032"/>
  <c r="I301" i="60032" s="1"/>
  <c r="I306" i="60034"/>
  <c r="J306" i="60034" s="1"/>
  <c r="K306" i="60034"/>
  <c r="F302" i="60032" l="1"/>
  <c r="G302" i="60032" s="1"/>
  <c r="G307" i="60034"/>
  <c r="H307" i="60034" s="1"/>
  <c r="H302" i="60032" l="1"/>
  <c r="I302" i="60032" s="1"/>
  <c r="J302" i="60032"/>
  <c r="K307" i="60034"/>
  <c r="I307" i="60034"/>
  <c r="J307" i="60034" s="1"/>
  <c r="F303" i="60032" l="1"/>
  <c r="G303" i="60032" s="1"/>
  <c r="H303" i="60032" s="1"/>
  <c r="I303" i="60032" s="1"/>
  <c r="G308" i="60034"/>
  <c r="H308" i="60034" s="1"/>
  <c r="K308" i="60034" s="1"/>
  <c r="J303" i="60032" l="1"/>
  <c r="F304" i="60032"/>
  <c r="G304" i="60032" s="1"/>
  <c r="I308" i="60034"/>
  <c r="J308" i="60034" s="1"/>
  <c r="H304" i="60032" l="1"/>
  <c r="I304" i="60032" s="1"/>
  <c r="J304" i="60032"/>
  <c r="G309" i="60034"/>
  <c r="H309" i="60034" s="1"/>
  <c r="K309" i="60034" s="1"/>
  <c r="F305" i="60032" l="1"/>
  <c r="G305" i="60032" s="1"/>
  <c r="I309" i="60034"/>
  <c r="J309" i="60034" s="1"/>
  <c r="J305" i="60032" l="1"/>
  <c r="H305" i="60032"/>
  <c r="I305" i="60032" s="1"/>
  <c r="G310" i="60034"/>
  <c r="H310" i="60034" s="1"/>
  <c r="F306" i="60032" l="1"/>
  <c r="G306" i="60032" s="1"/>
  <c r="I310" i="60034"/>
  <c r="K310" i="60034"/>
  <c r="J306" i="60032" l="1"/>
  <c r="H306" i="60032"/>
  <c r="I306" i="60032" s="1"/>
  <c r="G311" i="60034"/>
  <c r="H311" i="60034" s="1"/>
  <c r="J310" i="60034"/>
  <c r="F307" i="60032" l="1"/>
  <c r="G307" i="60032" s="1"/>
  <c r="K311" i="60034"/>
  <c r="I311" i="60034"/>
  <c r="J307" i="60032" l="1"/>
  <c r="H307" i="60032"/>
  <c r="I307" i="60032" s="1"/>
  <c r="G312" i="60034"/>
  <c r="H312" i="60034" s="1"/>
  <c r="J311" i="60034"/>
  <c r="F308" i="60032" l="1"/>
  <c r="G308" i="60032" s="1"/>
  <c r="K312" i="60034"/>
  <c r="I312" i="60034"/>
  <c r="J308" i="60032" l="1"/>
  <c r="H308" i="60032"/>
  <c r="I308" i="60032" s="1"/>
  <c r="J312" i="60034"/>
  <c r="G313" i="60034"/>
  <c r="H313" i="60034" s="1"/>
  <c r="F309" i="60032" l="1"/>
  <c r="G309" i="60032" s="1"/>
  <c r="I313" i="60034"/>
  <c r="K313" i="60034"/>
  <c r="J309" i="60032" l="1"/>
  <c r="H309" i="60032"/>
  <c r="I309" i="60032" s="1"/>
  <c r="J313" i="60034"/>
  <c r="G314" i="60034"/>
  <c r="H314" i="60034" s="1"/>
  <c r="F310" i="60032" l="1"/>
  <c r="G310" i="60032" s="1"/>
  <c r="K314" i="60034"/>
  <c r="I314" i="60034"/>
  <c r="J310" i="60032" l="1"/>
  <c r="H310" i="60032"/>
  <c r="I310" i="60032" s="1"/>
  <c r="J314" i="60034"/>
  <c r="G315" i="60034"/>
  <c r="H315" i="60034" s="1"/>
  <c r="F311" i="60032" l="1"/>
  <c r="G311" i="60032" s="1"/>
  <c r="I315" i="60034"/>
  <c r="J315" i="60034" s="1"/>
  <c r="K315" i="60034"/>
  <c r="J311" i="60032" l="1"/>
  <c r="H311" i="60032"/>
  <c r="I311" i="60032" s="1"/>
  <c r="G316" i="60034"/>
  <c r="H316" i="60034" s="1"/>
  <c r="F312" i="60032" l="1"/>
  <c r="G312" i="60032" s="1"/>
  <c r="I316" i="60034"/>
  <c r="J316" i="60034" s="1"/>
  <c r="K316" i="60034"/>
  <c r="J312" i="60032" l="1"/>
  <c r="H312" i="60032"/>
  <c r="I312" i="60032" s="1"/>
  <c r="G317" i="60034"/>
  <c r="H317" i="60034" s="1"/>
  <c r="I317" i="60034" s="1"/>
  <c r="J317" i="60034" s="1"/>
  <c r="F313" i="60032" l="1"/>
  <c r="G313" i="60032" s="1"/>
  <c r="J313" i="60032"/>
  <c r="H313" i="60032"/>
  <c r="I313" i="60032" s="1"/>
  <c r="K317" i="60034"/>
  <c r="G318" i="60034"/>
  <c r="H318" i="60034" s="1"/>
  <c r="F314" i="60032" l="1"/>
  <c r="G314" i="60032" s="1"/>
  <c r="K318" i="60034"/>
  <c r="I318" i="60034"/>
  <c r="J318" i="60034" s="1"/>
  <c r="H314" i="60032" l="1"/>
  <c r="I314" i="60032" s="1"/>
  <c r="J314" i="60032"/>
  <c r="G319" i="60034"/>
  <c r="H319" i="60034" s="1"/>
  <c r="F315" i="60032" l="1"/>
  <c r="G315" i="60032" s="1"/>
  <c r="I319" i="60034"/>
  <c r="K319" i="60034"/>
  <c r="J315" i="60032" l="1"/>
  <c r="H315" i="60032"/>
  <c r="I315" i="60032" s="1"/>
  <c r="J319" i="60034"/>
  <c r="G320" i="60034"/>
  <c r="H320" i="60034" s="1"/>
  <c r="F316" i="60032" l="1"/>
  <c r="G316" i="60032" s="1"/>
  <c r="K320" i="60034"/>
  <c r="I320" i="60034"/>
  <c r="J316" i="60032" l="1"/>
  <c r="H316" i="60032"/>
  <c r="I316" i="60032" s="1"/>
  <c r="J320" i="60034"/>
  <c r="G321" i="60034"/>
  <c r="H321" i="60034" s="1"/>
  <c r="F317" i="60032" l="1"/>
  <c r="G317" i="60032" s="1"/>
  <c r="I321" i="60034"/>
  <c r="J321" i="60034" s="1"/>
  <c r="K321" i="60034"/>
  <c r="J317" i="60032" l="1"/>
  <c r="H317" i="60032"/>
  <c r="I317" i="60032" s="1"/>
  <c r="G322" i="60034"/>
  <c r="H322" i="60034" s="1"/>
  <c r="F318" i="60032" l="1"/>
  <c r="G318" i="60032" s="1"/>
  <c r="I322" i="60034"/>
  <c r="J322" i="60034" s="1"/>
  <c r="K322" i="60034"/>
  <c r="J318" i="60032" l="1"/>
  <c r="H318" i="60032"/>
  <c r="I318" i="60032" s="1"/>
  <c r="G323" i="60034"/>
  <c r="H323" i="60034" s="1"/>
  <c r="F319" i="60032" l="1"/>
  <c r="G319" i="60032" s="1"/>
  <c r="K323" i="60034"/>
  <c r="I323" i="60034"/>
  <c r="J323" i="60034" s="1"/>
  <c r="J319" i="60032" l="1"/>
  <c r="H319" i="60032"/>
  <c r="I319" i="60032" s="1"/>
  <c r="G324" i="60034"/>
  <c r="H324" i="60034" s="1"/>
  <c r="F320" i="60032" l="1"/>
  <c r="G320" i="60032" s="1"/>
  <c r="K324" i="60034"/>
  <c r="I324" i="60034"/>
  <c r="J324" i="60034" s="1"/>
  <c r="J320" i="60032" l="1"/>
  <c r="H320" i="60032"/>
  <c r="I320" i="60032" s="1"/>
  <c r="G325" i="60034"/>
  <c r="H325" i="60034" s="1"/>
  <c r="I325" i="60034" s="1"/>
  <c r="J325" i="60034" s="1"/>
  <c r="F321" i="60032" l="1"/>
  <c r="G321" i="60032" s="1"/>
  <c r="K325" i="60034"/>
  <c r="G326" i="60034"/>
  <c r="H326" i="60034" s="1"/>
  <c r="K326" i="60034" s="1"/>
  <c r="J321" i="60032" l="1"/>
  <c r="H321" i="60032"/>
  <c r="I321" i="60032" s="1"/>
  <c r="I326" i="60034"/>
  <c r="G327" i="60034" s="1"/>
  <c r="H327" i="60034" s="1"/>
  <c r="F322" i="60032" l="1"/>
  <c r="G322" i="60032" s="1"/>
  <c r="J326" i="60034"/>
  <c r="K327" i="60034"/>
  <c r="I327" i="60034"/>
  <c r="J327" i="60034" s="1"/>
  <c r="J322" i="60032" l="1"/>
  <c r="H322" i="60032"/>
  <c r="I322" i="60032" s="1"/>
  <c r="G328" i="60034"/>
  <c r="H328" i="60034" s="1"/>
  <c r="F323" i="60032" l="1"/>
  <c r="G323" i="60032" s="1"/>
  <c r="K328" i="60034"/>
  <c r="I328" i="60034"/>
  <c r="J328" i="60034" s="1"/>
  <c r="H323" i="60032" l="1"/>
  <c r="I323" i="60032" s="1"/>
  <c r="J323" i="60032"/>
  <c r="G329" i="60034"/>
  <c r="H329" i="60034" s="1"/>
  <c r="K329" i="60034" s="1"/>
  <c r="F324" i="60032" l="1"/>
  <c r="G324" i="60032" s="1"/>
  <c r="I329" i="60034"/>
  <c r="J329" i="60034" s="1"/>
  <c r="J324" i="60032" l="1"/>
  <c r="H324" i="60032"/>
  <c r="I324" i="60032" s="1"/>
  <c r="G330" i="60034"/>
  <c r="H330" i="60034" s="1"/>
  <c r="K330" i="60034" s="1"/>
  <c r="F325" i="60032" l="1"/>
  <c r="G325" i="60032" s="1"/>
  <c r="I330" i="60034"/>
  <c r="J330" i="60034" s="1"/>
  <c r="J325" i="60032" l="1"/>
  <c r="H325" i="60032"/>
  <c r="I325" i="60032" s="1"/>
  <c r="G331" i="60034"/>
  <c r="H331" i="60034" s="1"/>
  <c r="K331" i="60034" s="1"/>
  <c r="F326" i="60032" l="1"/>
  <c r="G326" i="60032" s="1"/>
  <c r="I331" i="60034"/>
  <c r="J331" i="60034" s="1"/>
  <c r="H326" i="60032" l="1"/>
  <c r="I326" i="60032" s="1"/>
  <c r="J326" i="60032"/>
  <c r="G332" i="60034"/>
  <c r="H332" i="60034" s="1"/>
  <c r="I332" i="60034" s="1"/>
  <c r="J332" i="60034" s="1"/>
  <c r="F327" i="60032" l="1"/>
  <c r="G327" i="60032" s="1"/>
  <c r="J327" i="60032" s="1"/>
  <c r="K332" i="60034"/>
  <c r="G333" i="60034"/>
  <c r="H333" i="60034" s="1"/>
  <c r="I333" i="60034" s="1"/>
  <c r="J333" i="60034" s="1"/>
  <c r="H327" i="60032" l="1"/>
  <c r="I327" i="60032" s="1"/>
  <c r="K333" i="60034"/>
  <c r="G334" i="60034"/>
  <c r="H334" i="60034" s="1"/>
  <c r="F328" i="60032" l="1"/>
  <c r="G328" i="60032" s="1"/>
  <c r="H328" i="60032" s="1"/>
  <c r="I328" i="60032" s="1"/>
  <c r="K334" i="60034"/>
  <c r="I334" i="60034"/>
  <c r="J334" i="60034" s="1"/>
  <c r="J328" i="60032" l="1"/>
  <c r="F329" i="60032"/>
  <c r="G329" i="60032" s="1"/>
  <c r="G335" i="60034"/>
  <c r="H335" i="60034" s="1"/>
  <c r="K335" i="60034" s="1"/>
  <c r="H329" i="60032" l="1"/>
  <c r="I329" i="60032" s="1"/>
  <c r="J329" i="60032"/>
  <c r="I335" i="60034"/>
  <c r="J335" i="60034" s="1"/>
  <c r="F330" i="60032" l="1"/>
  <c r="G330" i="60032" s="1"/>
  <c r="G336" i="60034"/>
  <c r="H336" i="60034" s="1"/>
  <c r="K336" i="60034" s="1"/>
  <c r="H330" i="60032" l="1"/>
  <c r="I330" i="60032" s="1"/>
  <c r="J330" i="60032"/>
  <c r="I336" i="60034"/>
  <c r="J336" i="60034" s="1"/>
  <c r="F331" i="60032" l="1"/>
  <c r="G331" i="60032" s="1"/>
  <c r="J331" i="60032" s="1"/>
  <c r="G337" i="60034"/>
  <c r="H337" i="60034" s="1"/>
  <c r="I337" i="60034" s="1"/>
  <c r="J337" i="60034" s="1"/>
  <c r="H331" i="60032" l="1"/>
  <c r="I331" i="60032" s="1"/>
  <c r="K337" i="60034"/>
  <c r="G338" i="60034"/>
  <c r="H338" i="60034" s="1"/>
  <c r="K338" i="60034" s="1"/>
  <c r="F332" i="60032" l="1"/>
  <c r="G332" i="60032" s="1"/>
  <c r="H332" i="60032" s="1"/>
  <c r="I332" i="60032" s="1"/>
  <c r="I338" i="60034"/>
  <c r="J338" i="60034" s="1"/>
  <c r="J332" i="60032" l="1"/>
  <c r="F333" i="60032"/>
  <c r="G333" i="60032" s="1"/>
  <c r="G339" i="60034"/>
  <c r="H339" i="60034" s="1"/>
  <c r="K339" i="60034" s="1"/>
  <c r="J333" i="60032" l="1"/>
  <c r="H333" i="60032"/>
  <c r="I333" i="60032" s="1"/>
  <c r="I339" i="60034"/>
  <c r="J339" i="60034" s="1"/>
  <c r="F334" i="60032" l="1"/>
  <c r="G334" i="60032" s="1"/>
  <c r="G340" i="60034"/>
  <c r="H340" i="60034" s="1"/>
  <c r="I340" i="60034" s="1"/>
  <c r="J340" i="60034" s="1"/>
  <c r="J334" i="60032" l="1"/>
  <c r="H334" i="60032"/>
  <c r="I334" i="60032" s="1"/>
  <c r="K340" i="60034"/>
  <c r="G341" i="60034"/>
  <c r="H341" i="60034" s="1"/>
  <c r="F335" i="60032" l="1"/>
  <c r="G335" i="60032" s="1"/>
  <c r="H335" i="60032" s="1"/>
  <c r="I335" i="60032" s="1"/>
  <c r="J335" i="60032"/>
  <c r="I341" i="60034"/>
  <c r="J341" i="60034" s="1"/>
  <c r="K341" i="60034"/>
  <c r="F336" i="60032" l="1"/>
  <c r="G336" i="60032" s="1"/>
  <c r="G342" i="60034"/>
  <c r="H342" i="60034" s="1"/>
  <c r="J336" i="60032" l="1"/>
  <c r="H336" i="60032"/>
  <c r="I336" i="60032" s="1"/>
  <c r="K342" i="60034"/>
  <c r="I342" i="60034"/>
  <c r="J342" i="60034" s="1"/>
  <c r="F337" i="60032" l="1"/>
  <c r="G337" i="60032" s="1"/>
  <c r="G343" i="60034"/>
  <c r="H343" i="60034" s="1"/>
  <c r="J337" i="60032" l="1"/>
  <c r="H337" i="60032"/>
  <c r="I337" i="60032" s="1"/>
  <c r="K343" i="60034"/>
  <c r="I343" i="60034"/>
  <c r="J343" i="60034" s="1"/>
  <c r="F338" i="60032" l="1"/>
  <c r="G338" i="60032" s="1"/>
  <c r="G344" i="60034"/>
  <c r="H344" i="60034" s="1"/>
  <c r="J338" i="60032" l="1"/>
  <c r="H338" i="60032"/>
  <c r="I338" i="60032" s="1"/>
  <c r="I344" i="60034"/>
  <c r="J344" i="60034" s="1"/>
  <c r="K344" i="60034"/>
  <c r="F339" i="60032" l="1"/>
  <c r="G339" i="60032" s="1"/>
  <c r="G345" i="60034"/>
  <c r="H345" i="60034" s="1"/>
  <c r="K345" i="60034" s="1"/>
  <c r="H339" i="60032" l="1"/>
  <c r="I339" i="60032" s="1"/>
  <c r="J339" i="60032"/>
  <c r="I345" i="60034"/>
  <c r="F340" i="60032" l="1"/>
  <c r="G340" i="60032" s="1"/>
  <c r="J345" i="60034"/>
  <c r="G346" i="60034"/>
  <c r="H346" i="60034" s="1"/>
  <c r="H340" i="60032" l="1"/>
  <c r="I340" i="60032" s="1"/>
  <c r="J340" i="60032"/>
  <c r="K346" i="60034"/>
  <c r="I346" i="60034"/>
  <c r="F341" i="60032" l="1"/>
  <c r="G341" i="60032" s="1"/>
  <c r="J346" i="60034"/>
  <c r="G347" i="60034"/>
  <c r="H347" i="60034" s="1"/>
  <c r="J341" i="60032" l="1"/>
  <c r="H341" i="60032"/>
  <c r="I341" i="60032" s="1"/>
  <c r="K347" i="60034"/>
  <c r="I347" i="60034"/>
  <c r="F342" i="60032" l="1"/>
  <c r="G342" i="60032" s="1"/>
  <c r="H342" i="60032" s="1"/>
  <c r="I342" i="60032" s="1"/>
  <c r="J347" i="60034"/>
  <c r="G348" i="60034"/>
  <c r="H348" i="60034" s="1"/>
  <c r="J342" i="60032" l="1"/>
  <c r="F343" i="60032"/>
  <c r="G343" i="60032" s="1"/>
  <c r="H343" i="60032" s="1"/>
  <c r="I343" i="60032" s="1"/>
  <c r="I348" i="60034"/>
  <c r="J348" i="60034" s="1"/>
  <c r="K348" i="60034"/>
  <c r="J343" i="60032" l="1"/>
  <c r="F344" i="60032"/>
  <c r="G344" i="60032" s="1"/>
  <c r="G349" i="60034"/>
  <c r="H349" i="60034" s="1"/>
  <c r="H344" i="60032" l="1"/>
  <c r="I344" i="60032" s="1"/>
  <c r="J344" i="60032"/>
  <c r="K349" i="60034"/>
  <c r="I349" i="60034"/>
  <c r="J349" i="60034" s="1"/>
  <c r="F345" i="60032" l="1"/>
  <c r="G345" i="60032" s="1"/>
  <c r="J345" i="60032" s="1"/>
  <c r="G350" i="60034"/>
  <c r="H350" i="60034" s="1"/>
  <c r="H345" i="60032" l="1"/>
  <c r="I345" i="60032" s="1"/>
  <c r="K350" i="60034"/>
  <c r="I350" i="60034"/>
  <c r="J350" i="60034" s="1"/>
  <c r="F346" i="60032" l="1"/>
  <c r="G346" i="60032" s="1"/>
  <c r="J346" i="60032"/>
  <c r="H346" i="60032"/>
  <c r="I346" i="60032" s="1"/>
  <c r="G351" i="60034"/>
  <c r="H351" i="60034" s="1"/>
  <c r="K351" i="60034" s="1"/>
  <c r="F347" i="60032" l="1"/>
  <c r="G347" i="60032" s="1"/>
  <c r="J347" i="60032" s="1"/>
  <c r="I351" i="60034"/>
  <c r="J351" i="60034" s="1"/>
  <c r="H347" i="60032" l="1"/>
  <c r="I347" i="60032" s="1"/>
  <c r="G352" i="60034"/>
  <c r="H352" i="60034" s="1"/>
  <c r="F348" i="60032" l="1"/>
  <c r="G348" i="60032" s="1"/>
  <c r="H348" i="60032" s="1"/>
  <c r="I348" i="60032" s="1"/>
  <c r="I352" i="60034"/>
  <c r="J352" i="60034" s="1"/>
  <c r="K352" i="60034"/>
  <c r="J348" i="60032" l="1"/>
  <c r="F349" i="60032"/>
  <c r="G349" i="60032" s="1"/>
  <c r="G353" i="60034"/>
  <c r="H353" i="60034" s="1"/>
  <c r="J349" i="60032" l="1"/>
  <c r="H349" i="60032"/>
  <c r="I349" i="60032" s="1"/>
  <c r="K353" i="60034"/>
  <c r="I353" i="60034"/>
  <c r="J353" i="60034" s="1"/>
  <c r="F350" i="60032" l="1"/>
  <c r="G350" i="60032" s="1"/>
  <c r="G354" i="60034"/>
  <c r="H354" i="60034" s="1"/>
  <c r="K354" i="60034" s="1"/>
  <c r="J350" i="60032" l="1"/>
  <c r="H350" i="60032"/>
  <c r="I350" i="60032" s="1"/>
  <c r="I354" i="60034"/>
  <c r="J354" i="60034" s="1"/>
  <c r="F351" i="60032" l="1"/>
  <c r="G351" i="60032" s="1"/>
  <c r="G355" i="60034"/>
  <c r="H355" i="60034" s="1"/>
  <c r="K355" i="60034" s="1"/>
  <c r="J351" i="60032" l="1"/>
  <c r="H351" i="60032"/>
  <c r="I351" i="60032" s="1"/>
  <c r="I355" i="60034"/>
  <c r="J355" i="60034" s="1"/>
  <c r="F352" i="60032" l="1"/>
  <c r="G352" i="60032" s="1"/>
  <c r="G356" i="60034"/>
  <c r="H356" i="60034" s="1"/>
  <c r="J352" i="60032" l="1"/>
  <c r="H352" i="60032"/>
  <c r="I352" i="60032" s="1"/>
  <c r="I356" i="60034"/>
  <c r="J356" i="60034" s="1"/>
  <c r="K356" i="60034"/>
  <c r="F353" i="60032" l="1"/>
  <c r="G353" i="60032" s="1"/>
  <c r="G357" i="60034"/>
  <c r="H357" i="60034" s="1"/>
  <c r="H353" i="60032" l="1"/>
  <c r="I353" i="60032" s="1"/>
  <c r="J353" i="60032"/>
  <c r="I357" i="60034"/>
  <c r="J357" i="60034" s="1"/>
  <c r="K357" i="60034"/>
  <c r="F354" i="60032" l="1"/>
  <c r="G354" i="60032" s="1"/>
  <c r="G358" i="60034"/>
  <c r="H358" i="60034" s="1"/>
  <c r="J354" i="60032" l="1"/>
  <c r="H354" i="60032"/>
  <c r="I354" i="60032" s="1"/>
  <c r="I358" i="60034"/>
  <c r="J358" i="60034" s="1"/>
  <c r="K358" i="60034"/>
  <c r="F355" i="60032" l="1"/>
  <c r="G355" i="60032" s="1"/>
  <c r="H355" i="60032" s="1"/>
  <c r="I355" i="60032" s="1"/>
  <c r="G359" i="60034"/>
  <c r="H359" i="60034" s="1"/>
  <c r="J355" i="60032" l="1"/>
  <c r="F356" i="60032"/>
  <c r="G356" i="60032" s="1"/>
  <c r="I359" i="60034"/>
  <c r="J359" i="60034" s="1"/>
  <c r="K359" i="60034"/>
  <c r="J356" i="60032" l="1"/>
  <c r="H356" i="60032"/>
  <c r="I356" i="60032" s="1"/>
  <c r="G360" i="60034"/>
  <c r="H360" i="60034" s="1"/>
  <c r="F357" i="60032" l="1"/>
  <c r="G357" i="60032" s="1"/>
  <c r="K360" i="60034"/>
  <c r="I360" i="60034"/>
  <c r="J360" i="60034" s="1"/>
  <c r="J357" i="60032" l="1"/>
  <c r="H357" i="60032"/>
  <c r="I357" i="60032" s="1"/>
  <c r="G361" i="60034"/>
  <c r="H361" i="60034" s="1"/>
  <c r="I361" i="60034" s="1"/>
  <c r="J361" i="60034" s="1"/>
  <c r="F358" i="60032" l="1"/>
  <c r="G358" i="60032" s="1"/>
  <c r="G362" i="60034"/>
  <c r="H362" i="60034" s="1"/>
  <c r="I362" i="60034" s="1"/>
  <c r="J362" i="60034" s="1"/>
  <c r="K361" i="60034"/>
  <c r="H358" i="60032" l="1"/>
  <c r="I358" i="60032" s="1"/>
  <c r="J358" i="60032"/>
  <c r="G363" i="60034"/>
  <c r="H363" i="60034" s="1"/>
  <c r="K363" i="60034" s="1"/>
  <c r="K362" i="60034"/>
  <c r="F359" i="60032" l="1"/>
  <c r="G359" i="60032" s="1"/>
  <c r="I363" i="60034"/>
  <c r="J363" i="60034" s="1"/>
  <c r="J359" i="60032" l="1"/>
  <c r="H359" i="60032"/>
  <c r="I359" i="60032" s="1"/>
  <c r="G364" i="60034"/>
  <c r="H364" i="60034" s="1"/>
  <c r="F360" i="60032" l="1"/>
  <c r="G360" i="60032" s="1"/>
  <c r="K364" i="60034"/>
  <c r="I364" i="60034"/>
  <c r="J364" i="60034" s="1"/>
  <c r="H360" i="60032" l="1"/>
  <c r="I360" i="60032" s="1"/>
  <c r="J360" i="60032"/>
  <c r="G365" i="60034"/>
  <c r="H365" i="60034" s="1"/>
  <c r="F361" i="60032" l="1"/>
  <c r="G361" i="60032" s="1"/>
  <c r="K365" i="60034"/>
  <c r="I365" i="60034"/>
  <c r="J365" i="60034" s="1"/>
  <c r="L16" i="60032"/>
  <c r="L17" i="60032" s="1"/>
  <c r="L18" i="60032" s="1"/>
  <c r="M17" i="60032"/>
  <c r="J361" i="60032" l="1"/>
  <c r="H361" i="60032"/>
  <c r="I361" i="60032" s="1"/>
  <c r="G366" i="60034"/>
  <c r="H366" i="60034" s="1"/>
  <c r="F362" i="60032" l="1"/>
  <c r="G362" i="60032" s="1"/>
  <c r="I366" i="60034"/>
  <c r="J366" i="60034" s="1"/>
  <c r="K366" i="60034"/>
  <c r="J362" i="60032" l="1"/>
  <c r="H362" i="60032"/>
  <c r="I362" i="60032" s="1"/>
  <c r="G367" i="60034"/>
  <c r="H367" i="60034" s="1"/>
  <c r="K367" i="60034" s="1"/>
  <c r="F363" i="60032" l="1"/>
  <c r="G363" i="60032" s="1"/>
  <c r="I367" i="60034"/>
  <c r="J367" i="60034" s="1"/>
  <c r="J363" i="60032" l="1"/>
  <c r="H363" i="60032"/>
  <c r="I363" i="60032" s="1"/>
  <c r="G368" i="60034"/>
  <c r="H368" i="60034" s="1"/>
  <c r="K368" i="60034" s="1"/>
  <c r="F364" i="60032" l="1"/>
  <c r="G364" i="60032" s="1"/>
  <c r="I368" i="60034"/>
  <c r="J368" i="60034" s="1"/>
  <c r="J364" i="60032" l="1"/>
  <c r="H364" i="60032"/>
  <c r="I364" i="60032" s="1"/>
  <c r="G369" i="60034"/>
  <c r="H369" i="60034" s="1"/>
  <c r="K369" i="60034" s="1"/>
  <c r="K1" i="60034" s="1"/>
  <c r="C13" i="60034" s="1"/>
  <c r="F365" i="60032" l="1"/>
  <c r="G365" i="60032" s="1"/>
  <c r="I369" i="60034"/>
  <c r="J369" i="60034" s="1"/>
  <c r="J1" i="60034" s="1"/>
  <c r="C12" i="60034" s="1"/>
  <c r="C14" i="60034" s="1"/>
  <c r="P2" i="60034" s="1"/>
  <c r="J365" i="60032" l="1"/>
  <c r="H365" i="60032"/>
  <c r="I365" i="60032" s="1"/>
  <c r="N2" i="60034"/>
  <c r="F366" i="60032" l="1"/>
  <c r="G366" i="60032" s="1"/>
  <c r="J366" i="60032" l="1"/>
  <c r="H366" i="60032"/>
  <c r="I366" i="60032" s="1"/>
  <c r="F367" i="60032" l="1"/>
  <c r="G367" i="60032" s="1"/>
  <c r="H367" i="60032" s="1"/>
  <c r="I367" i="60032" s="1"/>
  <c r="J367" i="60032" l="1"/>
  <c r="F368" i="60032"/>
  <c r="G368" i="60032" s="1"/>
  <c r="J368" i="60032" l="1"/>
  <c r="H368" i="60032"/>
  <c r="I368" i="60032" s="1"/>
  <c r="F369" i="60032" l="1"/>
  <c r="G369" i="60032" s="1"/>
  <c r="H369" i="60032" s="1"/>
  <c r="I369" i="60032" s="1"/>
  <c r="I1" i="60032" s="1"/>
  <c r="C11" i="60032" s="1"/>
  <c r="J369" i="60032" l="1"/>
  <c r="J1" i="60032" s="1"/>
  <c r="C12" i="60032" s="1"/>
  <c r="C13" i="60032" s="1"/>
  <c r="M2" i="60032" s="1"/>
</calcChain>
</file>

<file path=xl/sharedStrings.xml><?xml version="1.0" encoding="utf-8"?>
<sst xmlns="http://schemas.openxmlformats.org/spreadsheetml/2006/main" count="80" uniqueCount="50">
  <si>
    <t>年总成本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</si>
  <si>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</si>
  <si>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</si>
  <si>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</si>
  <si>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t>订货量</t>
    <phoneticPr fontId="1" type="noConversion"/>
  </si>
  <si>
    <t>年总成本</t>
    <phoneticPr fontId="1" type="noConversion"/>
  </si>
  <si>
    <t>年汇总:</t>
    <phoneticPr fontId="1" type="noConversion"/>
  </si>
  <si>
    <t>天</t>
    <phoneticPr fontId="1" type="noConversion"/>
  </si>
  <si>
    <t>单位存储成本/年</t>
    <phoneticPr fontId="1" type="noConversion"/>
  </si>
  <si>
    <t>最低年总成本</t>
    <phoneticPr fontId="1" type="noConversion"/>
  </si>
  <si>
    <t>初始库存量</t>
    <phoneticPr fontId="1" type="noConversion"/>
  </si>
  <si>
    <t>日需求量</t>
    <phoneticPr fontId="1" type="noConversion"/>
  </si>
  <si>
    <t>单位存储成本/天</t>
    <phoneticPr fontId="1" type="noConversion"/>
  </si>
  <si>
    <t>订货量</t>
    <phoneticPr fontId="1" type="noConversion"/>
  </si>
  <si>
    <t>年储存成本</t>
    <phoneticPr fontId="1" type="noConversion"/>
  </si>
  <si>
    <t>年总成本</t>
    <phoneticPr fontId="1" type="noConversion"/>
  </si>
  <si>
    <t>最优订货量</t>
    <phoneticPr fontId="1" type="noConversion"/>
  </si>
  <si>
    <t>最优订货量参考线</t>
    <phoneticPr fontId="1" type="noConversion"/>
  </si>
  <si>
    <t>日需求量最小值</t>
    <phoneticPr fontId="1" type="noConversion"/>
  </si>
  <si>
    <t>日需求量最大值</t>
    <phoneticPr fontId="1" type="noConversion"/>
  </si>
  <si>
    <t>一次随机模拟</t>
    <phoneticPr fontId="1" type="noConversion"/>
  </si>
  <si>
    <t>100次随机模拟</t>
    <phoneticPr fontId="1" type="noConversion"/>
  </si>
  <si>
    <t>一次随机模拟参考线</t>
    <phoneticPr fontId="1" type="noConversion"/>
  </si>
  <si>
    <t>100次随机模拟参考线</t>
    <phoneticPr fontId="1" type="noConversion"/>
  </si>
  <si>
    <t>平均值</t>
    <phoneticPr fontId="1" type="noConversion"/>
  </si>
  <si>
    <t>年需求量(D)</t>
    <phoneticPr fontId="1" type="noConversion"/>
  </si>
  <si>
    <t>单次订货成本(k)</t>
    <phoneticPr fontId="1" type="noConversion"/>
  </si>
  <si>
    <t>单位年储存成本(h)</t>
    <phoneticPr fontId="1" type="noConversion"/>
  </si>
  <si>
    <t>订货量(Q)</t>
    <phoneticPr fontId="1" type="noConversion"/>
  </si>
  <si>
    <t>经济订货量(EOQ)</t>
    <phoneticPr fontId="1" type="noConversion"/>
  </si>
  <si>
    <t>EOQ下的年订货成本</t>
    <phoneticPr fontId="1" type="noConversion"/>
  </si>
  <si>
    <t>EOQ下的年储存成本</t>
    <phoneticPr fontId="1" type="noConversion"/>
  </si>
  <si>
    <t>EOQ下的年总成本</t>
    <phoneticPr fontId="1" type="noConversion"/>
  </si>
  <si>
    <t>EOQ参考线</t>
    <phoneticPr fontId="1" type="noConversion"/>
  </si>
  <si>
    <t>年需求量</t>
    <phoneticPr fontId="1" type="noConversion"/>
  </si>
  <si>
    <t>一次订货成本</t>
    <phoneticPr fontId="1" type="noConversion"/>
  </si>
  <si>
    <t>年需求量</t>
    <phoneticPr fontId="1" type="noConversion"/>
  </si>
  <si>
    <t>100次试验</t>
    <phoneticPr fontId="1" type="noConversion"/>
  </si>
  <si>
    <t>固定需求模拟</t>
    <phoneticPr fontId="1" type="noConversion"/>
  </si>
  <si>
    <t>随机需求模拟</t>
    <phoneticPr fontId="1" type="noConversion"/>
  </si>
  <si>
    <t>库存</t>
    <phoneticPr fontId="1" type="noConversion"/>
  </si>
  <si>
    <t>起始</t>
  </si>
  <si>
    <t>结束</t>
  </si>
  <si>
    <t>订货</t>
  </si>
  <si>
    <t>储存</t>
  </si>
  <si>
    <t>库存</t>
    <phoneticPr fontId="1" type="noConversion"/>
  </si>
  <si>
    <t>标志</t>
    <phoneticPr fontId="1" type="noConversion"/>
  </si>
  <si>
    <t>成本</t>
    <phoneticPr fontId="1" type="noConversion"/>
  </si>
  <si>
    <t>日需</t>
    <phoneticPr fontId="1" type="noConversion"/>
  </si>
  <si>
    <t>求量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</si>
</sst>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"/>
    <numFmt numFmtId="177" formatCode="&quot;$&quot;#,##0.0"/>
    <numFmt numFmtId="178" formatCode="0.0"/>
    <numFmt numFmtId="179" formatCode="0_);[Red]\(0\)"/>
    <numFmt numFmtId="180" formatCode="0.00_ "/>
    <numFmt numFmtId="181" formatCode="0.000"/>
  </numFmts>
  <fonts count="11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0" fontId="6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vertical="center"/>
    </xf>
    <xf numFmtId="0" fontId="5" fillId="0" borderId="5" xfId="0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Border="1"/>
    <xf numFmtId="180" fontId="5" fillId="0" borderId="1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Border="1"/>
    <xf numFmtId="0" fontId="9" fillId="2" borderId="0" xfId="0" applyFont="1" applyFill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vertical="center"/>
    </xf>
    <xf numFmtId="179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8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79" fontId="5" fillId="5" borderId="1" xfId="0" applyNumberFormat="1" applyFont="1" applyFill="1" applyBorder="1" applyAlignment="1">
      <alignment vertical="center"/>
    </xf>
    <xf numFmtId="179" fontId="5" fillId="5" borderId="1" xfId="0" applyNumberFormat="1" applyFont="1" applyFill="1" applyBorder="1" applyAlignment="1">
      <alignment horizontal="center" vertical="center"/>
    </xf>
    <xf numFmtId="179" fontId="5" fillId="6" borderId="1" xfId="0" applyNumberFormat="1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79" fontId="5" fillId="6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9" fontId="2" fillId="0" borderId="0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sz="1400" b="1"/>
              <a:t>年总成本随订货量变化图</a:t>
            </a:r>
          </a:p>
        </c:rich>
      </c:tx>
      <c:layout>
        <c:manualLayout>
          <c:xMode val="edge"/>
          <c:yMode val="edge"/>
          <c:x val="0.32899230493915527"/>
          <c:y val="2.22495662618443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050107372942E-2"/>
          <c:y val="0.11350433738155612"/>
          <c:w val="0.83879366499642105"/>
          <c:h val="0.80209635659949285"/>
        </c:manualLayout>
      </c:layout>
      <c:scatterChart>
        <c:scatterStyle val="lineMarker"/>
        <c:varyColors val="0"/>
        <c:ser>
          <c:idx val="5"/>
          <c:order val="0"/>
          <c:tx>
            <c:v>EOQ模型</c:v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EOQ模型!$E$3:$E$13</c:f>
              <c:numCache>
                <c:formatCode>0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EOQ模型!$F$3:$F$13</c:f>
              <c:numCache>
                <c:formatCode>0</c:formatCode>
                <c:ptCount val="11"/>
                <c:pt idx="0">
                  <c:v>15000</c:v>
                </c:pt>
                <c:pt idx="1">
                  <c:v>13785.714285714286</c:v>
                </c:pt>
                <c:pt idx="2">
                  <c:v>13000</c:v>
                </c:pt>
                <c:pt idx="3">
                  <c:v>12500</c:v>
                </c:pt>
                <c:pt idx="4">
                  <c:v>12200</c:v>
                </c:pt>
                <c:pt idx="5">
                  <c:v>12045.454545454544</c:v>
                </c:pt>
                <c:pt idx="6">
                  <c:v>12000</c:v>
                </c:pt>
                <c:pt idx="7">
                  <c:v>12038.461538461539</c:v>
                </c:pt>
                <c:pt idx="8">
                  <c:v>12142.857142857143</c:v>
                </c:pt>
                <c:pt idx="9">
                  <c:v>12300</c:v>
                </c:pt>
                <c:pt idx="10">
                  <c:v>12500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44-41AF-BA1C-10CF36B4EC2B}"/>
            </c:ext>
          </c:extLst>
        </c:ser>
        <c:ser>
          <c:idx val="0"/>
          <c:order val="1"/>
          <c:tx>
            <c:v>EOQ参考线</c:v>
          </c:tx>
          <c:spPr>
            <a:ln w="19050">
              <a:solidFill>
                <a:srgbClr val="000000"/>
              </a:solidFill>
              <a:prstDash val="dash"/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8D9-4B77-9DD9-F3A4DC0C5FC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B8D9-4B77-9DD9-F3A4DC0C5FCD}"/>
              </c:ext>
            </c:extLst>
          </c:dPt>
          <c:xVal>
            <c:numRef>
              <c:f>EOQ模型!$B$17:$B$19</c:f>
              <c:numCache>
                <c:formatCode>0_);[Red]\(0\)</c:formatCode>
                <c:ptCount val="3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</c:numCache>
            </c:numRef>
          </c:xVal>
          <c:yVal>
            <c:numRef>
              <c:f>EOQ模型!$C$17:$C$19</c:f>
              <c:numCache>
                <c:formatCode>0_);[Red]\(0\)</c:formatCode>
                <c:ptCount val="3"/>
                <c:pt idx="0">
                  <c:v>10000</c:v>
                </c:pt>
                <c:pt idx="1">
                  <c:v>12000</c:v>
                </c:pt>
                <c:pt idx="2">
                  <c:v>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D9-4B77-9DD9-F3A4DC0C5FCD}"/>
            </c:ext>
          </c:extLst>
        </c:ser>
        <c:ser>
          <c:idx val="1"/>
          <c:order val="2"/>
          <c:tx>
            <c:v>固定需求模拟模型</c:v>
          </c:tx>
          <c:spPr>
            <a:ln w="31750"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固定需求模拟模型!$L$3:$L$13</c:f>
              <c:numCache>
                <c:formatCode>0_);[Red]\(0\)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固定需求模拟模型!$M$3:$M$13</c:f>
              <c:numCache>
                <c:formatCode>0_);[Red]\(0\)</c:formatCode>
                <c:ptCount val="11"/>
                <c:pt idx="0">
                  <c:v>15172.465753424658</c:v>
                </c:pt>
                <c:pt idx="1">
                  <c:v>13895.753424657536</c:v>
                </c:pt>
                <c:pt idx="2">
                  <c:v>13191.64383561644</c:v>
                </c:pt>
                <c:pt idx="3">
                  <c:v>12651.917808219177</c:v>
                </c:pt>
                <c:pt idx="4">
                  <c:v>12366.98630136986</c:v>
                </c:pt>
                <c:pt idx="5">
                  <c:v>12038.219178082192</c:v>
                </c:pt>
                <c:pt idx="6">
                  <c:v>12197.123287671233</c:v>
                </c:pt>
                <c:pt idx="7">
                  <c:v>12093.013698630139</c:v>
                </c:pt>
                <c:pt idx="8">
                  <c:v>12243.698630136985</c:v>
                </c:pt>
                <c:pt idx="9">
                  <c:v>12501.232876712329</c:v>
                </c:pt>
                <c:pt idx="10">
                  <c:v>12668.356164383556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D9-4B77-9DD9-F3A4DC0C5FCD}"/>
            </c:ext>
          </c:extLst>
        </c:ser>
        <c:ser>
          <c:idx val="2"/>
          <c:order val="3"/>
          <c:tx>
            <c:v>固定需求参考线</c:v>
          </c:tx>
          <c:spPr>
            <a:ln w="31750">
              <a:solidFill>
                <a:schemeClr val="bg1">
                  <a:lumMod val="85000"/>
                </a:schemeClr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B8D9-4B77-9DD9-F3A4DC0C5FC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B8D9-4B77-9DD9-F3A4DC0C5FCD}"/>
              </c:ext>
            </c:extLst>
          </c:dPt>
          <c:xVal>
            <c:numRef>
              <c:f>固定需求模拟模型!$L$16:$L$18</c:f>
              <c:numCache>
                <c:formatCode>0_);[Red]\(0\)</c:formatCode>
                <c:ptCount val="3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</c:numCache>
            </c:numRef>
          </c:xVal>
          <c:yVal>
            <c:numRef>
              <c:f>固定需求模拟模型!$M$16:$M$18</c:f>
              <c:numCache>
                <c:formatCode>0_);[Red]\(0\)</c:formatCode>
                <c:ptCount val="3"/>
                <c:pt idx="0">
                  <c:v>11000</c:v>
                </c:pt>
                <c:pt idx="1">
                  <c:v>12038.219178082192</c:v>
                </c:pt>
                <c:pt idx="2">
                  <c:v>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D9-4B77-9DD9-F3A4DC0C5FCD}"/>
            </c:ext>
          </c:extLst>
        </c:ser>
        <c:ser>
          <c:idx val="3"/>
          <c:order val="4"/>
          <c:tx>
            <c:v>一次随机需求模拟模型</c:v>
          </c:tx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随机需求模拟模型!$M$3:$M$13</c:f>
              <c:numCache>
                <c:formatCode>0_);[Red]\(0\)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随机需求模拟模型!$N$3:$N$13</c:f>
              <c:numCache>
                <c:formatCode>0_);[Red]\(0\)</c:formatCode>
                <c:ptCount val="11"/>
                <c:pt idx="0">
                  <c:v>15651.178082191782</c:v>
                </c:pt>
                <c:pt idx="1">
                  <c:v>14373.424657534248</c:v>
                </c:pt>
                <c:pt idx="2">
                  <c:v>13620.082191780824</c:v>
                </c:pt>
                <c:pt idx="3">
                  <c:v>12843.863013698632</c:v>
                </c:pt>
                <c:pt idx="4">
                  <c:v>12669.260273972603</c:v>
                </c:pt>
                <c:pt idx="5">
                  <c:v>12460.191780821919</c:v>
                </c:pt>
                <c:pt idx="6">
                  <c:v>12512.136986301373</c:v>
                </c:pt>
                <c:pt idx="7">
                  <c:v>12347.260273972603</c:v>
                </c:pt>
                <c:pt idx="8">
                  <c:v>12482.986301369867</c:v>
                </c:pt>
                <c:pt idx="9">
                  <c:v>12774.712328767131</c:v>
                </c:pt>
                <c:pt idx="10">
                  <c:v>13065.205479452057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D9-4B77-9DD9-F3A4DC0C5FCD}"/>
            </c:ext>
          </c:extLst>
        </c:ser>
        <c:ser>
          <c:idx val="4"/>
          <c:order val="5"/>
          <c:tx>
            <c:v>一次随机模拟参考线</c:v>
          </c:tx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  <a:ln w="635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B8D9-4B77-9DD9-F3A4DC0C5FC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B8D9-4B77-9DD9-F3A4DC0C5FCD}"/>
              </c:ext>
            </c:extLst>
          </c:dPt>
          <c:xVal>
            <c:numRef>
              <c:f>随机需求模拟模型!$M$16:$M$18</c:f>
              <c:numCache>
                <c:formatCode>0_);[Red]\(0\)</c:formatCode>
                <c:ptCount val="3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</c:numCache>
            </c:numRef>
          </c:xVal>
          <c:yVal>
            <c:numRef>
              <c:f>随机需求模拟模型!$N$16:$N$18</c:f>
              <c:numCache>
                <c:formatCode>0_);[Red]\(0\)</c:formatCode>
                <c:ptCount val="3"/>
                <c:pt idx="0">
                  <c:v>11000</c:v>
                </c:pt>
                <c:pt idx="1">
                  <c:v>12347.260273972603</c:v>
                </c:pt>
                <c:pt idx="2">
                  <c:v>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D9-4B77-9DD9-F3A4DC0C5FCD}"/>
            </c:ext>
          </c:extLst>
        </c:ser>
        <c:ser>
          <c:idx val="6"/>
          <c:order val="6"/>
          <c:tx>
            <c:v>100次随机需求模拟模型</c:v>
          </c:tx>
          <c:spPr>
            <a:ln w="41275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随机需求模拟模型!$P$3:$P$13</c:f>
              <c:numCache>
                <c:formatCode>0_);[Red]\(0\)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随机需求模拟模型!$DM$3:$DM$13</c:f>
              <c:numCache>
                <c:formatCode>0_);[Red]\(0\)</c:formatCode>
                <c:ptCount val="11"/>
                <c:pt idx="0">
                  <c:v>15500.675068493152</c:v>
                </c:pt>
                <c:pt idx="1">
                  <c:v>14278.476712328767</c:v>
                </c:pt>
                <c:pt idx="2">
                  <c:v>13445.87397260274</c:v>
                </c:pt>
                <c:pt idx="3">
                  <c:v>12933.643013698636</c:v>
                </c:pt>
                <c:pt idx="4">
                  <c:v>12631.810684931505</c:v>
                </c:pt>
                <c:pt idx="5">
                  <c:v>12490.359999999995</c:v>
                </c:pt>
                <c:pt idx="6">
                  <c:v>12419.183287671225</c:v>
                </c:pt>
                <c:pt idx="7">
                  <c:v>12491.705753424656</c:v>
                </c:pt>
                <c:pt idx="8">
                  <c:v>12563.753424657534</c:v>
                </c:pt>
                <c:pt idx="9">
                  <c:v>12741.100547945209</c:v>
                </c:pt>
                <c:pt idx="10">
                  <c:v>12877.103835616437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8D9-4B77-9DD9-F3A4DC0C5FCD}"/>
            </c:ext>
          </c:extLst>
        </c:ser>
        <c:ser>
          <c:idx val="7"/>
          <c:order val="7"/>
          <c:tx>
            <c:v>100次随机模拟参考线</c:v>
          </c:tx>
          <c:spPr>
            <a:ln w="38100">
              <a:solidFill>
                <a:schemeClr val="accent1">
                  <a:lumMod val="75000"/>
                </a:schemeClr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B8D9-4B77-9DD9-F3A4DC0C5FC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B8D9-4B77-9DD9-F3A4DC0C5FCD}"/>
              </c:ext>
            </c:extLst>
          </c:dPt>
          <c:xVal>
            <c:numRef>
              <c:f>随机需求模拟模型!$M$21:$M$23</c:f>
              <c:numCache>
                <c:formatCode>0_);[Red]\(0\)</c:formatCode>
                <c:ptCount val="3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</c:numCache>
            </c:numRef>
          </c:xVal>
          <c:yVal>
            <c:numRef>
              <c:f>随机需求模拟模型!$N$21:$N$23</c:f>
              <c:numCache>
                <c:formatCode>0_);[Red]\(0\)</c:formatCode>
                <c:ptCount val="3"/>
                <c:pt idx="0">
                  <c:v>11000</c:v>
                </c:pt>
                <c:pt idx="1">
                  <c:v>12419.183287671225</c:v>
                </c:pt>
                <c:pt idx="2">
                  <c:v>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8D9-4B77-9DD9-F3A4DC0C5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6448"/>
        <c:axId val="156817024"/>
      </c:scatterChart>
      <c:valAx>
        <c:axId val="156816448"/>
        <c:scaling>
          <c:orientation val="minMax"/>
          <c:max val="1600"/>
          <c:min val="600"/>
        </c:scaling>
        <c:delete val="0"/>
        <c:axPos val="b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订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货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量</a:t>
                </a:r>
              </a:p>
            </c:rich>
          </c:tx>
          <c:layout>
            <c:manualLayout>
              <c:xMode val="edge"/>
              <c:yMode val="edge"/>
              <c:x val="0.95328719723183386"/>
              <c:y val="0.7733041505405045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56817024"/>
        <c:crosses val="autoZero"/>
        <c:crossBetween val="midCat"/>
        <c:majorUnit val="100"/>
      </c:valAx>
      <c:valAx>
        <c:axId val="156817024"/>
        <c:scaling>
          <c:orientation val="minMax"/>
          <c:max val="16000"/>
          <c:min val="11000"/>
        </c:scaling>
        <c:delete val="0"/>
        <c:axPos val="l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56816448"/>
        <c:crosses val="autoZero"/>
        <c:crossBetween val="midCat"/>
        <c:majorUnit val="100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856352899069431"/>
          <c:y val="0.11854237288135593"/>
          <c:w val="0.69461828919112378"/>
          <c:h val="0.17005765381022286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 pitchFamily="2" charset="-122"/>
          <a:ea typeface="宋体" pitchFamily="2" charset="-122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1</xdr:row>
      <xdr:rowOff>76200</xdr:rowOff>
    </xdr:from>
    <xdr:to>
      <xdr:col>7</xdr:col>
      <xdr:colOff>425450</xdr:colOff>
      <xdr:row>25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95274" y="234950"/>
          <a:ext cx="4397376" cy="3803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8-6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】除了每天的需求量不是固定的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，而是服从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[80,120]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的均匀分布外，其它条件与例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8-2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相同。建立随机需求的最优订货量模拟模型，并与理论模型和固定需求的最优订货量模拟模型进行比较，分析三种模型的区别。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参考下图建立模型。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444500</xdr:colOff>
      <xdr:row>7</xdr:row>
      <xdr:rowOff>9663</xdr:rowOff>
    </xdr:from>
    <xdr:to>
      <xdr:col>7</xdr:col>
      <xdr:colOff>284905</xdr:colOff>
      <xdr:row>24</xdr:row>
      <xdr:rowOff>66325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1120913"/>
          <a:ext cx="4107605" cy="27554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</xdr:row>
      <xdr:rowOff>92075</xdr:rowOff>
    </xdr:from>
    <xdr:to>
      <xdr:col>9</xdr:col>
      <xdr:colOff>412750</xdr:colOff>
      <xdr:row>21</xdr:row>
      <xdr:rowOff>120650</xdr:rowOff>
    </xdr:to>
    <xdr:graphicFrame macro="">
      <xdr:nvGraphicFramePr>
        <xdr:cNvPr id="101407" name="图表 1">
          <a:extLst>
            <a:ext uri="{FF2B5EF4-FFF2-40B4-BE49-F238E27FC236}">
              <a16:creationId xmlns:a16="http://schemas.microsoft.com/office/drawing/2014/main" id="{00000000-0008-0000-0400-00001F8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5" x14ac:dyDescent="0.2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autoPageBreaks="0"/>
  </sheetPr>
  <dimension ref="B1:F19"/>
  <sheetViews>
    <sheetView showGridLines="0" zoomScaleNormal="100" workbookViewId="0">
      <selection activeCell="C12" sqref="C12"/>
    </sheetView>
  </sheetViews>
  <sheetFormatPr defaultColWidth="8.81640625" defaultRowHeight="13.4" customHeight="1" x14ac:dyDescent="0.25"/>
  <cols>
    <col min="1" max="1" width="1.1796875" style="3" customWidth="1"/>
    <col min="2" max="2" width="19.1796875" style="3" customWidth="1"/>
    <col min="3" max="3" width="8.453125" style="3" bestFit="1" customWidth="1"/>
    <col min="4" max="4" width="2.1796875" style="3" customWidth="1"/>
    <col min="5" max="5" width="7.453125" style="61" customWidth="1"/>
    <col min="6" max="6" width="8.81640625" style="62" customWidth="1"/>
    <col min="7" max="7" width="1.1796875" style="3" customWidth="1"/>
    <col min="8" max="8" width="7.54296875" style="3" bestFit="1" customWidth="1"/>
    <col min="9" max="9" width="21.453125" style="3" customWidth="1"/>
    <col min="10" max="16384" width="8.81640625" style="3"/>
  </cols>
  <sheetData>
    <row r="1" spans="2:6" ht="14" x14ac:dyDescent="0.25">
      <c r="E1" s="6" t="s">
        <v>4</v>
      </c>
      <c r="F1" s="6" t="s">
        <v>0</v>
      </c>
    </row>
    <row r="2" spans="2:6" ht="14" x14ac:dyDescent="0.25">
      <c r="B2" s="63" t="s">
        <v>25</v>
      </c>
      <c r="C2" s="65">
        <v>36000</v>
      </c>
      <c r="D2" s="57"/>
      <c r="E2" s="3"/>
      <c r="F2" s="68">
        <f>C9</f>
        <v>12500</v>
      </c>
    </row>
    <row r="3" spans="2:6" ht="13.4" customHeight="1" x14ac:dyDescent="0.25">
      <c r="B3" s="63" t="s">
        <v>26</v>
      </c>
      <c r="C3" s="65">
        <v>200</v>
      </c>
      <c r="D3" s="2"/>
      <c r="E3" s="64">
        <v>600</v>
      </c>
      <c r="F3" s="66">
        <f t="dataTable" ref="F3:F13" dt2D="0" dtr="0" r1="C6"/>
        <v>15000</v>
      </c>
    </row>
    <row r="4" spans="2:6" ht="13.4" customHeight="1" x14ac:dyDescent="0.25">
      <c r="B4" s="63" t="s">
        <v>27</v>
      </c>
      <c r="C4" s="65">
        <v>10</v>
      </c>
      <c r="D4" s="4"/>
      <c r="E4" s="64">
        <v>700</v>
      </c>
      <c r="F4" s="66">
        <v>13785.714285714286</v>
      </c>
    </row>
    <row r="5" spans="2:6" ht="13.4" customHeight="1" x14ac:dyDescent="0.25">
      <c r="B5" s="30"/>
      <c r="C5" s="59"/>
      <c r="D5" s="5"/>
      <c r="E5" s="64">
        <v>800</v>
      </c>
      <c r="F5" s="66">
        <v>13000</v>
      </c>
    </row>
    <row r="6" spans="2:6" ht="13.4" customHeight="1" x14ac:dyDescent="0.25">
      <c r="B6" s="63" t="s">
        <v>28</v>
      </c>
      <c r="C6" s="58">
        <v>900</v>
      </c>
      <c r="D6" s="5"/>
      <c r="E6" s="64">
        <v>900</v>
      </c>
      <c r="F6" s="66">
        <v>12500</v>
      </c>
    </row>
    <row r="7" spans="2:6" ht="13.4" customHeight="1" x14ac:dyDescent="0.25">
      <c r="B7" s="63" t="s">
        <v>1</v>
      </c>
      <c r="C7" s="66">
        <f>C3*C2/C6</f>
        <v>8000</v>
      </c>
      <c r="D7" s="5"/>
      <c r="E7" s="64">
        <v>1000</v>
      </c>
      <c r="F7" s="66">
        <v>12200</v>
      </c>
    </row>
    <row r="8" spans="2:6" ht="13.4" customHeight="1" x14ac:dyDescent="0.25">
      <c r="B8" s="63" t="s">
        <v>2</v>
      </c>
      <c r="C8" s="66">
        <f>C4*C6/2</f>
        <v>4500</v>
      </c>
      <c r="D8" s="5"/>
      <c r="E8" s="64">
        <v>1100</v>
      </c>
      <c r="F8" s="66">
        <v>12045.454545454544</v>
      </c>
    </row>
    <row r="9" spans="2:6" ht="13.4" customHeight="1" x14ac:dyDescent="0.25">
      <c r="B9" s="63" t="s">
        <v>3</v>
      </c>
      <c r="C9" s="67">
        <f>C7+C8</f>
        <v>12500</v>
      </c>
      <c r="D9" s="5"/>
      <c r="E9" s="64">
        <v>1200</v>
      </c>
      <c r="F9" s="66">
        <v>12000</v>
      </c>
    </row>
    <row r="10" spans="2:6" ht="13.4" customHeight="1" x14ac:dyDescent="0.25">
      <c r="B10" s="30"/>
      <c r="C10" s="60"/>
      <c r="D10" s="57"/>
      <c r="E10" s="64">
        <v>1300</v>
      </c>
      <c r="F10" s="66">
        <v>12038.461538461539</v>
      </c>
    </row>
    <row r="11" spans="2:6" ht="13.4" customHeight="1" x14ac:dyDescent="0.25">
      <c r="B11" s="63" t="s">
        <v>29</v>
      </c>
      <c r="C11" s="67">
        <f>ROUND(SQRT(2*C3*C2/C4),0)</f>
        <v>1200</v>
      </c>
      <c r="D11" s="57"/>
      <c r="E11" s="64">
        <v>1400</v>
      </c>
      <c r="F11" s="66">
        <v>12142.857142857143</v>
      </c>
    </row>
    <row r="12" spans="2:6" ht="13.4" customHeight="1" x14ac:dyDescent="0.25">
      <c r="B12" s="63" t="s">
        <v>30</v>
      </c>
      <c r="C12" s="66">
        <f>C3*C2/C11</f>
        <v>6000</v>
      </c>
      <c r="D12" s="57"/>
      <c r="E12" s="64">
        <v>1500</v>
      </c>
      <c r="F12" s="66">
        <v>12300</v>
      </c>
    </row>
    <row r="13" spans="2:6" ht="13.4" customHeight="1" x14ac:dyDescent="0.25">
      <c r="B13" s="63" t="s">
        <v>31</v>
      </c>
      <c r="C13" s="66">
        <f>C11/2*C4</f>
        <v>6000</v>
      </c>
      <c r="D13" s="57"/>
      <c r="E13" s="64">
        <v>1600</v>
      </c>
      <c r="F13" s="66">
        <v>12500</v>
      </c>
    </row>
    <row r="14" spans="2:6" ht="13.4" customHeight="1" x14ac:dyDescent="0.25">
      <c r="B14" s="63" t="s">
        <v>32</v>
      </c>
      <c r="C14" s="67">
        <f>ROUND(SQRT(2*C2*C3*C4),2)</f>
        <v>12000</v>
      </c>
      <c r="D14" s="57"/>
    </row>
    <row r="15" spans="2:6" ht="13.4" customHeight="1" x14ac:dyDescent="0.25">
      <c r="B15" s="57"/>
      <c r="C15" s="57"/>
      <c r="D15" s="57"/>
    </row>
    <row r="16" spans="2:6" ht="13.4" customHeight="1" x14ac:dyDescent="0.25">
      <c r="B16" s="6" t="s">
        <v>33</v>
      </c>
      <c r="D16" s="57"/>
    </row>
    <row r="17" spans="2:3" ht="13.5" customHeight="1" x14ac:dyDescent="0.25">
      <c r="B17" s="47">
        <f>$C$11</f>
        <v>1200</v>
      </c>
      <c r="C17" s="47">
        <v>10000</v>
      </c>
    </row>
    <row r="18" spans="2:3" ht="13.4" customHeight="1" x14ac:dyDescent="0.25">
      <c r="B18" s="47">
        <f>B17</f>
        <v>1200</v>
      </c>
      <c r="C18" s="47">
        <f>C14</f>
        <v>12000</v>
      </c>
    </row>
    <row r="19" spans="2:3" ht="13.4" customHeight="1" x14ac:dyDescent="0.25">
      <c r="B19" s="47">
        <f t="shared" ref="B19" si="0">B18</f>
        <v>1200</v>
      </c>
      <c r="C19" s="47">
        <v>16000</v>
      </c>
    </row>
  </sheetData>
  <phoneticPr fontId="1" type="noConversion"/>
  <printOptions headings="1" gridLinesSet="0"/>
  <pageMargins left="0.75" right="0.75" top="1" bottom="1" header="0.5" footer="0.5"/>
  <pageSetup paperSize="9" orientation="portrait" horizontalDpi="4294967292" verticalDpi="18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L369"/>
  <sheetViews>
    <sheetView zoomScaleNormal="100" workbookViewId="0">
      <selection activeCell="C13" sqref="C13"/>
    </sheetView>
  </sheetViews>
  <sheetFormatPr defaultColWidth="9.81640625" defaultRowHeight="14" x14ac:dyDescent="0.25"/>
  <cols>
    <col min="1" max="1" width="2.1796875" style="6" customWidth="1"/>
    <col min="2" max="2" width="16.81640625" style="6" customWidth="1"/>
    <col min="3" max="3" width="7.453125" style="7" customWidth="1"/>
    <col min="4" max="4" width="1.453125" style="6" customWidth="1"/>
    <col min="5" max="5" width="4.1796875" style="9" customWidth="1"/>
    <col min="6" max="7" width="6.7265625" style="9" customWidth="1"/>
    <col min="8" max="8" width="6.453125" style="9" customWidth="1"/>
    <col min="9" max="9" width="6.54296875" style="9" customWidth="1"/>
    <col min="10" max="10" width="7.453125" style="9" customWidth="1"/>
    <col min="11" max="11" width="1.54296875" style="6" customWidth="1"/>
    <col min="12" max="12" width="7.453125" style="6" customWidth="1"/>
    <col min="13" max="13" width="10" style="6" customWidth="1"/>
    <col min="14" max="14" width="2.1796875" style="6" customWidth="1"/>
    <col min="15" max="115" width="6.7265625" style="24" bestFit="1" customWidth="1"/>
    <col min="116" max="116" width="8.54296875" style="24" bestFit="1" customWidth="1"/>
    <col min="117" max="16384" width="9.81640625" style="6"/>
  </cols>
  <sheetData>
    <row r="1" spans="1:116" x14ac:dyDescent="0.25">
      <c r="E1" s="8" t="s">
        <v>38</v>
      </c>
      <c r="H1" s="10" t="s">
        <v>6</v>
      </c>
      <c r="I1" s="43">
        <f>SUM(I4:I369)</f>
        <v>7400</v>
      </c>
      <c r="J1" s="44">
        <f>SUM(J4:J369)</f>
        <v>4966.9863013698605</v>
      </c>
      <c r="K1" s="11"/>
      <c r="L1" s="12" t="s">
        <v>4</v>
      </c>
      <c r="M1" s="13" t="s">
        <v>5</v>
      </c>
    </row>
    <row r="2" spans="1:116" ht="13" customHeight="1" x14ac:dyDescent="0.25">
      <c r="A2" s="15"/>
      <c r="D2" s="15"/>
      <c r="E2" s="69" t="s">
        <v>7</v>
      </c>
      <c r="F2" s="16" t="s">
        <v>41</v>
      </c>
      <c r="G2" s="16" t="s">
        <v>42</v>
      </c>
      <c r="H2" s="16" t="s">
        <v>43</v>
      </c>
      <c r="I2" s="16" t="s">
        <v>43</v>
      </c>
      <c r="J2" s="16" t="s">
        <v>44</v>
      </c>
      <c r="L2" s="9"/>
      <c r="M2" s="51">
        <f>C13</f>
        <v>12366.98630136986</v>
      </c>
    </row>
    <row r="3" spans="1:116" x14ac:dyDescent="0.25">
      <c r="A3" s="15"/>
      <c r="B3" s="18" t="s">
        <v>34</v>
      </c>
      <c r="C3" s="41">
        <v>36000</v>
      </c>
      <c r="D3" s="12"/>
      <c r="E3" s="70"/>
      <c r="F3" s="20" t="s">
        <v>40</v>
      </c>
      <c r="G3" s="20" t="s">
        <v>45</v>
      </c>
      <c r="H3" s="20" t="s">
        <v>46</v>
      </c>
      <c r="I3" s="20" t="s">
        <v>47</v>
      </c>
      <c r="J3" s="20" t="s">
        <v>47</v>
      </c>
      <c r="L3" s="40">
        <v>600</v>
      </c>
      <c r="M3" s="47">
        <f t="dataTable" ref="M3:M13" dt2D="0" dtr="0" r1="C9"/>
        <v>15172.465753424658</v>
      </c>
    </row>
    <row r="4" spans="1:116" x14ac:dyDescent="0.25">
      <c r="A4" s="56"/>
      <c r="B4" s="18" t="s">
        <v>35</v>
      </c>
      <c r="C4" s="41">
        <v>200</v>
      </c>
      <c r="D4" s="12"/>
      <c r="E4" s="37">
        <v>0</v>
      </c>
      <c r="F4" s="52"/>
      <c r="G4" s="17">
        <f>C6</f>
        <v>0</v>
      </c>
      <c r="H4" s="19">
        <v>1</v>
      </c>
      <c r="I4" s="19">
        <f>H4*$C$4</f>
        <v>200</v>
      </c>
      <c r="J4" s="22"/>
      <c r="L4" s="40">
        <v>700</v>
      </c>
      <c r="M4" s="47">
        <v>13895.753424657536</v>
      </c>
    </row>
    <row r="5" spans="1:116" x14ac:dyDescent="0.25">
      <c r="A5" s="15"/>
      <c r="B5" s="18" t="s">
        <v>8</v>
      </c>
      <c r="C5" s="41">
        <v>10</v>
      </c>
      <c r="D5" s="12"/>
      <c r="E5" s="37">
        <v>1</v>
      </c>
      <c r="F5" s="19">
        <f>G4+H4*$C$9</f>
        <v>1000</v>
      </c>
      <c r="G5" s="19">
        <f>F5-$C$7</f>
        <v>901</v>
      </c>
      <c r="H5" s="19">
        <f>IF(G5&lt;$C$7,1,0)</f>
        <v>0</v>
      </c>
      <c r="I5" s="19">
        <f>H5*$C$4</f>
        <v>0</v>
      </c>
      <c r="J5" s="22">
        <f>G5*$C$8</f>
        <v>24.684931506849313</v>
      </c>
      <c r="L5" s="40">
        <v>800</v>
      </c>
      <c r="M5" s="47">
        <v>13191.64383561644</v>
      </c>
    </row>
    <row r="6" spans="1:116" x14ac:dyDescent="0.25">
      <c r="A6" s="15"/>
      <c r="B6" s="18" t="s">
        <v>10</v>
      </c>
      <c r="C6" s="53">
        <v>0</v>
      </c>
      <c r="D6" s="12"/>
      <c r="E6" s="37">
        <v>2</v>
      </c>
      <c r="F6" s="19">
        <f t="shared" ref="F6:F69" si="0">G5+H5*$C$9</f>
        <v>901</v>
      </c>
      <c r="G6" s="19">
        <f t="shared" ref="G6:G69" si="1">F6-$C$7</f>
        <v>802</v>
      </c>
      <c r="H6" s="19">
        <f t="shared" ref="H6:H69" si="2">IF(G6&lt;$C$7,1,0)</f>
        <v>0</v>
      </c>
      <c r="I6" s="19">
        <f t="shared" ref="I6:I69" si="3">H6*$C$4</f>
        <v>0</v>
      </c>
      <c r="J6" s="22">
        <f t="shared" ref="J6:J69" si="4">G6*$C$8</f>
        <v>21.972602739726025</v>
      </c>
      <c r="L6" s="40">
        <v>900</v>
      </c>
      <c r="M6" s="47">
        <v>12651.917808219177</v>
      </c>
    </row>
    <row r="7" spans="1:116" x14ac:dyDescent="0.25">
      <c r="A7" s="15"/>
      <c r="B7" s="18" t="s">
        <v>11</v>
      </c>
      <c r="C7" s="54">
        <f>ROUND(C3/365,0)</f>
        <v>99</v>
      </c>
      <c r="D7" s="12"/>
      <c r="E7" s="37">
        <v>3</v>
      </c>
      <c r="F7" s="19">
        <f t="shared" si="0"/>
        <v>802</v>
      </c>
      <c r="G7" s="19">
        <f t="shared" si="1"/>
        <v>703</v>
      </c>
      <c r="H7" s="19">
        <f t="shared" si="2"/>
        <v>0</v>
      </c>
      <c r="I7" s="19">
        <f t="shared" si="3"/>
        <v>0</v>
      </c>
      <c r="J7" s="22">
        <f t="shared" si="4"/>
        <v>19.260273972602739</v>
      </c>
      <c r="L7" s="40">
        <v>1000</v>
      </c>
      <c r="M7" s="47">
        <v>12366.98630136986</v>
      </c>
    </row>
    <row r="8" spans="1:116" x14ac:dyDescent="0.25">
      <c r="A8" s="15"/>
      <c r="B8" s="18" t="s">
        <v>12</v>
      </c>
      <c r="C8" s="42">
        <f>C5/365</f>
        <v>2.7397260273972601E-2</v>
      </c>
      <c r="D8" s="12"/>
      <c r="E8" s="37">
        <v>4</v>
      </c>
      <c r="F8" s="19">
        <f t="shared" si="0"/>
        <v>703</v>
      </c>
      <c r="G8" s="19">
        <f t="shared" si="1"/>
        <v>604</v>
      </c>
      <c r="H8" s="19">
        <f t="shared" si="2"/>
        <v>0</v>
      </c>
      <c r="I8" s="19">
        <f t="shared" si="3"/>
        <v>0</v>
      </c>
      <c r="J8" s="22">
        <f t="shared" si="4"/>
        <v>16.547945205479451</v>
      </c>
      <c r="L8" s="40">
        <v>1100</v>
      </c>
      <c r="M8" s="47">
        <v>12038.219178082192</v>
      </c>
    </row>
    <row r="9" spans="1:116" x14ac:dyDescent="0.25">
      <c r="A9" s="15"/>
      <c r="B9" s="18" t="s">
        <v>13</v>
      </c>
      <c r="C9" s="17">
        <v>1000</v>
      </c>
      <c r="D9" s="12"/>
      <c r="E9" s="37">
        <v>5</v>
      </c>
      <c r="F9" s="19">
        <f t="shared" si="0"/>
        <v>604</v>
      </c>
      <c r="G9" s="19">
        <f t="shared" si="1"/>
        <v>505</v>
      </c>
      <c r="H9" s="19">
        <f t="shared" si="2"/>
        <v>0</v>
      </c>
      <c r="I9" s="19">
        <f t="shared" si="3"/>
        <v>0</v>
      </c>
      <c r="J9" s="22">
        <f t="shared" si="4"/>
        <v>13.835616438356164</v>
      </c>
      <c r="L9" s="40">
        <v>1200</v>
      </c>
      <c r="M9" s="47">
        <v>12197.123287671233</v>
      </c>
    </row>
    <row r="10" spans="1:116" x14ac:dyDescent="0.25">
      <c r="A10" s="15"/>
      <c r="B10" s="12"/>
      <c r="C10" s="55"/>
      <c r="D10" s="23"/>
      <c r="E10" s="37">
        <v>6</v>
      </c>
      <c r="F10" s="19">
        <f t="shared" si="0"/>
        <v>505</v>
      </c>
      <c r="G10" s="19">
        <f t="shared" si="1"/>
        <v>406</v>
      </c>
      <c r="H10" s="19">
        <f t="shared" si="2"/>
        <v>0</v>
      </c>
      <c r="I10" s="19">
        <f t="shared" si="3"/>
        <v>0</v>
      </c>
      <c r="J10" s="22">
        <f t="shared" si="4"/>
        <v>11.123287671232877</v>
      </c>
      <c r="L10" s="40">
        <v>1300</v>
      </c>
      <c r="M10" s="47">
        <v>12093.013698630139</v>
      </c>
    </row>
    <row r="11" spans="1:116" x14ac:dyDescent="0.25">
      <c r="A11" s="15"/>
      <c r="B11" s="18" t="s">
        <v>1</v>
      </c>
      <c r="C11" s="47">
        <f>I1</f>
        <v>7400</v>
      </c>
      <c r="D11" s="15"/>
      <c r="E11" s="37">
        <v>7</v>
      </c>
      <c r="F11" s="19">
        <f t="shared" si="0"/>
        <v>406</v>
      </c>
      <c r="G11" s="19">
        <f t="shared" si="1"/>
        <v>307</v>
      </c>
      <c r="H11" s="19">
        <f t="shared" si="2"/>
        <v>0</v>
      </c>
      <c r="I11" s="19">
        <f t="shared" si="3"/>
        <v>0</v>
      </c>
      <c r="J11" s="22">
        <f t="shared" si="4"/>
        <v>8.410958904109588</v>
      </c>
      <c r="L11" s="40">
        <v>1400</v>
      </c>
      <c r="M11" s="47">
        <v>12243.698630136985</v>
      </c>
    </row>
    <row r="12" spans="1:116" x14ac:dyDescent="0.25">
      <c r="A12" s="15"/>
      <c r="B12" s="18" t="s">
        <v>14</v>
      </c>
      <c r="C12" s="47">
        <f>J1</f>
        <v>4966.9863013698605</v>
      </c>
      <c r="D12" s="15"/>
      <c r="E12" s="37">
        <v>8</v>
      </c>
      <c r="F12" s="19">
        <f t="shared" si="0"/>
        <v>307</v>
      </c>
      <c r="G12" s="19">
        <f t="shared" si="1"/>
        <v>208</v>
      </c>
      <c r="H12" s="19">
        <f t="shared" si="2"/>
        <v>0</v>
      </c>
      <c r="I12" s="19">
        <f t="shared" si="3"/>
        <v>0</v>
      </c>
      <c r="J12" s="22">
        <f t="shared" si="4"/>
        <v>5.6986301369863011</v>
      </c>
      <c r="L12" s="40">
        <v>1500</v>
      </c>
      <c r="M12" s="47">
        <v>12501.232876712329</v>
      </c>
    </row>
    <row r="13" spans="1:116" x14ac:dyDescent="0.25">
      <c r="A13" s="15"/>
      <c r="B13" s="18" t="s">
        <v>15</v>
      </c>
      <c r="C13" s="51">
        <f>C11+C12</f>
        <v>12366.98630136986</v>
      </c>
      <c r="D13" s="15"/>
      <c r="E13" s="37">
        <v>9</v>
      </c>
      <c r="F13" s="19">
        <f t="shared" si="0"/>
        <v>208</v>
      </c>
      <c r="G13" s="19">
        <f t="shared" si="1"/>
        <v>109</v>
      </c>
      <c r="H13" s="19">
        <f t="shared" si="2"/>
        <v>0</v>
      </c>
      <c r="I13" s="19">
        <f t="shared" si="3"/>
        <v>0</v>
      </c>
      <c r="J13" s="22">
        <f t="shared" si="4"/>
        <v>2.9863013698630136</v>
      </c>
      <c r="K13" s="12"/>
      <c r="L13" s="40">
        <v>1600</v>
      </c>
      <c r="M13" s="47">
        <v>12668.356164383556</v>
      </c>
    </row>
    <row r="14" spans="1:116" x14ac:dyDescent="0.25">
      <c r="A14" s="15"/>
      <c r="B14" s="12"/>
      <c r="C14" s="55"/>
      <c r="D14" s="15"/>
      <c r="E14" s="38">
        <v>10</v>
      </c>
      <c r="F14" s="19">
        <f t="shared" si="0"/>
        <v>109</v>
      </c>
      <c r="G14" s="19">
        <f t="shared" si="1"/>
        <v>10</v>
      </c>
      <c r="H14" s="19">
        <f t="shared" si="2"/>
        <v>1</v>
      </c>
      <c r="I14" s="19">
        <f t="shared" si="3"/>
        <v>200</v>
      </c>
      <c r="J14" s="22">
        <f t="shared" si="4"/>
        <v>0.27397260273972601</v>
      </c>
      <c r="L14" s="24"/>
      <c r="M14" s="24"/>
    </row>
    <row r="15" spans="1:116" x14ac:dyDescent="0.25">
      <c r="B15" s="18" t="s">
        <v>9</v>
      </c>
      <c r="C15" s="51">
        <f>MIN(M3:M13)</f>
        <v>12038.219178082192</v>
      </c>
      <c r="E15" s="38">
        <v>11</v>
      </c>
      <c r="F15" s="19">
        <f t="shared" si="0"/>
        <v>1010</v>
      </c>
      <c r="G15" s="19">
        <f t="shared" si="1"/>
        <v>911</v>
      </c>
      <c r="H15" s="19">
        <f t="shared" si="2"/>
        <v>0</v>
      </c>
      <c r="I15" s="19">
        <f t="shared" si="3"/>
        <v>0</v>
      </c>
      <c r="J15" s="22">
        <f t="shared" si="4"/>
        <v>24.958904109589039</v>
      </c>
      <c r="L15" s="25" t="s">
        <v>17</v>
      </c>
      <c r="M15" s="24"/>
    </row>
    <row r="16" spans="1:116" s="12" customFormat="1" x14ac:dyDescent="0.25">
      <c r="B16" s="18" t="s">
        <v>16</v>
      </c>
      <c r="C16" s="51">
        <f>INDEX(L3:L13,MATCH(C15,M3:M13,0))</f>
        <v>1100</v>
      </c>
      <c r="E16" s="38">
        <v>12</v>
      </c>
      <c r="F16" s="19">
        <f t="shared" si="0"/>
        <v>911</v>
      </c>
      <c r="G16" s="19">
        <f t="shared" si="1"/>
        <v>812</v>
      </c>
      <c r="H16" s="19">
        <f t="shared" si="2"/>
        <v>0</v>
      </c>
      <c r="I16" s="19">
        <f t="shared" si="3"/>
        <v>0</v>
      </c>
      <c r="J16" s="22">
        <f t="shared" si="4"/>
        <v>22.246575342465754</v>
      </c>
      <c r="K16" s="6"/>
      <c r="L16" s="47">
        <f>$C$16</f>
        <v>1100</v>
      </c>
      <c r="M16" s="47">
        <v>11000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</row>
    <row r="17" spans="2:14" x14ac:dyDescent="0.25">
      <c r="B17" s="12"/>
      <c r="C17" s="13"/>
      <c r="D17" s="27"/>
      <c r="E17" s="38">
        <v>13</v>
      </c>
      <c r="F17" s="19">
        <f t="shared" si="0"/>
        <v>812</v>
      </c>
      <c r="G17" s="19">
        <f t="shared" si="1"/>
        <v>713</v>
      </c>
      <c r="H17" s="19">
        <f t="shared" si="2"/>
        <v>0</v>
      </c>
      <c r="I17" s="19">
        <f t="shared" si="3"/>
        <v>0</v>
      </c>
      <c r="J17" s="22">
        <f t="shared" si="4"/>
        <v>19.534246575342465</v>
      </c>
      <c r="L17" s="47">
        <f>L16</f>
        <v>1100</v>
      </c>
      <c r="M17" s="47">
        <f>C15</f>
        <v>12038.219178082192</v>
      </c>
    </row>
    <row r="18" spans="2:14" x14ac:dyDescent="0.25">
      <c r="B18" s="24"/>
      <c r="C18" s="24"/>
      <c r="D18" s="27"/>
      <c r="E18" s="38">
        <v>14</v>
      </c>
      <c r="F18" s="19">
        <f t="shared" si="0"/>
        <v>713</v>
      </c>
      <c r="G18" s="19">
        <f t="shared" si="1"/>
        <v>614</v>
      </c>
      <c r="H18" s="19">
        <f t="shared" si="2"/>
        <v>0</v>
      </c>
      <c r="I18" s="19">
        <f t="shared" si="3"/>
        <v>0</v>
      </c>
      <c r="J18" s="22">
        <f t="shared" si="4"/>
        <v>16.821917808219176</v>
      </c>
      <c r="L18" s="47">
        <f>L17</f>
        <v>1100</v>
      </c>
      <c r="M18" s="47">
        <v>16000</v>
      </c>
    </row>
    <row r="19" spans="2:14" hidden="1" x14ac:dyDescent="0.25">
      <c r="B19" s="24"/>
      <c r="C19" s="24"/>
      <c r="D19" s="27"/>
      <c r="E19" s="38">
        <v>15</v>
      </c>
      <c r="F19" s="19">
        <f t="shared" si="0"/>
        <v>614</v>
      </c>
      <c r="G19" s="19">
        <f t="shared" si="1"/>
        <v>515</v>
      </c>
      <c r="H19" s="19">
        <f t="shared" si="2"/>
        <v>0</v>
      </c>
      <c r="I19" s="19">
        <f t="shared" si="3"/>
        <v>0</v>
      </c>
      <c r="J19" s="22">
        <f t="shared" si="4"/>
        <v>14.109589041095889</v>
      </c>
      <c r="L19" s="24"/>
      <c r="M19" s="24"/>
    </row>
    <row r="20" spans="2:14" hidden="1" x14ac:dyDescent="0.25">
      <c r="B20" s="24"/>
      <c r="C20" s="24"/>
      <c r="E20" s="38">
        <v>16</v>
      </c>
      <c r="F20" s="19">
        <f t="shared" si="0"/>
        <v>515</v>
      </c>
      <c r="G20" s="19">
        <f t="shared" si="1"/>
        <v>416</v>
      </c>
      <c r="H20" s="19">
        <f t="shared" si="2"/>
        <v>0</v>
      </c>
      <c r="I20" s="19">
        <f t="shared" si="3"/>
        <v>0</v>
      </c>
      <c r="J20" s="22">
        <f t="shared" si="4"/>
        <v>11.397260273972602</v>
      </c>
      <c r="N20" s="27"/>
    </row>
    <row r="21" spans="2:14" hidden="1" x14ac:dyDescent="0.25">
      <c r="B21" s="24"/>
      <c r="C21" s="24"/>
      <c r="E21" s="38">
        <v>17</v>
      </c>
      <c r="F21" s="19">
        <f t="shared" si="0"/>
        <v>416</v>
      </c>
      <c r="G21" s="19">
        <f t="shared" si="1"/>
        <v>317</v>
      </c>
      <c r="H21" s="19">
        <f t="shared" si="2"/>
        <v>0</v>
      </c>
      <c r="I21" s="19">
        <f t="shared" si="3"/>
        <v>0</v>
      </c>
      <c r="J21" s="22">
        <f t="shared" si="4"/>
        <v>8.6849315068493151</v>
      </c>
      <c r="M21" s="27"/>
      <c r="N21" s="27"/>
    </row>
    <row r="22" spans="2:14" hidden="1" x14ac:dyDescent="0.25">
      <c r="B22" s="24"/>
      <c r="C22" s="24"/>
      <c r="E22" s="37">
        <v>18</v>
      </c>
      <c r="F22" s="19">
        <f t="shared" si="0"/>
        <v>317</v>
      </c>
      <c r="G22" s="19">
        <f t="shared" si="1"/>
        <v>218</v>
      </c>
      <c r="H22" s="19">
        <f t="shared" si="2"/>
        <v>0</v>
      </c>
      <c r="I22" s="19">
        <f t="shared" si="3"/>
        <v>0</v>
      </c>
      <c r="J22" s="22">
        <f t="shared" si="4"/>
        <v>5.9726027397260273</v>
      </c>
      <c r="N22" s="27"/>
    </row>
    <row r="23" spans="2:14" hidden="1" x14ac:dyDescent="0.25">
      <c r="E23" s="37">
        <v>19</v>
      </c>
      <c r="F23" s="19">
        <f t="shared" si="0"/>
        <v>218</v>
      </c>
      <c r="G23" s="19">
        <f t="shared" si="1"/>
        <v>119</v>
      </c>
      <c r="H23" s="19">
        <f t="shared" si="2"/>
        <v>0</v>
      </c>
      <c r="I23" s="19">
        <f t="shared" si="3"/>
        <v>0</v>
      </c>
      <c r="J23" s="22">
        <f t="shared" si="4"/>
        <v>3.2602739726027394</v>
      </c>
      <c r="N23" s="27"/>
    </row>
    <row r="24" spans="2:14" hidden="1" x14ac:dyDescent="0.25">
      <c r="E24" s="37">
        <v>20</v>
      </c>
      <c r="F24" s="19">
        <f t="shared" si="0"/>
        <v>119</v>
      </c>
      <c r="G24" s="19">
        <f t="shared" si="1"/>
        <v>20</v>
      </c>
      <c r="H24" s="19">
        <f t="shared" si="2"/>
        <v>1</v>
      </c>
      <c r="I24" s="19">
        <f t="shared" si="3"/>
        <v>200</v>
      </c>
      <c r="J24" s="22">
        <f t="shared" si="4"/>
        <v>0.54794520547945202</v>
      </c>
      <c r="N24" s="27"/>
    </row>
    <row r="25" spans="2:14" hidden="1" x14ac:dyDescent="0.25">
      <c r="E25" s="37">
        <v>21</v>
      </c>
      <c r="F25" s="19">
        <f t="shared" si="0"/>
        <v>1020</v>
      </c>
      <c r="G25" s="19">
        <f t="shared" si="1"/>
        <v>921</v>
      </c>
      <c r="H25" s="19">
        <f t="shared" si="2"/>
        <v>0</v>
      </c>
      <c r="I25" s="19">
        <f t="shared" si="3"/>
        <v>0</v>
      </c>
      <c r="J25" s="22">
        <f t="shared" si="4"/>
        <v>25.232876712328764</v>
      </c>
      <c r="L25" s="29"/>
      <c r="M25" s="29"/>
      <c r="N25" s="27"/>
    </row>
    <row r="26" spans="2:14" hidden="1" x14ac:dyDescent="0.25">
      <c r="E26" s="37">
        <v>22</v>
      </c>
      <c r="F26" s="19">
        <f t="shared" si="0"/>
        <v>921</v>
      </c>
      <c r="G26" s="19">
        <f t="shared" si="1"/>
        <v>822</v>
      </c>
      <c r="H26" s="19">
        <f t="shared" si="2"/>
        <v>0</v>
      </c>
      <c r="I26" s="19">
        <f t="shared" si="3"/>
        <v>0</v>
      </c>
      <c r="J26" s="22">
        <f t="shared" si="4"/>
        <v>22.520547945205479</v>
      </c>
      <c r="K26" s="30"/>
      <c r="L26" s="24"/>
      <c r="M26" s="24"/>
      <c r="N26" s="24"/>
    </row>
    <row r="27" spans="2:14" hidden="1" x14ac:dyDescent="0.25">
      <c r="E27" s="37">
        <v>23</v>
      </c>
      <c r="F27" s="19">
        <f t="shared" si="0"/>
        <v>822</v>
      </c>
      <c r="G27" s="19">
        <f t="shared" si="1"/>
        <v>723</v>
      </c>
      <c r="H27" s="19">
        <f t="shared" si="2"/>
        <v>0</v>
      </c>
      <c r="I27" s="19">
        <f t="shared" si="3"/>
        <v>0</v>
      </c>
      <c r="J27" s="22">
        <f t="shared" si="4"/>
        <v>19.80821917808219</v>
      </c>
      <c r="L27" s="24"/>
      <c r="M27" s="24"/>
      <c r="N27" s="24"/>
    </row>
    <row r="28" spans="2:14" hidden="1" x14ac:dyDescent="0.25">
      <c r="E28" s="37">
        <v>24</v>
      </c>
      <c r="F28" s="19">
        <f t="shared" si="0"/>
        <v>723</v>
      </c>
      <c r="G28" s="19">
        <f t="shared" si="1"/>
        <v>624</v>
      </c>
      <c r="H28" s="19">
        <f t="shared" si="2"/>
        <v>0</v>
      </c>
      <c r="I28" s="19">
        <f t="shared" si="3"/>
        <v>0</v>
      </c>
      <c r="J28" s="22">
        <f t="shared" si="4"/>
        <v>17.095890410958901</v>
      </c>
      <c r="L28" s="24"/>
      <c r="M28" s="24"/>
      <c r="N28" s="24"/>
    </row>
    <row r="29" spans="2:14" hidden="1" x14ac:dyDescent="0.25">
      <c r="E29" s="37">
        <v>25</v>
      </c>
      <c r="F29" s="19">
        <f t="shared" si="0"/>
        <v>624</v>
      </c>
      <c r="G29" s="19">
        <f t="shared" si="1"/>
        <v>525</v>
      </c>
      <c r="H29" s="19">
        <f t="shared" si="2"/>
        <v>0</v>
      </c>
      <c r="I29" s="19">
        <f t="shared" si="3"/>
        <v>0</v>
      </c>
      <c r="J29" s="22">
        <f t="shared" si="4"/>
        <v>14.383561643835616</v>
      </c>
      <c r="L29" s="24"/>
      <c r="M29" s="24"/>
      <c r="N29" s="24"/>
    </row>
    <row r="30" spans="2:14" hidden="1" x14ac:dyDescent="0.25">
      <c r="E30" s="37">
        <v>26</v>
      </c>
      <c r="F30" s="19">
        <f t="shared" si="0"/>
        <v>525</v>
      </c>
      <c r="G30" s="19">
        <f t="shared" si="1"/>
        <v>426</v>
      </c>
      <c r="H30" s="19">
        <f t="shared" si="2"/>
        <v>0</v>
      </c>
      <c r="I30" s="19">
        <f t="shared" si="3"/>
        <v>0</v>
      </c>
      <c r="J30" s="22">
        <f t="shared" si="4"/>
        <v>11.671232876712327</v>
      </c>
    </row>
    <row r="31" spans="2:14" hidden="1" x14ac:dyDescent="0.25">
      <c r="E31" s="37">
        <v>27</v>
      </c>
      <c r="F31" s="19">
        <f t="shared" si="0"/>
        <v>426</v>
      </c>
      <c r="G31" s="19">
        <f t="shared" si="1"/>
        <v>327</v>
      </c>
      <c r="H31" s="19">
        <f t="shared" si="2"/>
        <v>0</v>
      </c>
      <c r="I31" s="19">
        <f t="shared" si="3"/>
        <v>0</v>
      </c>
      <c r="J31" s="22">
        <f t="shared" si="4"/>
        <v>8.9589041095890405</v>
      </c>
      <c r="L31" s="29"/>
      <c r="M31" s="29"/>
    </row>
    <row r="32" spans="2:14" hidden="1" x14ac:dyDescent="0.25">
      <c r="C32" s="6"/>
      <c r="E32" s="37">
        <v>28</v>
      </c>
      <c r="F32" s="19">
        <f t="shared" si="0"/>
        <v>327</v>
      </c>
      <c r="G32" s="19">
        <f t="shared" si="1"/>
        <v>228</v>
      </c>
      <c r="H32" s="19">
        <f t="shared" si="2"/>
        <v>0</v>
      </c>
      <c r="I32" s="19">
        <f t="shared" si="3"/>
        <v>0</v>
      </c>
      <c r="J32" s="22">
        <f t="shared" si="4"/>
        <v>6.2465753424657535</v>
      </c>
    </row>
    <row r="33" spans="3:10" hidden="1" x14ac:dyDescent="0.25">
      <c r="C33" s="6"/>
      <c r="E33" s="37">
        <v>29</v>
      </c>
      <c r="F33" s="19">
        <f t="shared" si="0"/>
        <v>228</v>
      </c>
      <c r="G33" s="19">
        <f t="shared" si="1"/>
        <v>129</v>
      </c>
      <c r="H33" s="19">
        <f t="shared" si="2"/>
        <v>0</v>
      </c>
      <c r="I33" s="19">
        <f t="shared" si="3"/>
        <v>0</v>
      </c>
      <c r="J33" s="22">
        <f t="shared" si="4"/>
        <v>3.5342465753424657</v>
      </c>
    </row>
    <row r="34" spans="3:10" hidden="1" x14ac:dyDescent="0.25">
      <c r="C34" s="6"/>
      <c r="E34" s="37">
        <v>30</v>
      </c>
      <c r="F34" s="19">
        <f t="shared" si="0"/>
        <v>129</v>
      </c>
      <c r="G34" s="19">
        <f t="shared" si="1"/>
        <v>30</v>
      </c>
      <c r="H34" s="19">
        <f t="shared" si="2"/>
        <v>1</v>
      </c>
      <c r="I34" s="19">
        <f t="shared" si="3"/>
        <v>200</v>
      </c>
      <c r="J34" s="22">
        <f t="shared" si="4"/>
        <v>0.82191780821917804</v>
      </c>
    </row>
    <row r="35" spans="3:10" hidden="1" x14ac:dyDescent="0.25">
      <c r="C35" s="6"/>
      <c r="E35" s="37">
        <v>31</v>
      </c>
      <c r="F35" s="19">
        <f t="shared" si="0"/>
        <v>1030</v>
      </c>
      <c r="G35" s="19">
        <f t="shared" si="1"/>
        <v>931</v>
      </c>
      <c r="H35" s="19">
        <f t="shared" si="2"/>
        <v>0</v>
      </c>
      <c r="I35" s="19">
        <f t="shared" si="3"/>
        <v>0</v>
      </c>
      <c r="J35" s="22">
        <f t="shared" si="4"/>
        <v>25.506849315068493</v>
      </c>
    </row>
    <row r="36" spans="3:10" hidden="1" x14ac:dyDescent="0.25">
      <c r="C36" s="6"/>
      <c r="E36" s="37">
        <v>32</v>
      </c>
      <c r="F36" s="19">
        <f t="shared" si="0"/>
        <v>931</v>
      </c>
      <c r="G36" s="19">
        <f t="shared" si="1"/>
        <v>832</v>
      </c>
      <c r="H36" s="19">
        <f t="shared" si="2"/>
        <v>0</v>
      </c>
      <c r="I36" s="19">
        <f t="shared" si="3"/>
        <v>0</v>
      </c>
      <c r="J36" s="22">
        <f t="shared" si="4"/>
        <v>22.794520547945204</v>
      </c>
    </row>
    <row r="37" spans="3:10" hidden="1" x14ac:dyDescent="0.25">
      <c r="C37" s="6"/>
      <c r="E37" s="37">
        <v>33</v>
      </c>
      <c r="F37" s="19">
        <f t="shared" si="0"/>
        <v>832</v>
      </c>
      <c r="G37" s="19">
        <f t="shared" si="1"/>
        <v>733</v>
      </c>
      <c r="H37" s="19">
        <f t="shared" si="2"/>
        <v>0</v>
      </c>
      <c r="I37" s="19">
        <f t="shared" si="3"/>
        <v>0</v>
      </c>
      <c r="J37" s="22">
        <f t="shared" si="4"/>
        <v>20.082191780821915</v>
      </c>
    </row>
    <row r="38" spans="3:10" hidden="1" x14ac:dyDescent="0.25">
      <c r="C38" s="6"/>
      <c r="E38" s="37">
        <v>34</v>
      </c>
      <c r="F38" s="19">
        <f t="shared" si="0"/>
        <v>733</v>
      </c>
      <c r="G38" s="19">
        <f t="shared" si="1"/>
        <v>634</v>
      </c>
      <c r="H38" s="19">
        <f t="shared" si="2"/>
        <v>0</v>
      </c>
      <c r="I38" s="19">
        <f t="shared" si="3"/>
        <v>0</v>
      </c>
      <c r="J38" s="22">
        <f t="shared" si="4"/>
        <v>17.36986301369863</v>
      </c>
    </row>
    <row r="39" spans="3:10" hidden="1" x14ac:dyDescent="0.25">
      <c r="C39" s="6"/>
      <c r="E39" s="37">
        <v>35</v>
      </c>
      <c r="F39" s="19">
        <f t="shared" si="0"/>
        <v>634</v>
      </c>
      <c r="G39" s="19">
        <f t="shared" si="1"/>
        <v>535</v>
      </c>
      <c r="H39" s="19">
        <f t="shared" si="2"/>
        <v>0</v>
      </c>
      <c r="I39" s="19">
        <f t="shared" si="3"/>
        <v>0</v>
      </c>
      <c r="J39" s="22">
        <f t="shared" si="4"/>
        <v>14.657534246575342</v>
      </c>
    </row>
    <row r="40" spans="3:10" hidden="1" x14ac:dyDescent="0.25">
      <c r="C40" s="6"/>
      <c r="E40" s="37">
        <v>36</v>
      </c>
      <c r="F40" s="19">
        <f t="shared" si="0"/>
        <v>535</v>
      </c>
      <c r="G40" s="19">
        <f t="shared" si="1"/>
        <v>436</v>
      </c>
      <c r="H40" s="19">
        <f t="shared" si="2"/>
        <v>0</v>
      </c>
      <c r="I40" s="19">
        <f t="shared" si="3"/>
        <v>0</v>
      </c>
      <c r="J40" s="22">
        <f t="shared" si="4"/>
        <v>11.945205479452055</v>
      </c>
    </row>
    <row r="41" spans="3:10" hidden="1" x14ac:dyDescent="0.25">
      <c r="C41" s="6"/>
      <c r="E41" s="37">
        <v>37</v>
      </c>
      <c r="F41" s="19">
        <f t="shared" si="0"/>
        <v>436</v>
      </c>
      <c r="G41" s="19">
        <f t="shared" si="1"/>
        <v>337</v>
      </c>
      <c r="H41" s="19">
        <f t="shared" si="2"/>
        <v>0</v>
      </c>
      <c r="I41" s="19">
        <f t="shared" si="3"/>
        <v>0</v>
      </c>
      <c r="J41" s="22">
        <f t="shared" si="4"/>
        <v>9.2328767123287658</v>
      </c>
    </row>
    <row r="42" spans="3:10" hidden="1" x14ac:dyDescent="0.25">
      <c r="C42" s="6"/>
      <c r="E42" s="37">
        <v>38</v>
      </c>
      <c r="F42" s="19">
        <f t="shared" si="0"/>
        <v>337</v>
      </c>
      <c r="G42" s="19">
        <f t="shared" si="1"/>
        <v>238</v>
      </c>
      <c r="H42" s="19">
        <f t="shared" si="2"/>
        <v>0</v>
      </c>
      <c r="I42" s="19">
        <f t="shared" si="3"/>
        <v>0</v>
      </c>
      <c r="J42" s="22">
        <f t="shared" si="4"/>
        <v>6.5205479452054789</v>
      </c>
    </row>
    <row r="43" spans="3:10" hidden="1" x14ac:dyDescent="0.25">
      <c r="C43" s="6"/>
      <c r="E43" s="37">
        <v>39</v>
      </c>
      <c r="F43" s="19">
        <f t="shared" si="0"/>
        <v>238</v>
      </c>
      <c r="G43" s="19">
        <f t="shared" si="1"/>
        <v>139</v>
      </c>
      <c r="H43" s="19">
        <f t="shared" si="2"/>
        <v>0</v>
      </c>
      <c r="I43" s="19">
        <f t="shared" si="3"/>
        <v>0</v>
      </c>
      <c r="J43" s="22">
        <f t="shared" si="4"/>
        <v>3.8082191780821915</v>
      </c>
    </row>
    <row r="44" spans="3:10" hidden="1" x14ac:dyDescent="0.25">
      <c r="C44" s="6"/>
      <c r="E44" s="37">
        <v>40</v>
      </c>
      <c r="F44" s="19">
        <f t="shared" si="0"/>
        <v>139</v>
      </c>
      <c r="G44" s="19">
        <f t="shared" si="1"/>
        <v>40</v>
      </c>
      <c r="H44" s="19">
        <f t="shared" si="2"/>
        <v>1</v>
      </c>
      <c r="I44" s="19">
        <f t="shared" si="3"/>
        <v>200</v>
      </c>
      <c r="J44" s="22">
        <f t="shared" si="4"/>
        <v>1.095890410958904</v>
      </c>
    </row>
    <row r="45" spans="3:10" hidden="1" x14ac:dyDescent="0.25">
      <c r="C45" s="6"/>
      <c r="E45" s="37">
        <v>41</v>
      </c>
      <c r="F45" s="19">
        <f t="shared" si="0"/>
        <v>1040</v>
      </c>
      <c r="G45" s="19">
        <f t="shared" si="1"/>
        <v>941</v>
      </c>
      <c r="H45" s="19">
        <f t="shared" si="2"/>
        <v>0</v>
      </c>
      <c r="I45" s="19">
        <f t="shared" si="3"/>
        <v>0</v>
      </c>
      <c r="J45" s="22">
        <f t="shared" si="4"/>
        <v>25.780821917808218</v>
      </c>
    </row>
    <row r="46" spans="3:10" hidden="1" x14ac:dyDescent="0.25">
      <c r="C46" s="6"/>
      <c r="E46" s="37">
        <v>42</v>
      </c>
      <c r="F46" s="19">
        <f t="shared" si="0"/>
        <v>941</v>
      </c>
      <c r="G46" s="19">
        <f t="shared" si="1"/>
        <v>842</v>
      </c>
      <c r="H46" s="19">
        <f t="shared" si="2"/>
        <v>0</v>
      </c>
      <c r="I46" s="19">
        <f t="shared" si="3"/>
        <v>0</v>
      </c>
      <c r="J46" s="22">
        <f t="shared" si="4"/>
        <v>23.06849315068493</v>
      </c>
    </row>
    <row r="47" spans="3:10" hidden="1" x14ac:dyDescent="0.25">
      <c r="C47" s="6"/>
      <c r="E47" s="37">
        <v>43</v>
      </c>
      <c r="F47" s="19">
        <f t="shared" si="0"/>
        <v>842</v>
      </c>
      <c r="G47" s="19">
        <f t="shared" si="1"/>
        <v>743</v>
      </c>
      <c r="H47" s="19">
        <f t="shared" si="2"/>
        <v>0</v>
      </c>
      <c r="I47" s="19">
        <f t="shared" si="3"/>
        <v>0</v>
      </c>
      <c r="J47" s="22">
        <f t="shared" si="4"/>
        <v>20.356164383561644</v>
      </c>
    </row>
    <row r="48" spans="3:10" hidden="1" x14ac:dyDescent="0.25">
      <c r="C48" s="6"/>
      <c r="E48" s="37">
        <v>44</v>
      </c>
      <c r="F48" s="19">
        <f t="shared" si="0"/>
        <v>743</v>
      </c>
      <c r="G48" s="19">
        <f t="shared" si="1"/>
        <v>644</v>
      </c>
      <c r="H48" s="19">
        <f t="shared" si="2"/>
        <v>0</v>
      </c>
      <c r="I48" s="19">
        <f t="shared" si="3"/>
        <v>0</v>
      </c>
      <c r="J48" s="22">
        <f t="shared" si="4"/>
        <v>17.643835616438356</v>
      </c>
    </row>
    <row r="49" spans="3:10" hidden="1" x14ac:dyDescent="0.25">
      <c r="C49" s="6"/>
      <c r="E49" s="37">
        <v>45</v>
      </c>
      <c r="F49" s="19">
        <f t="shared" si="0"/>
        <v>644</v>
      </c>
      <c r="G49" s="19">
        <f t="shared" si="1"/>
        <v>545</v>
      </c>
      <c r="H49" s="19">
        <f t="shared" si="2"/>
        <v>0</v>
      </c>
      <c r="I49" s="19">
        <f t="shared" si="3"/>
        <v>0</v>
      </c>
      <c r="J49" s="22">
        <f t="shared" si="4"/>
        <v>14.931506849315067</v>
      </c>
    </row>
    <row r="50" spans="3:10" hidden="1" x14ac:dyDescent="0.25">
      <c r="C50" s="6"/>
      <c r="E50" s="37">
        <v>46</v>
      </c>
      <c r="F50" s="19">
        <f t="shared" si="0"/>
        <v>545</v>
      </c>
      <c r="G50" s="19">
        <f t="shared" si="1"/>
        <v>446</v>
      </c>
      <c r="H50" s="19">
        <f t="shared" si="2"/>
        <v>0</v>
      </c>
      <c r="I50" s="19">
        <f t="shared" si="3"/>
        <v>0</v>
      </c>
      <c r="J50" s="22">
        <f t="shared" si="4"/>
        <v>12.21917808219178</v>
      </c>
    </row>
    <row r="51" spans="3:10" hidden="1" x14ac:dyDescent="0.25">
      <c r="C51" s="6"/>
      <c r="E51" s="37">
        <v>47</v>
      </c>
      <c r="F51" s="19">
        <f t="shared" si="0"/>
        <v>446</v>
      </c>
      <c r="G51" s="19">
        <f t="shared" si="1"/>
        <v>347</v>
      </c>
      <c r="H51" s="19">
        <f t="shared" si="2"/>
        <v>0</v>
      </c>
      <c r="I51" s="19">
        <f t="shared" si="3"/>
        <v>0</v>
      </c>
      <c r="J51" s="22">
        <f t="shared" si="4"/>
        <v>9.506849315068493</v>
      </c>
    </row>
    <row r="52" spans="3:10" hidden="1" x14ac:dyDescent="0.25">
      <c r="C52" s="6"/>
      <c r="E52" s="37">
        <v>48</v>
      </c>
      <c r="F52" s="19">
        <f t="shared" si="0"/>
        <v>347</v>
      </c>
      <c r="G52" s="19">
        <f t="shared" si="1"/>
        <v>248</v>
      </c>
      <c r="H52" s="19">
        <f t="shared" si="2"/>
        <v>0</v>
      </c>
      <c r="I52" s="19">
        <f t="shared" si="3"/>
        <v>0</v>
      </c>
      <c r="J52" s="22">
        <f t="shared" si="4"/>
        <v>6.7945205479452051</v>
      </c>
    </row>
    <row r="53" spans="3:10" hidden="1" x14ac:dyDescent="0.25">
      <c r="C53" s="6"/>
      <c r="E53" s="37">
        <v>49</v>
      </c>
      <c r="F53" s="19">
        <f t="shared" si="0"/>
        <v>248</v>
      </c>
      <c r="G53" s="19">
        <f t="shared" si="1"/>
        <v>149</v>
      </c>
      <c r="H53" s="19">
        <f t="shared" si="2"/>
        <v>0</v>
      </c>
      <c r="I53" s="19">
        <f t="shared" si="3"/>
        <v>0</v>
      </c>
      <c r="J53" s="22">
        <f t="shared" si="4"/>
        <v>4.0821917808219172</v>
      </c>
    </row>
    <row r="54" spans="3:10" hidden="1" x14ac:dyDescent="0.25">
      <c r="C54" s="6"/>
      <c r="E54" s="37">
        <v>50</v>
      </c>
      <c r="F54" s="19">
        <f t="shared" si="0"/>
        <v>149</v>
      </c>
      <c r="G54" s="19">
        <f t="shared" si="1"/>
        <v>50</v>
      </c>
      <c r="H54" s="19">
        <f t="shared" si="2"/>
        <v>1</v>
      </c>
      <c r="I54" s="19">
        <f t="shared" si="3"/>
        <v>200</v>
      </c>
      <c r="J54" s="22">
        <f t="shared" si="4"/>
        <v>1.3698630136986301</v>
      </c>
    </row>
    <row r="55" spans="3:10" hidden="1" x14ac:dyDescent="0.25">
      <c r="C55" s="6"/>
      <c r="E55" s="37">
        <v>51</v>
      </c>
      <c r="F55" s="19">
        <f t="shared" si="0"/>
        <v>1050</v>
      </c>
      <c r="G55" s="19">
        <f t="shared" si="1"/>
        <v>951</v>
      </c>
      <c r="H55" s="19">
        <f t="shared" si="2"/>
        <v>0</v>
      </c>
      <c r="I55" s="19">
        <f t="shared" si="3"/>
        <v>0</v>
      </c>
      <c r="J55" s="22">
        <f t="shared" si="4"/>
        <v>26.054794520547944</v>
      </c>
    </row>
    <row r="56" spans="3:10" hidden="1" x14ac:dyDescent="0.25">
      <c r="C56" s="6"/>
      <c r="E56" s="37">
        <v>52</v>
      </c>
      <c r="F56" s="19">
        <f t="shared" si="0"/>
        <v>951</v>
      </c>
      <c r="G56" s="19">
        <f t="shared" si="1"/>
        <v>852</v>
      </c>
      <c r="H56" s="19">
        <f t="shared" si="2"/>
        <v>0</v>
      </c>
      <c r="I56" s="19">
        <f t="shared" si="3"/>
        <v>0</v>
      </c>
      <c r="J56" s="22">
        <f t="shared" si="4"/>
        <v>23.342465753424655</v>
      </c>
    </row>
    <row r="57" spans="3:10" hidden="1" x14ac:dyDescent="0.25">
      <c r="C57" s="6"/>
      <c r="E57" s="37">
        <v>53</v>
      </c>
      <c r="F57" s="19">
        <f t="shared" si="0"/>
        <v>852</v>
      </c>
      <c r="G57" s="19">
        <f t="shared" si="1"/>
        <v>753</v>
      </c>
      <c r="H57" s="19">
        <f t="shared" si="2"/>
        <v>0</v>
      </c>
      <c r="I57" s="19">
        <f t="shared" si="3"/>
        <v>0</v>
      </c>
      <c r="J57" s="22">
        <f t="shared" si="4"/>
        <v>20.63013698630137</v>
      </c>
    </row>
    <row r="58" spans="3:10" hidden="1" x14ac:dyDescent="0.25">
      <c r="C58" s="6"/>
      <c r="E58" s="37">
        <v>54</v>
      </c>
      <c r="F58" s="19">
        <f t="shared" si="0"/>
        <v>753</v>
      </c>
      <c r="G58" s="19">
        <f t="shared" si="1"/>
        <v>654</v>
      </c>
      <c r="H58" s="19">
        <f t="shared" si="2"/>
        <v>0</v>
      </c>
      <c r="I58" s="19">
        <f t="shared" si="3"/>
        <v>0</v>
      </c>
      <c r="J58" s="22">
        <f t="shared" si="4"/>
        <v>17.917808219178081</v>
      </c>
    </row>
    <row r="59" spans="3:10" hidden="1" x14ac:dyDescent="0.25">
      <c r="C59" s="6"/>
      <c r="E59" s="37">
        <v>55</v>
      </c>
      <c r="F59" s="19">
        <f t="shared" si="0"/>
        <v>654</v>
      </c>
      <c r="G59" s="19">
        <f t="shared" si="1"/>
        <v>555</v>
      </c>
      <c r="H59" s="19">
        <f t="shared" si="2"/>
        <v>0</v>
      </c>
      <c r="I59" s="19">
        <f t="shared" si="3"/>
        <v>0</v>
      </c>
      <c r="J59" s="22">
        <f t="shared" si="4"/>
        <v>15.205479452054794</v>
      </c>
    </row>
    <row r="60" spans="3:10" hidden="1" x14ac:dyDescent="0.25">
      <c r="C60" s="6"/>
      <c r="E60" s="37">
        <v>56</v>
      </c>
      <c r="F60" s="19">
        <f t="shared" si="0"/>
        <v>555</v>
      </c>
      <c r="G60" s="19">
        <f t="shared" si="1"/>
        <v>456</v>
      </c>
      <c r="H60" s="19">
        <f t="shared" si="2"/>
        <v>0</v>
      </c>
      <c r="I60" s="19">
        <f t="shared" si="3"/>
        <v>0</v>
      </c>
      <c r="J60" s="22">
        <f t="shared" si="4"/>
        <v>12.493150684931507</v>
      </c>
    </row>
    <row r="61" spans="3:10" hidden="1" x14ac:dyDescent="0.25">
      <c r="C61" s="6"/>
      <c r="E61" s="37">
        <v>57</v>
      </c>
      <c r="F61" s="19">
        <f t="shared" si="0"/>
        <v>456</v>
      </c>
      <c r="G61" s="19">
        <f t="shared" si="1"/>
        <v>357</v>
      </c>
      <c r="H61" s="19">
        <f t="shared" si="2"/>
        <v>0</v>
      </c>
      <c r="I61" s="19">
        <f t="shared" si="3"/>
        <v>0</v>
      </c>
      <c r="J61" s="22">
        <f t="shared" si="4"/>
        <v>9.7808219178082183</v>
      </c>
    </row>
    <row r="62" spans="3:10" hidden="1" x14ac:dyDescent="0.25">
      <c r="C62" s="6"/>
      <c r="E62" s="37">
        <v>58</v>
      </c>
      <c r="F62" s="19">
        <f t="shared" si="0"/>
        <v>357</v>
      </c>
      <c r="G62" s="19">
        <f t="shared" si="1"/>
        <v>258</v>
      </c>
      <c r="H62" s="19">
        <f t="shared" si="2"/>
        <v>0</v>
      </c>
      <c r="I62" s="19">
        <f t="shared" si="3"/>
        <v>0</v>
      </c>
      <c r="J62" s="22">
        <f t="shared" si="4"/>
        <v>7.0684931506849313</v>
      </c>
    </row>
    <row r="63" spans="3:10" hidden="1" x14ac:dyDescent="0.25">
      <c r="C63" s="6"/>
      <c r="E63" s="37">
        <v>59</v>
      </c>
      <c r="F63" s="19">
        <f t="shared" si="0"/>
        <v>258</v>
      </c>
      <c r="G63" s="19">
        <f t="shared" si="1"/>
        <v>159</v>
      </c>
      <c r="H63" s="19">
        <f t="shared" si="2"/>
        <v>0</v>
      </c>
      <c r="I63" s="19">
        <f t="shared" si="3"/>
        <v>0</v>
      </c>
      <c r="J63" s="22">
        <f t="shared" si="4"/>
        <v>4.3561643835616435</v>
      </c>
    </row>
    <row r="64" spans="3:10" hidden="1" x14ac:dyDescent="0.25">
      <c r="C64" s="6"/>
      <c r="E64" s="37">
        <v>60</v>
      </c>
      <c r="F64" s="19">
        <f t="shared" si="0"/>
        <v>159</v>
      </c>
      <c r="G64" s="19">
        <f t="shared" si="1"/>
        <v>60</v>
      </c>
      <c r="H64" s="19">
        <f t="shared" si="2"/>
        <v>1</v>
      </c>
      <c r="I64" s="19">
        <f t="shared" si="3"/>
        <v>200</v>
      </c>
      <c r="J64" s="22">
        <f t="shared" si="4"/>
        <v>1.6438356164383561</v>
      </c>
    </row>
    <row r="65" spans="3:10" hidden="1" x14ac:dyDescent="0.25">
      <c r="C65" s="6"/>
      <c r="E65" s="37">
        <v>61</v>
      </c>
      <c r="F65" s="19">
        <f t="shared" si="0"/>
        <v>1060</v>
      </c>
      <c r="G65" s="19">
        <f t="shared" si="1"/>
        <v>961</v>
      </c>
      <c r="H65" s="19">
        <f t="shared" si="2"/>
        <v>0</v>
      </c>
      <c r="I65" s="19">
        <f t="shared" si="3"/>
        <v>0</v>
      </c>
      <c r="J65" s="22">
        <f t="shared" si="4"/>
        <v>26.328767123287669</v>
      </c>
    </row>
    <row r="66" spans="3:10" hidden="1" x14ac:dyDescent="0.25">
      <c r="C66" s="6"/>
      <c r="E66" s="37">
        <v>62</v>
      </c>
      <c r="F66" s="19">
        <f t="shared" si="0"/>
        <v>961</v>
      </c>
      <c r="G66" s="19">
        <f t="shared" si="1"/>
        <v>862</v>
      </c>
      <c r="H66" s="19">
        <f t="shared" si="2"/>
        <v>0</v>
      </c>
      <c r="I66" s="19">
        <f t="shared" si="3"/>
        <v>0</v>
      </c>
      <c r="J66" s="22">
        <f t="shared" si="4"/>
        <v>23.616438356164384</v>
      </c>
    </row>
    <row r="67" spans="3:10" hidden="1" x14ac:dyDescent="0.25">
      <c r="C67" s="6"/>
      <c r="E67" s="37">
        <v>63</v>
      </c>
      <c r="F67" s="19">
        <f t="shared" si="0"/>
        <v>862</v>
      </c>
      <c r="G67" s="19">
        <f t="shared" si="1"/>
        <v>763</v>
      </c>
      <c r="H67" s="19">
        <f t="shared" si="2"/>
        <v>0</v>
      </c>
      <c r="I67" s="19">
        <f t="shared" si="3"/>
        <v>0</v>
      </c>
      <c r="J67" s="22">
        <f t="shared" si="4"/>
        <v>20.904109589041095</v>
      </c>
    </row>
    <row r="68" spans="3:10" hidden="1" x14ac:dyDescent="0.25">
      <c r="C68" s="6"/>
      <c r="E68" s="37">
        <v>64</v>
      </c>
      <c r="F68" s="19">
        <f t="shared" si="0"/>
        <v>763</v>
      </c>
      <c r="G68" s="19">
        <f t="shared" si="1"/>
        <v>664</v>
      </c>
      <c r="H68" s="19">
        <f t="shared" si="2"/>
        <v>0</v>
      </c>
      <c r="I68" s="19">
        <f t="shared" si="3"/>
        <v>0</v>
      </c>
      <c r="J68" s="22">
        <f t="shared" si="4"/>
        <v>18.191780821917806</v>
      </c>
    </row>
    <row r="69" spans="3:10" hidden="1" x14ac:dyDescent="0.25">
      <c r="C69" s="6"/>
      <c r="E69" s="37">
        <v>65</v>
      </c>
      <c r="F69" s="19">
        <f t="shared" si="0"/>
        <v>664</v>
      </c>
      <c r="G69" s="19">
        <f t="shared" si="1"/>
        <v>565</v>
      </c>
      <c r="H69" s="19">
        <f t="shared" si="2"/>
        <v>0</v>
      </c>
      <c r="I69" s="19">
        <f t="shared" si="3"/>
        <v>0</v>
      </c>
      <c r="J69" s="22">
        <f t="shared" si="4"/>
        <v>15.479452054794519</v>
      </c>
    </row>
    <row r="70" spans="3:10" hidden="1" x14ac:dyDescent="0.25">
      <c r="C70" s="6"/>
      <c r="E70" s="37">
        <v>66</v>
      </c>
      <c r="F70" s="19">
        <f t="shared" ref="F70:F133" si="5">G69+H69*$C$9</f>
        <v>565</v>
      </c>
      <c r="G70" s="19">
        <f t="shared" ref="G70:G133" si="6">F70-$C$7</f>
        <v>466</v>
      </c>
      <c r="H70" s="19">
        <f t="shared" ref="H70:H133" si="7">IF(G70&lt;$C$7,1,0)</f>
        <v>0</v>
      </c>
      <c r="I70" s="19">
        <f t="shared" ref="I70:I133" si="8">H70*$C$4</f>
        <v>0</v>
      </c>
      <c r="J70" s="22">
        <f t="shared" ref="J70:J133" si="9">G70*$C$8</f>
        <v>12.767123287671232</v>
      </c>
    </row>
    <row r="71" spans="3:10" hidden="1" x14ac:dyDescent="0.25">
      <c r="C71" s="6"/>
      <c r="E71" s="37">
        <v>67</v>
      </c>
      <c r="F71" s="19">
        <f t="shared" si="5"/>
        <v>466</v>
      </c>
      <c r="G71" s="19">
        <f t="shared" si="6"/>
        <v>367</v>
      </c>
      <c r="H71" s="19">
        <f t="shared" si="7"/>
        <v>0</v>
      </c>
      <c r="I71" s="19">
        <f t="shared" si="8"/>
        <v>0</v>
      </c>
      <c r="J71" s="22">
        <f t="shared" si="9"/>
        <v>10.054794520547945</v>
      </c>
    </row>
    <row r="72" spans="3:10" hidden="1" x14ac:dyDescent="0.25">
      <c r="C72" s="6"/>
      <c r="E72" s="37">
        <v>68</v>
      </c>
      <c r="F72" s="19">
        <f t="shared" si="5"/>
        <v>367</v>
      </c>
      <c r="G72" s="19">
        <f t="shared" si="6"/>
        <v>268</v>
      </c>
      <c r="H72" s="19">
        <f t="shared" si="7"/>
        <v>0</v>
      </c>
      <c r="I72" s="19">
        <f t="shared" si="8"/>
        <v>0</v>
      </c>
      <c r="J72" s="22">
        <f t="shared" si="9"/>
        <v>7.3424657534246567</v>
      </c>
    </row>
    <row r="73" spans="3:10" hidden="1" x14ac:dyDescent="0.25">
      <c r="C73" s="6"/>
      <c r="E73" s="37">
        <v>69</v>
      </c>
      <c r="F73" s="19">
        <f t="shared" si="5"/>
        <v>268</v>
      </c>
      <c r="G73" s="19">
        <f t="shared" si="6"/>
        <v>169</v>
      </c>
      <c r="H73" s="19">
        <f t="shared" si="7"/>
        <v>0</v>
      </c>
      <c r="I73" s="19">
        <f t="shared" si="8"/>
        <v>0</v>
      </c>
      <c r="J73" s="22">
        <f t="shared" si="9"/>
        <v>4.6301369863013697</v>
      </c>
    </row>
    <row r="74" spans="3:10" hidden="1" x14ac:dyDescent="0.25">
      <c r="C74" s="6"/>
      <c r="E74" s="37">
        <v>70</v>
      </c>
      <c r="F74" s="19">
        <f t="shared" si="5"/>
        <v>169</v>
      </c>
      <c r="G74" s="19">
        <f t="shared" si="6"/>
        <v>70</v>
      </c>
      <c r="H74" s="19">
        <f t="shared" si="7"/>
        <v>1</v>
      </c>
      <c r="I74" s="19">
        <f t="shared" si="8"/>
        <v>200</v>
      </c>
      <c r="J74" s="22">
        <f t="shared" si="9"/>
        <v>1.9178082191780821</v>
      </c>
    </row>
    <row r="75" spans="3:10" hidden="1" x14ac:dyDescent="0.25">
      <c r="C75" s="6"/>
      <c r="E75" s="37">
        <v>71</v>
      </c>
      <c r="F75" s="19">
        <f t="shared" si="5"/>
        <v>1070</v>
      </c>
      <c r="G75" s="19">
        <f t="shared" si="6"/>
        <v>971</v>
      </c>
      <c r="H75" s="19">
        <f t="shared" si="7"/>
        <v>0</v>
      </c>
      <c r="I75" s="19">
        <f t="shared" si="8"/>
        <v>0</v>
      </c>
      <c r="J75" s="22">
        <f t="shared" si="9"/>
        <v>26.602739726027394</v>
      </c>
    </row>
    <row r="76" spans="3:10" hidden="1" x14ac:dyDescent="0.25">
      <c r="C76" s="6"/>
      <c r="E76" s="37">
        <v>72</v>
      </c>
      <c r="F76" s="19">
        <f t="shared" si="5"/>
        <v>971</v>
      </c>
      <c r="G76" s="19">
        <f t="shared" si="6"/>
        <v>872</v>
      </c>
      <c r="H76" s="19">
        <f t="shared" si="7"/>
        <v>0</v>
      </c>
      <c r="I76" s="19">
        <f t="shared" si="8"/>
        <v>0</v>
      </c>
      <c r="J76" s="22">
        <f t="shared" si="9"/>
        <v>23.890410958904109</v>
      </c>
    </row>
    <row r="77" spans="3:10" hidden="1" x14ac:dyDescent="0.25">
      <c r="C77" s="6"/>
      <c r="E77" s="37">
        <v>73</v>
      </c>
      <c r="F77" s="19">
        <f t="shared" si="5"/>
        <v>872</v>
      </c>
      <c r="G77" s="19">
        <f t="shared" si="6"/>
        <v>773</v>
      </c>
      <c r="H77" s="19">
        <f t="shared" si="7"/>
        <v>0</v>
      </c>
      <c r="I77" s="19">
        <f t="shared" si="8"/>
        <v>0</v>
      </c>
      <c r="J77" s="22">
        <f t="shared" si="9"/>
        <v>21.17808219178082</v>
      </c>
    </row>
    <row r="78" spans="3:10" hidden="1" x14ac:dyDescent="0.25">
      <c r="C78" s="6"/>
      <c r="E78" s="37">
        <v>74</v>
      </c>
      <c r="F78" s="19">
        <f t="shared" si="5"/>
        <v>773</v>
      </c>
      <c r="G78" s="19">
        <f t="shared" si="6"/>
        <v>674</v>
      </c>
      <c r="H78" s="19">
        <f t="shared" si="7"/>
        <v>0</v>
      </c>
      <c r="I78" s="19">
        <f t="shared" si="8"/>
        <v>0</v>
      </c>
      <c r="J78" s="22">
        <f t="shared" si="9"/>
        <v>18.465753424657532</v>
      </c>
    </row>
    <row r="79" spans="3:10" hidden="1" x14ac:dyDescent="0.25">
      <c r="C79" s="6"/>
      <c r="E79" s="37">
        <v>75</v>
      </c>
      <c r="F79" s="19">
        <f t="shared" si="5"/>
        <v>674</v>
      </c>
      <c r="G79" s="19">
        <f t="shared" si="6"/>
        <v>575</v>
      </c>
      <c r="H79" s="19">
        <f t="shared" si="7"/>
        <v>0</v>
      </c>
      <c r="I79" s="19">
        <f t="shared" si="8"/>
        <v>0</v>
      </c>
      <c r="J79" s="22">
        <f t="shared" si="9"/>
        <v>15.753424657534246</v>
      </c>
    </row>
    <row r="80" spans="3:10" hidden="1" x14ac:dyDescent="0.25">
      <c r="C80" s="6"/>
      <c r="E80" s="37">
        <v>76</v>
      </c>
      <c r="F80" s="19">
        <f t="shared" si="5"/>
        <v>575</v>
      </c>
      <c r="G80" s="19">
        <f t="shared" si="6"/>
        <v>476</v>
      </c>
      <c r="H80" s="19">
        <f t="shared" si="7"/>
        <v>0</v>
      </c>
      <c r="I80" s="19">
        <f t="shared" si="8"/>
        <v>0</v>
      </c>
      <c r="J80" s="22">
        <f t="shared" si="9"/>
        <v>13.041095890410958</v>
      </c>
    </row>
    <row r="81" spans="3:10" hidden="1" x14ac:dyDescent="0.25">
      <c r="C81" s="6"/>
      <c r="E81" s="37">
        <v>77</v>
      </c>
      <c r="F81" s="19">
        <f t="shared" si="5"/>
        <v>476</v>
      </c>
      <c r="G81" s="19">
        <f t="shared" si="6"/>
        <v>377</v>
      </c>
      <c r="H81" s="19">
        <f t="shared" si="7"/>
        <v>0</v>
      </c>
      <c r="I81" s="19">
        <f t="shared" si="8"/>
        <v>0</v>
      </c>
      <c r="J81" s="22">
        <f t="shared" si="9"/>
        <v>10.328767123287671</v>
      </c>
    </row>
    <row r="82" spans="3:10" hidden="1" x14ac:dyDescent="0.25">
      <c r="C82" s="6"/>
      <c r="E82" s="37">
        <v>78</v>
      </c>
      <c r="F82" s="19">
        <f t="shared" si="5"/>
        <v>377</v>
      </c>
      <c r="G82" s="19">
        <f t="shared" si="6"/>
        <v>278</v>
      </c>
      <c r="H82" s="19">
        <f t="shared" si="7"/>
        <v>0</v>
      </c>
      <c r="I82" s="19">
        <f t="shared" si="8"/>
        <v>0</v>
      </c>
      <c r="J82" s="22">
        <f t="shared" si="9"/>
        <v>7.6164383561643829</v>
      </c>
    </row>
    <row r="83" spans="3:10" hidden="1" x14ac:dyDescent="0.25">
      <c r="C83" s="6"/>
      <c r="E83" s="37">
        <v>79</v>
      </c>
      <c r="F83" s="19">
        <f t="shared" si="5"/>
        <v>278</v>
      </c>
      <c r="G83" s="19">
        <f t="shared" si="6"/>
        <v>179</v>
      </c>
      <c r="H83" s="19">
        <f t="shared" si="7"/>
        <v>0</v>
      </c>
      <c r="I83" s="19">
        <f t="shared" si="8"/>
        <v>0</v>
      </c>
      <c r="J83" s="22">
        <f t="shared" si="9"/>
        <v>4.904109589041096</v>
      </c>
    </row>
    <row r="84" spans="3:10" hidden="1" x14ac:dyDescent="0.25">
      <c r="C84" s="6"/>
      <c r="E84" s="37">
        <v>80</v>
      </c>
      <c r="F84" s="19">
        <f t="shared" si="5"/>
        <v>179</v>
      </c>
      <c r="G84" s="19">
        <f t="shared" si="6"/>
        <v>80</v>
      </c>
      <c r="H84" s="19">
        <f t="shared" si="7"/>
        <v>1</v>
      </c>
      <c r="I84" s="19">
        <f t="shared" si="8"/>
        <v>200</v>
      </c>
      <c r="J84" s="22">
        <f t="shared" si="9"/>
        <v>2.1917808219178081</v>
      </c>
    </row>
    <row r="85" spans="3:10" hidden="1" x14ac:dyDescent="0.25">
      <c r="C85" s="6"/>
      <c r="E85" s="37">
        <v>81</v>
      </c>
      <c r="F85" s="19">
        <f t="shared" si="5"/>
        <v>1080</v>
      </c>
      <c r="G85" s="19">
        <f t="shared" si="6"/>
        <v>981</v>
      </c>
      <c r="H85" s="19">
        <f t="shared" si="7"/>
        <v>0</v>
      </c>
      <c r="I85" s="19">
        <f t="shared" si="8"/>
        <v>0</v>
      </c>
      <c r="J85" s="22">
        <f t="shared" si="9"/>
        <v>26.876712328767123</v>
      </c>
    </row>
    <row r="86" spans="3:10" hidden="1" x14ac:dyDescent="0.25">
      <c r="C86" s="6"/>
      <c r="E86" s="37">
        <v>82</v>
      </c>
      <c r="F86" s="19">
        <f t="shared" si="5"/>
        <v>981</v>
      </c>
      <c r="G86" s="19">
        <f t="shared" si="6"/>
        <v>882</v>
      </c>
      <c r="H86" s="19">
        <f t="shared" si="7"/>
        <v>0</v>
      </c>
      <c r="I86" s="19">
        <f t="shared" si="8"/>
        <v>0</v>
      </c>
      <c r="J86" s="22">
        <f t="shared" si="9"/>
        <v>24.164383561643834</v>
      </c>
    </row>
    <row r="87" spans="3:10" hidden="1" x14ac:dyDescent="0.25">
      <c r="C87" s="6"/>
      <c r="E87" s="37">
        <v>83</v>
      </c>
      <c r="F87" s="19">
        <f t="shared" si="5"/>
        <v>882</v>
      </c>
      <c r="G87" s="19">
        <f t="shared" si="6"/>
        <v>783</v>
      </c>
      <c r="H87" s="19">
        <f t="shared" si="7"/>
        <v>0</v>
      </c>
      <c r="I87" s="19">
        <f t="shared" si="8"/>
        <v>0</v>
      </c>
      <c r="J87" s="22">
        <f t="shared" si="9"/>
        <v>21.452054794520546</v>
      </c>
    </row>
    <row r="88" spans="3:10" hidden="1" x14ac:dyDescent="0.25">
      <c r="C88" s="6"/>
      <c r="E88" s="37">
        <v>84</v>
      </c>
      <c r="F88" s="19">
        <f t="shared" si="5"/>
        <v>783</v>
      </c>
      <c r="G88" s="19">
        <f t="shared" si="6"/>
        <v>684</v>
      </c>
      <c r="H88" s="19">
        <f t="shared" si="7"/>
        <v>0</v>
      </c>
      <c r="I88" s="19">
        <f t="shared" si="8"/>
        <v>0</v>
      </c>
      <c r="J88" s="22">
        <f t="shared" si="9"/>
        <v>18.739726027397261</v>
      </c>
    </row>
    <row r="89" spans="3:10" hidden="1" x14ac:dyDescent="0.25">
      <c r="C89" s="6"/>
      <c r="E89" s="37">
        <v>85</v>
      </c>
      <c r="F89" s="19">
        <f t="shared" si="5"/>
        <v>684</v>
      </c>
      <c r="G89" s="19">
        <f t="shared" si="6"/>
        <v>585</v>
      </c>
      <c r="H89" s="19">
        <f t="shared" si="7"/>
        <v>0</v>
      </c>
      <c r="I89" s="19">
        <f t="shared" si="8"/>
        <v>0</v>
      </c>
      <c r="J89" s="22">
        <f t="shared" si="9"/>
        <v>16.027397260273972</v>
      </c>
    </row>
    <row r="90" spans="3:10" hidden="1" x14ac:dyDescent="0.25">
      <c r="C90" s="6"/>
      <c r="E90" s="37">
        <v>86</v>
      </c>
      <c r="F90" s="19">
        <f t="shared" si="5"/>
        <v>585</v>
      </c>
      <c r="G90" s="19">
        <f t="shared" si="6"/>
        <v>486</v>
      </c>
      <c r="H90" s="19">
        <f t="shared" si="7"/>
        <v>0</v>
      </c>
      <c r="I90" s="19">
        <f t="shared" si="8"/>
        <v>0</v>
      </c>
      <c r="J90" s="22">
        <f t="shared" si="9"/>
        <v>13.315068493150685</v>
      </c>
    </row>
    <row r="91" spans="3:10" hidden="1" x14ac:dyDescent="0.25">
      <c r="C91" s="6"/>
      <c r="E91" s="37">
        <v>87</v>
      </c>
      <c r="F91" s="19">
        <f t="shared" si="5"/>
        <v>486</v>
      </c>
      <c r="G91" s="19">
        <f t="shared" si="6"/>
        <v>387</v>
      </c>
      <c r="H91" s="19">
        <f t="shared" si="7"/>
        <v>0</v>
      </c>
      <c r="I91" s="19">
        <f t="shared" si="8"/>
        <v>0</v>
      </c>
      <c r="J91" s="22">
        <f t="shared" si="9"/>
        <v>10.602739726027396</v>
      </c>
    </row>
    <row r="92" spans="3:10" hidden="1" x14ac:dyDescent="0.25">
      <c r="C92" s="6"/>
      <c r="E92" s="37">
        <v>88</v>
      </c>
      <c r="F92" s="19">
        <f t="shared" si="5"/>
        <v>387</v>
      </c>
      <c r="G92" s="19">
        <f t="shared" si="6"/>
        <v>288</v>
      </c>
      <c r="H92" s="19">
        <f t="shared" si="7"/>
        <v>0</v>
      </c>
      <c r="I92" s="19">
        <f t="shared" si="8"/>
        <v>0</v>
      </c>
      <c r="J92" s="22">
        <f t="shared" si="9"/>
        <v>7.8904109589041092</v>
      </c>
    </row>
    <row r="93" spans="3:10" hidden="1" x14ac:dyDescent="0.25">
      <c r="C93" s="6"/>
      <c r="E93" s="37">
        <v>89</v>
      </c>
      <c r="F93" s="19">
        <f t="shared" si="5"/>
        <v>288</v>
      </c>
      <c r="G93" s="19">
        <f t="shared" si="6"/>
        <v>189</v>
      </c>
      <c r="H93" s="19">
        <f t="shared" si="7"/>
        <v>0</v>
      </c>
      <c r="I93" s="19">
        <f t="shared" si="8"/>
        <v>0</v>
      </c>
      <c r="J93" s="22">
        <f t="shared" si="9"/>
        <v>5.1780821917808213</v>
      </c>
    </row>
    <row r="94" spans="3:10" hidden="1" x14ac:dyDescent="0.25">
      <c r="C94" s="6"/>
      <c r="E94" s="37">
        <v>90</v>
      </c>
      <c r="F94" s="19">
        <f t="shared" si="5"/>
        <v>189</v>
      </c>
      <c r="G94" s="19">
        <f t="shared" si="6"/>
        <v>90</v>
      </c>
      <c r="H94" s="19">
        <f t="shared" si="7"/>
        <v>1</v>
      </c>
      <c r="I94" s="19">
        <f t="shared" si="8"/>
        <v>200</v>
      </c>
      <c r="J94" s="22">
        <f t="shared" si="9"/>
        <v>2.4657534246575343</v>
      </c>
    </row>
    <row r="95" spans="3:10" hidden="1" x14ac:dyDescent="0.25">
      <c r="C95" s="6"/>
      <c r="E95" s="37">
        <v>91</v>
      </c>
      <c r="F95" s="19">
        <f t="shared" si="5"/>
        <v>1090</v>
      </c>
      <c r="G95" s="19">
        <f t="shared" si="6"/>
        <v>991</v>
      </c>
      <c r="H95" s="19">
        <f t="shared" si="7"/>
        <v>0</v>
      </c>
      <c r="I95" s="19">
        <f t="shared" si="8"/>
        <v>0</v>
      </c>
      <c r="J95" s="22">
        <f t="shared" si="9"/>
        <v>27.150684931506849</v>
      </c>
    </row>
    <row r="96" spans="3:10" hidden="1" x14ac:dyDescent="0.25">
      <c r="C96" s="6"/>
      <c r="E96" s="37">
        <v>92</v>
      </c>
      <c r="F96" s="19">
        <f t="shared" si="5"/>
        <v>991</v>
      </c>
      <c r="G96" s="19">
        <f t="shared" si="6"/>
        <v>892</v>
      </c>
      <c r="H96" s="19">
        <f t="shared" si="7"/>
        <v>0</v>
      </c>
      <c r="I96" s="19">
        <f t="shared" si="8"/>
        <v>0</v>
      </c>
      <c r="J96" s="22">
        <f t="shared" si="9"/>
        <v>24.43835616438356</v>
      </c>
    </row>
    <row r="97" spans="3:10" hidden="1" x14ac:dyDescent="0.25">
      <c r="C97" s="6"/>
      <c r="E97" s="37">
        <v>93</v>
      </c>
      <c r="F97" s="19">
        <f t="shared" si="5"/>
        <v>892</v>
      </c>
      <c r="G97" s="19">
        <f t="shared" si="6"/>
        <v>793</v>
      </c>
      <c r="H97" s="19">
        <f t="shared" si="7"/>
        <v>0</v>
      </c>
      <c r="I97" s="19">
        <f t="shared" si="8"/>
        <v>0</v>
      </c>
      <c r="J97" s="22">
        <f t="shared" si="9"/>
        <v>21.726027397260271</v>
      </c>
    </row>
    <row r="98" spans="3:10" hidden="1" x14ac:dyDescent="0.25">
      <c r="C98" s="6"/>
      <c r="E98" s="37">
        <v>94</v>
      </c>
      <c r="F98" s="19">
        <f t="shared" si="5"/>
        <v>793</v>
      </c>
      <c r="G98" s="19">
        <f t="shared" si="6"/>
        <v>694</v>
      </c>
      <c r="H98" s="19">
        <f t="shared" si="7"/>
        <v>0</v>
      </c>
      <c r="I98" s="19">
        <f t="shared" si="8"/>
        <v>0</v>
      </c>
      <c r="J98" s="22">
        <f t="shared" si="9"/>
        <v>19.013698630136986</v>
      </c>
    </row>
    <row r="99" spans="3:10" hidden="1" x14ac:dyDescent="0.25">
      <c r="C99" s="6"/>
      <c r="E99" s="37">
        <v>95</v>
      </c>
      <c r="F99" s="19">
        <f t="shared" si="5"/>
        <v>694</v>
      </c>
      <c r="G99" s="19">
        <f t="shared" si="6"/>
        <v>595</v>
      </c>
      <c r="H99" s="19">
        <f t="shared" si="7"/>
        <v>0</v>
      </c>
      <c r="I99" s="19">
        <f t="shared" si="8"/>
        <v>0</v>
      </c>
      <c r="J99" s="22">
        <f t="shared" si="9"/>
        <v>16.301369863013697</v>
      </c>
    </row>
    <row r="100" spans="3:10" hidden="1" x14ac:dyDescent="0.25">
      <c r="C100" s="6"/>
      <c r="E100" s="37">
        <v>96</v>
      </c>
      <c r="F100" s="19">
        <f t="shared" si="5"/>
        <v>595</v>
      </c>
      <c r="G100" s="19">
        <f t="shared" si="6"/>
        <v>496</v>
      </c>
      <c r="H100" s="19">
        <f t="shared" si="7"/>
        <v>0</v>
      </c>
      <c r="I100" s="19">
        <f t="shared" si="8"/>
        <v>0</v>
      </c>
      <c r="J100" s="22">
        <f t="shared" si="9"/>
        <v>13.58904109589041</v>
      </c>
    </row>
    <row r="101" spans="3:10" hidden="1" x14ac:dyDescent="0.25">
      <c r="C101" s="6"/>
      <c r="E101" s="37">
        <v>97</v>
      </c>
      <c r="F101" s="19">
        <f t="shared" si="5"/>
        <v>496</v>
      </c>
      <c r="G101" s="19">
        <f t="shared" si="6"/>
        <v>397</v>
      </c>
      <c r="H101" s="19">
        <f t="shared" si="7"/>
        <v>0</v>
      </c>
      <c r="I101" s="19">
        <f t="shared" si="8"/>
        <v>0</v>
      </c>
      <c r="J101" s="22">
        <f t="shared" si="9"/>
        <v>10.876712328767123</v>
      </c>
    </row>
    <row r="102" spans="3:10" hidden="1" x14ac:dyDescent="0.25">
      <c r="C102" s="6"/>
      <c r="E102" s="37">
        <v>98</v>
      </c>
      <c r="F102" s="19">
        <f t="shared" si="5"/>
        <v>397</v>
      </c>
      <c r="G102" s="19">
        <f t="shared" si="6"/>
        <v>298</v>
      </c>
      <c r="H102" s="19">
        <f t="shared" si="7"/>
        <v>0</v>
      </c>
      <c r="I102" s="19">
        <f t="shared" si="8"/>
        <v>0</v>
      </c>
      <c r="J102" s="22">
        <f t="shared" si="9"/>
        <v>8.1643835616438345</v>
      </c>
    </row>
    <row r="103" spans="3:10" hidden="1" x14ac:dyDescent="0.25">
      <c r="C103" s="6"/>
      <c r="E103" s="37">
        <v>99</v>
      </c>
      <c r="F103" s="19">
        <f t="shared" si="5"/>
        <v>298</v>
      </c>
      <c r="G103" s="19">
        <f t="shared" si="6"/>
        <v>199</v>
      </c>
      <c r="H103" s="19">
        <f t="shared" si="7"/>
        <v>0</v>
      </c>
      <c r="I103" s="19">
        <f t="shared" si="8"/>
        <v>0</v>
      </c>
      <c r="J103" s="22">
        <f t="shared" si="9"/>
        <v>5.4520547945205475</v>
      </c>
    </row>
    <row r="104" spans="3:10" hidden="1" x14ac:dyDescent="0.25">
      <c r="C104" s="6"/>
      <c r="E104" s="37">
        <v>100</v>
      </c>
      <c r="F104" s="19">
        <f t="shared" si="5"/>
        <v>199</v>
      </c>
      <c r="G104" s="19">
        <f t="shared" si="6"/>
        <v>100</v>
      </c>
      <c r="H104" s="19">
        <f t="shared" si="7"/>
        <v>0</v>
      </c>
      <c r="I104" s="19">
        <f t="shared" si="8"/>
        <v>0</v>
      </c>
      <c r="J104" s="22">
        <f t="shared" si="9"/>
        <v>2.7397260273972601</v>
      </c>
    </row>
    <row r="105" spans="3:10" hidden="1" x14ac:dyDescent="0.25">
      <c r="C105" s="6"/>
      <c r="E105" s="37">
        <v>101</v>
      </c>
      <c r="F105" s="19">
        <f t="shared" si="5"/>
        <v>100</v>
      </c>
      <c r="G105" s="19">
        <f t="shared" si="6"/>
        <v>1</v>
      </c>
      <c r="H105" s="19">
        <f t="shared" si="7"/>
        <v>1</v>
      </c>
      <c r="I105" s="19">
        <f t="shared" si="8"/>
        <v>200</v>
      </c>
      <c r="J105" s="22">
        <f t="shared" si="9"/>
        <v>2.7397260273972601E-2</v>
      </c>
    </row>
    <row r="106" spans="3:10" hidden="1" x14ac:dyDescent="0.25">
      <c r="C106" s="6"/>
      <c r="E106" s="37">
        <v>102</v>
      </c>
      <c r="F106" s="19">
        <f t="shared" si="5"/>
        <v>1001</v>
      </c>
      <c r="G106" s="19">
        <f t="shared" si="6"/>
        <v>902</v>
      </c>
      <c r="H106" s="19">
        <f t="shared" si="7"/>
        <v>0</v>
      </c>
      <c r="I106" s="19">
        <f t="shared" si="8"/>
        <v>0</v>
      </c>
      <c r="J106" s="22">
        <f t="shared" si="9"/>
        <v>24.712328767123285</v>
      </c>
    </row>
    <row r="107" spans="3:10" hidden="1" x14ac:dyDescent="0.25">
      <c r="C107" s="6"/>
      <c r="E107" s="37">
        <v>103</v>
      </c>
      <c r="F107" s="19">
        <f t="shared" si="5"/>
        <v>902</v>
      </c>
      <c r="G107" s="19">
        <f t="shared" si="6"/>
        <v>803</v>
      </c>
      <c r="H107" s="19">
        <f t="shared" si="7"/>
        <v>0</v>
      </c>
      <c r="I107" s="19">
        <f t="shared" si="8"/>
        <v>0</v>
      </c>
      <c r="J107" s="22">
        <f t="shared" si="9"/>
        <v>22</v>
      </c>
    </row>
    <row r="108" spans="3:10" hidden="1" x14ac:dyDescent="0.25">
      <c r="C108" s="6"/>
      <c r="E108" s="37">
        <v>104</v>
      </c>
      <c r="F108" s="19">
        <f t="shared" si="5"/>
        <v>803</v>
      </c>
      <c r="G108" s="19">
        <f t="shared" si="6"/>
        <v>704</v>
      </c>
      <c r="H108" s="19">
        <f t="shared" si="7"/>
        <v>0</v>
      </c>
      <c r="I108" s="19">
        <f t="shared" si="8"/>
        <v>0</v>
      </c>
      <c r="J108" s="22">
        <f t="shared" si="9"/>
        <v>19.287671232876711</v>
      </c>
    </row>
    <row r="109" spans="3:10" hidden="1" x14ac:dyDescent="0.25">
      <c r="C109" s="6"/>
      <c r="E109" s="37">
        <v>105</v>
      </c>
      <c r="F109" s="19">
        <f t="shared" si="5"/>
        <v>704</v>
      </c>
      <c r="G109" s="19">
        <f t="shared" si="6"/>
        <v>605</v>
      </c>
      <c r="H109" s="19">
        <f t="shared" si="7"/>
        <v>0</v>
      </c>
      <c r="I109" s="19">
        <f t="shared" si="8"/>
        <v>0</v>
      </c>
      <c r="J109" s="22">
        <f t="shared" si="9"/>
        <v>16.575342465753423</v>
      </c>
    </row>
    <row r="110" spans="3:10" hidden="1" x14ac:dyDescent="0.25">
      <c r="C110" s="6"/>
      <c r="E110" s="37">
        <v>106</v>
      </c>
      <c r="F110" s="19">
        <f t="shared" si="5"/>
        <v>605</v>
      </c>
      <c r="G110" s="19">
        <f t="shared" si="6"/>
        <v>506</v>
      </c>
      <c r="H110" s="19">
        <f t="shared" si="7"/>
        <v>0</v>
      </c>
      <c r="I110" s="19">
        <f t="shared" si="8"/>
        <v>0</v>
      </c>
      <c r="J110" s="22">
        <f t="shared" si="9"/>
        <v>13.863013698630136</v>
      </c>
    </row>
    <row r="111" spans="3:10" hidden="1" x14ac:dyDescent="0.25">
      <c r="C111" s="6"/>
      <c r="E111" s="37">
        <v>107</v>
      </c>
      <c r="F111" s="19">
        <f t="shared" si="5"/>
        <v>506</v>
      </c>
      <c r="G111" s="19">
        <f t="shared" si="6"/>
        <v>407</v>
      </c>
      <c r="H111" s="19">
        <f t="shared" si="7"/>
        <v>0</v>
      </c>
      <c r="I111" s="19">
        <f t="shared" si="8"/>
        <v>0</v>
      </c>
      <c r="J111" s="22">
        <f t="shared" si="9"/>
        <v>11.150684931506849</v>
      </c>
    </row>
    <row r="112" spans="3:10" hidden="1" x14ac:dyDescent="0.25">
      <c r="C112" s="6"/>
      <c r="E112" s="37">
        <v>108</v>
      </c>
      <c r="F112" s="19">
        <f t="shared" si="5"/>
        <v>407</v>
      </c>
      <c r="G112" s="19">
        <f t="shared" si="6"/>
        <v>308</v>
      </c>
      <c r="H112" s="19">
        <f t="shared" si="7"/>
        <v>0</v>
      </c>
      <c r="I112" s="19">
        <f t="shared" si="8"/>
        <v>0</v>
      </c>
      <c r="J112" s="22">
        <f t="shared" si="9"/>
        <v>8.4383561643835616</v>
      </c>
    </row>
    <row r="113" spans="3:10" hidden="1" x14ac:dyDescent="0.25">
      <c r="C113" s="6"/>
      <c r="E113" s="37">
        <v>109</v>
      </c>
      <c r="F113" s="19">
        <f t="shared" si="5"/>
        <v>308</v>
      </c>
      <c r="G113" s="19">
        <f t="shared" si="6"/>
        <v>209</v>
      </c>
      <c r="H113" s="19">
        <f t="shared" si="7"/>
        <v>0</v>
      </c>
      <c r="I113" s="19">
        <f t="shared" si="8"/>
        <v>0</v>
      </c>
      <c r="J113" s="22">
        <f t="shared" si="9"/>
        <v>5.7260273972602738</v>
      </c>
    </row>
    <row r="114" spans="3:10" hidden="1" x14ac:dyDescent="0.25">
      <c r="C114" s="6"/>
      <c r="E114" s="37">
        <v>110</v>
      </c>
      <c r="F114" s="19">
        <f t="shared" si="5"/>
        <v>209</v>
      </c>
      <c r="G114" s="19">
        <f t="shared" si="6"/>
        <v>110</v>
      </c>
      <c r="H114" s="19">
        <f t="shared" si="7"/>
        <v>0</v>
      </c>
      <c r="I114" s="19">
        <f t="shared" si="8"/>
        <v>0</v>
      </c>
      <c r="J114" s="22">
        <f t="shared" si="9"/>
        <v>3.0136986301369859</v>
      </c>
    </row>
    <row r="115" spans="3:10" hidden="1" x14ac:dyDescent="0.25">
      <c r="C115" s="6"/>
      <c r="E115" s="37">
        <v>111</v>
      </c>
      <c r="F115" s="19">
        <f t="shared" si="5"/>
        <v>110</v>
      </c>
      <c r="G115" s="19">
        <f t="shared" si="6"/>
        <v>11</v>
      </c>
      <c r="H115" s="19">
        <f t="shared" si="7"/>
        <v>1</v>
      </c>
      <c r="I115" s="19">
        <f t="shared" si="8"/>
        <v>200</v>
      </c>
      <c r="J115" s="22">
        <f t="shared" si="9"/>
        <v>0.30136986301369861</v>
      </c>
    </row>
    <row r="116" spans="3:10" hidden="1" x14ac:dyDescent="0.25">
      <c r="C116" s="6"/>
      <c r="E116" s="37">
        <v>112</v>
      </c>
      <c r="F116" s="19">
        <f t="shared" si="5"/>
        <v>1011</v>
      </c>
      <c r="G116" s="19">
        <f t="shared" si="6"/>
        <v>912</v>
      </c>
      <c r="H116" s="19">
        <f t="shared" si="7"/>
        <v>0</v>
      </c>
      <c r="I116" s="19">
        <f t="shared" si="8"/>
        <v>0</v>
      </c>
      <c r="J116" s="22">
        <f t="shared" si="9"/>
        <v>24.986301369863014</v>
      </c>
    </row>
    <row r="117" spans="3:10" hidden="1" x14ac:dyDescent="0.25">
      <c r="C117" s="6"/>
      <c r="E117" s="37">
        <v>113</v>
      </c>
      <c r="F117" s="19">
        <f t="shared" si="5"/>
        <v>912</v>
      </c>
      <c r="G117" s="19">
        <f t="shared" si="6"/>
        <v>813</v>
      </c>
      <c r="H117" s="19">
        <f t="shared" si="7"/>
        <v>0</v>
      </c>
      <c r="I117" s="19">
        <f t="shared" si="8"/>
        <v>0</v>
      </c>
      <c r="J117" s="22">
        <f t="shared" si="9"/>
        <v>22.273972602739725</v>
      </c>
    </row>
    <row r="118" spans="3:10" hidden="1" x14ac:dyDescent="0.25">
      <c r="C118" s="6"/>
      <c r="E118" s="37">
        <v>114</v>
      </c>
      <c r="F118" s="19">
        <f t="shared" si="5"/>
        <v>813</v>
      </c>
      <c r="G118" s="19">
        <f t="shared" si="6"/>
        <v>714</v>
      </c>
      <c r="H118" s="19">
        <f t="shared" si="7"/>
        <v>0</v>
      </c>
      <c r="I118" s="19">
        <f t="shared" si="8"/>
        <v>0</v>
      </c>
      <c r="J118" s="22">
        <f t="shared" si="9"/>
        <v>19.561643835616437</v>
      </c>
    </row>
    <row r="119" spans="3:10" hidden="1" x14ac:dyDescent="0.25">
      <c r="C119" s="6"/>
      <c r="E119" s="37">
        <v>115</v>
      </c>
      <c r="F119" s="19">
        <f t="shared" si="5"/>
        <v>714</v>
      </c>
      <c r="G119" s="19">
        <f t="shared" si="6"/>
        <v>615</v>
      </c>
      <c r="H119" s="19">
        <f t="shared" si="7"/>
        <v>0</v>
      </c>
      <c r="I119" s="19">
        <f t="shared" si="8"/>
        <v>0</v>
      </c>
      <c r="J119" s="22">
        <f t="shared" si="9"/>
        <v>16.849315068493151</v>
      </c>
    </row>
    <row r="120" spans="3:10" hidden="1" x14ac:dyDescent="0.25">
      <c r="C120" s="6"/>
      <c r="E120" s="37">
        <v>116</v>
      </c>
      <c r="F120" s="19">
        <f t="shared" si="5"/>
        <v>615</v>
      </c>
      <c r="G120" s="19">
        <f t="shared" si="6"/>
        <v>516</v>
      </c>
      <c r="H120" s="19">
        <f t="shared" si="7"/>
        <v>0</v>
      </c>
      <c r="I120" s="19">
        <f t="shared" si="8"/>
        <v>0</v>
      </c>
      <c r="J120" s="22">
        <f t="shared" si="9"/>
        <v>14.136986301369863</v>
      </c>
    </row>
    <row r="121" spans="3:10" hidden="1" x14ac:dyDescent="0.25">
      <c r="C121" s="6"/>
      <c r="E121" s="37">
        <v>117</v>
      </c>
      <c r="F121" s="19">
        <f t="shared" si="5"/>
        <v>516</v>
      </c>
      <c r="G121" s="19">
        <f t="shared" si="6"/>
        <v>417</v>
      </c>
      <c r="H121" s="19">
        <f t="shared" si="7"/>
        <v>0</v>
      </c>
      <c r="I121" s="19">
        <f t="shared" si="8"/>
        <v>0</v>
      </c>
      <c r="J121" s="22">
        <f t="shared" si="9"/>
        <v>11.424657534246574</v>
      </c>
    </row>
    <row r="122" spans="3:10" hidden="1" x14ac:dyDescent="0.25">
      <c r="C122" s="6"/>
      <c r="E122" s="37">
        <v>118</v>
      </c>
      <c r="F122" s="19">
        <f t="shared" si="5"/>
        <v>417</v>
      </c>
      <c r="G122" s="19">
        <f t="shared" si="6"/>
        <v>318</v>
      </c>
      <c r="H122" s="19">
        <f t="shared" si="7"/>
        <v>0</v>
      </c>
      <c r="I122" s="19">
        <f t="shared" si="8"/>
        <v>0</v>
      </c>
      <c r="J122" s="22">
        <f t="shared" si="9"/>
        <v>8.712328767123287</v>
      </c>
    </row>
    <row r="123" spans="3:10" hidden="1" x14ac:dyDescent="0.25">
      <c r="C123" s="6"/>
      <c r="E123" s="37">
        <v>119</v>
      </c>
      <c r="F123" s="19">
        <f t="shared" si="5"/>
        <v>318</v>
      </c>
      <c r="G123" s="19">
        <f t="shared" si="6"/>
        <v>219</v>
      </c>
      <c r="H123" s="19">
        <f t="shared" si="7"/>
        <v>0</v>
      </c>
      <c r="I123" s="19">
        <f t="shared" si="8"/>
        <v>0</v>
      </c>
      <c r="J123" s="22">
        <f t="shared" si="9"/>
        <v>6</v>
      </c>
    </row>
    <row r="124" spans="3:10" hidden="1" x14ac:dyDescent="0.25">
      <c r="C124" s="6"/>
      <c r="E124" s="37">
        <v>120</v>
      </c>
      <c r="F124" s="19">
        <f t="shared" si="5"/>
        <v>219</v>
      </c>
      <c r="G124" s="19">
        <f t="shared" si="6"/>
        <v>120</v>
      </c>
      <c r="H124" s="19">
        <f t="shared" si="7"/>
        <v>0</v>
      </c>
      <c r="I124" s="19">
        <f t="shared" si="8"/>
        <v>0</v>
      </c>
      <c r="J124" s="22">
        <f t="shared" si="9"/>
        <v>3.2876712328767121</v>
      </c>
    </row>
    <row r="125" spans="3:10" hidden="1" x14ac:dyDescent="0.25">
      <c r="C125" s="6"/>
      <c r="E125" s="37">
        <v>121</v>
      </c>
      <c r="F125" s="19">
        <f t="shared" si="5"/>
        <v>120</v>
      </c>
      <c r="G125" s="19">
        <f t="shared" si="6"/>
        <v>21</v>
      </c>
      <c r="H125" s="19">
        <f t="shared" si="7"/>
        <v>1</v>
      </c>
      <c r="I125" s="19">
        <f t="shared" si="8"/>
        <v>200</v>
      </c>
      <c r="J125" s="22">
        <f t="shared" si="9"/>
        <v>0.57534246575342463</v>
      </c>
    </row>
    <row r="126" spans="3:10" hidden="1" x14ac:dyDescent="0.25">
      <c r="C126" s="6"/>
      <c r="E126" s="37">
        <v>122</v>
      </c>
      <c r="F126" s="19">
        <f t="shared" si="5"/>
        <v>1021</v>
      </c>
      <c r="G126" s="19">
        <f t="shared" si="6"/>
        <v>922</v>
      </c>
      <c r="H126" s="19">
        <f t="shared" si="7"/>
        <v>0</v>
      </c>
      <c r="I126" s="19">
        <f t="shared" si="8"/>
        <v>0</v>
      </c>
      <c r="J126" s="22">
        <f t="shared" si="9"/>
        <v>25.260273972602739</v>
      </c>
    </row>
    <row r="127" spans="3:10" hidden="1" x14ac:dyDescent="0.25">
      <c r="C127" s="6"/>
      <c r="E127" s="37">
        <v>123</v>
      </c>
      <c r="F127" s="19">
        <f t="shared" si="5"/>
        <v>922</v>
      </c>
      <c r="G127" s="19">
        <f t="shared" si="6"/>
        <v>823</v>
      </c>
      <c r="H127" s="19">
        <f t="shared" si="7"/>
        <v>0</v>
      </c>
      <c r="I127" s="19">
        <f t="shared" si="8"/>
        <v>0</v>
      </c>
      <c r="J127" s="22">
        <f t="shared" si="9"/>
        <v>22.547945205479451</v>
      </c>
    </row>
    <row r="128" spans="3:10" hidden="1" x14ac:dyDescent="0.25">
      <c r="C128" s="6"/>
      <c r="E128" s="37">
        <v>124</v>
      </c>
      <c r="F128" s="19">
        <f t="shared" si="5"/>
        <v>823</v>
      </c>
      <c r="G128" s="19">
        <f t="shared" si="6"/>
        <v>724</v>
      </c>
      <c r="H128" s="19">
        <f t="shared" si="7"/>
        <v>0</v>
      </c>
      <c r="I128" s="19">
        <f t="shared" si="8"/>
        <v>0</v>
      </c>
      <c r="J128" s="22">
        <f t="shared" si="9"/>
        <v>19.835616438356162</v>
      </c>
    </row>
    <row r="129" spans="3:10" hidden="1" x14ac:dyDescent="0.25">
      <c r="C129" s="6"/>
      <c r="E129" s="37">
        <v>125</v>
      </c>
      <c r="F129" s="19">
        <f t="shared" si="5"/>
        <v>724</v>
      </c>
      <c r="G129" s="19">
        <f t="shared" si="6"/>
        <v>625</v>
      </c>
      <c r="H129" s="19">
        <f t="shared" si="7"/>
        <v>0</v>
      </c>
      <c r="I129" s="19">
        <f t="shared" si="8"/>
        <v>0</v>
      </c>
      <c r="J129" s="22">
        <f t="shared" si="9"/>
        <v>17.123287671232877</v>
      </c>
    </row>
    <row r="130" spans="3:10" hidden="1" x14ac:dyDescent="0.25">
      <c r="C130" s="6"/>
      <c r="E130" s="37">
        <v>126</v>
      </c>
      <c r="F130" s="19">
        <f t="shared" si="5"/>
        <v>625</v>
      </c>
      <c r="G130" s="19">
        <f t="shared" si="6"/>
        <v>526</v>
      </c>
      <c r="H130" s="19">
        <f t="shared" si="7"/>
        <v>0</v>
      </c>
      <c r="I130" s="19">
        <f t="shared" si="8"/>
        <v>0</v>
      </c>
      <c r="J130" s="22">
        <f t="shared" si="9"/>
        <v>14.410958904109588</v>
      </c>
    </row>
    <row r="131" spans="3:10" hidden="1" x14ac:dyDescent="0.25">
      <c r="C131" s="6"/>
      <c r="E131" s="37">
        <v>127</v>
      </c>
      <c r="F131" s="19">
        <f t="shared" si="5"/>
        <v>526</v>
      </c>
      <c r="G131" s="19">
        <f t="shared" si="6"/>
        <v>427</v>
      </c>
      <c r="H131" s="19">
        <f t="shared" si="7"/>
        <v>0</v>
      </c>
      <c r="I131" s="19">
        <f t="shared" si="8"/>
        <v>0</v>
      </c>
      <c r="J131" s="22">
        <f t="shared" si="9"/>
        <v>11.698630136986301</v>
      </c>
    </row>
    <row r="132" spans="3:10" hidden="1" x14ac:dyDescent="0.25">
      <c r="C132" s="6"/>
      <c r="E132" s="37">
        <v>128</v>
      </c>
      <c r="F132" s="19">
        <f t="shared" si="5"/>
        <v>427</v>
      </c>
      <c r="G132" s="19">
        <f t="shared" si="6"/>
        <v>328</v>
      </c>
      <c r="H132" s="19">
        <f t="shared" si="7"/>
        <v>0</v>
      </c>
      <c r="I132" s="19">
        <f t="shared" si="8"/>
        <v>0</v>
      </c>
      <c r="J132" s="22">
        <f t="shared" si="9"/>
        <v>8.9863013698630141</v>
      </c>
    </row>
    <row r="133" spans="3:10" hidden="1" x14ac:dyDescent="0.25">
      <c r="C133" s="6"/>
      <c r="E133" s="37">
        <v>129</v>
      </c>
      <c r="F133" s="19">
        <f t="shared" si="5"/>
        <v>328</v>
      </c>
      <c r="G133" s="19">
        <f t="shared" si="6"/>
        <v>229</v>
      </c>
      <c r="H133" s="19">
        <f t="shared" si="7"/>
        <v>0</v>
      </c>
      <c r="I133" s="19">
        <f t="shared" si="8"/>
        <v>0</v>
      </c>
      <c r="J133" s="22">
        <f t="shared" si="9"/>
        <v>6.2739726027397253</v>
      </c>
    </row>
    <row r="134" spans="3:10" hidden="1" x14ac:dyDescent="0.25">
      <c r="C134" s="6"/>
      <c r="E134" s="37">
        <v>130</v>
      </c>
      <c r="F134" s="19">
        <f t="shared" ref="F134:F197" si="10">G133+H133*$C$9</f>
        <v>229</v>
      </c>
      <c r="G134" s="19">
        <f t="shared" ref="G134:G197" si="11">F134-$C$7</f>
        <v>130</v>
      </c>
      <c r="H134" s="19">
        <f t="shared" ref="H134:H197" si="12">IF(G134&lt;$C$7,1,0)</f>
        <v>0</v>
      </c>
      <c r="I134" s="19">
        <f t="shared" ref="I134:I197" si="13">H134*$C$4</f>
        <v>0</v>
      </c>
      <c r="J134" s="22">
        <f t="shared" ref="J134:J197" si="14">G134*$C$8</f>
        <v>3.5616438356164384</v>
      </c>
    </row>
    <row r="135" spans="3:10" hidden="1" x14ac:dyDescent="0.25">
      <c r="C135" s="6"/>
      <c r="E135" s="37">
        <v>131</v>
      </c>
      <c r="F135" s="19">
        <f t="shared" si="10"/>
        <v>130</v>
      </c>
      <c r="G135" s="19">
        <f t="shared" si="11"/>
        <v>31</v>
      </c>
      <c r="H135" s="19">
        <f t="shared" si="12"/>
        <v>1</v>
      </c>
      <c r="I135" s="19">
        <f t="shared" si="13"/>
        <v>200</v>
      </c>
      <c r="J135" s="22">
        <f t="shared" si="14"/>
        <v>0.84931506849315064</v>
      </c>
    </row>
    <row r="136" spans="3:10" hidden="1" x14ac:dyDescent="0.25">
      <c r="C136" s="6"/>
      <c r="E136" s="37">
        <v>132</v>
      </c>
      <c r="F136" s="19">
        <f t="shared" si="10"/>
        <v>1031</v>
      </c>
      <c r="G136" s="19">
        <f t="shared" si="11"/>
        <v>932</v>
      </c>
      <c r="H136" s="19">
        <f t="shared" si="12"/>
        <v>0</v>
      </c>
      <c r="I136" s="19">
        <f t="shared" si="13"/>
        <v>0</v>
      </c>
      <c r="J136" s="22">
        <f t="shared" si="14"/>
        <v>25.534246575342465</v>
      </c>
    </row>
    <row r="137" spans="3:10" hidden="1" x14ac:dyDescent="0.25">
      <c r="C137" s="6"/>
      <c r="E137" s="37">
        <v>133</v>
      </c>
      <c r="F137" s="19">
        <f t="shared" si="10"/>
        <v>932</v>
      </c>
      <c r="G137" s="19">
        <f t="shared" si="11"/>
        <v>833</v>
      </c>
      <c r="H137" s="19">
        <f t="shared" si="12"/>
        <v>0</v>
      </c>
      <c r="I137" s="19">
        <f t="shared" si="13"/>
        <v>0</v>
      </c>
      <c r="J137" s="22">
        <f t="shared" si="14"/>
        <v>22.821917808219176</v>
      </c>
    </row>
    <row r="138" spans="3:10" hidden="1" x14ac:dyDescent="0.25">
      <c r="C138" s="6"/>
      <c r="E138" s="37">
        <v>134</v>
      </c>
      <c r="F138" s="19">
        <f t="shared" si="10"/>
        <v>833</v>
      </c>
      <c r="G138" s="19">
        <f t="shared" si="11"/>
        <v>734</v>
      </c>
      <c r="H138" s="19">
        <f t="shared" si="12"/>
        <v>0</v>
      </c>
      <c r="I138" s="19">
        <f t="shared" si="13"/>
        <v>0</v>
      </c>
      <c r="J138" s="22">
        <f t="shared" si="14"/>
        <v>20.109589041095891</v>
      </c>
    </row>
    <row r="139" spans="3:10" hidden="1" x14ac:dyDescent="0.25">
      <c r="C139" s="6"/>
      <c r="E139" s="37">
        <v>135</v>
      </c>
      <c r="F139" s="19">
        <f t="shared" si="10"/>
        <v>734</v>
      </c>
      <c r="G139" s="19">
        <f t="shared" si="11"/>
        <v>635</v>
      </c>
      <c r="H139" s="19">
        <f t="shared" si="12"/>
        <v>0</v>
      </c>
      <c r="I139" s="19">
        <f t="shared" si="13"/>
        <v>0</v>
      </c>
      <c r="J139" s="22">
        <f t="shared" si="14"/>
        <v>17.397260273972602</v>
      </c>
    </row>
    <row r="140" spans="3:10" hidden="1" x14ac:dyDescent="0.25">
      <c r="C140" s="6"/>
      <c r="E140" s="37">
        <v>136</v>
      </c>
      <c r="F140" s="19">
        <f t="shared" si="10"/>
        <v>635</v>
      </c>
      <c r="G140" s="19">
        <f t="shared" si="11"/>
        <v>536</v>
      </c>
      <c r="H140" s="19">
        <f t="shared" si="12"/>
        <v>0</v>
      </c>
      <c r="I140" s="19">
        <f t="shared" si="13"/>
        <v>0</v>
      </c>
      <c r="J140" s="22">
        <f t="shared" si="14"/>
        <v>14.684931506849313</v>
      </c>
    </row>
    <row r="141" spans="3:10" hidden="1" x14ac:dyDescent="0.25">
      <c r="C141" s="6"/>
      <c r="E141" s="37">
        <v>137</v>
      </c>
      <c r="F141" s="19">
        <f t="shared" si="10"/>
        <v>536</v>
      </c>
      <c r="G141" s="19">
        <f t="shared" si="11"/>
        <v>437</v>
      </c>
      <c r="H141" s="19">
        <f t="shared" si="12"/>
        <v>0</v>
      </c>
      <c r="I141" s="19">
        <f t="shared" si="13"/>
        <v>0</v>
      </c>
      <c r="J141" s="22">
        <f t="shared" si="14"/>
        <v>11.972602739726026</v>
      </c>
    </row>
    <row r="142" spans="3:10" hidden="1" x14ac:dyDescent="0.25">
      <c r="C142" s="6"/>
      <c r="E142" s="37">
        <v>138</v>
      </c>
      <c r="F142" s="19">
        <f t="shared" si="10"/>
        <v>437</v>
      </c>
      <c r="G142" s="19">
        <f t="shared" si="11"/>
        <v>338</v>
      </c>
      <c r="H142" s="19">
        <f t="shared" si="12"/>
        <v>0</v>
      </c>
      <c r="I142" s="19">
        <f t="shared" si="13"/>
        <v>0</v>
      </c>
      <c r="J142" s="22">
        <f t="shared" si="14"/>
        <v>9.2602739726027394</v>
      </c>
    </row>
    <row r="143" spans="3:10" hidden="1" x14ac:dyDescent="0.25">
      <c r="C143" s="6"/>
      <c r="E143" s="37">
        <v>139</v>
      </c>
      <c r="F143" s="19">
        <f t="shared" si="10"/>
        <v>338</v>
      </c>
      <c r="G143" s="19">
        <f t="shared" si="11"/>
        <v>239</v>
      </c>
      <c r="H143" s="19">
        <f t="shared" si="12"/>
        <v>0</v>
      </c>
      <c r="I143" s="19">
        <f t="shared" si="13"/>
        <v>0</v>
      </c>
      <c r="J143" s="22">
        <f t="shared" si="14"/>
        <v>6.5479452054794516</v>
      </c>
    </row>
    <row r="144" spans="3:10" hidden="1" x14ac:dyDescent="0.25">
      <c r="C144" s="6"/>
      <c r="E144" s="37">
        <v>140</v>
      </c>
      <c r="F144" s="19">
        <f t="shared" si="10"/>
        <v>239</v>
      </c>
      <c r="G144" s="19">
        <f t="shared" si="11"/>
        <v>140</v>
      </c>
      <c r="H144" s="19">
        <f t="shared" si="12"/>
        <v>0</v>
      </c>
      <c r="I144" s="19">
        <f t="shared" si="13"/>
        <v>0</v>
      </c>
      <c r="J144" s="22">
        <f t="shared" si="14"/>
        <v>3.8356164383561642</v>
      </c>
    </row>
    <row r="145" spans="3:10" hidden="1" x14ac:dyDescent="0.25">
      <c r="C145" s="6"/>
      <c r="E145" s="37">
        <v>141</v>
      </c>
      <c r="F145" s="19">
        <f t="shared" si="10"/>
        <v>140</v>
      </c>
      <c r="G145" s="19">
        <f t="shared" si="11"/>
        <v>41</v>
      </c>
      <c r="H145" s="19">
        <f t="shared" si="12"/>
        <v>1</v>
      </c>
      <c r="I145" s="19">
        <f t="shared" si="13"/>
        <v>200</v>
      </c>
      <c r="J145" s="22">
        <f t="shared" si="14"/>
        <v>1.1232876712328768</v>
      </c>
    </row>
    <row r="146" spans="3:10" hidden="1" x14ac:dyDescent="0.25">
      <c r="C146" s="6"/>
      <c r="E146" s="37">
        <v>142</v>
      </c>
      <c r="F146" s="19">
        <f t="shared" si="10"/>
        <v>1041</v>
      </c>
      <c r="G146" s="19">
        <f t="shared" si="11"/>
        <v>942</v>
      </c>
      <c r="H146" s="19">
        <f t="shared" si="12"/>
        <v>0</v>
      </c>
      <c r="I146" s="19">
        <f t="shared" si="13"/>
        <v>0</v>
      </c>
      <c r="J146" s="22">
        <f t="shared" si="14"/>
        <v>25.80821917808219</v>
      </c>
    </row>
    <row r="147" spans="3:10" hidden="1" x14ac:dyDescent="0.25">
      <c r="C147" s="6"/>
      <c r="E147" s="37">
        <v>143</v>
      </c>
      <c r="F147" s="19">
        <f t="shared" si="10"/>
        <v>942</v>
      </c>
      <c r="G147" s="19">
        <f t="shared" si="11"/>
        <v>843</v>
      </c>
      <c r="H147" s="19">
        <f t="shared" si="12"/>
        <v>0</v>
      </c>
      <c r="I147" s="19">
        <f t="shared" si="13"/>
        <v>0</v>
      </c>
      <c r="J147" s="22">
        <f t="shared" si="14"/>
        <v>23.095890410958901</v>
      </c>
    </row>
    <row r="148" spans="3:10" hidden="1" x14ac:dyDescent="0.25">
      <c r="C148" s="6"/>
      <c r="E148" s="37">
        <v>144</v>
      </c>
      <c r="F148" s="19">
        <f t="shared" si="10"/>
        <v>843</v>
      </c>
      <c r="G148" s="19">
        <f t="shared" si="11"/>
        <v>744</v>
      </c>
      <c r="H148" s="19">
        <f t="shared" si="12"/>
        <v>0</v>
      </c>
      <c r="I148" s="19">
        <f t="shared" si="13"/>
        <v>0</v>
      </c>
      <c r="J148" s="22">
        <f t="shared" si="14"/>
        <v>20.383561643835616</v>
      </c>
    </row>
    <row r="149" spans="3:10" hidden="1" x14ac:dyDescent="0.25">
      <c r="C149" s="6"/>
      <c r="E149" s="37">
        <v>145</v>
      </c>
      <c r="F149" s="19">
        <f t="shared" si="10"/>
        <v>744</v>
      </c>
      <c r="G149" s="19">
        <f t="shared" si="11"/>
        <v>645</v>
      </c>
      <c r="H149" s="19">
        <f t="shared" si="12"/>
        <v>0</v>
      </c>
      <c r="I149" s="19">
        <f t="shared" si="13"/>
        <v>0</v>
      </c>
      <c r="J149" s="22">
        <f t="shared" si="14"/>
        <v>17.671232876712327</v>
      </c>
    </row>
    <row r="150" spans="3:10" hidden="1" x14ac:dyDescent="0.25">
      <c r="C150" s="6"/>
      <c r="E150" s="37">
        <v>146</v>
      </c>
      <c r="F150" s="19">
        <f t="shared" si="10"/>
        <v>645</v>
      </c>
      <c r="G150" s="19">
        <f t="shared" si="11"/>
        <v>546</v>
      </c>
      <c r="H150" s="19">
        <f t="shared" si="12"/>
        <v>0</v>
      </c>
      <c r="I150" s="19">
        <f t="shared" si="13"/>
        <v>0</v>
      </c>
      <c r="J150" s="22">
        <f t="shared" si="14"/>
        <v>14.95890410958904</v>
      </c>
    </row>
    <row r="151" spans="3:10" hidden="1" x14ac:dyDescent="0.25">
      <c r="C151" s="6"/>
      <c r="E151" s="37">
        <v>147</v>
      </c>
      <c r="F151" s="19">
        <f t="shared" si="10"/>
        <v>546</v>
      </c>
      <c r="G151" s="19">
        <f t="shared" si="11"/>
        <v>447</v>
      </c>
      <c r="H151" s="19">
        <f t="shared" si="12"/>
        <v>0</v>
      </c>
      <c r="I151" s="19">
        <f t="shared" si="13"/>
        <v>0</v>
      </c>
      <c r="J151" s="22">
        <f t="shared" si="14"/>
        <v>12.246575342465754</v>
      </c>
    </row>
    <row r="152" spans="3:10" hidden="1" x14ac:dyDescent="0.25">
      <c r="C152" s="6"/>
      <c r="E152" s="37">
        <v>148</v>
      </c>
      <c r="F152" s="19">
        <f t="shared" si="10"/>
        <v>447</v>
      </c>
      <c r="G152" s="19">
        <f t="shared" si="11"/>
        <v>348</v>
      </c>
      <c r="H152" s="19">
        <f t="shared" si="12"/>
        <v>0</v>
      </c>
      <c r="I152" s="19">
        <f t="shared" si="13"/>
        <v>0</v>
      </c>
      <c r="J152" s="22">
        <f t="shared" si="14"/>
        <v>9.5342465753424648</v>
      </c>
    </row>
    <row r="153" spans="3:10" hidden="1" x14ac:dyDescent="0.25">
      <c r="C153" s="6"/>
      <c r="E153" s="37">
        <v>149</v>
      </c>
      <c r="F153" s="19">
        <f t="shared" si="10"/>
        <v>348</v>
      </c>
      <c r="G153" s="19">
        <f t="shared" si="11"/>
        <v>249</v>
      </c>
      <c r="H153" s="19">
        <f t="shared" si="12"/>
        <v>0</v>
      </c>
      <c r="I153" s="19">
        <f t="shared" si="13"/>
        <v>0</v>
      </c>
      <c r="J153" s="22">
        <f t="shared" si="14"/>
        <v>6.8219178082191778</v>
      </c>
    </row>
    <row r="154" spans="3:10" hidden="1" x14ac:dyDescent="0.25">
      <c r="C154" s="6"/>
      <c r="E154" s="37">
        <v>150</v>
      </c>
      <c r="F154" s="19">
        <f t="shared" si="10"/>
        <v>249</v>
      </c>
      <c r="G154" s="19">
        <f t="shared" si="11"/>
        <v>150</v>
      </c>
      <c r="H154" s="19">
        <f t="shared" si="12"/>
        <v>0</v>
      </c>
      <c r="I154" s="19">
        <f t="shared" si="13"/>
        <v>0</v>
      </c>
      <c r="J154" s="22">
        <f t="shared" si="14"/>
        <v>4.10958904109589</v>
      </c>
    </row>
    <row r="155" spans="3:10" hidden="1" x14ac:dyDescent="0.25">
      <c r="C155" s="6"/>
      <c r="E155" s="37">
        <v>151</v>
      </c>
      <c r="F155" s="19">
        <f t="shared" si="10"/>
        <v>150</v>
      </c>
      <c r="G155" s="19">
        <f t="shared" si="11"/>
        <v>51</v>
      </c>
      <c r="H155" s="19">
        <f t="shared" si="12"/>
        <v>1</v>
      </c>
      <c r="I155" s="19">
        <f t="shared" si="13"/>
        <v>200</v>
      </c>
      <c r="J155" s="22">
        <f t="shared" si="14"/>
        <v>1.3972602739726026</v>
      </c>
    </row>
    <row r="156" spans="3:10" hidden="1" x14ac:dyDescent="0.25">
      <c r="C156" s="6"/>
      <c r="E156" s="37">
        <v>152</v>
      </c>
      <c r="F156" s="19">
        <f t="shared" si="10"/>
        <v>1051</v>
      </c>
      <c r="G156" s="19">
        <f t="shared" si="11"/>
        <v>952</v>
      </c>
      <c r="H156" s="19">
        <f t="shared" si="12"/>
        <v>0</v>
      </c>
      <c r="I156" s="19">
        <f t="shared" si="13"/>
        <v>0</v>
      </c>
      <c r="J156" s="22">
        <f t="shared" si="14"/>
        <v>26.082191780821915</v>
      </c>
    </row>
    <row r="157" spans="3:10" hidden="1" x14ac:dyDescent="0.25">
      <c r="C157" s="6"/>
      <c r="E157" s="37">
        <v>153</v>
      </c>
      <c r="F157" s="19">
        <f t="shared" si="10"/>
        <v>952</v>
      </c>
      <c r="G157" s="19">
        <f t="shared" si="11"/>
        <v>853</v>
      </c>
      <c r="H157" s="19">
        <f t="shared" si="12"/>
        <v>0</v>
      </c>
      <c r="I157" s="19">
        <f t="shared" si="13"/>
        <v>0</v>
      </c>
      <c r="J157" s="22">
        <f t="shared" si="14"/>
        <v>23.36986301369863</v>
      </c>
    </row>
    <row r="158" spans="3:10" hidden="1" x14ac:dyDescent="0.25">
      <c r="C158" s="6"/>
      <c r="E158" s="37">
        <v>154</v>
      </c>
      <c r="F158" s="19">
        <f t="shared" si="10"/>
        <v>853</v>
      </c>
      <c r="G158" s="19">
        <f t="shared" si="11"/>
        <v>754</v>
      </c>
      <c r="H158" s="19">
        <f t="shared" si="12"/>
        <v>0</v>
      </c>
      <c r="I158" s="19">
        <f t="shared" si="13"/>
        <v>0</v>
      </c>
      <c r="J158" s="22">
        <f t="shared" si="14"/>
        <v>20.657534246575342</v>
      </c>
    </row>
    <row r="159" spans="3:10" hidden="1" x14ac:dyDescent="0.25">
      <c r="C159" s="6"/>
      <c r="E159" s="37">
        <v>155</v>
      </c>
      <c r="F159" s="19">
        <f t="shared" si="10"/>
        <v>754</v>
      </c>
      <c r="G159" s="19">
        <f t="shared" si="11"/>
        <v>655</v>
      </c>
      <c r="H159" s="19">
        <f t="shared" si="12"/>
        <v>0</v>
      </c>
      <c r="I159" s="19">
        <f t="shared" si="13"/>
        <v>0</v>
      </c>
      <c r="J159" s="22">
        <f t="shared" si="14"/>
        <v>17.945205479452053</v>
      </c>
    </row>
    <row r="160" spans="3:10" hidden="1" x14ac:dyDescent="0.25">
      <c r="C160" s="6"/>
      <c r="E160" s="37">
        <v>156</v>
      </c>
      <c r="F160" s="19">
        <f t="shared" si="10"/>
        <v>655</v>
      </c>
      <c r="G160" s="19">
        <f t="shared" si="11"/>
        <v>556</v>
      </c>
      <c r="H160" s="19">
        <f t="shared" si="12"/>
        <v>0</v>
      </c>
      <c r="I160" s="19">
        <f t="shared" si="13"/>
        <v>0</v>
      </c>
      <c r="J160" s="22">
        <f t="shared" si="14"/>
        <v>15.232876712328766</v>
      </c>
    </row>
    <row r="161" spans="3:10" hidden="1" x14ac:dyDescent="0.25">
      <c r="C161" s="6"/>
      <c r="E161" s="37">
        <v>157</v>
      </c>
      <c r="F161" s="19">
        <f t="shared" si="10"/>
        <v>556</v>
      </c>
      <c r="G161" s="19">
        <f t="shared" si="11"/>
        <v>457</v>
      </c>
      <c r="H161" s="19">
        <f t="shared" si="12"/>
        <v>0</v>
      </c>
      <c r="I161" s="19">
        <f t="shared" si="13"/>
        <v>0</v>
      </c>
      <c r="J161" s="22">
        <f t="shared" si="14"/>
        <v>12.520547945205479</v>
      </c>
    </row>
    <row r="162" spans="3:10" hidden="1" x14ac:dyDescent="0.25">
      <c r="C162" s="6"/>
      <c r="E162" s="37">
        <v>158</v>
      </c>
      <c r="F162" s="19">
        <f t="shared" si="10"/>
        <v>457</v>
      </c>
      <c r="G162" s="19">
        <f t="shared" si="11"/>
        <v>358</v>
      </c>
      <c r="H162" s="19">
        <f t="shared" si="12"/>
        <v>0</v>
      </c>
      <c r="I162" s="19">
        <f t="shared" si="13"/>
        <v>0</v>
      </c>
      <c r="J162" s="22">
        <f t="shared" si="14"/>
        <v>9.8082191780821919</v>
      </c>
    </row>
    <row r="163" spans="3:10" hidden="1" x14ac:dyDescent="0.25">
      <c r="C163" s="6"/>
      <c r="E163" s="37">
        <v>159</v>
      </c>
      <c r="F163" s="19">
        <f t="shared" si="10"/>
        <v>358</v>
      </c>
      <c r="G163" s="19">
        <f t="shared" si="11"/>
        <v>259</v>
      </c>
      <c r="H163" s="19">
        <f t="shared" si="12"/>
        <v>0</v>
      </c>
      <c r="I163" s="19">
        <f t="shared" si="13"/>
        <v>0</v>
      </c>
      <c r="J163" s="22">
        <f t="shared" si="14"/>
        <v>7.095890410958904</v>
      </c>
    </row>
    <row r="164" spans="3:10" hidden="1" x14ac:dyDescent="0.25">
      <c r="C164" s="6"/>
      <c r="E164" s="37">
        <v>160</v>
      </c>
      <c r="F164" s="19">
        <f t="shared" si="10"/>
        <v>259</v>
      </c>
      <c r="G164" s="19">
        <f t="shared" si="11"/>
        <v>160</v>
      </c>
      <c r="H164" s="19">
        <f t="shared" si="12"/>
        <v>0</v>
      </c>
      <c r="I164" s="19">
        <f t="shared" si="13"/>
        <v>0</v>
      </c>
      <c r="J164" s="22">
        <f t="shared" si="14"/>
        <v>4.3835616438356162</v>
      </c>
    </row>
    <row r="165" spans="3:10" hidden="1" x14ac:dyDescent="0.25">
      <c r="C165" s="6"/>
      <c r="E165" s="37">
        <v>161</v>
      </c>
      <c r="F165" s="19">
        <f t="shared" si="10"/>
        <v>160</v>
      </c>
      <c r="G165" s="19">
        <f t="shared" si="11"/>
        <v>61</v>
      </c>
      <c r="H165" s="19">
        <f t="shared" si="12"/>
        <v>1</v>
      </c>
      <c r="I165" s="19">
        <f t="shared" si="13"/>
        <v>200</v>
      </c>
      <c r="J165" s="22">
        <f t="shared" si="14"/>
        <v>1.6712328767123288</v>
      </c>
    </row>
    <row r="166" spans="3:10" hidden="1" x14ac:dyDescent="0.25">
      <c r="C166" s="6"/>
      <c r="E166" s="37">
        <v>162</v>
      </c>
      <c r="F166" s="19">
        <f t="shared" si="10"/>
        <v>1061</v>
      </c>
      <c r="G166" s="19">
        <f t="shared" si="11"/>
        <v>962</v>
      </c>
      <c r="H166" s="19">
        <f t="shared" si="12"/>
        <v>0</v>
      </c>
      <c r="I166" s="19">
        <f t="shared" si="13"/>
        <v>0</v>
      </c>
      <c r="J166" s="22">
        <f t="shared" si="14"/>
        <v>26.356164383561641</v>
      </c>
    </row>
    <row r="167" spans="3:10" hidden="1" x14ac:dyDescent="0.25">
      <c r="C167" s="6"/>
      <c r="E167" s="37">
        <v>163</v>
      </c>
      <c r="F167" s="19">
        <f t="shared" si="10"/>
        <v>962</v>
      </c>
      <c r="G167" s="19">
        <f t="shared" si="11"/>
        <v>863</v>
      </c>
      <c r="H167" s="19">
        <f t="shared" si="12"/>
        <v>0</v>
      </c>
      <c r="I167" s="19">
        <f t="shared" si="13"/>
        <v>0</v>
      </c>
      <c r="J167" s="22">
        <f t="shared" si="14"/>
        <v>23.643835616438356</v>
      </c>
    </row>
    <row r="168" spans="3:10" hidden="1" x14ac:dyDescent="0.25">
      <c r="C168" s="6"/>
      <c r="E168" s="37">
        <v>164</v>
      </c>
      <c r="F168" s="19">
        <f t="shared" si="10"/>
        <v>863</v>
      </c>
      <c r="G168" s="19">
        <f t="shared" si="11"/>
        <v>764</v>
      </c>
      <c r="H168" s="19">
        <f t="shared" si="12"/>
        <v>0</v>
      </c>
      <c r="I168" s="19">
        <f t="shared" si="13"/>
        <v>0</v>
      </c>
      <c r="J168" s="22">
        <f t="shared" si="14"/>
        <v>20.931506849315067</v>
      </c>
    </row>
    <row r="169" spans="3:10" hidden="1" x14ac:dyDescent="0.25">
      <c r="C169" s="6"/>
      <c r="E169" s="37">
        <v>165</v>
      </c>
      <c r="F169" s="19">
        <f t="shared" si="10"/>
        <v>764</v>
      </c>
      <c r="G169" s="19">
        <f t="shared" si="11"/>
        <v>665</v>
      </c>
      <c r="H169" s="19">
        <f t="shared" si="12"/>
        <v>0</v>
      </c>
      <c r="I169" s="19">
        <f t="shared" si="13"/>
        <v>0</v>
      </c>
      <c r="J169" s="22">
        <f t="shared" si="14"/>
        <v>18.219178082191778</v>
      </c>
    </row>
    <row r="170" spans="3:10" hidden="1" x14ac:dyDescent="0.25">
      <c r="C170" s="6"/>
      <c r="E170" s="37">
        <v>166</v>
      </c>
      <c r="F170" s="19">
        <f t="shared" si="10"/>
        <v>665</v>
      </c>
      <c r="G170" s="19">
        <f t="shared" si="11"/>
        <v>566</v>
      </c>
      <c r="H170" s="19">
        <f t="shared" si="12"/>
        <v>0</v>
      </c>
      <c r="I170" s="19">
        <f t="shared" si="13"/>
        <v>0</v>
      </c>
      <c r="J170" s="22">
        <f t="shared" si="14"/>
        <v>15.506849315068493</v>
      </c>
    </row>
    <row r="171" spans="3:10" hidden="1" x14ac:dyDescent="0.25">
      <c r="C171" s="6"/>
      <c r="E171" s="37">
        <v>167</v>
      </c>
      <c r="F171" s="19">
        <f t="shared" si="10"/>
        <v>566</v>
      </c>
      <c r="G171" s="19">
        <f t="shared" si="11"/>
        <v>467</v>
      </c>
      <c r="H171" s="19">
        <f t="shared" si="12"/>
        <v>0</v>
      </c>
      <c r="I171" s="19">
        <f t="shared" si="13"/>
        <v>0</v>
      </c>
      <c r="J171" s="22">
        <f t="shared" si="14"/>
        <v>12.794520547945204</v>
      </c>
    </row>
    <row r="172" spans="3:10" hidden="1" x14ac:dyDescent="0.25">
      <c r="C172" s="6"/>
      <c r="E172" s="37">
        <v>168</v>
      </c>
      <c r="F172" s="19">
        <f t="shared" si="10"/>
        <v>467</v>
      </c>
      <c r="G172" s="19">
        <f t="shared" si="11"/>
        <v>368</v>
      </c>
      <c r="H172" s="19">
        <f t="shared" si="12"/>
        <v>0</v>
      </c>
      <c r="I172" s="19">
        <f t="shared" si="13"/>
        <v>0</v>
      </c>
      <c r="J172" s="22">
        <f t="shared" si="14"/>
        <v>10.082191780821917</v>
      </c>
    </row>
    <row r="173" spans="3:10" hidden="1" x14ac:dyDescent="0.25">
      <c r="C173" s="6"/>
      <c r="E173" s="37">
        <v>169</v>
      </c>
      <c r="F173" s="19">
        <f t="shared" si="10"/>
        <v>368</v>
      </c>
      <c r="G173" s="19">
        <f t="shared" si="11"/>
        <v>269</v>
      </c>
      <c r="H173" s="19">
        <f t="shared" si="12"/>
        <v>0</v>
      </c>
      <c r="I173" s="19">
        <f t="shared" si="13"/>
        <v>0</v>
      </c>
      <c r="J173" s="22">
        <f t="shared" si="14"/>
        <v>7.3698630136986294</v>
      </c>
    </row>
    <row r="174" spans="3:10" hidden="1" x14ac:dyDescent="0.25">
      <c r="C174" s="6"/>
      <c r="E174" s="37">
        <v>170</v>
      </c>
      <c r="F174" s="19">
        <f t="shared" si="10"/>
        <v>269</v>
      </c>
      <c r="G174" s="19">
        <f t="shared" si="11"/>
        <v>170</v>
      </c>
      <c r="H174" s="19">
        <f t="shared" si="12"/>
        <v>0</v>
      </c>
      <c r="I174" s="19">
        <f t="shared" si="13"/>
        <v>0</v>
      </c>
      <c r="J174" s="22">
        <f t="shared" si="14"/>
        <v>4.6575342465753424</v>
      </c>
    </row>
    <row r="175" spans="3:10" hidden="1" x14ac:dyDescent="0.25">
      <c r="C175" s="6"/>
      <c r="E175" s="37">
        <v>171</v>
      </c>
      <c r="F175" s="19">
        <f t="shared" si="10"/>
        <v>170</v>
      </c>
      <c r="G175" s="19">
        <f t="shared" si="11"/>
        <v>71</v>
      </c>
      <c r="H175" s="19">
        <f t="shared" si="12"/>
        <v>1</v>
      </c>
      <c r="I175" s="19">
        <f t="shared" si="13"/>
        <v>200</v>
      </c>
      <c r="J175" s="22">
        <f t="shared" si="14"/>
        <v>1.9452054794520546</v>
      </c>
    </row>
    <row r="176" spans="3:10" hidden="1" x14ac:dyDescent="0.25">
      <c r="C176" s="6"/>
      <c r="E176" s="37">
        <v>172</v>
      </c>
      <c r="F176" s="19">
        <f t="shared" si="10"/>
        <v>1071</v>
      </c>
      <c r="G176" s="19">
        <f t="shared" si="11"/>
        <v>972</v>
      </c>
      <c r="H176" s="19">
        <f t="shared" si="12"/>
        <v>0</v>
      </c>
      <c r="I176" s="19">
        <f t="shared" si="13"/>
        <v>0</v>
      </c>
      <c r="J176" s="22">
        <f t="shared" si="14"/>
        <v>26.63013698630137</v>
      </c>
    </row>
    <row r="177" spans="3:10" hidden="1" x14ac:dyDescent="0.25">
      <c r="C177" s="6"/>
      <c r="E177" s="37">
        <v>173</v>
      </c>
      <c r="F177" s="19">
        <f t="shared" si="10"/>
        <v>972</v>
      </c>
      <c r="G177" s="19">
        <f t="shared" si="11"/>
        <v>873</v>
      </c>
      <c r="H177" s="19">
        <f t="shared" si="12"/>
        <v>0</v>
      </c>
      <c r="I177" s="19">
        <f t="shared" si="13"/>
        <v>0</v>
      </c>
      <c r="J177" s="22">
        <f t="shared" si="14"/>
        <v>23.917808219178081</v>
      </c>
    </row>
    <row r="178" spans="3:10" hidden="1" x14ac:dyDescent="0.25">
      <c r="C178" s="6"/>
      <c r="E178" s="37">
        <v>174</v>
      </c>
      <c r="F178" s="19">
        <f t="shared" si="10"/>
        <v>873</v>
      </c>
      <c r="G178" s="19">
        <f t="shared" si="11"/>
        <v>774</v>
      </c>
      <c r="H178" s="19">
        <f t="shared" si="12"/>
        <v>0</v>
      </c>
      <c r="I178" s="19">
        <f t="shared" si="13"/>
        <v>0</v>
      </c>
      <c r="J178" s="22">
        <f t="shared" si="14"/>
        <v>21.205479452054792</v>
      </c>
    </row>
    <row r="179" spans="3:10" hidden="1" x14ac:dyDescent="0.25">
      <c r="C179" s="6"/>
      <c r="E179" s="37">
        <v>175</v>
      </c>
      <c r="F179" s="19">
        <f t="shared" si="10"/>
        <v>774</v>
      </c>
      <c r="G179" s="19">
        <f t="shared" si="11"/>
        <v>675</v>
      </c>
      <c r="H179" s="19">
        <f t="shared" si="12"/>
        <v>0</v>
      </c>
      <c r="I179" s="19">
        <f t="shared" si="13"/>
        <v>0</v>
      </c>
      <c r="J179" s="22">
        <f t="shared" si="14"/>
        <v>18.493150684931507</v>
      </c>
    </row>
    <row r="180" spans="3:10" hidden="1" x14ac:dyDescent="0.25">
      <c r="C180" s="6"/>
      <c r="E180" s="37">
        <v>176</v>
      </c>
      <c r="F180" s="19">
        <f t="shared" si="10"/>
        <v>675</v>
      </c>
      <c r="G180" s="19">
        <f t="shared" si="11"/>
        <v>576</v>
      </c>
      <c r="H180" s="19">
        <f t="shared" si="12"/>
        <v>0</v>
      </c>
      <c r="I180" s="19">
        <f t="shared" si="13"/>
        <v>0</v>
      </c>
      <c r="J180" s="22">
        <f t="shared" si="14"/>
        <v>15.780821917808218</v>
      </c>
    </row>
    <row r="181" spans="3:10" hidden="1" x14ac:dyDescent="0.25">
      <c r="C181" s="6"/>
      <c r="E181" s="37">
        <v>177</v>
      </c>
      <c r="F181" s="19">
        <f t="shared" si="10"/>
        <v>576</v>
      </c>
      <c r="G181" s="19">
        <f t="shared" si="11"/>
        <v>477</v>
      </c>
      <c r="H181" s="19">
        <f t="shared" si="12"/>
        <v>0</v>
      </c>
      <c r="I181" s="19">
        <f t="shared" si="13"/>
        <v>0</v>
      </c>
      <c r="J181" s="22">
        <f t="shared" si="14"/>
        <v>13.068493150684931</v>
      </c>
    </row>
    <row r="182" spans="3:10" hidden="1" x14ac:dyDescent="0.25">
      <c r="C182" s="6"/>
      <c r="E182" s="37">
        <v>178</v>
      </c>
      <c r="F182" s="19">
        <f t="shared" si="10"/>
        <v>477</v>
      </c>
      <c r="G182" s="19">
        <f t="shared" si="11"/>
        <v>378</v>
      </c>
      <c r="H182" s="19">
        <f t="shared" si="12"/>
        <v>0</v>
      </c>
      <c r="I182" s="19">
        <f t="shared" si="13"/>
        <v>0</v>
      </c>
      <c r="J182" s="22">
        <f t="shared" si="14"/>
        <v>10.356164383561643</v>
      </c>
    </row>
    <row r="183" spans="3:10" hidden="1" x14ac:dyDescent="0.25">
      <c r="C183" s="6"/>
      <c r="E183" s="37">
        <v>179</v>
      </c>
      <c r="F183" s="19">
        <f t="shared" si="10"/>
        <v>378</v>
      </c>
      <c r="G183" s="19">
        <f t="shared" si="11"/>
        <v>279</v>
      </c>
      <c r="H183" s="19">
        <f t="shared" si="12"/>
        <v>0</v>
      </c>
      <c r="I183" s="19">
        <f t="shared" si="13"/>
        <v>0</v>
      </c>
      <c r="J183" s="22">
        <f t="shared" si="14"/>
        <v>7.6438356164383556</v>
      </c>
    </row>
    <row r="184" spans="3:10" hidden="1" x14ac:dyDescent="0.25">
      <c r="C184" s="6"/>
      <c r="E184" s="37">
        <v>180</v>
      </c>
      <c r="F184" s="19">
        <f t="shared" si="10"/>
        <v>279</v>
      </c>
      <c r="G184" s="19">
        <f t="shared" si="11"/>
        <v>180</v>
      </c>
      <c r="H184" s="19">
        <f t="shared" si="12"/>
        <v>0</v>
      </c>
      <c r="I184" s="19">
        <f t="shared" si="13"/>
        <v>0</v>
      </c>
      <c r="J184" s="22">
        <f t="shared" si="14"/>
        <v>4.9315068493150687</v>
      </c>
    </row>
    <row r="185" spans="3:10" hidden="1" x14ac:dyDescent="0.25">
      <c r="C185" s="6"/>
      <c r="E185" s="37">
        <v>181</v>
      </c>
      <c r="F185" s="19">
        <f t="shared" si="10"/>
        <v>180</v>
      </c>
      <c r="G185" s="19">
        <f t="shared" si="11"/>
        <v>81</v>
      </c>
      <c r="H185" s="19">
        <f t="shared" si="12"/>
        <v>1</v>
      </c>
      <c r="I185" s="19">
        <f t="shared" si="13"/>
        <v>200</v>
      </c>
      <c r="J185" s="22">
        <f t="shared" si="14"/>
        <v>2.2191780821917808</v>
      </c>
    </row>
    <row r="186" spans="3:10" hidden="1" x14ac:dyDescent="0.25">
      <c r="C186" s="6"/>
      <c r="E186" s="37">
        <v>182</v>
      </c>
      <c r="F186" s="19">
        <f t="shared" si="10"/>
        <v>1081</v>
      </c>
      <c r="G186" s="19">
        <f t="shared" si="11"/>
        <v>982</v>
      </c>
      <c r="H186" s="19">
        <f t="shared" si="12"/>
        <v>0</v>
      </c>
      <c r="I186" s="19">
        <f t="shared" si="13"/>
        <v>0</v>
      </c>
      <c r="J186" s="22">
        <f t="shared" si="14"/>
        <v>26.904109589041095</v>
      </c>
    </row>
    <row r="187" spans="3:10" hidden="1" x14ac:dyDescent="0.25">
      <c r="C187" s="6"/>
      <c r="E187" s="37">
        <v>183</v>
      </c>
      <c r="F187" s="19">
        <f t="shared" si="10"/>
        <v>982</v>
      </c>
      <c r="G187" s="19">
        <f t="shared" si="11"/>
        <v>883</v>
      </c>
      <c r="H187" s="19">
        <f t="shared" si="12"/>
        <v>0</v>
      </c>
      <c r="I187" s="19">
        <f t="shared" si="13"/>
        <v>0</v>
      </c>
      <c r="J187" s="22">
        <f t="shared" si="14"/>
        <v>24.191780821917806</v>
      </c>
    </row>
    <row r="188" spans="3:10" hidden="1" x14ac:dyDescent="0.25">
      <c r="C188" s="6"/>
      <c r="E188" s="37">
        <v>184</v>
      </c>
      <c r="F188" s="19">
        <f t="shared" si="10"/>
        <v>883</v>
      </c>
      <c r="G188" s="19">
        <f t="shared" si="11"/>
        <v>784</v>
      </c>
      <c r="H188" s="19">
        <f t="shared" si="12"/>
        <v>0</v>
      </c>
      <c r="I188" s="19">
        <f t="shared" si="13"/>
        <v>0</v>
      </c>
      <c r="J188" s="22">
        <f t="shared" si="14"/>
        <v>21.479452054794521</v>
      </c>
    </row>
    <row r="189" spans="3:10" hidden="1" x14ac:dyDescent="0.25">
      <c r="C189" s="6"/>
      <c r="E189" s="37">
        <v>185</v>
      </c>
      <c r="F189" s="19">
        <f t="shared" si="10"/>
        <v>784</v>
      </c>
      <c r="G189" s="19">
        <f t="shared" si="11"/>
        <v>685</v>
      </c>
      <c r="H189" s="19">
        <f t="shared" si="12"/>
        <v>0</v>
      </c>
      <c r="I189" s="19">
        <f t="shared" si="13"/>
        <v>0</v>
      </c>
      <c r="J189" s="22">
        <f t="shared" si="14"/>
        <v>18.767123287671232</v>
      </c>
    </row>
    <row r="190" spans="3:10" hidden="1" x14ac:dyDescent="0.25">
      <c r="C190" s="6"/>
      <c r="E190" s="37">
        <v>186</v>
      </c>
      <c r="F190" s="19">
        <f t="shared" si="10"/>
        <v>685</v>
      </c>
      <c r="G190" s="19">
        <f t="shared" si="11"/>
        <v>586</v>
      </c>
      <c r="H190" s="19">
        <f t="shared" si="12"/>
        <v>0</v>
      </c>
      <c r="I190" s="19">
        <f t="shared" si="13"/>
        <v>0</v>
      </c>
      <c r="J190" s="22">
        <f t="shared" si="14"/>
        <v>16.054794520547944</v>
      </c>
    </row>
    <row r="191" spans="3:10" hidden="1" x14ac:dyDescent="0.25">
      <c r="C191" s="6"/>
      <c r="E191" s="37">
        <v>187</v>
      </c>
      <c r="F191" s="19">
        <f t="shared" si="10"/>
        <v>586</v>
      </c>
      <c r="G191" s="19">
        <f t="shared" si="11"/>
        <v>487</v>
      </c>
      <c r="H191" s="19">
        <f t="shared" si="12"/>
        <v>0</v>
      </c>
      <c r="I191" s="19">
        <f t="shared" si="13"/>
        <v>0</v>
      </c>
      <c r="J191" s="22">
        <f t="shared" si="14"/>
        <v>13.342465753424657</v>
      </c>
    </row>
    <row r="192" spans="3:10" hidden="1" x14ac:dyDescent="0.25">
      <c r="C192" s="6"/>
      <c r="E192" s="37">
        <v>188</v>
      </c>
      <c r="F192" s="19">
        <f t="shared" si="10"/>
        <v>487</v>
      </c>
      <c r="G192" s="19">
        <f t="shared" si="11"/>
        <v>388</v>
      </c>
      <c r="H192" s="19">
        <f t="shared" si="12"/>
        <v>0</v>
      </c>
      <c r="I192" s="19">
        <f t="shared" si="13"/>
        <v>0</v>
      </c>
      <c r="J192" s="22">
        <f t="shared" si="14"/>
        <v>10.63013698630137</v>
      </c>
    </row>
    <row r="193" spans="3:10" hidden="1" x14ac:dyDescent="0.25">
      <c r="C193" s="6"/>
      <c r="E193" s="37">
        <v>189</v>
      </c>
      <c r="F193" s="19">
        <f t="shared" si="10"/>
        <v>388</v>
      </c>
      <c r="G193" s="19">
        <f t="shared" si="11"/>
        <v>289</v>
      </c>
      <c r="H193" s="19">
        <f t="shared" si="12"/>
        <v>0</v>
      </c>
      <c r="I193" s="19">
        <f t="shared" si="13"/>
        <v>0</v>
      </c>
      <c r="J193" s="22">
        <f t="shared" si="14"/>
        <v>7.9178082191780819</v>
      </c>
    </row>
    <row r="194" spans="3:10" hidden="1" x14ac:dyDescent="0.25">
      <c r="C194" s="6"/>
      <c r="E194" s="37">
        <v>190</v>
      </c>
      <c r="F194" s="19">
        <f t="shared" si="10"/>
        <v>289</v>
      </c>
      <c r="G194" s="19">
        <f t="shared" si="11"/>
        <v>190</v>
      </c>
      <c r="H194" s="19">
        <f t="shared" si="12"/>
        <v>0</v>
      </c>
      <c r="I194" s="19">
        <f t="shared" si="13"/>
        <v>0</v>
      </c>
      <c r="J194" s="22">
        <f t="shared" si="14"/>
        <v>5.205479452054794</v>
      </c>
    </row>
    <row r="195" spans="3:10" hidden="1" x14ac:dyDescent="0.25">
      <c r="C195" s="6"/>
      <c r="E195" s="37">
        <v>191</v>
      </c>
      <c r="F195" s="19">
        <f t="shared" si="10"/>
        <v>190</v>
      </c>
      <c r="G195" s="19">
        <f t="shared" si="11"/>
        <v>91</v>
      </c>
      <c r="H195" s="19">
        <f t="shared" si="12"/>
        <v>1</v>
      </c>
      <c r="I195" s="19">
        <f t="shared" si="13"/>
        <v>200</v>
      </c>
      <c r="J195" s="22">
        <f t="shared" si="14"/>
        <v>2.4931506849315066</v>
      </c>
    </row>
    <row r="196" spans="3:10" hidden="1" x14ac:dyDescent="0.25">
      <c r="C196" s="6"/>
      <c r="E196" s="37">
        <v>192</v>
      </c>
      <c r="F196" s="19">
        <f t="shared" si="10"/>
        <v>1091</v>
      </c>
      <c r="G196" s="19">
        <f t="shared" si="11"/>
        <v>992</v>
      </c>
      <c r="H196" s="19">
        <f t="shared" si="12"/>
        <v>0</v>
      </c>
      <c r="I196" s="19">
        <f t="shared" si="13"/>
        <v>0</v>
      </c>
      <c r="J196" s="22">
        <f t="shared" si="14"/>
        <v>27.17808219178082</v>
      </c>
    </row>
    <row r="197" spans="3:10" hidden="1" x14ac:dyDescent="0.25">
      <c r="C197" s="6"/>
      <c r="E197" s="37">
        <v>193</v>
      </c>
      <c r="F197" s="19">
        <f t="shared" si="10"/>
        <v>992</v>
      </c>
      <c r="G197" s="19">
        <f t="shared" si="11"/>
        <v>893</v>
      </c>
      <c r="H197" s="19">
        <f t="shared" si="12"/>
        <v>0</v>
      </c>
      <c r="I197" s="19">
        <f t="shared" si="13"/>
        <v>0</v>
      </c>
      <c r="J197" s="22">
        <f t="shared" si="14"/>
        <v>24.465753424657532</v>
      </c>
    </row>
    <row r="198" spans="3:10" hidden="1" x14ac:dyDescent="0.25">
      <c r="C198" s="6"/>
      <c r="E198" s="37">
        <v>194</v>
      </c>
      <c r="F198" s="19">
        <f t="shared" ref="F198:F261" si="15">G197+H197*$C$9</f>
        <v>893</v>
      </c>
      <c r="G198" s="19">
        <f t="shared" ref="G198:G261" si="16">F198-$C$7</f>
        <v>794</v>
      </c>
      <c r="H198" s="19">
        <f t="shared" ref="H198:H261" si="17">IF(G198&lt;$C$7,1,0)</f>
        <v>0</v>
      </c>
      <c r="I198" s="19">
        <f t="shared" ref="I198:I261" si="18">H198*$C$4</f>
        <v>0</v>
      </c>
      <c r="J198" s="22">
        <f t="shared" ref="J198:J261" si="19">G198*$C$8</f>
        <v>21.753424657534246</v>
      </c>
    </row>
    <row r="199" spans="3:10" hidden="1" x14ac:dyDescent="0.25">
      <c r="C199" s="6"/>
      <c r="E199" s="37">
        <v>195</v>
      </c>
      <c r="F199" s="19">
        <f t="shared" si="15"/>
        <v>794</v>
      </c>
      <c r="G199" s="19">
        <f t="shared" si="16"/>
        <v>695</v>
      </c>
      <c r="H199" s="19">
        <f t="shared" si="17"/>
        <v>0</v>
      </c>
      <c r="I199" s="19">
        <f t="shared" si="18"/>
        <v>0</v>
      </c>
      <c r="J199" s="22">
        <f t="shared" si="19"/>
        <v>19.041095890410958</v>
      </c>
    </row>
    <row r="200" spans="3:10" hidden="1" x14ac:dyDescent="0.25">
      <c r="C200" s="6"/>
      <c r="E200" s="37">
        <v>196</v>
      </c>
      <c r="F200" s="19">
        <f t="shared" si="15"/>
        <v>695</v>
      </c>
      <c r="G200" s="19">
        <f t="shared" si="16"/>
        <v>596</v>
      </c>
      <c r="H200" s="19">
        <f t="shared" si="17"/>
        <v>0</v>
      </c>
      <c r="I200" s="19">
        <f t="shared" si="18"/>
        <v>0</v>
      </c>
      <c r="J200" s="22">
        <f t="shared" si="19"/>
        <v>16.328767123287669</v>
      </c>
    </row>
    <row r="201" spans="3:10" hidden="1" x14ac:dyDescent="0.25">
      <c r="C201" s="6"/>
      <c r="E201" s="37">
        <v>197</v>
      </c>
      <c r="F201" s="19">
        <f t="shared" si="15"/>
        <v>596</v>
      </c>
      <c r="G201" s="19">
        <f t="shared" si="16"/>
        <v>497</v>
      </c>
      <c r="H201" s="19">
        <f t="shared" si="17"/>
        <v>0</v>
      </c>
      <c r="I201" s="19">
        <f t="shared" si="18"/>
        <v>0</v>
      </c>
      <c r="J201" s="22">
        <f t="shared" si="19"/>
        <v>13.616438356164382</v>
      </c>
    </row>
    <row r="202" spans="3:10" hidden="1" x14ac:dyDescent="0.25">
      <c r="C202" s="6"/>
      <c r="E202" s="37">
        <v>198</v>
      </c>
      <c r="F202" s="19">
        <f t="shared" si="15"/>
        <v>497</v>
      </c>
      <c r="G202" s="19">
        <f t="shared" si="16"/>
        <v>398</v>
      </c>
      <c r="H202" s="19">
        <f t="shared" si="17"/>
        <v>0</v>
      </c>
      <c r="I202" s="19">
        <f t="shared" si="18"/>
        <v>0</v>
      </c>
      <c r="J202" s="22">
        <f t="shared" si="19"/>
        <v>10.904109589041095</v>
      </c>
    </row>
    <row r="203" spans="3:10" hidden="1" x14ac:dyDescent="0.25">
      <c r="C203" s="6"/>
      <c r="E203" s="37">
        <v>199</v>
      </c>
      <c r="F203" s="19">
        <f t="shared" si="15"/>
        <v>398</v>
      </c>
      <c r="G203" s="19">
        <f t="shared" si="16"/>
        <v>299</v>
      </c>
      <c r="H203" s="19">
        <f t="shared" si="17"/>
        <v>0</v>
      </c>
      <c r="I203" s="19">
        <f t="shared" si="18"/>
        <v>0</v>
      </c>
      <c r="J203" s="22">
        <f t="shared" si="19"/>
        <v>8.1917808219178081</v>
      </c>
    </row>
    <row r="204" spans="3:10" hidden="1" x14ac:dyDescent="0.25">
      <c r="C204" s="6"/>
      <c r="E204" s="37">
        <v>200</v>
      </c>
      <c r="F204" s="19">
        <f t="shared" si="15"/>
        <v>299</v>
      </c>
      <c r="G204" s="19">
        <f t="shared" si="16"/>
        <v>200</v>
      </c>
      <c r="H204" s="19">
        <f t="shared" si="17"/>
        <v>0</v>
      </c>
      <c r="I204" s="19">
        <f t="shared" si="18"/>
        <v>0</v>
      </c>
      <c r="J204" s="22">
        <f t="shared" si="19"/>
        <v>5.4794520547945202</v>
      </c>
    </row>
    <row r="205" spans="3:10" hidden="1" x14ac:dyDescent="0.25">
      <c r="C205" s="6"/>
      <c r="E205" s="37">
        <v>201</v>
      </c>
      <c r="F205" s="19">
        <f t="shared" si="15"/>
        <v>200</v>
      </c>
      <c r="G205" s="19">
        <f t="shared" si="16"/>
        <v>101</v>
      </c>
      <c r="H205" s="19">
        <f t="shared" si="17"/>
        <v>0</v>
      </c>
      <c r="I205" s="19">
        <f t="shared" si="18"/>
        <v>0</v>
      </c>
      <c r="J205" s="22">
        <f t="shared" si="19"/>
        <v>2.7671232876712328</v>
      </c>
    </row>
    <row r="206" spans="3:10" hidden="1" x14ac:dyDescent="0.25">
      <c r="C206" s="6"/>
      <c r="E206" s="37">
        <v>202</v>
      </c>
      <c r="F206" s="19">
        <f t="shared" si="15"/>
        <v>101</v>
      </c>
      <c r="G206" s="19">
        <f t="shared" si="16"/>
        <v>2</v>
      </c>
      <c r="H206" s="19">
        <f t="shared" si="17"/>
        <v>1</v>
      </c>
      <c r="I206" s="19">
        <f t="shared" si="18"/>
        <v>200</v>
      </c>
      <c r="J206" s="22">
        <f t="shared" si="19"/>
        <v>5.4794520547945202E-2</v>
      </c>
    </row>
    <row r="207" spans="3:10" hidden="1" x14ac:dyDescent="0.25">
      <c r="C207" s="6"/>
      <c r="E207" s="37">
        <v>203</v>
      </c>
      <c r="F207" s="19">
        <f t="shared" si="15"/>
        <v>1002</v>
      </c>
      <c r="G207" s="19">
        <f t="shared" si="16"/>
        <v>903</v>
      </c>
      <c r="H207" s="19">
        <f t="shared" si="17"/>
        <v>0</v>
      </c>
      <c r="I207" s="19">
        <f t="shared" si="18"/>
        <v>0</v>
      </c>
      <c r="J207" s="22">
        <f t="shared" si="19"/>
        <v>24.739726027397261</v>
      </c>
    </row>
    <row r="208" spans="3:10" hidden="1" x14ac:dyDescent="0.25">
      <c r="C208" s="6"/>
      <c r="E208" s="37">
        <v>204</v>
      </c>
      <c r="F208" s="19">
        <f t="shared" si="15"/>
        <v>903</v>
      </c>
      <c r="G208" s="19">
        <f t="shared" si="16"/>
        <v>804</v>
      </c>
      <c r="H208" s="19">
        <f t="shared" si="17"/>
        <v>0</v>
      </c>
      <c r="I208" s="19">
        <f t="shared" si="18"/>
        <v>0</v>
      </c>
      <c r="J208" s="22">
        <f t="shared" si="19"/>
        <v>22.027397260273972</v>
      </c>
    </row>
    <row r="209" spans="3:10" hidden="1" x14ac:dyDescent="0.25">
      <c r="C209" s="6"/>
      <c r="E209" s="37">
        <v>205</v>
      </c>
      <c r="F209" s="19">
        <f t="shared" si="15"/>
        <v>804</v>
      </c>
      <c r="G209" s="19">
        <f t="shared" si="16"/>
        <v>705</v>
      </c>
      <c r="H209" s="19">
        <f t="shared" si="17"/>
        <v>0</v>
      </c>
      <c r="I209" s="19">
        <f t="shared" si="18"/>
        <v>0</v>
      </c>
      <c r="J209" s="22">
        <f t="shared" si="19"/>
        <v>19.315068493150683</v>
      </c>
    </row>
    <row r="210" spans="3:10" hidden="1" x14ac:dyDescent="0.25">
      <c r="C210" s="6"/>
      <c r="E210" s="37">
        <v>206</v>
      </c>
      <c r="F210" s="19">
        <f t="shared" si="15"/>
        <v>705</v>
      </c>
      <c r="G210" s="19">
        <f t="shared" si="16"/>
        <v>606</v>
      </c>
      <c r="H210" s="19">
        <f t="shared" si="17"/>
        <v>0</v>
      </c>
      <c r="I210" s="19">
        <f t="shared" si="18"/>
        <v>0</v>
      </c>
      <c r="J210" s="22">
        <f t="shared" si="19"/>
        <v>16.602739726027398</v>
      </c>
    </row>
    <row r="211" spans="3:10" hidden="1" x14ac:dyDescent="0.25">
      <c r="C211" s="6"/>
      <c r="E211" s="37">
        <v>207</v>
      </c>
      <c r="F211" s="19">
        <f t="shared" si="15"/>
        <v>606</v>
      </c>
      <c r="G211" s="19">
        <f t="shared" si="16"/>
        <v>507</v>
      </c>
      <c r="H211" s="19">
        <f t="shared" si="17"/>
        <v>0</v>
      </c>
      <c r="I211" s="19">
        <f t="shared" si="18"/>
        <v>0</v>
      </c>
      <c r="J211" s="22">
        <f t="shared" si="19"/>
        <v>13.890410958904109</v>
      </c>
    </row>
    <row r="212" spans="3:10" hidden="1" x14ac:dyDescent="0.25">
      <c r="C212" s="6"/>
      <c r="E212" s="37">
        <v>208</v>
      </c>
      <c r="F212" s="19">
        <f t="shared" si="15"/>
        <v>507</v>
      </c>
      <c r="G212" s="19">
        <f t="shared" si="16"/>
        <v>408</v>
      </c>
      <c r="H212" s="19">
        <f t="shared" si="17"/>
        <v>0</v>
      </c>
      <c r="I212" s="19">
        <f t="shared" si="18"/>
        <v>0</v>
      </c>
      <c r="J212" s="22">
        <f t="shared" si="19"/>
        <v>11.17808219178082</v>
      </c>
    </row>
    <row r="213" spans="3:10" hidden="1" x14ac:dyDescent="0.25">
      <c r="C213" s="6"/>
      <c r="E213" s="37">
        <v>209</v>
      </c>
      <c r="F213" s="19">
        <f t="shared" si="15"/>
        <v>408</v>
      </c>
      <c r="G213" s="19">
        <f t="shared" si="16"/>
        <v>309</v>
      </c>
      <c r="H213" s="19">
        <f t="shared" si="17"/>
        <v>0</v>
      </c>
      <c r="I213" s="19">
        <f t="shared" si="18"/>
        <v>0</v>
      </c>
      <c r="J213" s="22">
        <f t="shared" si="19"/>
        <v>8.4657534246575334</v>
      </c>
    </row>
    <row r="214" spans="3:10" hidden="1" x14ac:dyDescent="0.25">
      <c r="C214" s="6"/>
      <c r="E214" s="37">
        <v>210</v>
      </c>
      <c r="F214" s="19">
        <f t="shared" si="15"/>
        <v>309</v>
      </c>
      <c r="G214" s="19">
        <f t="shared" si="16"/>
        <v>210</v>
      </c>
      <c r="H214" s="19">
        <f t="shared" si="17"/>
        <v>0</v>
      </c>
      <c r="I214" s="19">
        <f t="shared" si="18"/>
        <v>0</v>
      </c>
      <c r="J214" s="22">
        <f t="shared" si="19"/>
        <v>5.7534246575342465</v>
      </c>
    </row>
    <row r="215" spans="3:10" hidden="1" x14ac:dyDescent="0.25">
      <c r="C215" s="6"/>
      <c r="E215" s="37">
        <v>211</v>
      </c>
      <c r="F215" s="19">
        <f t="shared" si="15"/>
        <v>210</v>
      </c>
      <c r="G215" s="19">
        <f t="shared" si="16"/>
        <v>111</v>
      </c>
      <c r="H215" s="19">
        <f t="shared" si="17"/>
        <v>0</v>
      </c>
      <c r="I215" s="19">
        <f t="shared" si="18"/>
        <v>0</v>
      </c>
      <c r="J215" s="22">
        <f t="shared" si="19"/>
        <v>3.0410958904109586</v>
      </c>
    </row>
    <row r="216" spans="3:10" hidden="1" x14ac:dyDescent="0.25">
      <c r="C216" s="6"/>
      <c r="E216" s="37">
        <v>212</v>
      </c>
      <c r="F216" s="19">
        <f t="shared" si="15"/>
        <v>111</v>
      </c>
      <c r="G216" s="19">
        <f t="shared" si="16"/>
        <v>12</v>
      </c>
      <c r="H216" s="19">
        <f t="shared" si="17"/>
        <v>1</v>
      </c>
      <c r="I216" s="19">
        <f t="shared" si="18"/>
        <v>200</v>
      </c>
      <c r="J216" s="22">
        <f t="shared" si="19"/>
        <v>0.32876712328767121</v>
      </c>
    </row>
    <row r="217" spans="3:10" hidden="1" x14ac:dyDescent="0.25">
      <c r="C217" s="6"/>
      <c r="E217" s="37">
        <v>213</v>
      </c>
      <c r="F217" s="19">
        <f t="shared" si="15"/>
        <v>1012</v>
      </c>
      <c r="G217" s="19">
        <f t="shared" si="16"/>
        <v>913</v>
      </c>
      <c r="H217" s="19">
        <f t="shared" si="17"/>
        <v>0</v>
      </c>
      <c r="I217" s="19">
        <f t="shared" si="18"/>
        <v>0</v>
      </c>
      <c r="J217" s="22">
        <f t="shared" si="19"/>
        <v>25.013698630136986</v>
      </c>
    </row>
    <row r="218" spans="3:10" hidden="1" x14ac:dyDescent="0.25">
      <c r="C218" s="6"/>
      <c r="E218" s="37">
        <v>214</v>
      </c>
      <c r="F218" s="19">
        <f t="shared" si="15"/>
        <v>913</v>
      </c>
      <c r="G218" s="19">
        <f t="shared" si="16"/>
        <v>814</v>
      </c>
      <c r="H218" s="19">
        <f t="shared" si="17"/>
        <v>0</v>
      </c>
      <c r="I218" s="19">
        <f t="shared" si="18"/>
        <v>0</v>
      </c>
      <c r="J218" s="22">
        <f t="shared" si="19"/>
        <v>22.301369863013697</v>
      </c>
    </row>
    <row r="219" spans="3:10" hidden="1" x14ac:dyDescent="0.25">
      <c r="C219" s="6"/>
      <c r="E219" s="37">
        <v>215</v>
      </c>
      <c r="F219" s="19">
        <f t="shared" si="15"/>
        <v>814</v>
      </c>
      <c r="G219" s="19">
        <f t="shared" si="16"/>
        <v>715</v>
      </c>
      <c r="H219" s="19">
        <f t="shared" si="17"/>
        <v>0</v>
      </c>
      <c r="I219" s="19">
        <f t="shared" si="18"/>
        <v>0</v>
      </c>
      <c r="J219" s="22">
        <f t="shared" si="19"/>
        <v>19.589041095890408</v>
      </c>
    </row>
    <row r="220" spans="3:10" hidden="1" x14ac:dyDescent="0.25">
      <c r="C220" s="6"/>
      <c r="E220" s="37">
        <v>216</v>
      </c>
      <c r="F220" s="19">
        <f t="shared" si="15"/>
        <v>715</v>
      </c>
      <c r="G220" s="19">
        <f t="shared" si="16"/>
        <v>616</v>
      </c>
      <c r="H220" s="19">
        <f t="shared" si="17"/>
        <v>0</v>
      </c>
      <c r="I220" s="19">
        <f t="shared" si="18"/>
        <v>0</v>
      </c>
      <c r="J220" s="22">
        <f t="shared" si="19"/>
        <v>16.876712328767123</v>
      </c>
    </row>
    <row r="221" spans="3:10" hidden="1" x14ac:dyDescent="0.25">
      <c r="C221" s="6"/>
      <c r="E221" s="37">
        <v>217</v>
      </c>
      <c r="F221" s="19">
        <f t="shared" si="15"/>
        <v>616</v>
      </c>
      <c r="G221" s="19">
        <f t="shared" si="16"/>
        <v>517</v>
      </c>
      <c r="H221" s="19">
        <f t="shared" si="17"/>
        <v>0</v>
      </c>
      <c r="I221" s="19">
        <f t="shared" si="18"/>
        <v>0</v>
      </c>
      <c r="J221" s="22">
        <f t="shared" si="19"/>
        <v>14.164383561643834</v>
      </c>
    </row>
    <row r="222" spans="3:10" hidden="1" x14ac:dyDescent="0.25">
      <c r="C222" s="6"/>
      <c r="E222" s="37">
        <v>218</v>
      </c>
      <c r="F222" s="19">
        <f t="shared" si="15"/>
        <v>517</v>
      </c>
      <c r="G222" s="19">
        <f t="shared" si="16"/>
        <v>418</v>
      </c>
      <c r="H222" s="19">
        <f t="shared" si="17"/>
        <v>0</v>
      </c>
      <c r="I222" s="19">
        <f t="shared" si="18"/>
        <v>0</v>
      </c>
      <c r="J222" s="22">
        <f t="shared" si="19"/>
        <v>11.452054794520548</v>
      </c>
    </row>
    <row r="223" spans="3:10" hidden="1" x14ac:dyDescent="0.25">
      <c r="C223" s="6"/>
      <c r="E223" s="37">
        <v>219</v>
      </c>
      <c r="F223" s="19">
        <f t="shared" si="15"/>
        <v>418</v>
      </c>
      <c r="G223" s="19">
        <f t="shared" si="16"/>
        <v>319</v>
      </c>
      <c r="H223" s="19">
        <f t="shared" si="17"/>
        <v>0</v>
      </c>
      <c r="I223" s="19">
        <f t="shared" si="18"/>
        <v>0</v>
      </c>
      <c r="J223" s="22">
        <f t="shared" si="19"/>
        <v>8.7397260273972606</v>
      </c>
    </row>
    <row r="224" spans="3:10" hidden="1" x14ac:dyDescent="0.25">
      <c r="C224" s="6"/>
      <c r="E224" s="37">
        <v>220</v>
      </c>
      <c r="F224" s="19">
        <f t="shared" si="15"/>
        <v>319</v>
      </c>
      <c r="G224" s="19">
        <f t="shared" si="16"/>
        <v>220</v>
      </c>
      <c r="H224" s="19">
        <f t="shared" si="17"/>
        <v>0</v>
      </c>
      <c r="I224" s="19">
        <f t="shared" si="18"/>
        <v>0</v>
      </c>
      <c r="J224" s="22">
        <f t="shared" si="19"/>
        <v>6.0273972602739718</v>
      </c>
    </row>
    <row r="225" spans="3:10" hidden="1" x14ac:dyDescent="0.25">
      <c r="C225" s="6"/>
      <c r="E225" s="37">
        <v>221</v>
      </c>
      <c r="F225" s="19">
        <f t="shared" si="15"/>
        <v>220</v>
      </c>
      <c r="G225" s="19">
        <f t="shared" si="16"/>
        <v>121</v>
      </c>
      <c r="H225" s="19">
        <f t="shared" si="17"/>
        <v>0</v>
      </c>
      <c r="I225" s="19">
        <f t="shared" si="18"/>
        <v>0</v>
      </c>
      <c r="J225" s="22">
        <f t="shared" si="19"/>
        <v>3.3150684931506849</v>
      </c>
    </row>
    <row r="226" spans="3:10" hidden="1" x14ac:dyDescent="0.25">
      <c r="C226" s="6"/>
      <c r="E226" s="37">
        <v>222</v>
      </c>
      <c r="F226" s="19">
        <f t="shared" si="15"/>
        <v>121</v>
      </c>
      <c r="G226" s="19">
        <f t="shared" si="16"/>
        <v>22</v>
      </c>
      <c r="H226" s="19">
        <f t="shared" si="17"/>
        <v>1</v>
      </c>
      <c r="I226" s="19">
        <f t="shared" si="18"/>
        <v>200</v>
      </c>
      <c r="J226" s="22">
        <f t="shared" si="19"/>
        <v>0.60273972602739723</v>
      </c>
    </row>
    <row r="227" spans="3:10" hidden="1" x14ac:dyDescent="0.25">
      <c r="C227" s="6"/>
      <c r="E227" s="37">
        <v>223</v>
      </c>
      <c r="F227" s="19">
        <f t="shared" si="15"/>
        <v>1022</v>
      </c>
      <c r="G227" s="19">
        <f t="shared" si="16"/>
        <v>923</v>
      </c>
      <c r="H227" s="19">
        <f t="shared" si="17"/>
        <v>0</v>
      </c>
      <c r="I227" s="19">
        <f t="shared" si="18"/>
        <v>0</v>
      </c>
      <c r="J227" s="22">
        <f t="shared" si="19"/>
        <v>25.287671232876711</v>
      </c>
    </row>
    <row r="228" spans="3:10" hidden="1" x14ac:dyDescent="0.25">
      <c r="C228" s="6"/>
      <c r="E228" s="37">
        <v>224</v>
      </c>
      <c r="F228" s="19">
        <f t="shared" si="15"/>
        <v>923</v>
      </c>
      <c r="G228" s="19">
        <f t="shared" si="16"/>
        <v>824</v>
      </c>
      <c r="H228" s="19">
        <f t="shared" si="17"/>
        <v>0</v>
      </c>
      <c r="I228" s="19">
        <f t="shared" si="18"/>
        <v>0</v>
      </c>
      <c r="J228" s="22">
        <f t="shared" si="19"/>
        <v>22.575342465753423</v>
      </c>
    </row>
    <row r="229" spans="3:10" hidden="1" x14ac:dyDescent="0.25">
      <c r="C229" s="6"/>
      <c r="E229" s="37">
        <v>225</v>
      </c>
      <c r="F229" s="19">
        <f t="shared" si="15"/>
        <v>824</v>
      </c>
      <c r="G229" s="19">
        <f t="shared" si="16"/>
        <v>725</v>
      </c>
      <c r="H229" s="19">
        <f t="shared" si="17"/>
        <v>0</v>
      </c>
      <c r="I229" s="19">
        <f t="shared" si="18"/>
        <v>0</v>
      </c>
      <c r="J229" s="22">
        <f t="shared" si="19"/>
        <v>19.863013698630137</v>
      </c>
    </row>
    <row r="230" spans="3:10" hidden="1" x14ac:dyDescent="0.25">
      <c r="C230" s="6"/>
      <c r="E230" s="37">
        <v>226</v>
      </c>
      <c r="F230" s="19">
        <f t="shared" si="15"/>
        <v>725</v>
      </c>
      <c r="G230" s="19">
        <f t="shared" si="16"/>
        <v>626</v>
      </c>
      <c r="H230" s="19">
        <f t="shared" si="17"/>
        <v>0</v>
      </c>
      <c r="I230" s="19">
        <f t="shared" si="18"/>
        <v>0</v>
      </c>
      <c r="J230" s="22">
        <f t="shared" si="19"/>
        <v>17.150684931506849</v>
      </c>
    </row>
    <row r="231" spans="3:10" hidden="1" x14ac:dyDescent="0.25">
      <c r="C231" s="6"/>
      <c r="E231" s="37">
        <v>227</v>
      </c>
      <c r="F231" s="19">
        <f t="shared" si="15"/>
        <v>626</v>
      </c>
      <c r="G231" s="19">
        <f t="shared" si="16"/>
        <v>527</v>
      </c>
      <c r="H231" s="19">
        <f t="shared" si="17"/>
        <v>0</v>
      </c>
      <c r="I231" s="19">
        <f t="shared" si="18"/>
        <v>0</v>
      </c>
      <c r="J231" s="22">
        <f t="shared" si="19"/>
        <v>14.438356164383562</v>
      </c>
    </row>
    <row r="232" spans="3:10" hidden="1" x14ac:dyDescent="0.25">
      <c r="C232" s="6"/>
      <c r="E232" s="37">
        <v>228</v>
      </c>
      <c r="F232" s="19">
        <f t="shared" si="15"/>
        <v>527</v>
      </c>
      <c r="G232" s="19">
        <f t="shared" si="16"/>
        <v>428</v>
      </c>
      <c r="H232" s="19">
        <f t="shared" si="17"/>
        <v>0</v>
      </c>
      <c r="I232" s="19">
        <f t="shared" si="18"/>
        <v>0</v>
      </c>
      <c r="J232" s="22">
        <f t="shared" si="19"/>
        <v>11.726027397260273</v>
      </c>
    </row>
    <row r="233" spans="3:10" hidden="1" x14ac:dyDescent="0.25">
      <c r="C233" s="6"/>
      <c r="E233" s="37">
        <v>229</v>
      </c>
      <c r="F233" s="19">
        <f t="shared" si="15"/>
        <v>428</v>
      </c>
      <c r="G233" s="19">
        <f t="shared" si="16"/>
        <v>329</v>
      </c>
      <c r="H233" s="19">
        <f t="shared" si="17"/>
        <v>0</v>
      </c>
      <c r="I233" s="19">
        <f t="shared" si="18"/>
        <v>0</v>
      </c>
      <c r="J233" s="22">
        <f t="shared" si="19"/>
        <v>9.0136986301369859</v>
      </c>
    </row>
    <row r="234" spans="3:10" hidden="1" x14ac:dyDescent="0.25">
      <c r="C234" s="6"/>
      <c r="E234" s="37">
        <v>230</v>
      </c>
      <c r="F234" s="19">
        <f t="shared" si="15"/>
        <v>329</v>
      </c>
      <c r="G234" s="19">
        <f t="shared" si="16"/>
        <v>230</v>
      </c>
      <c r="H234" s="19">
        <f t="shared" si="17"/>
        <v>0</v>
      </c>
      <c r="I234" s="19">
        <f t="shared" si="18"/>
        <v>0</v>
      </c>
      <c r="J234" s="22">
        <f t="shared" si="19"/>
        <v>6.3013698630136981</v>
      </c>
    </row>
    <row r="235" spans="3:10" hidden="1" x14ac:dyDescent="0.25">
      <c r="C235" s="6"/>
      <c r="E235" s="37">
        <v>231</v>
      </c>
      <c r="F235" s="19">
        <f t="shared" si="15"/>
        <v>230</v>
      </c>
      <c r="G235" s="19">
        <f t="shared" si="16"/>
        <v>131</v>
      </c>
      <c r="H235" s="19">
        <f t="shared" si="17"/>
        <v>0</v>
      </c>
      <c r="I235" s="19">
        <f t="shared" si="18"/>
        <v>0</v>
      </c>
      <c r="J235" s="22">
        <f t="shared" si="19"/>
        <v>3.5890410958904106</v>
      </c>
    </row>
    <row r="236" spans="3:10" hidden="1" x14ac:dyDescent="0.25">
      <c r="C236" s="6"/>
      <c r="E236" s="37">
        <v>232</v>
      </c>
      <c r="F236" s="19">
        <f t="shared" si="15"/>
        <v>131</v>
      </c>
      <c r="G236" s="19">
        <f t="shared" si="16"/>
        <v>32</v>
      </c>
      <c r="H236" s="19">
        <f t="shared" si="17"/>
        <v>1</v>
      </c>
      <c r="I236" s="19">
        <f t="shared" si="18"/>
        <v>200</v>
      </c>
      <c r="J236" s="22">
        <f t="shared" si="19"/>
        <v>0.87671232876712324</v>
      </c>
    </row>
    <row r="237" spans="3:10" hidden="1" x14ac:dyDescent="0.25">
      <c r="C237" s="6"/>
      <c r="E237" s="37">
        <v>233</v>
      </c>
      <c r="F237" s="19">
        <f t="shared" si="15"/>
        <v>1032</v>
      </c>
      <c r="G237" s="19">
        <f t="shared" si="16"/>
        <v>933</v>
      </c>
      <c r="H237" s="19">
        <f t="shared" si="17"/>
        <v>0</v>
      </c>
      <c r="I237" s="19">
        <f t="shared" si="18"/>
        <v>0</v>
      </c>
      <c r="J237" s="22">
        <f t="shared" si="19"/>
        <v>25.561643835616437</v>
      </c>
    </row>
    <row r="238" spans="3:10" hidden="1" x14ac:dyDescent="0.25">
      <c r="C238" s="6"/>
      <c r="E238" s="37">
        <v>234</v>
      </c>
      <c r="F238" s="19">
        <f t="shared" si="15"/>
        <v>933</v>
      </c>
      <c r="G238" s="19">
        <f t="shared" si="16"/>
        <v>834</v>
      </c>
      <c r="H238" s="19">
        <f t="shared" si="17"/>
        <v>0</v>
      </c>
      <c r="I238" s="19">
        <f t="shared" si="18"/>
        <v>0</v>
      </c>
      <c r="J238" s="22">
        <f t="shared" si="19"/>
        <v>22.849315068493148</v>
      </c>
    </row>
    <row r="239" spans="3:10" hidden="1" x14ac:dyDescent="0.25">
      <c r="C239" s="6"/>
      <c r="E239" s="37">
        <v>235</v>
      </c>
      <c r="F239" s="19">
        <f t="shared" si="15"/>
        <v>834</v>
      </c>
      <c r="G239" s="19">
        <f t="shared" si="16"/>
        <v>735</v>
      </c>
      <c r="H239" s="19">
        <f t="shared" si="17"/>
        <v>0</v>
      </c>
      <c r="I239" s="19">
        <f t="shared" si="18"/>
        <v>0</v>
      </c>
      <c r="J239" s="22">
        <f t="shared" si="19"/>
        <v>20.136986301369863</v>
      </c>
    </row>
    <row r="240" spans="3:10" hidden="1" x14ac:dyDescent="0.25">
      <c r="C240" s="6"/>
      <c r="E240" s="37">
        <v>236</v>
      </c>
      <c r="F240" s="19">
        <f t="shared" si="15"/>
        <v>735</v>
      </c>
      <c r="G240" s="19">
        <f t="shared" si="16"/>
        <v>636</v>
      </c>
      <c r="H240" s="19">
        <f t="shared" si="17"/>
        <v>0</v>
      </c>
      <c r="I240" s="19">
        <f t="shared" si="18"/>
        <v>0</v>
      </c>
      <c r="J240" s="22">
        <f t="shared" si="19"/>
        <v>17.424657534246574</v>
      </c>
    </row>
    <row r="241" spans="3:10" hidden="1" x14ac:dyDescent="0.25">
      <c r="C241" s="6"/>
      <c r="E241" s="37">
        <v>237</v>
      </c>
      <c r="F241" s="19">
        <f t="shared" si="15"/>
        <v>636</v>
      </c>
      <c r="G241" s="19">
        <f t="shared" si="16"/>
        <v>537</v>
      </c>
      <c r="H241" s="19">
        <f t="shared" si="17"/>
        <v>0</v>
      </c>
      <c r="I241" s="19">
        <f t="shared" si="18"/>
        <v>0</v>
      </c>
      <c r="J241" s="22">
        <f t="shared" si="19"/>
        <v>14.712328767123287</v>
      </c>
    </row>
    <row r="242" spans="3:10" hidden="1" x14ac:dyDescent="0.25">
      <c r="C242" s="6"/>
      <c r="E242" s="37">
        <v>238</v>
      </c>
      <c r="F242" s="19">
        <f t="shared" si="15"/>
        <v>537</v>
      </c>
      <c r="G242" s="19">
        <f t="shared" si="16"/>
        <v>438</v>
      </c>
      <c r="H242" s="19">
        <f t="shared" si="17"/>
        <v>0</v>
      </c>
      <c r="I242" s="19">
        <f t="shared" si="18"/>
        <v>0</v>
      </c>
      <c r="J242" s="22">
        <f t="shared" si="19"/>
        <v>12</v>
      </c>
    </row>
    <row r="243" spans="3:10" hidden="1" x14ac:dyDescent="0.25">
      <c r="C243" s="6"/>
      <c r="E243" s="37">
        <v>239</v>
      </c>
      <c r="F243" s="19">
        <f t="shared" si="15"/>
        <v>438</v>
      </c>
      <c r="G243" s="19">
        <f t="shared" si="16"/>
        <v>339</v>
      </c>
      <c r="H243" s="19">
        <f t="shared" si="17"/>
        <v>0</v>
      </c>
      <c r="I243" s="19">
        <f t="shared" si="18"/>
        <v>0</v>
      </c>
      <c r="J243" s="22">
        <f t="shared" si="19"/>
        <v>9.2876712328767113</v>
      </c>
    </row>
    <row r="244" spans="3:10" hidden="1" x14ac:dyDescent="0.25">
      <c r="C244" s="6"/>
      <c r="E244" s="37">
        <v>240</v>
      </c>
      <c r="F244" s="19">
        <f t="shared" si="15"/>
        <v>339</v>
      </c>
      <c r="G244" s="19">
        <f t="shared" si="16"/>
        <v>240</v>
      </c>
      <c r="H244" s="19">
        <f t="shared" si="17"/>
        <v>0</v>
      </c>
      <c r="I244" s="19">
        <f t="shared" si="18"/>
        <v>0</v>
      </c>
      <c r="J244" s="22">
        <f t="shared" si="19"/>
        <v>6.5753424657534243</v>
      </c>
    </row>
    <row r="245" spans="3:10" hidden="1" x14ac:dyDescent="0.25">
      <c r="C245" s="6"/>
      <c r="E245" s="37">
        <v>241</v>
      </c>
      <c r="F245" s="19">
        <f t="shared" si="15"/>
        <v>240</v>
      </c>
      <c r="G245" s="19">
        <f t="shared" si="16"/>
        <v>141</v>
      </c>
      <c r="H245" s="19">
        <f t="shared" si="17"/>
        <v>0</v>
      </c>
      <c r="I245" s="19">
        <f t="shared" si="18"/>
        <v>0</v>
      </c>
      <c r="J245" s="22">
        <f t="shared" si="19"/>
        <v>3.8630136986301369</v>
      </c>
    </row>
    <row r="246" spans="3:10" hidden="1" x14ac:dyDescent="0.25">
      <c r="C246" s="6"/>
      <c r="E246" s="37">
        <v>242</v>
      </c>
      <c r="F246" s="19">
        <f t="shared" si="15"/>
        <v>141</v>
      </c>
      <c r="G246" s="19">
        <f t="shared" si="16"/>
        <v>42</v>
      </c>
      <c r="H246" s="19">
        <f t="shared" si="17"/>
        <v>1</v>
      </c>
      <c r="I246" s="19">
        <f t="shared" si="18"/>
        <v>200</v>
      </c>
      <c r="J246" s="22">
        <f t="shared" si="19"/>
        <v>1.1506849315068493</v>
      </c>
    </row>
    <row r="247" spans="3:10" hidden="1" x14ac:dyDescent="0.25">
      <c r="C247" s="6"/>
      <c r="E247" s="37">
        <v>243</v>
      </c>
      <c r="F247" s="19">
        <f t="shared" si="15"/>
        <v>1042</v>
      </c>
      <c r="G247" s="19">
        <f t="shared" si="16"/>
        <v>943</v>
      </c>
      <c r="H247" s="19">
        <f t="shared" si="17"/>
        <v>0</v>
      </c>
      <c r="I247" s="19">
        <f t="shared" si="18"/>
        <v>0</v>
      </c>
      <c r="J247" s="22">
        <f t="shared" si="19"/>
        <v>25.835616438356162</v>
      </c>
    </row>
    <row r="248" spans="3:10" hidden="1" x14ac:dyDescent="0.25">
      <c r="C248" s="6"/>
      <c r="E248" s="37">
        <v>244</v>
      </c>
      <c r="F248" s="19">
        <f t="shared" si="15"/>
        <v>943</v>
      </c>
      <c r="G248" s="19">
        <f t="shared" si="16"/>
        <v>844</v>
      </c>
      <c r="H248" s="19">
        <f t="shared" si="17"/>
        <v>0</v>
      </c>
      <c r="I248" s="19">
        <f t="shared" si="18"/>
        <v>0</v>
      </c>
      <c r="J248" s="22">
        <f t="shared" si="19"/>
        <v>23.123287671232877</v>
      </c>
    </row>
    <row r="249" spans="3:10" hidden="1" x14ac:dyDescent="0.25">
      <c r="C249" s="6"/>
      <c r="E249" s="37">
        <v>245</v>
      </c>
      <c r="F249" s="19">
        <f t="shared" si="15"/>
        <v>844</v>
      </c>
      <c r="G249" s="19">
        <f t="shared" si="16"/>
        <v>745</v>
      </c>
      <c r="H249" s="19">
        <f t="shared" si="17"/>
        <v>0</v>
      </c>
      <c r="I249" s="19">
        <f t="shared" si="18"/>
        <v>0</v>
      </c>
      <c r="J249" s="22">
        <f t="shared" si="19"/>
        <v>20.410958904109588</v>
      </c>
    </row>
    <row r="250" spans="3:10" hidden="1" x14ac:dyDescent="0.25">
      <c r="C250" s="6"/>
      <c r="E250" s="37">
        <v>246</v>
      </c>
      <c r="F250" s="19">
        <f t="shared" si="15"/>
        <v>745</v>
      </c>
      <c r="G250" s="19">
        <f t="shared" si="16"/>
        <v>646</v>
      </c>
      <c r="H250" s="19">
        <f t="shared" si="17"/>
        <v>0</v>
      </c>
      <c r="I250" s="19">
        <f t="shared" si="18"/>
        <v>0</v>
      </c>
      <c r="J250" s="22">
        <f t="shared" si="19"/>
        <v>17.698630136986299</v>
      </c>
    </row>
    <row r="251" spans="3:10" hidden="1" x14ac:dyDescent="0.25">
      <c r="C251" s="6"/>
      <c r="E251" s="37">
        <v>247</v>
      </c>
      <c r="F251" s="19">
        <f t="shared" si="15"/>
        <v>646</v>
      </c>
      <c r="G251" s="19">
        <f t="shared" si="16"/>
        <v>547</v>
      </c>
      <c r="H251" s="19">
        <f t="shared" si="17"/>
        <v>0</v>
      </c>
      <c r="I251" s="19">
        <f t="shared" si="18"/>
        <v>0</v>
      </c>
      <c r="J251" s="22">
        <f t="shared" si="19"/>
        <v>14.986301369863012</v>
      </c>
    </row>
    <row r="252" spans="3:10" hidden="1" x14ac:dyDescent="0.25">
      <c r="C252" s="6"/>
      <c r="E252" s="37">
        <v>248</v>
      </c>
      <c r="F252" s="19">
        <f t="shared" si="15"/>
        <v>547</v>
      </c>
      <c r="G252" s="19">
        <f t="shared" si="16"/>
        <v>448</v>
      </c>
      <c r="H252" s="19">
        <f t="shared" si="17"/>
        <v>0</v>
      </c>
      <c r="I252" s="19">
        <f t="shared" si="18"/>
        <v>0</v>
      </c>
      <c r="J252" s="22">
        <f t="shared" si="19"/>
        <v>12.273972602739725</v>
      </c>
    </row>
    <row r="253" spans="3:10" hidden="1" x14ac:dyDescent="0.25">
      <c r="C253" s="6"/>
      <c r="E253" s="37">
        <v>249</v>
      </c>
      <c r="F253" s="19">
        <f t="shared" si="15"/>
        <v>448</v>
      </c>
      <c r="G253" s="19">
        <f t="shared" si="16"/>
        <v>349</v>
      </c>
      <c r="H253" s="19">
        <f t="shared" si="17"/>
        <v>0</v>
      </c>
      <c r="I253" s="19">
        <f t="shared" si="18"/>
        <v>0</v>
      </c>
      <c r="J253" s="22">
        <f t="shared" si="19"/>
        <v>9.5616438356164384</v>
      </c>
    </row>
    <row r="254" spans="3:10" hidden="1" x14ac:dyDescent="0.25">
      <c r="C254" s="6"/>
      <c r="E254" s="37">
        <v>250</v>
      </c>
      <c r="F254" s="19">
        <f t="shared" si="15"/>
        <v>349</v>
      </c>
      <c r="G254" s="19">
        <f t="shared" si="16"/>
        <v>250</v>
      </c>
      <c r="H254" s="19">
        <f t="shared" si="17"/>
        <v>0</v>
      </c>
      <c r="I254" s="19">
        <f t="shared" si="18"/>
        <v>0</v>
      </c>
      <c r="J254" s="22">
        <f t="shared" si="19"/>
        <v>6.8493150684931505</v>
      </c>
    </row>
    <row r="255" spans="3:10" hidden="1" x14ac:dyDescent="0.25">
      <c r="C255" s="6"/>
      <c r="E255" s="37">
        <v>251</v>
      </c>
      <c r="F255" s="19">
        <f t="shared" si="15"/>
        <v>250</v>
      </c>
      <c r="G255" s="19">
        <f t="shared" si="16"/>
        <v>151</v>
      </c>
      <c r="H255" s="19">
        <f t="shared" si="17"/>
        <v>0</v>
      </c>
      <c r="I255" s="19">
        <f t="shared" si="18"/>
        <v>0</v>
      </c>
      <c r="J255" s="22">
        <f t="shared" si="19"/>
        <v>4.1369863013698627</v>
      </c>
    </row>
    <row r="256" spans="3:10" hidden="1" x14ac:dyDescent="0.25">
      <c r="C256" s="6"/>
      <c r="E256" s="37">
        <v>252</v>
      </c>
      <c r="F256" s="19">
        <f t="shared" si="15"/>
        <v>151</v>
      </c>
      <c r="G256" s="19">
        <f t="shared" si="16"/>
        <v>52</v>
      </c>
      <c r="H256" s="19">
        <f t="shared" si="17"/>
        <v>1</v>
      </c>
      <c r="I256" s="19">
        <f t="shared" si="18"/>
        <v>200</v>
      </c>
      <c r="J256" s="22">
        <f t="shared" si="19"/>
        <v>1.4246575342465753</v>
      </c>
    </row>
    <row r="257" spans="3:10" hidden="1" x14ac:dyDescent="0.25">
      <c r="C257" s="6"/>
      <c r="E257" s="37">
        <v>253</v>
      </c>
      <c r="F257" s="19">
        <f t="shared" si="15"/>
        <v>1052</v>
      </c>
      <c r="G257" s="19">
        <f t="shared" si="16"/>
        <v>953</v>
      </c>
      <c r="H257" s="19">
        <f t="shared" si="17"/>
        <v>0</v>
      </c>
      <c r="I257" s="19">
        <f t="shared" si="18"/>
        <v>0</v>
      </c>
      <c r="J257" s="22">
        <f t="shared" si="19"/>
        <v>26.109589041095887</v>
      </c>
    </row>
    <row r="258" spans="3:10" hidden="1" x14ac:dyDescent="0.25">
      <c r="C258" s="6"/>
      <c r="E258" s="37">
        <v>254</v>
      </c>
      <c r="F258" s="19">
        <f t="shared" si="15"/>
        <v>953</v>
      </c>
      <c r="G258" s="19">
        <f t="shared" si="16"/>
        <v>854</v>
      </c>
      <c r="H258" s="19">
        <f t="shared" si="17"/>
        <v>0</v>
      </c>
      <c r="I258" s="19">
        <f t="shared" si="18"/>
        <v>0</v>
      </c>
      <c r="J258" s="22">
        <f t="shared" si="19"/>
        <v>23.397260273972602</v>
      </c>
    </row>
    <row r="259" spans="3:10" hidden="1" x14ac:dyDescent="0.25">
      <c r="C259" s="6"/>
      <c r="E259" s="37">
        <v>255</v>
      </c>
      <c r="F259" s="19">
        <f t="shared" si="15"/>
        <v>854</v>
      </c>
      <c r="G259" s="19">
        <f t="shared" si="16"/>
        <v>755</v>
      </c>
      <c r="H259" s="19">
        <f t="shared" si="17"/>
        <v>0</v>
      </c>
      <c r="I259" s="19">
        <f t="shared" si="18"/>
        <v>0</v>
      </c>
      <c r="J259" s="22">
        <f t="shared" si="19"/>
        <v>20.684931506849313</v>
      </c>
    </row>
    <row r="260" spans="3:10" hidden="1" x14ac:dyDescent="0.25">
      <c r="C260" s="6"/>
      <c r="E260" s="37">
        <v>256</v>
      </c>
      <c r="F260" s="19">
        <f t="shared" si="15"/>
        <v>755</v>
      </c>
      <c r="G260" s="19">
        <f t="shared" si="16"/>
        <v>656</v>
      </c>
      <c r="H260" s="19">
        <f t="shared" si="17"/>
        <v>0</v>
      </c>
      <c r="I260" s="19">
        <f t="shared" si="18"/>
        <v>0</v>
      </c>
      <c r="J260" s="22">
        <f t="shared" si="19"/>
        <v>17.972602739726028</v>
      </c>
    </row>
    <row r="261" spans="3:10" hidden="1" x14ac:dyDescent="0.25">
      <c r="C261" s="6"/>
      <c r="E261" s="37">
        <v>257</v>
      </c>
      <c r="F261" s="19">
        <f t="shared" si="15"/>
        <v>656</v>
      </c>
      <c r="G261" s="19">
        <f t="shared" si="16"/>
        <v>557</v>
      </c>
      <c r="H261" s="19">
        <f t="shared" si="17"/>
        <v>0</v>
      </c>
      <c r="I261" s="19">
        <f t="shared" si="18"/>
        <v>0</v>
      </c>
      <c r="J261" s="22">
        <f t="shared" si="19"/>
        <v>15.260273972602739</v>
      </c>
    </row>
    <row r="262" spans="3:10" hidden="1" x14ac:dyDescent="0.25">
      <c r="C262" s="6"/>
      <c r="E262" s="37">
        <v>258</v>
      </c>
      <c r="F262" s="19">
        <f t="shared" ref="F262:F325" si="20">G261+H261*$C$9</f>
        <v>557</v>
      </c>
      <c r="G262" s="19">
        <f t="shared" ref="G262:G325" si="21">F262-$C$7</f>
        <v>458</v>
      </c>
      <c r="H262" s="19">
        <f t="shared" ref="H262:H325" si="22">IF(G262&lt;$C$7,1,0)</f>
        <v>0</v>
      </c>
      <c r="I262" s="19">
        <f t="shared" ref="I262:I325" si="23">H262*$C$4</f>
        <v>0</v>
      </c>
      <c r="J262" s="22">
        <f t="shared" ref="J262:J325" si="24">G262*$C$8</f>
        <v>12.547945205479451</v>
      </c>
    </row>
    <row r="263" spans="3:10" hidden="1" x14ac:dyDescent="0.25">
      <c r="C263" s="6"/>
      <c r="E263" s="37">
        <v>259</v>
      </c>
      <c r="F263" s="19">
        <f t="shared" si="20"/>
        <v>458</v>
      </c>
      <c r="G263" s="19">
        <f t="shared" si="21"/>
        <v>359</v>
      </c>
      <c r="H263" s="19">
        <f t="shared" si="22"/>
        <v>0</v>
      </c>
      <c r="I263" s="19">
        <f t="shared" si="23"/>
        <v>0</v>
      </c>
      <c r="J263" s="22">
        <f t="shared" si="24"/>
        <v>9.8356164383561637</v>
      </c>
    </row>
    <row r="264" spans="3:10" hidden="1" x14ac:dyDescent="0.25">
      <c r="C264" s="6"/>
      <c r="E264" s="37">
        <v>260</v>
      </c>
      <c r="F264" s="19">
        <f t="shared" si="20"/>
        <v>359</v>
      </c>
      <c r="G264" s="19">
        <f t="shared" si="21"/>
        <v>260</v>
      </c>
      <c r="H264" s="19">
        <f t="shared" si="22"/>
        <v>0</v>
      </c>
      <c r="I264" s="19">
        <f t="shared" si="23"/>
        <v>0</v>
      </c>
      <c r="J264" s="22">
        <f t="shared" si="24"/>
        <v>7.1232876712328768</v>
      </c>
    </row>
    <row r="265" spans="3:10" hidden="1" x14ac:dyDescent="0.25">
      <c r="C265" s="6"/>
      <c r="E265" s="37">
        <v>261</v>
      </c>
      <c r="F265" s="19">
        <f t="shared" si="20"/>
        <v>260</v>
      </c>
      <c r="G265" s="19">
        <f t="shared" si="21"/>
        <v>161</v>
      </c>
      <c r="H265" s="19">
        <f t="shared" si="22"/>
        <v>0</v>
      </c>
      <c r="I265" s="19">
        <f t="shared" si="23"/>
        <v>0</v>
      </c>
      <c r="J265" s="22">
        <f t="shared" si="24"/>
        <v>4.4109589041095889</v>
      </c>
    </row>
    <row r="266" spans="3:10" hidden="1" x14ac:dyDescent="0.25">
      <c r="C266" s="6"/>
      <c r="E266" s="37">
        <v>262</v>
      </c>
      <c r="F266" s="19">
        <f t="shared" si="20"/>
        <v>161</v>
      </c>
      <c r="G266" s="19">
        <f t="shared" si="21"/>
        <v>62</v>
      </c>
      <c r="H266" s="19">
        <f t="shared" si="22"/>
        <v>1</v>
      </c>
      <c r="I266" s="19">
        <f t="shared" si="23"/>
        <v>200</v>
      </c>
      <c r="J266" s="22">
        <f t="shared" si="24"/>
        <v>1.6986301369863013</v>
      </c>
    </row>
    <row r="267" spans="3:10" hidden="1" x14ac:dyDescent="0.25">
      <c r="C267" s="6"/>
      <c r="E267" s="37">
        <v>263</v>
      </c>
      <c r="F267" s="19">
        <f t="shared" si="20"/>
        <v>1062</v>
      </c>
      <c r="G267" s="19">
        <f t="shared" si="21"/>
        <v>963</v>
      </c>
      <c r="H267" s="19">
        <f t="shared" si="22"/>
        <v>0</v>
      </c>
      <c r="I267" s="19">
        <f t="shared" si="23"/>
        <v>0</v>
      </c>
      <c r="J267" s="22">
        <f t="shared" si="24"/>
        <v>26.383561643835616</v>
      </c>
    </row>
    <row r="268" spans="3:10" hidden="1" x14ac:dyDescent="0.25">
      <c r="C268" s="6"/>
      <c r="E268" s="37">
        <v>264</v>
      </c>
      <c r="F268" s="19">
        <f t="shared" si="20"/>
        <v>963</v>
      </c>
      <c r="G268" s="19">
        <f t="shared" si="21"/>
        <v>864</v>
      </c>
      <c r="H268" s="19">
        <f t="shared" si="22"/>
        <v>0</v>
      </c>
      <c r="I268" s="19">
        <f t="shared" si="23"/>
        <v>0</v>
      </c>
      <c r="J268" s="22">
        <f t="shared" si="24"/>
        <v>23.671232876712327</v>
      </c>
    </row>
    <row r="269" spans="3:10" hidden="1" x14ac:dyDescent="0.25">
      <c r="C269" s="6"/>
      <c r="E269" s="37">
        <v>265</v>
      </c>
      <c r="F269" s="19">
        <f t="shared" si="20"/>
        <v>864</v>
      </c>
      <c r="G269" s="19">
        <f t="shared" si="21"/>
        <v>765</v>
      </c>
      <c r="H269" s="19">
        <f t="shared" si="22"/>
        <v>0</v>
      </c>
      <c r="I269" s="19">
        <f t="shared" si="23"/>
        <v>0</v>
      </c>
      <c r="J269" s="22">
        <f t="shared" si="24"/>
        <v>20.958904109589039</v>
      </c>
    </row>
    <row r="270" spans="3:10" hidden="1" x14ac:dyDescent="0.25">
      <c r="C270" s="6"/>
      <c r="E270" s="37">
        <v>266</v>
      </c>
      <c r="F270" s="19">
        <f t="shared" si="20"/>
        <v>765</v>
      </c>
      <c r="G270" s="19">
        <f t="shared" si="21"/>
        <v>666</v>
      </c>
      <c r="H270" s="19">
        <f t="shared" si="22"/>
        <v>0</v>
      </c>
      <c r="I270" s="19">
        <f t="shared" si="23"/>
        <v>0</v>
      </c>
      <c r="J270" s="22">
        <f t="shared" si="24"/>
        <v>18.246575342465754</v>
      </c>
    </row>
    <row r="271" spans="3:10" hidden="1" x14ac:dyDescent="0.25">
      <c r="C271" s="6"/>
      <c r="E271" s="37">
        <v>267</v>
      </c>
      <c r="F271" s="19">
        <f t="shared" si="20"/>
        <v>666</v>
      </c>
      <c r="G271" s="19">
        <f t="shared" si="21"/>
        <v>567</v>
      </c>
      <c r="H271" s="19">
        <f t="shared" si="22"/>
        <v>0</v>
      </c>
      <c r="I271" s="19">
        <f t="shared" si="23"/>
        <v>0</v>
      </c>
      <c r="J271" s="22">
        <f t="shared" si="24"/>
        <v>15.534246575342465</v>
      </c>
    </row>
    <row r="272" spans="3:10" hidden="1" x14ac:dyDescent="0.25">
      <c r="C272" s="6"/>
      <c r="E272" s="37">
        <v>268</v>
      </c>
      <c r="F272" s="19">
        <f t="shared" si="20"/>
        <v>567</v>
      </c>
      <c r="G272" s="19">
        <f t="shared" si="21"/>
        <v>468</v>
      </c>
      <c r="H272" s="19">
        <f t="shared" si="22"/>
        <v>0</v>
      </c>
      <c r="I272" s="19">
        <f t="shared" si="23"/>
        <v>0</v>
      </c>
      <c r="J272" s="22">
        <f t="shared" si="24"/>
        <v>12.821917808219178</v>
      </c>
    </row>
    <row r="273" spans="3:10" hidden="1" x14ac:dyDescent="0.25">
      <c r="C273" s="6"/>
      <c r="E273" s="37">
        <v>269</v>
      </c>
      <c r="F273" s="19">
        <f t="shared" si="20"/>
        <v>468</v>
      </c>
      <c r="G273" s="19">
        <f t="shared" si="21"/>
        <v>369</v>
      </c>
      <c r="H273" s="19">
        <f t="shared" si="22"/>
        <v>0</v>
      </c>
      <c r="I273" s="19">
        <f t="shared" si="23"/>
        <v>0</v>
      </c>
      <c r="J273" s="22">
        <f t="shared" si="24"/>
        <v>10.109589041095889</v>
      </c>
    </row>
    <row r="274" spans="3:10" hidden="1" x14ac:dyDescent="0.25">
      <c r="C274" s="6"/>
      <c r="E274" s="37">
        <v>270</v>
      </c>
      <c r="F274" s="19">
        <f t="shared" si="20"/>
        <v>369</v>
      </c>
      <c r="G274" s="19">
        <f t="shared" si="21"/>
        <v>270</v>
      </c>
      <c r="H274" s="19">
        <f t="shared" si="22"/>
        <v>0</v>
      </c>
      <c r="I274" s="19">
        <f t="shared" si="23"/>
        <v>0</v>
      </c>
      <c r="J274" s="22">
        <f t="shared" si="24"/>
        <v>7.3972602739726021</v>
      </c>
    </row>
    <row r="275" spans="3:10" hidden="1" x14ac:dyDescent="0.25">
      <c r="C275" s="6"/>
      <c r="E275" s="37">
        <v>271</v>
      </c>
      <c r="F275" s="19">
        <f t="shared" si="20"/>
        <v>270</v>
      </c>
      <c r="G275" s="19">
        <f t="shared" si="21"/>
        <v>171</v>
      </c>
      <c r="H275" s="19">
        <f t="shared" si="22"/>
        <v>0</v>
      </c>
      <c r="I275" s="19">
        <f t="shared" si="23"/>
        <v>0</v>
      </c>
      <c r="J275" s="22">
        <f t="shared" si="24"/>
        <v>4.6849315068493151</v>
      </c>
    </row>
    <row r="276" spans="3:10" hidden="1" x14ac:dyDescent="0.25">
      <c r="C276" s="6"/>
      <c r="E276" s="37">
        <v>272</v>
      </c>
      <c r="F276" s="19">
        <f t="shared" si="20"/>
        <v>171</v>
      </c>
      <c r="G276" s="19">
        <f t="shared" si="21"/>
        <v>72</v>
      </c>
      <c r="H276" s="19">
        <f t="shared" si="22"/>
        <v>1</v>
      </c>
      <c r="I276" s="19">
        <f t="shared" si="23"/>
        <v>200</v>
      </c>
      <c r="J276" s="22">
        <f t="shared" si="24"/>
        <v>1.9726027397260273</v>
      </c>
    </row>
    <row r="277" spans="3:10" hidden="1" x14ac:dyDescent="0.25">
      <c r="C277" s="6"/>
      <c r="E277" s="37">
        <v>273</v>
      </c>
      <c r="F277" s="19">
        <f t="shared" si="20"/>
        <v>1072</v>
      </c>
      <c r="G277" s="19">
        <f t="shared" si="21"/>
        <v>973</v>
      </c>
      <c r="H277" s="19">
        <f t="shared" si="22"/>
        <v>0</v>
      </c>
      <c r="I277" s="19">
        <f t="shared" si="23"/>
        <v>0</v>
      </c>
      <c r="J277" s="22">
        <f t="shared" si="24"/>
        <v>26.657534246575342</v>
      </c>
    </row>
    <row r="278" spans="3:10" hidden="1" x14ac:dyDescent="0.25">
      <c r="C278" s="6"/>
      <c r="E278" s="37">
        <v>274</v>
      </c>
      <c r="F278" s="19">
        <f t="shared" si="20"/>
        <v>973</v>
      </c>
      <c r="G278" s="19">
        <f t="shared" si="21"/>
        <v>874</v>
      </c>
      <c r="H278" s="19">
        <f t="shared" si="22"/>
        <v>0</v>
      </c>
      <c r="I278" s="19">
        <f t="shared" si="23"/>
        <v>0</v>
      </c>
      <c r="J278" s="22">
        <f t="shared" si="24"/>
        <v>23.945205479452053</v>
      </c>
    </row>
    <row r="279" spans="3:10" hidden="1" x14ac:dyDescent="0.25">
      <c r="C279" s="6"/>
      <c r="E279" s="37">
        <v>275</v>
      </c>
      <c r="F279" s="19">
        <f t="shared" si="20"/>
        <v>874</v>
      </c>
      <c r="G279" s="19">
        <f t="shared" si="21"/>
        <v>775</v>
      </c>
      <c r="H279" s="19">
        <f t="shared" si="22"/>
        <v>0</v>
      </c>
      <c r="I279" s="19">
        <f t="shared" si="23"/>
        <v>0</v>
      </c>
      <c r="J279" s="22">
        <f t="shared" si="24"/>
        <v>21.232876712328768</v>
      </c>
    </row>
    <row r="280" spans="3:10" hidden="1" x14ac:dyDescent="0.25">
      <c r="C280" s="6"/>
      <c r="E280" s="37">
        <v>276</v>
      </c>
      <c r="F280" s="19">
        <f t="shared" si="20"/>
        <v>775</v>
      </c>
      <c r="G280" s="19">
        <f t="shared" si="21"/>
        <v>676</v>
      </c>
      <c r="H280" s="19">
        <f t="shared" si="22"/>
        <v>0</v>
      </c>
      <c r="I280" s="19">
        <f t="shared" si="23"/>
        <v>0</v>
      </c>
      <c r="J280" s="22">
        <f t="shared" si="24"/>
        <v>18.520547945205479</v>
      </c>
    </row>
    <row r="281" spans="3:10" hidden="1" x14ac:dyDescent="0.25">
      <c r="C281" s="6"/>
      <c r="E281" s="37">
        <v>277</v>
      </c>
      <c r="F281" s="19">
        <f t="shared" si="20"/>
        <v>676</v>
      </c>
      <c r="G281" s="19">
        <f t="shared" si="21"/>
        <v>577</v>
      </c>
      <c r="H281" s="19">
        <f t="shared" si="22"/>
        <v>0</v>
      </c>
      <c r="I281" s="19">
        <f t="shared" si="23"/>
        <v>0</v>
      </c>
      <c r="J281" s="22">
        <f t="shared" si="24"/>
        <v>15.80821917808219</v>
      </c>
    </row>
    <row r="282" spans="3:10" hidden="1" x14ac:dyDescent="0.25">
      <c r="C282" s="6"/>
      <c r="E282" s="37">
        <v>278</v>
      </c>
      <c r="F282" s="19">
        <f t="shared" si="20"/>
        <v>577</v>
      </c>
      <c r="G282" s="19">
        <f t="shared" si="21"/>
        <v>478</v>
      </c>
      <c r="H282" s="19">
        <f t="shared" si="22"/>
        <v>0</v>
      </c>
      <c r="I282" s="19">
        <f t="shared" si="23"/>
        <v>0</v>
      </c>
      <c r="J282" s="22">
        <f t="shared" si="24"/>
        <v>13.095890410958903</v>
      </c>
    </row>
    <row r="283" spans="3:10" hidden="1" x14ac:dyDescent="0.25">
      <c r="C283" s="6"/>
      <c r="E283" s="37">
        <v>279</v>
      </c>
      <c r="F283" s="19">
        <f t="shared" si="20"/>
        <v>478</v>
      </c>
      <c r="G283" s="19">
        <f t="shared" si="21"/>
        <v>379</v>
      </c>
      <c r="H283" s="19">
        <f t="shared" si="22"/>
        <v>0</v>
      </c>
      <c r="I283" s="19">
        <f t="shared" si="23"/>
        <v>0</v>
      </c>
      <c r="J283" s="22">
        <f t="shared" si="24"/>
        <v>10.383561643835616</v>
      </c>
    </row>
    <row r="284" spans="3:10" hidden="1" x14ac:dyDescent="0.25">
      <c r="C284" s="6"/>
      <c r="E284" s="37">
        <v>280</v>
      </c>
      <c r="F284" s="19">
        <f t="shared" si="20"/>
        <v>379</v>
      </c>
      <c r="G284" s="19">
        <f t="shared" si="21"/>
        <v>280</v>
      </c>
      <c r="H284" s="19">
        <f t="shared" si="22"/>
        <v>0</v>
      </c>
      <c r="I284" s="19">
        <f t="shared" si="23"/>
        <v>0</v>
      </c>
      <c r="J284" s="22">
        <f t="shared" si="24"/>
        <v>7.6712328767123283</v>
      </c>
    </row>
    <row r="285" spans="3:10" hidden="1" x14ac:dyDescent="0.25">
      <c r="C285" s="6"/>
      <c r="E285" s="37">
        <v>281</v>
      </c>
      <c r="F285" s="19">
        <f t="shared" si="20"/>
        <v>280</v>
      </c>
      <c r="G285" s="19">
        <f t="shared" si="21"/>
        <v>181</v>
      </c>
      <c r="H285" s="19">
        <f t="shared" si="22"/>
        <v>0</v>
      </c>
      <c r="I285" s="19">
        <f t="shared" si="23"/>
        <v>0</v>
      </c>
      <c r="J285" s="22">
        <f t="shared" si="24"/>
        <v>4.9589041095890405</v>
      </c>
    </row>
    <row r="286" spans="3:10" hidden="1" x14ac:dyDescent="0.25">
      <c r="C286" s="6"/>
      <c r="E286" s="37">
        <v>282</v>
      </c>
      <c r="F286" s="19">
        <f t="shared" si="20"/>
        <v>181</v>
      </c>
      <c r="G286" s="19">
        <f t="shared" si="21"/>
        <v>82</v>
      </c>
      <c r="H286" s="19">
        <f t="shared" si="22"/>
        <v>1</v>
      </c>
      <c r="I286" s="19">
        <f t="shared" si="23"/>
        <v>200</v>
      </c>
      <c r="J286" s="22">
        <f t="shared" si="24"/>
        <v>2.2465753424657535</v>
      </c>
    </row>
    <row r="287" spans="3:10" hidden="1" x14ac:dyDescent="0.25">
      <c r="C287" s="6"/>
      <c r="E287" s="37">
        <v>283</v>
      </c>
      <c r="F287" s="19">
        <f t="shared" si="20"/>
        <v>1082</v>
      </c>
      <c r="G287" s="19">
        <f t="shared" si="21"/>
        <v>983</v>
      </c>
      <c r="H287" s="19">
        <f t="shared" si="22"/>
        <v>0</v>
      </c>
      <c r="I287" s="19">
        <f t="shared" si="23"/>
        <v>0</v>
      </c>
      <c r="J287" s="22">
        <f t="shared" si="24"/>
        <v>26.931506849315067</v>
      </c>
    </row>
    <row r="288" spans="3:10" hidden="1" x14ac:dyDescent="0.25">
      <c r="C288" s="6"/>
      <c r="E288" s="37">
        <v>284</v>
      </c>
      <c r="F288" s="19">
        <f t="shared" si="20"/>
        <v>983</v>
      </c>
      <c r="G288" s="19">
        <f t="shared" si="21"/>
        <v>884</v>
      </c>
      <c r="H288" s="19">
        <f t="shared" si="22"/>
        <v>0</v>
      </c>
      <c r="I288" s="19">
        <f t="shared" si="23"/>
        <v>0</v>
      </c>
      <c r="J288" s="22">
        <f t="shared" si="24"/>
        <v>24.219178082191778</v>
      </c>
    </row>
    <row r="289" spans="3:10" hidden="1" x14ac:dyDescent="0.25">
      <c r="C289" s="6"/>
      <c r="E289" s="37">
        <v>285</v>
      </c>
      <c r="F289" s="19">
        <f t="shared" si="20"/>
        <v>884</v>
      </c>
      <c r="G289" s="19">
        <f t="shared" si="21"/>
        <v>785</v>
      </c>
      <c r="H289" s="19">
        <f t="shared" si="22"/>
        <v>0</v>
      </c>
      <c r="I289" s="19">
        <f t="shared" si="23"/>
        <v>0</v>
      </c>
      <c r="J289" s="22">
        <f t="shared" si="24"/>
        <v>21.506849315068493</v>
      </c>
    </row>
    <row r="290" spans="3:10" hidden="1" x14ac:dyDescent="0.25">
      <c r="C290" s="6"/>
      <c r="E290" s="37">
        <v>286</v>
      </c>
      <c r="F290" s="19">
        <f t="shared" si="20"/>
        <v>785</v>
      </c>
      <c r="G290" s="19">
        <f t="shared" si="21"/>
        <v>686</v>
      </c>
      <c r="H290" s="19">
        <f t="shared" si="22"/>
        <v>0</v>
      </c>
      <c r="I290" s="19">
        <f t="shared" si="23"/>
        <v>0</v>
      </c>
      <c r="J290" s="22">
        <f t="shared" si="24"/>
        <v>18.794520547945204</v>
      </c>
    </row>
    <row r="291" spans="3:10" hidden="1" x14ac:dyDescent="0.25">
      <c r="C291" s="6"/>
      <c r="E291" s="37">
        <v>287</v>
      </c>
      <c r="F291" s="19">
        <f t="shared" si="20"/>
        <v>686</v>
      </c>
      <c r="G291" s="19">
        <f t="shared" si="21"/>
        <v>587</v>
      </c>
      <c r="H291" s="19">
        <f t="shared" si="22"/>
        <v>0</v>
      </c>
      <c r="I291" s="19">
        <f t="shared" si="23"/>
        <v>0</v>
      </c>
      <c r="J291" s="22">
        <f t="shared" si="24"/>
        <v>16.082191780821915</v>
      </c>
    </row>
    <row r="292" spans="3:10" hidden="1" x14ac:dyDescent="0.25">
      <c r="C292" s="6"/>
      <c r="E292" s="37">
        <v>288</v>
      </c>
      <c r="F292" s="19">
        <f t="shared" si="20"/>
        <v>587</v>
      </c>
      <c r="G292" s="19">
        <f t="shared" si="21"/>
        <v>488</v>
      </c>
      <c r="H292" s="19">
        <f t="shared" si="22"/>
        <v>0</v>
      </c>
      <c r="I292" s="19">
        <f t="shared" si="23"/>
        <v>0</v>
      </c>
      <c r="J292" s="22">
        <f t="shared" si="24"/>
        <v>13.36986301369863</v>
      </c>
    </row>
    <row r="293" spans="3:10" hidden="1" x14ac:dyDescent="0.25">
      <c r="C293" s="6"/>
      <c r="E293" s="37">
        <v>289</v>
      </c>
      <c r="F293" s="19">
        <f t="shared" si="20"/>
        <v>488</v>
      </c>
      <c r="G293" s="19">
        <f t="shared" si="21"/>
        <v>389</v>
      </c>
      <c r="H293" s="19">
        <f t="shared" si="22"/>
        <v>0</v>
      </c>
      <c r="I293" s="19">
        <f t="shared" si="23"/>
        <v>0</v>
      </c>
      <c r="J293" s="22">
        <f t="shared" si="24"/>
        <v>10.657534246575342</v>
      </c>
    </row>
    <row r="294" spans="3:10" hidden="1" x14ac:dyDescent="0.25">
      <c r="C294" s="6"/>
      <c r="E294" s="37">
        <v>290</v>
      </c>
      <c r="F294" s="19">
        <f t="shared" si="20"/>
        <v>389</v>
      </c>
      <c r="G294" s="19">
        <f t="shared" si="21"/>
        <v>290</v>
      </c>
      <c r="H294" s="19">
        <f t="shared" si="22"/>
        <v>0</v>
      </c>
      <c r="I294" s="19">
        <f t="shared" si="23"/>
        <v>0</v>
      </c>
      <c r="J294" s="22">
        <f t="shared" si="24"/>
        <v>7.9452054794520546</v>
      </c>
    </row>
    <row r="295" spans="3:10" hidden="1" x14ac:dyDescent="0.25">
      <c r="C295" s="6"/>
      <c r="E295" s="37">
        <v>291</v>
      </c>
      <c r="F295" s="19">
        <f t="shared" si="20"/>
        <v>290</v>
      </c>
      <c r="G295" s="19">
        <f t="shared" si="21"/>
        <v>191</v>
      </c>
      <c r="H295" s="19">
        <f t="shared" si="22"/>
        <v>0</v>
      </c>
      <c r="I295" s="19">
        <f t="shared" si="23"/>
        <v>0</v>
      </c>
      <c r="J295" s="22">
        <f t="shared" si="24"/>
        <v>5.2328767123287667</v>
      </c>
    </row>
    <row r="296" spans="3:10" hidden="1" x14ac:dyDescent="0.25">
      <c r="C296" s="6"/>
      <c r="E296" s="37">
        <v>292</v>
      </c>
      <c r="F296" s="19">
        <f t="shared" si="20"/>
        <v>191</v>
      </c>
      <c r="G296" s="19">
        <f t="shared" si="21"/>
        <v>92</v>
      </c>
      <c r="H296" s="19">
        <f t="shared" si="22"/>
        <v>1</v>
      </c>
      <c r="I296" s="19">
        <f t="shared" si="23"/>
        <v>200</v>
      </c>
      <c r="J296" s="22">
        <f t="shared" si="24"/>
        <v>2.5205479452054793</v>
      </c>
    </row>
    <row r="297" spans="3:10" hidden="1" x14ac:dyDescent="0.25">
      <c r="C297" s="6"/>
      <c r="E297" s="37">
        <v>293</v>
      </c>
      <c r="F297" s="19">
        <f t="shared" si="20"/>
        <v>1092</v>
      </c>
      <c r="G297" s="19">
        <f t="shared" si="21"/>
        <v>993</v>
      </c>
      <c r="H297" s="19">
        <f t="shared" si="22"/>
        <v>0</v>
      </c>
      <c r="I297" s="19">
        <f t="shared" si="23"/>
        <v>0</v>
      </c>
      <c r="J297" s="22">
        <f t="shared" si="24"/>
        <v>27.205479452054792</v>
      </c>
    </row>
    <row r="298" spans="3:10" hidden="1" x14ac:dyDescent="0.25">
      <c r="C298" s="6"/>
      <c r="E298" s="37">
        <v>294</v>
      </c>
      <c r="F298" s="19">
        <f t="shared" si="20"/>
        <v>993</v>
      </c>
      <c r="G298" s="19">
        <f t="shared" si="21"/>
        <v>894</v>
      </c>
      <c r="H298" s="19">
        <f t="shared" si="22"/>
        <v>0</v>
      </c>
      <c r="I298" s="19">
        <f t="shared" si="23"/>
        <v>0</v>
      </c>
      <c r="J298" s="22">
        <f t="shared" si="24"/>
        <v>24.493150684931507</v>
      </c>
    </row>
    <row r="299" spans="3:10" hidden="1" x14ac:dyDescent="0.25">
      <c r="C299" s="6"/>
      <c r="E299" s="37">
        <v>295</v>
      </c>
      <c r="F299" s="19">
        <f t="shared" si="20"/>
        <v>894</v>
      </c>
      <c r="G299" s="19">
        <f t="shared" si="21"/>
        <v>795</v>
      </c>
      <c r="H299" s="19">
        <f t="shared" si="22"/>
        <v>0</v>
      </c>
      <c r="I299" s="19">
        <f t="shared" si="23"/>
        <v>0</v>
      </c>
      <c r="J299" s="22">
        <f t="shared" si="24"/>
        <v>21.780821917808218</v>
      </c>
    </row>
    <row r="300" spans="3:10" hidden="1" x14ac:dyDescent="0.25">
      <c r="C300" s="6"/>
      <c r="E300" s="37">
        <v>296</v>
      </c>
      <c r="F300" s="19">
        <f t="shared" si="20"/>
        <v>795</v>
      </c>
      <c r="G300" s="19">
        <f t="shared" si="21"/>
        <v>696</v>
      </c>
      <c r="H300" s="19">
        <f t="shared" si="22"/>
        <v>0</v>
      </c>
      <c r="I300" s="19">
        <f t="shared" si="23"/>
        <v>0</v>
      </c>
      <c r="J300" s="22">
        <f t="shared" si="24"/>
        <v>19.06849315068493</v>
      </c>
    </row>
    <row r="301" spans="3:10" hidden="1" x14ac:dyDescent="0.25">
      <c r="C301" s="6"/>
      <c r="E301" s="37">
        <v>297</v>
      </c>
      <c r="F301" s="19">
        <f t="shared" si="20"/>
        <v>696</v>
      </c>
      <c r="G301" s="19">
        <f t="shared" si="21"/>
        <v>597</v>
      </c>
      <c r="H301" s="19">
        <f t="shared" si="22"/>
        <v>0</v>
      </c>
      <c r="I301" s="19">
        <f t="shared" si="23"/>
        <v>0</v>
      </c>
      <c r="J301" s="22">
        <f t="shared" si="24"/>
        <v>16.356164383561644</v>
      </c>
    </row>
    <row r="302" spans="3:10" hidden="1" x14ac:dyDescent="0.25">
      <c r="C302" s="6"/>
      <c r="E302" s="37">
        <v>298</v>
      </c>
      <c r="F302" s="19">
        <f t="shared" si="20"/>
        <v>597</v>
      </c>
      <c r="G302" s="19">
        <f t="shared" si="21"/>
        <v>498</v>
      </c>
      <c r="H302" s="19">
        <f t="shared" si="22"/>
        <v>0</v>
      </c>
      <c r="I302" s="19">
        <f t="shared" si="23"/>
        <v>0</v>
      </c>
      <c r="J302" s="22">
        <f t="shared" si="24"/>
        <v>13.643835616438356</v>
      </c>
    </row>
    <row r="303" spans="3:10" hidden="1" x14ac:dyDescent="0.25">
      <c r="C303" s="6"/>
      <c r="E303" s="37">
        <v>299</v>
      </c>
      <c r="F303" s="19">
        <f t="shared" si="20"/>
        <v>498</v>
      </c>
      <c r="G303" s="19">
        <f t="shared" si="21"/>
        <v>399</v>
      </c>
      <c r="H303" s="19">
        <f t="shared" si="22"/>
        <v>0</v>
      </c>
      <c r="I303" s="19">
        <f t="shared" si="23"/>
        <v>0</v>
      </c>
      <c r="J303" s="22">
        <f t="shared" si="24"/>
        <v>10.931506849315069</v>
      </c>
    </row>
    <row r="304" spans="3:10" hidden="1" x14ac:dyDescent="0.25">
      <c r="C304" s="6"/>
      <c r="E304" s="37">
        <v>300</v>
      </c>
      <c r="F304" s="19">
        <f t="shared" si="20"/>
        <v>399</v>
      </c>
      <c r="G304" s="19">
        <f t="shared" si="21"/>
        <v>300</v>
      </c>
      <c r="H304" s="19">
        <f t="shared" si="22"/>
        <v>0</v>
      </c>
      <c r="I304" s="19">
        <f t="shared" si="23"/>
        <v>0</v>
      </c>
      <c r="J304" s="22">
        <f t="shared" si="24"/>
        <v>8.2191780821917799</v>
      </c>
    </row>
    <row r="305" spans="3:10" hidden="1" x14ac:dyDescent="0.25">
      <c r="C305" s="6"/>
      <c r="E305" s="37">
        <v>301</v>
      </c>
      <c r="F305" s="19">
        <f t="shared" si="20"/>
        <v>300</v>
      </c>
      <c r="G305" s="19">
        <f t="shared" si="21"/>
        <v>201</v>
      </c>
      <c r="H305" s="19">
        <f t="shared" si="22"/>
        <v>0</v>
      </c>
      <c r="I305" s="19">
        <f t="shared" si="23"/>
        <v>0</v>
      </c>
      <c r="J305" s="22">
        <f t="shared" si="24"/>
        <v>5.506849315068493</v>
      </c>
    </row>
    <row r="306" spans="3:10" hidden="1" x14ac:dyDescent="0.25">
      <c r="C306" s="6"/>
      <c r="E306" s="37">
        <v>302</v>
      </c>
      <c r="F306" s="19">
        <f t="shared" si="20"/>
        <v>201</v>
      </c>
      <c r="G306" s="19">
        <f t="shared" si="21"/>
        <v>102</v>
      </c>
      <c r="H306" s="19">
        <f t="shared" si="22"/>
        <v>0</v>
      </c>
      <c r="I306" s="19">
        <f t="shared" si="23"/>
        <v>0</v>
      </c>
      <c r="J306" s="22">
        <f t="shared" si="24"/>
        <v>2.7945205479452051</v>
      </c>
    </row>
    <row r="307" spans="3:10" hidden="1" x14ac:dyDescent="0.25">
      <c r="C307" s="6"/>
      <c r="E307" s="37">
        <v>303</v>
      </c>
      <c r="F307" s="19">
        <f t="shared" si="20"/>
        <v>102</v>
      </c>
      <c r="G307" s="19">
        <f t="shared" si="21"/>
        <v>3</v>
      </c>
      <c r="H307" s="19">
        <f t="shared" si="22"/>
        <v>1</v>
      </c>
      <c r="I307" s="19">
        <f t="shared" si="23"/>
        <v>200</v>
      </c>
      <c r="J307" s="22">
        <f t="shared" si="24"/>
        <v>8.2191780821917804E-2</v>
      </c>
    </row>
    <row r="308" spans="3:10" hidden="1" x14ac:dyDescent="0.25">
      <c r="C308" s="6"/>
      <c r="E308" s="37">
        <v>304</v>
      </c>
      <c r="F308" s="19">
        <f t="shared" si="20"/>
        <v>1003</v>
      </c>
      <c r="G308" s="19">
        <f t="shared" si="21"/>
        <v>904</v>
      </c>
      <c r="H308" s="19">
        <f t="shared" si="22"/>
        <v>0</v>
      </c>
      <c r="I308" s="19">
        <f t="shared" si="23"/>
        <v>0</v>
      </c>
      <c r="J308" s="22">
        <f t="shared" si="24"/>
        <v>24.767123287671232</v>
      </c>
    </row>
    <row r="309" spans="3:10" hidden="1" x14ac:dyDescent="0.25">
      <c r="C309" s="6"/>
      <c r="E309" s="37">
        <v>305</v>
      </c>
      <c r="F309" s="19">
        <f t="shared" si="20"/>
        <v>904</v>
      </c>
      <c r="G309" s="19">
        <f t="shared" si="21"/>
        <v>805</v>
      </c>
      <c r="H309" s="19">
        <f t="shared" si="22"/>
        <v>0</v>
      </c>
      <c r="I309" s="19">
        <f t="shared" si="23"/>
        <v>0</v>
      </c>
      <c r="J309" s="22">
        <f t="shared" si="24"/>
        <v>22.054794520547944</v>
      </c>
    </row>
    <row r="310" spans="3:10" hidden="1" x14ac:dyDescent="0.25">
      <c r="C310" s="6"/>
      <c r="E310" s="37">
        <v>306</v>
      </c>
      <c r="F310" s="19">
        <f t="shared" si="20"/>
        <v>805</v>
      </c>
      <c r="G310" s="19">
        <f t="shared" si="21"/>
        <v>706</v>
      </c>
      <c r="H310" s="19">
        <f t="shared" si="22"/>
        <v>0</v>
      </c>
      <c r="I310" s="19">
        <f t="shared" si="23"/>
        <v>0</v>
      </c>
      <c r="J310" s="22">
        <f t="shared" si="24"/>
        <v>19.342465753424655</v>
      </c>
    </row>
    <row r="311" spans="3:10" hidden="1" x14ac:dyDescent="0.25">
      <c r="C311" s="6"/>
      <c r="E311" s="37">
        <v>307</v>
      </c>
      <c r="F311" s="19">
        <f t="shared" si="20"/>
        <v>706</v>
      </c>
      <c r="G311" s="19">
        <f t="shared" si="21"/>
        <v>607</v>
      </c>
      <c r="H311" s="19">
        <f t="shared" si="22"/>
        <v>0</v>
      </c>
      <c r="I311" s="19">
        <f t="shared" si="23"/>
        <v>0</v>
      </c>
      <c r="J311" s="22">
        <f t="shared" si="24"/>
        <v>16.63013698630137</v>
      </c>
    </row>
    <row r="312" spans="3:10" hidden="1" x14ac:dyDescent="0.25">
      <c r="C312" s="6"/>
      <c r="E312" s="37">
        <v>308</v>
      </c>
      <c r="F312" s="19">
        <f t="shared" si="20"/>
        <v>607</v>
      </c>
      <c r="G312" s="19">
        <f t="shared" si="21"/>
        <v>508</v>
      </c>
      <c r="H312" s="19">
        <f t="shared" si="22"/>
        <v>0</v>
      </c>
      <c r="I312" s="19">
        <f t="shared" si="23"/>
        <v>0</v>
      </c>
      <c r="J312" s="22">
        <f t="shared" si="24"/>
        <v>13.917808219178081</v>
      </c>
    </row>
    <row r="313" spans="3:10" hidden="1" x14ac:dyDescent="0.25">
      <c r="C313" s="6"/>
      <c r="E313" s="37">
        <v>309</v>
      </c>
      <c r="F313" s="19">
        <f t="shared" si="20"/>
        <v>508</v>
      </c>
      <c r="G313" s="19">
        <f t="shared" si="21"/>
        <v>409</v>
      </c>
      <c r="H313" s="19">
        <f t="shared" si="22"/>
        <v>0</v>
      </c>
      <c r="I313" s="19">
        <f t="shared" si="23"/>
        <v>0</v>
      </c>
      <c r="J313" s="22">
        <f t="shared" si="24"/>
        <v>11.205479452054794</v>
      </c>
    </row>
    <row r="314" spans="3:10" hidden="1" x14ac:dyDescent="0.25">
      <c r="C314" s="6"/>
      <c r="E314" s="37">
        <v>310</v>
      </c>
      <c r="F314" s="19">
        <f t="shared" si="20"/>
        <v>409</v>
      </c>
      <c r="G314" s="19">
        <f t="shared" si="21"/>
        <v>310</v>
      </c>
      <c r="H314" s="19">
        <f t="shared" si="22"/>
        <v>0</v>
      </c>
      <c r="I314" s="19">
        <f t="shared" si="23"/>
        <v>0</v>
      </c>
      <c r="J314" s="22">
        <f t="shared" si="24"/>
        <v>8.493150684931507</v>
      </c>
    </row>
    <row r="315" spans="3:10" hidden="1" x14ac:dyDescent="0.25">
      <c r="C315" s="6"/>
      <c r="E315" s="37">
        <v>311</v>
      </c>
      <c r="F315" s="19">
        <f t="shared" si="20"/>
        <v>310</v>
      </c>
      <c r="G315" s="19">
        <f t="shared" si="21"/>
        <v>211</v>
      </c>
      <c r="H315" s="19">
        <f t="shared" si="22"/>
        <v>0</v>
      </c>
      <c r="I315" s="19">
        <f t="shared" si="23"/>
        <v>0</v>
      </c>
      <c r="J315" s="22">
        <f t="shared" si="24"/>
        <v>5.7808219178082192</v>
      </c>
    </row>
    <row r="316" spans="3:10" hidden="1" x14ac:dyDescent="0.25">
      <c r="C316" s="6"/>
      <c r="E316" s="37">
        <v>312</v>
      </c>
      <c r="F316" s="19">
        <f t="shared" si="20"/>
        <v>211</v>
      </c>
      <c r="G316" s="19">
        <f t="shared" si="21"/>
        <v>112</v>
      </c>
      <c r="H316" s="19">
        <f t="shared" si="22"/>
        <v>0</v>
      </c>
      <c r="I316" s="19">
        <f t="shared" si="23"/>
        <v>0</v>
      </c>
      <c r="J316" s="22">
        <f t="shared" si="24"/>
        <v>3.0684931506849313</v>
      </c>
    </row>
    <row r="317" spans="3:10" hidden="1" x14ac:dyDescent="0.25">
      <c r="C317" s="6"/>
      <c r="E317" s="37">
        <v>313</v>
      </c>
      <c r="F317" s="19">
        <f t="shared" si="20"/>
        <v>112</v>
      </c>
      <c r="G317" s="19">
        <f t="shared" si="21"/>
        <v>13</v>
      </c>
      <c r="H317" s="19">
        <f t="shared" si="22"/>
        <v>1</v>
      </c>
      <c r="I317" s="19">
        <f t="shared" si="23"/>
        <v>200</v>
      </c>
      <c r="J317" s="22">
        <f t="shared" si="24"/>
        <v>0.35616438356164382</v>
      </c>
    </row>
    <row r="318" spans="3:10" hidden="1" x14ac:dyDescent="0.25">
      <c r="C318" s="6"/>
      <c r="E318" s="37">
        <v>314</v>
      </c>
      <c r="F318" s="19">
        <f t="shared" si="20"/>
        <v>1013</v>
      </c>
      <c r="G318" s="19">
        <f t="shared" si="21"/>
        <v>914</v>
      </c>
      <c r="H318" s="19">
        <f t="shared" si="22"/>
        <v>0</v>
      </c>
      <c r="I318" s="19">
        <f t="shared" si="23"/>
        <v>0</v>
      </c>
      <c r="J318" s="22">
        <f t="shared" si="24"/>
        <v>25.041095890410958</v>
      </c>
    </row>
    <row r="319" spans="3:10" hidden="1" x14ac:dyDescent="0.25">
      <c r="C319" s="6"/>
      <c r="E319" s="37">
        <v>315</v>
      </c>
      <c r="F319" s="19">
        <f t="shared" si="20"/>
        <v>914</v>
      </c>
      <c r="G319" s="19">
        <f t="shared" si="21"/>
        <v>815</v>
      </c>
      <c r="H319" s="19">
        <f t="shared" si="22"/>
        <v>0</v>
      </c>
      <c r="I319" s="19">
        <f t="shared" si="23"/>
        <v>0</v>
      </c>
      <c r="J319" s="22">
        <f t="shared" si="24"/>
        <v>22.328767123287669</v>
      </c>
    </row>
    <row r="320" spans="3:10" hidden="1" x14ac:dyDescent="0.25">
      <c r="C320" s="6"/>
      <c r="E320" s="37">
        <v>316</v>
      </c>
      <c r="F320" s="19">
        <f t="shared" si="20"/>
        <v>815</v>
      </c>
      <c r="G320" s="19">
        <f t="shared" si="21"/>
        <v>716</v>
      </c>
      <c r="H320" s="19">
        <f t="shared" si="22"/>
        <v>0</v>
      </c>
      <c r="I320" s="19">
        <f t="shared" si="23"/>
        <v>0</v>
      </c>
      <c r="J320" s="22">
        <f t="shared" si="24"/>
        <v>19.616438356164384</v>
      </c>
    </row>
    <row r="321" spans="3:10" hidden="1" x14ac:dyDescent="0.25">
      <c r="C321" s="6"/>
      <c r="E321" s="37">
        <v>317</v>
      </c>
      <c r="F321" s="19">
        <f t="shared" si="20"/>
        <v>716</v>
      </c>
      <c r="G321" s="19">
        <f t="shared" si="21"/>
        <v>617</v>
      </c>
      <c r="H321" s="19">
        <f t="shared" si="22"/>
        <v>0</v>
      </c>
      <c r="I321" s="19">
        <f t="shared" si="23"/>
        <v>0</v>
      </c>
      <c r="J321" s="22">
        <f t="shared" si="24"/>
        <v>16.904109589041095</v>
      </c>
    </row>
    <row r="322" spans="3:10" hidden="1" x14ac:dyDescent="0.25">
      <c r="C322" s="6"/>
      <c r="E322" s="37">
        <v>318</v>
      </c>
      <c r="F322" s="19">
        <f t="shared" si="20"/>
        <v>617</v>
      </c>
      <c r="G322" s="19">
        <f t="shared" si="21"/>
        <v>518</v>
      </c>
      <c r="H322" s="19">
        <f t="shared" si="22"/>
        <v>0</v>
      </c>
      <c r="I322" s="19">
        <f t="shared" si="23"/>
        <v>0</v>
      </c>
      <c r="J322" s="22">
        <f t="shared" si="24"/>
        <v>14.191780821917808</v>
      </c>
    </row>
    <row r="323" spans="3:10" hidden="1" x14ac:dyDescent="0.25">
      <c r="C323" s="6"/>
      <c r="E323" s="37">
        <v>319</v>
      </c>
      <c r="F323" s="19">
        <f t="shared" si="20"/>
        <v>518</v>
      </c>
      <c r="G323" s="19">
        <f t="shared" si="21"/>
        <v>419</v>
      </c>
      <c r="H323" s="19">
        <f t="shared" si="22"/>
        <v>0</v>
      </c>
      <c r="I323" s="19">
        <f t="shared" si="23"/>
        <v>0</v>
      </c>
      <c r="J323" s="22">
        <f t="shared" si="24"/>
        <v>11.479452054794519</v>
      </c>
    </row>
    <row r="324" spans="3:10" hidden="1" x14ac:dyDescent="0.25">
      <c r="C324" s="6"/>
      <c r="E324" s="37">
        <v>320</v>
      </c>
      <c r="F324" s="19">
        <f t="shared" si="20"/>
        <v>419</v>
      </c>
      <c r="G324" s="19">
        <f t="shared" si="21"/>
        <v>320</v>
      </c>
      <c r="H324" s="19">
        <f t="shared" si="22"/>
        <v>0</v>
      </c>
      <c r="I324" s="19">
        <f t="shared" si="23"/>
        <v>0</v>
      </c>
      <c r="J324" s="22">
        <f t="shared" si="24"/>
        <v>8.7671232876712324</v>
      </c>
    </row>
    <row r="325" spans="3:10" hidden="1" x14ac:dyDescent="0.25">
      <c r="C325" s="6"/>
      <c r="E325" s="37">
        <v>321</v>
      </c>
      <c r="F325" s="19">
        <f t="shared" si="20"/>
        <v>320</v>
      </c>
      <c r="G325" s="19">
        <f t="shared" si="21"/>
        <v>221</v>
      </c>
      <c r="H325" s="19">
        <f t="shared" si="22"/>
        <v>0</v>
      </c>
      <c r="I325" s="19">
        <f t="shared" si="23"/>
        <v>0</v>
      </c>
      <c r="J325" s="22">
        <f t="shared" si="24"/>
        <v>6.0547945205479445</v>
      </c>
    </row>
    <row r="326" spans="3:10" hidden="1" x14ac:dyDescent="0.25">
      <c r="C326" s="6"/>
      <c r="E326" s="37">
        <v>322</v>
      </c>
      <c r="F326" s="19">
        <f t="shared" ref="F326:F369" si="25">G325+H325*$C$9</f>
        <v>221</v>
      </c>
      <c r="G326" s="19">
        <f t="shared" ref="G326:G369" si="26">F326-$C$7</f>
        <v>122</v>
      </c>
      <c r="H326" s="19">
        <f t="shared" ref="H326:H369" si="27">IF(G326&lt;$C$7,1,0)</f>
        <v>0</v>
      </c>
      <c r="I326" s="19">
        <f t="shared" ref="I326:I369" si="28">H326*$C$4</f>
        <v>0</v>
      </c>
      <c r="J326" s="22">
        <f t="shared" ref="J326:J369" si="29">G326*$C$8</f>
        <v>3.3424657534246576</v>
      </c>
    </row>
    <row r="327" spans="3:10" hidden="1" x14ac:dyDescent="0.25">
      <c r="C327" s="6"/>
      <c r="E327" s="37">
        <v>323</v>
      </c>
      <c r="F327" s="19">
        <f t="shared" si="25"/>
        <v>122</v>
      </c>
      <c r="G327" s="19">
        <f t="shared" si="26"/>
        <v>23</v>
      </c>
      <c r="H327" s="19">
        <f t="shared" si="27"/>
        <v>1</v>
      </c>
      <c r="I327" s="19">
        <f t="shared" si="28"/>
        <v>200</v>
      </c>
      <c r="J327" s="22">
        <f t="shared" si="29"/>
        <v>0.63013698630136983</v>
      </c>
    </row>
    <row r="328" spans="3:10" hidden="1" x14ac:dyDescent="0.25">
      <c r="C328" s="6"/>
      <c r="E328" s="37">
        <v>324</v>
      </c>
      <c r="F328" s="19">
        <f t="shared" si="25"/>
        <v>1023</v>
      </c>
      <c r="G328" s="19">
        <f t="shared" si="26"/>
        <v>924</v>
      </c>
      <c r="H328" s="19">
        <f t="shared" si="27"/>
        <v>0</v>
      </c>
      <c r="I328" s="19">
        <f t="shared" si="28"/>
        <v>0</v>
      </c>
      <c r="J328" s="22">
        <f t="shared" si="29"/>
        <v>25.315068493150683</v>
      </c>
    </row>
    <row r="329" spans="3:10" hidden="1" x14ac:dyDescent="0.25">
      <c r="C329" s="6"/>
      <c r="E329" s="37">
        <v>325</v>
      </c>
      <c r="F329" s="19">
        <f t="shared" si="25"/>
        <v>924</v>
      </c>
      <c r="G329" s="19">
        <f t="shared" si="26"/>
        <v>825</v>
      </c>
      <c r="H329" s="19">
        <f t="shared" si="27"/>
        <v>0</v>
      </c>
      <c r="I329" s="19">
        <f t="shared" si="28"/>
        <v>0</v>
      </c>
      <c r="J329" s="22">
        <f t="shared" si="29"/>
        <v>22.602739726027394</v>
      </c>
    </row>
    <row r="330" spans="3:10" hidden="1" x14ac:dyDescent="0.25">
      <c r="C330" s="6"/>
      <c r="E330" s="37">
        <v>326</v>
      </c>
      <c r="F330" s="19">
        <f t="shared" si="25"/>
        <v>825</v>
      </c>
      <c r="G330" s="19">
        <f t="shared" si="26"/>
        <v>726</v>
      </c>
      <c r="H330" s="19">
        <f t="shared" si="27"/>
        <v>0</v>
      </c>
      <c r="I330" s="19">
        <f t="shared" si="28"/>
        <v>0</v>
      </c>
      <c r="J330" s="22">
        <f t="shared" si="29"/>
        <v>19.890410958904109</v>
      </c>
    </row>
    <row r="331" spans="3:10" hidden="1" x14ac:dyDescent="0.25">
      <c r="C331" s="6"/>
      <c r="E331" s="37">
        <v>327</v>
      </c>
      <c r="F331" s="19">
        <f t="shared" si="25"/>
        <v>726</v>
      </c>
      <c r="G331" s="19">
        <f t="shared" si="26"/>
        <v>627</v>
      </c>
      <c r="H331" s="19">
        <f t="shared" si="27"/>
        <v>0</v>
      </c>
      <c r="I331" s="19">
        <f t="shared" si="28"/>
        <v>0</v>
      </c>
      <c r="J331" s="22">
        <f t="shared" si="29"/>
        <v>17.17808219178082</v>
      </c>
    </row>
    <row r="332" spans="3:10" hidden="1" x14ac:dyDescent="0.25">
      <c r="C332" s="6"/>
      <c r="E332" s="37">
        <v>328</v>
      </c>
      <c r="F332" s="19">
        <f t="shared" si="25"/>
        <v>627</v>
      </c>
      <c r="G332" s="19">
        <f t="shared" si="26"/>
        <v>528</v>
      </c>
      <c r="H332" s="19">
        <f t="shared" si="27"/>
        <v>0</v>
      </c>
      <c r="I332" s="19">
        <f t="shared" si="28"/>
        <v>0</v>
      </c>
      <c r="J332" s="22">
        <f t="shared" si="29"/>
        <v>14.465753424657533</v>
      </c>
    </row>
    <row r="333" spans="3:10" hidden="1" x14ac:dyDescent="0.25">
      <c r="C333" s="6"/>
      <c r="E333" s="37">
        <v>329</v>
      </c>
      <c r="F333" s="19">
        <f t="shared" si="25"/>
        <v>528</v>
      </c>
      <c r="G333" s="19">
        <f t="shared" si="26"/>
        <v>429</v>
      </c>
      <c r="H333" s="19">
        <f t="shared" si="27"/>
        <v>0</v>
      </c>
      <c r="I333" s="19">
        <f t="shared" si="28"/>
        <v>0</v>
      </c>
      <c r="J333" s="22">
        <f t="shared" si="29"/>
        <v>11.753424657534246</v>
      </c>
    </row>
    <row r="334" spans="3:10" hidden="1" x14ac:dyDescent="0.25">
      <c r="C334" s="6"/>
      <c r="E334" s="37">
        <v>330</v>
      </c>
      <c r="F334" s="19">
        <f t="shared" si="25"/>
        <v>429</v>
      </c>
      <c r="G334" s="19">
        <f t="shared" si="26"/>
        <v>330</v>
      </c>
      <c r="H334" s="19">
        <f t="shared" si="27"/>
        <v>0</v>
      </c>
      <c r="I334" s="19">
        <f t="shared" si="28"/>
        <v>0</v>
      </c>
      <c r="J334" s="22">
        <f t="shared" si="29"/>
        <v>9.0410958904109577</v>
      </c>
    </row>
    <row r="335" spans="3:10" hidden="1" x14ac:dyDescent="0.25">
      <c r="C335" s="6"/>
      <c r="E335" s="37">
        <v>331</v>
      </c>
      <c r="F335" s="19">
        <f t="shared" si="25"/>
        <v>330</v>
      </c>
      <c r="G335" s="19">
        <f t="shared" si="26"/>
        <v>231</v>
      </c>
      <c r="H335" s="19">
        <f t="shared" si="27"/>
        <v>0</v>
      </c>
      <c r="I335" s="19">
        <f t="shared" si="28"/>
        <v>0</v>
      </c>
      <c r="J335" s="22">
        <f t="shared" si="29"/>
        <v>6.3287671232876708</v>
      </c>
    </row>
    <row r="336" spans="3:10" hidden="1" x14ac:dyDescent="0.25">
      <c r="C336" s="6"/>
      <c r="E336" s="37">
        <v>332</v>
      </c>
      <c r="F336" s="19">
        <f t="shared" si="25"/>
        <v>231</v>
      </c>
      <c r="G336" s="19">
        <f t="shared" si="26"/>
        <v>132</v>
      </c>
      <c r="H336" s="19">
        <f t="shared" si="27"/>
        <v>0</v>
      </c>
      <c r="I336" s="19">
        <f t="shared" si="28"/>
        <v>0</v>
      </c>
      <c r="J336" s="22">
        <f t="shared" si="29"/>
        <v>3.6164383561643834</v>
      </c>
    </row>
    <row r="337" spans="3:10" hidden="1" x14ac:dyDescent="0.25">
      <c r="C337" s="6"/>
      <c r="E337" s="37">
        <v>333</v>
      </c>
      <c r="F337" s="19">
        <f t="shared" si="25"/>
        <v>132</v>
      </c>
      <c r="G337" s="19">
        <f t="shared" si="26"/>
        <v>33</v>
      </c>
      <c r="H337" s="19">
        <f t="shared" si="27"/>
        <v>1</v>
      </c>
      <c r="I337" s="19">
        <f t="shared" si="28"/>
        <v>200</v>
      </c>
      <c r="J337" s="22">
        <f t="shared" si="29"/>
        <v>0.90410958904109584</v>
      </c>
    </row>
    <row r="338" spans="3:10" hidden="1" x14ac:dyDescent="0.25">
      <c r="C338" s="6"/>
      <c r="E338" s="37">
        <v>334</v>
      </c>
      <c r="F338" s="19">
        <f t="shared" si="25"/>
        <v>1033</v>
      </c>
      <c r="G338" s="19">
        <f t="shared" si="26"/>
        <v>934</v>
      </c>
      <c r="H338" s="19">
        <f t="shared" si="27"/>
        <v>0</v>
      </c>
      <c r="I338" s="19">
        <f t="shared" si="28"/>
        <v>0</v>
      </c>
      <c r="J338" s="22">
        <f t="shared" si="29"/>
        <v>25.589041095890408</v>
      </c>
    </row>
    <row r="339" spans="3:10" hidden="1" x14ac:dyDescent="0.25">
      <c r="C339" s="6"/>
      <c r="E339" s="37">
        <v>335</v>
      </c>
      <c r="F339" s="19">
        <f t="shared" si="25"/>
        <v>934</v>
      </c>
      <c r="G339" s="19">
        <f t="shared" si="26"/>
        <v>835</v>
      </c>
      <c r="H339" s="19">
        <f t="shared" si="27"/>
        <v>0</v>
      </c>
      <c r="I339" s="19">
        <f t="shared" si="28"/>
        <v>0</v>
      </c>
      <c r="J339" s="22">
        <f t="shared" si="29"/>
        <v>22.876712328767123</v>
      </c>
    </row>
    <row r="340" spans="3:10" hidden="1" x14ac:dyDescent="0.25">
      <c r="C340" s="6"/>
      <c r="E340" s="37">
        <v>336</v>
      </c>
      <c r="F340" s="19">
        <f t="shared" si="25"/>
        <v>835</v>
      </c>
      <c r="G340" s="19">
        <f t="shared" si="26"/>
        <v>736</v>
      </c>
      <c r="H340" s="19">
        <f t="shared" si="27"/>
        <v>0</v>
      </c>
      <c r="I340" s="19">
        <f t="shared" si="28"/>
        <v>0</v>
      </c>
      <c r="J340" s="22">
        <f t="shared" si="29"/>
        <v>20.164383561643834</v>
      </c>
    </row>
    <row r="341" spans="3:10" hidden="1" x14ac:dyDescent="0.25">
      <c r="C341" s="6"/>
      <c r="E341" s="37">
        <v>337</v>
      </c>
      <c r="F341" s="19">
        <f t="shared" si="25"/>
        <v>736</v>
      </c>
      <c r="G341" s="19">
        <f t="shared" si="26"/>
        <v>637</v>
      </c>
      <c r="H341" s="19">
        <f t="shared" si="27"/>
        <v>0</v>
      </c>
      <c r="I341" s="19">
        <f t="shared" si="28"/>
        <v>0</v>
      </c>
      <c r="J341" s="22">
        <f t="shared" si="29"/>
        <v>17.452054794520546</v>
      </c>
    </row>
    <row r="342" spans="3:10" hidden="1" x14ac:dyDescent="0.25">
      <c r="C342" s="6"/>
      <c r="E342" s="37">
        <v>338</v>
      </c>
      <c r="F342" s="19">
        <f t="shared" si="25"/>
        <v>637</v>
      </c>
      <c r="G342" s="19">
        <f t="shared" si="26"/>
        <v>538</v>
      </c>
      <c r="H342" s="19">
        <f t="shared" si="27"/>
        <v>0</v>
      </c>
      <c r="I342" s="19">
        <f t="shared" si="28"/>
        <v>0</v>
      </c>
      <c r="J342" s="22">
        <f t="shared" si="29"/>
        <v>14.739726027397259</v>
      </c>
    </row>
    <row r="343" spans="3:10" hidden="1" x14ac:dyDescent="0.25">
      <c r="C343" s="6"/>
      <c r="E343" s="37">
        <v>339</v>
      </c>
      <c r="F343" s="19">
        <f t="shared" si="25"/>
        <v>538</v>
      </c>
      <c r="G343" s="19">
        <f t="shared" si="26"/>
        <v>439</v>
      </c>
      <c r="H343" s="19">
        <f t="shared" si="27"/>
        <v>0</v>
      </c>
      <c r="I343" s="19">
        <f t="shared" si="28"/>
        <v>0</v>
      </c>
      <c r="J343" s="22">
        <f t="shared" si="29"/>
        <v>12.027397260273972</v>
      </c>
    </row>
    <row r="344" spans="3:10" hidden="1" x14ac:dyDescent="0.25">
      <c r="C344" s="6"/>
      <c r="E344" s="37">
        <v>340</v>
      </c>
      <c r="F344" s="19">
        <f t="shared" si="25"/>
        <v>439</v>
      </c>
      <c r="G344" s="19">
        <f t="shared" si="26"/>
        <v>340</v>
      </c>
      <c r="H344" s="19">
        <f t="shared" si="27"/>
        <v>0</v>
      </c>
      <c r="I344" s="19">
        <f t="shared" si="28"/>
        <v>0</v>
      </c>
      <c r="J344" s="22">
        <f t="shared" si="29"/>
        <v>9.3150684931506849</v>
      </c>
    </row>
    <row r="345" spans="3:10" hidden="1" x14ac:dyDescent="0.25">
      <c r="C345" s="6"/>
      <c r="E345" s="37">
        <v>341</v>
      </c>
      <c r="F345" s="19">
        <f t="shared" si="25"/>
        <v>340</v>
      </c>
      <c r="G345" s="19">
        <f t="shared" si="26"/>
        <v>241</v>
      </c>
      <c r="H345" s="19">
        <f t="shared" si="27"/>
        <v>0</v>
      </c>
      <c r="I345" s="19">
        <f t="shared" si="28"/>
        <v>0</v>
      </c>
      <c r="J345" s="22">
        <f t="shared" si="29"/>
        <v>6.602739726027397</v>
      </c>
    </row>
    <row r="346" spans="3:10" hidden="1" x14ac:dyDescent="0.25">
      <c r="C346" s="6"/>
      <c r="E346" s="37">
        <v>342</v>
      </c>
      <c r="F346" s="19">
        <f t="shared" si="25"/>
        <v>241</v>
      </c>
      <c r="G346" s="19">
        <f t="shared" si="26"/>
        <v>142</v>
      </c>
      <c r="H346" s="19">
        <f t="shared" si="27"/>
        <v>0</v>
      </c>
      <c r="I346" s="19">
        <f t="shared" si="28"/>
        <v>0</v>
      </c>
      <c r="J346" s="22">
        <f t="shared" si="29"/>
        <v>3.8904109589041092</v>
      </c>
    </row>
    <row r="347" spans="3:10" hidden="1" x14ac:dyDescent="0.25">
      <c r="C347" s="6"/>
      <c r="E347" s="37">
        <v>343</v>
      </c>
      <c r="F347" s="19">
        <f t="shared" si="25"/>
        <v>142</v>
      </c>
      <c r="G347" s="19">
        <f t="shared" si="26"/>
        <v>43</v>
      </c>
      <c r="H347" s="19">
        <f t="shared" si="27"/>
        <v>1</v>
      </c>
      <c r="I347" s="19">
        <f t="shared" si="28"/>
        <v>200</v>
      </c>
      <c r="J347" s="22">
        <f t="shared" si="29"/>
        <v>1.1780821917808217</v>
      </c>
    </row>
    <row r="348" spans="3:10" hidden="1" x14ac:dyDescent="0.25">
      <c r="C348" s="6"/>
      <c r="E348" s="37">
        <v>344</v>
      </c>
      <c r="F348" s="19">
        <f t="shared" si="25"/>
        <v>1043</v>
      </c>
      <c r="G348" s="19">
        <f t="shared" si="26"/>
        <v>944</v>
      </c>
      <c r="H348" s="19">
        <f t="shared" si="27"/>
        <v>0</v>
      </c>
      <c r="I348" s="19">
        <f t="shared" si="28"/>
        <v>0</v>
      </c>
      <c r="J348" s="22">
        <f t="shared" si="29"/>
        <v>25.863013698630134</v>
      </c>
    </row>
    <row r="349" spans="3:10" hidden="1" x14ac:dyDescent="0.25">
      <c r="C349" s="6"/>
      <c r="E349" s="37">
        <v>345</v>
      </c>
      <c r="F349" s="19">
        <f t="shared" si="25"/>
        <v>944</v>
      </c>
      <c r="G349" s="19">
        <f t="shared" si="26"/>
        <v>845</v>
      </c>
      <c r="H349" s="19">
        <f t="shared" si="27"/>
        <v>0</v>
      </c>
      <c r="I349" s="19">
        <f t="shared" si="28"/>
        <v>0</v>
      </c>
      <c r="J349" s="22">
        <f t="shared" si="29"/>
        <v>23.150684931506849</v>
      </c>
    </row>
    <row r="350" spans="3:10" hidden="1" x14ac:dyDescent="0.25">
      <c r="C350" s="6"/>
      <c r="E350" s="37">
        <v>346</v>
      </c>
      <c r="F350" s="19">
        <f t="shared" si="25"/>
        <v>845</v>
      </c>
      <c r="G350" s="19">
        <f t="shared" si="26"/>
        <v>746</v>
      </c>
      <c r="H350" s="19">
        <f t="shared" si="27"/>
        <v>0</v>
      </c>
      <c r="I350" s="19">
        <f t="shared" si="28"/>
        <v>0</v>
      </c>
      <c r="J350" s="22">
        <f t="shared" si="29"/>
        <v>20.43835616438356</v>
      </c>
    </row>
    <row r="351" spans="3:10" hidden="1" x14ac:dyDescent="0.25">
      <c r="C351" s="6"/>
      <c r="E351" s="37">
        <v>347</v>
      </c>
      <c r="F351" s="19">
        <f t="shared" si="25"/>
        <v>746</v>
      </c>
      <c r="G351" s="19">
        <f t="shared" si="26"/>
        <v>647</v>
      </c>
      <c r="H351" s="19">
        <f t="shared" si="27"/>
        <v>0</v>
      </c>
      <c r="I351" s="19">
        <f t="shared" si="28"/>
        <v>0</v>
      </c>
      <c r="J351" s="22">
        <f t="shared" si="29"/>
        <v>17.726027397260275</v>
      </c>
    </row>
    <row r="352" spans="3:10" hidden="1" x14ac:dyDescent="0.25">
      <c r="C352" s="6"/>
      <c r="E352" s="37">
        <v>348</v>
      </c>
      <c r="F352" s="19">
        <f t="shared" si="25"/>
        <v>647</v>
      </c>
      <c r="G352" s="19">
        <f t="shared" si="26"/>
        <v>548</v>
      </c>
      <c r="H352" s="19">
        <f t="shared" si="27"/>
        <v>0</v>
      </c>
      <c r="I352" s="19">
        <f t="shared" si="28"/>
        <v>0</v>
      </c>
      <c r="J352" s="22">
        <f t="shared" si="29"/>
        <v>15.013698630136986</v>
      </c>
    </row>
    <row r="353" spans="3:10" hidden="1" x14ac:dyDescent="0.25">
      <c r="C353" s="6"/>
      <c r="E353" s="37">
        <v>349</v>
      </c>
      <c r="F353" s="19">
        <f t="shared" si="25"/>
        <v>548</v>
      </c>
      <c r="G353" s="19">
        <f t="shared" si="26"/>
        <v>449</v>
      </c>
      <c r="H353" s="19">
        <f t="shared" si="27"/>
        <v>0</v>
      </c>
      <c r="I353" s="19">
        <f t="shared" si="28"/>
        <v>0</v>
      </c>
      <c r="J353" s="22">
        <f t="shared" si="29"/>
        <v>12.301369863013697</v>
      </c>
    </row>
    <row r="354" spans="3:10" hidden="1" x14ac:dyDescent="0.25">
      <c r="C354" s="6"/>
      <c r="E354" s="37">
        <v>350</v>
      </c>
      <c r="F354" s="19">
        <f t="shared" si="25"/>
        <v>449</v>
      </c>
      <c r="G354" s="19">
        <f t="shared" si="26"/>
        <v>350</v>
      </c>
      <c r="H354" s="19">
        <f t="shared" si="27"/>
        <v>0</v>
      </c>
      <c r="I354" s="19">
        <f t="shared" si="28"/>
        <v>0</v>
      </c>
      <c r="J354" s="22">
        <f t="shared" si="29"/>
        <v>9.5890410958904102</v>
      </c>
    </row>
    <row r="355" spans="3:10" hidden="1" x14ac:dyDescent="0.25">
      <c r="C355" s="6"/>
      <c r="E355" s="37">
        <v>351</v>
      </c>
      <c r="F355" s="19">
        <f t="shared" si="25"/>
        <v>350</v>
      </c>
      <c r="G355" s="19">
        <f t="shared" si="26"/>
        <v>251</v>
      </c>
      <c r="H355" s="19">
        <f t="shared" si="27"/>
        <v>0</v>
      </c>
      <c r="I355" s="19">
        <f t="shared" si="28"/>
        <v>0</v>
      </c>
      <c r="J355" s="22">
        <f t="shared" si="29"/>
        <v>6.8767123287671232</v>
      </c>
    </row>
    <row r="356" spans="3:10" hidden="1" x14ac:dyDescent="0.25">
      <c r="C356" s="6"/>
      <c r="E356" s="37">
        <v>352</v>
      </c>
      <c r="F356" s="19">
        <f t="shared" si="25"/>
        <v>251</v>
      </c>
      <c r="G356" s="19">
        <f t="shared" si="26"/>
        <v>152</v>
      </c>
      <c r="H356" s="19">
        <f t="shared" si="27"/>
        <v>0</v>
      </c>
      <c r="I356" s="19">
        <f t="shared" si="28"/>
        <v>0</v>
      </c>
      <c r="J356" s="22">
        <f t="shared" si="29"/>
        <v>4.1643835616438354</v>
      </c>
    </row>
    <row r="357" spans="3:10" hidden="1" x14ac:dyDescent="0.25">
      <c r="C357" s="6"/>
      <c r="E357" s="37">
        <v>353</v>
      </c>
      <c r="F357" s="19">
        <f t="shared" si="25"/>
        <v>152</v>
      </c>
      <c r="G357" s="19">
        <f t="shared" si="26"/>
        <v>53</v>
      </c>
      <c r="H357" s="19">
        <f t="shared" si="27"/>
        <v>1</v>
      </c>
      <c r="I357" s="19">
        <f t="shared" si="28"/>
        <v>200</v>
      </c>
      <c r="J357" s="22">
        <f t="shared" si="29"/>
        <v>1.452054794520548</v>
      </c>
    </row>
    <row r="358" spans="3:10" hidden="1" x14ac:dyDescent="0.25">
      <c r="C358" s="6"/>
      <c r="E358" s="37">
        <v>354</v>
      </c>
      <c r="F358" s="19">
        <f t="shared" si="25"/>
        <v>1053</v>
      </c>
      <c r="G358" s="19">
        <f t="shared" si="26"/>
        <v>954</v>
      </c>
      <c r="H358" s="19">
        <f t="shared" si="27"/>
        <v>0</v>
      </c>
      <c r="I358" s="19">
        <f t="shared" si="28"/>
        <v>0</v>
      </c>
      <c r="J358" s="22">
        <f t="shared" si="29"/>
        <v>26.136986301369863</v>
      </c>
    </row>
    <row r="359" spans="3:10" hidden="1" x14ac:dyDescent="0.25">
      <c r="C359" s="6"/>
      <c r="E359" s="37">
        <v>355</v>
      </c>
      <c r="F359" s="19">
        <f t="shared" si="25"/>
        <v>954</v>
      </c>
      <c r="G359" s="19">
        <f t="shared" si="26"/>
        <v>855</v>
      </c>
      <c r="H359" s="19">
        <f t="shared" si="27"/>
        <v>0</v>
      </c>
      <c r="I359" s="19">
        <f t="shared" si="28"/>
        <v>0</v>
      </c>
      <c r="J359" s="22">
        <f t="shared" si="29"/>
        <v>23.424657534246574</v>
      </c>
    </row>
    <row r="360" spans="3:10" hidden="1" x14ac:dyDescent="0.25">
      <c r="C360" s="6"/>
      <c r="E360" s="37">
        <v>356</v>
      </c>
      <c r="F360" s="19">
        <f t="shared" si="25"/>
        <v>855</v>
      </c>
      <c r="G360" s="19">
        <f t="shared" si="26"/>
        <v>756</v>
      </c>
      <c r="H360" s="19">
        <f t="shared" si="27"/>
        <v>0</v>
      </c>
      <c r="I360" s="19">
        <f t="shared" si="28"/>
        <v>0</v>
      </c>
      <c r="J360" s="22">
        <f t="shared" si="29"/>
        <v>20.712328767123285</v>
      </c>
    </row>
    <row r="361" spans="3:10" hidden="1" x14ac:dyDescent="0.25">
      <c r="C361" s="6"/>
      <c r="E361" s="37">
        <v>357</v>
      </c>
      <c r="F361" s="19">
        <f t="shared" si="25"/>
        <v>756</v>
      </c>
      <c r="G361" s="19">
        <f t="shared" si="26"/>
        <v>657</v>
      </c>
      <c r="H361" s="19">
        <f t="shared" si="27"/>
        <v>0</v>
      </c>
      <c r="I361" s="19">
        <f t="shared" si="28"/>
        <v>0</v>
      </c>
      <c r="J361" s="22">
        <f t="shared" si="29"/>
        <v>18</v>
      </c>
    </row>
    <row r="362" spans="3:10" hidden="1" x14ac:dyDescent="0.25">
      <c r="C362" s="6"/>
      <c r="E362" s="37">
        <v>358</v>
      </c>
      <c r="F362" s="19">
        <f t="shared" si="25"/>
        <v>657</v>
      </c>
      <c r="G362" s="19">
        <f t="shared" si="26"/>
        <v>558</v>
      </c>
      <c r="H362" s="19">
        <f t="shared" si="27"/>
        <v>0</v>
      </c>
      <c r="I362" s="19">
        <f t="shared" si="28"/>
        <v>0</v>
      </c>
      <c r="J362" s="22">
        <f t="shared" si="29"/>
        <v>15.287671232876711</v>
      </c>
    </row>
    <row r="363" spans="3:10" hidden="1" x14ac:dyDescent="0.25">
      <c r="C363" s="6"/>
      <c r="E363" s="37">
        <v>359</v>
      </c>
      <c r="F363" s="19">
        <f t="shared" si="25"/>
        <v>558</v>
      </c>
      <c r="G363" s="19">
        <f t="shared" si="26"/>
        <v>459</v>
      </c>
      <c r="H363" s="19">
        <f t="shared" si="27"/>
        <v>0</v>
      </c>
      <c r="I363" s="19">
        <f t="shared" si="28"/>
        <v>0</v>
      </c>
      <c r="J363" s="22">
        <f t="shared" si="29"/>
        <v>12.575342465753424</v>
      </c>
    </row>
    <row r="364" spans="3:10" hidden="1" x14ac:dyDescent="0.25">
      <c r="E364" s="37">
        <v>360</v>
      </c>
      <c r="F364" s="19">
        <f t="shared" si="25"/>
        <v>459</v>
      </c>
      <c r="G364" s="19">
        <f t="shared" si="26"/>
        <v>360</v>
      </c>
      <c r="H364" s="19">
        <f t="shared" si="27"/>
        <v>0</v>
      </c>
      <c r="I364" s="19">
        <f t="shared" si="28"/>
        <v>0</v>
      </c>
      <c r="J364" s="22">
        <f t="shared" si="29"/>
        <v>9.8630136986301373</v>
      </c>
    </row>
    <row r="365" spans="3:10" hidden="1" x14ac:dyDescent="0.25">
      <c r="E365" s="37">
        <v>361</v>
      </c>
      <c r="F365" s="19">
        <f t="shared" si="25"/>
        <v>360</v>
      </c>
      <c r="G365" s="19">
        <f t="shared" si="26"/>
        <v>261</v>
      </c>
      <c r="H365" s="19">
        <f t="shared" si="27"/>
        <v>0</v>
      </c>
      <c r="I365" s="19">
        <f t="shared" si="28"/>
        <v>0</v>
      </c>
      <c r="J365" s="22">
        <f t="shared" si="29"/>
        <v>7.1506849315068486</v>
      </c>
    </row>
    <row r="366" spans="3:10" hidden="1" x14ac:dyDescent="0.25">
      <c r="E366" s="37">
        <v>362</v>
      </c>
      <c r="F366" s="19">
        <f t="shared" si="25"/>
        <v>261</v>
      </c>
      <c r="G366" s="19">
        <f t="shared" si="26"/>
        <v>162</v>
      </c>
      <c r="H366" s="19">
        <f t="shared" si="27"/>
        <v>0</v>
      </c>
      <c r="I366" s="19">
        <f t="shared" si="28"/>
        <v>0</v>
      </c>
      <c r="J366" s="22">
        <f t="shared" si="29"/>
        <v>4.4383561643835616</v>
      </c>
    </row>
    <row r="367" spans="3:10" hidden="1" x14ac:dyDescent="0.25">
      <c r="E367" s="37">
        <v>363</v>
      </c>
      <c r="F367" s="19">
        <f t="shared" si="25"/>
        <v>162</v>
      </c>
      <c r="G367" s="19">
        <f t="shared" si="26"/>
        <v>63</v>
      </c>
      <c r="H367" s="19">
        <f t="shared" si="27"/>
        <v>1</v>
      </c>
      <c r="I367" s="19">
        <f t="shared" si="28"/>
        <v>200</v>
      </c>
      <c r="J367" s="22">
        <f t="shared" si="29"/>
        <v>1.7260273972602738</v>
      </c>
    </row>
    <row r="368" spans="3:10" hidden="1" x14ac:dyDescent="0.25">
      <c r="E368" s="37">
        <v>364</v>
      </c>
      <c r="F368" s="19">
        <f t="shared" si="25"/>
        <v>1063</v>
      </c>
      <c r="G368" s="19">
        <f t="shared" si="26"/>
        <v>964</v>
      </c>
      <c r="H368" s="19">
        <f t="shared" si="27"/>
        <v>0</v>
      </c>
      <c r="I368" s="19">
        <f t="shared" si="28"/>
        <v>0</v>
      </c>
      <c r="J368" s="22">
        <f t="shared" si="29"/>
        <v>26.410958904109588</v>
      </c>
    </row>
    <row r="369" spans="5:10" x14ac:dyDescent="0.25">
      <c r="E369" s="37">
        <v>365</v>
      </c>
      <c r="F369" s="19">
        <f t="shared" si="25"/>
        <v>964</v>
      </c>
      <c r="G369" s="19">
        <f t="shared" si="26"/>
        <v>865</v>
      </c>
      <c r="H369" s="19">
        <f t="shared" si="27"/>
        <v>0</v>
      </c>
      <c r="I369" s="19">
        <f t="shared" si="28"/>
        <v>0</v>
      </c>
      <c r="J369" s="22">
        <f t="shared" si="29"/>
        <v>23.698630136986299</v>
      </c>
    </row>
  </sheetData>
  <mergeCells count="1">
    <mergeCell ref="E2:E3"/>
  </mergeCells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369"/>
  <sheetViews>
    <sheetView topLeftCell="K1" workbookViewId="0">
      <selection activeCell="P2" sqref="P2"/>
    </sheetView>
  </sheetViews>
  <sheetFormatPr defaultColWidth="9.81640625" defaultRowHeight="14" x14ac:dyDescent="0.25"/>
  <cols>
    <col min="1" max="1" width="2.1796875" style="1" customWidth="1"/>
    <col min="2" max="2" width="17" style="1" customWidth="1"/>
    <col min="3" max="3" width="7.453125" style="31" customWidth="1"/>
    <col min="4" max="4" width="1.453125" style="1" customWidth="1"/>
    <col min="5" max="5" width="4.1796875" style="32" customWidth="1"/>
    <col min="6" max="7" width="5.26953125" style="32" customWidth="1"/>
    <col min="8" max="8" width="5.1796875" style="32" customWidth="1"/>
    <col min="9" max="9" width="5" style="32" customWidth="1"/>
    <col min="10" max="10" width="5.453125" style="32" customWidth="1"/>
    <col min="11" max="11" width="11.453125" style="32" customWidth="1"/>
    <col min="12" max="12" width="1.1796875" style="1" customWidth="1"/>
    <col min="13" max="13" width="7.1796875" style="1" customWidth="1"/>
    <col min="14" max="14" width="8.81640625" style="1" customWidth="1"/>
    <col min="15" max="15" width="7" style="1" customWidth="1"/>
    <col min="16" max="16" width="6.453125" style="1" customWidth="1"/>
    <col min="17" max="17" width="7.7265625" style="1" customWidth="1"/>
    <col min="18" max="18" width="7.54296875" style="1" hidden="1" customWidth="1"/>
    <col min="19" max="115" width="6.7265625" style="1" hidden="1" customWidth="1"/>
    <col min="116" max="116" width="7.81640625" style="1" bestFit="1" customWidth="1"/>
    <col min="117" max="117" width="7.453125" style="1" customWidth="1"/>
    <col min="118" max="16384" width="9.81640625" style="1"/>
  </cols>
  <sheetData>
    <row r="1" spans="1:117" x14ac:dyDescent="0.25">
      <c r="B1" s="6"/>
      <c r="C1" s="7"/>
      <c r="D1" s="6"/>
      <c r="E1" s="8" t="s">
        <v>39</v>
      </c>
      <c r="F1" s="9"/>
      <c r="G1" s="9"/>
      <c r="H1" s="9"/>
      <c r="I1" s="45" t="s">
        <v>6</v>
      </c>
      <c r="J1" s="44">
        <f ca="1">SUM(J4:J369)</f>
        <v>7400</v>
      </c>
      <c r="K1" s="44">
        <f ca="1">SUM(K4:K369)</f>
        <v>5199.7808219178114</v>
      </c>
      <c r="L1" s="11"/>
      <c r="M1" s="12" t="s">
        <v>4</v>
      </c>
      <c r="N1" s="13" t="s">
        <v>5</v>
      </c>
      <c r="O1" s="6"/>
      <c r="P1" s="6" t="s">
        <v>37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</row>
    <row r="2" spans="1:117" ht="13" customHeight="1" x14ac:dyDescent="0.25">
      <c r="A2" s="14"/>
      <c r="B2" s="6"/>
      <c r="C2" s="7"/>
      <c r="D2" s="15"/>
      <c r="E2" s="71" t="s">
        <v>7</v>
      </c>
      <c r="F2" s="33" t="s">
        <v>48</v>
      </c>
      <c r="G2" s="34" t="s">
        <v>41</v>
      </c>
      <c r="H2" s="34" t="s">
        <v>42</v>
      </c>
      <c r="I2" s="34" t="s">
        <v>43</v>
      </c>
      <c r="J2" s="34" t="s">
        <v>43</v>
      </c>
      <c r="K2" s="34" t="s">
        <v>44</v>
      </c>
      <c r="L2" s="6"/>
      <c r="M2" s="9"/>
      <c r="N2" s="48">
        <f ca="1">C14</f>
        <v>12599.780821917811</v>
      </c>
      <c r="O2" s="6"/>
      <c r="P2" s="49">
        <f ca="1">C14</f>
        <v>12599.780821917811</v>
      </c>
      <c r="Q2" s="40">
        <v>1</v>
      </c>
      <c r="R2" s="40">
        <v>2</v>
      </c>
      <c r="S2" s="40">
        <v>3</v>
      </c>
      <c r="T2" s="40">
        <v>4</v>
      </c>
      <c r="U2" s="40">
        <v>5</v>
      </c>
      <c r="V2" s="40">
        <v>6</v>
      </c>
      <c r="W2" s="40">
        <v>7</v>
      </c>
      <c r="X2" s="40">
        <v>8</v>
      </c>
      <c r="Y2" s="40">
        <v>9</v>
      </c>
      <c r="Z2" s="40">
        <v>10</v>
      </c>
      <c r="AA2" s="40">
        <v>11</v>
      </c>
      <c r="AB2" s="40">
        <v>12</v>
      </c>
      <c r="AC2" s="40">
        <v>13</v>
      </c>
      <c r="AD2" s="40">
        <v>14</v>
      </c>
      <c r="AE2" s="40">
        <v>15</v>
      </c>
      <c r="AF2" s="40">
        <v>16</v>
      </c>
      <c r="AG2" s="40">
        <v>17</v>
      </c>
      <c r="AH2" s="40">
        <v>18</v>
      </c>
      <c r="AI2" s="40">
        <v>19</v>
      </c>
      <c r="AJ2" s="40">
        <v>20</v>
      </c>
      <c r="AK2" s="40">
        <v>21</v>
      </c>
      <c r="AL2" s="40">
        <v>22</v>
      </c>
      <c r="AM2" s="40">
        <v>23</v>
      </c>
      <c r="AN2" s="40">
        <v>24</v>
      </c>
      <c r="AO2" s="40">
        <v>25</v>
      </c>
      <c r="AP2" s="40">
        <v>26</v>
      </c>
      <c r="AQ2" s="40">
        <v>27</v>
      </c>
      <c r="AR2" s="40">
        <v>28</v>
      </c>
      <c r="AS2" s="40">
        <v>29</v>
      </c>
      <c r="AT2" s="40">
        <v>30</v>
      </c>
      <c r="AU2" s="40">
        <v>31</v>
      </c>
      <c r="AV2" s="40">
        <v>32</v>
      </c>
      <c r="AW2" s="40">
        <v>33</v>
      </c>
      <c r="AX2" s="40">
        <v>34</v>
      </c>
      <c r="AY2" s="40">
        <v>35</v>
      </c>
      <c r="AZ2" s="40">
        <v>36</v>
      </c>
      <c r="BA2" s="40">
        <v>37</v>
      </c>
      <c r="BB2" s="40">
        <v>38</v>
      </c>
      <c r="BC2" s="40">
        <v>39</v>
      </c>
      <c r="BD2" s="40">
        <v>40</v>
      </c>
      <c r="BE2" s="40">
        <v>41</v>
      </c>
      <c r="BF2" s="40">
        <v>42</v>
      </c>
      <c r="BG2" s="40">
        <v>43</v>
      </c>
      <c r="BH2" s="40">
        <v>44</v>
      </c>
      <c r="BI2" s="40">
        <v>45</v>
      </c>
      <c r="BJ2" s="40">
        <v>46</v>
      </c>
      <c r="BK2" s="40">
        <v>47</v>
      </c>
      <c r="BL2" s="40">
        <v>48</v>
      </c>
      <c r="BM2" s="40">
        <v>49</v>
      </c>
      <c r="BN2" s="40">
        <v>50</v>
      </c>
      <c r="BO2" s="40">
        <v>51</v>
      </c>
      <c r="BP2" s="40">
        <v>52</v>
      </c>
      <c r="BQ2" s="40">
        <v>53</v>
      </c>
      <c r="BR2" s="40">
        <v>54</v>
      </c>
      <c r="BS2" s="40">
        <v>55</v>
      </c>
      <c r="BT2" s="40">
        <v>56</v>
      </c>
      <c r="BU2" s="40">
        <v>57</v>
      </c>
      <c r="BV2" s="40">
        <v>58</v>
      </c>
      <c r="BW2" s="40">
        <v>59</v>
      </c>
      <c r="BX2" s="40">
        <v>60</v>
      </c>
      <c r="BY2" s="40">
        <v>61</v>
      </c>
      <c r="BZ2" s="40">
        <v>62</v>
      </c>
      <c r="CA2" s="40">
        <v>63</v>
      </c>
      <c r="CB2" s="40">
        <v>64</v>
      </c>
      <c r="CC2" s="40">
        <v>65</v>
      </c>
      <c r="CD2" s="40">
        <v>66</v>
      </c>
      <c r="CE2" s="40">
        <v>67</v>
      </c>
      <c r="CF2" s="40">
        <v>68</v>
      </c>
      <c r="CG2" s="40">
        <v>69</v>
      </c>
      <c r="CH2" s="40">
        <v>70</v>
      </c>
      <c r="CI2" s="40">
        <v>71</v>
      </c>
      <c r="CJ2" s="40">
        <v>72</v>
      </c>
      <c r="CK2" s="40">
        <v>73</v>
      </c>
      <c r="CL2" s="40">
        <v>74</v>
      </c>
      <c r="CM2" s="40">
        <v>75</v>
      </c>
      <c r="CN2" s="40">
        <v>76</v>
      </c>
      <c r="CO2" s="40">
        <v>77</v>
      </c>
      <c r="CP2" s="40">
        <v>78</v>
      </c>
      <c r="CQ2" s="40">
        <v>79</v>
      </c>
      <c r="CR2" s="40">
        <v>80</v>
      </c>
      <c r="CS2" s="40">
        <v>81</v>
      </c>
      <c r="CT2" s="40">
        <v>82</v>
      </c>
      <c r="CU2" s="40">
        <v>83</v>
      </c>
      <c r="CV2" s="40">
        <v>84</v>
      </c>
      <c r="CW2" s="40">
        <v>85</v>
      </c>
      <c r="CX2" s="40">
        <v>86</v>
      </c>
      <c r="CY2" s="40">
        <v>87</v>
      </c>
      <c r="CZ2" s="40">
        <v>88</v>
      </c>
      <c r="DA2" s="40">
        <v>89</v>
      </c>
      <c r="DB2" s="40">
        <v>90</v>
      </c>
      <c r="DC2" s="40">
        <v>91</v>
      </c>
      <c r="DD2" s="40">
        <v>92</v>
      </c>
      <c r="DE2" s="40">
        <v>93</v>
      </c>
      <c r="DF2" s="40">
        <v>94</v>
      </c>
      <c r="DG2" s="40">
        <v>95</v>
      </c>
      <c r="DH2" s="40">
        <v>96</v>
      </c>
      <c r="DI2" s="40">
        <v>97</v>
      </c>
      <c r="DJ2" s="40">
        <v>98</v>
      </c>
      <c r="DK2" s="40">
        <v>99</v>
      </c>
      <c r="DL2" s="40">
        <v>100</v>
      </c>
      <c r="DM2" s="40" t="s">
        <v>24</v>
      </c>
    </row>
    <row r="3" spans="1:117" x14ac:dyDescent="0.25">
      <c r="A3" s="14"/>
      <c r="B3" s="18" t="s">
        <v>36</v>
      </c>
      <c r="C3" s="41">
        <v>36000</v>
      </c>
      <c r="D3" s="12"/>
      <c r="E3" s="72"/>
      <c r="F3" s="35" t="s">
        <v>49</v>
      </c>
      <c r="G3" s="36" t="s">
        <v>40</v>
      </c>
      <c r="H3" s="36" t="s">
        <v>45</v>
      </c>
      <c r="I3" s="36" t="s">
        <v>46</v>
      </c>
      <c r="J3" s="36" t="s">
        <v>47</v>
      </c>
      <c r="K3" s="36" t="s">
        <v>47</v>
      </c>
      <c r="L3" s="6"/>
      <c r="M3" s="39">
        <v>600</v>
      </c>
      <c r="N3" s="46">
        <f t="dataTable" ref="N3:N13" dt2D="0" dtr="0" r1="C10" ca="1"/>
        <v>15651.178082191782</v>
      </c>
      <c r="O3" s="6"/>
      <c r="P3" s="39">
        <v>600</v>
      </c>
      <c r="Q3" s="46">
        <f t="dataTable" ref="Q3:DL13" dt2D="1" dtr="1" r1="O1" r2="C10" ca="1"/>
        <v>15443.178082191782</v>
      </c>
      <c r="R3" s="46">
        <v>15401.506849315068</v>
      </c>
      <c r="S3" s="46">
        <v>15565.232876712325</v>
      </c>
      <c r="T3" s="46">
        <v>15578.136986301368</v>
      </c>
      <c r="U3" s="46">
        <v>15378.273972602739</v>
      </c>
      <c r="V3" s="46">
        <v>15471.287671232876</v>
      </c>
      <c r="W3" s="46">
        <v>15519.068493150686</v>
      </c>
      <c r="X3" s="46">
        <v>15624.191780821915</v>
      </c>
      <c r="Y3" s="46">
        <v>15579.863013698628</v>
      </c>
      <c r="Z3" s="46">
        <v>15816.575342465758</v>
      </c>
      <c r="AA3" s="46">
        <v>15525.013698630137</v>
      </c>
      <c r="AB3" s="46">
        <v>15363.64383561644</v>
      </c>
      <c r="AC3" s="46">
        <v>15392.767123287669</v>
      </c>
      <c r="AD3" s="46">
        <v>15600.904109589041</v>
      </c>
      <c r="AE3" s="46">
        <v>15368.438356164383</v>
      </c>
      <c r="AF3" s="46">
        <v>15674.767123287671</v>
      </c>
      <c r="AG3" s="46">
        <v>15419.890410958902</v>
      </c>
      <c r="AH3" s="46">
        <v>15628.657534246577</v>
      </c>
      <c r="AI3" s="46">
        <v>15411.232876712329</v>
      </c>
      <c r="AJ3" s="46">
        <v>15612.328767123287</v>
      </c>
      <c r="AK3" s="46">
        <v>15480.21917808219</v>
      </c>
      <c r="AL3" s="46">
        <v>15659.452054794521</v>
      </c>
      <c r="AM3" s="46">
        <v>15605.178082191786</v>
      </c>
      <c r="AN3" s="46">
        <v>15439.424657534248</v>
      </c>
      <c r="AO3" s="46">
        <v>15569.095890410958</v>
      </c>
      <c r="AP3" s="46">
        <v>15625.150684931508</v>
      </c>
      <c r="AQ3" s="46">
        <v>15463.17808219178</v>
      </c>
      <c r="AR3" s="46">
        <v>15626.438356164384</v>
      </c>
      <c r="AS3" s="46">
        <v>15523.013698630137</v>
      </c>
      <c r="AT3" s="46">
        <v>15335.095890410958</v>
      </c>
      <c r="AU3" s="46">
        <v>15527.287671232876</v>
      </c>
      <c r="AV3" s="46">
        <v>15354.356164383562</v>
      </c>
      <c r="AW3" s="46">
        <v>15279.835616438355</v>
      </c>
      <c r="AX3" s="46">
        <v>15597.205479452052</v>
      </c>
      <c r="AY3" s="46">
        <v>15346.575342465754</v>
      </c>
      <c r="AZ3" s="46">
        <v>15669.835616438355</v>
      </c>
      <c r="BA3" s="46">
        <v>15556.438356164381</v>
      </c>
      <c r="BB3" s="46">
        <v>15461.698630136987</v>
      </c>
      <c r="BC3" s="46">
        <v>15572.821917808218</v>
      </c>
      <c r="BD3" s="46">
        <v>15406.246575342466</v>
      </c>
      <c r="BE3" s="46">
        <v>15674.739726027396</v>
      </c>
      <c r="BF3" s="46">
        <v>15399.232876712327</v>
      </c>
      <c r="BG3" s="46">
        <v>15572.547945205479</v>
      </c>
      <c r="BH3" s="46">
        <v>15443.726027397259</v>
      </c>
      <c r="BI3" s="46">
        <v>15596.465753424656</v>
      </c>
      <c r="BJ3" s="46">
        <v>15506.602739726026</v>
      </c>
      <c r="BK3" s="46">
        <v>15400.876712328765</v>
      </c>
      <c r="BL3" s="46">
        <v>15652</v>
      </c>
      <c r="BM3" s="46">
        <v>15598.301369863011</v>
      </c>
      <c r="BN3" s="46">
        <v>15406.657534246575</v>
      </c>
      <c r="BO3" s="46">
        <v>15571.534246575342</v>
      </c>
      <c r="BP3" s="46">
        <v>15482.986301369863</v>
      </c>
      <c r="BQ3" s="46">
        <v>15613.260273972606</v>
      </c>
      <c r="BR3" s="46">
        <v>15417.698630136987</v>
      </c>
      <c r="BS3" s="46">
        <v>15398.821917808222</v>
      </c>
      <c r="BT3" s="46">
        <v>15377.589041095891</v>
      </c>
      <c r="BU3" s="46">
        <v>15473.260273972603</v>
      </c>
      <c r="BV3" s="46">
        <v>15416.904109589039</v>
      </c>
      <c r="BW3" s="46">
        <v>15655.64383561644</v>
      </c>
      <c r="BX3" s="46">
        <v>15445.178082191782</v>
      </c>
      <c r="BY3" s="46">
        <v>15582.410958904111</v>
      </c>
      <c r="BZ3" s="46">
        <v>15710.109589041098</v>
      </c>
      <c r="CA3" s="46">
        <v>15361.561643835619</v>
      </c>
      <c r="CB3" s="46">
        <v>15401.534246575342</v>
      </c>
      <c r="CC3" s="46">
        <v>15532.164383561645</v>
      </c>
      <c r="CD3" s="46">
        <v>15600.438356164384</v>
      </c>
      <c r="CE3" s="46">
        <v>15418.904109589039</v>
      </c>
      <c r="CF3" s="46">
        <v>15600.410958904107</v>
      </c>
      <c r="CG3" s="46">
        <v>15621.04109589041</v>
      </c>
      <c r="CH3" s="46">
        <v>15424.739726027397</v>
      </c>
      <c r="CI3" s="46">
        <v>15601.04109589041</v>
      </c>
      <c r="CJ3" s="46">
        <v>15371.315068493146</v>
      </c>
      <c r="CK3" s="46">
        <v>15385.890410958902</v>
      </c>
      <c r="CL3" s="46">
        <v>15443.39726027397</v>
      </c>
      <c r="CM3" s="46">
        <v>15566.602739726026</v>
      </c>
      <c r="CN3" s="46">
        <v>15637.780821917808</v>
      </c>
      <c r="CO3" s="46">
        <v>15526.109589041096</v>
      </c>
      <c r="CP3" s="46">
        <v>15544.465753424654</v>
      </c>
      <c r="CQ3" s="46">
        <v>15337.945205479453</v>
      </c>
      <c r="CR3" s="46">
        <v>15580.986301369861</v>
      </c>
      <c r="CS3" s="46">
        <v>15391.890410958904</v>
      </c>
      <c r="CT3" s="46">
        <v>15565.04109589041</v>
      </c>
      <c r="CU3" s="46">
        <v>15550.109589041094</v>
      </c>
      <c r="CV3" s="46">
        <v>15560.767123287671</v>
      </c>
      <c r="CW3" s="46">
        <v>15540.136986301368</v>
      </c>
      <c r="CX3" s="46">
        <v>15380.986301369865</v>
      </c>
      <c r="CY3" s="46">
        <v>15447.232876712329</v>
      </c>
      <c r="CZ3" s="46">
        <v>15583.31506849315</v>
      </c>
      <c r="DA3" s="46">
        <v>15386.438356164384</v>
      </c>
      <c r="DB3" s="46">
        <v>15427.424657534248</v>
      </c>
      <c r="DC3" s="46">
        <v>15597.205479452055</v>
      </c>
      <c r="DD3" s="46">
        <v>15392.712328767122</v>
      </c>
      <c r="DE3" s="46">
        <v>15424.712328767122</v>
      </c>
      <c r="DF3" s="46">
        <v>15348.602739726026</v>
      </c>
      <c r="DG3" s="46">
        <v>15531.506849315068</v>
      </c>
      <c r="DH3" s="46">
        <v>15391.260273972604</v>
      </c>
      <c r="DI3" s="46">
        <v>15394.630136986301</v>
      </c>
      <c r="DJ3" s="46">
        <v>15408.767123287675</v>
      </c>
      <c r="DK3" s="46">
        <v>15455.753424657536</v>
      </c>
      <c r="DL3" s="46">
        <v>15462.630136986303</v>
      </c>
      <c r="DM3" s="48">
        <f>AVERAGE(Q3:DL3)</f>
        <v>15500.675068493152</v>
      </c>
    </row>
    <row r="4" spans="1:117" x14ac:dyDescent="0.25">
      <c r="A4" s="21"/>
      <c r="B4" s="18" t="s">
        <v>35</v>
      </c>
      <c r="C4" s="41">
        <v>200</v>
      </c>
      <c r="D4" s="12"/>
      <c r="E4" s="37">
        <v>0</v>
      </c>
      <c r="F4" s="19"/>
      <c r="G4" s="19"/>
      <c r="H4" s="17">
        <f>C6</f>
        <v>0</v>
      </c>
      <c r="I4" s="19">
        <v>1</v>
      </c>
      <c r="J4" s="19">
        <f>I4*$C$4</f>
        <v>200</v>
      </c>
      <c r="K4" s="22"/>
      <c r="L4" s="6"/>
      <c r="M4" s="39">
        <v>700</v>
      </c>
      <c r="N4" s="46">
        <v>14373.424657534248</v>
      </c>
      <c r="O4" s="6"/>
      <c r="P4" s="39">
        <v>700</v>
      </c>
      <c r="Q4" s="46">
        <v>14105.287671232876</v>
      </c>
      <c r="R4" s="46">
        <v>14037.890410958908</v>
      </c>
      <c r="S4" s="46">
        <v>14296.383561643832</v>
      </c>
      <c r="T4" s="46">
        <v>14301.67123287671</v>
      </c>
      <c r="U4" s="46">
        <v>14304.109589041096</v>
      </c>
      <c r="V4" s="46">
        <v>14418.410958904109</v>
      </c>
      <c r="W4" s="46">
        <v>14139.041095890414</v>
      </c>
      <c r="X4" s="46">
        <v>14089.53424657534</v>
      </c>
      <c r="Y4" s="46">
        <v>14347.671232876715</v>
      </c>
      <c r="Z4" s="46">
        <v>14303.479452054797</v>
      </c>
      <c r="AA4" s="46">
        <v>14321.835616438355</v>
      </c>
      <c r="AB4" s="46">
        <v>14314.082191780823</v>
      </c>
      <c r="AC4" s="46">
        <v>14250.767123287671</v>
      </c>
      <c r="AD4" s="46">
        <v>14345.506849315068</v>
      </c>
      <c r="AE4" s="46">
        <v>14125.479452054793</v>
      </c>
      <c r="AF4" s="46">
        <v>14322.657534246575</v>
      </c>
      <c r="AG4" s="46">
        <v>14286.109589041098</v>
      </c>
      <c r="AH4" s="46">
        <v>14289.397260273974</v>
      </c>
      <c r="AI4" s="46">
        <v>14092.904109589042</v>
      </c>
      <c r="AJ4" s="46">
        <v>14174.246575342466</v>
      </c>
      <c r="AK4" s="46">
        <v>14300.712328767124</v>
      </c>
      <c r="AL4" s="46">
        <v>14243.424657534246</v>
      </c>
      <c r="AM4" s="46">
        <v>14319.999999999996</v>
      </c>
      <c r="AN4" s="46">
        <v>14324.986301369863</v>
      </c>
      <c r="AO4" s="46">
        <v>14354.520547945202</v>
      </c>
      <c r="AP4" s="46">
        <v>14300.465753424658</v>
      </c>
      <c r="AQ4" s="46">
        <v>14236.273972602736</v>
      </c>
      <c r="AR4" s="46">
        <v>14242.904109589039</v>
      </c>
      <c r="AS4" s="46">
        <v>14311.013698630137</v>
      </c>
      <c r="AT4" s="46">
        <v>14280.438356164384</v>
      </c>
      <c r="AU4" s="46">
        <v>14283.534246575342</v>
      </c>
      <c r="AV4" s="46">
        <v>14320.19178082192</v>
      </c>
      <c r="AW4" s="46">
        <v>14377.205479452054</v>
      </c>
      <c r="AX4" s="46">
        <v>14387.369863013695</v>
      </c>
      <c r="AY4" s="46">
        <v>14332.657534246577</v>
      </c>
      <c r="AZ4" s="46">
        <v>14263.726027397262</v>
      </c>
      <c r="BA4" s="46">
        <v>14297.534246575346</v>
      </c>
      <c r="BB4" s="46">
        <v>14312.986301369861</v>
      </c>
      <c r="BC4" s="46">
        <v>14306.82191780822</v>
      </c>
      <c r="BD4" s="46">
        <v>14250.301369863011</v>
      </c>
      <c r="BE4" s="46">
        <v>14293.917808219176</v>
      </c>
      <c r="BF4" s="46">
        <v>14157.095890410959</v>
      </c>
      <c r="BG4" s="46">
        <v>14325.17808219178</v>
      </c>
      <c r="BH4" s="46">
        <v>14312.465753424658</v>
      </c>
      <c r="BI4" s="46">
        <v>14098.027397260272</v>
      </c>
      <c r="BJ4" s="46">
        <v>14339.479452054791</v>
      </c>
      <c r="BK4" s="46">
        <v>14293.287671232876</v>
      </c>
      <c r="BL4" s="46">
        <v>14250.273972602738</v>
      </c>
      <c r="BM4" s="46">
        <v>14368.164383561643</v>
      </c>
      <c r="BN4" s="46">
        <v>14232.027397260274</v>
      </c>
      <c r="BO4" s="46">
        <v>14311.616438356165</v>
      </c>
      <c r="BP4" s="46">
        <v>14373.506849315068</v>
      </c>
      <c r="BQ4" s="46">
        <v>14333.068493150686</v>
      </c>
      <c r="BR4" s="46">
        <v>14325.260273972603</v>
      </c>
      <c r="BS4" s="46">
        <v>14290.821917808218</v>
      </c>
      <c r="BT4" s="46">
        <v>14191.342465753425</v>
      </c>
      <c r="BU4" s="46">
        <v>14145.808219178081</v>
      </c>
      <c r="BV4" s="46">
        <v>14251.123287671231</v>
      </c>
      <c r="BW4" s="46">
        <v>14317.534246575342</v>
      </c>
      <c r="BX4" s="46">
        <v>14261.123287671235</v>
      </c>
      <c r="BY4" s="46">
        <v>14423.150684931505</v>
      </c>
      <c r="BZ4" s="46">
        <v>14267.890410958902</v>
      </c>
      <c r="CA4" s="46">
        <v>14275.890410958902</v>
      </c>
      <c r="CB4" s="46">
        <v>14306.301369863013</v>
      </c>
      <c r="CC4" s="46">
        <v>14249.506849315067</v>
      </c>
      <c r="CD4" s="46">
        <v>14312.438356164383</v>
      </c>
      <c r="CE4" s="46">
        <v>14328.136986301373</v>
      </c>
      <c r="CF4" s="46">
        <v>14247.232876712329</v>
      </c>
      <c r="CG4" s="46">
        <v>14333.506849315065</v>
      </c>
      <c r="CH4" s="46">
        <v>14342.027397260272</v>
      </c>
      <c r="CI4" s="46">
        <v>14277.369863013697</v>
      </c>
      <c r="CJ4" s="46">
        <v>14337.17808219178</v>
      </c>
      <c r="CK4" s="46">
        <v>14108.547945205479</v>
      </c>
      <c r="CL4" s="46">
        <v>14300.273972602736</v>
      </c>
      <c r="CM4" s="46">
        <v>14328.109589041098</v>
      </c>
      <c r="CN4" s="46">
        <v>14311.835616438353</v>
      </c>
      <c r="CO4" s="46">
        <v>14306.547945205475</v>
      </c>
      <c r="CP4" s="46">
        <v>14366.328767123287</v>
      </c>
      <c r="CQ4" s="46">
        <v>14277.123287671233</v>
      </c>
      <c r="CR4" s="46">
        <v>14224.904109589041</v>
      </c>
      <c r="CS4" s="46">
        <v>14353.945205479453</v>
      </c>
      <c r="CT4" s="46">
        <v>14130.602739726028</v>
      </c>
      <c r="CU4" s="46">
        <v>14340.356164383562</v>
      </c>
      <c r="CV4" s="46">
        <v>14095.753424657534</v>
      </c>
      <c r="CW4" s="46">
        <v>14300.602739726028</v>
      </c>
      <c r="CX4" s="46">
        <v>14243.50684931507</v>
      </c>
      <c r="CY4" s="46">
        <v>14244.273972602741</v>
      </c>
      <c r="CZ4" s="46">
        <v>14277.643835616438</v>
      </c>
      <c r="DA4" s="46">
        <v>14302.630136986303</v>
      </c>
      <c r="DB4" s="46">
        <v>14239.917808219177</v>
      </c>
      <c r="DC4" s="46">
        <v>14292.547945205481</v>
      </c>
      <c r="DD4" s="46">
        <v>14334.904109589039</v>
      </c>
      <c r="DE4" s="46">
        <v>14270.082191780823</v>
      </c>
      <c r="DF4" s="46">
        <v>14273.726027397261</v>
      </c>
      <c r="DG4" s="46">
        <v>14316.794520547943</v>
      </c>
      <c r="DH4" s="46">
        <v>14271.808219178081</v>
      </c>
      <c r="DI4" s="46">
        <v>14298.13698630137</v>
      </c>
      <c r="DJ4" s="46">
        <v>14294.575342465756</v>
      </c>
      <c r="DK4" s="46">
        <v>14374.246575342468</v>
      </c>
      <c r="DL4" s="46">
        <v>14282.657534246575</v>
      </c>
      <c r="DM4" s="48">
        <f t="shared" ref="DM4:DM13" si="0">AVERAGE(Q4:DL4)</f>
        <v>14278.476712328767</v>
      </c>
    </row>
    <row r="5" spans="1:117" x14ac:dyDescent="0.25">
      <c r="A5" s="14"/>
      <c r="B5" s="18" t="s">
        <v>8</v>
      </c>
      <c r="C5" s="41">
        <v>10</v>
      </c>
      <c r="D5" s="12"/>
      <c r="E5" s="37">
        <v>1</v>
      </c>
      <c r="F5" s="19">
        <f ca="1">RANDBETWEEN($C$7,$C$8)</f>
        <v>95</v>
      </c>
      <c r="G5" s="19">
        <f>H4+I4*$C$10</f>
        <v>1000</v>
      </c>
      <c r="H5" s="19">
        <f ca="1">G5-F5</f>
        <v>905</v>
      </c>
      <c r="I5" s="19">
        <f ca="1">IF(H5&lt;$C$8,1,0)</f>
        <v>0</v>
      </c>
      <c r="J5" s="19">
        <f ca="1">I5*$C$4</f>
        <v>0</v>
      </c>
      <c r="K5" s="22">
        <f ca="1">H5*$C$9</f>
        <v>24.794520547945204</v>
      </c>
      <c r="L5" s="6"/>
      <c r="M5" s="39">
        <v>800</v>
      </c>
      <c r="N5" s="46">
        <v>13620.082191780824</v>
      </c>
      <c r="O5" s="6"/>
      <c r="P5" s="39">
        <v>800</v>
      </c>
      <c r="Q5" s="46">
        <v>13438.767123287671</v>
      </c>
      <c r="R5" s="46">
        <v>13580.958904109582</v>
      </c>
      <c r="S5" s="46">
        <v>13415.095890410958</v>
      </c>
      <c r="T5" s="46">
        <v>13425.726027397264</v>
      </c>
      <c r="U5" s="46">
        <v>13477.369863013697</v>
      </c>
      <c r="V5" s="46">
        <v>13436.027397260275</v>
      </c>
      <c r="W5" s="46">
        <v>13557.315068493146</v>
      </c>
      <c r="X5" s="46">
        <v>13368.054794520551</v>
      </c>
      <c r="Y5" s="46">
        <v>13374.438356164384</v>
      </c>
      <c r="Z5" s="46">
        <v>13391.808219178089</v>
      </c>
      <c r="AA5" s="46">
        <v>13361.863013698628</v>
      </c>
      <c r="AB5" s="46">
        <v>13374.246575342466</v>
      </c>
      <c r="AC5" s="46">
        <v>13364.849315068495</v>
      </c>
      <c r="AD5" s="46">
        <v>13326.273972602739</v>
      </c>
      <c r="AE5" s="46">
        <v>13443.287671232878</v>
      </c>
      <c r="AF5" s="46">
        <v>13454.49315068493</v>
      </c>
      <c r="AG5" s="46">
        <v>13545.753424657538</v>
      </c>
      <c r="AH5" s="46">
        <v>13409.205479452054</v>
      </c>
      <c r="AI5" s="46">
        <v>13489.561643835616</v>
      </c>
      <c r="AJ5" s="46">
        <v>13437.863013698632</v>
      </c>
      <c r="AK5" s="46">
        <v>13373.013698630137</v>
      </c>
      <c r="AL5" s="46">
        <v>13387.67123287671</v>
      </c>
      <c r="AM5" s="46">
        <v>13432.219178082192</v>
      </c>
      <c r="AN5" s="46">
        <v>13384.739726027397</v>
      </c>
      <c r="AO5" s="46">
        <v>13430.630136986301</v>
      </c>
      <c r="AP5" s="46">
        <v>13422.027397260274</v>
      </c>
      <c r="AQ5" s="46">
        <v>13439.068493150684</v>
      </c>
      <c r="AR5" s="46">
        <v>13570.602739726026</v>
      </c>
      <c r="AS5" s="46">
        <v>13390.849315068495</v>
      </c>
      <c r="AT5" s="46">
        <v>13328.164383561641</v>
      </c>
      <c r="AU5" s="46">
        <v>13287.698630136989</v>
      </c>
      <c r="AV5" s="46">
        <v>13578.109589041098</v>
      </c>
      <c r="AW5" s="46">
        <v>13374.630136986299</v>
      </c>
      <c r="AX5" s="46">
        <v>13349.150684931505</v>
      </c>
      <c r="AY5" s="46">
        <v>13428.712328767124</v>
      </c>
      <c r="AZ5" s="46">
        <v>13474.301369863015</v>
      </c>
      <c r="BA5" s="46">
        <v>13629.589041095893</v>
      </c>
      <c r="BB5" s="46">
        <v>13354.164383561645</v>
      </c>
      <c r="BC5" s="46">
        <v>13423.534246575342</v>
      </c>
      <c r="BD5" s="46">
        <v>13439.17808219178</v>
      </c>
      <c r="BE5" s="46">
        <v>13476.794520547945</v>
      </c>
      <c r="BF5" s="46">
        <v>13431.890410958904</v>
      </c>
      <c r="BG5" s="46">
        <v>13437.452054794521</v>
      </c>
      <c r="BH5" s="46">
        <v>13580.602739726028</v>
      </c>
      <c r="BI5" s="46">
        <v>13562.958904109586</v>
      </c>
      <c r="BJ5" s="46">
        <v>13397.095890410958</v>
      </c>
      <c r="BK5" s="46">
        <v>13345.808219178083</v>
      </c>
      <c r="BL5" s="46">
        <v>13458.21917808219</v>
      </c>
      <c r="BM5" s="46">
        <v>13457.013698630133</v>
      </c>
      <c r="BN5" s="46">
        <v>13341.123287671231</v>
      </c>
      <c r="BO5" s="46">
        <v>13617.068493150688</v>
      </c>
      <c r="BP5" s="46">
        <v>13471.068493150684</v>
      </c>
      <c r="BQ5" s="46">
        <v>13413.890410958904</v>
      </c>
      <c r="BR5" s="46">
        <v>13608.082191780824</v>
      </c>
      <c r="BS5" s="46">
        <v>13409.671232876713</v>
      </c>
      <c r="BT5" s="46">
        <v>13408.301369863017</v>
      </c>
      <c r="BU5" s="46">
        <v>13366.95890410959</v>
      </c>
      <c r="BV5" s="46">
        <v>13574.383561643837</v>
      </c>
      <c r="BW5" s="46">
        <v>13338.520547945205</v>
      </c>
      <c r="BX5" s="46">
        <v>13351.095890410959</v>
      </c>
      <c r="BY5" s="46">
        <v>13544.273972602736</v>
      </c>
      <c r="BZ5" s="46">
        <v>13439.260273972606</v>
      </c>
      <c r="CA5" s="46">
        <v>13346.273972602738</v>
      </c>
      <c r="CB5" s="46">
        <v>13412.794520547945</v>
      </c>
      <c r="CC5" s="46">
        <v>13443.260273972603</v>
      </c>
      <c r="CD5" s="46">
        <v>13359.01369863014</v>
      </c>
      <c r="CE5" s="46">
        <v>13436.575342465754</v>
      </c>
      <c r="CF5" s="46">
        <v>13552.082191780824</v>
      </c>
      <c r="CG5" s="46">
        <v>13663.589041095885</v>
      </c>
      <c r="CH5" s="46">
        <v>13344.767123287671</v>
      </c>
      <c r="CI5" s="46">
        <v>13436.95890410959</v>
      </c>
      <c r="CJ5" s="46">
        <v>13516.98630136986</v>
      </c>
      <c r="CK5" s="46">
        <v>13358.109589041092</v>
      </c>
      <c r="CL5" s="46">
        <v>13442.794520547948</v>
      </c>
      <c r="CM5" s="46">
        <v>13425.424657534244</v>
      </c>
      <c r="CN5" s="46">
        <v>13630.246575342466</v>
      </c>
      <c r="CO5" s="46">
        <v>13399.945205479449</v>
      </c>
      <c r="CP5" s="46">
        <v>13427.068493150688</v>
      </c>
      <c r="CQ5" s="46">
        <v>13465.150684931505</v>
      </c>
      <c r="CR5" s="46">
        <v>13378.054794520547</v>
      </c>
      <c r="CS5" s="46">
        <v>13455.013698630137</v>
      </c>
      <c r="CT5" s="46">
        <v>13644.547945205479</v>
      </c>
      <c r="CU5" s="46">
        <v>13393.972602739726</v>
      </c>
      <c r="CV5" s="46">
        <v>13492.520547945205</v>
      </c>
      <c r="CW5" s="46">
        <v>13428.164383561645</v>
      </c>
      <c r="CX5" s="46">
        <v>13492.575342465756</v>
      </c>
      <c r="CY5" s="46">
        <v>13636.904109589041</v>
      </c>
      <c r="CZ5" s="46">
        <v>13359.753424657536</v>
      </c>
      <c r="DA5" s="46">
        <v>13444.410958904107</v>
      </c>
      <c r="DB5" s="46">
        <v>13392.630136986303</v>
      </c>
      <c r="DC5" s="46">
        <v>13338.438356164381</v>
      </c>
      <c r="DD5" s="46">
        <v>13375.424657534246</v>
      </c>
      <c r="DE5" s="46">
        <v>13623.835616438357</v>
      </c>
      <c r="DF5" s="46">
        <v>13432.821917808218</v>
      </c>
      <c r="DG5" s="46">
        <v>13616.054794520551</v>
      </c>
      <c r="DH5" s="46">
        <v>13336.246575342462</v>
      </c>
      <c r="DI5" s="46">
        <v>13425.31506849315</v>
      </c>
      <c r="DJ5" s="46">
        <v>13586.109589041092</v>
      </c>
      <c r="DK5" s="46">
        <v>13410.301369863013</v>
      </c>
      <c r="DL5" s="46">
        <v>13460.712328767124</v>
      </c>
      <c r="DM5" s="48">
        <f t="shared" si="0"/>
        <v>13445.87397260274</v>
      </c>
    </row>
    <row r="6" spans="1:117" x14ac:dyDescent="0.25">
      <c r="A6" s="14"/>
      <c r="B6" s="18" t="s">
        <v>10</v>
      </c>
      <c r="C6" s="41">
        <v>0</v>
      </c>
      <c r="D6" s="12"/>
      <c r="E6" s="37">
        <v>2</v>
      </c>
      <c r="F6" s="19">
        <f t="shared" ref="F6:F69" ca="1" si="1">RANDBETWEEN($C$7,$C$8)</f>
        <v>111</v>
      </c>
      <c r="G6" s="19">
        <f t="shared" ref="G6:G69" ca="1" si="2">H5+I5*$C$10</f>
        <v>905</v>
      </c>
      <c r="H6" s="19">
        <f t="shared" ref="H6:H69" ca="1" si="3">G6-F6</f>
        <v>794</v>
      </c>
      <c r="I6" s="19">
        <f t="shared" ref="I6:I69" ca="1" si="4">IF(H6&lt;$C$8,1,0)</f>
        <v>0</v>
      </c>
      <c r="J6" s="19">
        <f t="shared" ref="J6:J69" ca="1" si="5">I6*$C$4</f>
        <v>0</v>
      </c>
      <c r="K6" s="22">
        <f t="shared" ref="K6:K69" ca="1" si="6">H6*$C$9</f>
        <v>21.753424657534246</v>
      </c>
      <c r="L6" s="6"/>
      <c r="M6" s="39">
        <v>900</v>
      </c>
      <c r="N6" s="46">
        <v>12843.863013698632</v>
      </c>
      <c r="O6" s="6"/>
      <c r="P6" s="39">
        <v>900</v>
      </c>
      <c r="Q6" s="46">
        <v>13020.246575342469</v>
      </c>
      <c r="R6" s="46">
        <v>12915.369863013697</v>
      </c>
      <c r="S6" s="46">
        <v>12869.835616438359</v>
      </c>
      <c r="T6" s="46">
        <v>12843.753424657536</v>
      </c>
      <c r="U6" s="46">
        <v>12966.60273972603</v>
      </c>
      <c r="V6" s="46">
        <v>12831.753424657534</v>
      </c>
      <c r="W6" s="46">
        <v>12846.493150684932</v>
      </c>
      <c r="X6" s="46">
        <v>12942.986301369863</v>
      </c>
      <c r="Y6" s="46">
        <v>13187.452054794518</v>
      </c>
      <c r="Z6" s="46">
        <v>12937.589041095893</v>
      </c>
      <c r="AA6" s="46">
        <v>12945.452054794521</v>
      </c>
      <c r="AB6" s="46">
        <v>12888.219178082196</v>
      </c>
      <c r="AC6" s="46">
        <v>12897.123287671235</v>
      </c>
      <c r="AD6" s="46">
        <v>12968.575342465756</v>
      </c>
      <c r="AE6" s="46">
        <v>12999.86301369863</v>
      </c>
      <c r="AF6" s="46">
        <v>12833.342465753423</v>
      </c>
      <c r="AG6" s="46">
        <v>12980.19178082192</v>
      </c>
      <c r="AH6" s="46">
        <v>12879.205479452054</v>
      </c>
      <c r="AI6" s="46">
        <v>12908.136986301366</v>
      </c>
      <c r="AJ6" s="46">
        <v>12900.164383561645</v>
      </c>
      <c r="AK6" s="46">
        <v>12685.178082191778</v>
      </c>
      <c r="AL6" s="46">
        <v>12886.520547945209</v>
      </c>
      <c r="AM6" s="46">
        <v>13081.013698630137</v>
      </c>
      <c r="AN6" s="46">
        <v>12966.849315068495</v>
      </c>
      <c r="AO6" s="46">
        <v>12882.164383561649</v>
      </c>
      <c r="AP6" s="46">
        <v>12968.082191780824</v>
      </c>
      <c r="AQ6" s="46">
        <v>12969.013698630137</v>
      </c>
      <c r="AR6" s="46">
        <v>13001.863013698625</v>
      </c>
      <c r="AS6" s="46">
        <v>12959.095890410958</v>
      </c>
      <c r="AT6" s="46">
        <v>12953.753424657538</v>
      </c>
      <c r="AU6" s="46">
        <v>12934.164383561643</v>
      </c>
      <c r="AV6" s="46">
        <v>12873.589041095893</v>
      </c>
      <c r="AW6" s="46">
        <v>13012.410958904107</v>
      </c>
      <c r="AX6" s="46">
        <v>12893.506849315068</v>
      </c>
      <c r="AY6" s="46">
        <v>12918.301369863017</v>
      </c>
      <c r="AZ6" s="46">
        <v>12811.123287671235</v>
      </c>
      <c r="BA6" s="46">
        <v>12904.657534246577</v>
      </c>
      <c r="BB6" s="46">
        <v>12974.712328767126</v>
      </c>
      <c r="BC6" s="46">
        <v>12923.972602739723</v>
      </c>
      <c r="BD6" s="46">
        <v>12857.013698630135</v>
      </c>
      <c r="BE6" s="46">
        <v>13027.972602739726</v>
      </c>
      <c r="BF6" s="46">
        <v>12964.465753424656</v>
      </c>
      <c r="BG6" s="46">
        <v>12911.561643835614</v>
      </c>
      <c r="BH6" s="46">
        <v>12901.808219178081</v>
      </c>
      <c r="BI6" s="46">
        <v>12831.068493150684</v>
      </c>
      <c r="BJ6" s="46">
        <v>12968.136986301372</v>
      </c>
      <c r="BK6" s="46">
        <v>12947.068493150684</v>
      </c>
      <c r="BL6" s="46">
        <v>12978.410958904111</v>
      </c>
      <c r="BM6" s="46">
        <v>12872.547945205484</v>
      </c>
      <c r="BN6" s="46">
        <v>12914.520547945205</v>
      </c>
      <c r="BO6" s="46">
        <v>12836.904109589039</v>
      </c>
      <c r="BP6" s="46">
        <v>12841.397260273972</v>
      </c>
      <c r="BQ6" s="46">
        <v>12995.808219178085</v>
      </c>
      <c r="BR6" s="46">
        <v>12940.027397260274</v>
      </c>
      <c r="BS6" s="46">
        <v>12882.465753424654</v>
      </c>
      <c r="BT6" s="46">
        <v>12949.31506849315</v>
      </c>
      <c r="BU6" s="46">
        <v>12867.945205479455</v>
      </c>
      <c r="BV6" s="46">
        <v>12962.109589041098</v>
      </c>
      <c r="BW6" s="46">
        <v>13014.547945205482</v>
      </c>
      <c r="BX6" s="46">
        <v>12884.273972602743</v>
      </c>
      <c r="BY6" s="46">
        <v>12953.123287671233</v>
      </c>
      <c r="BZ6" s="46">
        <v>12960.219178082192</v>
      </c>
      <c r="CA6" s="46">
        <v>12862.575342465752</v>
      </c>
      <c r="CB6" s="46">
        <v>12933.04109589041</v>
      </c>
      <c r="CC6" s="46">
        <v>12880.68493150685</v>
      </c>
      <c r="CD6" s="46">
        <v>13068.301369863009</v>
      </c>
      <c r="CE6" s="46">
        <v>13010.054794520549</v>
      </c>
      <c r="CF6" s="46">
        <v>12902.109589041096</v>
      </c>
      <c r="CG6" s="46">
        <v>12934.164383561647</v>
      </c>
      <c r="CH6" s="46">
        <v>13189.287671232874</v>
      </c>
      <c r="CI6" s="46">
        <v>12913.863013698625</v>
      </c>
      <c r="CJ6" s="46">
        <v>13012.027397260275</v>
      </c>
      <c r="CK6" s="46">
        <v>12950.712328767127</v>
      </c>
      <c r="CL6" s="46">
        <v>13050.547945205479</v>
      </c>
      <c r="CM6" s="46">
        <v>12876.65753424658</v>
      </c>
      <c r="CN6" s="46">
        <v>12946.136986301373</v>
      </c>
      <c r="CO6" s="46">
        <v>13151.342465753429</v>
      </c>
      <c r="CP6" s="46">
        <v>12898.876712328769</v>
      </c>
      <c r="CQ6" s="46">
        <v>12746.794520547945</v>
      </c>
      <c r="CR6" s="46">
        <v>12925.890410958906</v>
      </c>
      <c r="CS6" s="46">
        <v>12907.917808219179</v>
      </c>
      <c r="CT6" s="46">
        <v>12915.068493150682</v>
      </c>
      <c r="CU6" s="46">
        <v>12876.986301369863</v>
      </c>
      <c r="CV6" s="46">
        <v>12911.726027397259</v>
      </c>
      <c r="CW6" s="46">
        <v>12899.945205479455</v>
      </c>
      <c r="CX6" s="46">
        <v>12945.890410958909</v>
      </c>
      <c r="CY6" s="46">
        <v>13018.602739726024</v>
      </c>
      <c r="CZ6" s="46">
        <v>13134.027397260275</v>
      </c>
      <c r="DA6" s="46">
        <v>12935.424657534246</v>
      </c>
      <c r="DB6" s="46">
        <v>12819.342465753423</v>
      </c>
      <c r="DC6" s="46">
        <v>12917.534246575342</v>
      </c>
      <c r="DD6" s="46">
        <v>12859.287671232876</v>
      </c>
      <c r="DE6" s="46">
        <v>12930.465753424656</v>
      </c>
      <c r="DF6" s="46">
        <v>12977.780821917811</v>
      </c>
      <c r="DG6" s="46">
        <v>13051.452054794518</v>
      </c>
      <c r="DH6" s="46">
        <v>12966.164383561645</v>
      </c>
      <c r="DI6" s="46">
        <v>12927.945205479456</v>
      </c>
      <c r="DJ6" s="46">
        <v>12917.616438356166</v>
      </c>
      <c r="DK6" s="46">
        <v>12927.863013698632</v>
      </c>
      <c r="DL6" s="46">
        <v>12845.150684931512</v>
      </c>
      <c r="DM6" s="48">
        <f t="shared" si="0"/>
        <v>12933.643013698636</v>
      </c>
    </row>
    <row r="7" spans="1:117" x14ac:dyDescent="0.25">
      <c r="A7" s="14"/>
      <c r="B7" s="18" t="s">
        <v>18</v>
      </c>
      <c r="C7" s="41">
        <v>80</v>
      </c>
      <c r="D7" s="12"/>
      <c r="E7" s="37">
        <v>3</v>
      </c>
      <c r="F7" s="19">
        <f t="shared" ca="1" si="1"/>
        <v>107</v>
      </c>
      <c r="G7" s="19">
        <f t="shared" ca="1" si="2"/>
        <v>794</v>
      </c>
      <c r="H7" s="19">
        <f t="shared" ca="1" si="3"/>
        <v>687</v>
      </c>
      <c r="I7" s="19">
        <f t="shared" ca="1" si="4"/>
        <v>0</v>
      </c>
      <c r="J7" s="19">
        <f t="shared" ca="1" si="5"/>
        <v>0</v>
      </c>
      <c r="K7" s="22">
        <f t="shared" ca="1" si="6"/>
        <v>18.821917808219176</v>
      </c>
      <c r="L7" s="6"/>
      <c r="M7" s="39">
        <v>1000</v>
      </c>
      <c r="N7" s="46">
        <v>12669.260273972603</v>
      </c>
      <c r="O7" s="6"/>
      <c r="P7" s="39">
        <v>1000</v>
      </c>
      <c r="Q7" s="46">
        <v>12669.287671232874</v>
      </c>
      <c r="R7" s="46">
        <v>12744.21917808219</v>
      </c>
      <c r="S7" s="46">
        <v>12633.068493150688</v>
      </c>
      <c r="T7" s="46">
        <v>12573.616438356166</v>
      </c>
      <c r="U7" s="46">
        <v>12693.205479452055</v>
      </c>
      <c r="V7" s="46">
        <v>12608</v>
      </c>
      <c r="W7" s="46">
        <v>12676.657534246577</v>
      </c>
      <c r="X7" s="46">
        <v>12638.13698630137</v>
      </c>
      <c r="Y7" s="46">
        <v>12638</v>
      </c>
      <c r="Z7" s="46">
        <v>12617.917808219181</v>
      </c>
      <c r="AA7" s="46">
        <v>12808.082191780823</v>
      </c>
      <c r="AB7" s="46">
        <v>12604.438356164381</v>
      </c>
      <c r="AC7" s="46">
        <v>12554.465753424658</v>
      </c>
      <c r="AD7" s="46">
        <v>12713.232876712325</v>
      </c>
      <c r="AE7" s="46">
        <v>12608</v>
      </c>
      <c r="AF7" s="46">
        <v>12712.410958904111</v>
      </c>
      <c r="AG7" s="46">
        <v>12548.547945205479</v>
      </c>
      <c r="AH7" s="46">
        <v>12670.712328767131</v>
      </c>
      <c r="AI7" s="46">
        <v>12588.082191780824</v>
      </c>
      <c r="AJ7" s="46">
        <v>12646.602739726026</v>
      </c>
      <c r="AK7" s="46">
        <v>12510.575342465751</v>
      </c>
      <c r="AL7" s="46">
        <v>12574.657534246573</v>
      </c>
      <c r="AM7" s="46">
        <v>12639.945205479453</v>
      </c>
      <c r="AN7" s="46">
        <v>12592.356164383558</v>
      </c>
      <c r="AO7" s="46">
        <v>12470.356164383564</v>
      </c>
      <c r="AP7" s="46">
        <v>12592.027397260274</v>
      </c>
      <c r="AQ7" s="46">
        <v>12482.273972602732</v>
      </c>
      <c r="AR7" s="46">
        <v>12686.027397260274</v>
      </c>
      <c r="AS7" s="46">
        <v>12628.849315068492</v>
      </c>
      <c r="AT7" s="46">
        <v>12673.835616438359</v>
      </c>
      <c r="AU7" s="46">
        <v>12591.808219178078</v>
      </c>
      <c r="AV7" s="46">
        <v>12579.095890410958</v>
      </c>
      <c r="AW7" s="46">
        <v>12624.027397260274</v>
      </c>
      <c r="AX7" s="46">
        <v>12596.246575342469</v>
      </c>
      <c r="AY7" s="46">
        <v>12515.64383561644</v>
      </c>
      <c r="AZ7" s="46">
        <v>12604.356164383567</v>
      </c>
      <c r="BA7" s="46">
        <v>12732.520547945205</v>
      </c>
      <c r="BB7" s="46">
        <v>12518.191780821917</v>
      </c>
      <c r="BC7" s="46">
        <v>12643.04109589041</v>
      </c>
      <c r="BD7" s="46">
        <v>12653.945205479453</v>
      </c>
      <c r="BE7" s="46">
        <v>12638.219178082194</v>
      </c>
      <c r="BF7" s="46">
        <v>12846.986301369865</v>
      </c>
      <c r="BG7" s="46">
        <v>12571.972602739723</v>
      </c>
      <c r="BH7" s="46">
        <v>12648.383561643841</v>
      </c>
      <c r="BI7" s="46">
        <v>12681.369863013699</v>
      </c>
      <c r="BJ7" s="46">
        <v>12777.342465753425</v>
      </c>
      <c r="BK7" s="46">
        <v>12679.506849315065</v>
      </c>
      <c r="BL7" s="46">
        <v>12605.232876712325</v>
      </c>
      <c r="BM7" s="46">
        <v>12612.657534246577</v>
      </c>
      <c r="BN7" s="46">
        <v>12713.616438356166</v>
      </c>
      <c r="BO7" s="46">
        <v>12573.589041095896</v>
      </c>
      <c r="BP7" s="46">
        <v>12646.986301369861</v>
      </c>
      <c r="BQ7" s="46">
        <v>12703.972602739723</v>
      </c>
      <c r="BR7" s="46">
        <v>12692.164383561641</v>
      </c>
      <c r="BS7" s="46">
        <v>12629.095890410958</v>
      </c>
      <c r="BT7" s="46">
        <v>12607.178082191778</v>
      </c>
      <c r="BU7" s="46">
        <v>12721.260273972599</v>
      </c>
      <c r="BV7" s="46">
        <v>12708.438356164386</v>
      </c>
      <c r="BW7" s="46">
        <v>12659.506849315065</v>
      </c>
      <c r="BX7" s="46">
        <v>12676.68493150685</v>
      </c>
      <c r="BY7" s="46">
        <v>12558.95890410959</v>
      </c>
      <c r="BZ7" s="46">
        <v>12613.205479452055</v>
      </c>
      <c r="CA7" s="46">
        <v>12586.328767123287</v>
      </c>
      <c r="CB7" s="46">
        <v>12610.465753424658</v>
      </c>
      <c r="CC7" s="46">
        <v>12640.054794520547</v>
      </c>
      <c r="CD7" s="46">
        <v>12573.178082191786</v>
      </c>
      <c r="CE7" s="46">
        <v>12638.383561643841</v>
      </c>
      <c r="CF7" s="46">
        <v>12613.260273972606</v>
      </c>
      <c r="CG7" s="46">
        <v>12556.98630136986</v>
      </c>
      <c r="CH7" s="46">
        <v>12668.109589041094</v>
      </c>
      <c r="CI7" s="46">
        <v>12675.287671232874</v>
      </c>
      <c r="CJ7" s="46">
        <v>12527.917808219172</v>
      </c>
      <c r="CK7" s="46">
        <v>12685.315068493146</v>
      </c>
      <c r="CL7" s="46">
        <v>12582.438356164381</v>
      </c>
      <c r="CM7" s="46">
        <v>12792.438356164388</v>
      </c>
      <c r="CN7" s="46">
        <v>12644.082191780819</v>
      </c>
      <c r="CO7" s="46">
        <v>12665.04109589041</v>
      </c>
      <c r="CP7" s="46">
        <v>12609.068493150688</v>
      </c>
      <c r="CQ7" s="46">
        <v>12522.082191780821</v>
      </c>
      <c r="CR7" s="46">
        <v>12617.753424657534</v>
      </c>
      <c r="CS7" s="46">
        <v>12637.698630136989</v>
      </c>
      <c r="CT7" s="46">
        <v>12688.082191780823</v>
      </c>
      <c r="CU7" s="46">
        <v>12554.767123287673</v>
      </c>
      <c r="CV7" s="46">
        <v>12622.904109589035</v>
      </c>
      <c r="CW7" s="46">
        <v>12641.232876712329</v>
      </c>
      <c r="CX7" s="46">
        <v>12814.164383561649</v>
      </c>
      <c r="CY7" s="46">
        <v>12573.890410958908</v>
      </c>
      <c r="CZ7" s="46">
        <v>12631.342465753427</v>
      </c>
      <c r="DA7" s="46">
        <v>12557.83561643836</v>
      </c>
      <c r="DB7" s="46">
        <v>12650.054794520551</v>
      </c>
      <c r="DC7" s="46">
        <v>12642.849315068495</v>
      </c>
      <c r="DD7" s="46">
        <v>12611.315068493152</v>
      </c>
      <c r="DE7" s="46">
        <v>12567.53424657534</v>
      </c>
      <c r="DF7" s="46">
        <v>12591.232876712329</v>
      </c>
      <c r="DG7" s="46">
        <v>12601.150684931506</v>
      </c>
      <c r="DH7" s="46">
        <v>12555.753424657534</v>
      </c>
      <c r="DI7" s="46">
        <v>12740.328767123287</v>
      </c>
      <c r="DJ7" s="46">
        <v>12602.219178082189</v>
      </c>
      <c r="DK7" s="46">
        <v>12624.438356164384</v>
      </c>
      <c r="DL7" s="46">
        <v>12641.287671232878</v>
      </c>
      <c r="DM7" s="48">
        <f t="shared" si="0"/>
        <v>12631.810684931505</v>
      </c>
    </row>
    <row r="8" spans="1:117" x14ac:dyDescent="0.25">
      <c r="A8" s="14"/>
      <c r="B8" s="18" t="s">
        <v>19</v>
      </c>
      <c r="C8" s="41">
        <v>120</v>
      </c>
      <c r="D8" s="12"/>
      <c r="E8" s="37">
        <v>4</v>
      </c>
      <c r="F8" s="19">
        <f t="shared" ca="1" si="1"/>
        <v>82</v>
      </c>
      <c r="G8" s="19">
        <f t="shared" ca="1" si="2"/>
        <v>687</v>
      </c>
      <c r="H8" s="19">
        <f t="shared" ca="1" si="3"/>
        <v>605</v>
      </c>
      <c r="I8" s="19">
        <f t="shared" ca="1" si="4"/>
        <v>0</v>
      </c>
      <c r="J8" s="19">
        <f t="shared" ca="1" si="5"/>
        <v>0</v>
      </c>
      <c r="K8" s="22">
        <f t="shared" ca="1" si="6"/>
        <v>16.575342465753423</v>
      </c>
      <c r="L8" s="6"/>
      <c r="M8" s="39">
        <v>1100</v>
      </c>
      <c r="N8" s="46">
        <v>12460.191780821919</v>
      </c>
      <c r="O8" s="6"/>
      <c r="P8" s="39">
        <v>1100</v>
      </c>
      <c r="Q8" s="46">
        <v>12312.136986301364</v>
      </c>
      <c r="R8" s="46">
        <v>12510.849315068495</v>
      </c>
      <c r="S8" s="46">
        <v>12507.616438356166</v>
      </c>
      <c r="T8" s="46">
        <v>12532.136986301368</v>
      </c>
      <c r="U8" s="46">
        <v>12485.369863013701</v>
      </c>
      <c r="V8" s="46">
        <v>12513.232876712329</v>
      </c>
      <c r="W8" s="46">
        <v>12580.02739726027</v>
      </c>
      <c r="X8" s="46">
        <v>12519.698630136985</v>
      </c>
      <c r="Y8" s="46">
        <v>12491.178082191776</v>
      </c>
      <c r="Z8" s="46">
        <v>12584.082191780817</v>
      </c>
      <c r="AA8" s="46">
        <v>12495.561643835619</v>
      </c>
      <c r="AB8" s="46">
        <v>12663.068493150684</v>
      </c>
      <c r="AC8" s="46">
        <v>12580</v>
      </c>
      <c r="AD8" s="46">
        <v>12562.219178082196</v>
      </c>
      <c r="AE8" s="46">
        <v>12607.397260273967</v>
      </c>
      <c r="AF8" s="46">
        <v>12449.589041095887</v>
      </c>
      <c r="AG8" s="46">
        <v>12461.698630136983</v>
      </c>
      <c r="AH8" s="46">
        <v>12621.726027397257</v>
      </c>
      <c r="AI8" s="46">
        <v>12470.191780821915</v>
      </c>
      <c r="AJ8" s="46">
        <v>12441.56164383561</v>
      </c>
      <c r="AK8" s="46">
        <v>12501.041095890418</v>
      </c>
      <c r="AL8" s="46">
        <v>12351.835616438355</v>
      </c>
      <c r="AM8" s="46">
        <v>12525.342465753427</v>
      </c>
      <c r="AN8" s="46">
        <v>12416.876712328762</v>
      </c>
      <c r="AO8" s="46">
        <v>12443.095890410956</v>
      </c>
      <c r="AP8" s="46">
        <v>12475.589041095885</v>
      </c>
      <c r="AQ8" s="46">
        <v>12515.068493150684</v>
      </c>
      <c r="AR8" s="46">
        <v>12574.98630136986</v>
      </c>
      <c r="AS8" s="46">
        <v>12470.931506849312</v>
      </c>
      <c r="AT8" s="46">
        <v>12496.438356164379</v>
      </c>
      <c r="AU8" s="46">
        <v>12502.219178082189</v>
      </c>
      <c r="AV8" s="46">
        <v>12514.71232876712</v>
      </c>
      <c r="AW8" s="46">
        <v>12518.273972602736</v>
      </c>
      <c r="AX8" s="46">
        <v>12549.452054794521</v>
      </c>
      <c r="AY8" s="46">
        <v>12444.657534246577</v>
      </c>
      <c r="AZ8" s="46">
        <v>12419.835616438355</v>
      </c>
      <c r="BA8" s="46">
        <v>12508.630136986303</v>
      </c>
      <c r="BB8" s="46">
        <v>12534.082191780815</v>
      </c>
      <c r="BC8" s="46">
        <v>12548.547945205477</v>
      </c>
      <c r="BD8" s="46">
        <v>12488.410958904109</v>
      </c>
      <c r="BE8" s="46">
        <v>12489.123287671235</v>
      </c>
      <c r="BF8" s="46">
        <v>12459.232876712329</v>
      </c>
      <c r="BG8" s="46">
        <v>12465.835616438355</v>
      </c>
      <c r="BH8" s="46">
        <v>12457.150684931505</v>
      </c>
      <c r="BI8" s="46">
        <v>12494.246575342464</v>
      </c>
      <c r="BJ8" s="46">
        <v>12486.794520547945</v>
      </c>
      <c r="BK8" s="46">
        <v>12329.890410958904</v>
      </c>
      <c r="BL8" s="46">
        <v>12489.534246575342</v>
      </c>
      <c r="BM8" s="46">
        <v>12484.13698630137</v>
      </c>
      <c r="BN8" s="46">
        <v>12458.547945205477</v>
      </c>
      <c r="BO8" s="46">
        <v>12503.369863013697</v>
      </c>
      <c r="BP8" s="46">
        <v>12408.95890410959</v>
      </c>
      <c r="BQ8" s="46">
        <v>12445.835616438348</v>
      </c>
      <c r="BR8" s="46">
        <v>12582.849315068495</v>
      </c>
      <c r="BS8" s="46">
        <v>12486.767123287667</v>
      </c>
      <c r="BT8" s="46">
        <v>12379.616438356165</v>
      </c>
      <c r="BU8" s="46">
        <v>12538.410958904105</v>
      </c>
      <c r="BV8" s="46">
        <v>12545.342465753431</v>
      </c>
      <c r="BW8" s="46">
        <v>12428.95890410959</v>
      </c>
      <c r="BX8" s="46">
        <v>12561.369863013702</v>
      </c>
      <c r="BY8" s="46">
        <v>12528.465753424654</v>
      </c>
      <c r="BZ8" s="46">
        <v>12462.246575342466</v>
      </c>
      <c r="CA8" s="46">
        <v>12479.69863013698</v>
      </c>
      <c r="CB8" s="46">
        <v>12455.972602739726</v>
      </c>
      <c r="CC8" s="46">
        <v>12550.164383561647</v>
      </c>
      <c r="CD8" s="46">
        <v>12516.109589041094</v>
      </c>
      <c r="CE8" s="46">
        <v>12478.739726027396</v>
      </c>
      <c r="CF8" s="46">
        <v>12575.04109589041</v>
      </c>
      <c r="CG8" s="46">
        <v>12512.465753424658</v>
      </c>
      <c r="CH8" s="46">
        <v>12261.31506849315</v>
      </c>
      <c r="CI8" s="46">
        <v>12272.136986301375</v>
      </c>
      <c r="CJ8" s="46">
        <v>12479.123287671231</v>
      </c>
      <c r="CK8" s="46">
        <v>12527.397260273974</v>
      </c>
      <c r="CL8" s="46">
        <v>12525.534246575346</v>
      </c>
      <c r="CM8" s="46">
        <v>12426.712328767118</v>
      </c>
      <c r="CN8" s="46">
        <v>12444.71232876712</v>
      </c>
      <c r="CO8" s="46">
        <v>12562.301369863011</v>
      </c>
      <c r="CP8" s="46">
        <v>12534.794520547945</v>
      </c>
      <c r="CQ8" s="46">
        <v>12544.465753424658</v>
      </c>
      <c r="CR8" s="46">
        <v>12469.945205479449</v>
      </c>
      <c r="CS8" s="46">
        <v>12457.863013698634</v>
      </c>
      <c r="CT8" s="46">
        <v>12230.136986301368</v>
      </c>
      <c r="CU8" s="46">
        <v>12610.876712328771</v>
      </c>
      <c r="CV8" s="46">
        <v>12505.506849315068</v>
      </c>
      <c r="CW8" s="46">
        <v>12477.150684931508</v>
      </c>
      <c r="CX8" s="46">
        <v>12592.356164383562</v>
      </c>
      <c r="CY8" s="46">
        <v>12571.671232876717</v>
      </c>
      <c r="CZ8" s="46">
        <v>12501.095890410958</v>
      </c>
      <c r="DA8" s="46">
        <v>12438.794520547946</v>
      </c>
      <c r="DB8" s="46">
        <v>12489.726027397264</v>
      </c>
      <c r="DC8" s="46">
        <v>12466.602739726028</v>
      </c>
      <c r="DD8" s="46">
        <v>12468.630136986301</v>
      </c>
      <c r="DE8" s="46">
        <v>12511.260273972601</v>
      </c>
      <c r="DF8" s="46">
        <v>12567.041095890414</v>
      </c>
      <c r="DG8" s="46">
        <v>12547.315068493146</v>
      </c>
      <c r="DH8" s="46">
        <v>12500.849315068495</v>
      </c>
      <c r="DI8" s="46">
        <v>12450.60273972603</v>
      </c>
      <c r="DJ8" s="46">
        <v>12537.013698630137</v>
      </c>
      <c r="DK8" s="46">
        <v>12448.328767123292</v>
      </c>
      <c r="DL8" s="46">
        <v>12370.493150684928</v>
      </c>
      <c r="DM8" s="48">
        <f t="shared" si="0"/>
        <v>12490.359999999995</v>
      </c>
    </row>
    <row r="9" spans="1:117" x14ac:dyDescent="0.25">
      <c r="A9" s="14"/>
      <c r="B9" s="18" t="s">
        <v>12</v>
      </c>
      <c r="C9" s="42">
        <f>C5/365</f>
        <v>2.7397260273972601E-2</v>
      </c>
      <c r="D9" s="12"/>
      <c r="E9" s="37">
        <v>5</v>
      </c>
      <c r="F9" s="19">
        <f t="shared" ca="1" si="1"/>
        <v>96</v>
      </c>
      <c r="G9" s="19">
        <f t="shared" ca="1" si="2"/>
        <v>605</v>
      </c>
      <c r="H9" s="19">
        <f t="shared" ca="1" si="3"/>
        <v>509</v>
      </c>
      <c r="I9" s="19">
        <f t="shared" ca="1" si="4"/>
        <v>0</v>
      </c>
      <c r="J9" s="19">
        <f t="shared" ca="1" si="5"/>
        <v>0</v>
      </c>
      <c r="K9" s="22">
        <f t="shared" ca="1" si="6"/>
        <v>13.945205479452055</v>
      </c>
      <c r="L9" s="6"/>
      <c r="M9" s="39">
        <v>1200</v>
      </c>
      <c r="N9" s="46">
        <v>12512.136986301373</v>
      </c>
      <c r="O9" s="6"/>
      <c r="P9" s="39">
        <v>1200</v>
      </c>
      <c r="Q9" s="46">
        <v>12452.027397260272</v>
      </c>
      <c r="R9" s="46">
        <v>12385.863013698636</v>
      </c>
      <c r="S9" s="46">
        <v>12314.630136986303</v>
      </c>
      <c r="T9" s="46">
        <v>12298.164383561636</v>
      </c>
      <c r="U9" s="46">
        <v>12309.835616438359</v>
      </c>
      <c r="V9" s="46">
        <v>12503.150684931508</v>
      </c>
      <c r="W9" s="46">
        <v>12444.301369863018</v>
      </c>
      <c r="X9" s="46">
        <v>12404.082191780824</v>
      </c>
      <c r="Y9" s="46">
        <v>12377.589041095896</v>
      </c>
      <c r="Z9" s="46">
        <v>12361.013698630137</v>
      </c>
      <c r="AA9" s="46">
        <v>12496.328767123287</v>
      </c>
      <c r="AB9" s="46">
        <v>12429.095890410958</v>
      </c>
      <c r="AC9" s="46">
        <v>12475.643835616434</v>
      </c>
      <c r="AD9" s="46">
        <v>12398.301369863009</v>
      </c>
      <c r="AE9" s="46">
        <v>12401.123287671233</v>
      </c>
      <c r="AF9" s="46">
        <v>12446.465753424658</v>
      </c>
      <c r="AG9" s="46">
        <v>12438.657534246575</v>
      </c>
      <c r="AH9" s="46">
        <v>12458.301369863013</v>
      </c>
      <c r="AI9" s="46">
        <v>12444.821917808214</v>
      </c>
      <c r="AJ9" s="46">
        <v>12316.712328767127</v>
      </c>
      <c r="AK9" s="46">
        <v>12395.561643835619</v>
      </c>
      <c r="AL9" s="46">
        <v>12372.246575342469</v>
      </c>
      <c r="AM9" s="46">
        <v>12488.98630136986</v>
      </c>
      <c r="AN9" s="46">
        <v>12477.260273972599</v>
      </c>
      <c r="AO9" s="46">
        <v>12474.273972602739</v>
      </c>
      <c r="AP9" s="46">
        <v>12434.465753424658</v>
      </c>
      <c r="AQ9" s="46">
        <v>12401.452054794521</v>
      </c>
      <c r="AR9" s="46">
        <v>12362.602739726026</v>
      </c>
      <c r="AS9" s="46">
        <v>12637.534246575342</v>
      </c>
      <c r="AT9" s="46">
        <v>12335.698630136991</v>
      </c>
      <c r="AU9" s="46">
        <v>12386.821917808218</v>
      </c>
      <c r="AV9" s="46">
        <v>12434.465753424658</v>
      </c>
      <c r="AW9" s="46">
        <v>12343.424657534253</v>
      </c>
      <c r="AX9" s="46">
        <v>12477.178082191782</v>
      </c>
      <c r="AY9" s="46">
        <v>12365.452054794514</v>
      </c>
      <c r="AZ9" s="46">
        <v>12536.684931506847</v>
      </c>
      <c r="BA9" s="46">
        <v>12450.575342465752</v>
      </c>
      <c r="BB9" s="46">
        <v>12356.02739726027</v>
      </c>
      <c r="BC9" s="46">
        <v>12466.876712328769</v>
      </c>
      <c r="BD9" s="46">
        <v>12422.136986301375</v>
      </c>
      <c r="BE9" s="46">
        <v>12432.767123287671</v>
      </c>
      <c r="BF9" s="46">
        <v>12322.958904109586</v>
      </c>
      <c r="BG9" s="46">
        <v>12463.013698630137</v>
      </c>
      <c r="BH9" s="46">
        <v>12413.808219178081</v>
      </c>
      <c r="BI9" s="46">
        <v>12342.328767123288</v>
      </c>
      <c r="BJ9" s="46">
        <v>12415.205479452061</v>
      </c>
      <c r="BK9" s="46">
        <v>12311.698630136983</v>
      </c>
      <c r="BL9" s="46">
        <v>12432.602739726028</v>
      </c>
      <c r="BM9" s="46">
        <v>12311.506849315068</v>
      </c>
      <c r="BN9" s="46">
        <v>12343.945205479446</v>
      </c>
      <c r="BO9" s="46">
        <v>12524.1095890411</v>
      </c>
      <c r="BP9" s="46">
        <v>12451.424657534248</v>
      </c>
      <c r="BQ9" s="46">
        <v>12372.547945205479</v>
      </c>
      <c r="BR9" s="46">
        <v>12443.506849315072</v>
      </c>
      <c r="BS9" s="46">
        <v>12413.506849315065</v>
      </c>
      <c r="BT9" s="46">
        <v>12376.383561643837</v>
      </c>
      <c r="BU9" s="46">
        <v>12400.630136986303</v>
      </c>
      <c r="BV9" s="46">
        <v>12451.945205479449</v>
      </c>
      <c r="BW9" s="46">
        <v>12388.438356164384</v>
      </c>
      <c r="BX9" s="46">
        <v>12406.712328767118</v>
      </c>
      <c r="BY9" s="46">
        <v>12424.082191780821</v>
      </c>
      <c r="BZ9" s="46">
        <v>12413.150684931506</v>
      </c>
      <c r="CA9" s="46">
        <v>12598.082191780824</v>
      </c>
      <c r="CB9" s="46">
        <v>12424.931506849311</v>
      </c>
      <c r="CC9" s="46">
        <v>12388.054794520544</v>
      </c>
      <c r="CD9" s="46">
        <v>12386.410958904113</v>
      </c>
      <c r="CE9" s="46">
        <v>12426.68493150685</v>
      </c>
      <c r="CF9" s="46">
        <v>12372.684931506847</v>
      </c>
      <c r="CG9" s="46">
        <v>12484.876712328765</v>
      </c>
      <c r="CH9" s="46">
        <v>12427.287671232876</v>
      </c>
      <c r="CI9" s="46">
        <v>12318.356164383549</v>
      </c>
      <c r="CJ9" s="46">
        <v>12410.356164383562</v>
      </c>
      <c r="CK9" s="46">
        <v>12460.328767123292</v>
      </c>
      <c r="CL9" s="46">
        <v>12458.958904109584</v>
      </c>
      <c r="CM9" s="46">
        <v>12427.726027397262</v>
      </c>
      <c r="CN9" s="46">
        <v>12412.95890410959</v>
      </c>
      <c r="CO9" s="46">
        <v>12406.630136986307</v>
      </c>
      <c r="CP9" s="46">
        <v>12456.301369863007</v>
      </c>
      <c r="CQ9" s="46">
        <v>12377.616438356166</v>
      </c>
      <c r="CR9" s="46">
        <v>12465.863013698628</v>
      </c>
      <c r="CS9" s="46">
        <v>12373.150684931508</v>
      </c>
      <c r="CT9" s="46">
        <v>12442.849315068497</v>
      </c>
      <c r="CU9" s="46">
        <v>12405.342465753425</v>
      </c>
      <c r="CV9" s="46">
        <v>12487.260273972595</v>
      </c>
      <c r="CW9" s="46">
        <v>12515.369863013697</v>
      </c>
      <c r="CX9" s="46">
        <v>12307.506849315072</v>
      </c>
      <c r="CY9" s="46">
        <v>12498.465753424658</v>
      </c>
      <c r="CZ9" s="46">
        <v>12449.643835616442</v>
      </c>
      <c r="DA9" s="46">
        <v>12458.794520547939</v>
      </c>
      <c r="DB9" s="46">
        <v>12366.575342465754</v>
      </c>
      <c r="DC9" s="46">
        <v>12363.97260273973</v>
      </c>
      <c r="DD9" s="46">
        <v>12426.328767123283</v>
      </c>
      <c r="DE9" s="46">
        <v>12522.32876712329</v>
      </c>
      <c r="DF9" s="46">
        <v>12526.136986301372</v>
      </c>
      <c r="DG9" s="46">
        <v>12328.438356164381</v>
      </c>
      <c r="DH9" s="46">
        <v>12403.28767123288</v>
      </c>
      <c r="DI9" s="46">
        <v>12501.123287671231</v>
      </c>
      <c r="DJ9" s="46">
        <v>12376.164383561643</v>
      </c>
      <c r="DK9" s="46">
        <v>12452.876712328771</v>
      </c>
      <c r="DL9" s="46">
        <v>12376.493150684928</v>
      </c>
      <c r="DM9" s="48">
        <f t="shared" si="0"/>
        <v>12419.183287671225</v>
      </c>
    </row>
    <row r="10" spans="1:117" x14ac:dyDescent="0.25">
      <c r="A10" s="14"/>
      <c r="B10" s="18" t="s">
        <v>13</v>
      </c>
      <c r="C10" s="19">
        <v>1000</v>
      </c>
      <c r="D10" s="23"/>
      <c r="E10" s="37">
        <v>6</v>
      </c>
      <c r="F10" s="19">
        <f t="shared" ca="1" si="1"/>
        <v>96</v>
      </c>
      <c r="G10" s="19">
        <f t="shared" ca="1" si="2"/>
        <v>509</v>
      </c>
      <c r="H10" s="19">
        <f t="shared" ca="1" si="3"/>
        <v>413</v>
      </c>
      <c r="I10" s="19">
        <f t="shared" ca="1" si="4"/>
        <v>0</v>
      </c>
      <c r="J10" s="19">
        <f t="shared" ca="1" si="5"/>
        <v>0</v>
      </c>
      <c r="K10" s="22">
        <f t="shared" ca="1" si="6"/>
        <v>11.315068493150685</v>
      </c>
      <c r="L10" s="6"/>
      <c r="M10" s="39">
        <v>1300</v>
      </c>
      <c r="N10" s="46">
        <v>12347.260273972603</v>
      </c>
      <c r="O10" s="6"/>
      <c r="P10" s="39">
        <v>1300</v>
      </c>
      <c r="Q10" s="46">
        <v>12547.917808219181</v>
      </c>
      <c r="R10" s="46">
        <v>12525.315068493148</v>
      </c>
      <c r="S10" s="46">
        <v>12247.890410958895</v>
      </c>
      <c r="T10" s="46">
        <v>12502.273972602747</v>
      </c>
      <c r="U10" s="46">
        <v>12680.602739726026</v>
      </c>
      <c r="V10" s="46">
        <v>12503.013698630131</v>
      </c>
      <c r="W10" s="46">
        <v>12492.98630136986</v>
      </c>
      <c r="X10" s="46">
        <v>12473.178082191773</v>
      </c>
      <c r="Y10" s="46">
        <v>12509.315068493153</v>
      </c>
      <c r="Z10" s="46">
        <v>12337.068493150691</v>
      </c>
      <c r="AA10" s="46">
        <v>12536.904109589039</v>
      </c>
      <c r="AB10" s="46">
        <v>12337.068493150688</v>
      </c>
      <c r="AC10" s="46">
        <v>12494.684931506852</v>
      </c>
      <c r="AD10" s="46">
        <v>12556.301369863017</v>
      </c>
      <c r="AE10" s="46">
        <v>12530.273972602741</v>
      </c>
      <c r="AF10" s="46">
        <v>12522.000000000005</v>
      </c>
      <c r="AG10" s="46">
        <v>12452.684931506847</v>
      </c>
      <c r="AH10" s="46">
        <v>12223.835616438353</v>
      </c>
      <c r="AI10" s="46">
        <v>12466.438356164392</v>
      </c>
      <c r="AJ10" s="46">
        <v>12549.94520547946</v>
      </c>
      <c r="AK10" s="46">
        <v>12531.780821917811</v>
      </c>
      <c r="AL10" s="46">
        <v>12485.917808219176</v>
      </c>
      <c r="AM10" s="46">
        <v>12489.424657534249</v>
      </c>
      <c r="AN10" s="46">
        <v>12458.383561643832</v>
      </c>
      <c r="AO10" s="46">
        <v>12587.589041095889</v>
      </c>
      <c r="AP10" s="46">
        <v>12462.410958904109</v>
      </c>
      <c r="AQ10" s="46">
        <v>12468.191780821919</v>
      </c>
      <c r="AR10" s="46">
        <v>12293.945205479447</v>
      </c>
      <c r="AS10" s="46">
        <v>12435.506849315068</v>
      </c>
      <c r="AT10" s="46">
        <v>12511.726027397261</v>
      </c>
      <c r="AU10" s="46">
        <v>12583.726027397261</v>
      </c>
      <c r="AV10" s="46">
        <v>12481.671232876715</v>
      </c>
      <c r="AW10" s="46">
        <v>12351.534246575349</v>
      </c>
      <c r="AX10" s="46">
        <v>12513.698630136987</v>
      </c>
      <c r="AY10" s="46">
        <v>12660.630136986307</v>
      </c>
      <c r="AZ10" s="46">
        <v>12479.260273972603</v>
      </c>
      <c r="BA10" s="46">
        <v>12324.712328767124</v>
      </c>
      <c r="BB10" s="46">
        <v>12522.054794520551</v>
      </c>
      <c r="BC10" s="46">
        <v>12519.095890410961</v>
      </c>
      <c r="BD10" s="46">
        <v>12418.794520547939</v>
      </c>
      <c r="BE10" s="46">
        <v>12562.876712328767</v>
      </c>
      <c r="BF10" s="46">
        <v>12494.191780821915</v>
      </c>
      <c r="BG10" s="46">
        <v>12440.712328767124</v>
      </c>
      <c r="BH10" s="46">
        <v>12366.49315068493</v>
      </c>
      <c r="BI10" s="46">
        <v>12521.260273972599</v>
      </c>
      <c r="BJ10" s="46">
        <v>12510.438356164384</v>
      </c>
      <c r="BK10" s="46">
        <v>12616.219178082187</v>
      </c>
      <c r="BL10" s="46">
        <v>12603.64383561644</v>
      </c>
      <c r="BM10" s="46">
        <v>12473.232876712327</v>
      </c>
      <c r="BN10" s="46">
        <v>12517.506849315076</v>
      </c>
      <c r="BO10" s="46">
        <v>12577.232876712333</v>
      </c>
      <c r="BP10" s="46">
        <v>12486.821917808218</v>
      </c>
      <c r="BQ10" s="46">
        <v>12619.06849315068</v>
      </c>
      <c r="BR10" s="46">
        <v>12528.68493150685</v>
      </c>
      <c r="BS10" s="46">
        <v>12445.315068493161</v>
      </c>
      <c r="BT10" s="46">
        <v>12549.808219178083</v>
      </c>
      <c r="BU10" s="46">
        <v>12441.835616438355</v>
      </c>
      <c r="BV10" s="46">
        <v>12402.794520547945</v>
      </c>
      <c r="BW10" s="46">
        <v>12539.013698630137</v>
      </c>
      <c r="BX10" s="46">
        <v>12491.506849315065</v>
      </c>
      <c r="BY10" s="46">
        <v>12625.205479452057</v>
      </c>
      <c r="BZ10" s="46">
        <v>12543.589041095887</v>
      </c>
      <c r="CA10" s="46">
        <v>12575.287671232871</v>
      </c>
      <c r="CB10" s="46">
        <v>12358.1095890411</v>
      </c>
      <c r="CC10" s="46">
        <v>12305.671232876712</v>
      </c>
      <c r="CD10" s="46">
        <v>12537.561643835616</v>
      </c>
      <c r="CE10" s="46">
        <v>12539.232876712333</v>
      </c>
      <c r="CF10" s="46">
        <v>12586.273972602739</v>
      </c>
      <c r="CG10" s="46">
        <v>12596.301369863013</v>
      </c>
      <c r="CH10" s="46">
        <v>12509.643835616436</v>
      </c>
      <c r="CI10" s="46">
        <v>12407.945205479458</v>
      </c>
      <c r="CJ10" s="46">
        <v>12479.726027397264</v>
      </c>
      <c r="CK10" s="46">
        <v>12294.273972602741</v>
      </c>
      <c r="CL10" s="46">
        <v>12584.986301369863</v>
      </c>
      <c r="CM10" s="46">
        <v>12502.32876712329</v>
      </c>
      <c r="CN10" s="46">
        <v>12511.835616438351</v>
      </c>
      <c r="CO10" s="46">
        <v>12451.479452054789</v>
      </c>
      <c r="CP10" s="46">
        <v>12535.397260273974</v>
      </c>
      <c r="CQ10" s="46">
        <v>12517.589041095893</v>
      </c>
      <c r="CR10" s="46">
        <v>12527.780821917806</v>
      </c>
      <c r="CS10" s="46">
        <v>12505.917808219179</v>
      </c>
      <c r="CT10" s="46">
        <v>12628.191780821924</v>
      </c>
      <c r="CU10" s="46">
        <v>12512.493150684928</v>
      </c>
      <c r="CV10" s="46">
        <v>12429.068493150691</v>
      </c>
      <c r="CW10" s="46">
        <v>12465.260273972604</v>
      </c>
      <c r="CX10" s="46">
        <v>12540.575342465749</v>
      </c>
      <c r="CY10" s="46">
        <v>12528.301369863011</v>
      </c>
      <c r="CZ10" s="46">
        <v>12484.383561643837</v>
      </c>
      <c r="DA10" s="46">
        <v>12394.849315068494</v>
      </c>
      <c r="DB10" s="46">
        <v>12433.561643835616</v>
      </c>
      <c r="DC10" s="46">
        <v>12471.205479452057</v>
      </c>
      <c r="DD10" s="46">
        <v>12452.356164383564</v>
      </c>
      <c r="DE10" s="46">
        <v>12609.342465753423</v>
      </c>
      <c r="DF10" s="46">
        <v>12560.13698630137</v>
      </c>
      <c r="DG10" s="46">
        <v>12469.369863013701</v>
      </c>
      <c r="DH10" s="46">
        <v>12535.780821917806</v>
      </c>
      <c r="DI10" s="46">
        <v>12512.356164383564</v>
      </c>
      <c r="DJ10" s="46">
        <v>12415.863013698625</v>
      </c>
      <c r="DK10" s="46">
        <v>12456.849315068494</v>
      </c>
      <c r="DL10" s="46">
        <v>12516.082191780821</v>
      </c>
      <c r="DM10" s="48">
        <f t="shared" si="0"/>
        <v>12491.705753424656</v>
      </c>
    </row>
    <row r="11" spans="1:117" x14ac:dyDescent="0.25">
      <c r="A11" s="14"/>
      <c r="B11" s="12"/>
      <c r="C11" s="19"/>
      <c r="D11" s="15"/>
      <c r="E11" s="37">
        <v>7</v>
      </c>
      <c r="F11" s="19">
        <f t="shared" ca="1" si="1"/>
        <v>98</v>
      </c>
      <c r="G11" s="19">
        <f t="shared" ca="1" si="2"/>
        <v>413</v>
      </c>
      <c r="H11" s="19">
        <f t="shared" ca="1" si="3"/>
        <v>315</v>
      </c>
      <c r="I11" s="19">
        <f t="shared" ca="1" si="4"/>
        <v>0</v>
      </c>
      <c r="J11" s="19">
        <f t="shared" ca="1" si="5"/>
        <v>0</v>
      </c>
      <c r="K11" s="22">
        <f t="shared" ca="1" si="6"/>
        <v>8.6301369863013697</v>
      </c>
      <c r="L11" s="6"/>
      <c r="M11" s="39">
        <v>1400</v>
      </c>
      <c r="N11" s="46">
        <v>12482.986301369867</v>
      </c>
      <c r="O11" s="6"/>
      <c r="P11" s="39">
        <v>1400</v>
      </c>
      <c r="Q11" s="46">
        <v>12630.821917808222</v>
      </c>
      <c r="R11" s="46">
        <v>12592.767123287671</v>
      </c>
      <c r="S11" s="46">
        <v>12445.342465753423</v>
      </c>
      <c r="T11" s="46">
        <v>12606.16438356164</v>
      </c>
      <c r="U11" s="46">
        <v>12560.328767123287</v>
      </c>
      <c r="V11" s="46">
        <v>12699.589041095893</v>
      </c>
      <c r="W11" s="46">
        <v>12585.616438356163</v>
      </c>
      <c r="X11" s="46">
        <v>12632.082191780821</v>
      </c>
      <c r="Y11" s="46">
        <v>12529.424657534244</v>
      </c>
      <c r="Z11" s="46">
        <v>12640.273972602745</v>
      </c>
      <c r="AA11" s="46">
        <v>12669.205479452055</v>
      </c>
      <c r="AB11" s="46">
        <v>12635.369863013697</v>
      </c>
      <c r="AC11" s="46">
        <v>12660.98630136986</v>
      </c>
      <c r="AD11" s="46">
        <v>12658.136986301368</v>
      </c>
      <c r="AE11" s="46">
        <v>12415.095890410958</v>
      </c>
      <c r="AF11" s="46">
        <v>12355.808219178085</v>
      </c>
      <c r="AG11" s="46">
        <v>12646.657534246564</v>
      </c>
      <c r="AH11" s="46">
        <v>12658.136986301372</v>
      </c>
      <c r="AI11" s="46">
        <v>12652.164383561641</v>
      </c>
      <c r="AJ11" s="46">
        <v>12548.931506849316</v>
      </c>
      <c r="AK11" s="46">
        <v>12519.260273972606</v>
      </c>
      <c r="AL11" s="46">
        <v>12674.712328767122</v>
      </c>
      <c r="AM11" s="46">
        <v>12660.958904109597</v>
      </c>
      <c r="AN11" s="46">
        <v>12348.739726027392</v>
      </c>
      <c r="AO11" s="46">
        <v>12630.000000000002</v>
      </c>
      <c r="AP11" s="46">
        <v>12589.945205479453</v>
      </c>
      <c r="AQ11" s="46">
        <v>12636.630136986296</v>
      </c>
      <c r="AR11" s="46">
        <v>12516.410958904107</v>
      </c>
      <c r="AS11" s="46">
        <v>12543.123287671235</v>
      </c>
      <c r="AT11" s="46">
        <v>12676.876712328769</v>
      </c>
      <c r="AU11" s="46">
        <v>12689.369863013701</v>
      </c>
      <c r="AV11" s="46">
        <v>12764.767123287667</v>
      </c>
      <c r="AW11" s="46">
        <v>12640.356164383564</v>
      </c>
      <c r="AX11" s="46">
        <v>12580.73972602739</v>
      </c>
      <c r="AY11" s="46">
        <v>12593.260273972606</v>
      </c>
      <c r="AZ11" s="46">
        <v>12382.356164383556</v>
      </c>
      <c r="BA11" s="46">
        <v>12632.986301369858</v>
      </c>
      <c r="BB11" s="46">
        <v>12672.821917808218</v>
      </c>
      <c r="BC11" s="46">
        <v>12404.876712328773</v>
      </c>
      <c r="BD11" s="46">
        <v>12382.849315068492</v>
      </c>
      <c r="BE11" s="46">
        <v>12575.260273972603</v>
      </c>
      <c r="BF11" s="46">
        <v>12492.520547945209</v>
      </c>
      <c r="BG11" s="46">
        <v>12647.369863013693</v>
      </c>
      <c r="BH11" s="46">
        <v>12604.876712328767</v>
      </c>
      <c r="BI11" s="46">
        <v>12626.986301369863</v>
      </c>
      <c r="BJ11" s="46">
        <v>12672.821917808218</v>
      </c>
      <c r="BK11" s="46">
        <v>12715.424657534251</v>
      </c>
      <c r="BL11" s="46">
        <v>12407.78082191781</v>
      </c>
      <c r="BM11" s="46">
        <v>12454.493150684933</v>
      </c>
      <c r="BN11" s="46">
        <v>12596.32876712329</v>
      </c>
      <c r="BO11" s="46">
        <v>12654.794520547948</v>
      </c>
      <c r="BP11" s="46">
        <v>12654.410958904115</v>
      </c>
      <c r="BQ11" s="46">
        <v>12669.506849315076</v>
      </c>
      <c r="BR11" s="46">
        <v>12597.561643835619</v>
      </c>
      <c r="BS11" s="46">
        <v>12602.849315068495</v>
      </c>
      <c r="BT11" s="46">
        <v>12397.068493150691</v>
      </c>
      <c r="BU11" s="46">
        <v>12446.90410958905</v>
      </c>
      <c r="BV11" s="46">
        <v>12694.986301369861</v>
      </c>
      <c r="BW11" s="46">
        <v>12584.904109589044</v>
      </c>
      <c r="BX11" s="46">
        <v>12646.849315068488</v>
      </c>
      <c r="BY11" s="46">
        <v>12530.520547945209</v>
      </c>
      <c r="BZ11" s="46">
        <v>12657.753424657538</v>
      </c>
      <c r="CA11" s="46">
        <v>12413.095890410956</v>
      </c>
      <c r="CB11" s="46">
        <v>12638.191780821922</v>
      </c>
      <c r="CC11" s="46">
        <v>12437.561643835617</v>
      </c>
      <c r="CD11" s="46">
        <v>12579.999999999996</v>
      </c>
      <c r="CE11" s="46">
        <v>12641.260273972599</v>
      </c>
      <c r="CF11" s="46">
        <v>12597.945205479449</v>
      </c>
      <c r="CG11" s="46">
        <v>12666.410958904107</v>
      </c>
      <c r="CH11" s="46">
        <v>12643.561643835619</v>
      </c>
      <c r="CI11" s="46">
        <v>12289.452054794523</v>
      </c>
      <c r="CJ11" s="46">
        <v>12568.438356164384</v>
      </c>
      <c r="CK11" s="46">
        <v>12268.931506849312</v>
      </c>
      <c r="CL11" s="46">
        <v>12444.739726027396</v>
      </c>
      <c r="CM11" s="46">
        <v>12568.958904109586</v>
      </c>
      <c r="CN11" s="46">
        <v>12411.232876712325</v>
      </c>
      <c r="CO11" s="46">
        <v>12646.68493150685</v>
      </c>
      <c r="CP11" s="46">
        <v>12301.753424657534</v>
      </c>
      <c r="CQ11" s="46">
        <v>12650.082191780817</v>
      </c>
      <c r="CR11" s="46">
        <v>12623.890410958902</v>
      </c>
      <c r="CS11" s="46">
        <v>12566.876712328762</v>
      </c>
      <c r="CT11" s="46">
        <v>12428.602739726026</v>
      </c>
      <c r="CU11" s="46">
        <v>12478.438356164381</v>
      </c>
      <c r="CV11" s="46">
        <v>12602.575342465752</v>
      </c>
      <c r="CW11" s="46">
        <v>12470.19178082192</v>
      </c>
      <c r="CX11" s="46">
        <v>12671.726027397253</v>
      </c>
      <c r="CY11" s="46">
        <v>12404.136986301373</v>
      </c>
      <c r="CZ11" s="46">
        <v>12498.958904109593</v>
      </c>
      <c r="DA11" s="46">
        <v>12406.876712328765</v>
      </c>
      <c r="DB11" s="46">
        <v>12504.65753424658</v>
      </c>
      <c r="DC11" s="46">
        <v>12639.205479452054</v>
      </c>
      <c r="DD11" s="46">
        <v>12481.671232876717</v>
      </c>
      <c r="DE11" s="46">
        <v>12644.136986301364</v>
      </c>
      <c r="DF11" s="46">
        <v>12594.465753424654</v>
      </c>
      <c r="DG11" s="46">
        <v>12694.712328767124</v>
      </c>
      <c r="DH11" s="46">
        <v>12333.150684931508</v>
      </c>
      <c r="DI11" s="46">
        <v>12585.369863013695</v>
      </c>
      <c r="DJ11" s="46">
        <v>12707.643835616436</v>
      </c>
      <c r="DK11" s="46">
        <v>12531.97260273973</v>
      </c>
      <c r="DL11" s="46">
        <v>12441.863013698628</v>
      </c>
      <c r="DM11" s="48">
        <f t="shared" si="0"/>
        <v>12563.753424657534</v>
      </c>
    </row>
    <row r="12" spans="1:117" x14ac:dyDescent="0.25">
      <c r="A12" s="14"/>
      <c r="B12" s="18" t="s">
        <v>1</v>
      </c>
      <c r="C12" s="43">
        <f ca="1">J1</f>
        <v>7400</v>
      </c>
      <c r="D12" s="15"/>
      <c r="E12" s="37">
        <v>8</v>
      </c>
      <c r="F12" s="19">
        <f t="shared" ca="1" si="1"/>
        <v>85</v>
      </c>
      <c r="G12" s="19">
        <f t="shared" ca="1" si="2"/>
        <v>315</v>
      </c>
      <c r="H12" s="19">
        <f t="shared" ca="1" si="3"/>
        <v>230</v>
      </c>
      <c r="I12" s="19">
        <f t="shared" ca="1" si="4"/>
        <v>0</v>
      </c>
      <c r="J12" s="19">
        <f t="shared" ca="1" si="5"/>
        <v>0</v>
      </c>
      <c r="K12" s="22">
        <f t="shared" ca="1" si="6"/>
        <v>6.3013698630136981</v>
      </c>
      <c r="L12" s="6"/>
      <c r="M12" s="39">
        <v>1500</v>
      </c>
      <c r="N12" s="46">
        <v>12774.712328767131</v>
      </c>
      <c r="O12" s="6"/>
      <c r="P12" s="39">
        <v>1500</v>
      </c>
      <c r="Q12" s="46">
        <v>12853.424657534244</v>
      </c>
      <c r="R12" s="46">
        <v>12779.013698630133</v>
      </c>
      <c r="S12" s="46">
        <v>12791.726027397264</v>
      </c>
      <c r="T12" s="46">
        <v>12609.123287671235</v>
      </c>
      <c r="U12" s="46">
        <v>12783.643835616436</v>
      </c>
      <c r="V12" s="46">
        <v>12858.273972602734</v>
      </c>
      <c r="W12" s="46">
        <v>12662.000000000002</v>
      </c>
      <c r="X12" s="46">
        <v>12724.356164383556</v>
      </c>
      <c r="Y12" s="46">
        <v>12769.287671232876</v>
      </c>
      <c r="Z12" s="46">
        <v>12745.64383561644</v>
      </c>
      <c r="AA12" s="46">
        <v>12710.109589041094</v>
      </c>
      <c r="AB12" s="46">
        <v>12860.493150684935</v>
      </c>
      <c r="AC12" s="46">
        <v>12779.452054794518</v>
      </c>
      <c r="AD12" s="46">
        <v>12759.397260273972</v>
      </c>
      <c r="AE12" s="46">
        <v>12743.917808219179</v>
      </c>
      <c r="AF12" s="46">
        <v>12680.575342465752</v>
      </c>
      <c r="AG12" s="46">
        <v>12838.164383561643</v>
      </c>
      <c r="AH12" s="46">
        <v>12721.616438356163</v>
      </c>
      <c r="AI12" s="46">
        <v>12864.383561643837</v>
      </c>
      <c r="AJ12" s="46">
        <v>12866.136986301368</v>
      </c>
      <c r="AK12" s="46">
        <v>12733.589041095889</v>
      </c>
      <c r="AL12" s="46">
        <v>12692.630136986303</v>
      </c>
      <c r="AM12" s="46">
        <v>12753.342465753423</v>
      </c>
      <c r="AN12" s="46">
        <v>12830.136986301372</v>
      </c>
      <c r="AO12" s="46">
        <v>12832.246575342462</v>
      </c>
      <c r="AP12" s="46">
        <v>12639.890410958904</v>
      </c>
      <c r="AQ12" s="46">
        <v>12632.602739726033</v>
      </c>
      <c r="AR12" s="46">
        <v>12733.835616438351</v>
      </c>
      <c r="AS12" s="46">
        <v>12758.986301369863</v>
      </c>
      <c r="AT12" s="46">
        <v>12622.301369863009</v>
      </c>
      <c r="AU12" s="46">
        <v>12667.753424657534</v>
      </c>
      <c r="AV12" s="46">
        <v>12782.767123287675</v>
      </c>
      <c r="AW12" s="46">
        <v>12675.452054794518</v>
      </c>
      <c r="AX12" s="46">
        <v>12817.287671232878</v>
      </c>
      <c r="AY12" s="46">
        <v>12760.136986301364</v>
      </c>
      <c r="AZ12" s="46">
        <v>12690.849315068492</v>
      </c>
      <c r="BA12" s="46">
        <v>12649.917808219176</v>
      </c>
      <c r="BB12" s="46">
        <v>12612.958904109588</v>
      </c>
      <c r="BC12" s="46">
        <v>12731.780821917804</v>
      </c>
      <c r="BD12" s="46">
        <v>12679.095890410961</v>
      </c>
      <c r="BE12" s="46">
        <v>12841.917808219172</v>
      </c>
      <c r="BF12" s="46">
        <v>12696.767123287664</v>
      </c>
      <c r="BG12" s="46">
        <v>12784.794520547948</v>
      </c>
      <c r="BH12" s="46">
        <v>12846.931506849318</v>
      </c>
      <c r="BI12" s="46">
        <v>12692.41095890412</v>
      </c>
      <c r="BJ12" s="46">
        <v>12722.164383561647</v>
      </c>
      <c r="BK12" s="46">
        <v>12784.931506849309</v>
      </c>
      <c r="BL12" s="46">
        <v>12758.191780821919</v>
      </c>
      <c r="BM12" s="46">
        <v>12697.369863013693</v>
      </c>
      <c r="BN12" s="46">
        <v>12668.79452054795</v>
      </c>
      <c r="BO12" s="46">
        <v>12798.630136986303</v>
      </c>
      <c r="BP12" s="46">
        <v>12731.095890410959</v>
      </c>
      <c r="BQ12" s="46">
        <v>12776.164383561649</v>
      </c>
      <c r="BR12" s="46">
        <v>12684.136986301372</v>
      </c>
      <c r="BS12" s="46">
        <v>12762.410958904111</v>
      </c>
      <c r="BT12" s="46">
        <v>12677.945205479453</v>
      </c>
      <c r="BU12" s="46">
        <v>12712.849315068499</v>
      </c>
      <c r="BV12" s="46">
        <v>12819.369863013697</v>
      </c>
      <c r="BW12" s="46">
        <v>12726.767123287675</v>
      </c>
      <c r="BX12" s="46">
        <v>12763.616438356166</v>
      </c>
      <c r="BY12" s="46">
        <v>12761.123287671231</v>
      </c>
      <c r="BZ12" s="46">
        <v>12754.13698630137</v>
      </c>
      <c r="CA12" s="46">
        <v>12820.493150684933</v>
      </c>
      <c r="CB12" s="46">
        <v>12715.452054794519</v>
      </c>
      <c r="CC12" s="46">
        <v>12778.136986301368</v>
      </c>
      <c r="CD12" s="46">
        <v>12637.616438356168</v>
      </c>
      <c r="CE12" s="46">
        <v>12681.999999999996</v>
      </c>
      <c r="CF12" s="46">
        <v>12732.191780821915</v>
      </c>
      <c r="CG12" s="46">
        <v>12650.712328767124</v>
      </c>
      <c r="CH12" s="46">
        <v>12783.945205479449</v>
      </c>
      <c r="CI12" s="46">
        <v>12765.561643835612</v>
      </c>
      <c r="CJ12" s="46">
        <v>12735.863013698632</v>
      </c>
      <c r="CK12" s="46">
        <v>12862.027397260284</v>
      </c>
      <c r="CL12" s="46">
        <v>12661.452054794514</v>
      </c>
      <c r="CM12" s="46">
        <v>12677.534246575342</v>
      </c>
      <c r="CN12" s="46">
        <v>12635.232876712327</v>
      </c>
      <c r="CO12" s="46">
        <v>12676.602739726031</v>
      </c>
      <c r="CP12" s="46">
        <v>12751.780821917808</v>
      </c>
      <c r="CQ12" s="46">
        <v>12729.232876712334</v>
      </c>
      <c r="CR12" s="46">
        <v>12777.068493150684</v>
      </c>
      <c r="CS12" s="46">
        <v>12729.479452054795</v>
      </c>
      <c r="CT12" s="46">
        <v>12618.931506849309</v>
      </c>
      <c r="CU12" s="46">
        <v>12664.027397260277</v>
      </c>
      <c r="CV12" s="46">
        <v>12702.493150684933</v>
      </c>
      <c r="CW12" s="46">
        <v>12696.164383561643</v>
      </c>
      <c r="CX12" s="46">
        <v>12737.561643835619</v>
      </c>
      <c r="CY12" s="46">
        <v>12739.753424657534</v>
      </c>
      <c r="CZ12" s="46">
        <v>12704.767123287671</v>
      </c>
      <c r="DA12" s="46">
        <v>12801.123287671233</v>
      </c>
      <c r="DB12" s="46">
        <v>12780.328767123285</v>
      </c>
      <c r="DC12" s="46">
        <v>12643.287671232882</v>
      </c>
      <c r="DD12" s="46">
        <v>12803.150684931505</v>
      </c>
      <c r="DE12" s="46">
        <v>12768.43835616439</v>
      </c>
      <c r="DF12" s="46">
        <v>12921.260273972606</v>
      </c>
      <c r="DG12" s="46">
        <v>12693.616438356161</v>
      </c>
      <c r="DH12" s="46">
        <v>12838.876712328769</v>
      </c>
      <c r="DI12" s="46">
        <v>12712.794520547945</v>
      </c>
      <c r="DJ12" s="46">
        <v>12769.808219178085</v>
      </c>
      <c r="DK12" s="46">
        <v>12791.424657534246</v>
      </c>
      <c r="DL12" s="46">
        <v>12759.041095890416</v>
      </c>
      <c r="DM12" s="48">
        <f t="shared" si="0"/>
        <v>12741.100547945209</v>
      </c>
    </row>
    <row r="13" spans="1:117" x14ac:dyDescent="0.25">
      <c r="A13" s="14"/>
      <c r="B13" s="18" t="s">
        <v>14</v>
      </c>
      <c r="C13" s="44">
        <f ca="1">K1</f>
        <v>5199.7808219178114</v>
      </c>
      <c r="D13" s="15"/>
      <c r="E13" s="37">
        <v>9</v>
      </c>
      <c r="F13" s="19">
        <f t="shared" ca="1" si="1"/>
        <v>113</v>
      </c>
      <c r="G13" s="19">
        <f t="shared" ca="1" si="2"/>
        <v>230</v>
      </c>
      <c r="H13" s="19">
        <f t="shared" ca="1" si="3"/>
        <v>117</v>
      </c>
      <c r="I13" s="19">
        <f t="shared" ca="1" si="4"/>
        <v>1</v>
      </c>
      <c r="J13" s="19">
        <f t="shared" ca="1" si="5"/>
        <v>200</v>
      </c>
      <c r="K13" s="22">
        <f t="shared" ca="1" si="6"/>
        <v>3.2054794520547945</v>
      </c>
      <c r="L13" s="12"/>
      <c r="M13" s="39">
        <v>1600</v>
      </c>
      <c r="N13" s="46">
        <v>13065.205479452057</v>
      </c>
      <c r="O13" s="6"/>
      <c r="P13" s="39">
        <v>1600</v>
      </c>
      <c r="Q13" s="46">
        <v>12919.917808219174</v>
      </c>
      <c r="R13" s="46">
        <v>12946.1095890411</v>
      </c>
      <c r="S13" s="46">
        <v>12994.60273972603</v>
      </c>
      <c r="T13" s="46">
        <v>12860.082191780821</v>
      </c>
      <c r="U13" s="46">
        <v>12744.465753424658</v>
      </c>
      <c r="V13" s="46">
        <v>12800.575342465756</v>
      </c>
      <c r="W13" s="46">
        <v>12990.986301369863</v>
      </c>
      <c r="X13" s="46">
        <v>12924.054794520545</v>
      </c>
      <c r="Y13" s="46">
        <v>12923.534246575344</v>
      </c>
      <c r="Z13" s="46">
        <v>12789.698630136983</v>
      </c>
      <c r="AA13" s="46">
        <v>12739.260273972604</v>
      </c>
      <c r="AB13" s="46">
        <v>12790.109589041094</v>
      </c>
      <c r="AC13" s="46">
        <v>12884.219178082192</v>
      </c>
      <c r="AD13" s="46">
        <v>12845.095890410956</v>
      </c>
      <c r="AE13" s="46">
        <v>12933.095890410961</v>
      </c>
      <c r="AF13" s="46">
        <v>12784.767123287673</v>
      </c>
      <c r="AG13" s="46">
        <v>12980.520547945212</v>
      </c>
      <c r="AH13" s="46">
        <v>12988.082191780817</v>
      </c>
      <c r="AI13" s="46">
        <v>12871.616438356163</v>
      </c>
      <c r="AJ13" s="46">
        <v>12978.821917808216</v>
      </c>
      <c r="AK13" s="46">
        <v>12890.575342465747</v>
      </c>
      <c r="AL13" s="46">
        <v>12920.082191780817</v>
      </c>
      <c r="AM13" s="46">
        <v>12827.808219178083</v>
      </c>
      <c r="AN13" s="46">
        <v>13081.53424657534</v>
      </c>
      <c r="AO13" s="46">
        <v>12983.780821917804</v>
      </c>
      <c r="AP13" s="46">
        <v>12995.178082191778</v>
      </c>
      <c r="AQ13" s="46">
        <v>12981.287671232876</v>
      </c>
      <c r="AR13" s="46">
        <v>12783.041095890412</v>
      </c>
      <c r="AS13" s="46">
        <v>12955.123287671235</v>
      </c>
      <c r="AT13" s="46">
        <v>12955.67123287671</v>
      </c>
      <c r="AU13" s="46">
        <v>12816.821917808216</v>
      </c>
      <c r="AV13" s="46">
        <v>12734.904109589046</v>
      </c>
      <c r="AW13" s="46">
        <v>12875.83561643836</v>
      </c>
      <c r="AX13" s="46">
        <v>12959.479452054795</v>
      </c>
      <c r="AY13" s="46">
        <v>12815.42465753424</v>
      </c>
      <c r="AZ13" s="46">
        <v>12756.410958904111</v>
      </c>
      <c r="BA13" s="46">
        <v>12686.739726027399</v>
      </c>
      <c r="BB13" s="46">
        <v>12806.383561643839</v>
      </c>
      <c r="BC13" s="46">
        <v>12900.465753424656</v>
      </c>
      <c r="BD13" s="46">
        <v>12736</v>
      </c>
      <c r="BE13" s="46">
        <v>12869.890410958898</v>
      </c>
      <c r="BF13" s="46">
        <v>12818.465753424662</v>
      </c>
      <c r="BG13" s="46">
        <v>12968.547945205479</v>
      </c>
      <c r="BH13" s="46">
        <v>12883.095890410959</v>
      </c>
      <c r="BI13" s="46">
        <v>12933.041095890409</v>
      </c>
      <c r="BJ13" s="46">
        <v>12949.917808219176</v>
      </c>
      <c r="BK13" s="46">
        <v>12809.123287671231</v>
      </c>
      <c r="BL13" s="46">
        <v>12699.506849315068</v>
      </c>
      <c r="BM13" s="46">
        <v>13011.095890410956</v>
      </c>
      <c r="BN13" s="46">
        <v>12899.178082191784</v>
      </c>
      <c r="BO13" s="46">
        <v>13042.438356164383</v>
      </c>
      <c r="BP13" s="46">
        <v>13010.493150684924</v>
      </c>
      <c r="BQ13" s="46">
        <v>12725.205479452059</v>
      </c>
      <c r="BR13" s="46">
        <v>12929.83561643836</v>
      </c>
      <c r="BS13" s="46">
        <v>12714.082191780817</v>
      </c>
      <c r="BT13" s="46">
        <v>12687.424657534249</v>
      </c>
      <c r="BU13" s="46">
        <v>12774.191780821911</v>
      </c>
      <c r="BV13" s="46">
        <v>12887.232876712329</v>
      </c>
      <c r="BW13" s="46">
        <v>12720.136986301361</v>
      </c>
      <c r="BX13" s="46">
        <v>12883.260273972601</v>
      </c>
      <c r="BY13" s="46">
        <v>12866.082191780821</v>
      </c>
      <c r="BZ13" s="46">
        <v>13041.287671232885</v>
      </c>
      <c r="CA13" s="46">
        <v>12682.246575342464</v>
      </c>
      <c r="CB13" s="46">
        <v>12826.383561643834</v>
      </c>
      <c r="CC13" s="46">
        <v>12756.246575342462</v>
      </c>
      <c r="CD13" s="46">
        <v>12880.027397260275</v>
      </c>
      <c r="CE13" s="46">
        <v>12903.945205479449</v>
      </c>
      <c r="CF13" s="46">
        <v>12953.808219178078</v>
      </c>
      <c r="CG13" s="46">
        <v>12825.479452054798</v>
      </c>
      <c r="CH13" s="46">
        <v>12782.821917808224</v>
      </c>
      <c r="CI13" s="46">
        <v>12882.602739726026</v>
      </c>
      <c r="CJ13" s="46">
        <v>12919.095890410956</v>
      </c>
      <c r="CK13" s="46">
        <v>12734.794520547943</v>
      </c>
      <c r="CL13" s="46">
        <v>12838.958904109595</v>
      </c>
      <c r="CM13" s="46">
        <v>12716.438356164384</v>
      </c>
      <c r="CN13" s="46">
        <v>12945.561643835616</v>
      </c>
      <c r="CO13" s="46">
        <v>12936.739726027392</v>
      </c>
      <c r="CP13" s="46">
        <v>13040.958904109584</v>
      </c>
      <c r="CQ13" s="46">
        <v>13000.657534246575</v>
      </c>
      <c r="CR13" s="46">
        <v>12992.602739726028</v>
      </c>
      <c r="CS13" s="46">
        <v>12864.301369863015</v>
      </c>
      <c r="CT13" s="46">
        <v>12885.178082191782</v>
      </c>
      <c r="CU13" s="46">
        <v>13042.383561643828</v>
      </c>
      <c r="CV13" s="46">
        <v>12808.164383561643</v>
      </c>
      <c r="CW13" s="46">
        <v>13007.999999999991</v>
      </c>
      <c r="CX13" s="46">
        <v>13005.534246575335</v>
      </c>
      <c r="CY13" s="46">
        <v>13032.684931506852</v>
      </c>
      <c r="CZ13" s="46">
        <v>12830.054794520554</v>
      </c>
      <c r="DA13" s="46">
        <v>12832.68493150685</v>
      </c>
      <c r="DB13" s="46">
        <v>12692.904109589039</v>
      </c>
      <c r="DC13" s="46">
        <v>12751.123287671233</v>
      </c>
      <c r="DD13" s="46">
        <v>13003.39726027397</v>
      </c>
      <c r="DE13" s="46">
        <v>12876.109589041092</v>
      </c>
      <c r="DF13" s="46">
        <v>12888.109589041091</v>
      </c>
      <c r="DG13" s="46">
        <v>12833.369863013702</v>
      </c>
      <c r="DH13" s="46">
        <v>12952.520547945205</v>
      </c>
      <c r="DI13" s="46">
        <v>12816.082191780823</v>
      </c>
      <c r="DJ13" s="46">
        <v>12940.273972602739</v>
      </c>
      <c r="DK13" s="46">
        <v>12774.767123287676</v>
      </c>
      <c r="DL13" s="46">
        <v>12977.671232876708</v>
      </c>
      <c r="DM13" s="48">
        <f t="shared" si="0"/>
        <v>12877.103835616437</v>
      </c>
    </row>
    <row r="14" spans="1:117" x14ac:dyDescent="0.25">
      <c r="A14" s="14"/>
      <c r="B14" s="18" t="s">
        <v>15</v>
      </c>
      <c r="C14" s="50">
        <f ca="1">C12+C13</f>
        <v>12599.780821917811</v>
      </c>
      <c r="D14" s="15"/>
      <c r="E14" s="38">
        <v>10</v>
      </c>
      <c r="F14" s="19">
        <f t="shared" ca="1" si="1"/>
        <v>80</v>
      </c>
      <c r="G14" s="19">
        <f t="shared" ca="1" si="2"/>
        <v>1117</v>
      </c>
      <c r="H14" s="19">
        <f t="shared" ca="1" si="3"/>
        <v>1037</v>
      </c>
      <c r="I14" s="19">
        <f t="shared" ca="1" si="4"/>
        <v>0</v>
      </c>
      <c r="J14" s="19">
        <f t="shared" ca="1" si="5"/>
        <v>0</v>
      </c>
      <c r="K14" s="22">
        <f t="shared" ca="1" si="6"/>
        <v>28.410958904109588</v>
      </c>
      <c r="L14" s="6"/>
      <c r="M14" s="24"/>
      <c r="N14" s="24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</row>
    <row r="15" spans="1:117" x14ac:dyDescent="0.25">
      <c r="B15" s="12"/>
      <c r="C15" s="12"/>
      <c r="D15" s="6"/>
      <c r="E15" s="38">
        <v>11</v>
      </c>
      <c r="F15" s="19">
        <f t="shared" ca="1" si="1"/>
        <v>91</v>
      </c>
      <c r="G15" s="19">
        <f t="shared" ca="1" si="2"/>
        <v>1037</v>
      </c>
      <c r="H15" s="19">
        <f t="shared" ca="1" si="3"/>
        <v>946</v>
      </c>
      <c r="I15" s="19">
        <f t="shared" ca="1" si="4"/>
        <v>0</v>
      </c>
      <c r="J15" s="19">
        <f t="shared" ca="1" si="5"/>
        <v>0</v>
      </c>
      <c r="K15" s="22">
        <f t="shared" ca="1" si="6"/>
        <v>25.917808219178081</v>
      </c>
      <c r="L15" s="6"/>
      <c r="M15" s="25" t="s">
        <v>22</v>
      </c>
      <c r="N15" s="24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</row>
    <row r="16" spans="1:117" s="26" customFormat="1" x14ac:dyDescent="0.25">
      <c r="B16" s="12" t="s">
        <v>20</v>
      </c>
      <c r="C16" s="12"/>
      <c r="D16" s="12"/>
      <c r="E16" s="38">
        <v>12</v>
      </c>
      <c r="F16" s="19">
        <f t="shared" ca="1" si="1"/>
        <v>107</v>
      </c>
      <c r="G16" s="19">
        <f t="shared" ca="1" si="2"/>
        <v>946</v>
      </c>
      <c r="H16" s="19">
        <f t="shared" ca="1" si="3"/>
        <v>839</v>
      </c>
      <c r="I16" s="19">
        <f t="shared" ca="1" si="4"/>
        <v>0</v>
      </c>
      <c r="J16" s="19">
        <f t="shared" ca="1" si="5"/>
        <v>0</v>
      </c>
      <c r="K16" s="22">
        <f t="shared" ca="1" si="6"/>
        <v>22.986301369863014</v>
      </c>
      <c r="L16" s="6"/>
      <c r="M16" s="47">
        <f>$C$18</f>
        <v>1300</v>
      </c>
      <c r="N16" s="47">
        <v>11000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</row>
    <row r="17" spans="2:117" s="28" customFormat="1" x14ac:dyDescent="0.3">
      <c r="B17" s="18" t="s">
        <v>9</v>
      </c>
      <c r="C17" s="50">
        <f>MIN(N3:N13)</f>
        <v>12347.260273972603</v>
      </c>
      <c r="D17" s="27"/>
      <c r="E17" s="38">
        <v>13</v>
      </c>
      <c r="F17" s="19">
        <f t="shared" ca="1" si="1"/>
        <v>92</v>
      </c>
      <c r="G17" s="19">
        <f t="shared" ca="1" si="2"/>
        <v>839</v>
      </c>
      <c r="H17" s="19">
        <f t="shared" ca="1" si="3"/>
        <v>747</v>
      </c>
      <c r="I17" s="19">
        <f t="shared" ca="1" si="4"/>
        <v>0</v>
      </c>
      <c r="J17" s="19">
        <f t="shared" ca="1" si="5"/>
        <v>0</v>
      </c>
      <c r="K17" s="22">
        <f t="shared" ca="1" si="6"/>
        <v>20.465753424657532</v>
      </c>
      <c r="L17" s="6"/>
      <c r="M17" s="47">
        <f>M16</f>
        <v>1300</v>
      </c>
      <c r="N17" s="47">
        <f>C17</f>
        <v>12347.260273972603</v>
      </c>
      <c r="O17" s="6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</row>
    <row r="18" spans="2:117" s="28" customFormat="1" x14ac:dyDescent="0.3">
      <c r="B18" s="18" t="s">
        <v>16</v>
      </c>
      <c r="C18" s="50">
        <f>INDEX(M3:M13,MATCH(C17,N3:N13,0))</f>
        <v>1300</v>
      </c>
      <c r="D18" s="27"/>
      <c r="E18" s="38">
        <v>14</v>
      </c>
      <c r="F18" s="19">
        <f t="shared" ca="1" si="1"/>
        <v>96</v>
      </c>
      <c r="G18" s="19">
        <f t="shared" ca="1" si="2"/>
        <v>747</v>
      </c>
      <c r="H18" s="19">
        <f t="shared" ca="1" si="3"/>
        <v>651</v>
      </c>
      <c r="I18" s="19">
        <f t="shared" ca="1" si="4"/>
        <v>0</v>
      </c>
      <c r="J18" s="19">
        <f t="shared" ca="1" si="5"/>
        <v>0</v>
      </c>
      <c r="K18" s="22">
        <f t="shared" ca="1" si="6"/>
        <v>17.835616438356162</v>
      </c>
      <c r="L18" s="6"/>
      <c r="M18" s="47">
        <f>M17</f>
        <v>1300</v>
      </c>
      <c r="N18" s="47">
        <v>16000</v>
      </c>
      <c r="O18" s="6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</row>
    <row r="19" spans="2:117" s="28" customFormat="1" x14ac:dyDescent="0.3">
      <c r="B19" s="24"/>
      <c r="C19" s="12"/>
      <c r="D19" s="27"/>
      <c r="E19" s="38">
        <v>15</v>
      </c>
      <c r="F19" s="19">
        <f t="shared" ca="1" si="1"/>
        <v>91</v>
      </c>
      <c r="G19" s="19">
        <f t="shared" ca="1" si="2"/>
        <v>651</v>
      </c>
      <c r="H19" s="19">
        <f t="shared" ca="1" si="3"/>
        <v>560</v>
      </c>
      <c r="I19" s="19">
        <f t="shared" ca="1" si="4"/>
        <v>0</v>
      </c>
      <c r="J19" s="19">
        <f t="shared" ca="1" si="5"/>
        <v>0</v>
      </c>
      <c r="K19" s="22">
        <f t="shared" ca="1" si="6"/>
        <v>15.342465753424657</v>
      </c>
      <c r="L19" s="6"/>
      <c r="M19" s="24"/>
      <c r="N19" s="24"/>
      <c r="O19" s="6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</row>
    <row r="20" spans="2:117" s="28" customFormat="1" x14ac:dyDescent="0.3">
      <c r="B20" s="12" t="s">
        <v>21</v>
      </c>
      <c r="C20" s="12"/>
      <c r="D20" s="6"/>
      <c r="E20" s="38">
        <v>16</v>
      </c>
      <c r="F20" s="19">
        <f t="shared" ca="1" si="1"/>
        <v>111</v>
      </c>
      <c r="G20" s="19">
        <f t="shared" ca="1" si="2"/>
        <v>560</v>
      </c>
      <c r="H20" s="19">
        <f t="shared" ca="1" si="3"/>
        <v>449</v>
      </c>
      <c r="I20" s="19">
        <f t="shared" ca="1" si="4"/>
        <v>0</v>
      </c>
      <c r="J20" s="19">
        <f t="shared" ca="1" si="5"/>
        <v>0</v>
      </c>
      <c r="K20" s="22">
        <f t="shared" ca="1" si="6"/>
        <v>12.301369863013697</v>
      </c>
      <c r="L20" s="6"/>
      <c r="M20" s="25" t="s">
        <v>23</v>
      </c>
      <c r="N20" s="24"/>
      <c r="O20" s="27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</row>
    <row r="21" spans="2:117" s="28" customFormat="1" x14ac:dyDescent="0.3">
      <c r="B21" s="18" t="s">
        <v>9</v>
      </c>
      <c r="C21" s="50">
        <f>MIN(DM7:DM17)</f>
        <v>12419.183287671225</v>
      </c>
      <c r="D21" s="6"/>
      <c r="E21" s="38">
        <v>17</v>
      </c>
      <c r="F21" s="19">
        <f t="shared" ca="1" si="1"/>
        <v>83</v>
      </c>
      <c r="G21" s="19">
        <f t="shared" ca="1" si="2"/>
        <v>449</v>
      </c>
      <c r="H21" s="19">
        <f t="shared" ca="1" si="3"/>
        <v>366</v>
      </c>
      <c r="I21" s="19">
        <f t="shared" ca="1" si="4"/>
        <v>0</v>
      </c>
      <c r="J21" s="19">
        <f t="shared" ca="1" si="5"/>
        <v>0</v>
      </c>
      <c r="K21" s="22">
        <f t="shared" ca="1" si="6"/>
        <v>10.027397260273972</v>
      </c>
      <c r="L21" s="6"/>
      <c r="M21" s="47">
        <f>$C$22</f>
        <v>1200</v>
      </c>
      <c r="N21" s="47">
        <v>11000</v>
      </c>
      <c r="O21" s="27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</row>
    <row r="22" spans="2:117" s="28" customFormat="1" x14ac:dyDescent="0.3">
      <c r="B22" s="18" t="s">
        <v>16</v>
      </c>
      <c r="C22" s="50">
        <f>INDEX(P3:P13,MATCH(C21,DM3:DM13,0))</f>
        <v>1200</v>
      </c>
      <c r="D22" s="6"/>
      <c r="E22" s="37">
        <v>18</v>
      </c>
      <c r="F22" s="19">
        <f t="shared" ca="1" si="1"/>
        <v>115</v>
      </c>
      <c r="G22" s="19">
        <f t="shared" ca="1" si="2"/>
        <v>366</v>
      </c>
      <c r="H22" s="19">
        <f t="shared" ca="1" si="3"/>
        <v>251</v>
      </c>
      <c r="I22" s="19">
        <f t="shared" ca="1" si="4"/>
        <v>0</v>
      </c>
      <c r="J22" s="19">
        <f t="shared" ca="1" si="5"/>
        <v>0</v>
      </c>
      <c r="K22" s="22">
        <f t="shared" ca="1" si="6"/>
        <v>6.8767123287671232</v>
      </c>
      <c r="L22" s="6"/>
      <c r="M22" s="47">
        <f>M21</f>
        <v>1200</v>
      </c>
      <c r="N22" s="47">
        <f>C21</f>
        <v>12419.183287671225</v>
      </c>
      <c r="O22" s="27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</row>
    <row r="23" spans="2:117" s="28" customFormat="1" x14ac:dyDescent="0.3">
      <c r="B23" s="24"/>
      <c r="C23" s="24"/>
      <c r="D23" s="6"/>
      <c r="E23" s="37">
        <v>19</v>
      </c>
      <c r="F23" s="19">
        <f t="shared" ca="1" si="1"/>
        <v>116</v>
      </c>
      <c r="G23" s="19">
        <f t="shared" ca="1" si="2"/>
        <v>251</v>
      </c>
      <c r="H23" s="19">
        <f t="shared" ca="1" si="3"/>
        <v>135</v>
      </c>
      <c r="I23" s="19">
        <f t="shared" ca="1" si="4"/>
        <v>0</v>
      </c>
      <c r="J23" s="19">
        <f t="shared" ca="1" si="5"/>
        <v>0</v>
      </c>
      <c r="K23" s="22">
        <f t="shared" ca="1" si="6"/>
        <v>3.6986301369863011</v>
      </c>
      <c r="L23" s="6"/>
      <c r="M23" s="47">
        <f>M22</f>
        <v>1200</v>
      </c>
      <c r="N23" s="47">
        <v>16000</v>
      </c>
      <c r="O23" s="27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</row>
    <row r="24" spans="2:117" s="28" customFormat="1" hidden="1" x14ac:dyDescent="0.3">
      <c r="B24" s="6"/>
      <c r="C24" s="7"/>
      <c r="D24" s="6"/>
      <c r="E24" s="37">
        <v>20</v>
      </c>
      <c r="F24" s="19">
        <f t="shared" ca="1" si="1"/>
        <v>85</v>
      </c>
      <c r="G24" s="19">
        <f t="shared" ca="1" si="2"/>
        <v>135</v>
      </c>
      <c r="H24" s="19">
        <f t="shared" ca="1" si="3"/>
        <v>50</v>
      </c>
      <c r="I24" s="19">
        <f t="shared" ca="1" si="4"/>
        <v>1</v>
      </c>
      <c r="J24" s="19">
        <f t="shared" ca="1" si="5"/>
        <v>200</v>
      </c>
      <c r="K24" s="22">
        <f t="shared" ca="1" si="6"/>
        <v>1.3698630136986301</v>
      </c>
      <c r="L24" s="6"/>
      <c r="M24" s="6"/>
      <c r="N24" s="6"/>
      <c r="O24" s="27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</row>
    <row r="25" spans="2:117" s="28" customFormat="1" hidden="1" x14ac:dyDescent="0.3">
      <c r="B25" s="6"/>
      <c r="C25" s="7"/>
      <c r="D25" s="6"/>
      <c r="E25" s="37">
        <v>21</v>
      </c>
      <c r="F25" s="19">
        <f t="shared" ca="1" si="1"/>
        <v>108</v>
      </c>
      <c r="G25" s="19">
        <f t="shared" ca="1" si="2"/>
        <v>1050</v>
      </c>
      <c r="H25" s="19">
        <f t="shared" ca="1" si="3"/>
        <v>942</v>
      </c>
      <c r="I25" s="19">
        <f t="shared" ca="1" si="4"/>
        <v>0</v>
      </c>
      <c r="J25" s="19">
        <f t="shared" ca="1" si="5"/>
        <v>0</v>
      </c>
      <c r="K25" s="22">
        <f t="shared" ca="1" si="6"/>
        <v>25.80821917808219</v>
      </c>
      <c r="L25" s="6"/>
      <c r="M25" s="29"/>
      <c r="N25" s="29"/>
      <c r="O25" s="27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</row>
    <row r="26" spans="2:117" s="28" customFormat="1" hidden="1" x14ac:dyDescent="0.3">
      <c r="B26" s="6"/>
      <c r="C26" s="7"/>
      <c r="D26" s="6"/>
      <c r="E26" s="37">
        <v>22</v>
      </c>
      <c r="F26" s="19">
        <f t="shared" ca="1" si="1"/>
        <v>101</v>
      </c>
      <c r="G26" s="19">
        <f t="shared" ca="1" si="2"/>
        <v>942</v>
      </c>
      <c r="H26" s="19">
        <f t="shared" ca="1" si="3"/>
        <v>841</v>
      </c>
      <c r="I26" s="19">
        <f t="shared" ca="1" si="4"/>
        <v>0</v>
      </c>
      <c r="J26" s="19">
        <f t="shared" ca="1" si="5"/>
        <v>0</v>
      </c>
      <c r="K26" s="22">
        <f t="shared" ca="1" si="6"/>
        <v>23.041095890410958</v>
      </c>
      <c r="L26" s="30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</row>
    <row r="27" spans="2:117" s="28" customFormat="1" hidden="1" x14ac:dyDescent="0.3">
      <c r="B27" s="6"/>
      <c r="C27" s="7"/>
      <c r="D27" s="6"/>
      <c r="E27" s="37">
        <v>23</v>
      </c>
      <c r="F27" s="19">
        <f t="shared" ca="1" si="1"/>
        <v>113</v>
      </c>
      <c r="G27" s="19">
        <f t="shared" ca="1" si="2"/>
        <v>841</v>
      </c>
      <c r="H27" s="19">
        <f t="shared" ca="1" si="3"/>
        <v>728</v>
      </c>
      <c r="I27" s="19">
        <f t="shared" ca="1" si="4"/>
        <v>0</v>
      </c>
      <c r="J27" s="19">
        <f t="shared" ca="1" si="5"/>
        <v>0</v>
      </c>
      <c r="K27" s="22">
        <f t="shared" ca="1" si="6"/>
        <v>19.945205479452053</v>
      </c>
      <c r="L27" s="6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</row>
    <row r="28" spans="2:117" s="28" customFormat="1" hidden="1" x14ac:dyDescent="0.3">
      <c r="B28" s="6"/>
      <c r="C28" s="7"/>
      <c r="D28" s="6"/>
      <c r="E28" s="37">
        <v>24</v>
      </c>
      <c r="F28" s="19">
        <f t="shared" ca="1" si="1"/>
        <v>89</v>
      </c>
      <c r="G28" s="19">
        <f t="shared" ca="1" si="2"/>
        <v>728</v>
      </c>
      <c r="H28" s="19">
        <f t="shared" ca="1" si="3"/>
        <v>639</v>
      </c>
      <c r="I28" s="19">
        <f t="shared" ca="1" si="4"/>
        <v>0</v>
      </c>
      <c r="J28" s="19">
        <f t="shared" ca="1" si="5"/>
        <v>0</v>
      </c>
      <c r="K28" s="22">
        <f t="shared" ca="1" si="6"/>
        <v>17.506849315068493</v>
      </c>
      <c r="L28" s="6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</row>
    <row r="29" spans="2:117" s="28" customFormat="1" hidden="1" x14ac:dyDescent="0.3">
      <c r="B29" s="6"/>
      <c r="C29" s="7"/>
      <c r="D29" s="6"/>
      <c r="E29" s="37">
        <v>25</v>
      </c>
      <c r="F29" s="19">
        <f t="shared" ca="1" si="1"/>
        <v>93</v>
      </c>
      <c r="G29" s="19">
        <f t="shared" ca="1" si="2"/>
        <v>639</v>
      </c>
      <c r="H29" s="19">
        <f t="shared" ca="1" si="3"/>
        <v>546</v>
      </c>
      <c r="I29" s="19">
        <f t="shared" ca="1" si="4"/>
        <v>0</v>
      </c>
      <c r="J29" s="19">
        <f t="shared" ca="1" si="5"/>
        <v>0</v>
      </c>
      <c r="K29" s="22">
        <f t="shared" ca="1" si="6"/>
        <v>14.95890410958904</v>
      </c>
      <c r="L29" s="6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</row>
    <row r="30" spans="2:117" s="28" customFormat="1" hidden="1" x14ac:dyDescent="0.3">
      <c r="B30" s="6"/>
      <c r="C30" s="7"/>
      <c r="D30" s="6"/>
      <c r="E30" s="37">
        <v>26</v>
      </c>
      <c r="F30" s="19">
        <f t="shared" ca="1" si="1"/>
        <v>81</v>
      </c>
      <c r="G30" s="19">
        <f t="shared" ca="1" si="2"/>
        <v>546</v>
      </c>
      <c r="H30" s="19">
        <f t="shared" ca="1" si="3"/>
        <v>465</v>
      </c>
      <c r="I30" s="19">
        <f t="shared" ca="1" si="4"/>
        <v>0</v>
      </c>
      <c r="J30" s="19">
        <f t="shared" ca="1" si="5"/>
        <v>0</v>
      </c>
      <c r="K30" s="22">
        <f t="shared" ca="1" si="6"/>
        <v>12.739726027397259</v>
      </c>
      <c r="L30" s="6"/>
      <c r="M30" s="6"/>
      <c r="N30" s="6"/>
      <c r="O30" s="6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</row>
    <row r="31" spans="2:117" s="28" customFormat="1" hidden="1" x14ac:dyDescent="0.3">
      <c r="B31" s="6"/>
      <c r="C31" s="7"/>
      <c r="D31" s="6"/>
      <c r="E31" s="37">
        <v>27</v>
      </c>
      <c r="F31" s="19">
        <f t="shared" ca="1" si="1"/>
        <v>100</v>
      </c>
      <c r="G31" s="19">
        <f t="shared" ca="1" si="2"/>
        <v>465</v>
      </c>
      <c r="H31" s="19">
        <f t="shared" ca="1" si="3"/>
        <v>365</v>
      </c>
      <c r="I31" s="19">
        <f t="shared" ca="1" si="4"/>
        <v>0</v>
      </c>
      <c r="J31" s="19">
        <f t="shared" ca="1" si="5"/>
        <v>0</v>
      </c>
      <c r="K31" s="22">
        <f t="shared" ca="1" si="6"/>
        <v>10</v>
      </c>
      <c r="L31" s="6"/>
      <c r="M31" s="29"/>
      <c r="N31" s="29"/>
      <c r="O31" s="6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</row>
    <row r="32" spans="2:117" s="28" customFormat="1" hidden="1" x14ac:dyDescent="0.3">
      <c r="B32" s="6"/>
      <c r="C32" s="7"/>
      <c r="D32" s="6"/>
      <c r="E32" s="37">
        <v>28</v>
      </c>
      <c r="F32" s="19">
        <f t="shared" ca="1" si="1"/>
        <v>108</v>
      </c>
      <c r="G32" s="19">
        <f t="shared" ca="1" si="2"/>
        <v>365</v>
      </c>
      <c r="H32" s="19">
        <f t="shared" ca="1" si="3"/>
        <v>257</v>
      </c>
      <c r="I32" s="19">
        <f t="shared" ca="1" si="4"/>
        <v>0</v>
      </c>
      <c r="J32" s="19">
        <f t="shared" ca="1" si="5"/>
        <v>0</v>
      </c>
      <c r="K32" s="22">
        <f t="shared" ca="1" si="6"/>
        <v>7.0410958904109586</v>
      </c>
      <c r="L32" s="6"/>
      <c r="M32" s="6"/>
      <c r="N32" s="6"/>
      <c r="O32" s="6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</row>
    <row r="33" spans="2:117" hidden="1" x14ac:dyDescent="0.25">
      <c r="B33" s="6"/>
      <c r="C33" s="6"/>
      <c r="D33" s="6"/>
      <c r="E33" s="37">
        <v>29</v>
      </c>
      <c r="F33" s="19">
        <f t="shared" ca="1" si="1"/>
        <v>96</v>
      </c>
      <c r="G33" s="19">
        <f t="shared" ca="1" si="2"/>
        <v>257</v>
      </c>
      <c r="H33" s="19">
        <f t="shared" ca="1" si="3"/>
        <v>161</v>
      </c>
      <c r="I33" s="19">
        <f t="shared" ca="1" si="4"/>
        <v>0</v>
      </c>
      <c r="J33" s="19">
        <f t="shared" ca="1" si="5"/>
        <v>0</v>
      </c>
      <c r="K33" s="22">
        <f t="shared" ca="1" si="6"/>
        <v>4.4109589041095889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</row>
    <row r="34" spans="2:117" hidden="1" x14ac:dyDescent="0.25">
      <c r="B34" s="6"/>
      <c r="C34" s="6"/>
      <c r="D34" s="6"/>
      <c r="E34" s="37">
        <v>30</v>
      </c>
      <c r="F34" s="19">
        <f t="shared" ca="1" si="1"/>
        <v>80</v>
      </c>
      <c r="G34" s="19">
        <f t="shared" ca="1" si="2"/>
        <v>161</v>
      </c>
      <c r="H34" s="19">
        <f t="shared" ca="1" si="3"/>
        <v>81</v>
      </c>
      <c r="I34" s="19">
        <f t="shared" ca="1" si="4"/>
        <v>1</v>
      </c>
      <c r="J34" s="19">
        <f t="shared" ca="1" si="5"/>
        <v>200</v>
      </c>
      <c r="K34" s="22">
        <f t="shared" ca="1" si="6"/>
        <v>2.2191780821917808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</row>
    <row r="35" spans="2:117" hidden="1" x14ac:dyDescent="0.25">
      <c r="B35" s="6"/>
      <c r="C35" s="6"/>
      <c r="D35" s="6"/>
      <c r="E35" s="37">
        <v>31</v>
      </c>
      <c r="F35" s="19">
        <f t="shared" ca="1" si="1"/>
        <v>113</v>
      </c>
      <c r="G35" s="19">
        <f t="shared" ca="1" si="2"/>
        <v>1081</v>
      </c>
      <c r="H35" s="19">
        <f t="shared" ca="1" si="3"/>
        <v>968</v>
      </c>
      <c r="I35" s="19">
        <f t="shared" ca="1" si="4"/>
        <v>0</v>
      </c>
      <c r="J35" s="19">
        <f t="shared" ca="1" si="5"/>
        <v>0</v>
      </c>
      <c r="K35" s="22">
        <f t="shared" ca="1" si="6"/>
        <v>26.520547945205479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</row>
    <row r="36" spans="2:117" hidden="1" x14ac:dyDescent="0.25">
      <c r="B36" s="6"/>
      <c r="C36" s="6"/>
      <c r="D36" s="6"/>
      <c r="E36" s="37">
        <v>32</v>
      </c>
      <c r="F36" s="19">
        <f t="shared" ca="1" si="1"/>
        <v>110</v>
      </c>
      <c r="G36" s="19">
        <f t="shared" ca="1" si="2"/>
        <v>968</v>
      </c>
      <c r="H36" s="19">
        <f t="shared" ca="1" si="3"/>
        <v>858</v>
      </c>
      <c r="I36" s="19">
        <f t="shared" ca="1" si="4"/>
        <v>0</v>
      </c>
      <c r="J36" s="19">
        <f t="shared" ca="1" si="5"/>
        <v>0</v>
      </c>
      <c r="K36" s="22">
        <f t="shared" ca="1" si="6"/>
        <v>23.506849315068493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</row>
    <row r="37" spans="2:117" hidden="1" x14ac:dyDescent="0.25">
      <c r="B37" s="6"/>
      <c r="C37" s="6"/>
      <c r="D37" s="6"/>
      <c r="E37" s="37">
        <v>33</v>
      </c>
      <c r="F37" s="19">
        <f t="shared" ca="1" si="1"/>
        <v>85</v>
      </c>
      <c r="G37" s="19">
        <f t="shared" ca="1" si="2"/>
        <v>858</v>
      </c>
      <c r="H37" s="19">
        <f t="shared" ca="1" si="3"/>
        <v>773</v>
      </c>
      <c r="I37" s="19">
        <f t="shared" ca="1" si="4"/>
        <v>0</v>
      </c>
      <c r="J37" s="19">
        <f t="shared" ca="1" si="5"/>
        <v>0</v>
      </c>
      <c r="K37" s="22">
        <f t="shared" ca="1" si="6"/>
        <v>21.17808219178082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</row>
    <row r="38" spans="2:117" hidden="1" x14ac:dyDescent="0.25">
      <c r="B38" s="6"/>
      <c r="C38" s="6"/>
      <c r="D38" s="6"/>
      <c r="E38" s="37">
        <v>34</v>
      </c>
      <c r="F38" s="19">
        <f t="shared" ca="1" si="1"/>
        <v>117</v>
      </c>
      <c r="G38" s="19">
        <f t="shared" ca="1" si="2"/>
        <v>773</v>
      </c>
      <c r="H38" s="19">
        <f t="shared" ca="1" si="3"/>
        <v>656</v>
      </c>
      <c r="I38" s="19">
        <f t="shared" ca="1" si="4"/>
        <v>0</v>
      </c>
      <c r="J38" s="19">
        <f t="shared" ca="1" si="5"/>
        <v>0</v>
      </c>
      <c r="K38" s="22">
        <f t="shared" ca="1" si="6"/>
        <v>17.972602739726028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</row>
    <row r="39" spans="2:117" hidden="1" x14ac:dyDescent="0.25">
      <c r="B39" s="6"/>
      <c r="C39" s="6"/>
      <c r="D39" s="6"/>
      <c r="E39" s="37">
        <v>35</v>
      </c>
      <c r="F39" s="19">
        <f t="shared" ca="1" si="1"/>
        <v>118</v>
      </c>
      <c r="G39" s="19">
        <f t="shared" ca="1" si="2"/>
        <v>656</v>
      </c>
      <c r="H39" s="19">
        <f t="shared" ca="1" si="3"/>
        <v>538</v>
      </c>
      <c r="I39" s="19">
        <f t="shared" ca="1" si="4"/>
        <v>0</v>
      </c>
      <c r="J39" s="19">
        <f t="shared" ca="1" si="5"/>
        <v>0</v>
      </c>
      <c r="K39" s="22">
        <f t="shared" ca="1" si="6"/>
        <v>14.739726027397259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</row>
    <row r="40" spans="2:117" hidden="1" x14ac:dyDescent="0.25">
      <c r="B40" s="6"/>
      <c r="C40" s="6"/>
      <c r="D40" s="6"/>
      <c r="E40" s="37">
        <v>36</v>
      </c>
      <c r="F40" s="19">
        <f t="shared" ca="1" si="1"/>
        <v>107</v>
      </c>
      <c r="G40" s="19">
        <f t="shared" ca="1" si="2"/>
        <v>538</v>
      </c>
      <c r="H40" s="19">
        <f t="shared" ca="1" si="3"/>
        <v>431</v>
      </c>
      <c r="I40" s="19">
        <f t="shared" ca="1" si="4"/>
        <v>0</v>
      </c>
      <c r="J40" s="19">
        <f t="shared" ca="1" si="5"/>
        <v>0</v>
      </c>
      <c r="K40" s="22">
        <f t="shared" ca="1" si="6"/>
        <v>11.808219178082192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</row>
    <row r="41" spans="2:117" hidden="1" x14ac:dyDescent="0.25">
      <c r="B41" s="6"/>
      <c r="C41" s="6"/>
      <c r="D41" s="6"/>
      <c r="E41" s="37">
        <v>37</v>
      </c>
      <c r="F41" s="19">
        <f t="shared" ca="1" si="1"/>
        <v>100</v>
      </c>
      <c r="G41" s="19">
        <f t="shared" ca="1" si="2"/>
        <v>431</v>
      </c>
      <c r="H41" s="19">
        <f t="shared" ca="1" si="3"/>
        <v>331</v>
      </c>
      <c r="I41" s="19">
        <f t="shared" ca="1" si="4"/>
        <v>0</v>
      </c>
      <c r="J41" s="19">
        <f t="shared" ca="1" si="5"/>
        <v>0</v>
      </c>
      <c r="K41" s="22">
        <f t="shared" ca="1" si="6"/>
        <v>9.0684931506849313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</row>
    <row r="42" spans="2:117" hidden="1" x14ac:dyDescent="0.25">
      <c r="B42" s="6"/>
      <c r="C42" s="6"/>
      <c r="D42" s="6"/>
      <c r="E42" s="37">
        <v>38</v>
      </c>
      <c r="F42" s="19">
        <f t="shared" ca="1" si="1"/>
        <v>102</v>
      </c>
      <c r="G42" s="19">
        <f t="shared" ca="1" si="2"/>
        <v>331</v>
      </c>
      <c r="H42" s="19">
        <f t="shared" ca="1" si="3"/>
        <v>229</v>
      </c>
      <c r="I42" s="19">
        <f t="shared" ca="1" si="4"/>
        <v>0</v>
      </c>
      <c r="J42" s="19">
        <f t="shared" ca="1" si="5"/>
        <v>0</v>
      </c>
      <c r="K42" s="22">
        <f t="shared" ca="1" si="6"/>
        <v>6.2739726027397253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</row>
    <row r="43" spans="2:117" hidden="1" x14ac:dyDescent="0.25">
      <c r="B43" s="6"/>
      <c r="C43" s="6"/>
      <c r="D43" s="6"/>
      <c r="E43" s="37">
        <v>39</v>
      </c>
      <c r="F43" s="19">
        <f t="shared" ca="1" si="1"/>
        <v>118</v>
      </c>
      <c r="G43" s="19">
        <f t="shared" ca="1" si="2"/>
        <v>229</v>
      </c>
      <c r="H43" s="19">
        <f t="shared" ca="1" si="3"/>
        <v>111</v>
      </c>
      <c r="I43" s="19">
        <f t="shared" ca="1" si="4"/>
        <v>1</v>
      </c>
      <c r="J43" s="19">
        <f t="shared" ca="1" si="5"/>
        <v>200</v>
      </c>
      <c r="K43" s="22">
        <f t="shared" ca="1" si="6"/>
        <v>3.0410958904109586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</row>
    <row r="44" spans="2:117" hidden="1" x14ac:dyDescent="0.25">
      <c r="B44" s="6"/>
      <c r="C44" s="6"/>
      <c r="D44" s="6"/>
      <c r="E44" s="37">
        <v>40</v>
      </c>
      <c r="F44" s="19">
        <f t="shared" ca="1" si="1"/>
        <v>96</v>
      </c>
      <c r="G44" s="19">
        <f t="shared" ca="1" si="2"/>
        <v>1111</v>
      </c>
      <c r="H44" s="19">
        <f t="shared" ca="1" si="3"/>
        <v>1015</v>
      </c>
      <c r="I44" s="19">
        <f t="shared" ca="1" si="4"/>
        <v>0</v>
      </c>
      <c r="J44" s="19">
        <f t="shared" ca="1" si="5"/>
        <v>0</v>
      </c>
      <c r="K44" s="22">
        <f t="shared" ca="1" si="6"/>
        <v>27.80821917808219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</row>
    <row r="45" spans="2:117" hidden="1" x14ac:dyDescent="0.25">
      <c r="B45" s="6"/>
      <c r="C45" s="6"/>
      <c r="D45" s="6"/>
      <c r="E45" s="37">
        <v>41</v>
      </c>
      <c r="F45" s="19">
        <f t="shared" ca="1" si="1"/>
        <v>91</v>
      </c>
      <c r="G45" s="19">
        <f t="shared" ca="1" si="2"/>
        <v>1015</v>
      </c>
      <c r="H45" s="19">
        <f t="shared" ca="1" si="3"/>
        <v>924</v>
      </c>
      <c r="I45" s="19">
        <f t="shared" ca="1" si="4"/>
        <v>0</v>
      </c>
      <c r="J45" s="19">
        <f t="shared" ca="1" si="5"/>
        <v>0</v>
      </c>
      <c r="K45" s="22">
        <f t="shared" ca="1" si="6"/>
        <v>25.315068493150683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</row>
    <row r="46" spans="2:117" hidden="1" x14ac:dyDescent="0.25">
      <c r="B46" s="6"/>
      <c r="C46" s="6"/>
      <c r="D46" s="6"/>
      <c r="E46" s="37">
        <v>42</v>
      </c>
      <c r="F46" s="19">
        <f t="shared" ca="1" si="1"/>
        <v>98</v>
      </c>
      <c r="G46" s="19">
        <f t="shared" ca="1" si="2"/>
        <v>924</v>
      </c>
      <c r="H46" s="19">
        <f t="shared" ca="1" si="3"/>
        <v>826</v>
      </c>
      <c r="I46" s="19">
        <f t="shared" ca="1" si="4"/>
        <v>0</v>
      </c>
      <c r="J46" s="19">
        <f t="shared" ca="1" si="5"/>
        <v>0</v>
      </c>
      <c r="K46" s="22">
        <f t="shared" ca="1" si="6"/>
        <v>22.63013698630137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</row>
    <row r="47" spans="2:117" hidden="1" x14ac:dyDescent="0.25">
      <c r="B47" s="6"/>
      <c r="C47" s="6"/>
      <c r="D47" s="6"/>
      <c r="E47" s="37">
        <v>43</v>
      </c>
      <c r="F47" s="19">
        <f t="shared" ca="1" si="1"/>
        <v>102</v>
      </c>
      <c r="G47" s="19">
        <f t="shared" ca="1" si="2"/>
        <v>826</v>
      </c>
      <c r="H47" s="19">
        <f t="shared" ca="1" si="3"/>
        <v>724</v>
      </c>
      <c r="I47" s="19">
        <f t="shared" ca="1" si="4"/>
        <v>0</v>
      </c>
      <c r="J47" s="19">
        <f t="shared" ca="1" si="5"/>
        <v>0</v>
      </c>
      <c r="K47" s="22">
        <f t="shared" ca="1" si="6"/>
        <v>19.835616438356162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</row>
    <row r="48" spans="2:117" hidden="1" x14ac:dyDescent="0.25">
      <c r="B48" s="6"/>
      <c r="C48" s="6"/>
      <c r="D48" s="6"/>
      <c r="E48" s="37">
        <v>44</v>
      </c>
      <c r="F48" s="19">
        <f t="shared" ca="1" si="1"/>
        <v>83</v>
      </c>
      <c r="G48" s="19">
        <f t="shared" ca="1" si="2"/>
        <v>724</v>
      </c>
      <c r="H48" s="19">
        <f t="shared" ca="1" si="3"/>
        <v>641</v>
      </c>
      <c r="I48" s="19">
        <f t="shared" ca="1" si="4"/>
        <v>0</v>
      </c>
      <c r="J48" s="19">
        <f t="shared" ca="1" si="5"/>
        <v>0</v>
      </c>
      <c r="K48" s="22">
        <f t="shared" ca="1" si="6"/>
        <v>17.561643835616437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</row>
    <row r="49" spans="2:117" hidden="1" x14ac:dyDescent="0.25">
      <c r="B49" s="6"/>
      <c r="C49" s="6"/>
      <c r="D49" s="6"/>
      <c r="E49" s="37">
        <v>45</v>
      </c>
      <c r="F49" s="19">
        <f t="shared" ca="1" si="1"/>
        <v>87</v>
      </c>
      <c r="G49" s="19">
        <f t="shared" ca="1" si="2"/>
        <v>641</v>
      </c>
      <c r="H49" s="19">
        <f t="shared" ca="1" si="3"/>
        <v>554</v>
      </c>
      <c r="I49" s="19">
        <f t="shared" ca="1" si="4"/>
        <v>0</v>
      </c>
      <c r="J49" s="19">
        <f t="shared" ca="1" si="5"/>
        <v>0</v>
      </c>
      <c r="K49" s="22">
        <f t="shared" ca="1" si="6"/>
        <v>15.17808219178082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</row>
    <row r="50" spans="2:117" hidden="1" x14ac:dyDescent="0.25">
      <c r="B50" s="6"/>
      <c r="C50" s="6"/>
      <c r="D50" s="6"/>
      <c r="E50" s="37">
        <v>46</v>
      </c>
      <c r="F50" s="19">
        <f t="shared" ca="1" si="1"/>
        <v>106</v>
      </c>
      <c r="G50" s="19">
        <f t="shared" ca="1" si="2"/>
        <v>554</v>
      </c>
      <c r="H50" s="19">
        <f t="shared" ca="1" si="3"/>
        <v>448</v>
      </c>
      <c r="I50" s="19">
        <f t="shared" ca="1" si="4"/>
        <v>0</v>
      </c>
      <c r="J50" s="19">
        <f t="shared" ca="1" si="5"/>
        <v>0</v>
      </c>
      <c r="K50" s="22">
        <f t="shared" ca="1" si="6"/>
        <v>12.273972602739725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</row>
    <row r="51" spans="2:117" hidden="1" x14ac:dyDescent="0.25">
      <c r="B51" s="6"/>
      <c r="C51" s="6"/>
      <c r="D51" s="6"/>
      <c r="E51" s="37">
        <v>47</v>
      </c>
      <c r="F51" s="19">
        <f t="shared" ca="1" si="1"/>
        <v>87</v>
      </c>
      <c r="G51" s="19">
        <f t="shared" ca="1" si="2"/>
        <v>448</v>
      </c>
      <c r="H51" s="19">
        <f t="shared" ca="1" si="3"/>
        <v>361</v>
      </c>
      <c r="I51" s="19">
        <f t="shared" ca="1" si="4"/>
        <v>0</v>
      </c>
      <c r="J51" s="19">
        <f t="shared" ca="1" si="5"/>
        <v>0</v>
      </c>
      <c r="K51" s="22">
        <f t="shared" ca="1" si="6"/>
        <v>9.8904109589041092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</row>
    <row r="52" spans="2:117" hidden="1" x14ac:dyDescent="0.25">
      <c r="B52" s="6"/>
      <c r="C52" s="6"/>
      <c r="D52" s="6"/>
      <c r="E52" s="37">
        <v>48</v>
      </c>
      <c r="F52" s="19">
        <f t="shared" ca="1" si="1"/>
        <v>99</v>
      </c>
      <c r="G52" s="19">
        <f t="shared" ca="1" si="2"/>
        <v>361</v>
      </c>
      <c r="H52" s="19">
        <f t="shared" ca="1" si="3"/>
        <v>262</v>
      </c>
      <c r="I52" s="19">
        <f t="shared" ca="1" si="4"/>
        <v>0</v>
      </c>
      <c r="J52" s="19">
        <f t="shared" ca="1" si="5"/>
        <v>0</v>
      </c>
      <c r="K52" s="22">
        <f t="shared" ca="1" si="6"/>
        <v>7.1780821917808213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</row>
    <row r="53" spans="2:117" hidden="1" x14ac:dyDescent="0.25">
      <c r="B53" s="6"/>
      <c r="C53" s="6"/>
      <c r="D53" s="6"/>
      <c r="E53" s="37">
        <v>49</v>
      </c>
      <c r="F53" s="19">
        <f t="shared" ca="1" si="1"/>
        <v>99</v>
      </c>
      <c r="G53" s="19">
        <f t="shared" ca="1" si="2"/>
        <v>262</v>
      </c>
      <c r="H53" s="19">
        <f t="shared" ca="1" si="3"/>
        <v>163</v>
      </c>
      <c r="I53" s="19">
        <f t="shared" ca="1" si="4"/>
        <v>0</v>
      </c>
      <c r="J53" s="19">
        <f t="shared" ca="1" si="5"/>
        <v>0</v>
      </c>
      <c r="K53" s="22">
        <f t="shared" ca="1" si="6"/>
        <v>4.4657534246575343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</row>
    <row r="54" spans="2:117" hidden="1" x14ac:dyDescent="0.25">
      <c r="B54" s="6"/>
      <c r="C54" s="6"/>
      <c r="D54" s="6"/>
      <c r="E54" s="37">
        <v>50</v>
      </c>
      <c r="F54" s="19">
        <f t="shared" ca="1" si="1"/>
        <v>109</v>
      </c>
      <c r="G54" s="19">
        <f t="shared" ca="1" si="2"/>
        <v>163</v>
      </c>
      <c r="H54" s="19">
        <f t="shared" ca="1" si="3"/>
        <v>54</v>
      </c>
      <c r="I54" s="19">
        <f t="shared" ca="1" si="4"/>
        <v>1</v>
      </c>
      <c r="J54" s="19">
        <f t="shared" ca="1" si="5"/>
        <v>200</v>
      </c>
      <c r="K54" s="22">
        <f t="shared" ca="1" si="6"/>
        <v>1.4794520547945205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</row>
    <row r="55" spans="2:117" hidden="1" x14ac:dyDescent="0.25">
      <c r="B55" s="6"/>
      <c r="C55" s="6"/>
      <c r="D55" s="6"/>
      <c r="E55" s="37">
        <v>51</v>
      </c>
      <c r="F55" s="19">
        <f t="shared" ca="1" si="1"/>
        <v>107</v>
      </c>
      <c r="G55" s="19">
        <f t="shared" ca="1" si="2"/>
        <v>1054</v>
      </c>
      <c r="H55" s="19">
        <f t="shared" ca="1" si="3"/>
        <v>947</v>
      </c>
      <c r="I55" s="19">
        <f t="shared" ca="1" si="4"/>
        <v>0</v>
      </c>
      <c r="J55" s="19">
        <f t="shared" ca="1" si="5"/>
        <v>0</v>
      </c>
      <c r="K55" s="22">
        <f t="shared" ca="1" si="6"/>
        <v>25.945205479452053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</row>
    <row r="56" spans="2:117" hidden="1" x14ac:dyDescent="0.25">
      <c r="B56" s="6"/>
      <c r="C56" s="6"/>
      <c r="D56" s="6"/>
      <c r="E56" s="37">
        <v>52</v>
      </c>
      <c r="F56" s="19">
        <f t="shared" ca="1" si="1"/>
        <v>91</v>
      </c>
      <c r="G56" s="19">
        <f t="shared" ca="1" si="2"/>
        <v>947</v>
      </c>
      <c r="H56" s="19">
        <f t="shared" ca="1" si="3"/>
        <v>856</v>
      </c>
      <c r="I56" s="19">
        <f t="shared" ca="1" si="4"/>
        <v>0</v>
      </c>
      <c r="J56" s="19">
        <f t="shared" ca="1" si="5"/>
        <v>0</v>
      </c>
      <c r="K56" s="22">
        <f t="shared" ca="1" si="6"/>
        <v>23.452054794520546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</row>
    <row r="57" spans="2:117" hidden="1" x14ac:dyDescent="0.25">
      <c r="B57" s="6"/>
      <c r="C57" s="6"/>
      <c r="D57" s="6"/>
      <c r="E57" s="37">
        <v>53</v>
      </c>
      <c r="F57" s="19">
        <f t="shared" ca="1" si="1"/>
        <v>120</v>
      </c>
      <c r="G57" s="19">
        <f t="shared" ca="1" si="2"/>
        <v>856</v>
      </c>
      <c r="H57" s="19">
        <f t="shared" ca="1" si="3"/>
        <v>736</v>
      </c>
      <c r="I57" s="19">
        <f t="shared" ca="1" si="4"/>
        <v>0</v>
      </c>
      <c r="J57" s="19">
        <f t="shared" ca="1" si="5"/>
        <v>0</v>
      </c>
      <c r="K57" s="22">
        <f t="shared" ca="1" si="6"/>
        <v>20.164383561643834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</row>
    <row r="58" spans="2:117" hidden="1" x14ac:dyDescent="0.25">
      <c r="B58" s="6"/>
      <c r="C58" s="6"/>
      <c r="D58" s="6"/>
      <c r="E58" s="37">
        <v>54</v>
      </c>
      <c r="F58" s="19">
        <f t="shared" ca="1" si="1"/>
        <v>90</v>
      </c>
      <c r="G58" s="19">
        <f t="shared" ca="1" si="2"/>
        <v>736</v>
      </c>
      <c r="H58" s="19">
        <f t="shared" ca="1" si="3"/>
        <v>646</v>
      </c>
      <c r="I58" s="19">
        <f t="shared" ca="1" si="4"/>
        <v>0</v>
      </c>
      <c r="J58" s="19">
        <f t="shared" ca="1" si="5"/>
        <v>0</v>
      </c>
      <c r="K58" s="22">
        <f t="shared" ca="1" si="6"/>
        <v>17.698630136986299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</row>
    <row r="59" spans="2:117" hidden="1" x14ac:dyDescent="0.25">
      <c r="B59" s="6"/>
      <c r="C59" s="6"/>
      <c r="D59" s="6"/>
      <c r="E59" s="37">
        <v>55</v>
      </c>
      <c r="F59" s="19">
        <f t="shared" ca="1" si="1"/>
        <v>84</v>
      </c>
      <c r="G59" s="19">
        <f t="shared" ca="1" si="2"/>
        <v>646</v>
      </c>
      <c r="H59" s="19">
        <f t="shared" ca="1" si="3"/>
        <v>562</v>
      </c>
      <c r="I59" s="19">
        <f t="shared" ca="1" si="4"/>
        <v>0</v>
      </c>
      <c r="J59" s="19">
        <f t="shared" ca="1" si="5"/>
        <v>0</v>
      </c>
      <c r="K59" s="22">
        <f t="shared" ca="1" si="6"/>
        <v>15.397260273972602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</row>
    <row r="60" spans="2:117" hidden="1" x14ac:dyDescent="0.25">
      <c r="B60" s="6"/>
      <c r="C60" s="6"/>
      <c r="D60" s="6"/>
      <c r="E60" s="37">
        <v>56</v>
      </c>
      <c r="F60" s="19">
        <f t="shared" ca="1" si="1"/>
        <v>113</v>
      </c>
      <c r="G60" s="19">
        <f t="shared" ca="1" si="2"/>
        <v>562</v>
      </c>
      <c r="H60" s="19">
        <f t="shared" ca="1" si="3"/>
        <v>449</v>
      </c>
      <c r="I60" s="19">
        <f t="shared" ca="1" si="4"/>
        <v>0</v>
      </c>
      <c r="J60" s="19">
        <f t="shared" ca="1" si="5"/>
        <v>0</v>
      </c>
      <c r="K60" s="22">
        <f t="shared" ca="1" si="6"/>
        <v>12.301369863013697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</row>
    <row r="61" spans="2:117" hidden="1" x14ac:dyDescent="0.25">
      <c r="B61" s="6"/>
      <c r="C61" s="6"/>
      <c r="D61" s="6"/>
      <c r="E61" s="37">
        <v>57</v>
      </c>
      <c r="F61" s="19">
        <f t="shared" ca="1" si="1"/>
        <v>111</v>
      </c>
      <c r="G61" s="19">
        <f t="shared" ca="1" si="2"/>
        <v>449</v>
      </c>
      <c r="H61" s="19">
        <f t="shared" ca="1" si="3"/>
        <v>338</v>
      </c>
      <c r="I61" s="19">
        <f t="shared" ca="1" si="4"/>
        <v>0</v>
      </c>
      <c r="J61" s="19">
        <f t="shared" ca="1" si="5"/>
        <v>0</v>
      </c>
      <c r="K61" s="22">
        <f t="shared" ca="1" si="6"/>
        <v>9.2602739726027394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</row>
    <row r="62" spans="2:117" hidden="1" x14ac:dyDescent="0.25">
      <c r="B62" s="6"/>
      <c r="C62" s="6"/>
      <c r="D62" s="6"/>
      <c r="E62" s="37">
        <v>58</v>
      </c>
      <c r="F62" s="19">
        <f t="shared" ca="1" si="1"/>
        <v>107</v>
      </c>
      <c r="G62" s="19">
        <f t="shared" ca="1" si="2"/>
        <v>338</v>
      </c>
      <c r="H62" s="19">
        <f t="shared" ca="1" si="3"/>
        <v>231</v>
      </c>
      <c r="I62" s="19">
        <f t="shared" ca="1" si="4"/>
        <v>0</v>
      </c>
      <c r="J62" s="19">
        <f t="shared" ca="1" si="5"/>
        <v>0</v>
      </c>
      <c r="K62" s="22">
        <f t="shared" ca="1" si="6"/>
        <v>6.3287671232876708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</row>
    <row r="63" spans="2:117" hidden="1" x14ac:dyDescent="0.25">
      <c r="B63" s="6"/>
      <c r="C63" s="6"/>
      <c r="D63" s="6"/>
      <c r="E63" s="37">
        <v>59</v>
      </c>
      <c r="F63" s="19">
        <f t="shared" ca="1" si="1"/>
        <v>118</v>
      </c>
      <c r="G63" s="19">
        <f t="shared" ca="1" si="2"/>
        <v>231</v>
      </c>
      <c r="H63" s="19">
        <f t="shared" ca="1" si="3"/>
        <v>113</v>
      </c>
      <c r="I63" s="19">
        <f t="shared" ca="1" si="4"/>
        <v>1</v>
      </c>
      <c r="J63" s="19">
        <f t="shared" ca="1" si="5"/>
        <v>200</v>
      </c>
      <c r="K63" s="22">
        <f t="shared" ca="1" si="6"/>
        <v>3.095890410958904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</row>
    <row r="64" spans="2:117" hidden="1" x14ac:dyDescent="0.25">
      <c r="B64" s="6"/>
      <c r="C64" s="6"/>
      <c r="D64" s="6"/>
      <c r="E64" s="37">
        <v>60</v>
      </c>
      <c r="F64" s="19">
        <f t="shared" ca="1" si="1"/>
        <v>97</v>
      </c>
      <c r="G64" s="19">
        <f t="shared" ca="1" si="2"/>
        <v>1113</v>
      </c>
      <c r="H64" s="19">
        <f t="shared" ca="1" si="3"/>
        <v>1016</v>
      </c>
      <c r="I64" s="19">
        <f t="shared" ca="1" si="4"/>
        <v>0</v>
      </c>
      <c r="J64" s="19">
        <f t="shared" ca="1" si="5"/>
        <v>0</v>
      </c>
      <c r="K64" s="22">
        <f t="shared" ca="1" si="6"/>
        <v>27.835616438356162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</row>
    <row r="65" spans="2:117" hidden="1" x14ac:dyDescent="0.25">
      <c r="B65" s="6"/>
      <c r="C65" s="6"/>
      <c r="D65" s="6"/>
      <c r="E65" s="37">
        <v>61</v>
      </c>
      <c r="F65" s="19">
        <f t="shared" ca="1" si="1"/>
        <v>88</v>
      </c>
      <c r="G65" s="19">
        <f t="shared" ca="1" si="2"/>
        <v>1016</v>
      </c>
      <c r="H65" s="19">
        <f t="shared" ca="1" si="3"/>
        <v>928</v>
      </c>
      <c r="I65" s="19">
        <f t="shared" ca="1" si="4"/>
        <v>0</v>
      </c>
      <c r="J65" s="19">
        <f t="shared" ca="1" si="5"/>
        <v>0</v>
      </c>
      <c r="K65" s="22">
        <f t="shared" ca="1" si="6"/>
        <v>25.424657534246574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</row>
    <row r="66" spans="2:117" hidden="1" x14ac:dyDescent="0.25">
      <c r="B66" s="6"/>
      <c r="C66" s="6"/>
      <c r="D66" s="6"/>
      <c r="E66" s="37">
        <v>62</v>
      </c>
      <c r="F66" s="19">
        <f t="shared" ca="1" si="1"/>
        <v>101</v>
      </c>
      <c r="G66" s="19">
        <f t="shared" ca="1" si="2"/>
        <v>928</v>
      </c>
      <c r="H66" s="19">
        <f t="shared" ca="1" si="3"/>
        <v>827</v>
      </c>
      <c r="I66" s="19">
        <f t="shared" ca="1" si="4"/>
        <v>0</v>
      </c>
      <c r="J66" s="19">
        <f t="shared" ca="1" si="5"/>
        <v>0</v>
      </c>
      <c r="K66" s="22">
        <f t="shared" ca="1" si="6"/>
        <v>22.657534246575342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</row>
    <row r="67" spans="2:117" hidden="1" x14ac:dyDescent="0.25">
      <c r="B67" s="6"/>
      <c r="C67" s="6"/>
      <c r="D67" s="6"/>
      <c r="E67" s="37">
        <v>63</v>
      </c>
      <c r="F67" s="19">
        <f t="shared" ca="1" si="1"/>
        <v>119</v>
      </c>
      <c r="G67" s="19">
        <f t="shared" ca="1" si="2"/>
        <v>827</v>
      </c>
      <c r="H67" s="19">
        <f t="shared" ca="1" si="3"/>
        <v>708</v>
      </c>
      <c r="I67" s="19">
        <f t="shared" ca="1" si="4"/>
        <v>0</v>
      </c>
      <c r="J67" s="19">
        <f t="shared" ca="1" si="5"/>
        <v>0</v>
      </c>
      <c r="K67" s="22">
        <f t="shared" ca="1" si="6"/>
        <v>19.397260273972602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</row>
    <row r="68" spans="2:117" hidden="1" x14ac:dyDescent="0.25">
      <c r="B68" s="6"/>
      <c r="C68" s="6"/>
      <c r="D68" s="6"/>
      <c r="E68" s="37">
        <v>64</v>
      </c>
      <c r="F68" s="19">
        <f t="shared" ca="1" si="1"/>
        <v>83</v>
      </c>
      <c r="G68" s="19">
        <f t="shared" ca="1" si="2"/>
        <v>708</v>
      </c>
      <c r="H68" s="19">
        <f t="shared" ca="1" si="3"/>
        <v>625</v>
      </c>
      <c r="I68" s="19">
        <f t="shared" ca="1" si="4"/>
        <v>0</v>
      </c>
      <c r="J68" s="19">
        <f t="shared" ca="1" si="5"/>
        <v>0</v>
      </c>
      <c r="K68" s="22">
        <f t="shared" ca="1" si="6"/>
        <v>17.123287671232877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</row>
    <row r="69" spans="2:117" hidden="1" x14ac:dyDescent="0.25">
      <c r="B69" s="6"/>
      <c r="C69" s="6"/>
      <c r="D69" s="6"/>
      <c r="E69" s="37">
        <v>65</v>
      </c>
      <c r="F69" s="19">
        <f t="shared" ca="1" si="1"/>
        <v>82</v>
      </c>
      <c r="G69" s="19">
        <f t="shared" ca="1" si="2"/>
        <v>625</v>
      </c>
      <c r="H69" s="19">
        <f t="shared" ca="1" si="3"/>
        <v>543</v>
      </c>
      <c r="I69" s="19">
        <f t="shared" ca="1" si="4"/>
        <v>0</v>
      </c>
      <c r="J69" s="19">
        <f t="shared" ca="1" si="5"/>
        <v>0</v>
      </c>
      <c r="K69" s="22">
        <f t="shared" ca="1" si="6"/>
        <v>14.876712328767123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</row>
    <row r="70" spans="2:117" hidden="1" x14ac:dyDescent="0.25">
      <c r="B70" s="6"/>
      <c r="C70" s="6"/>
      <c r="D70" s="6"/>
      <c r="E70" s="37">
        <v>66</v>
      </c>
      <c r="F70" s="19">
        <f t="shared" ref="F70:F133" ca="1" si="7">RANDBETWEEN($C$7,$C$8)</f>
        <v>109</v>
      </c>
      <c r="G70" s="19">
        <f t="shared" ref="G70:G133" ca="1" si="8">H69+I69*$C$10</f>
        <v>543</v>
      </c>
      <c r="H70" s="19">
        <f t="shared" ref="H70:H133" ca="1" si="9">G70-F70</f>
        <v>434</v>
      </c>
      <c r="I70" s="19">
        <f t="shared" ref="I70:I133" ca="1" si="10">IF(H70&lt;$C$8,1,0)</f>
        <v>0</v>
      </c>
      <c r="J70" s="19">
        <f t="shared" ref="J70:J133" ca="1" si="11">I70*$C$4</f>
        <v>0</v>
      </c>
      <c r="K70" s="22">
        <f t="shared" ref="K70:K133" ca="1" si="12">H70*$C$9</f>
        <v>11.890410958904109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</row>
    <row r="71" spans="2:117" hidden="1" x14ac:dyDescent="0.25">
      <c r="B71" s="6"/>
      <c r="C71" s="6"/>
      <c r="D71" s="6"/>
      <c r="E71" s="37">
        <v>67</v>
      </c>
      <c r="F71" s="19">
        <f t="shared" ca="1" si="7"/>
        <v>117</v>
      </c>
      <c r="G71" s="19">
        <f t="shared" ca="1" si="8"/>
        <v>434</v>
      </c>
      <c r="H71" s="19">
        <f t="shared" ca="1" si="9"/>
        <v>317</v>
      </c>
      <c r="I71" s="19">
        <f t="shared" ca="1" si="10"/>
        <v>0</v>
      </c>
      <c r="J71" s="19">
        <f t="shared" ca="1" si="11"/>
        <v>0</v>
      </c>
      <c r="K71" s="22">
        <f t="shared" ca="1" si="12"/>
        <v>8.6849315068493151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</row>
    <row r="72" spans="2:117" hidden="1" x14ac:dyDescent="0.25">
      <c r="B72" s="6"/>
      <c r="C72" s="6"/>
      <c r="D72" s="6"/>
      <c r="E72" s="37">
        <v>68</v>
      </c>
      <c r="F72" s="19">
        <f t="shared" ca="1" si="7"/>
        <v>99</v>
      </c>
      <c r="G72" s="19">
        <f t="shared" ca="1" si="8"/>
        <v>317</v>
      </c>
      <c r="H72" s="19">
        <f t="shared" ca="1" si="9"/>
        <v>218</v>
      </c>
      <c r="I72" s="19">
        <f t="shared" ca="1" si="10"/>
        <v>0</v>
      </c>
      <c r="J72" s="19">
        <f t="shared" ca="1" si="11"/>
        <v>0</v>
      </c>
      <c r="K72" s="22">
        <f t="shared" ca="1" si="12"/>
        <v>5.9726027397260273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</row>
    <row r="73" spans="2:117" hidden="1" x14ac:dyDescent="0.25">
      <c r="B73" s="6"/>
      <c r="C73" s="6"/>
      <c r="D73" s="6"/>
      <c r="E73" s="37">
        <v>69</v>
      </c>
      <c r="F73" s="19">
        <f t="shared" ca="1" si="7"/>
        <v>115</v>
      </c>
      <c r="G73" s="19">
        <f t="shared" ca="1" si="8"/>
        <v>218</v>
      </c>
      <c r="H73" s="19">
        <f t="shared" ca="1" si="9"/>
        <v>103</v>
      </c>
      <c r="I73" s="19">
        <f t="shared" ca="1" si="10"/>
        <v>1</v>
      </c>
      <c r="J73" s="19">
        <f t="shared" ca="1" si="11"/>
        <v>200</v>
      </c>
      <c r="K73" s="22">
        <f t="shared" ca="1" si="12"/>
        <v>2.8219178082191778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</row>
    <row r="74" spans="2:117" hidden="1" x14ac:dyDescent="0.25">
      <c r="B74" s="6"/>
      <c r="C74" s="6"/>
      <c r="D74" s="6"/>
      <c r="E74" s="37">
        <v>70</v>
      </c>
      <c r="F74" s="19">
        <f t="shared" ca="1" si="7"/>
        <v>82</v>
      </c>
      <c r="G74" s="19">
        <f t="shared" ca="1" si="8"/>
        <v>1103</v>
      </c>
      <c r="H74" s="19">
        <f t="shared" ca="1" si="9"/>
        <v>1021</v>
      </c>
      <c r="I74" s="19">
        <f t="shared" ca="1" si="10"/>
        <v>0</v>
      </c>
      <c r="J74" s="19">
        <f t="shared" ca="1" si="11"/>
        <v>0</v>
      </c>
      <c r="K74" s="22">
        <f t="shared" ca="1" si="12"/>
        <v>27.972602739726025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</row>
    <row r="75" spans="2:117" hidden="1" x14ac:dyDescent="0.25">
      <c r="B75" s="6"/>
      <c r="C75" s="6"/>
      <c r="D75" s="6"/>
      <c r="E75" s="37">
        <v>71</v>
      </c>
      <c r="F75" s="19">
        <f t="shared" ca="1" si="7"/>
        <v>103</v>
      </c>
      <c r="G75" s="19">
        <f t="shared" ca="1" si="8"/>
        <v>1021</v>
      </c>
      <c r="H75" s="19">
        <f t="shared" ca="1" si="9"/>
        <v>918</v>
      </c>
      <c r="I75" s="19">
        <f t="shared" ca="1" si="10"/>
        <v>0</v>
      </c>
      <c r="J75" s="19">
        <f t="shared" ca="1" si="11"/>
        <v>0</v>
      </c>
      <c r="K75" s="22">
        <f t="shared" ca="1" si="12"/>
        <v>25.150684931506849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</row>
    <row r="76" spans="2:117" hidden="1" x14ac:dyDescent="0.25">
      <c r="B76" s="6"/>
      <c r="C76" s="6"/>
      <c r="D76" s="6"/>
      <c r="E76" s="37">
        <v>72</v>
      </c>
      <c r="F76" s="19">
        <f t="shared" ca="1" si="7"/>
        <v>80</v>
      </c>
      <c r="G76" s="19">
        <f t="shared" ca="1" si="8"/>
        <v>918</v>
      </c>
      <c r="H76" s="19">
        <f t="shared" ca="1" si="9"/>
        <v>838</v>
      </c>
      <c r="I76" s="19">
        <f t="shared" ca="1" si="10"/>
        <v>0</v>
      </c>
      <c r="J76" s="19">
        <f t="shared" ca="1" si="11"/>
        <v>0</v>
      </c>
      <c r="K76" s="22">
        <f t="shared" ca="1" si="12"/>
        <v>22.958904109589039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</row>
    <row r="77" spans="2:117" hidden="1" x14ac:dyDescent="0.25">
      <c r="B77" s="6"/>
      <c r="C77" s="6"/>
      <c r="D77" s="6"/>
      <c r="E77" s="37">
        <v>73</v>
      </c>
      <c r="F77" s="19">
        <f t="shared" ca="1" si="7"/>
        <v>96</v>
      </c>
      <c r="G77" s="19">
        <f t="shared" ca="1" si="8"/>
        <v>838</v>
      </c>
      <c r="H77" s="19">
        <f t="shared" ca="1" si="9"/>
        <v>742</v>
      </c>
      <c r="I77" s="19">
        <f t="shared" ca="1" si="10"/>
        <v>0</v>
      </c>
      <c r="J77" s="19">
        <f t="shared" ca="1" si="11"/>
        <v>0</v>
      </c>
      <c r="K77" s="22">
        <f t="shared" ca="1" si="12"/>
        <v>20.328767123287669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</row>
    <row r="78" spans="2:117" hidden="1" x14ac:dyDescent="0.25">
      <c r="B78" s="6"/>
      <c r="C78" s="6"/>
      <c r="D78" s="6"/>
      <c r="E78" s="37">
        <v>74</v>
      </c>
      <c r="F78" s="19">
        <f t="shared" ca="1" si="7"/>
        <v>80</v>
      </c>
      <c r="G78" s="19">
        <f t="shared" ca="1" si="8"/>
        <v>742</v>
      </c>
      <c r="H78" s="19">
        <f t="shared" ca="1" si="9"/>
        <v>662</v>
      </c>
      <c r="I78" s="19">
        <f t="shared" ca="1" si="10"/>
        <v>0</v>
      </c>
      <c r="J78" s="19">
        <f t="shared" ca="1" si="11"/>
        <v>0</v>
      </c>
      <c r="K78" s="22">
        <f t="shared" ca="1" si="12"/>
        <v>18.136986301369863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</row>
    <row r="79" spans="2:117" hidden="1" x14ac:dyDescent="0.25">
      <c r="B79" s="6"/>
      <c r="C79" s="6"/>
      <c r="D79" s="6"/>
      <c r="E79" s="37">
        <v>75</v>
      </c>
      <c r="F79" s="19">
        <f t="shared" ca="1" si="7"/>
        <v>82</v>
      </c>
      <c r="G79" s="19">
        <f t="shared" ca="1" si="8"/>
        <v>662</v>
      </c>
      <c r="H79" s="19">
        <f t="shared" ca="1" si="9"/>
        <v>580</v>
      </c>
      <c r="I79" s="19">
        <f t="shared" ca="1" si="10"/>
        <v>0</v>
      </c>
      <c r="J79" s="19">
        <f t="shared" ca="1" si="11"/>
        <v>0</v>
      </c>
      <c r="K79" s="22">
        <f t="shared" ca="1" si="12"/>
        <v>15.890410958904109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</row>
    <row r="80" spans="2:117" hidden="1" x14ac:dyDescent="0.25">
      <c r="B80" s="6"/>
      <c r="C80" s="6"/>
      <c r="D80" s="6"/>
      <c r="E80" s="37">
        <v>76</v>
      </c>
      <c r="F80" s="19">
        <f t="shared" ca="1" si="7"/>
        <v>92</v>
      </c>
      <c r="G80" s="19">
        <f t="shared" ca="1" si="8"/>
        <v>580</v>
      </c>
      <c r="H80" s="19">
        <f t="shared" ca="1" si="9"/>
        <v>488</v>
      </c>
      <c r="I80" s="19">
        <f t="shared" ca="1" si="10"/>
        <v>0</v>
      </c>
      <c r="J80" s="19">
        <f t="shared" ca="1" si="11"/>
        <v>0</v>
      </c>
      <c r="K80" s="22">
        <f t="shared" ca="1" si="12"/>
        <v>13.36986301369863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</row>
    <row r="81" spans="2:117" hidden="1" x14ac:dyDescent="0.25">
      <c r="B81" s="6"/>
      <c r="C81" s="6"/>
      <c r="D81" s="6"/>
      <c r="E81" s="37">
        <v>77</v>
      </c>
      <c r="F81" s="19">
        <f t="shared" ca="1" si="7"/>
        <v>83</v>
      </c>
      <c r="G81" s="19">
        <f t="shared" ca="1" si="8"/>
        <v>488</v>
      </c>
      <c r="H81" s="19">
        <f t="shared" ca="1" si="9"/>
        <v>405</v>
      </c>
      <c r="I81" s="19">
        <f t="shared" ca="1" si="10"/>
        <v>0</v>
      </c>
      <c r="J81" s="19">
        <f t="shared" ca="1" si="11"/>
        <v>0</v>
      </c>
      <c r="K81" s="22">
        <f t="shared" ca="1" si="12"/>
        <v>11.095890410958903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</row>
    <row r="82" spans="2:117" hidden="1" x14ac:dyDescent="0.25">
      <c r="B82" s="6"/>
      <c r="C82" s="6"/>
      <c r="D82" s="6"/>
      <c r="E82" s="37">
        <v>78</v>
      </c>
      <c r="F82" s="19">
        <f t="shared" ca="1" si="7"/>
        <v>90</v>
      </c>
      <c r="G82" s="19">
        <f t="shared" ca="1" si="8"/>
        <v>405</v>
      </c>
      <c r="H82" s="19">
        <f t="shared" ca="1" si="9"/>
        <v>315</v>
      </c>
      <c r="I82" s="19">
        <f t="shared" ca="1" si="10"/>
        <v>0</v>
      </c>
      <c r="J82" s="19">
        <f t="shared" ca="1" si="11"/>
        <v>0</v>
      </c>
      <c r="K82" s="22">
        <f t="shared" ca="1" si="12"/>
        <v>8.6301369863013697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</row>
    <row r="83" spans="2:117" hidden="1" x14ac:dyDescent="0.25">
      <c r="B83" s="6"/>
      <c r="C83" s="6"/>
      <c r="D83" s="6"/>
      <c r="E83" s="37">
        <v>79</v>
      </c>
      <c r="F83" s="19">
        <f t="shared" ca="1" si="7"/>
        <v>84</v>
      </c>
      <c r="G83" s="19">
        <f t="shared" ca="1" si="8"/>
        <v>315</v>
      </c>
      <c r="H83" s="19">
        <f t="shared" ca="1" si="9"/>
        <v>231</v>
      </c>
      <c r="I83" s="19">
        <f t="shared" ca="1" si="10"/>
        <v>0</v>
      </c>
      <c r="J83" s="19">
        <f t="shared" ca="1" si="11"/>
        <v>0</v>
      </c>
      <c r="K83" s="22">
        <f t="shared" ca="1" si="12"/>
        <v>6.3287671232876708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</row>
    <row r="84" spans="2:117" hidden="1" x14ac:dyDescent="0.25">
      <c r="B84" s="6"/>
      <c r="C84" s="6"/>
      <c r="D84" s="6"/>
      <c r="E84" s="37">
        <v>80</v>
      </c>
      <c r="F84" s="19">
        <f t="shared" ca="1" si="7"/>
        <v>90</v>
      </c>
      <c r="G84" s="19">
        <f t="shared" ca="1" si="8"/>
        <v>231</v>
      </c>
      <c r="H84" s="19">
        <f t="shared" ca="1" si="9"/>
        <v>141</v>
      </c>
      <c r="I84" s="19">
        <f t="shared" ca="1" si="10"/>
        <v>0</v>
      </c>
      <c r="J84" s="19">
        <f t="shared" ca="1" si="11"/>
        <v>0</v>
      </c>
      <c r="K84" s="22">
        <f t="shared" ca="1" si="12"/>
        <v>3.8630136986301369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</row>
    <row r="85" spans="2:117" hidden="1" x14ac:dyDescent="0.25">
      <c r="B85" s="6"/>
      <c r="C85" s="6"/>
      <c r="D85" s="6"/>
      <c r="E85" s="37">
        <v>81</v>
      </c>
      <c r="F85" s="19">
        <f t="shared" ca="1" si="7"/>
        <v>107</v>
      </c>
      <c r="G85" s="19">
        <f t="shared" ca="1" si="8"/>
        <v>141</v>
      </c>
      <c r="H85" s="19">
        <f t="shared" ca="1" si="9"/>
        <v>34</v>
      </c>
      <c r="I85" s="19">
        <f t="shared" ca="1" si="10"/>
        <v>1</v>
      </c>
      <c r="J85" s="19">
        <f t="shared" ca="1" si="11"/>
        <v>200</v>
      </c>
      <c r="K85" s="22">
        <f t="shared" ca="1" si="12"/>
        <v>0.93150684931506844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</row>
    <row r="86" spans="2:117" hidden="1" x14ac:dyDescent="0.25">
      <c r="B86" s="6"/>
      <c r="C86" s="6"/>
      <c r="D86" s="6"/>
      <c r="E86" s="37">
        <v>82</v>
      </c>
      <c r="F86" s="19">
        <f t="shared" ca="1" si="7"/>
        <v>118</v>
      </c>
      <c r="G86" s="19">
        <f t="shared" ca="1" si="8"/>
        <v>1034</v>
      </c>
      <c r="H86" s="19">
        <f t="shared" ca="1" si="9"/>
        <v>916</v>
      </c>
      <c r="I86" s="19">
        <f t="shared" ca="1" si="10"/>
        <v>0</v>
      </c>
      <c r="J86" s="19">
        <f t="shared" ca="1" si="11"/>
        <v>0</v>
      </c>
      <c r="K86" s="22">
        <f t="shared" ca="1" si="12"/>
        <v>25.095890410958901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</row>
    <row r="87" spans="2:117" hidden="1" x14ac:dyDescent="0.25">
      <c r="B87" s="6"/>
      <c r="C87" s="6"/>
      <c r="D87" s="6"/>
      <c r="E87" s="37">
        <v>83</v>
      </c>
      <c r="F87" s="19">
        <f t="shared" ca="1" si="7"/>
        <v>84</v>
      </c>
      <c r="G87" s="19">
        <f t="shared" ca="1" si="8"/>
        <v>916</v>
      </c>
      <c r="H87" s="19">
        <f t="shared" ca="1" si="9"/>
        <v>832</v>
      </c>
      <c r="I87" s="19">
        <f t="shared" ca="1" si="10"/>
        <v>0</v>
      </c>
      <c r="J87" s="19">
        <f t="shared" ca="1" si="11"/>
        <v>0</v>
      </c>
      <c r="K87" s="22">
        <f t="shared" ca="1" si="12"/>
        <v>22.794520547945204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</row>
    <row r="88" spans="2:117" hidden="1" x14ac:dyDescent="0.25">
      <c r="B88" s="6"/>
      <c r="C88" s="6"/>
      <c r="D88" s="6"/>
      <c r="E88" s="37">
        <v>84</v>
      </c>
      <c r="F88" s="19">
        <f t="shared" ca="1" si="7"/>
        <v>112</v>
      </c>
      <c r="G88" s="19">
        <f t="shared" ca="1" si="8"/>
        <v>832</v>
      </c>
      <c r="H88" s="19">
        <f t="shared" ca="1" si="9"/>
        <v>720</v>
      </c>
      <c r="I88" s="19">
        <f t="shared" ca="1" si="10"/>
        <v>0</v>
      </c>
      <c r="J88" s="19">
        <f t="shared" ca="1" si="11"/>
        <v>0</v>
      </c>
      <c r="K88" s="22">
        <f t="shared" ca="1" si="12"/>
        <v>19.726027397260275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</row>
    <row r="89" spans="2:117" hidden="1" x14ac:dyDescent="0.25">
      <c r="B89" s="6"/>
      <c r="C89" s="6"/>
      <c r="D89" s="6"/>
      <c r="E89" s="37">
        <v>85</v>
      </c>
      <c r="F89" s="19">
        <f t="shared" ca="1" si="7"/>
        <v>85</v>
      </c>
      <c r="G89" s="19">
        <f t="shared" ca="1" si="8"/>
        <v>720</v>
      </c>
      <c r="H89" s="19">
        <f t="shared" ca="1" si="9"/>
        <v>635</v>
      </c>
      <c r="I89" s="19">
        <f t="shared" ca="1" si="10"/>
        <v>0</v>
      </c>
      <c r="J89" s="19">
        <f t="shared" ca="1" si="11"/>
        <v>0</v>
      </c>
      <c r="K89" s="22">
        <f t="shared" ca="1" si="12"/>
        <v>17.397260273972602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</row>
    <row r="90" spans="2:117" hidden="1" x14ac:dyDescent="0.25">
      <c r="B90" s="6"/>
      <c r="C90" s="6"/>
      <c r="D90" s="6"/>
      <c r="E90" s="37">
        <v>86</v>
      </c>
      <c r="F90" s="19">
        <f t="shared" ca="1" si="7"/>
        <v>89</v>
      </c>
      <c r="G90" s="19">
        <f t="shared" ca="1" si="8"/>
        <v>635</v>
      </c>
      <c r="H90" s="19">
        <f t="shared" ca="1" si="9"/>
        <v>546</v>
      </c>
      <c r="I90" s="19">
        <f t="shared" ca="1" si="10"/>
        <v>0</v>
      </c>
      <c r="J90" s="19">
        <f t="shared" ca="1" si="11"/>
        <v>0</v>
      </c>
      <c r="K90" s="22">
        <f t="shared" ca="1" si="12"/>
        <v>14.95890410958904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</row>
    <row r="91" spans="2:117" hidden="1" x14ac:dyDescent="0.25">
      <c r="B91" s="6"/>
      <c r="C91" s="6"/>
      <c r="D91" s="6"/>
      <c r="E91" s="37">
        <v>87</v>
      </c>
      <c r="F91" s="19">
        <f t="shared" ca="1" si="7"/>
        <v>108</v>
      </c>
      <c r="G91" s="19">
        <f t="shared" ca="1" si="8"/>
        <v>546</v>
      </c>
      <c r="H91" s="19">
        <f t="shared" ca="1" si="9"/>
        <v>438</v>
      </c>
      <c r="I91" s="19">
        <f t="shared" ca="1" si="10"/>
        <v>0</v>
      </c>
      <c r="J91" s="19">
        <f t="shared" ca="1" si="11"/>
        <v>0</v>
      </c>
      <c r="K91" s="22">
        <f t="shared" ca="1" si="12"/>
        <v>12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</row>
    <row r="92" spans="2:117" hidden="1" x14ac:dyDescent="0.25">
      <c r="B92" s="6"/>
      <c r="C92" s="6"/>
      <c r="D92" s="6"/>
      <c r="E92" s="37">
        <v>88</v>
      </c>
      <c r="F92" s="19">
        <f t="shared" ca="1" si="7"/>
        <v>118</v>
      </c>
      <c r="G92" s="19">
        <f t="shared" ca="1" si="8"/>
        <v>438</v>
      </c>
      <c r="H92" s="19">
        <f t="shared" ca="1" si="9"/>
        <v>320</v>
      </c>
      <c r="I92" s="19">
        <f t="shared" ca="1" si="10"/>
        <v>0</v>
      </c>
      <c r="J92" s="19">
        <f t="shared" ca="1" si="11"/>
        <v>0</v>
      </c>
      <c r="K92" s="22">
        <f t="shared" ca="1" si="12"/>
        <v>8.7671232876712324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</row>
    <row r="93" spans="2:117" hidden="1" x14ac:dyDescent="0.25">
      <c r="B93" s="6"/>
      <c r="C93" s="6"/>
      <c r="D93" s="6"/>
      <c r="E93" s="37">
        <v>89</v>
      </c>
      <c r="F93" s="19">
        <f t="shared" ca="1" si="7"/>
        <v>103</v>
      </c>
      <c r="G93" s="19">
        <f t="shared" ca="1" si="8"/>
        <v>320</v>
      </c>
      <c r="H93" s="19">
        <f t="shared" ca="1" si="9"/>
        <v>217</v>
      </c>
      <c r="I93" s="19">
        <f t="shared" ca="1" si="10"/>
        <v>0</v>
      </c>
      <c r="J93" s="19">
        <f t="shared" ca="1" si="11"/>
        <v>0</v>
      </c>
      <c r="K93" s="22">
        <f t="shared" ca="1" si="12"/>
        <v>5.9452054794520546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</row>
    <row r="94" spans="2:117" hidden="1" x14ac:dyDescent="0.25">
      <c r="B94" s="6"/>
      <c r="C94" s="6"/>
      <c r="D94" s="6"/>
      <c r="E94" s="37">
        <v>90</v>
      </c>
      <c r="F94" s="19">
        <f t="shared" ca="1" si="7"/>
        <v>108</v>
      </c>
      <c r="G94" s="19">
        <f t="shared" ca="1" si="8"/>
        <v>217</v>
      </c>
      <c r="H94" s="19">
        <f t="shared" ca="1" si="9"/>
        <v>109</v>
      </c>
      <c r="I94" s="19">
        <f t="shared" ca="1" si="10"/>
        <v>1</v>
      </c>
      <c r="J94" s="19">
        <f t="shared" ca="1" si="11"/>
        <v>200</v>
      </c>
      <c r="K94" s="22">
        <f t="shared" ca="1" si="12"/>
        <v>2.9863013698630136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</row>
    <row r="95" spans="2:117" hidden="1" x14ac:dyDescent="0.25">
      <c r="B95" s="6"/>
      <c r="C95" s="6"/>
      <c r="D95" s="6"/>
      <c r="E95" s="37">
        <v>91</v>
      </c>
      <c r="F95" s="19">
        <f t="shared" ca="1" si="7"/>
        <v>80</v>
      </c>
      <c r="G95" s="19">
        <f t="shared" ca="1" si="8"/>
        <v>1109</v>
      </c>
      <c r="H95" s="19">
        <f t="shared" ca="1" si="9"/>
        <v>1029</v>
      </c>
      <c r="I95" s="19">
        <f t="shared" ca="1" si="10"/>
        <v>0</v>
      </c>
      <c r="J95" s="19">
        <f t="shared" ca="1" si="11"/>
        <v>0</v>
      </c>
      <c r="K95" s="22">
        <f t="shared" ca="1" si="12"/>
        <v>28.191780821917806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</row>
    <row r="96" spans="2:117" hidden="1" x14ac:dyDescent="0.25">
      <c r="B96" s="6"/>
      <c r="C96" s="6"/>
      <c r="D96" s="6"/>
      <c r="E96" s="37">
        <v>92</v>
      </c>
      <c r="F96" s="19">
        <f t="shared" ca="1" si="7"/>
        <v>86</v>
      </c>
      <c r="G96" s="19">
        <f t="shared" ca="1" si="8"/>
        <v>1029</v>
      </c>
      <c r="H96" s="19">
        <f t="shared" ca="1" si="9"/>
        <v>943</v>
      </c>
      <c r="I96" s="19">
        <f t="shared" ca="1" si="10"/>
        <v>0</v>
      </c>
      <c r="J96" s="19">
        <f t="shared" ca="1" si="11"/>
        <v>0</v>
      </c>
      <c r="K96" s="22">
        <f t="shared" ca="1" si="12"/>
        <v>25.835616438356162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</row>
    <row r="97" spans="2:117" hidden="1" x14ac:dyDescent="0.25">
      <c r="B97" s="6"/>
      <c r="C97" s="6"/>
      <c r="D97" s="6"/>
      <c r="E97" s="37">
        <v>93</v>
      </c>
      <c r="F97" s="19">
        <f t="shared" ca="1" si="7"/>
        <v>108</v>
      </c>
      <c r="G97" s="19">
        <f t="shared" ca="1" si="8"/>
        <v>943</v>
      </c>
      <c r="H97" s="19">
        <f t="shared" ca="1" si="9"/>
        <v>835</v>
      </c>
      <c r="I97" s="19">
        <f t="shared" ca="1" si="10"/>
        <v>0</v>
      </c>
      <c r="J97" s="19">
        <f t="shared" ca="1" si="11"/>
        <v>0</v>
      </c>
      <c r="K97" s="22">
        <f t="shared" ca="1" si="12"/>
        <v>22.876712328767123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</row>
    <row r="98" spans="2:117" hidden="1" x14ac:dyDescent="0.25">
      <c r="B98" s="6"/>
      <c r="C98" s="6"/>
      <c r="D98" s="6"/>
      <c r="E98" s="37">
        <v>94</v>
      </c>
      <c r="F98" s="19">
        <f t="shared" ca="1" si="7"/>
        <v>92</v>
      </c>
      <c r="G98" s="19">
        <f t="shared" ca="1" si="8"/>
        <v>835</v>
      </c>
      <c r="H98" s="19">
        <f t="shared" ca="1" si="9"/>
        <v>743</v>
      </c>
      <c r="I98" s="19">
        <f t="shared" ca="1" si="10"/>
        <v>0</v>
      </c>
      <c r="J98" s="19">
        <f t="shared" ca="1" si="11"/>
        <v>0</v>
      </c>
      <c r="K98" s="22">
        <f t="shared" ca="1" si="12"/>
        <v>20.356164383561644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</row>
    <row r="99" spans="2:117" hidden="1" x14ac:dyDescent="0.25">
      <c r="B99" s="6"/>
      <c r="C99" s="6"/>
      <c r="D99" s="6"/>
      <c r="E99" s="37">
        <v>95</v>
      </c>
      <c r="F99" s="19">
        <f t="shared" ca="1" si="7"/>
        <v>104</v>
      </c>
      <c r="G99" s="19">
        <f t="shared" ca="1" si="8"/>
        <v>743</v>
      </c>
      <c r="H99" s="19">
        <f t="shared" ca="1" si="9"/>
        <v>639</v>
      </c>
      <c r="I99" s="19">
        <f t="shared" ca="1" si="10"/>
        <v>0</v>
      </c>
      <c r="J99" s="19">
        <f t="shared" ca="1" si="11"/>
        <v>0</v>
      </c>
      <c r="K99" s="22">
        <f t="shared" ca="1" si="12"/>
        <v>17.506849315068493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</row>
    <row r="100" spans="2:117" hidden="1" x14ac:dyDescent="0.25">
      <c r="B100" s="6"/>
      <c r="C100" s="6"/>
      <c r="D100" s="6"/>
      <c r="E100" s="37">
        <v>96</v>
      </c>
      <c r="F100" s="19">
        <f t="shared" ca="1" si="7"/>
        <v>87</v>
      </c>
      <c r="G100" s="19">
        <f t="shared" ca="1" si="8"/>
        <v>639</v>
      </c>
      <c r="H100" s="19">
        <f t="shared" ca="1" si="9"/>
        <v>552</v>
      </c>
      <c r="I100" s="19">
        <f t="shared" ca="1" si="10"/>
        <v>0</v>
      </c>
      <c r="J100" s="19">
        <f t="shared" ca="1" si="11"/>
        <v>0</v>
      </c>
      <c r="K100" s="22">
        <f t="shared" ca="1" si="12"/>
        <v>15.123287671232877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</row>
    <row r="101" spans="2:117" hidden="1" x14ac:dyDescent="0.25">
      <c r="B101" s="6"/>
      <c r="C101" s="6"/>
      <c r="D101" s="6"/>
      <c r="E101" s="37">
        <v>97</v>
      </c>
      <c r="F101" s="19">
        <f t="shared" ca="1" si="7"/>
        <v>90</v>
      </c>
      <c r="G101" s="19">
        <f t="shared" ca="1" si="8"/>
        <v>552</v>
      </c>
      <c r="H101" s="19">
        <f t="shared" ca="1" si="9"/>
        <v>462</v>
      </c>
      <c r="I101" s="19">
        <f t="shared" ca="1" si="10"/>
        <v>0</v>
      </c>
      <c r="J101" s="19">
        <f t="shared" ca="1" si="11"/>
        <v>0</v>
      </c>
      <c r="K101" s="22">
        <f t="shared" ca="1" si="12"/>
        <v>12.657534246575342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</row>
    <row r="102" spans="2:117" hidden="1" x14ac:dyDescent="0.25">
      <c r="B102" s="6"/>
      <c r="C102" s="6"/>
      <c r="D102" s="6"/>
      <c r="E102" s="37">
        <v>98</v>
      </c>
      <c r="F102" s="19">
        <f t="shared" ca="1" si="7"/>
        <v>81</v>
      </c>
      <c r="G102" s="19">
        <f t="shared" ca="1" si="8"/>
        <v>462</v>
      </c>
      <c r="H102" s="19">
        <f t="shared" ca="1" si="9"/>
        <v>381</v>
      </c>
      <c r="I102" s="19">
        <f t="shared" ca="1" si="10"/>
        <v>0</v>
      </c>
      <c r="J102" s="19">
        <f t="shared" ca="1" si="11"/>
        <v>0</v>
      </c>
      <c r="K102" s="22">
        <f t="shared" ca="1" si="12"/>
        <v>10.438356164383562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</row>
    <row r="103" spans="2:117" hidden="1" x14ac:dyDescent="0.25">
      <c r="B103" s="6"/>
      <c r="C103" s="6"/>
      <c r="D103" s="6"/>
      <c r="E103" s="37">
        <v>99</v>
      </c>
      <c r="F103" s="19">
        <f t="shared" ca="1" si="7"/>
        <v>94</v>
      </c>
      <c r="G103" s="19">
        <f t="shared" ca="1" si="8"/>
        <v>381</v>
      </c>
      <c r="H103" s="19">
        <f t="shared" ca="1" si="9"/>
        <v>287</v>
      </c>
      <c r="I103" s="19">
        <f t="shared" ca="1" si="10"/>
        <v>0</v>
      </c>
      <c r="J103" s="19">
        <f t="shared" ca="1" si="11"/>
        <v>0</v>
      </c>
      <c r="K103" s="22">
        <f t="shared" ca="1" si="12"/>
        <v>7.8630136986301364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</row>
    <row r="104" spans="2:117" hidden="1" x14ac:dyDescent="0.25">
      <c r="B104" s="6"/>
      <c r="C104" s="6"/>
      <c r="D104" s="6"/>
      <c r="E104" s="37">
        <v>100</v>
      </c>
      <c r="F104" s="19">
        <f t="shared" ca="1" si="7"/>
        <v>82</v>
      </c>
      <c r="G104" s="19">
        <f t="shared" ca="1" si="8"/>
        <v>287</v>
      </c>
      <c r="H104" s="19">
        <f t="shared" ca="1" si="9"/>
        <v>205</v>
      </c>
      <c r="I104" s="19">
        <f t="shared" ca="1" si="10"/>
        <v>0</v>
      </c>
      <c r="J104" s="19">
        <f t="shared" ca="1" si="11"/>
        <v>0</v>
      </c>
      <c r="K104" s="22">
        <f t="shared" ca="1" si="12"/>
        <v>5.6164383561643829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</row>
    <row r="105" spans="2:117" hidden="1" x14ac:dyDescent="0.25">
      <c r="B105" s="6"/>
      <c r="C105" s="6"/>
      <c r="D105" s="6"/>
      <c r="E105" s="37">
        <v>101</v>
      </c>
      <c r="F105" s="19">
        <f t="shared" ca="1" si="7"/>
        <v>82</v>
      </c>
      <c r="G105" s="19">
        <f t="shared" ca="1" si="8"/>
        <v>205</v>
      </c>
      <c r="H105" s="19">
        <f t="shared" ca="1" si="9"/>
        <v>123</v>
      </c>
      <c r="I105" s="19">
        <f t="shared" ca="1" si="10"/>
        <v>0</v>
      </c>
      <c r="J105" s="19">
        <f t="shared" ca="1" si="11"/>
        <v>0</v>
      </c>
      <c r="K105" s="22">
        <f t="shared" ca="1" si="12"/>
        <v>3.3698630136986298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</row>
    <row r="106" spans="2:117" hidden="1" x14ac:dyDescent="0.25">
      <c r="B106" s="6"/>
      <c r="C106" s="6"/>
      <c r="D106" s="6"/>
      <c r="E106" s="37">
        <v>102</v>
      </c>
      <c r="F106" s="19">
        <f t="shared" ca="1" si="7"/>
        <v>91</v>
      </c>
      <c r="G106" s="19">
        <f t="shared" ca="1" si="8"/>
        <v>123</v>
      </c>
      <c r="H106" s="19">
        <f t="shared" ca="1" si="9"/>
        <v>32</v>
      </c>
      <c r="I106" s="19">
        <f t="shared" ca="1" si="10"/>
        <v>1</v>
      </c>
      <c r="J106" s="19">
        <f t="shared" ca="1" si="11"/>
        <v>200</v>
      </c>
      <c r="K106" s="22">
        <f t="shared" ca="1" si="12"/>
        <v>0.87671232876712324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</row>
    <row r="107" spans="2:117" hidden="1" x14ac:dyDescent="0.25">
      <c r="B107" s="6"/>
      <c r="C107" s="6"/>
      <c r="D107" s="6"/>
      <c r="E107" s="37">
        <v>103</v>
      </c>
      <c r="F107" s="19">
        <f t="shared" ca="1" si="7"/>
        <v>106</v>
      </c>
      <c r="G107" s="19">
        <f t="shared" ca="1" si="8"/>
        <v>1032</v>
      </c>
      <c r="H107" s="19">
        <f t="shared" ca="1" si="9"/>
        <v>926</v>
      </c>
      <c r="I107" s="19">
        <f t="shared" ca="1" si="10"/>
        <v>0</v>
      </c>
      <c r="J107" s="19">
        <f t="shared" ca="1" si="11"/>
        <v>0</v>
      </c>
      <c r="K107" s="22">
        <f t="shared" ca="1" si="12"/>
        <v>25.36986301369863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</row>
    <row r="108" spans="2:117" hidden="1" x14ac:dyDescent="0.25">
      <c r="B108" s="6"/>
      <c r="C108" s="6"/>
      <c r="D108" s="6"/>
      <c r="E108" s="37">
        <v>104</v>
      </c>
      <c r="F108" s="19">
        <f t="shared" ca="1" si="7"/>
        <v>94</v>
      </c>
      <c r="G108" s="19">
        <f t="shared" ca="1" si="8"/>
        <v>926</v>
      </c>
      <c r="H108" s="19">
        <f t="shared" ca="1" si="9"/>
        <v>832</v>
      </c>
      <c r="I108" s="19">
        <f t="shared" ca="1" si="10"/>
        <v>0</v>
      </c>
      <c r="J108" s="19">
        <f t="shared" ca="1" si="11"/>
        <v>0</v>
      </c>
      <c r="K108" s="22">
        <f t="shared" ca="1" si="12"/>
        <v>22.794520547945204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</row>
    <row r="109" spans="2:117" hidden="1" x14ac:dyDescent="0.25">
      <c r="B109" s="6"/>
      <c r="C109" s="6"/>
      <c r="D109" s="6"/>
      <c r="E109" s="37">
        <v>105</v>
      </c>
      <c r="F109" s="19">
        <f t="shared" ca="1" si="7"/>
        <v>109</v>
      </c>
      <c r="G109" s="19">
        <f t="shared" ca="1" si="8"/>
        <v>832</v>
      </c>
      <c r="H109" s="19">
        <f t="shared" ca="1" si="9"/>
        <v>723</v>
      </c>
      <c r="I109" s="19">
        <f t="shared" ca="1" si="10"/>
        <v>0</v>
      </c>
      <c r="J109" s="19">
        <f t="shared" ca="1" si="11"/>
        <v>0</v>
      </c>
      <c r="K109" s="22">
        <f t="shared" ca="1" si="12"/>
        <v>19.80821917808219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</row>
    <row r="110" spans="2:117" hidden="1" x14ac:dyDescent="0.25">
      <c r="B110" s="6"/>
      <c r="C110" s="6"/>
      <c r="D110" s="6"/>
      <c r="E110" s="37">
        <v>106</v>
      </c>
      <c r="F110" s="19">
        <f t="shared" ca="1" si="7"/>
        <v>90</v>
      </c>
      <c r="G110" s="19">
        <f t="shared" ca="1" si="8"/>
        <v>723</v>
      </c>
      <c r="H110" s="19">
        <f t="shared" ca="1" si="9"/>
        <v>633</v>
      </c>
      <c r="I110" s="19">
        <f t="shared" ca="1" si="10"/>
        <v>0</v>
      </c>
      <c r="J110" s="19">
        <f t="shared" ca="1" si="11"/>
        <v>0</v>
      </c>
      <c r="K110" s="22">
        <f t="shared" ca="1" si="12"/>
        <v>17.342465753424655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</row>
    <row r="111" spans="2:117" hidden="1" x14ac:dyDescent="0.25">
      <c r="B111" s="6"/>
      <c r="C111" s="6"/>
      <c r="D111" s="6"/>
      <c r="E111" s="37">
        <v>107</v>
      </c>
      <c r="F111" s="19">
        <f t="shared" ca="1" si="7"/>
        <v>81</v>
      </c>
      <c r="G111" s="19">
        <f t="shared" ca="1" si="8"/>
        <v>633</v>
      </c>
      <c r="H111" s="19">
        <f t="shared" ca="1" si="9"/>
        <v>552</v>
      </c>
      <c r="I111" s="19">
        <f t="shared" ca="1" si="10"/>
        <v>0</v>
      </c>
      <c r="J111" s="19">
        <f t="shared" ca="1" si="11"/>
        <v>0</v>
      </c>
      <c r="K111" s="22">
        <f t="shared" ca="1" si="12"/>
        <v>15.123287671232877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</row>
    <row r="112" spans="2:117" hidden="1" x14ac:dyDescent="0.25">
      <c r="B112" s="6"/>
      <c r="C112" s="6"/>
      <c r="D112" s="6"/>
      <c r="E112" s="37">
        <v>108</v>
      </c>
      <c r="F112" s="19">
        <f t="shared" ca="1" si="7"/>
        <v>95</v>
      </c>
      <c r="G112" s="19">
        <f t="shared" ca="1" si="8"/>
        <v>552</v>
      </c>
      <c r="H112" s="19">
        <f t="shared" ca="1" si="9"/>
        <v>457</v>
      </c>
      <c r="I112" s="19">
        <f t="shared" ca="1" si="10"/>
        <v>0</v>
      </c>
      <c r="J112" s="19">
        <f t="shared" ca="1" si="11"/>
        <v>0</v>
      </c>
      <c r="K112" s="22">
        <f t="shared" ca="1" si="12"/>
        <v>12.520547945205479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</row>
    <row r="113" spans="2:117" hidden="1" x14ac:dyDescent="0.25">
      <c r="B113" s="6"/>
      <c r="C113" s="6"/>
      <c r="D113" s="6"/>
      <c r="E113" s="37">
        <v>109</v>
      </c>
      <c r="F113" s="19">
        <f t="shared" ca="1" si="7"/>
        <v>107</v>
      </c>
      <c r="G113" s="19">
        <f t="shared" ca="1" si="8"/>
        <v>457</v>
      </c>
      <c r="H113" s="19">
        <f t="shared" ca="1" si="9"/>
        <v>350</v>
      </c>
      <c r="I113" s="19">
        <f t="shared" ca="1" si="10"/>
        <v>0</v>
      </c>
      <c r="J113" s="19">
        <f t="shared" ca="1" si="11"/>
        <v>0</v>
      </c>
      <c r="K113" s="22">
        <f t="shared" ca="1" si="12"/>
        <v>9.5890410958904102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</row>
    <row r="114" spans="2:117" hidden="1" x14ac:dyDescent="0.25">
      <c r="B114" s="6"/>
      <c r="C114" s="6"/>
      <c r="D114" s="6"/>
      <c r="E114" s="37">
        <v>110</v>
      </c>
      <c r="F114" s="19">
        <f t="shared" ca="1" si="7"/>
        <v>111</v>
      </c>
      <c r="G114" s="19">
        <f t="shared" ca="1" si="8"/>
        <v>350</v>
      </c>
      <c r="H114" s="19">
        <f t="shared" ca="1" si="9"/>
        <v>239</v>
      </c>
      <c r="I114" s="19">
        <f t="shared" ca="1" si="10"/>
        <v>0</v>
      </c>
      <c r="J114" s="19">
        <f t="shared" ca="1" si="11"/>
        <v>0</v>
      </c>
      <c r="K114" s="22">
        <f t="shared" ca="1" si="12"/>
        <v>6.5479452054794516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</row>
    <row r="115" spans="2:117" hidden="1" x14ac:dyDescent="0.25">
      <c r="B115" s="6"/>
      <c r="C115" s="6"/>
      <c r="D115" s="6"/>
      <c r="E115" s="37">
        <v>111</v>
      </c>
      <c r="F115" s="19">
        <f t="shared" ca="1" si="7"/>
        <v>102</v>
      </c>
      <c r="G115" s="19">
        <f t="shared" ca="1" si="8"/>
        <v>239</v>
      </c>
      <c r="H115" s="19">
        <f t="shared" ca="1" si="9"/>
        <v>137</v>
      </c>
      <c r="I115" s="19">
        <f t="shared" ca="1" si="10"/>
        <v>0</v>
      </c>
      <c r="J115" s="19">
        <f t="shared" ca="1" si="11"/>
        <v>0</v>
      </c>
      <c r="K115" s="22">
        <f t="shared" ca="1" si="12"/>
        <v>3.7534246575342465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</row>
    <row r="116" spans="2:117" hidden="1" x14ac:dyDescent="0.25">
      <c r="B116" s="6"/>
      <c r="C116" s="6"/>
      <c r="D116" s="6"/>
      <c r="E116" s="37">
        <v>112</v>
      </c>
      <c r="F116" s="19">
        <f t="shared" ca="1" si="7"/>
        <v>110</v>
      </c>
      <c r="G116" s="19">
        <f t="shared" ca="1" si="8"/>
        <v>137</v>
      </c>
      <c r="H116" s="19">
        <f t="shared" ca="1" si="9"/>
        <v>27</v>
      </c>
      <c r="I116" s="19">
        <f t="shared" ca="1" si="10"/>
        <v>1</v>
      </c>
      <c r="J116" s="19">
        <f t="shared" ca="1" si="11"/>
        <v>200</v>
      </c>
      <c r="K116" s="22">
        <f t="shared" ca="1" si="12"/>
        <v>0.73972602739726023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</row>
    <row r="117" spans="2:117" hidden="1" x14ac:dyDescent="0.25">
      <c r="B117" s="6"/>
      <c r="C117" s="6"/>
      <c r="D117" s="6"/>
      <c r="E117" s="37">
        <v>113</v>
      </c>
      <c r="F117" s="19">
        <f t="shared" ca="1" si="7"/>
        <v>116</v>
      </c>
      <c r="G117" s="19">
        <f t="shared" ca="1" si="8"/>
        <v>1027</v>
      </c>
      <c r="H117" s="19">
        <f t="shared" ca="1" si="9"/>
        <v>911</v>
      </c>
      <c r="I117" s="19">
        <f t="shared" ca="1" si="10"/>
        <v>0</v>
      </c>
      <c r="J117" s="19">
        <f t="shared" ca="1" si="11"/>
        <v>0</v>
      </c>
      <c r="K117" s="22">
        <f t="shared" ca="1" si="12"/>
        <v>24.958904109589039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</row>
    <row r="118" spans="2:117" hidden="1" x14ac:dyDescent="0.25">
      <c r="B118" s="6"/>
      <c r="C118" s="6"/>
      <c r="D118" s="6"/>
      <c r="E118" s="37">
        <v>114</v>
      </c>
      <c r="F118" s="19">
        <f t="shared" ca="1" si="7"/>
        <v>88</v>
      </c>
      <c r="G118" s="19">
        <f t="shared" ca="1" si="8"/>
        <v>911</v>
      </c>
      <c r="H118" s="19">
        <f t="shared" ca="1" si="9"/>
        <v>823</v>
      </c>
      <c r="I118" s="19">
        <f t="shared" ca="1" si="10"/>
        <v>0</v>
      </c>
      <c r="J118" s="19">
        <f t="shared" ca="1" si="11"/>
        <v>0</v>
      </c>
      <c r="K118" s="22">
        <f t="shared" ca="1" si="12"/>
        <v>22.547945205479451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</row>
    <row r="119" spans="2:117" hidden="1" x14ac:dyDescent="0.25">
      <c r="B119" s="6"/>
      <c r="C119" s="6"/>
      <c r="D119" s="6"/>
      <c r="E119" s="37">
        <v>115</v>
      </c>
      <c r="F119" s="19">
        <f t="shared" ca="1" si="7"/>
        <v>98</v>
      </c>
      <c r="G119" s="19">
        <f t="shared" ca="1" si="8"/>
        <v>823</v>
      </c>
      <c r="H119" s="19">
        <f t="shared" ca="1" si="9"/>
        <v>725</v>
      </c>
      <c r="I119" s="19">
        <f t="shared" ca="1" si="10"/>
        <v>0</v>
      </c>
      <c r="J119" s="19">
        <f t="shared" ca="1" si="11"/>
        <v>0</v>
      </c>
      <c r="K119" s="22">
        <f t="shared" ca="1" si="12"/>
        <v>19.863013698630137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</row>
    <row r="120" spans="2:117" hidden="1" x14ac:dyDescent="0.25">
      <c r="B120" s="6"/>
      <c r="C120" s="6"/>
      <c r="D120" s="6"/>
      <c r="E120" s="37">
        <v>116</v>
      </c>
      <c r="F120" s="19">
        <f t="shared" ca="1" si="7"/>
        <v>93</v>
      </c>
      <c r="G120" s="19">
        <f t="shared" ca="1" si="8"/>
        <v>725</v>
      </c>
      <c r="H120" s="19">
        <f t="shared" ca="1" si="9"/>
        <v>632</v>
      </c>
      <c r="I120" s="19">
        <f t="shared" ca="1" si="10"/>
        <v>0</v>
      </c>
      <c r="J120" s="19">
        <f t="shared" ca="1" si="11"/>
        <v>0</v>
      </c>
      <c r="K120" s="22">
        <f t="shared" ca="1" si="12"/>
        <v>17.315068493150683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</row>
    <row r="121" spans="2:117" hidden="1" x14ac:dyDescent="0.25">
      <c r="B121" s="6"/>
      <c r="C121" s="6"/>
      <c r="D121" s="6"/>
      <c r="E121" s="37">
        <v>117</v>
      </c>
      <c r="F121" s="19">
        <f t="shared" ca="1" si="7"/>
        <v>120</v>
      </c>
      <c r="G121" s="19">
        <f t="shared" ca="1" si="8"/>
        <v>632</v>
      </c>
      <c r="H121" s="19">
        <f t="shared" ca="1" si="9"/>
        <v>512</v>
      </c>
      <c r="I121" s="19">
        <f t="shared" ca="1" si="10"/>
        <v>0</v>
      </c>
      <c r="J121" s="19">
        <f t="shared" ca="1" si="11"/>
        <v>0</v>
      </c>
      <c r="K121" s="22">
        <f t="shared" ca="1" si="12"/>
        <v>14.027397260273972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</row>
    <row r="122" spans="2:117" hidden="1" x14ac:dyDescent="0.25">
      <c r="B122" s="6"/>
      <c r="C122" s="6"/>
      <c r="D122" s="6"/>
      <c r="E122" s="37">
        <v>118</v>
      </c>
      <c r="F122" s="19">
        <f t="shared" ca="1" si="7"/>
        <v>104</v>
      </c>
      <c r="G122" s="19">
        <f t="shared" ca="1" si="8"/>
        <v>512</v>
      </c>
      <c r="H122" s="19">
        <f t="shared" ca="1" si="9"/>
        <v>408</v>
      </c>
      <c r="I122" s="19">
        <f t="shared" ca="1" si="10"/>
        <v>0</v>
      </c>
      <c r="J122" s="19">
        <f t="shared" ca="1" si="11"/>
        <v>0</v>
      </c>
      <c r="K122" s="22">
        <f t="shared" ca="1" si="12"/>
        <v>11.17808219178082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</row>
    <row r="123" spans="2:117" hidden="1" x14ac:dyDescent="0.25">
      <c r="B123" s="6"/>
      <c r="C123" s="6"/>
      <c r="D123" s="6"/>
      <c r="E123" s="37">
        <v>119</v>
      </c>
      <c r="F123" s="19">
        <f t="shared" ca="1" si="7"/>
        <v>107</v>
      </c>
      <c r="G123" s="19">
        <f t="shared" ca="1" si="8"/>
        <v>408</v>
      </c>
      <c r="H123" s="19">
        <f t="shared" ca="1" si="9"/>
        <v>301</v>
      </c>
      <c r="I123" s="19">
        <f t="shared" ca="1" si="10"/>
        <v>0</v>
      </c>
      <c r="J123" s="19">
        <f t="shared" ca="1" si="11"/>
        <v>0</v>
      </c>
      <c r="K123" s="22">
        <f t="shared" ca="1" si="12"/>
        <v>8.2465753424657535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</row>
    <row r="124" spans="2:117" hidden="1" x14ac:dyDescent="0.25">
      <c r="B124" s="6"/>
      <c r="C124" s="6"/>
      <c r="D124" s="6"/>
      <c r="E124" s="37">
        <v>120</v>
      </c>
      <c r="F124" s="19">
        <f t="shared" ca="1" si="7"/>
        <v>116</v>
      </c>
      <c r="G124" s="19">
        <f t="shared" ca="1" si="8"/>
        <v>301</v>
      </c>
      <c r="H124" s="19">
        <f t="shared" ca="1" si="9"/>
        <v>185</v>
      </c>
      <c r="I124" s="19">
        <f t="shared" ca="1" si="10"/>
        <v>0</v>
      </c>
      <c r="J124" s="19">
        <f t="shared" ca="1" si="11"/>
        <v>0</v>
      </c>
      <c r="K124" s="22">
        <f t="shared" ca="1" si="12"/>
        <v>5.0684931506849313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</row>
    <row r="125" spans="2:117" hidden="1" x14ac:dyDescent="0.25">
      <c r="B125" s="6"/>
      <c r="C125" s="6"/>
      <c r="D125" s="6"/>
      <c r="E125" s="37">
        <v>121</v>
      </c>
      <c r="F125" s="19">
        <f t="shared" ca="1" si="7"/>
        <v>96</v>
      </c>
      <c r="G125" s="19">
        <f t="shared" ca="1" si="8"/>
        <v>185</v>
      </c>
      <c r="H125" s="19">
        <f t="shared" ca="1" si="9"/>
        <v>89</v>
      </c>
      <c r="I125" s="19">
        <f t="shared" ca="1" si="10"/>
        <v>1</v>
      </c>
      <c r="J125" s="19">
        <f t="shared" ca="1" si="11"/>
        <v>200</v>
      </c>
      <c r="K125" s="22">
        <f t="shared" ca="1" si="12"/>
        <v>2.4383561643835616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</row>
    <row r="126" spans="2:117" hidden="1" x14ac:dyDescent="0.25">
      <c r="B126" s="6"/>
      <c r="C126" s="6"/>
      <c r="D126" s="6"/>
      <c r="E126" s="37">
        <v>122</v>
      </c>
      <c r="F126" s="19">
        <f t="shared" ca="1" si="7"/>
        <v>119</v>
      </c>
      <c r="G126" s="19">
        <f t="shared" ca="1" si="8"/>
        <v>1089</v>
      </c>
      <c r="H126" s="19">
        <f t="shared" ca="1" si="9"/>
        <v>970</v>
      </c>
      <c r="I126" s="19">
        <f t="shared" ca="1" si="10"/>
        <v>0</v>
      </c>
      <c r="J126" s="19">
        <f t="shared" ca="1" si="11"/>
        <v>0</v>
      </c>
      <c r="K126" s="22">
        <f t="shared" ca="1" si="12"/>
        <v>26.575342465753423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</row>
    <row r="127" spans="2:117" hidden="1" x14ac:dyDescent="0.25">
      <c r="B127" s="6"/>
      <c r="C127" s="6"/>
      <c r="D127" s="6"/>
      <c r="E127" s="37">
        <v>123</v>
      </c>
      <c r="F127" s="19">
        <f t="shared" ca="1" si="7"/>
        <v>102</v>
      </c>
      <c r="G127" s="19">
        <f t="shared" ca="1" si="8"/>
        <v>970</v>
      </c>
      <c r="H127" s="19">
        <f t="shared" ca="1" si="9"/>
        <v>868</v>
      </c>
      <c r="I127" s="19">
        <f t="shared" ca="1" si="10"/>
        <v>0</v>
      </c>
      <c r="J127" s="19">
        <f t="shared" ca="1" si="11"/>
        <v>0</v>
      </c>
      <c r="K127" s="22">
        <f t="shared" ca="1" si="12"/>
        <v>23.780821917808218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</row>
    <row r="128" spans="2:117" hidden="1" x14ac:dyDescent="0.25">
      <c r="B128" s="6"/>
      <c r="C128" s="6"/>
      <c r="D128" s="6"/>
      <c r="E128" s="37">
        <v>124</v>
      </c>
      <c r="F128" s="19">
        <f t="shared" ca="1" si="7"/>
        <v>114</v>
      </c>
      <c r="G128" s="19">
        <f t="shared" ca="1" si="8"/>
        <v>868</v>
      </c>
      <c r="H128" s="19">
        <f t="shared" ca="1" si="9"/>
        <v>754</v>
      </c>
      <c r="I128" s="19">
        <f t="shared" ca="1" si="10"/>
        <v>0</v>
      </c>
      <c r="J128" s="19">
        <f t="shared" ca="1" si="11"/>
        <v>0</v>
      </c>
      <c r="K128" s="22">
        <f t="shared" ca="1" si="12"/>
        <v>20.657534246575342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</row>
    <row r="129" spans="2:117" hidden="1" x14ac:dyDescent="0.25">
      <c r="B129" s="6"/>
      <c r="C129" s="6"/>
      <c r="D129" s="6"/>
      <c r="E129" s="37">
        <v>125</v>
      </c>
      <c r="F129" s="19">
        <f t="shared" ca="1" si="7"/>
        <v>120</v>
      </c>
      <c r="G129" s="19">
        <f t="shared" ca="1" si="8"/>
        <v>754</v>
      </c>
      <c r="H129" s="19">
        <f t="shared" ca="1" si="9"/>
        <v>634</v>
      </c>
      <c r="I129" s="19">
        <f t="shared" ca="1" si="10"/>
        <v>0</v>
      </c>
      <c r="J129" s="19">
        <f t="shared" ca="1" si="11"/>
        <v>0</v>
      </c>
      <c r="K129" s="22">
        <f t="shared" ca="1" si="12"/>
        <v>17.36986301369863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</row>
    <row r="130" spans="2:117" hidden="1" x14ac:dyDescent="0.25">
      <c r="B130" s="6"/>
      <c r="C130" s="6"/>
      <c r="D130" s="6"/>
      <c r="E130" s="37">
        <v>126</v>
      </c>
      <c r="F130" s="19">
        <f t="shared" ca="1" si="7"/>
        <v>92</v>
      </c>
      <c r="G130" s="19">
        <f t="shared" ca="1" si="8"/>
        <v>634</v>
      </c>
      <c r="H130" s="19">
        <f t="shared" ca="1" si="9"/>
        <v>542</v>
      </c>
      <c r="I130" s="19">
        <f t="shared" ca="1" si="10"/>
        <v>0</v>
      </c>
      <c r="J130" s="19">
        <f t="shared" ca="1" si="11"/>
        <v>0</v>
      </c>
      <c r="K130" s="22">
        <f t="shared" ca="1" si="12"/>
        <v>14.84931506849315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</row>
    <row r="131" spans="2:117" hidden="1" x14ac:dyDescent="0.25">
      <c r="B131" s="6"/>
      <c r="C131" s="6"/>
      <c r="D131" s="6"/>
      <c r="E131" s="37">
        <v>127</v>
      </c>
      <c r="F131" s="19">
        <f t="shared" ca="1" si="7"/>
        <v>82</v>
      </c>
      <c r="G131" s="19">
        <f t="shared" ca="1" si="8"/>
        <v>542</v>
      </c>
      <c r="H131" s="19">
        <f t="shared" ca="1" si="9"/>
        <v>460</v>
      </c>
      <c r="I131" s="19">
        <f t="shared" ca="1" si="10"/>
        <v>0</v>
      </c>
      <c r="J131" s="19">
        <f t="shared" ca="1" si="11"/>
        <v>0</v>
      </c>
      <c r="K131" s="22">
        <f t="shared" ca="1" si="12"/>
        <v>12.602739726027396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</row>
    <row r="132" spans="2:117" hidden="1" x14ac:dyDescent="0.25">
      <c r="B132" s="6"/>
      <c r="C132" s="6"/>
      <c r="D132" s="6"/>
      <c r="E132" s="37">
        <v>128</v>
      </c>
      <c r="F132" s="19">
        <f t="shared" ca="1" si="7"/>
        <v>108</v>
      </c>
      <c r="G132" s="19">
        <f t="shared" ca="1" si="8"/>
        <v>460</v>
      </c>
      <c r="H132" s="19">
        <f t="shared" ca="1" si="9"/>
        <v>352</v>
      </c>
      <c r="I132" s="19">
        <f t="shared" ca="1" si="10"/>
        <v>0</v>
      </c>
      <c r="J132" s="19">
        <f t="shared" ca="1" si="11"/>
        <v>0</v>
      </c>
      <c r="K132" s="22">
        <f t="shared" ca="1" si="12"/>
        <v>9.6438356164383556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</row>
    <row r="133" spans="2:117" hidden="1" x14ac:dyDescent="0.25">
      <c r="B133" s="6"/>
      <c r="C133" s="6"/>
      <c r="D133" s="6"/>
      <c r="E133" s="37">
        <v>129</v>
      </c>
      <c r="F133" s="19">
        <f t="shared" ca="1" si="7"/>
        <v>111</v>
      </c>
      <c r="G133" s="19">
        <f t="shared" ca="1" si="8"/>
        <v>352</v>
      </c>
      <c r="H133" s="19">
        <f t="shared" ca="1" si="9"/>
        <v>241</v>
      </c>
      <c r="I133" s="19">
        <f t="shared" ca="1" si="10"/>
        <v>0</v>
      </c>
      <c r="J133" s="19">
        <f t="shared" ca="1" si="11"/>
        <v>0</v>
      </c>
      <c r="K133" s="22">
        <f t="shared" ca="1" si="12"/>
        <v>6.602739726027397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</row>
    <row r="134" spans="2:117" hidden="1" x14ac:dyDescent="0.25">
      <c r="B134" s="6"/>
      <c r="C134" s="6"/>
      <c r="D134" s="6"/>
      <c r="E134" s="37">
        <v>130</v>
      </c>
      <c r="F134" s="19">
        <f t="shared" ref="F134:F197" ca="1" si="13">RANDBETWEEN($C$7,$C$8)</f>
        <v>112</v>
      </c>
      <c r="G134" s="19">
        <f t="shared" ref="G134:G197" ca="1" si="14">H133+I133*$C$10</f>
        <v>241</v>
      </c>
      <c r="H134" s="19">
        <f t="shared" ref="H134:H197" ca="1" si="15">G134-F134</f>
        <v>129</v>
      </c>
      <c r="I134" s="19">
        <f t="shared" ref="I134:I197" ca="1" si="16">IF(H134&lt;$C$8,1,0)</f>
        <v>0</v>
      </c>
      <c r="J134" s="19">
        <f t="shared" ref="J134:J197" ca="1" si="17">I134*$C$4</f>
        <v>0</v>
      </c>
      <c r="K134" s="22">
        <f t="shared" ref="K134:K197" ca="1" si="18">H134*$C$9</f>
        <v>3.5342465753424657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</row>
    <row r="135" spans="2:117" hidden="1" x14ac:dyDescent="0.25">
      <c r="B135" s="6"/>
      <c r="C135" s="6"/>
      <c r="D135" s="6"/>
      <c r="E135" s="37">
        <v>131</v>
      </c>
      <c r="F135" s="19">
        <f t="shared" ca="1" si="13"/>
        <v>108</v>
      </c>
      <c r="G135" s="19">
        <f t="shared" ca="1" si="14"/>
        <v>129</v>
      </c>
      <c r="H135" s="19">
        <f t="shared" ca="1" si="15"/>
        <v>21</v>
      </c>
      <c r="I135" s="19">
        <f t="shared" ca="1" si="16"/>
        <v>1</v>
      </c>
      <c r="J135" s="19">
        <f t="shared" ca="1" si="17"/>
        <v>200</v>
      </c>
      <c r="K135" s="22">
        <f t="shared" ca="1" si="18"/>
        <v>0.57534246575342463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</row>
    <row r="136" spans="2:117" hidden="1" x14ac:dyDescent="0.25">
      <c r="B136" s="6"/>
      <c r="C136" s="6"/>
      <c r="D136" s="6"/>
      <c r="E136" s="37">
        <v>132</v>
      </c>
      <c r="F136" s="19">
        <f t="shared" ca="1" si="13"/>
        <v>104</v>
      </c>
      <c r="G136" s="19">
        <f t="shared" ca="1" si="14"/>
        <v>1021</v>
      </c>
      <c r="H136" s="19">
        <f t="shared" ca="1" si="15"/>
        <v>917</v>
      </c>
      <c r="I136" s="19">
        <f t="shared" ca="1" si="16"/>
        <v>0</v>
      </c>
      <c r="J136" s="19">
        <f t="shared" ca="1" si="17"/>
        <v>0</v>
      </c>
      <c r="K136" s="22">
        <f t="shared" ca="1" si="18"/>
        <v>25.123287671232877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</row>
    <row r="137" spans="2:117" hidden="1" x14ac:dyDescent="0.25">
      <c r="B137" s="6"/>
      <c r="C137" s="6"/>
      <c r="D137" s="6"/>
      <c r="E137" s="37">
        <v>133</v>
      </c>
      <c r="F137" s="19">
        <f t="shared" ca="1" si="13"/>
        <v>82</v>
      </c>
      <c r="G137" s="19">
        <f t="shared" ca="1" si="14"/>
        <v>917</v>
      </c>
      <c r="H137" s="19">
        <f t="shared" ca="1" si="15"/>
        <v>835</v>
      </c>
      <c r="I137" s="19">
        <f t="shared" ca="1" si="16"/>
        <v>0</v>
      </c>
      <c r="J137" s="19">
        <f t="shared" ca="1" si="17"/>
        <v>0</v>
      </c>
      <c r="K137" s="22">
        <f t="shared" ca="1" si="18"/>
        <v>22.876712328767123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</row>
    <row r="138" spans="2:117" hidden="1" x14ac:dyDescent="0.25">
      <c r="B138" s="6"/>
      <c r="C138" s="6"/>
      <c r="D138" s="6"/>
      <c r="E138" s="37">
        <v>134</v>
      </c>
      <c r="F138" s="19">
        <f t="shared" ca="1" si="13"/>
        <v>88</v>
      </c>
      <c r="G138" s="19">
        <f t="shared" ca="1" si="14"/>
        <v>835</v>
      </c>
      <c r="H138" s="19">
        <f t="shared" ca="1" si="15"/>
        <v>747</v>
      </c>
      <c r="I138" s="19">
        <f t="shared" ca="1" si="16"/>
        <v>0</v>
      </c>
      <c r="J138" s="19">
        <f t="shared" ca="1" si="17"/>
        <v>0</v>
      </c>
      <c r="K138" s="22">
        <f t="shared" ca="1" si="18"/>
        <v>20.465753424657532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</row>
    <row r="139" spans="2:117" hidden="1" x14ac:dyDescent="0.25">
      <c r="B139" s="6"/>
      <c r="C139" s="6"/>
      <c r="D139" s="6"/>
      <c r="E139" s="37">
        <v>135</v>
      </c>
      <c r="F139" s="19">
        <f t="shared" ca="1" si="13"/>
        <v>93</v>
      </c>
      <c r="G139" s="19">
        <f t="shared" ca="1" si="14"/>
        <v>747</v>
      </c>
      <c r="H139" s="19">
        <f t="shared" ca="1" si="15"/>
        <v>654</v>
      </c>
      <c r="I139" s="19">
        <f t="shared" ca="1" si="16"/>
        <v>0</v>
      </c>
      <c r="J139" s="19">
        <f t="shared" ca="1" si="17"/>
        <v>0</v>
      </c>
      <c r="K139" s="22">
        <f t="shared" ca="1" si="18"/>
        <v>17.917808219178081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</row>
    <row r="140" spans="2:117" hidden="1" x14ac:dyDescent="0.25">
      <c r="B140" s="6"/>
      <c r="C140" s="6"/>
      <c r="D140" s="6"/>
      <c r="E140" s="37">
        <v>136</v>
      </c>
      <c r="F140" s="19">
        <f t="shared" ca="1" si="13"/>
        <v>93</v>
      </c>
      <c r="G140" s="19">
        <f t="shared" ca="1" si="14"/>
        <v>654</v>
      </c>
      <c r="H140" s="19">
        <f t="shared" ca="1" si="15"/>
        <v>561</v>
      </c>
      <c r="I140" s="19">
        <f t="shared" ca="1" si="16"/>
        <v>0</v>
      </c>
      <c r="J140" s="19">
        <f t="shared" ca="1" si="17"/>
        <v>0</v>
      </c>
      <c r="K140" s="22">
        <f t="shared" ca="1" si="18"/>
        <v>15.369863013698629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</row>
    <row r="141" spans="2:117" hidden="1" x14ac:dyDescent="0.25">
      <c r="B141" s="6"/>
      <c r="C141" s="6"/>
      <c r="D141" s="6"/>
      <c r="E141" s="37">
        <v>137</v>
      </c>
      <c r="F141" s="19">
        <f t="shared" ca="1" si="13"/>
        <v>108</v>
      </c>
      <c r="G141" s="19">
        <f t="shared" ca="1" si="14"/>
        <v>561</v>
      </c>
      <c r="H141" s="19">
        <f t="shared" ca="1" si="15"/>
        <v>453</v>
      </c>
      <c r="I141" s="19">
        <f t="shared" ca="1" si="16"/>
        <v>0</v>
      </c>
      <c r="J141" s="19">
        <f t="shared" ca="1" si="17"/>
        <v>0</v>
      </c>
      <c r="K141" s="22">
        <f t="shared" ca="1" si="18"/>
        <v>12.410958904109588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</row>
    <row r="142" spans="2:117" hidden="1" x14ac:dyDescent="0.25">
      <c r="B142" s="6"/>
      <c r="C142" s="6"/>
      <c r="D142" s="6"/>
      <c r="E142" s="37">
        <v>138</v>
      </c>
      <c r="F142" s="19">
        <f t="shared" ca="1" si="13"/>
        <v>89</v>
      </c>
      <c r="G142" s="19">
        <f t="shared" ca="1" si="14"/>
        <v>453</v>
      </c>
      <c r="H142" s="19">
        <f t="shared" ca="1" si="15"/>
        <v>364</v>
      </c>
      <c r="I142" s="19">
        <f t="shared" ca="1" si="16"/>
        <v>0</v>
      </c>
      <c r="J142" s="19">
        <f t="shared" ca="1" si="17"/>
        <v>0</v>
      </c>
      <c r="K142" s="22">
        <f t="shared" ca="1" si="18"/>
        <v>9.9726027397260264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</row>
    <row r="143" spans="2:117" hidden="1" x14ac:dyDescent="0.25">
      <c r="B143" s="6"/>
      <c r="C143" s="6"/>
      <c r="D143" s="6"/>
      <c r="E143" s="37">
        <v>139</v>
      </c>
      <c r="F143" s="19">
        <f t="shared" ca="1" si="13"/>
        <v>82</v>
      </c>
      <c r="G143" s="19">
        <f t="shared" ca="1" si="14"/>
        <v>364</v>
      </c>
      <c r="H143" s="19">
        <f t="shared" ca="1" si="15"/>
        <v>282</v>
      </c>
      <c r="I143" s="19">
        <f t="shared" ca="1" si="16"/>
        <v>0</v>
      </c>
      <c r="J143" s="19">
        <f t="shared" ca="1" si="17"/>
        <v>0</v>
      </c>
      <c r="K143" s="22">
        <f t="shared" ca="1" si="18"/>
        <v>7.7260273972602738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</row>
    <row r="144" spans="2:117" hidden="1" x14ac:dyDescent="0.25">
      <c r="B144" s="6"/>
      <c r="C144" s="6"/>
      <c r="D144" s="6"/>
      <c r="E144" s="37">
        <v>140</v>
      </c>
      <c r="F144" s="19">
        <f t="shared" ca="1" si="13"/>
        <v>112</v>
      </c>
      <c r="G144" s="19">
        <f t="shared" ca="1" si="14"/>
        <v>282</v>
      </c>
      <c r="H144" s="19">
        <f t="shared" ca="1" si="15"/>
        <v>170</v>
      </c>
      <c r="I144" s="19">
        <f t="shared" ca="1" si="16"/>
        <v>0</v>
      </c>
      <c r="J144" s="19">
        <f t="shared" ca="1" si="17"/>
        <v>0</v>
      </c>
      <c r="K144" s="22">
        <f t="shared" ca="1" si="18"/>
        <v>4.6575342465753424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</row>
    <row r="145" spans="2:117" hidden="1" x14ac:dyDescent="0.25">
      <c r="B145" s="6"/>
      <c r="C145" s="6"/>
      <c r="D145" s="6"/>
      <c r="E145" s="37">
        <v>141</v>
      </c>
      <c r="F145" s="19">
        <f t="shared" ca="1" si="13"/>
        <v>112</v>
      </c>
      <c r="G145" s="19">
        <f t="shared" ca="1" si="14"/>
        <v>170</v>
      </c>
      <c r="H145" s="19">
        <f t="shared" ca="1" si="15"/>
        <v>58</v>
      </c>
      <c r="I145" s="19">
        <f t="shared" ca="1" si="16"/>
        <v>1</v>
      </c>
      <c r="J145" s="19">
        <f t="shared" ca="1" si="17"/>
        <v>200</v>
      </c>
      <c r="K145" s="22">
        <f t="shared" ca="1" si="18"/>
        <v>1.5890410958904109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</row>
    <row r="146" spans="2:117" hidden="1" x14ac:dyDescent="0.25">
      <c r="B146" s="6"/>
      <c r="C146" s="6"/>
      <c r="D146" s="6"/>
      <c r="E146" s="37">
        <v>142</v>
      </c>
      <c r="F146" s="19">
        <f t="shared" ca="1" si="13"/>
        <v>96</v>
      </c>
      <c r="G146" s="19">
        <f t="shared" ca="1" si="14"/>
        <v>1058</v>
      </c>
      <c r="H146" s="19">
        <f t="shared" ca="1" si="15"/>
        <v>962</v>
      </c>
      <c r="I146" s="19">
        <f t="shared" ca="1" si="16"/>
        <v>0</v>
      </c>
      <c r="J146" s="19">
        <f t="shared" ca="1" si="17"/>
        <v>0</v>
      </c>
      <c r="K146" s="22">
        <f t="shared" ca="1" si="18"/>
        <v>26.356164383561641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</row>
    <row r="147" spans="2:117" hidden="1" x14ac:dyDescent="0.25">
      <c r="B147" s="6"/>
      <c r="C147" s="6"/>
      <c r="D147" s="6"/>
      <c r="E147" s="37">
        <v>143</v>
      </c>
      <c r="F147" s="19">
        <f t="shared" ca="1" si="13"/>
        <v>83</v>
      </c>
      <c r="G147" s="19">
        <f t="shared" ca="1" si="14"/>
        <v>962</v>
      </c>
      <c r="H147" s="19">
        <f t="shared" ca="1" si="15"/>
        <v>879</v>
      </c>
      <c r="I147" s="19">
        <f t="shared" ca="1" si="16"/>
        <v>0</v>
      </c>
      <c r="J147" s="19">
        <f t="shared" ca="1" si="17"/>
        <v>0</v>
      </c>
      <c r="K147" s="22">
        <f t="shared" ca="1" si="18"/>
        <v>24.082191780821915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</row>
    <row r="148" spans="2:117" hidden="1" x14ac:dyDescent="0.25">
      <c r="B148" s="6"/>
      <c r="C148" s="6"/>
      <c r="D148" s="6"/>
      <c r="E148" s="37">
        <v>144</v>
      </c>
      <c r="F148" s="19">
        <f t="shared" ca="1" si="13"/>
        <v>97</v>
      </c>
      <c r="G148" s="19">
        <f t="shared" ca="1" si="14"/>
        <v>879</v>
      </c>
      <c r="H148" s="19">
        <f t="shared" ca="1" si="15"/>
        <v>782</v>
      </c>
      <c r="I148" s="19">
        <f t="shared" ca="1" si="16"/>
        <v>0</v>
      </c>
      <c r="J148" s="19">
        <f t="shared" ca="1" si="17"/>
        <v>0</v>
      </c>
      <c r="K148" s="22">
        <f t="shared" ca="1" si="18"/>
        <v>21.424657534246574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</row>
    <row r="149" spans="2:117" hidden="1" x14ac:dyDescent="0.25">
      <c r="B149" s="6"/>
      <c r="C149" s="6"/>
      <c r="D149" s="6"/>
      <c r="E149" s="37">
        <v>145</v>
      </c>
      <c r="F149" s="19">
        <f t="shared" ca="1" si="13"/>
        <v>112</v>
      </c>
      <c r="G149" s="19">
        <f t="shared" ca="1" si="14"/>
        <v>782</v>
      </c>
      <c r="H149" s="19">
        <f t="shared" ca="1" si="15"/>
        <v>670</v>
      </c>
      <c r="I149" s="19">
        <f t="shared" ca="1" si="16"/>
        <v>0</v>
      </c>
      <c r="J149" s="19">
        <f t="shared" ca="1" si="17"/>
        <v>0</v>
      </c>
      <c r="K149" s="22">
        <f t="shared" ca="1" si="18"/>
        <v>18.356164383561644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</row>
    <row r="150" spans="2:117" hidden="1" x14ac:dyDescent="0.25">
      <c r="B150" s="6"/>
      <c r="C150" s="6"/>
      <c r="D150" s="6"/>
      <c r="E150" s="37">
        <v>146</v>
      </c>
      <c r="F150" s="19">
        <f t="shared" ca="1" si="13"/>
        <v>100</v>
      </c>
      <c r="G150" s="19">
        <f t="shared" ca="1" si="14"/>
        <v>670</v>
      </c>
      <c r="H150" s="19">
        <f t="shared" ca="1" si="15"/>
        <v>570</v>
      </c>
      <c r="I150" s="19">
        <f t="shared" ca="1" si="16"/>
        <v>0</v>
      </c>
      <c r="J150" s="19">
        <f t="shared" ca="1" si="17"/>
        <v>0</v>
      </c>
      <c r="K150" s="22">
        <f t="shared" ca="1" si="18"/>
        <v>15.616438356164382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</row>
    <row r="151" spans="2:117" hidden="1" x14ac:dyDescent="0.25">
      <c r="B151" s="6"/>
      <c r="C151" s="6"/>
      <c r="D151" s="6"/>
      <c r="E151" s="37">
        <v>147</v>
      </c>
      <c r="F151" s="19">
        <f t="shared" ca="1" si="13"/>
        <v>91</v>
      </c>
      <c r="G151" s="19">
        <f t="shared" ca="1" si="14"/>
        <v>570</v>
      </c>
      <c r="H151" s="19">
        <f t="shared" ca="1" si="15"/>
        <v>479</v>
      </c>
      <c r="I151" s="19">
        <f t="shared" ca="1" si="16"/>
        <v>0</v>
      </c>
      <c r="J151" s="19">
        <f t="shared" ca="1" si="17"/>
        <v>0</v>
      </c>
      <c r="K151" s="22">
        <f t="shared" ca="1" si="18"/>
        <v>13.123287671232877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</row>
    <row r="152" spans="2:117" hidden="1" x14ac:dyDescent="0.25">
      <c r="B152" s="6"/>
      <c r="C152" s="6"/>
      <c r="D152" s="6"/>
      <c r="E152" s="37">
        <v>148</v>
      </c>
      <c r="F152" s="19">
        <f t="shared" ca="1" si="13"/>
        <v>88</v>
      </c>
      <c r="G152" s="19">
        <f t="shared" ca="1" si="14"/>
        <v>479</v>
      </c>
      <c r="H152" s="19">
        <f t="shared" ca="1" si="15"/>
        <v>391</v>
      </c>
      <c r="I152" s="19">
        <f t="shared" ca="1" si="16"/>
        <v>0</v>
      </c>
      <c r="J152" s="19">
        <f t="shared" ca="1" si="17"/>
        <v>0</v>
      </c>
      <c r="K152" s="22">
        <f t="shared" ca="1" si="18"/>
        <v>10.712328767123287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</row>
    <row r="153" spans="2:117" hidden="1" x14ac:dyDescent="0.25">
      <c r="B153" s="6"/>
      <c r="C153" s="6"/>
      <c r="D153" s="6"/>
      <c r="E153" s="37">
        <v>149</v>
      </c>
      <c r="F153" s="19">
        <f t="shared" ca="1" si="13"/>
        <v>114</v>
      </c>
      <c r="G153" s="19">
        <f t="shared" ca="1" si="14"/>
        <v>391</v>
      </c>
      <c r="H153" s="19">
        <f t="shared" ca="1" si="15"/>
        <v>277</v>
      </c>
      <c r="I153" s="19">
        <f t="shared" ca="1" si="16"/>
        <v>0</v>
      </c>
      <c r="J153" s="19">
        <f t="shared" ca="1" si="17"/>
        <v>0</v>
      </c>
      <c r="K153" s="22">
        <f t="shared" ca="1" si="18"/>
        <v>7.5890410958904102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</row>
    <row r="154" spans="2:117" hidden="1" x14ac:dyDescent="0.25">
      <c r="B154" s="6"/>
      <c r="C154" s="6"/>
      <c r="D154" s="6"/>
      <c r="E154" s="37">
        <v>150</v>
      </c>
      <c r="F154" s="19">
        <f t="shared" ca="1" si="13"/>
        <v>86</v>
      </c>
      <c r="G154" s="19">
        <f t="shared" ca="1" si="14"/>
        <v>277</v>
      </c>
      <c r="H154" s="19">
        <f t="shared" ca="1" si="15"/>
        <v>191</v>
      </c>
      <c r="I154" s="19">
        <f t="shared" ca="1" si="16"/>
        <v>0</v>
      </c>
      <c r="J154" s="19">
        <f t="shared" ca="1" si="17"/>
        <v>0</v>
      </c>
      <c r="K154" s="22">
        <f t="shared" ca="1" si="18"/>
        <v>5.2328767123287667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</row>
    <row r="155" spans="2:117" hidden="1" x14ac:dyDescent="0.25">
      <c r="B155" s="6"/>
      <c r="C155" s="6"/>
      <c r="D155" s="6"/>
      <c r="E155" s="37">
        <v>151</v>
      </c>
      <c r="F155" s="19">
        <f t="shared" ca="1" si="13"/>
        <v>112</v>
      </c>
      <c r="G155" s="19">
        <f t="shared" ca="1" si="14"/>
        <v>191</v>
      </c>
      <c r="H155" s="19">
        <f t="shared" ca="1" si="15"/>
        <v>79</v>
      </c>
      <c r="I155" s="19">
        <f t="shared" ca="1" si="16"/>
        <v>1</v>
      </c>
      <c r="J155" s="19">
        <f t="shared" ca="1" si="17"/>
        <v>200</v>
      </c>
      <c r="K155" s="22">
        <f t="shared" ca="1" si="18"/>
        <v>2.1643835616438354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</row>
    <row r="156" spans="2:117" hidden="1" x14ac:dyDescent="0.25">
      <c r="B156" s="6"/>
      <c r="C156" s="6"/>
      <c r="D156" s="6"/>
      <c r="E156" s="37">
        <v>152</v>
      </c>
      <c r="F156" s="19">
        <f t="shared" ca="1" si="13"/>
        <v>82</v>
      </c>
      <c r="G156" s="19">
        <f t="shared" ca="1" si="14"/>
        <v>1079</v>
      </c>
      <c r="H156" s="19">
        <f t="shared" ca="1" si="15"/>
        <v>997</v>
      </c>
      <c r="I156" s="19">
        <f t="shared" ca="1" si="16"/>
        <v>0</v>
      </c>
      <c r="J156" s="19">
        <f t="shared" ca="1" si="17"/>
        <v>0</v>
      </c>
      <c r="K156" s="22">
        <f t="shared" ca="1" si="18"/>
        <v>27.315068493150683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</row>
    <row r="157" spans="2:117" hidden="1" x14ac:dyDescent="0.25">
      <c r="B157" s="6"/>
      <c r="C157" s="6"/>
      <c r="D157" s="6"/>
      <c r="E157" s="37">
        <v>153</v>
      </c>
      <c r="F157" s="19">
        <f t="shared" ca="1" si="13"/>
        <v>100</v>
      </c>
      <c r="G157" s="19">
        <f t="shared" ca="1" si="14"/>
        <v>997</v>
      </c>
      <c r="H157" s="19">
        <f t="shared" ca="1" si="15"/>
        <v>897</v>
      </c>
      <c r="I157" s="19">
        <f t="shared" ca="1" si="16"/>
        <v>0</v>
      </c>
      <c r="J157" s="19">
        <f t="shared" ca="1" si="17"/>
        <v>0</v>
      </c>
      <c r="K157" s="22">
        <f t="shared" ca="1" si="18"/>
        <v>24.575342465753423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</row>
    <row r="158" spans="2:117" hidden="1" x14ac:dyDescent="0.25">
      <c r="B158" s="6"/>
      <c r="C158" s="6"/>
      <c r="D158" s="6"/>
      <c r="E158" s="37">
        <v>154</v>
      </c>
      <c r="F158" s="19">
        <f t="shared" ca="1" si="13"/>
        <v>102</v>
      </c>
      <c r="G158" s="19">
        <f t="shared" ca="1" si="14"/>
        <v>897</v>
      </c>
      <c r="H158" s="19">
        <f t="shared" ca="1" si="15"/>
        <v>795</v>
      </c>
      <c r="I158" s="19">
        <f t="shared" ca="1" si="16"/>
        <v>0</v>
      </c>
      <c r="J158" s="19">
        <f t="shared" ca="1" si="17"/>
        <v>0</v>
      </c>
      <c r="K158" s="22">
        <f t="shared" ca="1" si="18"/>
        <v>21.780821917808218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</row>
    <row r="159" spans="2:117" hidden="1" x14ac:dyDescent="0.25">
      <c r="B159" s="6"/>
      <c r="C159" s="6"/>
      <c r="D159" s="6"/>
      <c r="E159" s="37">
        <v>155</v>
      </c>
      <c r="F159" s="19">
        <f t="shared" ca="1" si="13"/>
        <v>104</v>
      </c>
      <c r="G159" s="19">
        <f t="shared" ca="1" si="14"/>
        <v>795</v>
      </c>
      <c r="H159" s="19">
        <f t="shared" ca="1" si="15"/>
        <v>691</v>
      </c>
      <c r="I159" s="19">
        <f t="shared" ca="1" si="16"/>
        <v>0</v>
      </c>
      <c r="J159" s="19">
        <f t="shared" ca="1" si="17"/>
        <v>0</v>
      </c>
      <c r="K159" s="22">
        <f t="shared" ca="1" si="18"/>
        <v>18.931506849315067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</row>
    <row r="160" spans="2:117" hidden="1" x14ac:dyDescent="0.25">
      <c r="B160" s="6"/>
      <c r="C160" s="6"/>
      <c r="D160" s="6"/>
      <c r="E160" s="37">
        <v>156</v>
      </c>
      <c r="F160" s="19">
        <f t="shared" ca="1" si="13"/>
        <v>91</v>
      </c>
      <c r="G160" s="19">
        <f t="shared" ca="1" si="14"/>
        <v>691</v>
      </c>
      <c r="H160" s="19">
        <f t="shared" ca="1" si="15"/>
        <v>600</v>
      </c>
      <c r="I160" s="19">
        <f t="shared" ca="1" si="16"/>
        <v>0</v>
      </c>
      <c r="J160" s="19">
        <f t="shared" ca="1" si="17"/>
        <v>0</v>
      </c>
      <c r="K160" s="22">
        <f t="shared" ca="1" si="18"/>
        <v>16.43835616438356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</row>
    <row r="161" spans="2:117" hidden="1" x14ac:dyDescent="0.25">
      <c r="B161" s="6"/>
      <c r="C161" s="6"/>
      <c r="D161" s="6"/>
      <c r="E161" s="37">
        <v>157</v>
      </c>
      <c r="F161" s="19">
        <f t="shared" ca="1" si="13"/>
        <v>116</v>
      </c>
      <c r="G161" s="19">
        <f t="shared" ca="1" si="14"/>
        <v>600</v>
      </c>
      <c r="H161" s="19">
        <f t="shared" ca="1" si="15"/>
        <v>484</v>
      </c>
      <c r="I161" s="19">
        <f t="shared" ca="1" si="16"/>
        <v>0</v>
      </c>
      <c r="J161" s="19">
        <f t="shared" ca="1" si="17"/>
        <v>0</v>
      </c>
      <c r="K161" s="22">
        <f t="shared" ca="1" si="18"/>
        <v>13.260273972602739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</row>
    <row r="162" spans="2:117" hidden="1" x14ac:dyDescent="0.25">
      <c r="B162" s="6"/>
      <c r="C162" s="6"/>
      <c r="D162" s="6"/>
      <c r="E162" s="37">
        <v>158</v>
      </c>
      <c r="F162" s="19">
        <f t="shared" ca="1" si="13"/>
        <v>117</v>
      </c>
      <c r="G162" s="19">
        <f t="shared" ca="1" si="14"/>
        <v>484</v>
      </c>
      <c r="H162" s="19">
        <f t="shared" ca="1" si="15"/>
        <v>367</v>
      </c>
      <c r="I162" s="19">
        <f t="shared" ca="1" si="16"/>
        <v>0</v>
      </c>
      <c r="J162" s="19">
        <f t="shared" ca="1" si="17"/>
        <v>0</v>
      </c>
      <c r="K162" s="22">
        <f t="shared" ca="1" si="18"/>
        <v>10.054794520547945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</row>
    <row r="163" spans="2:117" hidden="1" x14ac:dyDescent="0.25">
      <c r="B163" s="6"/>
      <c r="C163" s="6"/>
      <c r="D163" s="6"/>
      <c r="E163" s="37">
        <v>159</v>
      </c>
      <c r="F163" s="19">
        <f t="shared" ca="1" si="13"/>
        <v>109</v>
      </c>
      <c r="G163" s="19">
        <f t="shared" ca="1" si="14"/>
        <v>367</v>
      </c>
      <c r="H163" s="19">
        <f t="shared" ca="1" si="15"/>
        <v>258</v>
      </c>
      <c r="I163" s="19">
        <f t="shared" ca="1" si="16"/>
        <v>0</v>
      </c>
      <c r="J163" s="19">
        <f t="shared" ca="1" si="17"/>
        <v>0</v>
      </c>
      <c r="K163" s="22">
        <f t="shared" ca="1" si="18"/>
        <v>7.0684931506849313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</row>
    <row r="164" spans="2:117" hidden="1" x14ac:dyDescent="0.25">
      <c r="B164" s="6"/>
      <c r="C164" s="6"/>
      <c r="D164" s="6"/>
      <c r="E164" s="37">
        <v>160</v>
      </c>
      <c r="F164" s="19">
        <f t="shared" ca="1" si="13"/>
        <v>81</v>
      </c>
      <c r="G164" s="19">
        <f t="shared" ca="1" si="14"/>
        <v>258</v>
      </c>
      <c r="H164" s="19">
        <f t="shared" ca="1" si="15"/>
        <v>177</v>
      </c>
      <c r="I164" s="19">
        <f t="shared" ca="1" si="16"/>
        <v>0</v>
      </c>
      <c r="J164" s="19">
        <f t="shared" ca="1" si="17"/>
        <v>0</v>
      </c>
      <c r="K164" s="22">
        <f t="shared" ca="1" si="18"/>
        <v>4.8493150684931505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</row>
    <row r="165" spans="2:117" hidden="1" x14ac:dyDescent="0.25">
      <c r="B165" s="6"/>
      <c r="C165" s="6"/>
      <c r="D165" s="6"/>
      <c r="E165" s="37">
        <v>161</v>
      </c>
      <c r="F165" s="19">
        <f t="shared" ca="1" si="13"/>
        <v>108</v>
      </c>
      <c r="G165" s="19">
        <f t="shared" ca="1" si="14"/>
        <v>177</v>
      </c>
      <c r="H165" s="19">
        <f t="shared" ca="1" si="15"/>
        <v>69</v>
      </c>
      <c r="I165" s="19">
        <f t="shared" ca="1" si="16"/>
        <v>1</v>
      </c>
      <c r="J165" s="19">
        <f t="shared" ca="1" si="17"/>
        <v>200</v>
      </c>
      <c r="K165" s="22">
        <f t="shared" ca="1" si="18"/>
        <v>1.8904109589041096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</row>
    <row r="166" spans="2:117" hidden="1" x14ac:dyDescent="0.25">
      <c r="B166" s="6"/>
      <c r="C166" s="6"/>
      <c r="D166" s="6"/>
      <c r="E166" s="37">
        <v>162</v>
      </c>
      <c r="F166" s="19">
        <f t="shared" ca="1" si="13"/>
        <v>102</v>
      </c>
      <c r="G166" s="19">
        <f t="shared" ca="1" si="14"/>
        <v>1069</v>
      </c>
      <c r="H166" s="19">
        <f t="shared" ca="1" si="15"/>
        <v>967</v>
      </c>
      <c r="I166" s="19">
        <f t="shared" ca="1" si="16"/>
        <v>0</v>
      </c>
      <c r="J166" s="19">
        <f t="shared" ca="1" si="17"/>
        <v>0</v>
      </c>
      <c r="K166" s="22">
        <f t="shared" ca="1" si="18"/>
        <v>26.493150684931507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</row>
    <row r="167" spans="2:117" hidden="1" x14ac:dyDescent="0.25">
      <c r="B167" s="6"/>
      <c r="C167" s="6"/>
      <c r="D167" s="6"/>
      <c r="E167" s="37">
        <v>163</v>
      </c>
      <c r="F167" s="19">
        <f t="shared" ca="1" si="13"/>
        <v>85</v>
      </c>
      <c r="G167" s="19">
        <f t="shared" ca="1" si="14"/>
        <v>967</v>
      </c>
      <c r="H167" s="19">
        <f t="shared" ca="1" si="15"/>
        <v>882</v>
      </c>
      <c r="I167" s="19">
        <f t="shared" ca="1" si="16"/>
        <v>0</v>
      </c>
      <c r="J167" s="19">
        <f t="shared" ca="1" si="17"/>
        <v>0</v>
      </c>
      <c r="K167" s="22">
        <f t="shared" ca="1" si="18"/>
        <v>24.164383561643834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</row>
    <row r="168" spans="2:117" hidden="1" x14ac:dyDescent="0.25">
      <c r="B168" s="6"/>
      <c r="C168" s="6"/>
      <c r="D168" s="6"/>
      <c r="E168" s="37">
        <v>164</v>
      </c>
      <c r="F168" s="19">
        <f t="shared" ca="1" si="13"/>
        <v>118</v>
      </c>
      <c r="G168" s="19">
        <f t="shared" ca="1" si="14"/>
        <v>882</v>
      </c>
      <c r="H168" s="19">
        <f t="shared" ca="1" si="15"/>
        <v>764</v>
      </c>
      <c r="I168" s="19">
        <f t="shared" ca="1" si="16"/>
        <v>0</v>
      </c>
      <c r="J168" s="19">
        <f t="shared" ca="1" si="17"/>
        <v>0</v>
      </c>
      <c r="K168" s="22">
        <f t="shared" ca="1" si="18"/>
        <v>20.931506849315067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</row>
    <row r="169" spans="2:117" hidden="1" x14ac:dyDescent="0.25">
      <c r="B169" s="6"/>
      <c r="C169" s="6"/>
      <c r="D169" s="6"/>
      <c r="E169" s="37">
        <v>165</v>
      </c>
      <c r="F169" s="19">
        <f t="shared" ca="1" si="13"/>
        <v>111</v>
      </c>
      <c r="G169" s="19">
        <f t="shared" ca="1" si="14"/>
        <v>764</v>
      </c>
      <c r="H169" s="19">
        <f t="shared" ca="1" si="15"/>
        <v>653</v>
      </c>
      <c r="I169" s="19">
        <f t="shared" ca="1" si="16"/>
        <v>0</v>
      </c>
      <c r="J169" s="19">
        <f t="shared" ca="1" si="17"/>
        <v>0</v>
      </c>
      <c r="K169" s="22">
        <f t="shared" ca="1" si="18"/>
        <v>17.890410958904109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</row>
    <row r="170" spans="2:117" hidden="1" x14ac:dyDescent="0.25">
      <c r="B170" s="6"/>
      <c r="C170" s="6"/>
      <c r="D170" s="6"/>
      <c r="E170" s="37">
        <v>166</v>
      </c>
      <c r="F170" s="19">
        <f t="shared" ca="1" si="13"/>
        <v>82</v>
      </c>
      <c r="G170" s="19">
        <f t="shared" ca="1" si="14"/>
        <v>653</v>
      </c>
      <c r="H170" s="19">
        <f t="shared" ca="1" si="15"/>
        <v>571</v>
      </c>
      <c r="I170" s="19">
        <f t="shared" ca="1" si="16"/>
        <v>0</v>
      </c>
      <c r="J170" s="19">
        <f t="shared" ca="1" si="17"/>
        <v>0</v>
      </c>
      <c r="K170" s="22">
        <f t="shared" ca="1" si="18"/>
        <v>15.643835616438356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</row>
    <row r="171" spans="2:117" hidden="1" x14ac:dyDescent="0.25">
      <c r="B171" s="6"/>
      <c r="C171" s="6"/>
      <c r="D171" s="6"/>
      <c r="E171" s="37">
        <v>167</v>
      </c>
      <c r="F171" s="19">
        <f t="shared" ca="1" si="13"/>
        <v>113</v>
      </c>
      <c r="G171" s="19">
        <f t="shared" ca="1" si="14"/>
        <v>571</v>
      </c>
      <c r="H171" s="19">
        <f t="shared" ca="1" si="15"/>
        <v>458</v>
      </c>
      <c r="I171" s="19">
        <f t="shared" ca="1" si="16"/>
        <v>0</v>
      </c>
      <c r="J171" s="19">
        <f t="shared" ca="1" si="17"/>
        <v>0</v>
      </c>
      <c r="K171" s="22">
        <f t="shared" ca="1" si="18"/>
        <v>12.547945205479451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</row>
    <row r="172" spans="2:117" hidden="1" x14ac:dyDescent="0.25">
      <c r="B172" s="6"/>
      <c r="C172" s="6"/>
      <c r="D172" s="6"/>
      <c r="E172" s="37">
        <v>168</v>
      </c>
      <c r="F172" s="19">
        <f t="shared" ca="1" si="13"/>
        <v>112</v>
      </c>
      <c r="G172" s="19">
        <f t="shared" ca="1" si="14"/>
        <v>458</v>
      </c>
      <c r="H172" s="19">
        <f t="shared" ca="1" si="15"/>
        <v>346</v>
      </c>
      <c r="I172" s="19">
        <f t="shared" ca="1" si="16"/>
        <v>0</v>
      </c>
      <c r="J172" s="19">
        <f t="shared" ca="1" si="17"/>
        <v>0</v>
      </c>
      <c r="K172" s="22">
        <f t="shared" ca="1" si="18"/>
        <v>9.4794520547945194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</row>
    <row r="173" spans="2:117" hidden="1" x14ac:dyDescent="0.25">
      <c r="B173" s="6"/>
      <c r="C173" s="6"/>
      <c r="D173" s="6"/>
      <c r="E173" s="37">
        <v>169</v>
      </c>
      <c r="F173" s="19">
        <f t="shared" ca="1" si="13"/>
        <v>117</v>
      </c>
      <c r="G173" s="19">
        <f t="shared" ca="1" si="14"/>
        <v>346</v>
      </c>
      <c r="H173" s="19">
        <f t="shared" ca="1" si="15"/>
        <v>229</v>
      </c>
      <c r="I173" s="19">
        <f t="shared" ca="1" si="16"/>
        <v>0</v>
      </c>
      <c r="J173" s="19">
        <f t="shared" ca="1" si="17"/>
        <v>0</v>
      </c>
      <c r="K173" s="22">
        <f t="shared" ca="1" si="18"/>
        <v>6.2739726027397253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</row>
    <row r="174" spans="2:117" hidden="1" x14ac:dyDescent="0.25">
      <c r="B174" s="6"/>
      <c r="C174" s="6"/>
      <c r="D174" s="6"/>
      <c r="E174" s="37">
        <v>170</v>
      </c>
      <c r="F174" s="19">
        <f t="shared" ca="1" si="13"/>
        <v>111</v>
      </c>
      <c r="G174" s="19">
        <f t="shared" ca="1" si="14"/>
        <v>229</v>
      </c>
      <c r="H174" s="19">
        <f t="shared" ca="1" si="15"/>
        <v>118</v>
      </c>
      <c r="I174" s="19">
        <f t="shared" ca="1" si="16"/>
        <v>1</v>
      </c>
      <c r="J174" s="19">
        <f t="shared" ca="1" si="17"/>
        <v>200</v>
      </c>
      <c r="K174" s="22">
        <f t="shared" ca="1" si="18"/>
        <v>3.2328767123287667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</row>
    <row r="175" spans="2:117" hidden="1" x14ac:dyDescent="0.25">
      <c r="B175" s="6"/>
      <c r="C175" s="6"/>
      <c r="D175" s="6"/>
      <c r="E175" s="37">
        <v>171</v>
      </c>
      <c r="F175" s="19">
        <f t="shared" ca="1" si="13"/>
        <v>84</v>
      </c>
      <c r="G175" s="19">
        <f t="shared" ca="1" si="14"/>
        <v>1118</v>
      </c>
      <c r="H175" s="19">
        <f t="shared" ca="1" si="15"/>
        <v>1034</v>
      </c>
      <c r="I175" s="19">
        <f t="shared" ca="1" si="16"/>
        <v>0</v>
      </c>
      <c r="J175" s="19">
        <f t="shared" ca="1" si="17"/>
        <v>0</v>
      </c>
      <c r="K175" s="22">
        <f t="shared" ca="1" si="18"/>
        <v>28.328767123287669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</row>
    <row r="176" spans="2:117" hidden="1" x14ac:dyDescent="0.25">
      <c r="B176" s="6"/>
      <c r="C176" s="6"/>
      <c r="D176" s="6"/>
      <c r="E176" s="37">
        <v>172</v>
      </c>
      <c r="F176" s="19">
        <f t="shared" ca="1" si="13"/>
        <v>104</v>
      </c>
      <c r="G176" s="19">
        <f t="shared" ca="1" si="14"/>
        <v>1034</v>
      </c>
      <c r="H176" s="19">
        <f t="shared" ca="1" si="15"/>
        <v>930</v>
      </c>
      <c r="I176" s="19">
        <f t="shared" ca="1" si="16"/>
        <v>0</v>
      </c>
      <c r="J176" s="19">
        <f t="shared" ca="1" si="17"/>
        <v>0</v>
      </c>
      <c r="K176" s="22">
        <f t="shared" ca="1" si="18"/>
        <v>25.479452054794518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</row>
    <row r="177" spans="2:117" hidden="1" x14ac:dyDescent="0.25">
      <c r="B177" s="6"/>
      <c r="C177" s="6"/>
      <c r="D177" s="6"/>
      <c r="E177" s="37">
        <v>173</v>
      </c>
      <c r="F177" s="19">
        <f t="shared" ca="1" si="13"/>
        <v>90</v>
      </c>
      <c r="G177" s="19">
        <f t="shared" ca="1" si="14"/>
        <v>930</v>
      </c>
      <c r="H177" s="19">
        <f t="shared" ca="1" si="15"/>
        <v>840</v>
      </c>
      <c r="I177" s="19">
        <f t="shared" ca="1" si="16"/>
        <v>0</v>
      </c>
      <c r="J177" s="19">
        <f t="shared" ca="1" si="17"/>
        <v>0</v>
      </c>
      <c r="K177" s="22">
        <f t="shared" ca="1" si="18"/>
        <v>23.013698630136986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</row>
    <row r="178" spans="2:117" hidden="1" x14ac:dyDescent="0.25">
      <c r="B178" s="6"/>
      <c r="C178" s="6"/>
      <c r="D178" s="6"/>
      <c r="E178" s="37">
        <v>174</v>
      </c>
      <c r="F178" s="19">
        <f t="shared" ca="1" si="13"/>
        <v>113</v>
      </c>
      <c r="G178" s="19">
        <f t="shared" ca="1" si="14"/>
        <v>840</v>
      </c>
      <c r="H178" s="19">
        <f t="shared" ca="1" si="15"/>
        <v>727</v>
      </c>
      <c r="I178" s="19">
        <f t="shared" ca="1" si="16"/>
        <v>0</v>
      </c>
      <c r="J178" s="19">
        <f t="shared" ca="1" si="17"/>
        <v>0</v>
      </c>
      <c r="K178" s="22">
        <f t="shared" ca="1" si="18"/>
        <v>19.917808219178081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</row>
    <row r="179" spans="2:117" hidden="1" x14ac:dyDescent="0.25">
      <c r="B179" s="6"/>
      <c r="C179" s="6"/>
      <c r="D179" s="6"/>
      <c r="E179" s="37">
        <v>175</v>
      </c>
      <c r="F179" s="19">
        <f t="shared" ca="1" si="13"/>
        <v>107</v>
      </c>
      <c r="G179" s="19">
        <f t="shared" ca="1" si="14"/>
        <v>727</v>
      </c>
      <c r="H179" s="19">
        <f t="shared" ca="1" si="15"/>
        <v>620</v>
      </c>
      <c r="I179" s="19">
        <f t="shared" ca="1" si="16"/>
        <v>0</v>
      </c>
      <c r="J179" s="19">
        <f t="shared" ca="1" si="17"/>
        <v>0</v>
      </c>
      <c r="K179" s="22">
        <f t="shared" ca="1" si="18"/>
        <v>16.986301369863014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</row>
    <row r="180" spans="2:117" hidden="1" x14ac:dyDescent="0.25">
      <c r="B180" s="6"/>
      <c r="C180" s="6"/>
      <c r="D180" s="6"/>
      <c r="E180" s="37">
        <v>176</v>
      </c>
      <c r="F180" s="19">
        <f t="shared" ca="1" si="13"/>
        <v>82</v>
      </c>
      <c r="G180" s="19">
        <f t="shared" ca="1" si="14"/>
        <v>620</v>
      </c>
      <c r="H180" s="19">
        <f t="shared" ca="1" si="15"/>
        <v>538</v>
      </c>
      <c r="I180" s="19">
        <f t="shared" ca="1" si="16"/>
        <v>0</v>
      </c>
      <c r="J180" s="19">
        <f t="shared" ca="1" si="17"/>
        <v>0</v>
      </c>
      <c r="K180" s="22">
        <f t="shared" ca="1" si="18"/>
        <v>14.739726027397259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</row>
    <row r="181" spans="2:117" hidden="1" x14ac:dyDescent="0.25">
      <c r="B181" s="6"/>
      <c r="C181" s="6"/>
      <c r="D181" s="6"/>
      <c r="E181" s="37">
        <v>177</v>
      </c>
      <c r="F181" s="19">
        <f t="shared" ca="1" si="13"/>
        <v>114</v>
      </c>
      <c r="G181" s="19">
        <f t="shared" ca="1" si="14"/>
        <v>538</v>
      </c>
      <c r="H181" s="19">
        <f t="shared" ca="1" si="15"/>
        <v>424</v>
      </c>
      <c r="I181" s="19">
        <f t="shared" ca="1" si="16"/>
        <v>0</v>
      </c>
      <c r="J181" s="19">
        <f t="shared" ca="1" si="17"/>
        <v>0</v>
      </c>
      <c r="K181" s="22">
        <f t="shared" ca="1" si="18"/>
        <v>11.616438356164384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</row>
    <row r="182" spans="2:117" hidden="1" x14ac:dyDescent="0.25">
      <c r="B182" s="6"/>
      <c r="C182" s="6"/>
      <c r="D182" s="6"/>
      <c r="E182" s="37">
        <v>178</v>
      </c>
      <c r="F182" s="19">
        <f t="shared" ca="1" si="13"/>
        <v>115</v>
      </c>
      <c r="G182" s="19">
        <f t="shared" ca="1" si="14"/>
        <v>424</v>
      </c>
      <c r="H182" s="19">
        <f t="shared" ca="1" si="15"/>
        <v>309</v>
      </c>
      <c r="I182" s="19">
        <f t="shared" ca="1" si="16"/>
        <v>0</v>
      </c>
      <c r="J182" s="19">
        <f t="shared" ca="1" si="17"/>
        <v>0</v>
      </c>
      <c r="K182" s="22">
        <f t="shared" ca="1" si="18"/>
        <v>8.4657534246575334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</row>
    <row r="183" spans="2:117" hidden="1" x14ac:dyDescent="0.25">
      <c r="B183" s="6"/>
      <c r="C183" s="6"/>
      <c r="D183" s="6"/>
      <c r="E183" s="37">
        <v>179</v>
      </c>
      <c r="F183" s="19">
        <f t="shared" ca="1" si="13"/>
        <v>82</v>
      </c>
      <c r="G183" s="19">
        <f t="shared" ca="1" si="14"/>
        <v>309</v>
      </c>
      <c r="H183" s="19">
        <f t="shared" ca="1" si="15"/>
        <v>227</v>
      </c>
      <c r="I183" s="19">
        <f t="shared" ca="1" si="16"/>
        <v>0</v>
      </c>
      <c r="J183" s="19">
        <f t="shared" ca="1" si="17"/>
        <v>0</v>
      </c>
      <c r="K183" s="22">
        <f t="shared" ca="1" si="18"/>
        <v>6.2191780821917808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</row>
    <row r="184" spans="2:117" hidden="1" x14ac:dyDescent="0.25">
      <c r="B184" s="6"/>
      <c r="C184" s="6"/>
      <c r="D184" s="6"/>
      <c r="E184" s="37">
        <v>180</v>
      </c>
      <c r="F184" s="19">
        <f t="shared" ca="1" si="13"/>
        <v>99</v>
      </c>
      <c r="G184" s="19">
        <f t="shared" ca="1" si="14"/>
        <v>227</v>
      </c>
      <c r="H184" s="19">
        <f t="shared" ca="1" si="15"/>
        <v>128</v>
      </c>
      <c r="I184" s="19">
        <f t="shared" ca="1" si="16"/>
        <v>0</v>
      </c>
      <c r="J184" s="19">
        <f t="shared" ca="1" si="17"/>
        <v>0</v>
      </c>
      <c r="K184" s="22">
        <f t="shared" ca="1" si="18"/>
        <v>3.506849315068493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</row>
    <row r="185" spans="2:117" hidden="1" x14ac:dyDescent="0.25">
      <c r="B185" s="6"/>
      <c r="C185" s="6"/>
      <c r="D185" s="6"/>
      <c r="E185" s="37">
        <v>181</v>
      </c>
      <c r="F185" s="19">
        <f t="shared" ca="1" si="13"/>
        <v>83</v>
      </c>
      <c r="G185" s="19">
        <f t="shared" ca="1" si="14"/>
        <v>128</v>
      </c>
      <c r="H185" s="19">
        <f t="shared" ca="1" si="15"/>
        <v>45</v>
      </c>
      <c r="I185" s="19">
        <f t="shared" ca="1" si="16"/>
        <v>1</v>
      </c>
      <c r="J185" s="19">
        <f t="shared" ca="1" si="17"/>
        <v>200</v>
      </c>
      <c r="K185" s="22">
        <f t="shared" ca="1" si="18"/>
        <v>1.2328767123287672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</row>
    <row r="186" spans="2:117" hidden="1" x14ac:dyDescent="0.25">
      <c r="B186" s="6"/>
      <c r="C186" s="6"/>
      <c r="D186" s="6"/>
      <c r="E186" s="37">
        <v>182</v>
      </c>
      <c r="F186" s="19">
        <f t="shared" ca="1" si="13"/>
        <v>118</v>
      </c>
      <c r="G186" s="19">
        <f t="shared" ca="1" si="14"/>
        <v>1045</v>
      </c>
      <c r="H186" s="19">
        <f t="shared" ca="1" si="15"/>
        <v>927</v>
      </c>
      <c r="I186" s="19">
        <f t="shared" ca="1" si="16"/>
        <v>0</v>
      </c>
      <c r="J186" s="19">
        <f t="shared" ca="1" si="17"/>
        <v>0</v>
      </c>
      <c r="K186" s="22">
        <f t="shared" ca="1" si="18"/>
        <v>25.397260273972602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</row>
    <row r="187" spans="2:117" hidden="1" x14ac:dyDescent="0.25">
      <c r="B187" s="6"/>
      <c r="C187" s="6"/>
      <c r="D187" s="6"/>
      <c r="E187" s="37">
        <v>183</v>
      </c>
      <c r="F187" s="19">
        <f t="shared" ca="1" si="13"/>
        <v>90</v>
      </c>
      <c r="G187" s="19">
        <f t="shared" ca="1" si="14"/>
        <v>927</v>
      </c>
      <c r="H187" s="19">
        <f t="shared" ca="1" si="15"/>
        <v>837</v>
      </c>
      <c r="I187" s="19">
        <f t="shared" ca="1" si="16"/>
        <v>0</v>
      </c>
      <c r="J187" s="19">
        <f t="shared" ca="1" si="17"/>
        <v>0</v>
      </c>
      <c r="K187" s="22">
        <f t="shared" ca="1" si="18"/>
        <v>22.931506849315067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</row>
    <row r="188" spans="2:117" hidden="1" x14ac:dyDescent="0.25">
      <c r="B188" s="6"/>
      <c r="C188" s="6"/>
      <c r="D188" s="6"/>
      <c r="E188" s="37">
        <v>184</v>
      </c>
      <c r="F188" s="19">
        <f t="shared" ca="1" si="13"/>
        <v>118</v>
      </c>
      <c r="G188" s="19">
        <f t="shared" ca="1" si="14"/>
        <v>837</v>
      </c>
      <c r="H188" s="19">
        <f t="shared" ca="1" si="15"/>
        <v>719</v>
      </c>
      <c r="I188" s="19">
        <f t="shared" ca="1" si="16"/>
        <v>0</v>
      </c>
      <c r="J188" s="19">
        <f t="shared" ca="1" si="17"/>
        <v>0</v>
      </c>
      <c r="K188" s="22">
        <f t="shared" ca="1" si="18"/>
        <v>19.698630136986299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</row>
    <row r="189" spans="2:117" hidden="1" x14ac:dyDescent="0.25">
      <c r="B189" s="6"/>
      <c r="C189" s="6"/>
      <c r="D189" s="6"/>
      <c r="E189" s="37">
        <v>185</v>
      </c>
      <c r="F189" s="19">
        <f t="shared" ca="1" si="13"/>
        <v>86</v>
      </c>
      <c r="G189" s="19">
        <f t="shared" ca="1" si="14"/>
        <v>719</v>
      </c>
      <c r="H189" s="19">
        <f t="shared" ca="1" si="15"/>
        <v>633</v>
      </c>
      <c r="I189" s="19">
        <f t="shared" ca="1" si="16"/>
        <v>0</v>
      </c>
      <c r="J189" s="19">
        <f t="shared" ca="1" si="17"/>
        <v>0</v>
      </c>
      <c r="K189" s="22">
        <f t="shared" ca="1" si="18"/>
        <v>17.342465753424655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</row>
    <row r="190" spans="2:117" hidden="1" x14ac:dyDescent="0.25">
      <c r="B190" s="6"/>
      <c r="C190" s="6"/>
      <c r="D190" s="6"/>
      <c r="E190" s="37">
        <v>186</v>
      </c>
      <c r="F190" s="19">
        <f t="shared" ca="1" si="13"/>
        <v>83</v>
      </c>
      <c r="G190" s="19">
        <f t="shared" ca="1" si="14"/>
        <v>633</v>
      </c>
      <c r="H190" s="19">
        <f t="shared" ca="1" si="15"/>
        <v>550</v>
      </c>
      <c r="I190" s="19">
        <f t="shared" ca="1" si="16"/>
        <v>0</v>
      </c>
      <c r="J190" s="19">
        <f t="shared" ca="1" si="17"/>
        <v>0</v>
      </c>
      <c r="K190" s="22">
        <f t="shared" ca="1" si="18"/>
        <v>15.068493150684931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</row>
    <row r="191" spans="2:117" hidden="1" x14ac:dyDescent="0.25">
      <c r="B191" s="6"/>
      <c r="C191" s="6"/>
      <c r="D191" s="6"/>
      <c r="E191" s="37">
        <v>187</v>
      </c>
      <c r="F191" s="19">
        <f t="shared" ca="1" si="13"/>
        <v>88</v>
      </c>
      <c r="G191" s="19">
        <f t="shared" ca="1" si="14"/>
        <v>550</v>
      </c>
      <c r="H191" s="19">
        <f t="shared" ca="1" si="15"/>
        <v>462</v>
      </c>
      <c r="I191" s="19">
        <f t="shared" ca="1" si="16"/>
        <v>0</v>
      </c>
      <c r="J191" s="19">
        <f t="shared" ca="1" si="17"/>
        <v>0</v>
      </c>
      <c r="K191" s="22">
        <f t="shared" ca="1" si="18"/>
        <v>12.657534246575342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</row>
    <row r="192" spans="2:117" hidden="1" x14ac:dyDescent="0.25">
      <c r="B192" s="6"/>
      <c r="C192" s="6"/>
      <c r="D192" s="6"/>
      <c r="E192" s="37">
        <v>188</v>
      </c>
      <c r="F192" s="19">
        <f t="shared" ca="1" si="13"/>
        <v>107</v>
      </c>
      <c r="G192" s="19">
        <f t="shared" ca="1" si="14"/>
        <v>462</v>
      </c>
      <c r="H192" s="19">
        <f t="shared" ca="1" si="15"/>
        <v>355</v>
      </c>
      <c r="I192" s="19">
        <f t="shared" ca="1" si="16"/>
        <v>0</v>
      </c>
      <c r="J192" s="19">
        <f t="shared" ca="1" si="17"/>
        <v>0</v>
      </c>
      <c r="K192" s="22">
        <f t="shared" ca="1" si="18"/>
        <v>9.7260273972602729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</row>
    <row r="193" spans="2:117" hidden="1" x14ac:dyDescent="0.25">
      <c r="B193" s="6"/>
      <c r="C193" s="6"/>
      <c r="D193" s="6"/>
      <c r="E193" s="37">
        <v>189</v>
      </c>
      <c r="F193" s="19">
        <f t="shared" ca="1" si="13"/>
        <v>99</v>
      </c>
      <c r="G193" s="19">
        <f t="shared" ca="1" si="14"/>
        <v>355</v>
      </c>
      <c r="H193" s="19">
        <f t="shared" ca="1" si="15"/>
        <v>256</v>
      </c>
      <c r="I193" s="19">
        <f t="shared" ca="1" si="16"/>
        <v>0</v>
      </c>
      <c r="J193" s="19">
        <f t="shared" ca="1" si="17"/>
        <v>0</v>
      </c>
      <c r="K193" s="22">
        <f t="shared" ca="1" si="18"/>
        <v>7.0136986301369859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</row>
    <row r="194" spans="2:117" hidden="1" x14ac:dyDescent="0.25">
      <c r="B194" s="6"/>
      <c r="C194" s="6"/>
      <c r="D194" s="6"/>
      <c r="E194" s="37">
        <v>190</v>
      </c>
      <c r="F194" s="19">
        <f t="shared" ca="1" si="13"/>
        <v>112</v>
      </c>
      <c r="G194" s="19">
        <f t="shared" ca="1" si="14"/>
        <v>256</v>
      </c>
      <c r="H194" s="19">
        <f t="shared" ca="1" si="15"/>
        <v>144</v>
      </c>
      <c r="I194" s="19">
        <f t="shared" ca="1" si="16"/>
        <v>0</v>
      </c>
      <c r="J194" s="19">
        <f t="shared" ca="1" si="17"/>
        <v>0</v>
      </c>
      <c r="K194" s="22">
        <f t="shared" ca="1" si="18"/>
        <v>3.9452054794520546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</row>
    <row r="195" spans="2:117" hidden="1" x14ac:dyDescent="0.25">
      <c r="B195" s="6"/>
      <c r="C195" s="6"/>
      <c r="D195" s="6"/>
      <c r="E195" s="37">
        <v>191</v>
      </c>
      <c r="F195" s="19">
        <f t="shared" ca="1" si="13"/>
        <v>103</v>
      </c>
      <c r="G195" s="19">
        <f t="shared" ca="1" si="14"/>
        <v>144</v>
      </c>
      <c r="H195" s="19">
        <f t="shared" ca="1" si="15"/>
        <v>41</v>
      </c>
      <c r="I195" s="19">
        <f t="shared" ca="1" si="16"/>
        <v>1</v>
      </c>
      <c r="J195" s="19">
        <f t="shared" ca="1" si="17"/>
        <v>200</v>
      </c>
      <c r="K195" s="22">
        <f t="shared" ca="1" si="18"/>
        <v>1.1232876712328768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</row>
    <row r="196" spans="2:117" hidden="1" x14ac:dyDescent="0.25">
      <c r="B196" s="6"/>
      <c r="C196" s="6"/>
      <c r="D196" s="6"/>
      <c r="E196" s="37">
        <v>192</v>
      </c>
      <c r="F196" s="19">
        <f t="shared" ca="1" si="13"/>
        <v>95</v>
      </c>
      <c r="G196" s="19">
        <f t="shared" ca="1" si="14"/>
        <v>1041</v>
      </c>
      <c r="H196" s="19">
        <f t="shared" ca="1" si="15"/>
        <v>946</v>
      </c>
      <c r="I196" s="19">
        <f t="shared" ca="1" si="16"/>
        <v>0</v>
      </c>
      <c r="J196" s="19">
        <f t="shared" ca="1" si="17"/>
        <v>0</v>
      </c>
      <c r="K196" s="22">
        <f t="shared" ca="1" si="18"/>
        <v>25.917808219178081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</row>
    <row r="197" spans="2:117" hidden="1" x14ac:dyDescent="0.25">
      <c r="B197" s="6"/>
      <c r="C197" s="6"/>
      <c r="D197" s="6"/>
      <c r="E197" s="37">
        <v>193</v>
      </c>
      <c r="F197" s="19">
        <f t="shared" ca="1" si="13"/>
        <v>89</v>
      </c>
      <c r="G197" s="19">
        <f t="shared" ca="1" si="14"/>
        <v>946</v>
      </c>
      <c r="H197" s="19">
        <f t="shared" ca="1" si="15"/>
        <v>857</v>
      </c>
      <c r="I197" s="19">
        <f t="shared" ca="1" si="16"/>
        <v>0</v>
      </c>
      <c r="J197" s="19">
        <f t="shared" ca="1" si="17"/>
        <v>0</v>
      </c>
      <c r="K197" s="22">
        <f t="shared" ca="1" si="18"/>
        <v>23.479452054794518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</row>
    <row r="198" spans="2:117" hidden="1" x14ac:dyDescent="0.25">
      <c r="B198" s="6"/>
      <c r="C198" s="6"/>
      <c r="D198" s="6"/>
      <c r="E198" s="37">
        <v>194</v>
      </c>
      <c r="F198" s="19">
        <f t="shared" ref="F198:F261" ca="1" si="19">RANDBETWEEN($C$7,$C$8)</f>
        <v>98</v>
      </c>
      <c r="G198" s="19">
        <f t="shared" ref="G198:G261" ca="1" si="20">H197+I197*$C$10</f>
        <v>857</v>
      </c>
      <c r="H198" s="19">
        <f t="shared" ref="H198:H261" ca="1" si="21">G198-F198</f>
        <v>759</v>
      </c>
      <c r="I198" s="19">
        <f t="shared" ref="I198:I261" ca="1" si="22">IF(H198&lt;$C$8,1,0)</f>
        <v>0</v>
      </c>
      <c r="J198" s="19">
        <f t="shared" ref="J198:J261" ca="1" si="23">I198*$C$4</f>
        <v>0</v>
      </c>
      <c r="K198" s="22">
        <f t="shared" ref="K198:K261" ca="1" si="24">H198*$C$9</f>
        <v>20.794520547945204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</row>
    <row r="199" spans="2:117" hidden="1" x14ac:dyDescent="0.25">
      <c r="B199" s="6"/>
      <c r="C199" s="6"/>
      <c r="D199" s="6"/>
      <c r="E199" s="37">
        <v>195</v>
      </c>
      <c r="F199" s="19">
        <f t="shared" ca="1" si="19"/>
        <v>107</v>
      </c>
      <c r="G199" s="19">
        <f t="shared" ca="1" si="20"/>
        <v>759</v>
      </c>
      <c r="H199" s="19">
        <f t="shared" ca="1" si="21"/>
        <v>652</v>
      </c>
      <c r="I199" s="19">
        <f t="shared" ca="1" si="22"/>
        <v>0</v>
      </c>
      <c r="J199" s="19">
        <f t="shared" ca="1" si="23"/>
        <v>0</v>
      </c>
      <c r="K199" s="22">
        <f t="shared" ca="1" si="24"/>
        <v>17.863013698630137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</row>
    <row r="200" spans="2:117" hidden="1" x14ac:dyDescent="0.25">
      <c r="B200" s="6"/>
      <c r="C200" s="6"/>
      <c r="D200" s="6"/>
      <c r="E200" s="37">
        <v>196</v>
      </c>
      <c r="F200" s="19">
        <f t="shared" ca="1" si="19"/>
        <v>105</v>
      </c>
      <c r="G200" s="19">
        <f t="shared" ca="1" si="20"/>
        <v>652</v>
      </c>
      <c r="H200" s="19">
        <f t="shared" ca="1" si="21"/>
        <v>547</v>
      </c>
      <c r="I200" s="19">
        <f t="shared" ca="1" si="22"/>
        <v>0</v>
      </c>
      <c r="J200" s="19">
        <f t="shared" ca="1" si="23"/>
        <v>0</v>
      </c>
      <c r="K200" s="22">
        <f t="shared" ca="1" si="24"/>
        <v>14.986301369863012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</row>
    <row r="201" spans="2:117" hidden="1" x14ac:dyDescent="0.25">
      <c r="B201" s="6"/>
      <c r="C201" s="6"/>
      <c r="D201" s="6"/>
      <c r="E201" s="37">
        <v>197</v>
      </c>
      <c r="F201" s="19">
        <f t="shared" ca="1" si="19"/>
        <v>80</v>
      </c>
      <c r="G201" s="19">
        <f t="shared" ca="1" si="20"/>
        <v>547</v>
      </c>
      <c r="H201" s="19">
        <f t="shared" ca="1" si="21"/>
        <v>467</v>
      </c>
      <c r="I201" s="19">
        <f t="shared" ca="1" si="22"/>
        <v>0</v>
      </c>
      <c r="J201" s="19">
        <f t="shared" ca="1" si="23"/>
        <v>0</v>
      </c>
      <c r="K201" s="22">
        <f t="shared" ca="1" si="24"/>
        <v>12.794520547945204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</row>
    <row r="202" spans="2:117" hidden="1" x14ac:dyDescent="0.25">
      <c r="B202" s="6"/>
      <c r="C202" s="6"/>
      <c r="D202" s="6"/>
      <c r="E202" s="37">
        <v>198</v>
      </c>
      <c r="F202" s="19">
        <f t="shared" ca="1" si="19"/>
        <v>114</v>
      </c>
      <c r="G202" s="19">
        <f t="shared" ca="1" si="20"/>
        <v>467</v>
      </c>
      <c r="H202" s="19">
        <f t="shared" ca="1" si="21"/>
        <v>353</v>
      </c>
      <c r="I202" s="19">
        <f t="shared" ca="1" si="22"/>
        <v>0</v>
      </c>
      <c r="J202" s="19">
        <f t="shared" ca="1" si="23"/>
        <v>0</v>
      </c>
      <c r="K202" s="22">
        <f t="shared" ca="1" si="24"/>
        <v>9.6712328767123275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</row>
    <row r="203" spans="2:117" hidden="1" x14ac:dyDescent="0.25">
      <c r="B203" s="6"/>
      <c r="C203" s="6"/>
      <c r="D203" s="6"/>
      <c r="E203" s="37">
        <v>199</v>
      </c>
      <c r="F203" s="19">
        <f t="shared" ca="1" si="19"/>
        <v>83</v>
      </c>
      <c r="G203" s="19">
        <f t="shared" ca="1" si="20"/>
        <v>353</v>
      </c>
      <c r="H203" s="19">
        <f t="shared" ca="1" si="21"/>
        <v>270</v>
      </c>
      <c r="I203" s="19">
        <f t="shared" ca="1" si="22"/>
        <v>0</v>
      </c>
      <c r="J203" s="19">
        <f t="shared" ca="1" si="23"/>
        <v>0</v>
      </c>
      <c r="K203" s="22">
        <f t="shared" ca="1" si="24"/>
        <v>7.3972602739726021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</row>
    <row r="204" spans="2:117" hidden="1" x14ac:dyDescent="0.25">
      <c r="B204" s="6"/>
      <c r="C204" s="6"/>
      <c r="D204" s="6"/>
      <c r="E204" s="37">
        <v>200</v>
      </c>
      <c r="F204" s="19">
        <f t="shared" ca="1" si="19"/>
        <v>120</v>
      </c>
      <c r="G204" s="19">
        <f t="shared" ca="1" si="20"/>
        <v>270</v>
      </c>
      <c r="H204" s="19">
        <f t="shared" ca="1" si="21"/>
        <v>150</v>
      </c>
      <c r="I204" s="19">
        <f t="shared" ca="1" si="22"/>
        <v>0</v>
      </c>
      <c r="J204" s="19">
        <f t="shared" ca="1" si="23"/>
        <v>0</v>
      </c>
      <c r="K204" s="22">
        <f t="shared" ca="1" si="24"/>
        <v>4.10958904109589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</row>
    <row r="205" spans="2:117" hidden="1" x14ac:dyDescent="0.25">
      <c r="B205" s="6"/>
      <c r="C205" s="6"/>
      <c r="D205" s="6"/>
      <c r="E205" s="37">
        <v>201</v>
      </c>
      <c r="F205" s="19">
        <f t="shared" ca="1" si="19"/>
        <v>90</v>
      </c>
      <c r="G205" s="19">
        <f t="shared" ca="1" si="20"/>
        <v>150</v>
      </c>
      <c r="H205" s="19">
        <f t="shared" ca="1" si="21"/>
        <v>60</v>
      </c>
      <c r="I205" s="19">
        <f t="shared" ca="1" si="22"/>
        <v>1</v>
      </c>
      <c r="J205" s="19">
        <f t="shared" ca="1" si="23"/>
        <v>200</v>
      </c>
      <c r="K205" s="22">
        <f t="shared" ca="1" si="24"/>
        <v>1.6438356164383561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</row>
    <row r="206" spans="2:117" hidden="1" x14ac:dyDescent="0.25">
      <c r="B206" s="6"/>
      <c r="C206" s="6"/>
      <c r="D206" s="6"/>
      <c r="E206" s="37">
        <v>202</v>
      </c>
      <c r="F206" s="19">
        <f t="shared" ca="1" si="19"/>
        <v>105</v>
      </c>
      <c r="G206" s="19">
        <f t="shared" ca="1" si="20"/>
        <v>1060</v>
      </c>
      <c r="H206" s="19">
        <f t="shared" ca="1" si="21"/>
        <v>955</v>
      </c>
      <c r="I206" s="19">
        <f t="shared" ca="1" si="22"/>
        <v>0</v>
      </c>
      <c r="J206" s="19">
        <f t="shared" ca="1" si="23"/>
        <v>0</v>
      </c>
      <c r="K206" s="22">
        <f t="shared" ca="1" si="24"/>
        <v>26.164383561643834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</row>
    <row r="207" spans="2:117" hidden="1" x14ac:dyDescent="0.25">
      <c r="B207" s="6"/>
      <c r="C207" s="6"/>
      <c r="D207" s="6"/>
      <c r="E207" s="37">
        <v>203</v>
      </c>
      <c r="F207" s="19">
        <f t="shared" ca="1" si="19"/>
        <v>116</v>
      </c>
      <c r="G207" s="19">
        <f t="shared" ca="1" si="20"/>
        <v>955</v>
      </c>
      <c r="H207" s="19">
        <f t="shared" ca="1" si="21"/>
        <v>839</v>
      </c>
      <c r="I207" s="19">
        <f t="shared" ca="1" si="22"/>
        <v>0</v>
      </c>
      <c r="J207" s="19">
        <f t="shared" ca="1" si="23"/>
        <v>0</v>
      </c>
      <c r="K207" s="22">
        <f t="shared" ca="1" si="24"/>
        <v>22.986301369863014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</row>
    <row r="208" spans="2:117" hidden="1" x14ac:dyDescent="0.25">
      <c r="B208" s="6"/>
      <c r="C208" s="6"/>
      <c r="D208" s="6"/>
      <c r="E208" s="37">
        <v>204</v>
      </c>
      <c r="F208" s="19">
        <f t="shared" ca="1" si="19"/>
        <v>120</v>
      </c>
      <c r="G208" s="19">
        <f t="shared" ca="1" si="20"/>
        <v>839</v>
      </c>
      <c r="H208" s="19">
        <f t="shared" ca="1" si="21"/>
        <v>719</v>
      </c>
      <c r="I208" s="19">
        <f t="shared" ca="1" si="22"/>
        <v>0</v>
      </c>
      <c r="J208" s="19">
        <f t="shared" ca="1" si="23"/>
        <v>0</v>
      </c>
      <c r="K208" s="22">
        <f t="shared" ca="1" si="24"/>
        <v>19.698630136986299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</row>
    <row r="209" spans="2:117" hidden="1" x14ac:dyDescent="0.25">
      <c r="B209" s="6"/>
      <c r="C209" s="6"/>
      <c r="D209" s="6"/>
      <c r="E209" s="37">
        <v>205</v>
      </c>
      <c r="F209" s="19">
        <f t="shared" ca="1" si="19"/>
        <v>110</v>
      </c>
      <c r="G209" s="19">
        <f t="shared" ca="1" si="20"/>
        <v>719</v>
      </c>
      <c r="H209" s="19">
        <f t="shared" ca="1" si="21"/>
        <v>609</v>
      </c>
      <c r="I209" s="19">
        <f t="shared" ca="1" si="22"/>
        <v>0</v>
      </c>
      <c r="J209" s="19">
        <f t="shared" ca="1" si="23"/>
        <v>0</v>
      </c>
      <c r="K209" s="22">
        <f t="shared" ca="1" si="24"/>
        <v>16.684931506849313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</row>
    <row r="210" spans="2:117" hidden="1" x14ac:dyDescent="0.25">
      <c r="B210" s="6"/>
      <c r="C210" s="6"/>
      <c r="D210" s="6"/>
      <c r="E210" s="37">
        <v>206</v>
      </c>
      <c r="F210" s="19">
        <f t="shared" ca="1" si="19"/>
        <v>115</v>
      </c>
      <c r="G210" s="19">
        <f t="shared" ca="1" si="20"/>
        <v>609</v>
      </c>
      <c r="H210" s="19">
        <f t="shared" ca="1" si="21"/>
        <v>494</v>
      </c>
      <c r="I210" s="19">
        <f t="shared" ca="1" si="22"/>
        <v>0</v>
      </c>
      <c r="J210" s="19">
        <f t="shared" ca="1" si="23"/>
        <v>0</v>
      </c>
      <c r="K210" s="22">
        <f t="shared" ca="1" si="24"/>
        <v>13.534246575342465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</row>
    <row r="211" spans="2:117" hidden="1" x14ac:dyDescent="0.25">
      <c r="B211" s="6"/>
      <c r="C211" s="6"/>
      <c r="D211" s="6"/>
      <c r="E211" s="37">
        <v>207</v>
      </c>
      <c r="F211" s="19">
        <f t="shared" ca="1" si="19"/>
        <v>89</v>
      </c>
      <c r="G211" s="19">
        <f t="shared" ca="1" si="20"/>
        <v>494</v>
      </c>
      <c r="H211" s="19">
        <f t="shared" ca="1" si="21"/>
        <v>405</v>
      </c>
      <c r="I211" s="19">
        <f t="shared" ca="1" si="22"/>
        <v>0</v>
      </c>
      <c r="J211" s="19">
        <f t="shared" ca="1" si="23"/>
        <v>0</v>
      </c>
      <c r="K211" s="22">
        <f t="shared" ca="1" si="24"/>
        <v>11.095890410958903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</row>
    <row r="212" spans="2:117" hidden="1" x14ac:dyDescent="0.25">
      <c r="B212" s="6"/>
      <c r="C212" s="6"/>
      <c r="D212" s="6"/>
      <c r="E212" s="37">
        <v>208</v>
      </c>
      <c r="F212" s="19">
        <f t="shared" ca="1" si="19"/>
        <v>113</v>
      </c>
      <c r="G212" s="19">
        <f t="shared" ca="1" si="20"/>
        <v>405</v>
      </c>
      <c r="H212" s="19">
        <f t="shared" ca="1" si="21"/>
        <v>292</v>
      </c>
      <c r="I212" s="19">
        <f t="shared" ca="1" si="22"/>
        <v>0</v>
      </c>
      <c r="J212" s="19">
        <f t="shared" ca="1" si="23"/>
        <v>0</v>
      </c>
      <c r="K212" s="22">
        <f t="shared" ca="1" si="24"/>
        <v>8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</row>
    <row r="213" spans="2:117" hidden="1" x14ac:dyDescent="0.25">
      <c r="B213" s="6"/>
      <c r="C213" s="6"/>
      <c r="D213" s="6"/>
      <c r="E213" s="37">
        <v>209</v>
      </c>
      <c r="F213" s="19">
        <f t="shared" ca="1" si="19"/>
        <v>82</v>
      </c>
      <c r="G213" s="19">
        <f t="shared" ca="1" si="20"/>
        <v>292</v>
      </c>
      <c r="H213" s="19">
        <f t="shared" ca="1" si="21"/>
        <v>210</v>
      </c>
      <c r="I213" s="19">
        <f t="shared" ca="1" si="22"/>
        <v>0</v>
      </c>
      <c r="J213" s="19">
        <f t="shared" ca="1" si="23"/>
        <v>0</v>
      </c>
      <c r="K213" s="22">
        <f t="shared" ca="1" si="24"/>
        <v>5.7534246575342465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</row>
    <row r="214" spans="2:117" hidden="1" x14ac:dyDescent="0.25">
      <c r="B214" s="6"/>
      <c r="C214" s="6"/>
      <c r="D214" s="6"/>
      <c r="E214" s="37">
        <v>210</v>
      </c>
      <c r="F214" s="19">
        <f t="shared" ca="1" si="19"/>
        <v>116</v>
      </c>
      <c r="G214" s="19">
        <f t="shared" ca="1" si="20"/>
        <v>210</v>
      </c>
      <c r="H214" s="19">
        <f t="shared" ca="1" si="21"/>
        <v>94</v>
      </c>
      <c r="I214" s="19">
        <f t="shared" ca="1" si="22"/>
        <v>1</v>
      </c>
      <c r="J214" s="19">
        <f t="shared" ca="1" si="23"/>
        <v>200</v>
      </c>
      <c r="K214" s="22">
        <f t="shared" ca="1" si="24"/>
        <v>2.5753424657534243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</row>
    <row r="215" spans="2:117" hidden="1" x14ac:dyDescent="0.25">
      <c r="B215" s="6"/>
      <c r="C215" s="6"/>
      <c r="D215" s="6"/>
      <c r="E215" s="37">
        <v>211</v>
      </c>
      <c r="F215" s="19">
        <f t="shared" ca="1" si="19"/>
        <v>80</v>
      </c>
      <c r="G215" s="19">
        <f t="shared" ca="1" si="20"/>
        <v>1094</v>
      </c>
      <c r="H215" s="19">
        <f t="shared" ca="1" si="21"/>
        <v>1014</v>
      </c>
      <c r="I215" s="19">
        <f t="shared" ca="1" si="22"/>
        <v>0</v>
      </c>
      <c r="J215" s="19">
        <f t="shared" ca="1" si="23"/>
        <v>0</v>
      </c>
      <c r="K215" s="22">
        <f t="shared" ca="1" si="24"/>
        <v>27.780821917808218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</row>
    <row r="216" spans="2:117" hidden="1" x14ac:dyDescent="0.25">
      <c r="B216" s="6"/>
      <c r="C216" s="6"/>
      <c r="D216" s="6"/>
      <c r="E216" s="37">
        <v>212</v>
      </c>
      <c r="F216" s="19">
        <f t="shared" ca="1" si="19"/>
        <v>89</v>
      </c>
      <c r="G216" s="19">
        <f t="shared" ca="1" si="20"/>
        <v>1014</v>
      </c>
      <c r="H216" s="19">
        <f t="shared" ca="1" si="21"/>
        <v>925</v>
      </c>
      <c r="I216" s="19">
        <f t="shared" ca="1" si="22"/>
        <v>0</v>
      </c>
      <c r="J216" s="19">
        <f t="shared" ca="1" si="23"/>
        <v>0</v>
      </c>
      <c r="K216" s="22">
        <f t="shared" ca="1" si="24"/>
        <v>25.342465753424655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</row>
    <row r="217" spans="2:117" hidden="1" x14ac:dyDescent="0.25">
      <c r="B217" s="6"/>
      <c r="C217" s="6"/>
      <c r="D217" s="6"/>
      <c r="E217" s="37">
        <v>213</v>
      </c>
      <c r="F217" s="19">
        <f t="shared" ca="1" si="19"/>
        <v>84</v>
      </c>
      <c r="G217" s="19">
        <f t="shared" ca="1" si="20"/>
        <v>925</v>
      </c>
      <c r="H217" s="19">
        <f t="shared" ca="1" si="21"/>
        <v>841</v>
      </c>
      <c r="I217" s="19">
        <f t="shared" ca="1" si="22"/>
        <v>0</v>
      </c>
      <c r="J217" s="19">
        <f t="shared" ca="1" si="23"/>
        <v>0</v>
      </c>
      <c r="K217" s="22">
        <f t="shared" ca="1" si="24"/>
        <v>23.041095890410958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</row>
    <row r="218" spans="2:117" hidden="1" x14ac:dyDescent="0.25">
      <c r="B218" s="6"/>
      <c r="C218" s="6"/>
      <c r="D218" s="6"/>
      <c r="E218" s="37">
        <v>214</v>
      </c>
      <c r="F218" s="19">
        <f t="shared" ca="1" si="19"/>
        <v>117</v>
      </c>
      <c r="G218" s="19">
        <f t="shared" ca="1" si="20"/>
        <v>841</v>
      </c>
      <c r="H218" s="19">
        <f t="shared" ca="1" si="21"/>
        <v>724</v>
      </c>
      <c r="I218" s="19">
        <f t="shared" ca="1" si="22"/>
        <v>0</v>
      </c>
      <c r="J218" s="19">
        <f t="shared" ca="1" si="23"/>
        <v>0</v>
      </c>
      <c r="K218" s="22">
        <f t="shared" ca="1" si="24"/>
        <v>19.835616438356162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</row>
    <row r="219" spans="2:117" hidden="1" x14ac:dyDescent="0.25">
      <c r="B219" s="6"/>
      <c r="C219" s="6"/>
      <c r="D219" s="6"/>
      <c r="E219" s="37">
        <v>215</v>
      </c>
      <c r="F219" s="19">
        <f t="shared" ca="1" si="19"/>
        <v>113</v>
      </c>
      <c r="G219" s="19">
        <f t="shared" ca="1" si="20"/>
        <v>724</v>
      </c>
      <c r="H219" s="19">
        <f t="shared" ca="1" si="21"/>
        <v>611</v>
      </c>
      <c r="I219" s="19">
        <f t="shared" ca="1" si="22"/>
        <v>0</v>
      </c>
      <c r="J219" s="19">
        <f t="shared" ca="1" si="23"/>
        <v>0</v>
      </c>
      <c r="K219" s="22">
        <f t="shared" ca="1" si="24"/>
        <v>16.739726027397261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</row>
    <row r="220" spans="2:117" hidden="1" x14ac:dyDescent="0.25">
      <c r="B220" s="6"/>
      <c r="C220" s="6"/>
      <c r="D220" s="6"/>
      <c r="E220" s="37">
        <v>216</v>
      </c>
      <c r="F220" s="19">
        <f t="shared" ca="1" si="19"/>
        <v>92</v>
      </c>
      <c r="G220" s="19">
        <f t="shared" ca="1" si="20"/>
        <v>611</v>
      </c>
      <c r="H220" s="19">
        <f t="shared" ca="1" si="21"/>
        <v>519</v>
      </c>
      <c r="I220" s="19">
        <f t="shared" ca="1" si="22"/>
        <v>0</v>
      </c>
      <c r="J220" s="19">
        <f t="shared" ca="1" si="23"/>
        <v>0</v>
      </c>
      <c r="K220" s="22">
        <f t="shared" ca="1" si="24"/>
        <v>14.21917808219178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</row>
    <row r="221" spans="2:117" hidden="1" x14ac:dyDescent="0.25">
      <c r="B221" s="6"/>
      <c r="C221" s="6"/>
      <c r="D221" s="6"/>
      <c r="E221" s="37">
        <v>217</v>
      </c>
      <c r="F221" s="19">
        <f t="shared" ca="1" si="19"/>
        <v>110</v>
      </c>
      <c r="G221" s="19">
        <f t="shared" ca="1" si="20"/>
        <v>519</v>
      </c>
      <c r="H221" s="19">
        <f t="shared" ca="1" si="21"/>
        <v>409</v>
      </c>
      <c r="I221" s="19">
        <f t="shared" ca="1" si="22"/>
        <v>0</v>
      </c>
      <c r="J221" s="19">
        <f t="shared" ca="1" si="23"/>
        <v>0</v>
      </c>
      <c r="K221" s="22">
        <f t="shared" ca="1" si="24"/>
        <v>11.205479452054794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</row>
    <row r="222" spans="2:117" hidden="1" x14ac:dyDescent="0.25">
      <c r="B222" s="6"/>
      <c r="C222" s="6"/>
      <c r="D222" s="6"/>
      <c r="E222" s="37">
        <v>218</v>
      </c>
      <c r="F222" s="19">
        <f t="shared" ca="1" si="19"/>
        <v>95</v>
      </c>
      <c r="G222" s="19">
        <f t="shared" ca="1" si="20"/>
        <v>409</v>
      </c>
      <c r="H222" s="19">
        <f t="shared" ca="1" si="21"/>
        <v>314</v>
      </c>
      <c r="I222" s="19">
        <f t="shared" ca="1" si="22"/>
        <v>0</v>
      </c>
      <c r="J222" s="19">
        <f t="shared" ca="1" si="23"/>
        <v>0</v>
      </c>
      <c r="K222" s="22">
        <f t="shared" ca="1" si="24"/>
        <v>8.6027397260273961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</row>
    <row r="223" spans="2:117" hidden="1" x14ac:dyDescent="0.25">
      <c r="B223" s="6"/>
      <c r="C223" s="6"/>
      <c r="D223" s="6"/>
      <c r="E223" s="37">
        <v>219</v>
      </c>
      <c r="F223" s="19">
        <f t="shared" ca="1" si="19"/>
        <v>105</v>
      </c>
      <c r="G223" s="19">
        <f t="shared" ca="1" si="20"/>
        <v>314</v>
      </c>
      <c r="H223" s="19">
        <f t="shared" ca="1" si="21"/>
        <v>209</v>
      </c>
      <c r="I223" s="19">
        <f t="shared" ca="1" si="22"/>
        <v>0</v>
      </c>
      <c r="J223" s="19">
        <f t="shared" ca="1" si="23"/>
        <v>0</v>
      </c>
      <c r="K223" s="22">
        <f t="shared" ca="1" si="24"/>
        <v>5.7260273972602738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</row>
    <row r="224" spans="2:117" hidden="1" x14ac:dyDescent="0.25">
      <c r="B224" s="6"/>
      <c r="C224" s="6"/>
      <c r="D224" s="6"/>
      <c r="E224" s="37">
        <v>220</v>
      </c>
      <c r="F224" s="19">
        <f t="shared" ca="1" si="19"/>
        <v>90</v>
      </c>
      <c r="G224" s="19">
        <f t="shared" ca="1" si="20"/>
        <v>209</v>
      </c>
      <c r="H224" s="19">
        <f t="shared" ca="1" si="21"/>
        <v>119</v>
      </c>
      <c r="I224" s="19">
        <f t="shared" ca="1" si="22"/>
        <v>1</v>
      </c>
      <c r="J224" s="19">
        <f t="shared" ca="1" si="23"/>
        <v>200</v>
      </c>
      <c r="K224" s="22">
        <f t="shared" ca="1" si="24"/>
        <v>3.2602739726027394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</row>
    <row r="225" spans="2:117" hidden="1" x14ac:dyDescent="0.25">
      <c r="B225" s="6"/>
      <c r="C225" s="6"/>
      <c r="D225" s="6"/>
      <c r="E225" s="37">
        <v>221</v>
      </c>
      <c r="F225" s="19">
        <f t="shared" ca="1" si="19"/>
        <v>103</v>
      </c>
      <c r="G225" s="19">
        <f t="shared" ca="1" si="20"/>
        <v>1119</v>
      </c>
      <c r="H225" s="19">
        <f t="shared" ca="1" si="21"/>
        <v>1016</v>
      </c>
      <c r="I225" s="19">
        <f t="shared" ca="1" si="22"/>
        <v>0</v>
      </c>
      <c r="J225" s="19">
        <f t="shared" ca="1" si="23"/>
        <v>0</v>
      </c>
      <c r="K225" s="22">
        <f t="shared" ca="1" si="24"/>
        <v>27.835616438356162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</row>
    <row r="226" spans="2:117" hidden="1" x14ac:dyDescent="0.25">
      <c r="B226" s="6"/>
      <c r="C226" s="6"/>
      <c r="D226" s="6"/>
      <c r="E226" s="37">
        <v>222</v>
      </c>
      <c r="F226" s="19">
        <f t="shared" ca="1" si="19"/>
        <v>86</v>
      </c>
      <c r="G226" s="19">
        <f t="shared" ca="1" si="20"/>
        <v>1016</v>
      </c>
      <c r="H226" s="19">
        <f t="shared" ca="1" si="21"/>
        <v>930</v>
      </c>
      <c r="I226" s="19">
        <f t="shared" ca="1" si="22"/>
        <v>0</v>
      </c>
      <c r="J226" s="19">
        <f t="shared" ca="1" si="23"/>
        <v>0</v>
      </c>
      <c r="K226" s="22">
        <f t="shared" ca="1" si="24"/>
        <v>25.479452054794518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</row>
    <row r="227" spans="2:117" hidden="1" x14ac:dyDescent="0.25">
      <c r="B227" s="6"/>
      <c r="C227" s="6"/>
      <c r="D227" s="6"/>
      <c r="E227" s="37">
        <v>223</v>
      </c>
      <c r="F227" s="19">
        <f t="shared" ca="1" si="19"/>
        <v>108</v>
      </c>
      <c r="G227" s="19">
        <f t="shared" ca="1" si="20"/>
        <v>930</v>
      </c>
      <c r="H227" s="19">
        <f t="shared" ca="1" si="21"/>
        <v>822</v>
      </c>
      <c r="I227" s="19">
        <f t="shared" ca="1" si="22"/>
        <v>0</v>
      </c>
      <c r="J227" s="19">
        <f t="shared" ca="1" si="23"/>
        <v>0</v>
      </c>
      <c r="K227" s="22">
        <f t="shared" ca="1" si="24"/>
        <v>22.520547945205479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</row>
    <row r="228" spans="2:117" hidden="1" x14ac:dyDescent="0.25">
      <c r="B228" s="6"/>
      <c r="C228" s="6"/>
      <c r="D228" s="6"/>
      <c r="E228" s="37">
        <v>224</v>
      </c>
      <c r="F228" s="19">
        <f t="shared" ca="1" si="19"/>
        <v>87</v>
      </c>
      <c r="G228" s="19">
        <f t="shared" ca="1" si="20"/>
        <v>822</v>
      </c>
      <c r="H228" s="19">
        <f t="shared" ca="1" si="21"/>
        <v>735</v>
      </c>
      <c r="I228" s="19">
        <f t="shared" ca="1" si="22"/>
        <v>0</v>
      </c>
      <c r="J228" s="19">
        <f t="shared" ca="1" si="23"/>
        <v>0</v>
      </c>
      <c r="K228" s="22">
        <f t="shared" ca="1" si="24"/>
        <v>20.136986301369863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</row>
    <row r="229" spans="2:117" hidden="1" x14ac:dyDescent="0.25">
      <c r="B229" s="6"/>
      <c r="C229" s="6"/>
      <c r="D229" s="6"/>
      <c r="E229" s="37">
        <v>225</v>
      </c>
      <c r="F229" s="19">
        <f t="shared" ca="1" si="19"/>
        <v>93</v>
      </c>
      <c r="G229" s="19">
        <f t="shared" ca="1" si="20"/>
        <v>735</v>
      </c>
      <c r="H229" s="19">
        <f t="shared" ca="1" si="21"/>
        <v>642</v>
      </c>
      <c r="I229" s="19">
        <f t="shared" ca="1" si="22"/>
        <v>0</v>
      </c>
      <c r="J229" s="19">
        <f t="shared" ca="1" si="23"/>
        <v>0</v>
      </c>
      <c r="K229" s="22">
        <f t="shared" ca="1" si="24"/>
        <v>17.589041095890408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</row>
    <row r="230" spans="2:117" hidden="1" x14ac:dyDescent="0.25">
      <c r="B230" s="6"/>
      <c r="C230" s="6"/>
      <c r="D230" s="6"/>
      <c r="E230" s="37">
        <v>226</v>
      </c>
      <c r="F230" s="19">
        <f t="shared" ca="1" si="19"/>
        <v>103</v>
      </c>
      <c r="G230" s="19">
        <f t="shared" ca="1" si="20"/>
        <v>642</v>
      </c>
      <c r="H230" s="19">
        <f t="shared" ca="1" si="21"/>
        <v>539</v>
      </c>
      <c r="I230" s="19">
        <f t="shared" ca="1" si="22"/>
        <v>0</v>
      </c>
      <c r="J230" s="19">
        <f t="shared" ca="1" si="23"/>
        <v>0</v>
      </c>
      <c r="K230" s="22">
        <f t="shared" ca="1" si="24"/>
        <v>14.767123287671232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</row>
    <row r="231" spans="2:117" hidden="1" x14ac:dyDescent="0.25">
      <c r="B231" s="6"/>
      <c r="C231" s="6"/>
      <c r="D231" s="6"/>
      <c r="E231" s="37">
        <v>227</v>
      </c>
      <c r="F231" s="19">
        <f t="shared" ca="1" si="19"/>
        <v>105</v>
      </c>
      <c r="G231" s="19">
        <f t="shared" ca="1" si="20"/>
        <v>539</v>
      </c>
      <c r="H231" s="19">
        <f t="shared" ca="1" si="21"/>
        <v>434</v>
      </c>
      <c r="I231" s="19">
        <f t="shared" ca="1" si="22"/>
        <v>0</v>
      </c>
      <c r="J231" s="19">
        <f t="shared" ca="1" si="23"/>
        <v>0</v>
      </c>
      <c r="K231" s="22">
        <f t="shared" ca="1" si="24"/>
        <v>11.890410958904109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</row>
    <row r="232" spans="2:117" hidden="1" x14ac:dyDescent="0.25">
      <c r="B232" s="6"/>
      <c r="C232" s="6"/>
      <c r="D232" s="6"/>
      <c r="E232" s="37">
        <v>228</v>
      </c>
      <c r="F232" s="19">
        <f t="shared" ca="1" si="19"/>
        <v>84</v>
      </c>
      <c r="G232" s="19">
        <f t="shared" ca="1" si="20"/>
        <v>434</v>
      </c>
      <c r="H232" s="19">
        <f t="shared" ca="1" si="21"/>
        <v>350</v>
      </c>
      <c r="I232" s="19">
        <f t="shared" ca="1" si="22"/>
        <v>0</v>
      </c>
      <c r="J232" s="19">
        <f t="shared" ca="1" si="23"/>
        <v>0</v>
      </c>
      <c r="K232" s="22">
        <f t="shared" ca="1" si="24"/>
        <v>9.5890410958904102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</row>
    <row r="233" spans="2:117" hidden="1" x14ac:dyDescent="0.25">
      <c r="B233" s="6"/>
      <c r="C233" s="6"/>
      <c r="D233" s="6"/>
      <c r="E233" s="37">
        <v>229</v>
      </c>
      <c r="F233" s="19">
        <f t="shared" ca="1" si="19"/>
        <v>111</v>
      </c>
      <c r="G233" s="19">
        <f t="shared" ca="1" si="20"/>
        <v>350</v>
      </c>
      <c r="H233" s="19">
        <f t="shared" ca="1" si="21"/>
        <v>239</v>
      </c>
      <c r="I233" s="19">
        <f t="shared" ca="1" si="22"/>
        <v>0</v>
      </c>
      <c r="J233" s="19">
        <f t="shared" ca="1" si="23"/>
        <v>0</v>
      </c>
      <c r="K233" s="22">
        <f t="shared" ca="1" si="24"/>
        <v>6.5479452054794516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</row>
    <row r="234" spans="2:117" hidden="1" x14ac:dyDescent="0.25">
      <c r="B234" s="6"/>
      <c r="C234" s="6"/>
      <c r="D234" s="6"/>
      <c r="E234" s="37">
        <v>230</v>
      </c>
      <c r="F234" s="19">
        <f t="shared" ca="1" si="19"/>
        <v>85</v>
      </c>
      <c r="G234" s="19">
        <f t="shared" ca="1" si="20"/>
        <v>239</v>
      </c>
      <c r="H234" s="19">
        <f t="shared" ca="1" si="21"/>
        <v>154</v>
      </c>
      <c r="I234" s="19">
        <f t="shared" ca="1" si="22"/>
        <v>0</v>
      </c>
      <c r="J234" s="19">
        <f t="shared" ca="1" si="23"/>
        <v>0</v>
      </c>
      <c r="K234" s="22">
        <f t="shared" ca="1" si="24"/>
        <v>4.2191780821917808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</row>
    <row r="235" spans="2:117" hidden="1" x14ac:dyDescent="0.25">
      <c r="B235" s="6"/>
      <c r="C235" s="6"/>
      <c r="D235" s="6"/>
      <c r="E235" s="37">
        <v>231</v>
      </c>
      <c r="F235" s="19">
        <f t="shared" ca="1" si="19"/>
        <v>101</v>
      </c>
      <c r="G235" s="19">
        <f t="shared" ca="1" si="20"/>
        <v>154</v>
      </c>
      <c r="H235" s="19">
        <f t="shared" ca="1" si="21"/>
        <v>53</v>
      </c>
      <c r="I235" s="19">
        <f t="shared" ca="1" si="22"/>
        <v>1</v>
      </c>
      <c r="J235" s="19">
        <f t="shared" ca="1" si="23"/>
        <v>200</v>
      </c>
      <c r="K235" s="22">
        <f t="shared" ca="1" si="24"/>
        <v>1.452054794520548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</row>
    <row r="236" spans="2:117" hidden="1" x14ac:dyDescent="0.25">
      <c r="B236" s="6"/>
      <c r="C236" s="6"/>
      <c r="D236" s="6"/>
      <c r="E236" s="37">
        <v>232</v>
      </c>
      <c r="F236" s="19">
        <f t="shared" ca="1" si="19"/>
        <v>102</v>
      </c>
      <c r="G236" s="19">
        <f t="shared" ca="1" si="20"/>
        <v>1053</v>
      </c>
      <c r="H236" s="19">
        <f t="shared" ca="1" si="21"/>
        <v>951</v>
      </c>
      <c r="I236" s="19">
        <f t="shared" ca="1" si="22"/>
        <v>0</v>
      </c>
      <c r="J236" s="19">
        <f t="shared" ca="1" si="23"/>
        <v>0</v>
      </c>
      <c r="K236" s="22">
        <f t="shared" ca="1" si="24"/>
        <v>26.054794520547944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</row>
    <row r="237" spans="2:117" hidden="1" x14ac:dyDescent="0.25">
      <c r="B237" s="6"/>
      <c r="C237" s="6"/>
      <c r="D237" s="6"/>
      <c r="E237" s="37">
        <v>233</v>
      </c>
      <c r="F237" s="19">
        <f t="shared" ca="1" si="19"/>
        <v>100</v>
      </c>
      <c r="G237" s="19">
        <f t="shared" ca="1" si="20"/>
        <v>951</v>
      </c>
      <c r="H237" s="19">
        <f t="shared" ca="1" si="21"/>
        <v>851</v>
      </c>
      <c r="I237" s="19">
        <f t="shared" ca="1" si="22"/>
        <v>0</v>
      </c>
      <c r="J237" s="19">
        <f t="shared" ca="1" si="23"/>
        <v>0</v>
      </c>
      <c r="K237" s="22">
        <f t="shared" ca="1" si="24"/>
        <v>23.315068493150683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</row>
    <row r="238" spans="2:117" hidden="1" x14ac:dyDescent="0.25">
      <c r="B238" s="6"/>
      <c r="C238" s="6"/>
      <c r="D238" s="6"/>
      <c r="E238" s="37">
        <v>234</v>
      </c>
      <c r="F238" s="19">
        <f t="shared" ca="1" si="19"/>
        <v>100</v>
      </c>
      <c r="G238" s="19">
        <f t="shared" ca="1" si="20"/>
        <v>851</v>
      </c>
      <c r="H238" s="19">
        <f t="shared" ca="1" si="21"/>
        <v>751</v>
      </c>
      <c r="I238" s="19">
        <f t="shared" ca="1" si="22"/>
        <v>0</v>
      </c>
      <c r="J238" s="19">
        <f t="shared" ca="1" si="23"/>
        <v>0</v>
      </c>
      <c r="K238" s="22">
        <f t="shared" ca="1" si="24"/>
        <v>20.575342465753423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</row>
    <row r="239" spans="2:117" hidden="1" x14ac:dyDescent="0.25">
      <c r="B239" s="6"/>
      <c r="C239" s="6"/>
      <c r="D239" s="6"/>
      <c r="E239" s="37">
        <v>235</v>
      </c>
      <c r="F239" s="19">
        <f t="shared" ca="1" si="19"/>
        <v>106</v>
      </c>
      <c r="G239" s="19">
        <f t="shared" ca="1" si="20"/>
        <v>751</v>
      </c>
      <c r="H239" s="19">
        <f t="shared" ca="1" si="21"/>
        <v>645</v>
      </c>
      <c r="I239" s="19">
        <f t="shared" ca="1" si="22"/>
        <v>0</v>
      </c>
      <c r="J239" s="19">
        <f t="shared" ca="1" si="23"/>
        <v>0</v>
      </c>
      <c r="K239" s="22">
        <f t="shared" ca="1" si="24"/>
        <v>17.671232876712327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</row>
    <row r="240" spans="2:117" hidden="1" x14ac:dyDescent="0.25">
      <c r="B240" s="6"/>
      <c r="C240" s="6"/>
      <c r="D240" s="6"/>
      <c r="E240" s="37">
        <v>236</v>
      </c>
      <c r="F240" s="19">
        <f t="shared" ca="1" si="19"/>
        <v>120</v>
      </c>
      <c r="G240" s="19">
        <f t="shared" ca="1" si="20"/>
        <v>645</v>
      </c>
      <c r="H240" s="19">
        <f t="shared" ca="1" si="21"/>
        <v>525</v>
      </c>
      <c r="I240" s="19">
        <f t="shared" ca="1" si="22"/>
        <v>0</v>
      </c>
      <c r="J240" s="19">
        <f t="shared" ca="1" si="23"/>
        <v>0</v>
      </c>
      <c r="K240" s="22">
        <f t="shared" ca="1" si="24"/>
        <v>14.383561643835616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</row>
    <row r="241" spans="2:117" hidden="1" x14ac:dyDescent="0.25">
      <c r="B241" s="6"/>
      <c r="C241" s="6"/>
      <c r="D241" s="6"/>
      <c r="E241" s="37">
        <v>237</v>
      </c>
      <c r="F241" s="19">
        <f t="shared" ca="1" si="19"/>
        <v>120</v>
      </c>
      <c r="G241" s="19">
        <f t="shared" ca="1" si="20"/>
        <v>525</v>
      </c>
      <c r="H241" s="19">
        <f t="shared" ca="1" si="21"/>
        <v>405</v>
      </c>
      <c r="I241" s="19">
        <f t="shared" ca="1" si="22"/>
        <v>0</v>
      </c>
      <c r="J241" s="19">
        <f t="shared" ca="1" si="23"/>
        <v>0</v>
      </c>
      <c r="K241" s="22">
        <f t="shared" ca="1" si="24"/>
        <v>11.095890410958903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</row>
    <row r="242" spans="2:117" hidden="1" x14ac:dyDescent="0.25">
      <c r="B242" s="6"/>
      <c r="C242" s="6"/>
      <c r="D242" s="6"/>
      <c r="E242" s="37">
        <v>238</v>
      </c>
      <c r="F242" s="19">
        <f t="shared" ca="1" si="19"/>
        <v>95</v>
      </c>
      <c r="G242" s="19">
        <f t="shared" ca="1" si="20"/>
        <v>405</v>
      </c>
      <c r="H242" s="19">
        <f t="shared" ca="1" si="21"/>
        <v>310</v>
      </c>
      <c r="I242" s="19">
        <f t="shared" ca="1" si="22"/>
        <v>0</v>
      </c>
      <c r="J242" s="19">
        <f t="shared" ca="1" si="23"/>
        <v>0</v>
      </c>
      <c r="K242" s="22">
        <f t="shared" ca="1" si="24"/>
        <v>8.493150684931507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</row>
    <row r="243" spans="2:117" hidden="1" x14ac:dyDescent="0.25">
      <c r="B243" s="6"/>
      <c r="C243" s="6"/>
      <c r="D243" s="6"/>
      <c r="E243" s="37">
        <v>239</v>
      </c>
      <c r="F243" s="19">
        <f t="shared" ca="1" si="19"/>
        <v>100</v>
      </c>
      <c r="G243" s="19">
        <f t="shared" ca="1" si="20"/>
        <v>310</v>
      </c>
      <c r="H243" s="19">
        <f t="shared" ca="1" si="21"/>
        <v>210</v>
      </c>
      <c r="I243" s="19">
        <f t="shared" ca="1" si="22"/>
        <v>0</v>
      </c>
      <c r="J243" s="19">
        <f t="shared" ca="1" si="23"/>
        <v>0</v>
      </c>
      <c r="K243" s="22">
        <f t="shared" ca="1" si="24"/>
        <v>5.7534246575342465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</row>
    <row r="244" spans="2:117" hidden="1" x14ac:dyDescent="0.25">
      <c r="B244" s="6"/>
      <c r="C244" s="6"/>
      <c r="D244" s="6"/>
      <c r="E244" s="37">
        <v>240</v>
      </c>
      <c r="F244" s="19">
        <f t="shared" ca="1" si="19"/>
        <v>85</v>
      </c>
      <c r="G244" s="19">
        <f t="shared" ca="1" si="20"/>
        <v>210</v>
      </c>
      <c r="H244" s="19">
        <f t="shared" ca="1" si="21"/>
        <v>125</v>
      </c>
      <c r="I244" s="19">
        <f t="shared" ca="1" si="22"/>
        <v>0</v>
      </c>
      <c r="J244" s="19">
        <f t="shared" ca="1" si="23"/>
        <v>0</v>
      </c>
      <c r="K244" s="22">
        <f t="shared" ca="1" si="24"/>
        <v>3.4246575342465753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</row>
    <row r="245" spans="2:117" hidden="1" x14ac:dyDescent="0.25">
      <c r="B245" s="6"/>
      <c r="C245" s="6"/>
      <c r="D245" s="6"/>
      <c r="E245" s="37">
        <v>241</v>
      </c>
      <c r="F245" s="19">
        <f t="shared" ca="1" si="19"/>
        <v>83</v>
      </c>
      <c r="G245" s="19">
        <f t="shared" ca="1" si="20"/>
        <v>125</v>
      </c>
      <c r="H245" s="19">
        <f t="shared" ca="1" si="21"/>
        <v>42</v>
      </c>
      <c r="I245" s="19">
        <f t="shared" ca="1" si="22"/>
        <v>1</v>
      </c>
      <c r="J245" s="19">
        <f t="shared" ca="1" si="23"/>
        <v>200</v>
      </c>
      <c r="K245" s="22">
        <f t="shared" ca="1" si="24"/>
        <v>1.1506849315068493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</row>
    <row r="246" spans="2:117" hidden="1" x14ac:dyDescent="0.25">
      <c r="B246" s="6"/>
      <c r="C246" s="6"/>
      <c r="D246" s="6"/>
      <c r="E246" s="37">
        <v>242</v>
      </c>
      <c r="F246" s="19">
        <f t="shared" ca="1" si="19"/>
        <v>111</v>
      </c>
      <c r="G246" s="19">
        <f t="shared" ca="1" si="20"/>
        <v>1042</v>
      </c>
      <c r="H246" s="19">
        <f t="shared" ca="1" si="21"/>
        <v>931</v>
      </c>
      <c r="I246" s="19">
        <f t="shared" ca="1" si="22"/>
        <v>0</v>
      </c>
      <c r="J246" s="19">
        <f t="shared" ca="1" si="23"/>
        <v>0</v>
      </c>
      <c r="K246" s="22">
        <f t="shared" ca="1" si="24"/>
        <v>25.506849315068493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</row>
    <row r="247" spans="2:117" hidden="1" x14ac:dyDescent="0.25">
      <c r="B247" s="6"/>
      <c r="C247" s="6"/>
      <c r="D247" s="6"/>
      <c r="E247" s="37">
        <v>243</v>
      </c>
      <c r="F247" s="19">
        <f t="shared" ca="1" si="19"/>
        <v>101</v>
      </c>
      <c r="G247" s="19">
        <f t="shared" ca="1" si="20"/>
        <v>931</v>
      </c>
      <c r="H247" s="19">
        <f t="shared" ca="1" si="21"/>
        <v>830</v>
      </c>
      <c r="I247" s="19">
        <f t="shared" ca="1" si="22"/>
        <v>0</v>
      </c>
      <c r="J247" s="19">
        <f t="shared" ca="1" si="23"/>
        <v>0</v>
      </c>
      <c r="K247" s="22">
        <f t="shared" ca="1" si="24"/>
        <v>22.739726027397261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</row>
    <row r="248" spans="2:117" hidden="1" x14ac:dyDescent="0.25">
      <c r="B248" s="6"/>
      <c r="C248" s="6"/>
      <c r="D248" s="6"/>
      <c r="E248" s="37">
        <v>244</v>
      </c>
      <c r="F248" s="19">
        <f t="shared" ca="1" si="19"/>
        <v>106</v>
      </c>
      <c r="G248" s="19">
        <f t="shared" ca="1" si="20"/>
        <v>830</v>
      </c>
      <c r="H248" s="19">
        <f t="shared" ca="1" si="21"/>
        <v>724</v>
      </c>
      <c r="I248" s="19">
        <f t="shared" ca="1" si="22"/>
        <v>0</v>
      </c>
      <c r="J248" s="19">
        <f t="shared" ca="1" si="23"/>
        <v>0</v>
      </c>
      <c r="K248" s="22">
        <f t="shared" ca="1" si="24"/>
        <v>19.835616438356162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</row>
    <row r="249" spans="2:117" hidden="1" x14ac:dyDescent="0.25">
      <c r="B249" s="6"/>
      <c r="C249" s="6"/>
      <c r="D249" s="6"/>
      <c r="E249" s="37">
        <v>245</v>
      </c>
      <c r="F249" s="19">
        <f t="shared" ca="1" si="19"/>
        <v>113</v>
      </c>
      <c r="G249" s="19">
        <f t="shared" ca="1" si="20"/>
        <v>724</v>
      </c>
      <c r="H249" s="19">
        <f t="shared" ca="1" si="21"/>
        <v>611</v>
      </c>
      <c r="I249" s="19">
        <f t="shared" ca="1" si="22"/>
        <v>0</v>
      </c>
      <c r="J249" s="19">
        <f t="shared" ca="1" si="23"/>
        <v>0</v>
      </c>
      <c r="K249" s="22">
        <f t="shared" ca="1" si="24"/>
        <v>16.739726027397261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</row>
    <row r="250" spans="2:117" hidden="1" x14ac:dyDescent="0.25">
      <c r="B250" s="6"/>
      <c r="C250" s="6"/>
      <c r="D250" s="6"/>
      <c r="E250" s="37">
        <v>246</v>
      </c>
      <c r="F250" s="19">
        <f t="shared" ca="1" si="19"/>
        <v>104</v>
      </c>
      <c r="G250" s="19">
        <f t="shared" ca="1" si="20"/>
        <v>611</v>
      </c>
      <c r="H250" s="19">
        <f t="shared" ca="1" si="21"/>
        <v>507</v>
      </c>
      <c r="I250" s="19">
        <f t="shared" ca="1" si="22"/>
        <v>0</v>
      </c>
      <c r="J250" s="19">
        <f t="shared" ca="1" si="23"/>
        <v>0</v>
      </c>
      <c r="K250" s="22">
        <f t="shared" ca="1" si="24"/>
        <v>13.890410958904109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</row>
    <row r="251" spans="2:117" hidden="1" x14ac:dyDescent="0.25">
      <c r="B251" s="6"/>
      <c r="C251" s="6"/>
      <c r="D251" s="6"/>
      <c r="E251" s="37">
        <v>247</v>
      </c>
      <c r="F251" s="19">
        <f t="shared" ca="1" si="19"/>
        <v>114</v>
      </c>
      <c r="G251" s="19">
        <f t="shared" ca="1" si="20"/>
        <v>507</v>
      </c>
      <c r="H251" s="19">
        <f t="shared" ca="1" si="21"/>
        <v>393</v>
      </c>
      <c r="I251" s="19">
        <f t="shared" ca="1" si="22"/>
        <v>0</v>
      </c>
      <c r="J251" s="19">
        <f t="shared" ca="1" si="23"/>
        <v>0</v>
      </c>
      <c r="K251" s="22">
        <f t="shared" ca="1" si="24"/>
        <v>10.767123287671232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</row>
    <row r="252" spans="2:117" hidden="1" x14ac:dyDescent="0.25">
      <c r="B252" s="6"/>
      <c r="C252" s="6"/>
      <c r="D252" s="6"/>
      <c r="E252" s="37">
        <v>248</v>
      </c>
      <c r="F252" s="19">
        <f t="shared" ca="1" si="19"/>
        <v>98</v>
      </c>
      <c r="G252" s="19">
        <f t="shared" ca="1" si="20"/>
        <v>393</v>
      </c>
      <c r="H252" s="19">
        <f t="shared" ca="1" si="21"/>
        <v>295</v>
      </c>
      <c r="I252" s="19">
        <f t="shared" ca="1" si="22"/>
        <v>0</v>
      </c>
      <c r="J252" s="19">
        <f t="shared" ca="1" si="23"/>
        <v>0</v>
      </c>
      <c r="K252" s="22">
        <f t="shared" ca="1" si="24"/>
        <v>8.0821917808219172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</row>
    <row r="253" spans="2:117" hidden="1" x14ac:dyDescent="0.25">
      <c r="B253" s="6"/>
      <c r="C253" s="6"/>
      <c r="D253" s="6"/>
      <c r="E253" s="37">
        <v>249</v>
      </c>
      <c r="F253" s="19">
        <f t="shared" ca="1" si="19"/>
        <v>114</v>
      </c>
      <c r="G253" s="19">
        <f t="shared" ca="1" si="20"/>
        <v>295</v>
      </c>
      <c r="H253" s="19">
        <f t="shared" ca="1" si="21"/>
        <v>181</v>
      </c>
      <c r="I253" s="19">
        <f t="shared" ca="1" si="22"/>
        <v>0</v>
      </c>
      <c r="J253" s="19">
        <f t="shared" ca="1" si="23"/>
        <v>0</v>
      </c>
      <c r="K253" s="22">
        <f t="shared" ca="1" si="24"/>
        <v>4.9589041095890405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</row>
    <row r="254" spans="2:117" hidden="1" x14ac:dyDescent="0.25">
      <c r="B254" s="6"/>
      <c r="C254" s="6"/>
      <c r="D254" s="6"/>
      <c r="E254" s="37">
        <v>250</v>
      </c>
      <c r="F254" s="19">
        <f t="shared" ca="1" si="19"/>
        <v>95</v>
      </c>
      <c r="G254" s="19">
        <f t="shared" ca="1" si="20"/>
        <v>181</v>
      </c>
      <c r="H254" s="19">
        <f t="shared" ca="1" si="21"/>
        <v>86</v>
      </c>
      <c r="I254" s="19">
        <f t="shared" ca="1" si="22"/>
        <v>1</v>
      </c>
      <c r="J254" s="19">
        <f t="shared" ca="1" si="23"/>
        <v>200</v>
      </c>
      <c r="K254" s="22">
        <f t="shared" ca="1" si="24"/>
        <v>2.3561643835616435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</row>
    <row r="255" spans="2:117" hidden="1" x14ac:dyDescent="0.25">
      <c r="B255" s="6"/>
      <c r="C255" s="6"/>
      <c r="D255" s="6"/>
      <c r="E255" s="37">
        <v>251</v>
      </c>
      <c r="F255" s="19">
        <f t="shared" ca="1" si="19"/>
        <v>103</v>
      </c>
      <c r="G255" s="19">
        <f t="shared" ca="1" si="20"/>
        <v>1086</v>
      </c>
      <c r="H255" s="19">
        <f t="shared" ca="1" si="21"/>
        <v>983</v>
      </c>
      <c r="I255" s="19">
        <f t="shared" ca="1" si="22"/>
        <v>0</v>
      </c>
      <c r="J255" s="19">
        <f t="shared" ca="1" si="23"/>
        <v>0</v>
      </c>
      <c r="K255" s="22">
        <f t="shared" ca="1" si="24"/>
        <v>26.931506849315067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</row>
    <row r="256" spans="2:117" hidden="1" x14ac:dyDescent="0.25">
      <c r="B256" s="6"/>
      <c r="C256" s="6"/>
      <c r="D256" s="6"/>
      <c r="E256" s="37">
        <v>252</v>
      </c>
      <c r="F256" s="19">
        <f t="shared" ca="1" si="19"/>
        <v>112</v>
      </c>
      <c r="G256" s="19">
        <f t="shared" ca="1" si="20"/>
        <v>983</v>
      </c>
      <c r="H256" s="19">
        <f t="shared" ca="1" si="21"/>
        <v>871</v>
      </c>
      <c r="I256" s="19">
        <f t="shared" ca="1" si="22"/>
        <v>0</v>
      </c>
      <c r="J256" s="19">
        <f t="shared" ca="1" si="23"/>
        <v>0</v>
      </c>
      <c r="K256" s="22">
        <f t="shared" ca="1" si="24"/>
        <v>23.863013698630137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</row>
    <row r="257" spans="2:117" hidden="1" x14ac:dyDescent="0.25">
      <c r="B257" s="6"/>
      <c r="C257" s="6"/>
      <c r="D257" s="6"/>
      <c r="E257" s="37">
        <v>253</v>
      </c>
      <c r="F257" s="19">
        <f t="shared" ca="1" si="19"/>
        <v>89</v>
      </c>
      <c r="G257" s="19">
        <f t="shared" ca="1" si="20"/>
        <v>871</v>
      </c>
      <c r="H257" s="19">
        <f t="shared" ca="1" si="21"/>
        <v>782</v>
      </c>
      <c r="I257" s="19">
        <f t="shared" ca="1" si="22"/>
        <v>0</v>
      </c>
      <c r="J257" s="19">
        <f t="shared" ca="1" si="23"/>
        <v>0</v>
      </c>
      <c r="K257" s="22">
        <f t="shared" ca="1" si="24"/>
        <v>21.424657534246574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</row>
    <row r="258" spans="2:117" hidden="1" x14ac:dyDescent="0.25">
      <c r="B258" s="6"/>
      <c r="C258" s="6"/>
      <c r="D258" s="6"/>
      <c r="E258" s="37">
        <v>254</v>
      </c>
      <c r="F258" s="19">
        <f t="shared" ca="1" si="19"/>
        <v>104</v>
      </c>
      <c r="G258" s="19">
        <f t="shared" ca="1" si="20"/>
        <v>782</v>
      </c>
      <c r="H258" s="19">
        <f t="shared" ca="1" si="21"/>
        <v>678</v>
      </c>
      <c r="I258" s="19">
        <f t="shared" ca="1" si="22"/>
        <v>0</v>
      </c>
      <c r="J258" s="19">
        <f t="shared" ca="1" si="23"/>
        <v>0</v>
      </c>
      <c r="K258" s="22">
        <f t="shared" ca="1" si="24"/>
        <v>18.575342465753423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</row>
    <row r="259" spans="2:117" hidden="1" x14ac:dyDescent="0.25">
      <c r="B259" s="6"/>
      <c r="C259" s="6"/>
      <c r="D259" s="6"/>
      <c r="E259" s="37">
        <v>255</v>
      </c>
      <c r="F259" s="19">
        <f t="shared" ca="1" si="19"/>
        <v>106</v>
      </c>
      <c r="G259" s="19">
        <f t="shared" ca="1" si="20"/>
        <v>678</v>
      </c>
      <c r="H259" s="19">
        <f t="shared" ca="1" si="21"/>
        <v>572</v>
      </c>
      <c r="I259" s="19">
        <f t="shared" ca="1" si="22"/>
        <v>0</v>
      </c>
      <c r="J259" s="19">
        <f t="shared" ca="1" si="23"/>
        <v>0</v>
      </c>
      <c r="K259" s="22">
        <f t="shared" ca="1" si="24"/>
        <v>15.671232876712327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</row>
    <row r="260" spans="2:117" hidden="1" x14ac:dyDescent="0.25">
      <c r="B260" s="6"/>
      <c r="C260" s="6"/>
      <c r="D260" s="6"/>
      <c r="E260" s="37">
        <v>256</v>
      </c>
      <c r="F260" s="19">
        <f t="shared" ca="1" si="19"/>
        <v>84</v>
      </c>
      <c r="G260" s="19">
        <f t="shared" ca="1" si="20"/>
        <v>572</v>
      </c>
      <c r="H260" s="19">
        <f t="shared" ca="1" si="21"/>
        <v>488</v>
      </c>
      <c r="I260" s="19">
        <f t="shared" ca="1" si="22"/>
        <v>0</v>
      </c>
      <c r="J260" s="19">
        <f t="shared" ca="1" si="23"/>
        <v>0</v>
      </c>
      <c r="K260" s="22">
        <f t="shared" ca="1" si="24"/>
        <v>13.36986301369863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</row>
    <row r="261" spans="2:117" hidden="1" x14ac:dyDescent="0.25">
      <c r="B261" s="6"/>
      <c r="C261" s="6"/>
      <c r="D261" s="6"/>
      <c r="E261" s="37">
        <v>257</v>
      </c>
      <c r="F261" s="19">
        <f t="shared" ca="1" si="19"/>
        <v>92</v>
      </c>
      <c r="G261" s="19">
        <f t="shared" ca="1" si="20"/>
        <v>488</v>
      </c>
      <c r="H261" s="19">
        <f t="shared" ca="1" si="21"/>
        <v>396</v>
      </c>
      <c r="I261" s="19">
        <f t="shared" ca="1" si="22"/>
        <v>0</v>
      </c>
      <c r="J261" s="19">
        <f t="shared" ca="1" si="23"/>
        <v>0</v>
      </c>
      <c r="K261" s="22">
        <f t="shared" ca="1" si="24"/>
        <v>10.84931506849315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</row>
    <row r="262" spans="2:117" hidden="1" x14ac:dyDescent="0.25">
      <c r="B262" s="6"/>
      <c r="C262" s="6"/>
      <c r="D262" s="6"/>
      <c r="E262" s="37">
        <v>258</v>
      </c>
      <c r="F262" s="19">
        <f t="shared" ref="F262:F325" ca="1" si="25">RANDBETWEEN($C$7,$C$8)</f>
        <v>95</v>
      </c>
      <c r="G262" s="19">
        <f t="shared" ref="G262:G325" ca="1" si="26">H261+I261*$C$10</f>
        <v>396</v>
      </c>
      <c r="H262" s="19">
        <f t="shared" ref="H262:H325" ca="1" si="27">G262-F262</f>
        <v>301</v>
      </c>
      <c r="I262" s="19">
        <f t="shared" ref="I262:I325" ca="1" si="28">IF(H262&lt;$C$8,1,0)</f>
        <v>0</v>
      </c>
      <c r="J262" s="19">
        <f t="shared" ref="J262:J325" ca="1" si="29">I262*$C$4</f>
        <v>0</v>
      </c>
      <c r="K262" s="22">
        <f t="shared" ref="K262:K325" ca="1" si="30">H262*$C$9</f>
        <v>8.2465753424657535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</row>
    <row r="263" spans="2:117" hidden="1" x14ac:dyDescent="0.25">
      <c r="B263" s="6"/>
      <c r="C263" s="6"/>
      <c r="D263" s="6"/>
      <c r="E263" s="37">
        <v>259</v>
      </c>
      <c r="F263" s="19">
        <f t="shared" ca="1" si="25"/>
        <v>112</v>
      </c>
      <c r="G263" s="19">
        <f t="shared" ca="1" si="26"/>
        <v>301</v>
      </c>
      <c r="H263" s="19">
        <f t="shared" ca="1" si="27"/>
        <v>189</v>
      </c>
      <c r="I263" s="19">
        <f t="shared" ca="1" si="28"/>
        <v>0</v>
      </c>
      <c r="J263" s="19">
        <f t="shared" ca="1" si="29"/>
        <v>0</v>
      </c>
      <c r="K263" s="22">
        <f t="shared" ca="1" si="30"/>
        <v>5.1780821917808213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</row>
    <row r="264" spans="2:117" hidden="1" x14ac:dyDescent="0.25">
      <c r="B264" s="6"/>
      <c r="C264" s="6"/>
      <c r="D264" s="6"/>
      <c r="E264" s="37">
        <v>260</v>
      </c>
      <c r="F264" s="19">
        <f t="shared" ca="1" si="25"/>
        <v>113</v>
      </c>
      <c r="G264" s="19">
        <f t="shared" ca="1" si="26"/>
        <v>189</v>
      </c>
      <c r="H264" s="19">
        <f t="shared" ca="1" si="27"/>
        <v>76</v>
      </c>
      <c r="I264" s="19">
        <f t="shared" ca="1" si="28"/>
        <v>1</v>
      </c>
      <c r="J264" s="19">
        <f t="shared" ca="1" si="29"/>
        <v>200</v>
      </c>
      <c r="K264" s="22">
        <f t="shared" ca="1" si="30"/>
        <v>2.0821917808219177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</row>
    <row r="265" spans="2:117" hidden="1" x14ac:dyDescent="0.25">
      <c r="B265" s="6"/>
      <c r="C265" s="6"/>
      <c r="D265" s="6"/>
      <c r="E265" s="37">
        <v>261</v>
      </c>
      <c r="F265" s="19">
        <f t="shared" ca="1" si="25"/>
        <v>118</v>
      </c>
      <c r="G265" s="19">
        <f t="shared" ca="1" si="26"/>
        <v>1076</v>
      </c>
      <c r="H265" s="19">
        <f t="shared" ca="1" si="27"/>
        <v>958</v>
      </c>
      <c r="I265" s="19">
        <f t="shared" ca="1" si="28"/>
        <v>0</v>
      </c>
      <c r="J265" s="19">
        <f t="shared" ca="1" si="29"/>
        <v>0</v>
      </c>
      <c r="K265" s="22">
        <f t="shared" ca="1" si="30"/>
        <v>26.246575342465754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</row>
    <row r="266" spans="2:117" hidden="1" x14ac:dyDescent="0.25">
      <c r="B266" s="6"/>
      <c r="C266" s="6"/>
      <c r="D266" s="6"/>
      <c r="E266" s="37">
        <v>262</v>
      </c>
      <c r="F266" s="19">
        <f t="shared" ca="1" si="25"/>
        <v>105</v>
      </c>
      <c r="G266" s="19">
        <f t="shared" ca="1" si="26"/>
        <v>958</v>
      </c>
      <c r="H266" s="19">
        <f t="shared" ca="1" si="27"/>
        <v>853</v>
      </c>
      <c r="I266" s="19">
        <f t="shared" ca="1" si="28"/>
        <v>0</v>
      </c>
      <c r="J266" s="19">
        <f t="shared" ca="1" si="29"/>
        <v>0</v>
      </c>
      <c r="K266" s="22">
        <f t="shared" ca="1" si="30"/>
        <v>23.36986301369863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</row>
    <row r="267" spans="2:117" hidden="1" x14ac:dyDescent="0.25">
      <c r="B267" s="6"/>
      <c r="C267" s="6"/>
      <c r="D267" s="6"/>
      <c r="E267" s="37">
        <v>263</v>
      </c>
      <c r="F267" s="19">
        <f t="shared" ca="1" si="25"/>
        <v>101</v>
      </c>
      <c r="G267" s="19">
        <f t="shared" ca="1" si="26"/>
        <v>853</v>
      </c>
      <c r="H267" s="19">
        <f t="shared" ca="1" si="27"/>
        <v>752</v>
      </c>
      <c r="I267" s="19">
        <f t="shared" ca="1" si="28"/>
        <v>0</v>
      </c>
      <c r="J267" s="19">
        <f t="shared" ca="1" si="29"/>
        <v>0</v>
      </c>
      <c r="K267" s="22">
        <f t="shared" ca="1" si="30"/>
        <v>20.602739726027394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</row>
    <row r="268" spans="2:117" hidden="1" x14ac:dyDescent="0.25">
      <c r="B268" s="6"/>
      <c r="C268" s="6"/>
      <c r="D268" s="6"/>
      <c r="E268" s="37">
        <v>264</v>
      </c>
      <c r="F268" s="19">
        <f t="shared" ca="1" si="25"/>
        <v>106</v>
      </c>
      <c r="G268" s="19">
        <f t="shared" ca="1" si="26"/>
        <v>752</v>
      </c>
      <c r="H268" s="19">
        <f t="shared" ca="1" si="27"/>
        <v>646</v>
      </c>
      <c r="I268" s="19">
        <f t="shared" ca="1" si="28"/>
        <v>0</v>
      </c>
      <c r="J268" s="19">
        <f t="shared" ca="1" si="29"/>
        <v>0</v>
      </c>
      <c r="K268" s="22">
        <f t="shared" ca="1" si="30"/>
        <v>17.698630136986299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</row>
    <row r="269" spans="2:117" hidden="1" x14ac:dyDescent="0.25">
      <c r="B269" s="6"/>
      <c r="C269" s="6"/>
      <c r="D269" s="6"/>
      <c r="E269" s="37">
        <v>265</v>
      </c>
      <c r="F269" s="19">
        <f t="shared" ca="1" si="25"/>
        <v>106</v>
      </c>
      <c r="G269" s="19">
        <f t="shared" ca="1" si="26"/>
        <v>646</v>
      </c>
      <c r="H269" s="19">
        <f t="shared" ca="1" si="27"/>
        <v>540</v>
      </c>
      <c r="I269" s="19">
        <f t="shared" ca="1" si="28"/>
        <v>0</v>
      </c>
      <c r="J269" s="19">
        <f t="shared" ca="1" si="29"/>
        <v>0</v>
      </c>
      <c r="K269" s="22">
        <f t="shared" ca="1" si="30"/>
        <v>14.794520547945204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</row>
    <row r="270" spans="2:117" hidden="1" x14ac:dyDescent="0.25">
      <c r="B270" s="6"/>
      <c r="C270" s="6"/>
      <c r="D270" s="6"/>
      <c r="E270" s="37">
        <v>266</v>
      </c>
      <c r="F270" s="19">
        <f t="shared" ca="1" si="25"/>
        <v>96</v>
      </c>
      <c r="G270" s="19">
        <f t="shared" ca="1" si="26"/>
        <v>540</v>
      </c>
      <c r="H270" s="19">
        <f t="shared" ca="1" si="27"/>
        <v>444</v>
      </c>
      <c r="I270" s="19">
        <f t="shared" ca="1" si="28"/>
        <v>0</v>
      </c>
      <c r="J270" s="19">
        <f t="shared" ca="1" si="29"/>
        <v>0</v>
      </c>
      <c r="K270" s="22">
        <f t="shared" ca="1" si="30"/>
        <v>12.164383561643834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</row>
    <row r="271" spans="2:117" hidden="1" x14ac:dyDescent="0.25">
      <c r="B271" s="6"/>
      <c r="C271" s="6"/>
      <c r="D271" s="6"/>
      <c r="E271" s="37">
        <v>267</v>
      </c>
      <c r="F271" s="19">
        <f t="shared" ca="1" si="25"/>
        <v>96</v>
      </c>
      <c r="G271" s="19">
        <f t="shared" ca="1" si="26"/>
        <v>444</v>
      </c>
      <c r="H271" s="19">
        <f t="shared" ca="1" si="27"/>
        <v>348</v>
      </c>
      <c r="I271" s="19">
        <f t="shared" ca="1" si="28"/>
        <v>0</v>
      </c>
      <c r="J271" s="19">
        <f t="shared" ca="1" si="29"/>
        <v>0</v>
      </c>
      <c r="K271" s="22">
        <f t="shared" ca="1" si="30"/>
        <v>9.5342465753424648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</row>
    <row r="272" spans="2:117" hidden="1" x14ac:dyDescent="0.25">
      <c r="B272" s="6"/>
      <c r="C272" s="6"/>
      <c r="D272" s="6"/>
      <c r="E272" s="37">
        <v>268</v>
      </c>
      <c r="F272" s="19">
        <f t="shared" ca="1" si="25"/>
        <v>85</v>
      </c>
      <c r="G272" s="19">
        <f t="shared" ca="1" si="26"/>
        <v>348</v>
      </c>
      <c r="H272" s="19">
        <f t="shared" ca="1" si="27"/>
        <v>263</v>
      </c>
      <c r="I272" s="19">
        <f t="shared" ca="1" si="28"/>
        <v>0</v>
      </c>
      <c r="J272" s="19">
        <f t="shared" ca="1" si="29"/>
        <v>0</v>
      </c>
      <c r="K272" s="22">
        <f t="shared" ca="1" si="30"/>
        <v>7.205479452054794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</row>
    <row r="273" spans="2:117" hidden="1" x14ac:dyDescent="0.25">
      <c r="B273" s="6"/>
      <c r="C273" s="6"/>
      <c r="D273" s="6"/>
      <c r="E273" s="37">
        <v>269</v>
      </c>
      <c r="F273" s="19">
        <f t="shared" ca="1" si="25"/>
        <v>100</v>
      </c>
      <c r="G273" s="19">
        <f t="shared" ca="1" si="26"/>
        <v>263</v>
      </c>
      <c r="H273" s="19">
        <f t="shared" ca="1" si="27"/>
        <v>163</v>
      </c>
      <c r="I273" s="19">
        <f t="shared" ca="1" si="28"/>
        <v>0</v>
      </c>
      <c r="J273" s="19">
        <f t="shared" ca="1" si="29"/>
        <v>0</v>
      </c>
      <c r="K273" s="22">
        <f t="shared" ca="1" si="30"/>
        <v>4.4657534246575343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</row>
    <row r="274" spans="2:117" hidden="1" x14ac:dyDescent="0.25">
      <c r="B274" s="6"/>
      <c r="C274" s="6"/>
      <c r="D274" s="6"/>
      <c r="E274" s="37">
        <v>270</v>
      </c>
      <c r="F274" s="19">
        <f t="shared" ca="1" si="25"/>
        <v>103</v>
      </c>
      <c r="G274" s="19">
        <f t="shared" ca="1" si="26"/>
        <v>163</v>
      </c>
      <c r="H274" s="19">
        <f t="shared" ca="1" si="27"/>
        <v>60</v>
      </c>
      <c r="I274" s="19">
        <f t="shared" ca="1" si="28"/>
        <v>1</v>
      </c>
      <c r="J274" s="19">
        <f t="shared" ca="1" si="29"/>
        <v>200</v>
      </c>
      <c r="K274" s="22">
        <f t="shared" ca="1" si="30"/>
        <v>1.6438356164383561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</row>
    <row r="275" spans="2:117" hidden="1" x14ac:dyDescent="0.25">
      <c r="B275" s="6"/>
      <c r="C275" s="6"/>
      <c r="D275" s="6"/>
      <c r="E275" s="37">
        <v>271</v>
      </c>
      <c r="F275" s="19">
        <f t="shared" ca="1" si="25"/>
        <v>108</v>
      </c>
      <c r="G275" s="19">
        <f t="shared" ca="1" si="26"/>
        <v>1060</v>
      </c>
      <c r="H275" s="19">
        <f t="shared" ca="1" si="27"/>
        <v>952</v>
      </c>
      <c r="I275" s="19">
        <f t="shared" ca="1" si="28"/>
        <v>0</v>
      </c>
      <c r="J275" s="19">
        <f t="shared" ca="1" si="29"/>
        <v>0</v>
      </c>
      <c r="K275" s="22">
        <f t="shared" ca="1" si="30"/>
        <v>26.082191780821915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</row>
    <row r="276" spans="2:117" hidden="1" x14ac:dyDescent="0.25">
      <c r="B276" s="6"/>
      <c r="C276" s="6"/>
      <c r="D276" s="6"/>
      <c r="E276" s="37">
        <v>272</v>
      </c>
      <c r="F276" s="19">
        <f t="shared" ca="1" si="25"/>
        <v>82</v>
      </c>
      <c r="G276" s="19">
        <f t="shared" ca="1" si="26"/>
        <v>952</v>
      </c>
      <c r="H276" s="19">
        <f t="shared" ca="1" si="27"/>
        <v>870</v>
      </c>
      <c r="I276" s="19">
        <f t="shared" ca="1" si="28"/>
        <v>0</v>
      </c>
      <c r="J276" s="19">
        <f t="shared" ca="1" si="29"/>
        <v>0</v>
      </c>
      <c r="K276" s="22">
        <f t="shared" ca="1" si="30"/>
        <v>23.835616438356162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</row>
    <row r="277" spans="2:117" hidden="1" x14ac:dyDescent="0.25">
      <c r="B277" s="6"/>
      <c r="C277" s="6"/>
      <c r="D277" s="6"/>
      <c r="E277" s="37">
        <v>273</v>
      </c>
      <c r="F277" s="19">
        <f t="shared" ca="1" si="25"/>
        <v>110</v>
      </c>
      <c r="G277" s="19">
        <f t="shared" ca="1" si="26"/>
        <v>870</v>
      </c>
      <c r="H277" s="19">
        <f t="shared" ca="1" si="27"/>
        <v>760</v>
      </c>
      <c r="I277" s="19">
        <f t="shared" ca="1" si="28"/>
        <v>0</v>
      </c>
      <c r="J277" s="19">
        <f t="shared" ca="1" si="29"/>
        <v>0</v>
      </c>
      <c r="K277" s="22">
        <f t="shared" ca="1" si="30"/>
        <v>20.821917808219176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</row>
    <row r="278" spans="2:117" hidden="1" x14ac:dyDescent="0.25">
      <c r="B278" s="6"/>
      <c r="C278" s="6"/>
      <c r="D278" s="6"/>
      <c r="E278" s="37">
        <v>274</v>
      </c>
      <c r="F278" s="19">
        <f t="shared" ca="1" si="25"/>
        <v>105</v>
      </c>
      <c r="G278" s="19">
        <f t="shared" ca="1" si="26"/>
        <v>760</v>
      </c>
      <c r="H278" s="19">
        <f t="shared" ca="1" si="27"/>
        <v>655</v>
      </c>
      <c r="I278" s="19">
        <f t="shared" ca="1" si="28"/>
        <v>0</v>
      </c>
      <c r="J278" s="19">
        <f t="shared" ca="1" si="29"/>
        <v>0</v>
      </c>
      <c r="K278" s="22">
        <f t="shared" ca="1" si="30"/>
        <v>17.945205479452053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</row>
    <row r="279" spans="2:117" hidden="1" x14ac:dyDescent="0.25">
      <c r="B279" s="6"/>
      <c r="C279" s="6"/>
      <c r="D279" s="6"/>
      <c r="E279" s="37">
        <v>275</v>
      </c>
      <c r="F279" s="19">
        <f t="shared" ca="1" si="25"/>
        <v>95</v>
      </c>
      <c r="G279" s="19">
        <f t="shared" ca="1" si="26"/>
        <v>655</v>
      </c>
      <c r="H279" s="19">
        <f t="shared" ca="1" si="27"/>
        <v>560</v>
      </c>
      <c r="I279" s="19">
        <f t="shared" ca="1" si="28"/>
        <v>0</v>
      </c>
      <c r="J279" s="19">
        <f t="shared" ca="1" si="29"/>
        <v>0</v>
      </c>
      <c r="K279" s="22">
        <f t="shared" ca="1" si="30"/>
        <v>15.342465753424657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</row>
    <row r="280" spans="2:117" hidden="1" x14ac:dyDescent="0.25">
      <c r="B280" s="6"/>
      <c r="C280" s="6"/>
      <c r="D280" s="6"/>
      <c r="E280" s="37">
        <v>276</v>
      </c>
      <c r="F280" s="19">
        <f t="shared" ca="1" si="25"/>
        <v>96</v>
      </c>
      <c r="G280" s="19">
        <f t="shared" ca="1" si="26"/>
        <v>560</v>
      </c>
      <c r="H280" s="19">
        <f t="shared" ca="1" si="27"/>
        <v>464</v>
      </c>
      <c r="I280" s="19">
        <f t="shared" ca="1" si="28"/>
        <v>0</v>
      </c>
      <c r="J280" s="19">
        <f t="shared" ca="1" si="29"/>
        <v>0</v>
      </c>
      <c r="K280" s="22">
        <f t="shared" ca="1" si="30"/>
        <v>12.712328767123287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</row>
    <row r="281" spans="2:117" hidden="1" x14ac:dyDescent="0.25">
      <c r="B281" s="6"/>
      <c r="C281" s="6"/>
      <c r="D281" s="6"/>
      <c r="E281" s="37">
        <v>277</v>
      </c>
      <c r="F281" s="19">
        <f t="shared" ca="1" si="25"/>
        <v>106</v>
      </c>
      <c r="G281" s="19">
        <f t="shared" ca="1" si="26"/>
        <v>464</v>
      </c>
      <c r="H281" s="19">
        <f t="shared" ca="1" si="27"/>
        <v>358</v>
      </c>
      <c r="I281" s="19">
        <f t="shared" ca="1" si="28"/>
        <v>0</v>
      </c>
      <c r="J281" s="19">
        <f t="shared" ca="1" si="29"/>
        <v>0</v>
      </c>
      <c r="K281" s="22">
        <f t="shared" ca="1" si="30"/>
        <v>9.8082191780821919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</row>
    <row r="282" spans="2:117" hidden="1" x14ac:dyDescent="0.25">
      <c r="B282" s="6"/>
      <c r="C282" s="6"/>
      <c r="D282" s="6"/>
      <c r="E282" s="37">
        <v>278</v>
      </c>
      <c r="F282" s="19">
        <f t="shared" ca="1" si="25"/>
        <v>107</v>
      </c>
      <c r="G282" s="19">
        <f t="shared" ca="1" si="26"/>
        <v>358</v>
      </c>
      <c r="H282" s="19">
        <f t="shared" ca="1" si="27"/>
        <v>251</v>
      </c>
      <c r="I282" s="19">
        <f t="shared" ca="1" si="28"/>
        <v>0</v>
      </c>
      <c r="J282" s="19">
        <f t="shared" ca="1" si="29"/>
        <v>0</v>
      </c>
      <c r="K282" s="22">
        <f t="shared" ca="1" si="30"/>
        <v>6.8767123287671232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</row>
    <row r="283" spans="2:117" hidden="1" x14ac:dyDescent="0.25">
      <c r="B283" s="6"/>
      <c r="C283" s="6"/>
      <c r="D283" s="6"/>
      <c r="E283" s="37">
        <v>279</v>
      </c>
      <c r="F283" s="19">
        <f t="shared" ca="1" si="25"/>
        <v>112</v>
      </c>
      <c r="G283" s="19">
        <f t="shared" ca="1" si="26"/>
        <v>251</v>
      </c>
      <c r="H283" s="19">
        <f t="shared" ca="1" si="27"/>
        <v>139</v>
      </c>
      <c r="I283" s="19">
        <f t="shared" ca="1" si="28"/>
        <v>0</v>
      </c>
      <c r="J283" s="19">
        <f t="shared" ca="1" si="29"/>
        <v>0</v>
      </c>
      <c r="K283" s="22">
        <f t="shared" ca="1" si="30"/>
        <v>3.8082191780821915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</row>
    <row r="284" spans="2:117" hidden="1" x14ac:dyDescent="0.25">
      <c r="B284" s="6"/>
      <c r="C284" s="6"/>
      <c r="D284" s="6"/>
      <c r="E284" s="37">
        <v>280</v>
      </c>
      <c r="F284" s="19">
        <f t="shared" ca="1" si="25"/>
        <v>93</v>
      </c>
      <c r="G284" s="19">
        <f t="shared" ca="1" si="26"/>
        <v>139</v>
      </c>
      <c r="H284" s="19">
        <f t="shared" ca="1" si="27"/>
        <v>46</v>
      </c>
      <c r="I284" s="19">
        <f t="shared" ca="1" si="28"/>
        <v>1</v>
      </c>
      <c r="J284" s="19">
        <f t="shared" ca="1" si="29"/>
        <v>200</v>
      </c>
      <c r="K284" s="22">
        <f t="shared" ca="1" si="30"/>
        <v>1.2602739726027397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</row>
    <row r="285" spans="2:117" hidden="1" x14ac:dyDescent="0.25">
      <c r="B285" s="6"/>
      <c r="C285" s="6"/>
      <c r="D285" s="6"/>
      <c r="E285" s="37">
        <v>281</v>
      </c>
      <c r="F285" s="19">
        <f t="shared" ca="1" si="25"/>
        <v>116</v>
      </c>
      <c r="G285" s="19">
        <f t="shared" ca="1" si="26"/>
        <v>1046</v>
      </c>
      <c r="H285" s="19">
        <f t="shared" ca="1" si="27"/>
        <v>930</v>
      </c>
      <c r="I285" s="19">
        <f t="shared" ca="1" si="28"/>
        <v>0</v>
      </c>
      <c r="J285" s="19">
        <f t="shared" ca="1" si="29"/>
        <v>0</v>
      </c>
      <c r="K285" s="22">
        <f t="shared" ca="1" si="30"/>
        <v>25.479452054794518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</row>
    <row r="286" spans="2:117" hidden="1" x14ac:dyDescent="0.25">
      <c r="B286" s="6"/>
      <c r="C286" s="6"/>
      <c r="D286" s="6"/>
      <c r="E286" s="37">
        <v>282</v>
      </c>
      <c r="F286" s="19">
        <f t="shared" ca="1" si="25"/>
        <v>85</v>
      </c>
      <c r="G286" s="19">
        <f t="shared" ca="1" si="26"/>
        <v>930</v>
      </c>
      <c r="H286" s="19">
        <f t="shared" ca="1" si="27"/>
        <v>845</v>
      </c>
      <c r="I286" s="19">
        <f t="shared" ca="1" si="28"/>
        <v>0</v>
      </c>
      <c r="J286" s="19">
        <f t="shared" ca="1" si="29"/>
        <v>0</v>
      </c>
      <c r="K286" s="22">
        <f t="shared" ca="1" si="30"/>
        <v>23.150684931506849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</row>
    <row r="287" spans="2:117" hidden="1" x14ac:dyDescent="0.25">
      <c r="B287" s="6"/>
      <c r="C287" s="6"/>
      <c r="D287" s="6"/>
      <c r="E287" s="37">
        <v>283</v>
      </c>
      <c r="F287" s="19">
        <f t="shared" ca="1" si="25"/>
        <v>85</v>
      </c>
      <c r="G287" s="19">
        <f t="shared" ca="1" si="26"/>
        <v>845</v>
      </c>
      <c r="H287" s="19">
        <f t="shared" ca="1" si="27"/>
        <v>760</v>
      </c>
      <c r="I287" s="19">
        <f t="shared" ca="1" si="28"/>
        <v>0</v>
      </c>
      <c r="J287" s="19">
        <f t="shared" ca="1" si="29"/>
        <v>0</v>
      </c>
      <c r="K287" s="22">
        <f t="shared" ca="1" si="30"/>
        <v>20.821917808219176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</row>
    <row r="288" spans="2:117" hidden="1" x14ac:dyDescent="0.25">
      <c r="B288" s="6"/>
      <c r="C288" s="6"/>
      <c r="D288" s="6"/>
      <c r="E288" s="37">
        <v>284</v>
      </c>
      <c r="F288" s="19">
        <f t="shared" ca="1" si="25"/>
        <v>117</v>
      </c>
      <c r="G288" s="19">
        <f t="shared" ca="1" si="26"/>
        <v>760</v>
      </c>
      <c r="H288" s="19">
        <f t="shared" ca="1" si="27"/>
        <v>643</v>
      </c>
      <c r="I288" s="19">
        <f t="shared" ca="1" si="28"/>
        <v>0</v>
      </c>
      <c r="J288" s="19">
        <f t="shared" ca="1" si="29"/>
        <v>0</v>
      </c>
      <c r="K288" s="22">
        <f t="shared" ca="1" si="30"/>
        <v>17.616438356164384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</row>
    <row r="289" spans="2:117" hidden="1" x14ac:dyDescent="0.25">
      <c r="B289" s="6"/>
      <c r="C289" s="6"/>
      <c r="D289" s="6"/>
      <c r="E289" s="37">
        <v>285</v>
      </c>
      <c r="F289" s="19">
        <f t="shared" ca="1" si="25"/>
        <v>85</v>
      </c>
      <c r="G289" s="19">
        <f t="shared" ca="1" si="26"/>
        <v>643</v>
      </c>
      <c r="H289" s="19">
        <f t="shared" ca="1" si="27"/>
        <v>558</v>
      </c>
      <c r="I289" s="19">
        <f t="shared" ca="1" si="28"/>
        <v>0</v>
      </c>
      <c r="J289" s="19">
        <f t="shared" ca="1" si="29"/>
        <v>0</v>
      </c>
      <c r="K289" s="22">
        <f t="shared" ca="1" si="30"/>
        <v>15.287671232876711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</row>
    <row r="290" spans="2:117" hidden="1" x14ac:dyDescent="0.25">
      <c r="B290" s="6"/>
      <c r="C290" s="6"/>
      <c r="D290" s="6"/>
      <c r="E290" s="37">
        <v>286</v>
      </c>
      <c r="F290" s="19">
        <f t="shared" ca="1" si="25"/>
        <v>115</v>
      </c>
      <c r="G290" s="19">
        <f t="shared" ca="1" si="26"/>
        <v>558</v>
      </c>
      <c r="H290" s="19">
        <f t="shared" ca="1" si="27"/>
        <v>443</v>
      </c>
      <c r="I290" s="19">
        <f t="shared" ca="1" si="28"/>
        <v>0</v>
      </c>
      <c r="J290" s="19">
        <f t="shared" ca="1" si="29"/>
        <v>0</v>
      </c>
      <c r="K290" s="22">
        <f t="shared" ca="1" si="30"/>
        <v>12.136986301369863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</row>
    <row r="291" spans="2:117" hidden="1" x14ac:dyDescent="0.25">
      <c r="B291" s="6"/>
      <c r="C291" s="6"/>
      <c r="D291" s="6"/>
      <c r="E291" s="37">
        <v>287</v>
      </c>
      <c r="F291" s="19">
        <f t="shared" ca="1" si="25"/>
        <v>108</v>
      </c>
      <c r="G291" s="19">
        <f t="shared" ca="1" si="26"/>
        <v>443</v>
      </c>
      <c r="H291" s="19">
        <f t="shared" ca="1" si="27"/>
        <v>335</v>
      </c>
      <c r="I291" s="19">
        <f t="shared" ca="1" si="28"/>
        <v>0</v>
      </c>
      <c r="J291" s="19">
        <f t="shared" ca="1" si="29"/>
        <v>0</v>
      </c>
      <c r="K291" s="22">
        <f t="shared" ca="1" si="30"/>
        <v>9.1780821917808222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</row>
    <row r="292" spans="2:117" hidden="1" x14ac:dyDescent="0.25">
      <c r="B292" s="6"/>
      <c r="C292" s="6"/>
      <c r="D292" s="6"/>
      <c r="E292" s="37">
        <v>288</v>
      </c>
      <c r="F292" s="19">
        <f t="shared" ca="1" si="25"/>
        <v>102</v>
      </c>
      <c r="G292" s="19">
        <f t="shared" ca="1" si="26"/>
        <v>335</v>
      </c>
      <c r="H292" s="19">
        <f t="shared" ca="1" si="27"/>
        <v>233</v>
      </c>
      <c r="I292" s="19">
        <f t="shared" ca="1" si="28"/>
        <v>0</v>
      </c>
      <c r="J292" s="19">
        <f t="shared" ca="1" si="29"/>
        <v>0</v>
      </c>
      <c r="K292" s="22">
        <f t="shared" ca="1" si="30"/>
        <v>6.3835616438356162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</row>
    <row r="293" spans="2:117" hidden="1" x14ac:dyDescent="0.25">
      <c r="B293" s="6"/>
      <c r="C293" s="6"/>
      <c r="D293" s="6"/>
      <c r="E293" s="37">
        <v>289</v>
      </c>
      <c r="F293" s="19">
        <f t="shared" ca="1" si="25"/>
        <v>86</v>
      </c>
      <c r="G293" s="19">
        <f t="shared" ca="1" si="26"/>
        <v>233</v>
      </c>
      <c r="H293" s="19">
        <f t="shared" ca="1" si="27"/>
        <v>147</v>
      </c>
      <c r="I293" s="19">
        <f t="shared" ca="1" si="28"/>
        <v>0</v>
      </c>
      <c r="J293" s="19">
        <f t="shared" ca="1" si="29"/>
        <v>0</v>
      </c>
      <c r="K293" s="22">
        <f t="shared" ca="1" si="30"/>
        <v>4.0273972602739727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</row>
    <row r="294" spans="2:117" hidden="1" x14ac:dyDescent="0.25">
      <c r="B294" s="6"/>
      <c r="C294" s="6"/>
      <c r="D294" s="6"/>
      <c r="E294" s="37">
        <v>290</v>
      </c>
      <c r="F294" s="19">
        <f t="shared" ca="1" si="25"/>
        <v>88</v>
      </c>
      <c r="G294" s="19">
        <f t="shared" ca="1" si="26"/>
        <v>147</v>
      </c>
      <c r="H294" s="19">
        <f t="shared" ca="1" si="27"/>
        <v>59</v>
      </c>
      <c r="I294" s="19">
        <f t="shared" ca="1" si="28"/>
        <v>1</v>
      </c>
      <c r="J294" s="19">
        <f t="shared" ca="1" si="29"/>
        <v>200</v>
      </c>
      <c r="K294" s="22">
        <f t="shared" ca="1" si="30"/>
        <v>1.6164383561643834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</row>
    <row r="295" spans="2:117" hidden="1" x14ac:dyDescent="0.25">
      <c r="B295" s="6"/>
      <c r="C295" s="6"/>
      <c r="D295" s="6"/>
      <c r="E295" s="37">
        <v>291</v>
      </c>
      <c r="F295" s="19">
        <f t="shared" ca="1" si="25"/>
        <v>93</v>
      </c>
      <c r="G295" s="19">
        <f t="shared" ca="1" si="26"/>
        <v>1059</v>
      </c>
      <c r="H295" s="19">
        <f t="shared" ca="1" si="27"/>
        <v>966</v>
      </c>
      <c r="I295" s="19">
        <f t="shared" ca="1" si="28"/>
        <v>0</v>
      </c>
      <c r="J295" s="19">
        <f t="shared" ca="1" si="29"/>
        <v>0</v>
      </c>
      <c r="K295" s="22">
        <f t="shared" ca="1" si="30"/>
        <v>26.465753424657532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</row>
    <row r="296" spans="2:117" hidden="1" x14ac:dyDescent="0.25">
      <c r="B296" s="6"/>
      <c r="C296" s="6"/>
      <c r="D296" s="6"/>
      <c r="E296" s="37">
        <v>292</v>
      </c>
      <c r="F296" s="19">
        <f t="shared" ca="1" si="25"/>
        <v>88</v>
      </c>
      <c r="G296" s="19">
        <f t="shared" ca="1" si="26"/>
        <v>966</v>
      </c>
      <c r="H296" s="19">
        <f t="shared" ca="1" si="27"/>
        <v>878</v>
      </c>
      <c r="I296" s="19">
        <f t="shared" ca="1" si="28"/>
        <v>0</v>
      </c>
      <c r="J296" s="19">
        <f t="shared" ca="1" si="29"/>
        <v>0</v>
      </c>
      <c r="K296" s="22">
        <f t="shared" ca="1" si="30"/>
        <v>24.054794520547944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</row>
    <row r="297" spans="2:117" hidden="1" x14ac:dyDescent="0.25">
      <c r="B297" s="6"/>
      <c r="C297" s="6"/>
      <c r="D297" s="6"/>
      <c r="E297" s="37">
        <v>293</v>
      </c>
      <c r="F297" s="19">
        <f t="shared" ca="1" si="25"/>
        <v>82</v>
      </c>
      <c r="G297" s="19">
        <f t="shared" ca="1" si="26"/>
        <v>878</v>
      </c>
      <c r="H297" s="19">
        <f t="shared" ca="1" si="27"/>
        <v>796</v>
      </c>
      <c r="I297" s="19">
        <f t="shared" ca="1" si="28"/>
        <v>0</v>
      </c>
      <c r="J297" s="19">
        <f t="shared" ca="1" si="29"/>
        <v>0</v>
      </c>
      <c r="K297" s="22">
        <f t="shared" ca="1" si="30"/>
        <v>21.80821917808219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</row>
    <row r="298" spans="2:117" hidden="1" x14ac:dyDescent="0.25">
      <c r="B298" s="6"/>
      <c r="C298" s="6"/>
      <c r="D298" s="6"/>
      <c r="E298" s="37">
        <v>294</v>
      </c>
      <c r="F298" s="19">
        <f t="shared" ca="1" si="25"/>
        <v>99</v>
      </c>
      <c r="G298" s="19">
        <f t="shared" ca="1" si="26"/>
        <v>796</v>
      </c>
      <c r="H298" s="19">
        <f t="shared" ca="1" si="27"/>
        <v>697</v>
      </c>
      <c r="I298" s="19">
        <f t="shared" ca="1" si="28"/>
        <v>0</v>
      </c>
      <c r="J298" s="19">
        <f t="shared" ca="1" si="29"/>
        <v>0</v>
      </c>
      <c r="K298" s="22">
        <f t="shared" ca="1" si="30"/>
        <v>19.095890410958901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</row>
    <row r="299" spans="2:117" hidden="1" x14ac:dyDescent="0.25">
      <c r="B299" s="6"/>
      <c r="C299" s="6"/>
      <c r="D299" s="6"/>
      <c r="E299" s="37">
        <v>295</v>
      </c>
      <c r="F299" s="19">
        <f t="shared" ca="1" si="25"/>
        <v>100</v>
      </c>
      <c r="G299" s="19">
        <f t="shared" ca="1" si="26"/>
        <v>697</v>
      </c>
      <c r="H299" s="19">
        <f t="shared" ca="1" si="27"/>
        <v>597</v>
      </c>
      <c r="I299" s="19">
        <f t="shared" ca="1" si="28"/>
        <v>0</v>
      </c>
      <c r="J299" s="19">
        <f t="shared" ca="1" si="29"/>
        <v>0</v>
      </c>
      <c r="K299" s="22">
        <f t="shared" ca="1" si="30"/>
        <v>16.356164383561644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</row>
    <row r="300" spans="2:117" hidden="1" x14ac:dyDescent="0.25">
      <c r="B300" s="6"/>
      <c r="C300" s="6"/>
      <c r="D300" s="6"/>
      <c r="E300" s="37">
        <v>296</v>
      </c>
      <c r="F300" s="19">
        <f t="shared" ca="1" si="25"/>
        <v>100</v>
      </c>
      <c r="G300" s="19">
        <f t="shared" ca="1" si="26"/>
        <v>597</v>
      </c>
      <c r="H300" s="19">
        <f t="shared" ca="1" si="27"/>
        <v>497</v>
      </c>
      <c r="I300" s="19">
        <f t="shared" ca="1" si="28"/>
        <v>0</v>
      </c>
      <c r="J300" s="19">
        <f t="shared" ca="1" si="29"/>
        <v>0</v>
      </c>
      <c r="K300" s="22">
        <f t="shared" ca="1" si="30"/>
        <v>13.616438356164382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</row>
    <row r="301" spans="2:117" hidden="1" x14ac:dyDescent="0.25">
      <c r="B301" s="6"/>
      <c r="C301" s="6"/>
      <c r="D301" s="6"/>
      <c r="E301" s="37">
        <v>297</v>
      </c>
      <c r="F301" s="19">
        <f t="shared" ca="1" si="25"/>
        <v>117</v>
      </c>
      <c r="G301" s="19">
        <f t="shared" ca="1" si="26"/>
        <v>497</v>
      </c>
      <c r="H301" s="19">
        <f t="shared" ca="1" si="27"/>
        <v>380</v>
      </c>
      <c r="I301" s="19">
        <f t="shared" ca="1" si="28"/>
        <v>0</v>
      </c>
      <c r="J301" s="19">
        <f t="shared" ca="1" si="29"/>
        <v>0</v>
      </c>
      <c r="K301" s="22">
        <f t="shared" ca="1" si="30"/>
        <v>10.410958904109588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</row>
    <row r="302" spans="2:117" hidden="1" x14ac:dyDescent="0.25">
      <c r="B302" s="6"/>
      <c r="C302" s="6"/>
      <c r="D302" s="6"/>
      <c r="E302" s="37">
        <v>298</v>
      </c>
      <c r="F302" s="19">
        <f t="shared" ca="1" si="25"/>
        <v>110</v>
      </c>
      <c r="G302" s="19">
        <f t="shared" ca="1" si="26"/>
        <v>380</v>
      </c>
      <c r="H302" s="19">
        <f t="shared" ca="1" si="27"/>
        <v>270</v>
      </c>
      <c r="I302" s="19">
        <f t="shared" ca="1" si="28"/>
        <v>0</v>
      </c>
      <c r="J302" s="19">
        <f t="shared" ca="1" si="29"/>
        <v>0</v>
      </c>
      <c r="K302" s="22">
        <f t="shared" ca="1" si="30"/>
        <v>7.3972602739726021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</row>
    <row r="303" spans="2:117" hidden="1" x14ac:dyDescent="0.25">
      <c r="B303" s="6"/>
      <c r="C303" s="6"/>
      <c r="D303" s="6"/>
      <c r="E303" s="37">
        <v>299</v>
      </c>
      <c r="F303" s="19">
        <f t="shared" ca="1" si="25"/>
        <v>104</v>
      </c>
      <c r="G303" s="19">
        <f t="shared" ca="1" si="26"/>
        <v>270</v>
      </c>
      <c r="H303" s="19">
        <f t="shared" ca="1" si="27"/>
        <v>166</v>
      </c>
      <c r="I303" s="19">
        <f t="shared" ca="1" si="28"/>
        <v>0</v>
      </c>
      <c r="J303" s="19">
        <f t="shared" ca="1" si="29"/>
        <v>0</v>
      </c>
      <c r="K303" s="22">
        <f t="shared" ca="1" si="30"/>
        <v>4.5479452054794516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</row>
    <row r="304" spans="2:117" hidden="1" x14ac:dyDescent="0.25">
      <c r="B304" s="6"/>
      <c r="C304" s="6"/>
      <c r="D304" s="6"/>
      <c r="E304" s="37">
        <v>300</v>
      </c>
      <c r="F304" s="19">
        <f t="shared" ca="1" si="25"/>
        <v>91</v>
      </c>
      <c r="G304" s="19">
        <f t="shared" ca="1" si="26"/>
        <v>166</v>
      </c>
      <c r="H304" s="19">
        <f t="shared" ca="1" si="27"/>
        <v>75</v>
      </c>
      <c r="I304" s="19">
        <f t="shared" ca="1" si="28"/>
        <v>1</v>
      </c>
      <c r="J304" s="19">
        <f t="shared" ca="1" si="29"/>
        <v>200</v>
      </c>
      <c r="K304" s="22">
        <f t="shared" ca="1" si="30"/>
        <v>2.054794520547945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</row>
    <row r="305" spans="2:117" hidden="1" x14ac:dyDescent="0.25">
      <c r="B305" s="6"/>
      <c r="C305" s="6"/>
      <c r="D305" s="6"/>
      <c r="E305" s="37">
        <v>301</v>
      </c>
      <c r="F305" s="19">
        <f t="shared" ca="1" si="25"/>
        <v>83</v>
      </c>
      <c r="G305" s="19">
        <f t="shared" ca="1" si="26"/>
        <v>1075</v>
      </c>
      <c r="H305" s="19">
        <f t="shared" ca="1" si="27"/>
        <v>992</v>
      </c>
      <c r="I305" s="19">
        <f t="shared" ca="1" si="28"/>
        <v>0</v>
      </c>
      <c r="J305" s="19">
        <f t="shared" ca="1" si="29"/>
        <v>0</v>
      </c>
      <c r="K305" s="22">
        <f t="shared" ca="1" si="30"/>
        <v>27.17808219178082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</row>
    <row r="306" spans="2:117" hidden="1" x14ac:dyDescent="0.25">
      <c r="B306" s="6"/>
      <c r="C306" s="6"/>
      <c r="D306" s="6"/>
      <c r="E306" s="37">
        <v>302</v>
      </c>
      <c r="F306" s="19">
        <f t="shared" ca="1" si="25"/>
        <v>84</v>
      </c>
      <c r="G306" s="19">
        <f t="shared" ca="1" si="26"/>
        <v>992</v>
      </c>
      <c r="H306" s="19">
        <f t="shared" ca="1" si="27"/>
        <v>908</v>
      </c>
      <c r="I306" s="19">
        <f t="shared" ca="1" si="28"/>
        <v>0</v>
      </c>
      <c r="J306" s="19">
        <f t="shared" ca="1" si="29"/>
        <v>0</v>
      </c>
      <c r="K306" s="22">
        <f t="shared" ca="1" si="30"/>
        <v>24.876712328767123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</row>
    <row r="307" spans="2:117" hidden="1" x14ac:dyDescent="0.25">
      <c r="B307" s="6"/>
      <c r="C307" s="6"/>
      <c r="D307" s="6"/>
      <c r="E307" s="37">
        <v>303</v>
      </c>
      <c r="F307" s="19">
        <f t="shared" ca="1" si="25"/>
        <v>104</v>
      </c>
      <c r="G307" s="19">
        <f t="shared" ca="1" si="26"/>
        <v>908</v>
      </c>
      <c r="H307" s="19">
        <f t="shared" ca="1" si="27"/>
        <v>804</v>
      </c>
      <c r="I307" s="19">
        <f t="shared" ca="1" si="28"/>
        <v>0</v>
      </c>
      <c r="J307" s="19">
        <f t="shared" ca="1" si="29"/>
        <v>0</v>
      </c>
      <c r="K307" s="22">
        <f t="shared" ca="1" si="30"/>
        <v>22.027397260273972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</row>
    <row r="308" spans="2:117" hidden="1" x14ac:dyDescent="0.25">
      <c r="B308" s="6"/>
      <c r="C308" s="6"/>
      <c r="D308" s="6"/>
      <c r="E308" s="37">
        <v>304</v>
      </c>
      <c r="F308" s="19">
        <f t="shared" ca="1" si="25"/>
        <v>109</v>
      </c>
      <c r="G308" s="19">
        <f t="shared" ca="1" si="26"/>
        <v>804</v>
      </c>
      <c r="H308" s="19">
        <f t="shared" ca="1" si="27"/>
        <v>695</v>
      </c>
      <c r="I308" s="19">
        <f t="shared" ca="1" si="28"/>
        <v>0</v>
      </c>
      <c r="J308" s="19">
        <f t="shared" ca="1" si="29"/>
        <v>0</v>
      </c>
      <c r="K308" s="22">
        <f t="shared" ca="1" si="30"/>
        <v>19.041095890410958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</row>
    <row r="309" spans="2:117" hidden="1" x14ac:dyDescent="0.25">
      <c r="B309" s="6"/>
      <c r="C309" s="6"/>
      <c r="D309" s="6"/>
      <c r="E309" s="37">
        <v>305</v>
      </c>
      <c r="F309" s="19">
        <f t="shared" ca="1" si="25"/>
        <v>84</v>
      </c>
      <c r="G309" s="19">
        <f t="shared" ca="1" si="26"/>
        <v>695</v>
      </c>
      <c r="H309" s="19">
        <f t="shared" ca="1" si="27"/>
        <v>611</v>
      </c>
      <c r="I309" s="19">
        <f t="shared" ca="1" si="28"/>
        <v>0</v>
      </c>
      <c r="J309" s="19">
        <f t="shared" ca="1" si="29"/>
        <v>0</v>
      </c>
      <c r="K309" s="22">
        <f t="shared" ca="1" si="30"/>
        <v>16.739726027397261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</row>
    <row r="310" spans="2:117" hidden="1" x14ac:dyDescent="0.25">
      <c r="B310" s="6"/>
      <c r="C310" s="6"/>
      <c r="D310" s="6"/>
      <c r="E310" s="37">
        <v>306</v>
      </c>
      <c r="F310" s="19">
        <f t="shared" ca="1" si="25"/>
        <v>101</v>
      </c>
      <c r="G310" s="19">
        <f t="shared" ca="1" si="26"/>
        <v>611</v>
      </c>
      <c r="H310" s="19">
        <f t="shared" ca="1" si="27"/>
        <v>510</v>
      </c>
      <c r="I310" s="19">
        <f t="shared" ca="1" si="28"/>
        <v>0</v>
      </c>
      <c r="J310" s="19">
        <f t="shared" ca="1" si="29"/>
        <v>0</v>
      </c>
      <c r="K310" s="22">
        <f t="shared" ca="1" si="30"/>
        <v>13.972602739726026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</row>
    <row r="311" spans="2:117" hidden="1" x14ac:dyDescent="0.25">
      <c r="B311" s="6"/>
      <c r="C311" s="6"/>
      <c r="D311" s="6"/>
      <c r="E311" s="37">
        <v>307</v>
      </c>
      <c r="F311" s="19">
        <f t="shared" ca="1" si="25"/>
        <v>82</v>
      </c>
      <c r="G311" s="19">
        <f t="shared" ca="1" si="26"/>
        <v>510</v>
      </c>
      <c r="H311" s="19">
        <f t="shared" ca="1" si="27"/>
        <v>428</v>
      </c>
      <c r="I311" s="19">
        <f t="shared" ca="1" si="28"/>
        <v>0</v>
      </c>
      <c r="J311" s="19">
        <f t="shared" ca="1" si="29"/>
        <v>0</v>
      </c>
      <c r="K311" s="22">
        <f t="shared" ca="1" si="30"/>
        <v>11.726027397260273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</row>
    <row r="312" spans="2:117" hidden="1" x14ac:dyDescent="0.25">
      <c r="B312" s="6"/>
      <c r="C312" s="6"/>
      <c r="D312" s="6"/>
      <c r="E312" s="37">
        <v>308</v>
      </c>
      <c r="F312" s="19">
        <f t="shared" ca="1" si="25"/>
        <v>92</v>
      </c>
      <c r="G312" s="19">
        <f t="shared" ca="1" si="26"/>
        <v>428</v>
      </c>
      <c r="H312" s="19">
        <f t="shared" ca="1" si="27"/>
        <v>336</v>
      </c>
      <c r="I312" s="19">
        <f t="shared" ca="1" si="28"/>
        <v>0</v>
      </c>
      <c r="J312" s="19">
        <f t="shared" ca="1" si="29"/>
        <v>0</v>
      </c>
      <c r="K312" s="22">
        <f t="shared" ca="1" si="30"/>
        <v>9.205479452054794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</row>
    <row r="313" spans="2:117" hidden="1" x14ac:dyDescent="0.25">
      <c r="B313" s="6"/>
      <c r="C313" s="6"/>
      <c r="D313" s="6"/>
      <c r="E313" s="37">
        <v>309</v>
      </c>
      <c r="F313" s="19">
        <f t="shared" ca="1" si="25"/>
        <v>96</v>
      </c>
      <c r="G313" s="19">
        <f t="shared" ca="1" si="26"/>
        <v>336</v>
      </c>
      <c r="H313" s="19">
        <f t="shared" ca="1" si="27"/>
        <v>240</v>
      </c>
      <c r="I313" s="19">
        <f t="shared" ca="1" si="28"/>
        <v>0</v>
      </c>
      <c r="J313" s="19">
        <f t="shared" ca="1" si="29"/>
        <v>0</v>
      </c>
      <c r="K313" s="22">
        <f t="shared" ca="1" si="30"/>
        <v>6.5753424657534243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</row>
    <row r="314" spans="2:117" hidden="1" x14ac:dyDescent="0.25">
      <c r="B314" s="6"/>
      <c r="C314" s="6"/>
      <c r="D314" s="6"/>
      <c r="E314" s="37">
        <v>310</v>
      </c>
      <c r="F314" s="19">
        <f t="shared" ca="1" si="25"/>
        <v>99</v>
      </c>
      <c r="G314" s="19">
        <f t="shared" ca="1" si="26"/>
        <v>240</v>
      </c>
      <c r="H314" s="19">
        <f t="shared" ca="1" si="27"/>
        <v>141</v>
      </c>
      <c r="I314" s="19">
        <f t="shared" ca="1" si="28"/>
        <v>0</v>
      </c>
      <c r="J314" s="19">
        <f t="shared" ca="1" si="29"/>
        <v>0</v>
      </c>
      <c r="K314" s="22">
        <f t="shared" ca="1" si="30"/>
        <v>3.8630136986301369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</row>
    <row r="315" spans="2:117" hidden="1" x14ac:dyDescent="0.25">
      <c r="B315" s="6"/>
      <c r="C315" s="6"/>
      <c r="D315" s="6"/>
      <c r="E315" s="37">
        <v>311</v>
      </c>
      <c r="F315" s="19">
        <f t="shared" ca="1" si="25"/>
        <v>111</v>
      </c>
      <c r="G315" s="19">
        <f t="shared" ca="1" si="26"/>
        <v>141</v>
      </c>
      <c r="H315" s="19">
        <f t="shared" ca="1" si="27"/>
        <v>30</v>
      </c>
      <c r="I315" s="19">
        <f t="shared" ca="1" si="28"/>
        <v>1</v>
      </c>
      <c r="J315" s="19">
        <f t="shared" ca="1" si="29"/>
        <v>200</v>
      </c>
      <c r="K315" s="22">
        <f t="shared" ca="1" si="30"/>
        <v>0.82191780821917804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</row>
    <row r="316" spans="2:117" hidden="1" x14ac:dyDescent="0.25">
      <c r="B316" s="6"/>
      <c r="C316" s="6"/>
      <c r="D316" s="6"/>
      <c r="E316" s="37">
        <v>312</v>
      </c>
      <c r="F316" s="19">
        <f t="shared" ca="1" si="25"/>
        <v>118</v>
      </c>
      <c r="G316" s="19">
        <f t="shared" ca="1" si="26"/>
        <v>1030</v>
      </c>
      <c r="H316" s="19">
        <f t="shared" ca="1" si="27"/>
        <v>912</v>
      </c>
      <c r="I316" s="19">
        <f t="shared" ca="1" si="28"/>
        <v>0</v>
      </c>
      <c r="J316" s="19">
        <f t="shared" ca="1" si="29"/>
        <v>0</v>
      </c>
      <c r="K316" s="22">
        <f t="shared" ca="1" si="30"/>
        <v>24.986301369863014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</row>
    <row r="317" spans="2:117" hidden="1" x14ac:dyDescent="0.25">
      <c r="B317" s="6"/>
      <c r="C317" s="6"/>
      <c r="D317" s="6"/>
      <c r="E317" s="37">
        <v>313</v>
      </c>
      <c r="F317" s="19">
        <f t="shared" ca="1" si="25"/>
        <v>84</v>
      </c>
      <c r="G317" s="19">
        <f t="shared" ca="1" si="26"/>
        <v>912</v>
      </c>
      <c r="H317" s="19">
        <f t="shared" ca="1" si="27"/>
        <v>828</v>
      </c>
      <c r="I317" s="19">
        <f t="shared" ca="1" si="28"/>
        <v>0</v>
      </c>
      <c r="J317" s="19">
        <f t="shared" ca="1" si="29"/>
        <v>0</v>
      </c>
      <c r="K317" s="22">
        <f t="shared" ca="1" si="30"/>
        <v>22.684931506849313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</row>
    <row r="318" spans="2:117" hidden="1" x14ac:dyDescent="0.25">
      <c r="B318" s="6"/>
      <c r="C318" s="6"/>
      <c r="D318" s="6"/>
      <c r="E318" s="37">
        <v>314</v>
      </c>
      <c r="F318" s="19">
        <f t="shared" ca="1" si="25"/>
        <v>99</v>
      </c>
      <c r="G318" s="19">
        <f t="shared" ca="1" si="26"/>
        <v>828</v>
      </c>
      <c r="H318" s="19">
        <f t="shared" ca="1" si="27"/>
        <v>729</v>
      </c>
      <c r="I318" s="19">
        <f t="shared" ca="1" si="28"/>
        <v>0</v>
      </c>
      <c r="J318" s="19">
        <f t="shared" ca="1" si="29"/>
        <v>0</v>
      </c>
      <c r="K318" s="22">
        <f t="shared" ca="1" si="30"/>
        <v>19.972602739726025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</row>
    <row r="319" spans="2:117" hidden="1" x14ac:dyDescent="0.25">
      <c r="B319" s="6"/>
      <c r="C319" s="6"/>
      <c r="D319" s="6"/>
      <c r="E319" s="37">
        <v>315</v>
      </c>
      <c r="F319" s="19">
        <f t="shared" ca="1" si="25"/>
        <v>120</v>
      </c>
      <c r="G319" s="19">
        <f t="shared" ca="1" si="26"/>
        <v>729</v>
      </c>
      <c r="H319" s="19">
        <f t="shared" ca="1" si="27"/>
        <v>609</v>
      </c>
      <c r="I319" s="19">
        <f t="shared" ca="1" si="28"/>
        <v>0</v>
      </c>
      <c r="J319" s="19">
        <f t="shared" ca="1" si="29"/>
        <v>0</v>
      </c>
      <c r="K319" s="22">
        <f t="shared" ca="1" si="30"/>
        <v>16.684931506849313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</row>
    <row r="320" spans="2:117" hidden="1" x14ac:dyDescent="0.25">
      <c r="B320" s="6"/>
      <c r="C320" s="6"/>
      <c r="D320" s="6"/>
      <c r="E320" s="37">
        <v>316</v>
      </c>
      <c r="F320" s="19">
        <f t="shared" ca="1" si="25"/>
        <v>112</v>
      </c>
      <c r="G320" s="19">
        <f t="shared" ca="1" si="26"/>
        <v>609</v>
      </c>
      <c r="H320" s="19">
        <f t="shared" ca="1" si="27"/>
        <v>497</v>
      </c>
      <c r="I320" s="19">
        <f t="shared" ca="1" si="28"/>
        <v>0</v>
      </c>
      <c r="J320" s="19">
        <f t="shared" ca="1" si="29"/>
        <v>0</v>
      </c>
      <c r="K320" s="22">
        <f t="shared" ca="1" si="30"/>
        <v>13.616438356164382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</row>
    <row r="321" spans="2:117" hidden="1" x14ac:dyDescent="0.25">
      <c r="B321" s="6"/>
      <c r="C321" s="6"/>
      <c r="D321" s="6"/>
      <c r="E321" s="37">
        <v>317</v>
      </c>
      <c r="F321" s="19">
        <f t="shared" ca="1" si="25"/>
        <v>87</v>
      </c>
      <c r="G321" s="19">
        <f t="shared" ca="1" si="26"/>
        <v>497</v>
      </c>
      <c r="H321" s="19">
        <f t="shared" ca="1" si="27"/>
        <v>410</v>
      </c>
      <c r="I321" s="19">
        <f t="shared" ca="1" si="28"/>
        <v>0</v>
      </c>
      <c r="J321" s="19">
        <f t="shared" ca="1" si="29"/>
        <v>0</v>
      </c>
      <c r="K321" s="22">
        <f t="shared" ca="1" si="30"/>
        <v>11.232876712328766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</row>
    <row r="322" spans="2:117" hidden="1" x14ac:dyDescent="0.25">
      <c r="B322" s="6"/>
      <c r="C322" s="6"/>
      <c r="D322" s="6"/>
      <c r="E322" s="37">
        <v>318</v>
      </c>
      <c r="F322" s="19">
        <f t="shared" ca="1" si="25"/>
        <v>91</v>
      </c>
      <c r="G322" s="19">
        <f t="shared" ca="1" si="26"/>
        <v>410</v>
      </c>
      <c r="H322" s="19">
        <f t="shared" ca="1" si="27"/>
        <v>319</v>
      </c>
      <c r="I322" s="19">
        <f t="shared" ca="1" si="28"/>
        <v>0</v>
      </c>
      <c r="J322" s="19">
        <f t="shared" ca="1" si="29"/>
        <v>0</v>
      </c>
      <c r="K322" s="22">
        <f t="shared" ca="1" si="30"/>
        <v>8.7397260273972606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</row>
    <row r="323" spans="2:117" hidden="1" x14ac:dyDescent="0.25">
      <c r="B323" s="6"/>
      <c r="C323" s="6"/>
      <c r="D323" s="6"/>
      <c r="E323" s="37">
        <v>319</v>
      </c>
      <c r="F323" s="19">
        <f t="shared" ca="1" si="25"/>
        <v>102</v>
      </c>
      <c r="G323" s="19">
        <f t="shared" ca="1" si="26"/>
        <v>319</v>
      </c>
      <c r="H323" s="19">
        <f t="shared" ca="1" si="27"/>
        <v>217</v>
      </c>
      <c r="I323" s="19">
        <f t="shared" ca="1" si="28"/>
        <v>0</v>
      </c>
      <c r="J323" s="19">
        <f t="shared" ca="1" si="29"/>
        <v>0</v>
      </c>
      <c r="K323" s="22">
        <f t="shared" ca="1" si="30"/>
        <v>5.9452054794520546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</row>
    <row r="324" spans="2:117" hidden="1" x14ac:dyDescent="0.25">
      <c r="B324" s="6"/>
      <c r="C324" s="6"/>
      <c r="D324" s="6"/>
      <c r="E324" s="37">
        <v>320</v>
      </c>
      <c r="F324" s="19">
        <f t="shared" ca="1" si="25"/>
        <v>97</v>
      </c>
      <c r="G324" s="19">
        <f t="shared" ca="1" si="26"/>
        <v>217</v>
      </c>
      <c r="H324" s="19">
        <f t="shared" ca="1" si="27"/>
        <v>120</v>
      </c>
      <c r="I324" s="19">
        <f t="shared" ca="1" si="28"/>
        <v>0</v>
      </c>
      <c r="J324" s="19">
        <f t="shared" ca="1" si="29"/>
        <v>0</v>
      </c>
      <c r="K324" s="22">
        <f t="shared" ca="1" si="30"/>
        <v>3.2876712328767121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</row>
    <row r="325" spans="2:117" hidden="1" x14ac:dyDescent="0.25">
      <c r="B325" s="6"/>
      <c r="C325" s="6"/>
      <c r="D325" s="6"/>
      <c r="E325" s="37">
        <v>321</v>
      </c>
      <c r="F325" s="19">
        <f t="shared" ca="1" si="25"/>
        <v>120</v>
      </c>
      <c r="G325" s="19">
        <f t="shared" ca="1" si="26"/>
        <v>120</v>
      </c>
      <c r="H325" s="19">
        <f t="shared" ca="1" si="27"/>
        <v>0</v>
      </c>
      <c r="I325" s="19">
        <f t="shared" ca="1" si="28"/>
        <v>1</v>
      </c>
      <c r="J325" s="19">
        <f t="shared" ca="1" si="29"/>
        <v>200</v>
      </c>
      <c r="K325" s="22">
        <f t="shared" ca="1" si="30"/>
        <v>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</row>
    <row r="326" spans="2:117" hidden="1" x14ac:dyDescent="0.25">
      <c r="B326" s="6"/>
      <c r="C326" s="6"/>
      <c r="D326" s="6"/>
      <c r="E326" s="37">
        <v>322</v>
      </c>
      <c r="F326" s="19">
        <f t="shared" ref="F326:F369" ca="1" si="31">RANDBETWEEN($C$7,$C$8)</f>
        <v>94</v>
      </c>
      <c r="G326" s="19">
        <f t="shared" ref="G326:G364" ca="1" si="32">H325+I325*$C$10</f>
        <v>1000</v>
      </c>
      <c r="H326" s="19">
        <f t="shared" ref="H326:H364" ca="1" si="33">G326-F326</f>
        <v>906</v>
      </c>
      <c r="I326" s="19">
        <f t="shared" ref="I326:I369" ca="1" si="34">IF(H326&lt;$C$8,1,0)</f>
        <v>0</v>
      </c>
      <c r="J326" s="19">
        <f t="shared" ref="J326:J364" ca="1" si="35">I326*$C$4</f>
        <v>0</v>
      </c>
      <c r="K326" s="22">
        <f t="shared" ref="K326:K364" ca="1" si="36">H326*$C$9</f>
        <v>24.821917808219176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</row>
    <row r="327" spans="2:117" hidden="1" x14ac:dyDescent="0.25">
      <c r="B327" s="6"/>
      <c r="C327" s="6"/>
      <c r="D327" s="6"/>
      <c r="E327" s="37">
        <v>323</v>
      </c>
      <c r="F327" s="19">
        <f t="shared" ca="1" si="31"/>
        <v>87</v>
      </c>
      <c r="G327" s="19">
        <f t="shared" ca="1" si="32"/>
        <v>906</v>
      </c>
      <c r="H327" s="19">
        <f t="shared" ca="1" si="33"/>
        <v>819</v>
      </c>
      <c r="I327" s="19">
        <f t="shared" ca="1" si="34"/>
        <v>0</v>
      </c>
      <c r="J327" s="19">
        <f t="shared" ca="1" si="35"/>
        <v>0</v>
      </c>
      <c r="K327" s="22">
        <f t="shared" ca="1" si="36"/>
        <v>22.43835616438356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</row>
    <row r="328" spans="2:117" hidden="1" x14ac:dyDescent="0.25">
      <c r="B328" s="6"/>
      <c r="C328" s="6"/>
      <c r="D328" s="6"/>
      <c r="E328" s="37">
        <v>324</v>
      </c>
      <c r="F328" s="19">
        <f t="shared" ca="1" si="31"/>
        <v>116</v>
      </c>
      <c r="G328" s="19">
        <f t="shared" ca="1" si="32"/>
        <v>819</v>
      </c>
      <c r="H328" s="19">
        <f t="shared" ca="1" si="33"/>
        <v>703</v>
      </c>
      <c r="I328" s="19">
        <f t="shared" ca="1" si="34"/>
        <v>0</v>
      </c>
      <c r="J328" s="19">
        <f t="shared" ca="1" si="35"/>
        <v>0</v>
      </c>
      <c r="K328" s="22">
        <f t="shared" ca="1" si="36"/>
        <v>19.260273972602739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</row>
    <row r="329" spans="2:117" hidden="1" x14ac:dyDescent="0.25">
      <c r="B329" s="6"/>
      <c r="C329" s="6"/>
      <c r="D329" s="6"/>
      <c r="E329" s="37">
        <v>325</v>
      </c>
      <c r="F329" s="19">
        <f t="shared" ca="1" si="31"/>
        <v>99</v>
      </c>
      <c r="G329" s="19">
        <f t="shared" ca="1" si="32"/>
        <v>703</v>
      </c>
      <c r="H329" s="19">
        <f t="shared" ca="1" si="33"/>
        <v>604</v>
      </c>
      <c r="I329" s="19">
        <f t="shared" ca="1" si="34"/>
        <v>0</v>
      </c>
      <c r="J329" s="19">
        <f t="shared" ca="1" si="35"/>
        <v>0</v>
      </c>
      <c r="K329" s="22">
        <f t="shared" ca="1" si="36"/>
        <v>16.547945205479451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</row>
    <row r="330" spans="2:117" hidden="1" x14ac:dyDescent="0.25">
      <c r="B330" s="6"/>
      <c r="C330" s="6"/>
      <c r="D330" s="6"/>
      <c r="E330" s="37">
        <v>326</v>
      </c>
      <c r="F330" s="19">
        <f t="shared" ca="1" si="31"/>
        <v>91</v>
      </c>
      <c r="G330" s="19">
        <f t="shared" ca="1" si="32"/>
        <v>604</v>
      </c>
      <c r="H330" s="19">
        <f t="shared" ca="1" si="33"/>
        <v>513</v>
      </c>
      <c r="I330" s="19">
        <f t="shared" ca="1" si="34"/>
        <v>0</v>
      </c>
      <c r="J330" s="19">
        <f t="shared" ca="1" si="35"/>
        <v>0</v>
      </c>
      <c r="K330" s="22">
        <f t="shared" ca="1" si="36"/>
        <v>14.054794520547944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</row>
    <row r="331" spans="2:117" hidden="1" x14ac:dyDescent="0.25">
      <c r="B331" s="6"/>
      <c r="C331" s="6"/>
      <c r="D331" s="6"/>
      <c r="E331" s="37">
        <v>327</v>
      </c>
      <c r="F331" s="19">
        <f t="shared" ca="1" si="31"/>
        <v>105</v>
      </c>
      <c r="G331" s="19">
        <f t="shared" ca="1" si="32"/>
        <v>513</v>
      </c>
      <c r="H331" s="19">
        <f t="shared" ca="1" si="33"/>
        <v>408</v>
      </c>
      <c r="I331" s="19">
        <f t="shared" ca="1" si="34"/>
        <v>0</v>
      </c>
      <c r="J331" s="19">
        <f t="shared" ca="1" si="35"/>
        <v>0</v>
      </c>
      <c r="K331" s="22">
        <f t="shared" ca="1" si="36"/>
        <v>11.17808219178082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</row>
    <row r="332" spans="2:117" hidden="1" x14ac:dyDescent="0.25">
      <c r="B332" s="6"/>
      <c r="C332" s="6"/>
      <c r="D332" s="6"/>
      <c r="E332" s="37">
        <v>328</v>
      </c>
      <c r="F332" s="19">
        <f t="shared" ca="1" si="31"/>
        <v>85</v>
      </c>
      <c r="G332" s="19">
        <f t="shared" ca="1" si="32"/>
        <v>408</v>
      </c>
      <c r="H332" s="19">
        <f t="shared" ca="1" si="33"/>
        <v>323</v>
      </c>
      <c r="I332" s="19">
        <f t="shared" ca="1" si="34"/>
        <v>0</v>
      </c>
      <c r="J332" s="19">
        <f t="shared" ca="1" si="35"/>
        <v>0</v>
      </c>
      <c r="K332" s="22">
        <f t="shared" ca="1" si="36"/>
        <v>8.8493150684931496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</row>
    <row r="333" spans="2:117" hidden="1" x14ac:dyDescent="0.25">
      <c r="B333" s="6"/>
      <c r="C333" s="6"/>
      <c r="D333" s="6"/>
      <c r="E333" s="37">
        <v>329</v>
      </c>
      <c r="F333" s="19">
        <f t="shared" ca="1" si="31"/>
        <v>83</v>
      </c>
      <c r="G333" s="19">
        <f t="shared" ca="1" si="32"/>
        <v>323</v>
      </c>
      <c r="H333" s="19">
        <f t="shared" ca="1" si="33"/>
        <v>240</v>
      </c>
      <c r="I333" s="19">
        <f t="shared" ca="1" si="34"/>
        <v>0</v>
      </c>
      <c r="J333" s="19">
        <f t="shared" ca="1" si="35"/>
        <v>0</v>
      </c>
      <c r="K333" s="22">
        <f t="shared" ca="1" si="36"/>
        <v>6.5753424657534243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</row>
    <row r="334" spans="2:117" hidden="1" x14ac:dyDescent="0.25">
      <c r="B334" s="6"/>
      <c r="C334" s="6"/>
      <c r="D334" s="6"/>
      <c r="E334" s="37">
        <v>330</v>
      </c>
      <c r="F334" s="19">
        <f t="shared" ca="1" si="31"/>
        <v>104</v>
      </c>
      <c r="G334" s="19">
        <f t="shared" ca="1" si="32"/>
        <v>240</v>
      </c>
      <c r="H334" s="19">
        <f t="shared" ca="1" si="33"/>
        <v>136</v>
      </c>
      <c r="I334" s="19">
        <f t="shared" ca="1" si="34"/>
        <v>0</v>
      </c>
      <c r="J334" s="19">
        <f t="shared" ca="1" si="35"/>
        <v>0</v>
      </c>
      <c r="K334" s="22">
        <f t="shared" ca="1" si="36"/>
        <v>3.7260273972602738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</row>
    <row r="335" spans="2:117" hidden="1" x14ac:dyDescent="0.25">
      <c r="B335" s="6"/>
      <c r="C335" s="6"/>
      <c r="D335" s="6"/>
      <c r="E335" s="37">
        <v>331</v>
      </c>
      <c r="F335" s="19">
        <f t="shared" ca="1" si="31"/>
        <v>96</v>
      </c>
      <c r="G335" s="19">
        <f t="shared" ca="1" si="32"/>
        <v>136</v>
      </c>
      <c r="H335" s="19">
        <f t="shared" ca="1" si="33"/>
        <v>40</v>
      </c>
      <c r="I335" s="19">
        <f t="shared" ca="1" si="34"/>
        <v>1</v>
      </c>
      <c r="J335" s="19">
        <f t="shared" ca="1" si="35"/>
        <v>200</v>
      </c>
      <c r="K335" s="22">
        <f t="shared" ca="1" si="36"/>
        <v>1.095890410958904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</row>
    <row r="336" spans="2:117" hidden="1" x14ac:dyDescent="0.25">
      <c r="B336" s="6"/>
      <c r="C336" s="6"/>
      <c r="D336" s="6"/>
      <c r="E336" s="37">
        <v>332</v>
      </c>
      <c r="F336" s="19">
        <f t="shared" ca="1" si="31"/>
        <v>89</v>
      </c>
      <c r="G336" s="19">
        <f t="shared" ca="1" si="32"/>
        <v>1040</v>
      </c>
      <c r="H336" s="19">
        <f t="shared" ca="1" si="33"/>
        <v>951</v>
      </c>
      <c r="I336" s="19">
        <f t="shared" ca="1" si="34"/>
        <v>0</v>
      </c>
      <c r="J336" s="19">
        <f t="shared" ca="1" si="35"/>
        <v>0</v>
      </c>
      <c r="K336" s="22">
        <f t="shared" ca="1" si="36"/>
        <v>26.054794520547944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</row>
    <row r="337" spans="2:117" hidden="1" x14ac:dyDescent="0.25">
      <c r="B337" s="6"/>
      <c r="C337" s="6"/>
      <c r="D337" s="6"/>
      <c r="E337" s="37">
        <v>333</v>
      </c>
      <c r="F337" s="19">
        <f t="shared" ca="1" si="31"/>
        <v>104</v>
      </c>
      <c r="G337" s="19">
        <f t="shared" ca="1" si="32"/>
        <v>951</v>
      </c>
      <c r="H337" s="19">
        <f t="shared" ca="1" si="33"/>
        <v>847</v>
      </c>
      <c r="I337" s="19">
        <f t="shared" ca="1" si="34"/>
        <v>0</v>
      </c>
      <c r="J337" s="19">
        <f t="shared" ca="1" si="35"/>
        <v>0</v>
      </c>
      <c r="K337" s="22">
        <f t="shared" ca="1" si="36"/>
        <v>23.205479452054792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</row>
    <row r="338" spans="2:117" hidden="1" x14ac:dyDescent="0.25">
      <c r="B338" s="6"/>
      <c r="C338" s="6"/>
      <c r="D338" s="6"/>
      <c r="E338" s="37">
        <v>334</v>
      </c>
      <c r="F338" s="19">
        <f t="shared" ca="1" si="31"/>
        <v>120</v>
      </c>
      <c r="G338" s="19">
        <f t="shared" ca="1" si="32"/>
        <v>847</v>
      </c>
      <c r="H338" s="19">
        <f t="shared" ca="1" si="33"/>
        <v>727</v>
      </c>
      <c r="I338" s="19">
        <f t="shared" ca="1" si="34"/>
        <v>0</v>
      </c>
      <c r="J338" s="19">
        <f t="shared" ca="1" si="35"/>
        <v>0</v>
      </c>
      <c r="K338" s="22">
        <f t="shared" ca="1" si="36"/>
        <v>19.917808219178081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</row>
    <row r="339" spans="2:117" hidden="1" x14ac:dyDescent="0.25">
      <c r="B339" s="6"/>
      <c r="C339" s="6"/>
      <c r="D339" s="6"/>
      <c r="E339" s="37">
        <v>335</v>
      </c>
      <c r="F339" s="19">
        <f t="shared" ca="1" si="31"/>
        <v>119</v>
      </c>
      <c r="G339" s="19">
        <f t="shared" ca="1" si="32"/>
        <v>727</v>
      </c>
      <c r="H339" s="19">
        <f t="shared" ca="1" si="33"/>
        <v>608</v>
      </c>
      <c r="I339" s="19">
        <f t="shared" ca="1" si="34"/>
        <v>0</v>
      </c>
      <c r="J339" s="19">
        <f t="shared" ca="1" si="35"/>
        <v>0</v>
      </c>
      <c r="K339" s="22">
        <f t="shared" ca="1" si="36"/>
        <v>16.657534246575342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</row>
    <row r="340" spans="2:117" hidden="1" x14ac:dyDescent="0.25">
      <c r="B340" s="6"/>
      <c r="C340" s="6"/>
      <c r="D340" s="6"/>
      <c r="E340" s="37">
        <v>336</v>
      </c>
      <c r="F340" s="19">
        <f t="shared" ca="1" si="31"/>
        <v>94</v>
      </c>
      <c r="G340" s="19">
        <f t="shared" ca="1" si="32"/>
        <v>608</v>
      </c>
      <c r="H340" s="19">
        <f t="shared" ca="1" si="33"/>
        <v>514</v>
      </c>
      <c r="I340" s="19">
        <f t="shared" ca="1" si="34"/>
        <v>0</v>
      </c>
      <c r="J340" s="19">
        <f t="shared" ca="1" si="35"/>
        <v>0</v>
      </c>
      <c r="K340" s="22">
        <f t="shared" ca="1" si="36"/>
        <v>14.082191780821917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</row>
    <row r="341" spans="2:117" hidden="1" x14ac:dyDescent="0.25">
      <c r="B341" s="6"/>
      <c r="C341" s="6"/>
      <c r="D341" s="6"/>
      <c r="E341" s="37">
        <v>337</v>
      </c>
      <c r="F341" s="19">
        <f t="shared" ca="1" si="31"/>
        <v>87</v>
      </c>
      <c r="G341" s="19">
        <f t="shared" ca="1" si="32"/>
        <v>514</v>
      </c>
      <c r="H341" s="19">
        <f t="shared" ca="1" si="33"/>
        <v>427</v>
      </c>
      <c r="I341" s="19">
        <f t="shared" ca="1" si="34"/>
        <v>0</v>
      </c>
      <c r="J341" s="19">
        <f t="shared" ca="1" si="35"/>
        <v>0</v>
      </c>
      <c r="K341" s="22">
        <f t="shared" ca="1" si="36"/>
        <v>11.698630136986301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</row>
    <row r="342" spans="2:117" hidden="1" x14ac:dyDescent="0.25">
      <c r="B342" s="6"/>
      <c r="C342" s="6"/>
      <c r="D342" s="6"/>
      <c r="E342" s="37">
        <v>338</v>
      </c>
      <c r="F342" s="19">
        <f t="shared" ca="1" si="31"/>
        <v>87</v>
      </c>
      <c r="G342" s="19">
        <f t="shared" ca="1" si="32"/>
        <v>427</v>
      </c>
      <c r="H342" s="19">
        <f t="shared" ca="1" si="33"/>
        <v>340</v>
      </c>
      <c r="I342" s="19">
        <f t="shared" ca="1" si="34"/>
        <v>0</v>
      </c>
      <c r="J342" s="19">
        <f t="shared" ca="1" si="35"/>
        <v>0</v>
      </c>
      <c r="K342" s="22">
        <f t="shared" ca="1" si="36"/>
        <v>9.3150684931506849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</row>
    <row r="343" spans="2:117" hidden="1" x14ac:dyDescent="0.25">
      <c r="B343" s="6"/>
      <c r="C343" s="6"/>
      <c r="D343" s="6"/>
      <c r="E343" s="37">
        <v>339</v>
      </c>
      <c r="F343" s="19">
        <f t="shared" ca="1" si="31"/>
        <v>96</v>
      </c>
      <c r="G343" s="19">
        <f t="shared" ca="1" si="32"/>
        <v>340</v>
      </c>
      <c r="H343" s="19">
        <f t="shared" ca="1" si="33"/>
        <v>244</v>
      </c>
      <c r="I343" s="19">
        <f t="shared" ca="1" si="34"/>
        <v>0</v>
      </c>
      <c r="J343" s="19">
        <f t="shared" ca="1" si="35"/>
        <v>0</v>
      </c>
      <c r="K343" s="22">
        <f t="shared" ca="1" si="36"/>
        <v>6.6849315068493151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</row>
    <row r="344" spans="2:117" hidden="1" x14ac:dyDescent="0.25">
      <c r="B344" s="6"/>
      <c r="C344" s="6"/>
      <c r="D344" s="6"/>
      <c r="E344" s="37">
        <v>340</v>
      </c>
      <c r="F344" s="19">
        <f t="shared" ca="1" si="31"/>
        <v>97</v>
      </c>
      <c r="G344" s="19">
        <f t="shared" ca="1" si="32"/>
        <v>244</v>
      </c>
      <c r="H344" s="19">
        <f t="shared" ca="1" si="33"/>
        <v>147</v>
      </c>
      <c r="I344" s="19">
        <f t="shared" ca="1" si="34"/>
        <v>0</v>
      </c>
      <c r="J344" s="19">
        <f t="shared" ca="1" si="35"/>
        <v>0</v>
      </c>
      <c r="K344" s="22">
        <f t="shared" ca="1" si="36"/>
        <v>4.0273972602739727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</row>
    <row r="345" spans="2:117" hidden="1" x14ac:dyDescent="0.25">
      <c r="B345" s="6"/>
      <c r="C345" s="6"/>
      <c r="D345" s="6"/>
      <c r="E345" s="37">
        <v>341</v>
      </c>
      <c r="F345" s="19">
        <f t="shared" ca="1" si="31"/>
        <v>109</v>
      </c>
      <c r="G345" s="19">
        <f t="shared" ca="1" si="32"/>
        <v>147</v>
      </c>
      <c r="H345" s="19">
        <f t="shared" ca="1" si="33"/>
        <v>38</v>
      </c>
      <c r="I345" s="19">
        <f t="shared" ca="1" si="34"/>
        <v>1</v>
      </c>
      <c r="J345" s="19">
        <f t="shared" ca="1" si="35"/>
        <v>200</v>
      </c>
      <c r="K345" s="22">
        <f t="shared" ca="1" si="36"/>
        <v>1.0410958904109588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</row>
    <row r="346" spans="2:117" hidden="1" x14ac:dyDescent="0.25">
      <c r="B346" s="6"/>
      <c r="C346" s="6"/>
      <c r="D346" s="6"/>
      <c r="E346" s="37">
        <v>342</v>
      </c>
      <c r="F346" s="19">
        <f t="shared" ca="1" si="31"/>
        <v>91</v>
      </c>
      <c r="G346" s="19">
        <f t="shared" ca="1" si="32"/>
        <v>1038</v>
      </c>
      <c r="H346" s="19">
        <f t="shared" ca="1" si="33"/>
        <v>947</v>
      </c>
      <c r="I346" s="19">
        <f t="shared" ca="1" si="34"/>
        <v>0</v>
      </c>
      <c r="J346" s="19">
        <f t="shared" ca="1" si="35"/>
        <v>0</v>
      </c>
      <c r="K346" s="22">
        <f t="shared" ca="1" si="36"/>
        <v>25.945205479452053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</row>
    <row r="347" spans="2:117" hidden="1" x14ac:dyDescent="0.25">
      <c r="B347" s="6"/>
      <c r="C347" s="6"/>
      <c r="D347" s="6"/>
      <c r="E347" s="37">
        <v>343</v>
      </c>
      <c r="F347" s="19">
        <f t="shared" ca="1" si="31"/>
        <v>117</v>
      </c>
      <c r="G347" s="19">
        <f t="shared" ca="1" si="32"/>
        <v>947</v>
      </c>
      <c r="H347" s="19">
        <f t="shared" ca="1" si="33"/>
        <v>830</v>
      </c>
      <c r="I347" s="19">
        <f t="shared" ca="1" si="34"/>
        <v>0</v>
      </c>
      <c r="J347" s="19">
        <f t="shared" ca="1" si="35"/>
        <v>0</v>
      </c>
      <c r="K347" s="22">
        <f t="shared" ca="1" si="36"/>
        <v>22.739726027397261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</row>
    <row r="348" spans="2:117" hidden="1" x14ac:dyDescent="0.25">
      <c r="B348" s="6"/>
      <c r="C348" s="6"/>
      <c r="D348" s="6"/>
      <c r="E348" s="37">
        <v>344</v>
      </c>
      <c r="F348" s="19">
        <f t="shared" ca="1" si="31"/>
        <v>100</v>
      </c>
      <c r="G348" s="19">
        <f t="shared" ca="1" si="32"/>
        <v>830</v>
      </c>
      <c r="H348" s="19">
        <f t="shared" ca="1" si="33"/>
        <v>730</v>
      </c>
      <c r="I348" s="19">
        <f t="shared" ca="1" si="34"/>
        <v>0</v>
      </c>
      <c r="J348" s="19">
        <f t="shared" ca="1" si="35"/>
        <v>0</v>
      </c>
      <c r="K348" s="22">
        <f t="shared" ca="1" si="36"/>
        <v>20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</row>
    <row r="349" spans="2:117" hidden="1" x14ac:dyDescent="0.25">
      <c r="B349" s="6"/>
      <c r="C349" s="6"/>
      <c r="D349" s="6"/>
      <c r="E349" s="37">
        <v>345</v>
      </c>
      <c r="F349" s="19">
        <f t="shared" ca="1" si="31"/>
        <v>98</v>
      </c>
      <c r="G349" s="19">
        <f t="shared" ca="1" si="32"/>
        <v>730</v>
      </c>
      <c r="H349" s="19">
        <f t="shared" ca="1" si="33"/>
        <v>632</v>
      </c>
      <c r="I349" s="19">
        <f t="shared" ca="1" si="34"/>
        <v>0</v>
      </c>
      <c r="J349" s="19">
        <f t="shared" ca="1" si="35"/>
        <v>0</v>
      </c>
      <c r="K349" s="22">
        <f t="shared" ca="1" si="36"/>
        <v>17.315068493150683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</row>
    <row r="350" spans="2:117" hidden="1" x14ac:dyDescent="0.25">
      <c r="B350" s="6"/>
      <c r="C350" s="6"/>
      <c r="D350" s="6"/>
      <c r="E350" s="37">
        <v>346</v>
      </c>
      <c r="F350" s="19">
        <f t="shared" ca="1" si="31"/>
        <v>91</v>
      </c>
      <c r="G350" s="19">
        <f t="shared" ca="1" si="32"/>
        <v>632</v>
      </c>
      <c r="H350" s="19">
        <f t="shared" ca="1" si="33"/>
        <v>541</v>
      </c>
      <c r="I350" s="19">
        <f t="shared" ca="1" si="34"/>
        <v>0</v>
      </c>
      <c r="J350" s="19">
        <f t="shared" ca="1" si="35"/>
        <v>0</v>
      </c>
      <c r="K350" s="22">
        <f t="shared" ca="1" si="36"/>
        <v>14.821917808219178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</row>
    <row r="351" spans="2:117" hidden="1" x14ac:dyDescent="0.25">
      <c r="B351" s="6"/>
      <c r="C351" s="6"/>
      <c r="D351" s="6"/>
      <c r="E351" s="37">
        <v>347</v>
      </c>
      <c r="F351" s="19">
        <f t="shared" ca="1" si="31"/>
        <v>90</v>
      </c>
      <c r="G351" s="19">
        <f t="shared" ca="1" si="32"/>
        <v>541</v>
      </c>
      <c r="H351" s="19">
        <f t="shared" ca="1" si="33"/>
        <v>451</v>
      </c>
      <c r="I351" s="19">
        <f t="shared" ca="1" si="34"/>
        <v>0</v>
      </c>
      <c r="J351" s="19">
        <f t="shared" ca="1" si="35"/>
        <v>0</v>
      </c>
      <c r="K351" s="22">
        <f t="shared" ca="1" si="36"/>
        <v>12.356164383561643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</row>
    <row r="352" spans="2:117" hidden="1" x14ac:dyDescent="0.25">
      <c r="B352" s="6"/>
      <c r="C352" s="6"/>
      <c r="D352" s="6"/>
      <c r="E352" s="37">
        <v>348</v>
      </c>
      <c r="F352" s="19">
        <f t="shared" ca="1" si="31"/>
        <v>108</v>
      </c>
      <c r="G352" s="19">
        <f t="shared" ca="1" si="32"/>
        <v>451</v>
      </c>
      <c r="H352" s="19">
        <f t="shared" ca="1" si="33"/>
        <v>343</v>
      </c>
      <c r="I352" s="19">
        <f t="shared" ca="1" si="34"/>
        <v>0</v>
      </c>
      <c r="J352" s="19">
        <f t="shared" ca="1" si="35"/>
        <v>0</v>
      </c>
      <c r="K352" s="22">
        <f t="shared" ca="1" si="36"/>
        <v>9.3972602739726021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</row>
    <row r="353" spans="2:117" hidden="1" x14ac:dyDescent="0.25">
      <c r="B353" s="6"/>
      <c r="C353" s="6"/>
      <c r="D353" s="6"/>
      <c r="E353" s="37">
        <v>349</v>
      </c>
      <c r="F353" s="19">
        <f t="shared" ca="1" si="31"/>
        <v>111</v>
      </c>
      <c r="G353" s="19">
        <f t="shared" ca="1" si="32"/>
        <v>343</v>
      </c>
      <c r="H353" s="19">
        <f t="shared" ca="1" si="33"/>
        <v>232</v>
      </c>
      <c r="I353" s="19">
        <f t="shared" ca="1" si="34"/>
        <v>0</v>
      </c>
      <c r="J353" s="19">
        <f t="shared" ca="1" si="35"/>
        <v>0</v>
      </c>
      <c r="K353" s="22">
        <f t="shared" ca="1" si="36"/>
        <v>6.3561643835616435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</row>
    <row r="354" spans="2:117" hidden="1" x14ac:dyDescent="0.25">
      <c r="B354" s="6"/>
      <c r="C354" s="6"/>
      <c r="D354" s="6"/>
      <c r="E354" s="37">
        <v>350</v>
      </c>
      <c r="F354" s="19">
        <f t="shared" ca="1" si="31"/>
        <v>112</v>
      </c>
      <c r="G354" s="19">
        <f t="shared" ca="1" si="32"/>
        <v>232</v>
      </c>
      <c r="H354" s="19">
        <f t="shared" ca="1" si="33"/>
        <v>120</v>
      </c>
      <c r="I354" s="19">
        <f t="shared" ca="1" si="34"/>
        <v>0</v>
      </c>
      <c r="J354" s="19">
        <f t="shared" ca="1" si="35"/>
        <v>0</v>
      </c>
      <c r="K354" s="22">
        <f t="shared" ca="1" si="36"/>
        <v>3.2876712328767121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</row>
    <row r="355" spans="2:117" hidden="1" x14ac:dyDescent="0.25">
      <c r="B355" s="6"/>
      <c r="C355" s="6"/>
      <c r="D355" s="6"/>
      <c r="E355" s="37">
        <v>351</v>
      </c>
      <c r="F355" s="19">
        <f t="shared" ca="1" si="31"/>
        <v>111</v>
      </c>
      <c r="G355" s="19">
        <f t="shared" ca="1" si="32"/>
        <v>120</v>
      </c>
      <c r="H355" s="19">
        <f t="shared" ca="1" si="33"/>
        <v>9</v>
      </c>
      <c r="I355" s="19">
        <f t="shared" ca="1" si="34"/>
        <v>1</v>
      </c>
      <c r="J355" s="19">
        <f t="shared" ca="1" si="35"/>
        <v>200</v>
      </c>
      <c r="K355" s="22">
        <f t="shared" ca="1" si="36"/>
        <v>0.24657534246575341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</row>
    <row r="356" spans="2:117" hidden="1" x14ac:dyDescent="0.25">
      <c r="B356" s="6"/>
      <c r="C356" s="6"/>
      <c r="D356" s="6"/>
      <c r="E356" s="37">
        <v>352</v>
      </c>
      <c r="F356" s="19">
        <f t="shared" ca="1" si="31"/>
        <v>108</v>
      </c>
      <c r="G356" s="19">
        <f t="shared" ca="1" si="32"/>
        <v>1009</v>
      </c>
      <c r="H356" s="19">
        <f t="shared" ca="1" si="33"/>
        <v>901</v>
      </c>
      <c r="I356" s="19">
        <f t="shared" ca="1" si="34"/>
        <v>0</v>
      </c>
      <c r="J356" s="19">
        <f t="shared" ca="1" si="35"/>
        <v>0</v>
      </c>
      <c r="K356" s="22">
        <f t="shared" ca="1" si="36"/>
        <v>24.684931506849313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</row>
    <row r="357" spans="2:117" hidden="1" x14ac:dyDescent="0.25">
      <c r="B357" s="6"/>
      <c r="C357" s="6"/>
      <c r="D357" s="6"/>
      <c r="E357" s="37">
        <v>353</v>
      </c>
      <c r="F357" s="19">
        <f t="shared" ca="1" si="31"/>
        <v>89</v>
      </c>
      <c r="G357" s="19">
        <f t="shared" ca="1" si="32"/>
        <v>901</v>
      </c>
      <c r="H357" s="19">
        <f t="shared" ca="1" si="33"/>
        <v>812</v>
      </c>
      <c r="I357" s="19">
        <f t="shared" ca="1" si="34"/>
        <v>0</v>
      </c>
      <c r="J357" s="19">
        <f t="shared" ca="1" si="35"/>
        <v>0</v>
      </c>
      <c r="K357" s="22">
        <f t="shared" ca="1" si="36"/>
        <v>22.246575342465754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</row>
    <row r="358" spans="2:117" hidden="1" x14ac:dyDescent="0.25">
      <c r="B358" s="6"/>
      <c r="C358" s="6"/>
      <c r="D358" s="6"/>
      <c r="E358" s="37">
        <v>354</v>
      </c>
      <c r="F358" s="19">
        <f t="shared" ca="1" si="31"/>
        <v>120</v>
      </c>
      <c r="G358" s="19">
        <f t="shared" ca="1" si="32"/>
        <v>812</v>
      </c>
      <c r="H358" s="19">
        <f t="shared" ca="1" si="33"/>
        <v>692</v>
      </c>
      <c r="I358" s="19">
        <f t="shared" ca="1" si="34"/>
        <v>0</v>
      </c>
      <c r="J358" s="19">
        <f t="shared" ca="1" si="35"/>
        <v>0</v>
      </c>
      <c r="K358" s="22">
        <f t="shared" ca="1" si="36"/>
        <v>18.958904109589039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</row>
    <row r="359" spans="2:117" hidden="1" x14ac:dyDescent="0.25">
      <c r="B359" s="6"/>
      <c r="C359" s="6"/>
      <c r="D359" s="6"/>
      <c r="E359" s="37">
        <v>355</v>
      </c>
      <c r="F359" s="19">
        <f t="shared" ca="1" si="31"/>
        <v>84</v>
      </c>
      <c r="G359" s="19">
        <f t="shared" ca="1" si="32"/>
        <v>692</v>
      </c>
      <c r="H359" s="19">
        <f t="shared" ca="1" si="33"/>
        <v>608</v>
      </c>
      <c r="I359" s="19">
        <f t="shared" ca="1" si="34"/>
        <v>0</v>
      </c>
      <c r="J359" s="19">
        <f t="shared" ca="1" si="35"/>
        <v>0</v>
      </c>
      <c r="K359" s="22">
        <f t="shared" ca="1" si="36"/>
        <v>16.657534246575342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</row>
    <row r="360" spans="2:117" hidden="1" x14ac:dyDescent="0.25">
      <c r="B360" s="6"/>
      <c r="C360" s="6"/>
      <c r="D360" s="6"/>
      <c r="E360" s="37">
        <v>356</v>
      </c>
      <c r="F360" s="19">
        <f t="shared" ca="1" si="31"/>
        <v>100</v>
      </c>
      <c r="G360" s="19">
        <f t="shared" ca="1" si="32"/>
        <v>608</v>
      </c>
      <c r="H360" s="19">
        <f t="shared" ca="1" si="33"/>
        <v>508</v>
      </c>
      <c r="I360" s="19">
        <f t="shared" ca="1" si="34"/>
        <v>0</v>
      </c>
      <c r="J360" s="19">
        <f t="shared" ca="1" si="35"/>
        <v>0</v>
      </c>
      <c r="K360" s="22">
        <f t="shared" ca="1" si="36"/>
        <v>13.917808219178081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</row>
    <row r="361" spans="2:117" hidden="1" x14ac:dyDescent="0.25">
      <c r="B361" s="6"/>
      <c r="C361" s="6"/>
      <c r="D361" s="6"/>
      <c r="E361" s="37">
        <v>357</v>
      </c>
      <c r="F361" s="19">
        <f t="shared" ca="1" si="31"/>
        <v>111</v>
      </c>
      <c r="G361" s="19">
        <f t="shared" ca="1" si="32"/>
        <v>508</v>
      </c>
      <c r="H361" s="19">
        <f t="shared" ca="1" si="33"/>
        <v>397</v>
      </c>
      <c r="I361" s="19">
        <f t="shared" ca="1" si="34"/>
        <v>0</v>
      </c>
      <c r="J361" s="19">
        <f t="shared" ca="1" si="35"/>
        <v>0</v>
      </c>
      <c r="K361" s="22">
        <f t="shared" ca="1" si="36"/>
        <v>10.876712328767123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</row>
    <row r="362" spans="2:117" hidden="1" x14ac:dyDescent="0.25">
      <c r="B362" s="6"/>
      <c r="C362" s="6"/>
      <c r="D362" s="6"/>
      <c r="E362" s="37">
        <v>358</v>
      </c>
      <c r="F362" s="19">
        <f t="shared" ca="1" si="31"/>
        <v>116</v>
      </c>
      <c r="G362" s="19">
        <f t="shared" ca="1" si="32"/>
        <v>397</v>
      </c>
      <c r="H362" s="19">
        <f t="shared" ca="1" si="33"/>
        <v>281</v>
      </c>
      <c r="I362" s="19">
        <f t="shared" ca="1" si="34"/>
        <v>0</v>
      </c>
      <c r="J362" s="19">
        <f t="shared" ca="1" si="35"/>
        <v>0</v>
      </c>
      <c r="K362" s="22">
        <f t="shared" ca="1" si="36"/>
        <v>7.6986301369863011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</row>
    <row r="363" spans="2:117" hidden="1" x14ac:dyDescent="0.25">
      <c r="B363" s="6"/>
      <c r="C363" s="6"/>
      <c r="D363" s="6"/>
      <c r="E363" s="37">
        <v>359</v>
      </c>
      <c r="F363" s="19">
        <f t="shared" ca="1" si="31"/>
        <v>88</v>
      </c>
      <c r="G363" s="19">
        <f t="shared" ca="1" si="32"/>
        <v>281</v>
      </c>
      <c r="H363" s="19">
        <f t="shared" ca="1" si="33"/>
        <v>193</v>
      </c>
      <c r="I363" s="19">
        <f t="shared" ca="1" si="34"/>
        <v>0</v>
      </c>
      <c r="J363" s="19">
        <f t="shared" ca="1" si="35"/>
        <v>0</v>
      </c>
      <c r="K363" s="22">
        <f t="shared" ca="1" si="36"/>
        <v>5.2876712328767121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</row>
    <row r="364" spans="2:117" hidden="1" x14ac:dyDescent="0.25">
      <c r="B364" s="6"/>
      <c r="C364" s="6"/>
      <c r="D364" s="6"/>
      <c r="E364" s="37">
        <v>360</v>
      </c>
      <c r="F364" s="19">
        <f t="shared" ca="1" si="31"/>
        <v>105</v>
      </c>
      <c r="G364" s="19">
        <f t="shared" ca="1" si="32"/>
        <v>193</v>
      </c>
      <c r="H364" s="19">
        <f t="shared" ca="1" si="33"/>
        <v>88</v>
      </c>
      <c r="I364" s="19">
        <f t="shared" ca="1" si="34"/>
        <v>1</v>
      </c>
      <c r="J364" s="19">
        <f t="shared" ca="1" si="35"/>
        <v>200</v>
      </c>
      <c r="K364" s="22">
        <f t="shared" ca="1" si="36"/>
        <v>2.4109589041095889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</row>
    <row r="365" spans="2:117" hidden="1" x14ac:dyDescent="0.25">
      <c r="B365" s="6"/>
      <c r="C365" s="7"/>
      <c r="D365" s="6"/>
      <c r="E365" s="37">
        <v>361</v>
      </c>
      <c r="F365" s="19">
        <f t="shared" ca="1" si="31"/>
        <v>114</v>
      </c>
      <c r="G365" s="19">
        <f t="shared" ref="G365:G369" ca="1" si="37">H364+I364*$C$10</f>
        <v>1088</v>
      </c>
      <c r="H365" s="19">
        <f t="shared" ref="H365:H369" ca="1" si="38">G365-F365</f>
        <v>974</v>
      </c>
      <c r="I365" s="19">
        <f t="shared" ca="1" si="34"/>
        <v>0</v>
      </c>
      <c r="J365" s="19">
        <f t="shared" ref="J365:J369" ca="1" si="39">I365*$C$4</f>
        <v>0</v>
      </c>
      <c r="K365" s="22">
        <f t="shared" ref="K365:K369" ca="1" si="40">H365*$C$9</f>
        <v>26.684931506849313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</row>
    <row r="366" spans="2:117" hidden="1" x14ac:dyDescent="0.25">
      <c r="B366" s="6"/>
      <c r="C366" s="7"/>
      <c r="D366" s="6"/>
      <c r="E366" s="37">
        <v>362</v>
      </c>
      <c r="F366" s="19">
        <f t="shared" ca="1" si="31"/>
        <v>88</v>
      </c>
      <c r="G366" s="19">
        <f t="shared" ca="1" si="37"/>
        <v>974</v>
      </c>
      <c r="H366" s="19">
        <f t="shared" ca="1" si="38"/>
        <v>886</v>
      </c>
      <c r="I366" s="19">
        <f t="shared" ca="1" si="34"/>
        <v>0</v>
      </c>
      <c r="J366" s="19">
        <f t="shared" ca="1" si="39"/>
        <v>0</v>
      </c>
      <c r="K366" s="22">
        <f t="shared" ca="1" si="40"/>
        <v>24.273972602739725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</row>
    <row r="367" spans="2:117" hidden="1" x14ac:dyDescent="0.25">
      <c r="B367" s="6"/>
      <c r="C367" s="7"/>
      <c r="D367" s="6"/>
      <c r="E367" s="37">
        <v>363</v>
      </c>
      <c r="F367" s="19">
        <f t="shared" ca="1" si="31"/>
        <v>86</v>
      </c>
      <c r="G367" s="19">
        <f t="shared" ca="1" si="37"/>
        <v>886</v>
      </c>
      <c r="H367" s="19">
        <f t="shared" ca="1" si="38"/>
        <v>800</v>
      </c>
      <c r="I367" s="19">
        <f t="shared" ca="1" si="34"/>
        <v>0</v>
      </c>
      <c r="J367" s="19">
        <f t="shared" ca="1" si="39"/>
        <v>0</v>
      </c>
      <c r="K367" s="22">
        <f t="shared" ca="1" si="40"/>
        <v>21.917808219178081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</row>
    <row r="368" spans="2:117" hidden="1" x14ac:dyDescent="0.25">
      <c r="B368" s="6"/>
      <c r="C368" s="7"/>
      <c r="D368" s="6"/>
      <c r="E368" s="37">
        <v>364</v>
      </c>
      <c r="F368" s="19">
        <f t="shared" ca="1" si="31"/>
        <v>83</v>
      </c>
      <c r="G368" s="19">
        <f t="shared" ca="1" si="37"/>
        <v>800</v>
      </c>
      <c r="H368" s="19">
        <f t="shared" ca="1" si="38"/>
        <v>717</v>
      </c>
      <c r="I368" s="19">
        <f t="shared" ca="1" si="34"/>
        <v>0</v>
      </c>
      <c r="J368" s="19">
        <f t="shared" ca="1" si="39"/>
        <v>0</v>
      </c>
      <c r="K368" s="22">
        <f t="shared" ca="1" si="40"/>
        <v>19.643835616438356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</row>
    <row r="369" spans="2:117" x14ac:dyDescent="0.25">
      <c r="B369" s="6"/>
      <c r="C369" s="7"/>
      <c r="D369" s="6"/>
      <c r="E369" s="37">
        <v>365</v>
      </c>
      <c r="F369" s="19">
        <f t="shared" ca="1" si="31"/>
        <v>88</v>
      </c>
      <c r="G369" s="19">
        <f t="shared" ca="1" si="37"/>
        <v>717</v>
      </c>
      <c r="H369" s="19">
        <f t="shared" ca="1" si="38"/>
        <v>629</v>
      </c>
      <c r="I369" s="19">
        <f t="shared" ca="1" si="34"/>
        <v>0</v>
      </c>
      <c r="J369" s="19">
        <f t="shared" ca="1" si="39"/>
        <v>0</v>
      </c>
      <c r="K369" s="22">
        <f t="shared" ca="1" si="40"/>
        <v>17.232876712328768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</row>
  </sheetData>
  <mergeCells count="1">
    <mergeCell ref="E2:E3"/>
  </mergeCells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tabSelected="1" zoomScaleNormal="100" workbookViewId="0">
      <selection activeCell="C26" sqref="C26"/>
    </sheetView>
  </sheetViews>
  <sheetFormatPr defaultRowHeight="12.5" x14ac:dyDescent="0.25"/>
  <sheetData/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例8-6</vt:lpstr>
      <vt:lpstr>EOQ模型</vt:lpstr>
      <vt:lpstr>固定需求模拟模型</vt:lpstr>
      <vt:lpstr>随机需求模拟模型</vt:lpstr>
      <vt:lpstr>年总成本随订货量变化图形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bin jiao</cp:lastModifiedBy>
  <cp:lastPrinted>2010-02-17T08:50:59Z</cp:lastPrinted>
  <dcterms:created xsi:type="dcterms:W3CDTF">1997-07-27T18:56:09Z</dcterms:created>
  <dcterms:modified xsi:type="dcterms:W3CDTF">2025-12-20T13:06:16Z</dcterms:modified>
</cp:coreProperties>
</file>