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作业与资料\经管机\笔记\04时间序列\"/>
    </mc:Choice>
  </mc:AlternateContent>
  <xr:revisionPtr revIDLastSave="0" documentId="13_ncr:1_{9A90086E-063A-4226-B194-3591E79F5DA6}" xr6:coauthVersionLast="47" xr6:coauthVersionMax="47" xr10:uidLastSave="{00000000-0000-0000-0000-000000000000}"/>
  <bookViews>
    <workbookView xWindow="4280" yWindow="1900" windowWidth="19950" windowHeight="13700" xr2:uid="{00000000-000D-0000-FFFF-FFFF00000000}"/>
  </bookViews>
  <sheets>
    <sheet name="第1题" sheetId="1" r:id="rId1"/>
    <sheet name="第2题" sheetId="2" r:id="rId2"/>
    <sheet name="第3题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F53" i="3" l="1"/>
  <c r="F52" i="3"/>
  <c r="F51" i="3"/>
  <c r="G50" i="3" a="1"/>
  <c r="G50" i="3"/>
  <c r="F50" i="3"/>
  <c r="F49" i="3"/>
  <c r="F48" i="3"/>
  <c r="F47" i="3"/>
  <c r="G46" i="3" a="1"/>
  <c r="G46" i="3"/>
  <c r="F46" i="3"/>
  <c r="E46" i="3" a="1"/>
  <c r="E46" i="3"/>
  <c r="F45" i="3"/>
  <c r="F44" i="3"/>
  <c r="F43" i="3"/>
  <c r="G42" i="3" a="1"/>
  <c r="G42" i="3"/>
  <c r="F42" i="3"/>
  <c r="E42" i="3" a="1"/>
  <c r="E42" i="3"/>
  <c r="F41" i="3"/>
  <c r="F40" i="3"/>
  <c r="F39" i="3"/>
  <c r="G38" i="3" a="1"/>
  <c r="G38" i="3"/>
  <c r="F38" i="3"/>
  <c r="E38" i="3" a="1"/>
  <c r="E38" i="3"/>
  <c r="F37" i="3"/>
  <c r="F36" i="3"/>
  <c r="F35" i="3"/>
  <c r="G34" i="3" a="1"/>
  <c r="G34" i="3"/>
  <c r="F34" i="3"/>
  <c r="E34" i="3" a="1"/>
  <c r="E34" i="3"/>
  <c r="F33" i="3"/>
  <c r="F32" i="3"/>
  <c r="F31" i="3"/>
  <c r="G30" i="3" a="1"/>
  <c r="G30" i="3"/>
  <c r="F30" i="3"/>
  <c r="E30" i="3" a="1"/>
  <c r="E30" i="3"/>
  <c r="F29" i="3"/>
  <c r="F28" i="3"/>
  <c r="F27" i="3"/>
  <c r="G26" i="3" a="1"/>
  <c r="G26" i="3"/>
  <c r="F26" i="3"/>
  <c r="E26" i="3" a="1"/>
  <c r="E26" i="3"/>
  <c r="F25" i="3"/>
  <c r="F24" i="3"/>
  <c r="F23" i="3"/>
  <c r="G22" i="3" a="1"/>
  <c r="G22" i="3"/>
  <c r="F22" i="3"/>
  <c r="E22" i="3" a="1"/>
  <c r="E22" i="3"/>
  <c r="F21" i="3"/>
  <c r="F20" i="3"/>
  <c r="F19" i="3"/>
  <c r="G18" i="3" a="1"/>
  <c r="G18" i="3"/>
  <c r="F18" i="3"/>
  <c r="E18" i="3" a="1"/>
  <c r="E18" i="3"/>
  <c r="F17" i="3"/>
  <c r="F16" i="3"/>
  <c r="I15" i="3"/>
  <c r="F15" i="3"/>
  <c r="I14" i="3"/>
  <c r="G14" i="3" a="1"/>
  <c r="G14" i="3"/>
  <c r="F14" i="3"/>
  <c r="E14" i="3" a="1"/>
  <c r="E14" i="3"/>
  <c r="F13" i="3"/>
  <c r="F12" i="3"/>
  <c r="F11" i="3"/>
  <c r="G10" i="3" a="1"/>
  <c r="G10" i="3"/>
  <c r="F10" i="3"/>
  <c r="E10" i="3" a="1"/>
  <c r="E10" i="3"/>
  <c r="J9" i="3" a="1"/>
  <c r="J9" i="3"/>
  <c r="F9" i="3"/>
  <c r="F8" i="3"/>
  <c r="F7" i="3"/>
  <c r="K6" i="3"/>
  <c r="I6" i="3"/>
  <c r="G6" i="3" a="1"/>
  <c r="G6" i="3"/>
  <c r="F6" i="3"/>
  <c r="E6" i="3" a="1"/>
  <c r="E6" i="3"/>
  <c r="K5" i="3"/>
  <c r="I5" i="3"/>
  <c r="F5" i="3"/>
  <c r="K4" i="3"/>
  <c r="I4" i="3"/>
  <c r="F4" i="3"/>
  <c r="L3" i="3"/>
  <c r="K3" i="3"/>
  <c r="I3" i="3"/>
  <c r="F3" i="3"/>
  <c r="G2" i="3" a="1"/>
  <c r="G2" i="3"/>
  <c r="F2" i="3"/>
  <c r="E2" i="3" a="1"/>
  <c r="E2" i="3"/>
  <c r="C26" i="2"/>
  <c r="G8" i="2" s="1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G7" i="2"/>
  <c r="G6" i="2" s="1"/>
  <c r="C7" i="2"/>
  <c r="C6" i="2"/>
  <c r="C5" i="2"/>
  <c r="G4" i="2" a="1"/>
  <c r="C4" i="2"/>
  <c r="C3" i="2"/>
  <c r="C2" i="2"/>
  <c r="F5" i="1"/>
  <c r="F4" i="1"/>
  <c r="C4" i="1"/>
  <c r="C5" i="1" s="1"/>
  <c r="C6" i="1" l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F6" i="1" s="1"/>
  <c r="G4" i="2"/>
  <c r="G15" i="2" s="1"/>
  <c r="F2" i="1" l="1"/>
  <c r="H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<sst xmlns="http://schemas.openxmlformats.org/spreadsheetml/2006/main" count="29" uniqueCount="28">
  <si>
    <t>月</t>
  </si>
  <si>
    <t>债券利率</t>
  </si>
  <si>
    <t>预测值</t>
  </si>
  <si>
    <t>平滑常数</t>
  </si>
  <si>
    <t>MSE</t>
  </si>
  <si>
    <t>最小MSE</t>
  </si>
  <si>
    <t>最优平滑常数</t>
  </si>
  <si>
    <t>第25月的预测值</t>
  </si>
  <si>
    <t>序号</t>
  </si>
  <si>
    <t>销售额</t>
  </si>
  <si>
    <t>销售额估计值</t>
  </si>
  <si>
    <t>移动平均跨度</t>
  </si>
  <si>
    <t>最优移动平均跨度</t>
  </si>
  <si>
    <t>MSE极小值</t>
  </si>
  <si>
    <t>第25个月的销售额预测值</t>
  </si>
  <si>
    <t>月份</t>
  </si>
  <si>
    <t>周</t>
  </si>
  <si>
    <t>销量</t>
  </si>
  <si>
    <t>季节指数</t>
  </si>
  <si>
    <t>预测结果</t>
  </si>
  <si>
    <t>第13月</t>
  </si>
  <si>
    <t>第1周</t>
  </si>
  <si>
    <t>第2周</t>
  </si>
  <si>
    <t>第3周</t>
  </si>
  <si>
    <t>第4周</t>
  </si>
  <si>
    <t>a=</t>
  </si>
  <si>
    <t>b=</t>
  </si>
  <si>
    <t>MSE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</si>
</sst>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&quot;年&quot;m&quot;月&quot;"/>
    <numFmt numFmtId="177" formatCode="0.0000"/>
    <numFmt numFmtId="178" formatCode="0.00_ "/>
  </numFmts>
  <fonts count="8" x14ac:knownFonts="1">
    <font>
      <sz val="11"/>
      <color theme="1"/>
      <name val="等线"/>
      <charset val="134"/>
      <scheme val="minor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Arial"/>
      <family val="2"/>
    </font>
    <font>
      <sz val="12"/>
      <name val="宋体"/>
      <family val="3"/>
      <charset val="134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3" fillId="2" borderId="1" xfId="2" applyNumberFormat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Border="1"/>
    <xf numFmtId="1" fontId="3" fillId="2" borderId="1" xfId="2" applyNumberFormat="1" applyFont="1" applyFill="1" applyBorder="1"/>
    <xf numFmtId="2" fontId="3" fillId="2" borderId="1" xfId="2" applyNumberFormat="1" applyFont="1" applyFill="1" applyBorder="1"/>
    <xf numFmtId="177" fontId="3" fillId="2" borderId="1" xfId="2" applyNumberFormat="1" applyFont="1" applyFill="1" applyBorder="1"/>
    <xf numFmtId="0" fontId="3" fillId="0" borderId="0" xfId="1" applyFont="1">
      <alignment vertical="center"/>
    </xf>
    <xf numFmtId="0" fontId="3" fillId="2" borderId="1" xfId="2" applyFont="1" applyFill="1" applyBorder="1"/>
    <xf numFmtId="0" fontId="3" fillId="0" borderId="1" xfId="2" applyFont="1" applyFill="1" applyBorder="1"/>
    <xf numFmtId="0" fontId="3" fillId="3" borderId="1" xfId="2" applyFont="1" applyFill="1" applyBorder="1"/>
    <xf numFmtId="177" fontId="3" fillId="3" borderId="1" xfId="2" applyNumberFormat="1" applyFont="1" applyFill="1" applyBorder="1"/>
    <xf numFmtId="0" fontId="3" fillId="2" borderId="1" xfId="1" applyFont="1" applyFill="1" applyBorder="1">
      <alignment vertical="center"/>
    </xf>
    <xf numFmtId="14" fontId="3" fillId="0" borderId="0" xfId="0" applyNumberFormat="1" applyFont="1" applyAlignment="1">
      <alignment horizontal="left"/>
    </xf>
    <xf numFmtId="0" fontId="0" fillId="0" borderId="0" xfId="0" applyFont="1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>
      <alignment vertical="center"/>
    </xf>
    <xf numFmtId="0" fontId="1" fillId="0" borderId="0" xfId="1" applyFont="1">
      <alignment vertical="center"/>
    </xf>
    <xf numFmtId="0" fontId="1" fillId="0" borderId="1" xfId="1" applyFont="1" applyFill="1" applyBorder="1">
      <alignment vertical="center"/>
    </xf>
    <xf numFmtId="178" fontId="1" fillId="2" borderId="1" xfId="1" applyNumberFormat="1" applyFont="1" applyFill="1" applyBorder="1">
      <alignment vertical="center"/>
    </xf>
    <xf numFmtId="0" fontId="0" fillId="0" borderId="1" xfId="0" applyFont="1" applyBorder="1">
      <alignment vertical="center"/>
    </xf>
    <xf numFmtId="0" fontId="1" fillId="3" borderId="1" xfId="1" applyFont="1" applyFill="1" applyBorder="1">
      <alignment vertical="center"/>
    </xf>
    <xf numFmtId="178" fontId="0" fillId="0" borderId="1" xfId="0" applyNumberFormat="1" applyFont="1" applyBorder="1">
      <alignment vertical="center"/>
    </xf>
    <xf numFmtId="0" fontId="1" fillId="2" borderId="0" xfId="1" applyFont="1" applyFill="1">
      <alignment vertical="center"/>
    </xf>
    <xf numFmtId="0" fontId="4" fillId="0" borderId="0" xfId="0" applyFont="1">
      <alignment vertical="center"/>
    </xf>
    <xf numFmtId="14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3">
    <cellStyle name="常规" xfId="0" builtinId="0"/>
    <cellStyle name="常规 3" xfId="1" xr:uid="{00000000-0005-0000-0000-000031000000}"/>
    <cellStyle name="常规_移动平均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303608</xdr:colOff>
      <xdr:row>1</xdr:row>
      <xdr:rowOff>113109</xdr:rowOff>
    </xdr:from>
    <xdr:to>
      <xdr:col>13</xdr:col>
      <xdr:colOff>428625</xdr:colOff>
      <xdr:row>14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>
        <a:xfrm>
          <a:off x="4275455" y="290830"/>
          <a:ext cx="4725670" cy="236982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800"/>
            </a:lnSpc>
            <a:defRPr sz="1000"/>
          </a:pPr>
          <a:r>
            <a:rPr lang="zh-CN" altLang="zh-CN" sz="1200" b="1" i="0" baseline="0"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200" b="1" i="0" baseline="0"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200" b="1" i="0" baseline="0">
              <a:effectLst/>
              <a:latin typeface="+mn-lt"/>
              <a:ea typeface="+mn-ea"/>
              <a:cs typeface="+mn-cs"/>
            </a:rPr>
            <a:t>题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在单元格A1:B13中给出了过去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24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个月中债券利率,现要求建立指数平滑模型：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1、针对在F1中键入的任意的平滑常数（它可以是在0.1~0.5之间改变的任何正数）在C2:C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中正确的位置上求出各月的指数平滑预测值；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2、在单元格F2中求出这些预测值与对应的汇率实际值之间的均方误差；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3、利用灵敏度分析操作（模拟运算表）所得数据在F4中求出使均方误差达到极小的最优平滑常数；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4、利用最优平滑常数在F5中求出按照指数平滑模型计算的第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25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个月的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债券利率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的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预测值。</a:t>
          </a:r>
        </a:p>
        <a:p>
          <a:pPr algn="l" rtl="0">
            <a:lnSpc>
              <a:spcPts val="11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4</xdr:col>
      <xdr:colOff>937845</xdr:colOff>
      <xdr:row>24</xdr:row>
      <xdr:rowOff>39077</xdr:rowOff>
    </xdr:from>
    <xdr:to>
      <xdr:col>15</xdr:col>
      <xdr:colOff>220398</xdr:colOff>
      <xdr:row>30</xdr:row>
      <xdr:rowOff>88762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9E87CDF-4D33-4728-A932-5764D1C7F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7076" y="4259385"/>
          <a:ext cx="6990476" cy="11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16</xdr:col>
      <xdr:colOff>294578</xdr:colOff>
      <xdr:row>50</xdr:row>
      <xdr:rowOff>6198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8901EF2-2C3E-42D7-BDBA-4B86B105B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1769" y="5627077"/>
          <a:ext cx="7523809" cy="31714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1</xdr:row>
      <xdr:rowOff>57150</xdr:rowOff>
    </xdr:from>
    <xdr:to>
      <xdr:col>17</xdr:col>
      <xdr:colOff>556261</xdr:colOff>
      <xdr:row>14</xdr:row>
      <xdr:rowOff>80010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>
        <a:xfrm>
          <a:off x="7753350" y="234950"/>
          <a:ext cx="6376035" cy="23342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  <a:effectLst/>
      </xdr:spPr>
      <xdr:txBody>
        <a:bodyPr vertOverflow="clip" wrap="square" lIns="82800" tIns="82800" rIns="90000" bIns="46800" anchor="t" upright="1"/>
        <a:lstStyle/>
        <a:p>
          <a:pPr algn="l" rtl="0">
            <a:lnSpc>
              <a:spcPts val="1900"/>
            </a:lnSpc>
            <a:defRPr sz="1000"/>
          </a:pPr>
          <a:r>
            <a:rPr lang="zh-CN" altLang="zh-CN" sz="1200" b="1" i="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第</a:t>
          </a:r>
          <a:r>
            <a:rPr lang="en-US" altLang="zh-CN" sz="1200" b="1" i="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2</a:t>
          </a:r>
          <a:r>
            <a:rPr lang="zh-CN" altLang="zh-CN" sz="1200" b="1" i="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题</a:t>
          </a:r>
          <a:r>
            <a:rPr lang="zh-CN" altLang="en-US" sz="1200" b="1" i="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）</a:t>
          </a:r>
          <a:r>
            <a:rPr lang="en-US" altLang="zh-CN" sz="1200" b="1" i="0" baseline="0"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 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本工作表中A1:B2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区域的数据是某公司在过去二年的销售额观测值，经观察发现这些数据大体上在一个水平位置附近上下波动。要求建立移动平均模型：</a:t>
          </a:r>
        </a:p>
        <a:p>
          <a:pPr algn="l" rtl="0">
            <a:lnSpc>
              <a:spcPts val="19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Arial" panose="020B0604020202020204"/>
            </a:rPr>
            <a:t>1、针对在单元格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Arial" panose="020B0604020202020204"/>
            </a:rPr>
            <a:t>G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Arial" panose="020B0604020202020204"/>
            </a:rPr>
            <a:t>3中的任意移动平均跨度值（它可以是在2~8之间改变的任何整数）求出各个月销售额的移动平均估计值；</a:t>
          </a:r>
        </a:p>
        <a:p>
          <a:pPr algn="l" rtl="0">
            <a:lnSpc>
              <a:spcPts val="19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Arial" panose="020B0604020202020204"/>
            </a:rPr>
            <a:t>2、求出这些估计值与对应的销售额实际值之间的均方误差MSE；</a:t>
          </a:r>
        </a:p>
        <a:p>
          <a:pPr algn="l" rtl="0">
            <a:lnSpc>
              <a:spcPts val="19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Arial" panose="020B0604020202020204"/>
            </a:rPr>
            <a:t>3、用灵敏度分析方法求出使MSE达到极小的最优移动平均跨度及该MSE极小值；</a:t>
          </a:r>
        </a:p>
        <a:p>
          <a:pPr algn="l" rtl="0">
            <a:lnSpc>
              <a:spcPts val="19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Arial" panose="020B0604020202020204"/>
            </a:rPr>
            <a:t>4、用最优移动平均跨度求出未来第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Arial" panose="020B0604020202020204"/>
            </a:rPr>
            <a:t>25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Arial" panose="020B0604020202020204"/>
            </a:rPr>
            <a:t>个月的销售额预测值。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oneCell">
    <xdr:from>
      <xdr:col>5</xdr:col>
      <xdr:colOff>0</xdr:colOff>
      <xdr:row>25</xdr:row>
      <xdr:rowOff>0</xdr:rowOff>
    </xdr:from>
    <xdr:to>
      <xdr:col>14</xdr:col>
      <xdr:colOff>554593</xdr:colOff>
      <xdr:row>80</xdr:row>
      <xdr:rowOff>135286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F6168BD-67EB-4FB8-BB5E-CB794EB12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0" y="4445000"/>
          <a:ext cx="8257143" cy="99142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557706</xdr:colOff>
      <xdr:row>18</xdr:row>
      <xdr:rowOff>128094</xdr:rowOff>
    </xdr:from>
    <xdr:to>
      <xdr:col>16</xdr:col>
      <xdr:colOff>628649</xdr:colOff>
      <xdr:row>28</xdr:row>
      <xdr:rowOff>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729730" y="3347085"/>
          <a:ext cx="4871085" cy="1650365"/>
        </a:xfrm>
        <a:prstGeom prst="rect">
          <a:avLst/>
        </a:prstGeom>
        <a:solidFill>
          <a:srgbClr val="D3F5F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第</a:t>
          </a:r>
          <a:r>
            <a:rPr lang="en-US" altLang="zh-CN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3</a:t>
          </a: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题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本工作表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A1:C49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是某公司近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12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个月冰箱销售数据库，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负责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冰箱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销售的经理，发现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本工作表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A1:C49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销售数据整体上有增长趋势，但他不仅想预测第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13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个月的销量，还想预测第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13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个月每周的销量，为此他收集了过去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12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个月每周的销量的明细数据，数据显示每周的销量既有规律的变化，具有明显的季节成分。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请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用季节指数预测模型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计算季节指数并预测未来第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13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月各周的销量。</a:t>
          </a:r>
          <a:endParaRPr lang="zh-CN" altLang="zh-CN" sz="1200">
            <a:effectLst/>
            <a:latin typeface="+mn-ea"/>
            <a:ea typeface="+mn-ea"/>
          </a:endParaRPr>
        </a:p>
        <a:p>
          <a:endParaRPr lang="zh-CN" altLang="en-US" sz="1200">
            <a:latin typeface="+mn-ea"/>
            <a:ea typeface="+mn-ea"/>
          </a:endParaRPr>
        </a:p>
      </xdr:txBody>
    </xdr:sp>
    <xdr:clientData/>
  </xdr:twoCellAnchor>
  <xdr:twoCellAnchor editAs="oneCell">
    <xdr:from>
      <xdr:col>9</xdr:col>
      <xdr:colOff>0</xdr:colOff>
      <xdr:row>32</xdr:row>
      <xdr:rowOff>0</xdr:rowOff>
    </xdr:from>
    <xdr:to>
      <xdr:col>17</xdr:col>
      <xdr:colOff>505161</xdr:colOff>
      <xdr:row>67</xdr:row>
      <xdr:rowOff>158750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BC8FADB-2CA2-4DE0-AF80-F46B4696D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0" y="5689600"/>
          <a:ext cx="5991561" cy="6381750"/>
        </a:xfrm>
        <a:prstGeom prst="rect">
          <a:avLst/>
        </a:prstGeom>
      </xdr:spPr>
    </xdr:pic>
    <xdr:clientData/>
  </xdr:twoCellAnchor>
  <xdr:twoCellAnchor editAs="oneCell">
    <xdr:from>
      <xdr:col>9</xdr:col>
      <xdr:colOff>31751</xdr:colOff>
      <xdr:row>67</xdr:row>
      <xdr:rowOff>165101</xdr:rowOff>
    </xdr:from>
    <xdr:to>
      <xdr:col>17</xdr:col>
      <xdr:colOff>63501</xdr:colOff>
      <xdr:row>95</xdr:row>
      <xdr:rowOff>100020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B7622CB-70BF-4836-AA69-4E6B86D6B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3951" y="12077701"/>
          <a:ext cx="5518150" cy="4913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1"/>
  <sheetViews>
    <sheetView tabSelected="1" zoomScale="130" zoomScaleNormal="130" workbookViewId="0">
      <selection activeCell="E17" sqref="E17"/>
    </sheetView>
  </sheetViews>
  <sheetFormatPr defaultColWidth="9" defaultRowHeight="14" x14ac:dyDescent="0.3"/>
  <cols>
    <col min="1" max="1" width="3.5" style="29" customWidth="1"/>
    <col min="2" max="2" width="9" style="29" customWidth="1"/>
    <col min="3" max="3" width="7.08203125" style="29" customWidth="1"/>
    <col min="4" max="4" width="8.58203125" style="29"/>
    <col min="5" max="5" width="15.25" style="29" customWidth="1"/>
    <col min="6" max="15" width="8.58203125" style="29"/>
  </cols>
  <sheetData>
    <row r="1" spans="1:8" x14ac:dyDescent="0.3">
      <c r="A1" s="30" t="s">
        <v>0</v>
      </c>
      <c r="B1" s="31" t="s">
        <v>1</v>
      </c>
      <c r="C1" s="31" t="s">
        <v>2</v>
      </c>
      <c r="D1" s="32"/>
      <c r="E1" s="31" t="s">
        <v>3</v>
      </c>
      <c r="F1" s="33">
        <v>0.2</v>
      </c>
    </row>
    <row r="2" spans="1:8" x14ac:dyDescent="0.3">
      <c r="A2" s="31">
        <v>1</v>
      </c>
      <c r="B2" s="34">
        <v>7.6243999999999996</v>
      </c>
      <c r="C2" s="35"/>
      <c r="D2" s="32"/>
      <c r="E2" s="31" t="s">
        <v>27</v>
      </c>
      <c r="F2" s="36">
        <f>SUMXMY2(B2:B25,C2:C25)/COUNT(C2:C25)</f>
        <v>1.9917382637244189E-3</v>
      </c>
    </row>
    <row r="3" spans="1:8" x14ac:dyDescent="0.3">
      <c r="A3" s="31">
        <v>2</v>
      </c>
      <c r="B3" s="34">
        <v>7.6243999999999996</v>
      </c>
      <c r="C3" s="37">
        <f>B2</f>
        <v>7.6243999999999996</v>
      </c>
      <c r="D3" s="32"/>
      <c r="E3" s="38"/>
      <c r="F3" s="32"/>
    </row>
    <row r="4" spans="1:8" x14ac:dyDescent="0.3">
      <c r="A4" s="31">
        <v>3</v>
      </c>
      <c r="B4" s="34">
        <v>7.6341999999999999</v>
      </c>
      <c r="C4" s="35">
        <f>$F$1*B3+(1-$F$1)*C3</f>
        <v>7.6243999999999996</v>
      </c>
      <c r="D4" s="32"/>
      <c r="E4" s="31" t="s">
        <v>5</v>
      </c>
      <c r="F4" s="36">
        <f>MIN(H17:H21)</f>
        <v>1.9917382637244189E-3</v>
      </c>
    </row>
    <row r="5" spans="1:8" x14ac:dyDescent="0.3">
      <c r="A5" s="31">
        <v>4</v>
      </c>
      <c r="B5" s="34">
        <v>7.6048</v>
      </c>
      <c r="C5" s="35">
        <f t="shared" ref="C5:C26" si="0">$F$1*B4+(1-$F$1)*C4</f>
        <v>7.62636</v>
      </c>
      <c r="D5" s="32"/>
      <c r="E5" s="31" t="s">
        <v>6</v>
      </c>
      <c r="F5" s="36">
        <f>INDEX(G17:G21,MATCH(F4,H17:H21,0))</f>
        <v>0.2</v>
      </c>
    </row>
    <row r="6" spans="1:8" x14ac:dyDescent="0.3">
      <c r="A6" s="31">
        <v>5</v>
      </c>
      <c r="B6" s="34">
        <v>7.6146000000000003</v>
      </c>
      <c r="C6" s="35">
        <f t="shared" si="0"/>
        <v>7.6220480000000013</v>
      </c>
      <c r="D6" s="32"/>
      <c r="E6" s="31" t="s">
        <v>7</v>
      </c>
      <c r="F6" s="36">
        <f>C26</f>
        <v>7.5789704625099379</v>
      </c>
    </row>
    <row r="7" spans="1:8" x14ac:dyDescent="0.3">
      <c r="A7" s="31">
        <v>6</v>
      </c>
      <c r="B7" s="34">
        <v>7.5949999999999998</v>
      </c>
      <c r="C7" s="35">
        <f t="shared" si="0"/>
        <v>7.6205584000000011</v>
      </c>
    </row>
    <row r="8" spans="1:8" x14ac:dyDescent="0.3">
      <c r="A8" s="31">
        <v>7</v>
      </c>
      <c r="B8" s="34">
        <v>7.6048</v>
      </c>
      <c r="C8" s="35">
        <f t="shared" si="0"/>
        <v>7.6154467200000013</v>
      </c>
    </row>
    <row r="9" spans="1:8" x14ac:dyDescent="0.3">
      <c r="A9" s="31">
        <v>8</v>
      </c>
      <c r="B9" s="34">
        <v>7.6243999999999996</v>
      </c>
      <c r="C9" s="35">
        <f t="shared" si="0"/>
        <v>7.6133173760000012</v>
      </c>
    </row>
    <row r="10" spans="1:8" x14ac:dyDescent="0.3">
      <c r="A10" s="31">
        <v>9</v>
      </c>
      <c r="B10" s="34">
        <v>7.6146000000000003</v>
      </c>
      <c r="C10" s="35">
        <f t="shared" si="0"/>
        <v>7.6155339008000009</v>
      </c>
    </row>
    <row r="11" spans="1:8" x14ac:dyDescent="0.3">
      <c r="A11" s="31">
        <v>10</v>
      </c>
      <c r="B11" s="34">
        <v>7.5852000000000004</v>
      </c>
      <c r="C11" s="35">
        <f t="shared" si="0"/>
        <v>7.615347120640001</v>
      </c>
    </row>
    <row r="12" spans="1:8" x14ac:dyDescent="0.3">
      <c r="A12" s="31">
        <v>11</v>
      </c>
      <c r="B12" s="34">
        <v>7.6048</v>
      </c>
      <c r="C12" s="35">
        <f t="shared" si="0"/>
        <v>7.6093176965120009</v>
      </c>
    </row>
    <row r="13" spans="1:8" x14ac:dyDescent="0.3">
      <c r="A13" s="31">
        <v>12</v>
      </c>
      <c r="B13" s="34">
        <v>7.5852000000000004</v>
      </c>
      <c r="C13" s="35">
        <f t="shared" si="0"/>
        <v>7.6084141572096016</v>
      </c>
    </row>
    <row r="14" spans="1:8" x14ac:dyDescent="0.3">
      <c r="A14" s="31">
        <v>13</v>
      </c>
      <c r="B14" s="34">
        <v>7.5481559999999996</v>
      </c>
      <c r="C14" s="35">
        <f t="shared" si="0"/>
        <v>7.6037713257676813</v>
      </c>
    </row>
    <row r="15" spans="1:8" x14ac:dyDescent="0.3">
      <c r="A15" s="31">
        <v>14</v>
      </c>
      <c r="B15" s="34">
        <v>7.5481559999999996</v>
      </c>
      <c r="C15" s="35">
        <f t="shared" si="0"/>
        <v>7.5926482606141459</v>
      </c>
      <c r="D15" s="39"/>
    </row>
    <row r="16" spans="1:8" x14ac:dyDescent="0.3">
      <c r="A16" s="31">
        <v>15</v>
      </c>
      <c r="B16" s="34">
        <v>7.66</v>
      </c>
      <c r="C16" s="35">
        <f t="shared" si="0"/>
        <v>7.5837498084913175</v>
      </c>
      <c r="D16" s="39"/>
      <c r="H16" s="29">
        <f>F2</f>
        <v>1.9917382637244189E-3</v>
      </c>
    </row>
    <row r="17" spans="1:8" x14ac:dyDescent="0.3">
      <c r="A17" s="31">
        <v>16</v>
      </c>
      <c r="B17" s="34">
        <v>7.5287519999999999</v>
      </c>
      <c r="C17" s="35">
        <f t="shared" si="0"/>
        <v>7.5989998467930544</v>
      </c>
      <c r="D17" s="39"/>
      <c r="G17" s="29">
        <v>0.1</v>
      </c>
      <c r="H17" s="29">
        <f t="dataTable" ref="H17:H21" dt2D="0" dtr="0" r1="F1"/>
        <v>2.1230979433733786E-3</v>
      </c>
    </row>
    <row r="18" spans="1:8" x14ac:dyDescent="0.3">
      <c r="A18" s="31">
        <v>17</v>
      </c>
      <c r="B18" s="34">
        <v>7.5384539999999998</v>
      </c>
      <c r="C18" s="35">
        <f t="shared" si="0"/>
        <v>7.5849502774344444</v>
      </c>
      <c r="D18" s="39"/>
      <c r="G18" s="29">
        <v>0.2</v>
      </c>
      <c r="H18" s="29">
        <v>1.9917382637244189E-3</v>
      </c>
    </row>
    <row r="19" spans="1:8" x14ac:dyDescent="0.3">
      <c r="A19" s="31">
        <v>18</v>
      </c>
      <c r="B19" s="34">
        <v>7.51905</v>
      </c>
      <c r="C19" s="35">
        <f t="shared" si="0"/>
        <v>7.5756510219475555</v>
      </c>
      <c r="D19" s="39"/>
      <c r="G19" s="29">
        <v>0.3</v>
      </c>
      <c r="H19" s="29">
        <v>2.0461686507998208E-3</v>
      </c>
    </row>
    <row r="20" spans="1:8" x14ac:dyDescent="0.3">
      <c r="A20" s="31">
        <v>19</v>
      </c>
      <c r="B20" s="34">
        <v>7.5287519999999999</v>
      </c>
      <c r="C20" s="35">
        <f t="shared" si="0"/>
        <v>7.5643308175580444</v>
      </c>
      <c r="D20" s="39"/>
      <c r="G20" s="29">
        <v>0.4</v>
      </c>
      <c r="H20" s="29">
        <v>2.1615818800566054E-3</v>
      </c>
    </row>
    <row r="21" spans="1:8" x14ac:dyDescent="0.3">
      <c r="A21" s="31">
        <v>20</v>
      </c>
      <c r="B21" s="34">
        <v>7.65</v>
      </c>
      <c r="C21" s="35">
        <f t="shared" si="0"/>
        <v>7.557215054046436</v>
      </c>
      <c r="D21" s="39"/>
      <c r="G21" s="29">
        <v>0.5</v>
      </c>
      <c r="H21" s="29">
        <v>2.3112123944432476E-3</v>
      </c>
    </row>
    <row r="22" spans="1:8" x14ac:dyDescent="0.3">
      <c r="A22" s="31">
        <v>21</v>
      </c>
      <c r="B22" s="34">
        <v>7.5384539999999998</v>
      </c>
      <c r="C22" s="35">
        <f t="shared" si="0"/>
        <v>7.5757720432371496</v>
      </c>
      <c r="D22" s="39"/>
    </row>
    <row r="23" spans="1:8" x14ac:dyDescent="0.3">
      <c r="A23" s="31">
        <v>22</v>
      </c>
      <c r="B23" s="34">
        <v>7.5093480000000001</v>
      </c>
      <c r="C23" s="35">
        <f t="shared" si="0"/>
        <v>7.5683084345897198</v>
      </c>
      <c r="D23" s="39"/>
    </row>
    <row r="24" spans="1:8" x14ac:dyDescent="0.3">
      <c r="A24" s="31">
        <v>23</v>
      </c>
      <c r="B24" s="34">
        <v>7.63</v>
      </c>
      <c r="C24" s="35">
        <f t="shared" si="0"/>
        <v>7.556516347671776</v>
      </c>
      <c r="D24" s="39"/>
    </row>
    <row r="25" spans="1:8" x14ac:dyDescent="0.3">
      <c r="A25" s="31">
        <v>24</v>
      </c>
      <c r="B25" s="34">
        <v>7.61</v>
      </c>
      <c r="C25" s="35">
        <f t="shared" si="0"/>
        <v>7.5712130781374212</v>
      </c>
      <c r="D25" s="39"/>
    </row>
    <row r="26" spans="1:8" x14ac:dyDescent="0.3">
      <c r="A26" s="32"/>
      <c r="B26" s="1"/>
      <c r="C26" s="35">
        <f t="shared" si="0"/>
        <v>7.5789704625099379</v>
      </c>
      <c r="D26" s="39"/>
    </row>
    <row r="27" spans="1:8" x14ac:dyDescent="0.3">
      <c r="A27" s="40"/>
      <c r="B27" s="1"/>
      <c r="C27" s="1"/>
      <c r="D27" s="39"/>
    </row>
    <row r="28" spans="1:8" x14ac:dyDescent="0.3">
      <c r="A28" s="40"/>
      <c r="B28" s="1"/>
      <c r="C28" s="1"/>
      <c r="D28" s="39"/>
    </row>
    <row r="29" spans="1:8" x14ac:dyDescent="0.3">
      <c r="A29" s="40"/>
      <c r="B29" s="1"/>
      <c r="C29" s="1"/>
      <c r="D29" s="39"/>
    </row>
    <row r="30" spans="1:8" x14ac:dyDescent="0.3">
      <c r="A30" s="40"/>
      <c r="B30" s="1"/>
      <c r="C30" s="1"/>
      <c r="D30" s="39"/>
    </row>
    <row r="31" spans="1:8" x14ac:dyDescent="0.3">
      <c r="A31" s="40"/>
      <c r="B31" s="1"/>
      <c r="C31" s="1"/>
      <c r="D31" s="39"/>
    </row>
    <row r="32" spans="1:8" x14ac:dyDescent="0.3">
      <c r="A32" s="40"/>
      <c r="B32" s="1"/>
      <c r="C32" s="1"/>
      <c r="D32" s="39"/>
    </row>
    <row r="33" spans="1:4" x14ac:dyDescent="0.3">
      <c r="A33" s="40"/>
      <c r="B33" s="1"/>
      <c r="C33" s="1"/>
      <c r="D33" s="39"/>
    </row>
    <row r="34" spans="1:4" x14ac:dyDescent="0.3">
      <c r="A34" s="40"/>
      <c r="B34" s="1"/>
      <c r="C34" s="1"/>
      <c r="D34" s="39"/>
    </row>
    <row r="35" spans="1:4" x14ac:dyDescent="0.3">
      <c r="A35" s="40"/>
      <c r="B35" s="1"/>
      <c r="C35" s="1"/>
      <c r="D35" s="39"/>
    </row>
    <row r="36" spans="1:4" x14ac:dyDescent="0.3">
      <c r="A36" s="40"/>
      <c r="B36" s="1"/>
      <c r="C36" s="1"/>
      <c r="D36" s="39"/>
    </row>
    <row r="37" spans="1:4" x14ac:dyDescent="0.3">
      <c r="A37" s="40"/>
      <c r="B37" s="1"/>
      <c r="C37" s="1"/>
      <c r="D37" s="39"/>
    </row>
    <row r="38" spans="1:4" x14ac:dyDescent="0.3">
      <c r="A38" s="40"/>
      <c r="B38" s="1"/>
      <c r="C38" s="1"/>
      <c r="D38" s="39"/>
    </row>
    <row r="39" spans="1:4" x14ac:dyDescent="0.3">
      <c r="A39" s="40"/>
      <c r="B39" s="1"/>
      <c r="C39" s="1"/>
      <c r="D39" s="39"/>
    </row>
    <row r="40" spans="1:4" x14ac:dyDescent="0.3">
      <c r="A40" s="40"/>
      <c r="B40" s="1"/>
      <c r="C40" s="1"/>
      <c r="D40" s="39"/>
    </row>
    <row r="41" spans="1:4" x14ac:dyDescent="0.3">
      <c r="A41" s="40"/>
      <c r="B41" s="1"/>
      <c r="C41" s="1"/>
      <c r="D41" s="39"/>
    </row>
    <row r="42" spans="1:4" x14ac:dyDescent="0.3">
      <c r="A42" s="40"/>
      <c r="B42" s="1"/>
      <c r="C42" s="1"/>
      <c r="D42" s="39"/>
    </row>
    <row r="43" spans="1:4" x14ac:dyDescent="0.3">
      <c r="A43" s="40"/>
      <c r="B43" s="1"/>
      <c r="C43" s="1"/>
      <c r="D43" s="39"/>
    </row>
    <row r="44" spans="1:4" x14ac:dyDescent="0.3">
      <c r="A44" s="40"/>
      <c r="B44" s="1"/>
      <c r="C44" s="1"/>
      <c r="D44" s="39"/>
    </row>
    <row r="45" spans="1:4" x14ac:dyDescent="0.3">
      <c r="A45" s="40"/>
      <c r="B45" s="1"/>
      <c r="C45" s="1"/>
      <c r="D45" s="39"/>
    </row>
    <row r="46" spans="1:4" x14ac:dyDescent="0.3">
      <c r="A46" s="40"/>
      <c r="B46" s="1"/>
      <c r="C46" s="1"/>
      <c r="D46" s="39"/>
    </row>
    <row r="47" spans="1:4" x14ac:dyDescent="0.3">
      <c r="A47" s="40"/>
      <c r="B47" s="1"/>
      <c r="C47" s="1"/>
      <c r="D47" s="39"/>
    </row>
    <row r="48" spans="1:4" x14ac:dyDescent="0.3">
      <c r="A48" s="40"/>
      <c r="B48" s="1"/>
      <c r="C48" s="1"/>
      <c r="D48" s="39"/>
    </row>
    <row r="49" spans="1:4" x14ac:dyDescent="0.3">
      <c r="A49" s="40"/>
      <c r="B49" s="1"/>
      <c r="C49" s="1"/>
      <c r="D49" s="39"/>
    </row>
    <row r="50" spans="1:4" x14ac:dyDescent="0.3">
      <c r="A50" s="40"/>
      <c r="B50" s="1"/>
      <c r="C50" s="1"/>
      <c r="D50" s="39"/>
    </row>
    <row r="51" spans="1:4" x14ac:dyDescent="0.3">
      <c r="A51" s="40"/>
      <c r="B51" s="1"/>
      <c r="C51" s="1"/>
      <c r="D51" s="39"/>
    </row>
    <row r="52" spans="1:4" x14ac:dyDescent="0.3">
      <c r="A52" s="40"/>
      <c r="B52" s="1"/>
      <c r="C52" s="1"/>
      <c r="D52" s="39"/>
    </row>
    <row r="53" spans="1:4" x14ac:dyDescent="0.3">
      <c r="A53" s="40"/>
      <c r="B53" s="1"/>
      <c r="C53" s="1"/>
      <c r="D53" s="39"/>
    </row>
    <row r="54" spans="1:4" x14ac:dyDescent="0.3">
      <c r="A54" s="40"/>
      <c r="B54" s="1"/>
      <c r="C54" s="1"/>
      <c r="D54" s="39"/>
    </row>
    <row r="55" spans="1:4" x14ac:dyDescent="0.3">
      <c r="A55" s="40"/>
      <c r="B55" s="1"/>
      <c r="C55" s="1"/>
      <c r="D55" s="39"/>
    </row>
    <row r="56" spans="1:4" x14ac:dyDescent="0.3">
      <c r="A56" s="40"/>
      <c r="B56" s="1"/>
      <c r="C56" s="1"/>
      <c r="D56" s="39"/>
    </row>
    <row r="57" spans="1:4" x14ac:dyDescent="0.3">
      <c r="A57" s="40"/>
      <c r="B57" s="1"/>
      <c r="C57" s="1"/>
      <c r="D57" s="39"/>
    </row>
    <row r="58" spans="1:4" x14ac:dyDescent="0.3">
      <c r="A58" s="40"/>
      <c r="B58" s="1"/>
      <c r="C58" s="1"/>
      <c r="D58" s="39"/>
    </row>
    <row r="59" spans="1:4" x14ac:dyDescent="0.3">
      <c r="A59" s="40"/>
      <c r="B59" s="1"/>
      <c r="C59" s="1"/>
      <c r="D59" s="39"/>
    </row>
    <row r="60" spans="1:4" x14ac:dyDescent="0.3">
      <c r="A60" s="40"/>
      <c r="B60" s="1"/>
      <c r="C60" s="1"/>
      <c r="D60" s="39"/>
    </row>
    <row r="61" spans="1:4" x14ac:dyDescent="0.3">
      <c r="A61" s="40"/>
      <c r="B61" s="1"/>
      <c r="C61" s="1"/>
      <c r="D61" s="39"/>
    </row>
    <row r="62" spans="1:4" x14ac:dyDescent="0.3">
      <c r="A62" s="40"/>
      <c r="B62" s="1"/>
      <c r="C62" s="1"/>
      <c r="D62" s="39"/>
    </row>
    <row r="63" spans="1:4" x14ac:dyDescent="0.3">
      <c r="A63" s="40"/>
      <c r="B63" s="1"/>
      <c r="C63" s="1"/>
      <c r="D63" s="39"/>
    </row>
    <row r="64" spans="1:4" x14ac:dyDescent="0.3">
      <c r="A64" s="40"/>
      <c r="B64" s="1"/>
      <c r="C64" s="1"/>
      <c r="D64" s="39"/>
    </row>
    <row r="65" spans="1:4" x14ac:dyDescent="0.3">
      <c r="A65" s="40"/>
      <c r="B65" s="1"/>
      <c r="C65" s="1"/>
      <c r="D65" s="39"/>
    </row>
    <row r="66" spans="1:4" x14ac:dyDescent="0.3">
      <c r="A66" s="40"/>
      <c r="B66" s="1"/>
      <c r="C66" s="1"/>
      <c r="D66" s="39"/>
    </row>
    <row r="67" spans="1:4" x14ac:dyDescent="0.3">
      <c r="A67" s="40"/>
      <c r="B67" s="1"/>
      <c r="C67" s="1"/>
      <c r="D67" s="39"/>
    </row>
    <row r="68" spans="1:4" x14ac:dyDescent="0.3">
      <c r="A68" s="40"/>
      <c r="B68" s="1"/>
      <c r="C68" s="1"/>
      <c r="D68" s="39"/>
    </row>
    <row r="69" spans="1:4" x14ac:dyDescent="0.3">
      <c r="A69" s="40"/>
      <c r="B69" s="1"/>
      <c r="C69" s="1"/>
      <c r="D69" s="39"/>
    </row>
    <row r="70" spans="1:4" x14ac:dyDescent="0.3">
      <c r="A70" s="40"/>
      <c r="B70" s="1"/>
      <c r="C70" s="1"/>
      <c r="D70" s="39"/>
    </row>
    <row r="71" spans="1:4" x14ac:dyDescent="0.3">
      <c r="A71" s="40"/>
      <c r="B71" s="1"/>
      <c r="C71" s="1"/>
      <c r="D71" s="39"/>
    </row>
    <row r="72" spans="1:4" x14ac:dyDescent="0.3">
      <c r="A72" s="40"/>
      <c r="B72" s="1"/>
      <c r="C72" s="1"/>
      <c r="D72" s="39"/>
    </row>
    <row r="73" spans="1:4" x14ac:dyDescent="0.3">
      <c r="A73" s="40"/>
      <c r="B73" s="1"/>
      <c r="C73" s="1"/>
      <c r="D73" s="39"/>
    </row>
    <row r="74" spans="1:4" x14ac:dyDescent="0.3">
      <c r="A74" s="40"/>
      <c r="B74" s="1"/>
      <c r="C74" s="1"/>
      <c r="D74" s="39"/>
    </row>
    <row r="75" spans="1:4" x14ac:dyDescent="0.3">
      <c r="A75" s="40"/>
      <c r="B75" s="1"/>
      <c r="C75" s="1"/>
      <c r="D75" s="39"/>
    </row>
    <row r="76" spans="1:4" x14ac:dyDescent="0.3">
      <c r="A76" s="40"/>
      <c r="B76" s="1"/>
      <c r="C76" s="1"/>
      <c r="D76" s="39"/>
    </row>
    <row r="77" spans="1:4" x14ac:dyDescent="0.3">
      <c r="A77" s="40"/>
      <c r="B77" s="1"/>
      <c r="C77" s="1"/>
      <c r="D77" s="39"/>
    </row>
    <row r="78" spans="1:4" x14ac:dyDescent="0.3">
      <c r="A78" s="40"/>
      <c r="B78" s="1"/>
      <c r="C78" s="1"/>
      <c r="D78" s="39"/>
    </row>
    <row r="79" spans="1:4" x14ac:dyDescent="0.3">
      <c r="A79" s="40"/>
      <c r="B79" s="1"/>
      <c r="C79" s="1"/>
      <c r="D79" s="39"/>
    </row>
    <row r="80" spans="1:4" x14ac:dyDescent="0.3">
      <c r="A80" s="40"/>
      <c r="B80" s="1"/>
      <c r="C80" s="1"/>
      <c r="D80" s="39"/>
    </row>
    <row r="81" spans="1:4" x14ac:dyDescent="0.3">
      <c r="A81" s="40"/>
      <c r="B81" s="1"/>
      <c r="C81" s="1"/>
      <c r="D81" s="39"/>
    </row>
    <row r="82" spans="1:4" x14ac:dyDescent="0.3">
      <c r="A82" s="40"/>
      <c r="B82" s="1"/>
      <c r="C82" s="1"/>
      <c r="D82" s="39"/>
    </row>
    <row r="83" spans="1:4" x14ac:dyDescent="0.3">
      <c r="A83" s="40"/>
      <c r="B83" s="1"/>
      <c r="C83" s="1"/>
      <c r="D83" s="39"/>
    </row>
    <row r="84" spans="1:4" x14ac:dyDescent="0.3">
      <c r="A84" s="40"/>
      <c r="B84" s="1"/>
      <c r="C84" s="1"/>
      <c r="D84" s="39"/>
    </row>
    <row r="85" spans="1:4" x14ac:dyDescent="0.3">
      <c r="A85" s="40"/>
      <c r="B85" s="1"/>
      <c r="C85" s="1"/>
      <c r="D85" s="39"/>
    </row>
    <row r="86" spans="1:4" x14ac:dyDescent="0.3">
      <c r="A86" s="40"/>
      <c r="B86" s="1"/>
      <c r="C86" s="1"/>
      <c r="D86" s="39"/>
    </row>
    <row r="87" spans="1:4" x14ac:dyDescent="0.3">
      <c r="A87" s="40"/>
      <c r="B87" s="1"/>
      <c r="C87" s="1"/>
      <c r="D87" s="39"/>
    </row>
    <row r="88" spans="1:4" x14ac:dyDescent="0.3">
      <c r="A88" s="40"/>
      <c r="B88" s="1"/>
      <c r="C88" s="1"/>
      <c r="D88" s="39"/>
    </row>
    <row r="89" spans="1:4" x14ac:dyDescent="0.3">
      <c r="A89" s="40"/>
      <c r="B89" s="1"/>
      <c r="C89" s="1"/>
      <c r="D89" s="39"/>
    </row>
    <row r="90" spans="1:4" x14ac:dyDescent="0.3">
      <c r="A90" s="40"/>
      <c r="B90" s="1"/>
      <c r="C90" s="1"/>
      <c r="D90" s="39"/>
    </row>
    <row r="91" spans="1:4" x14ac:dyDescent="0.3">
      <c r="A91" s="40"/>
      <c r="B91" s="1"/>
      <c r="C91" s="1"/>
      <c r="D91" s="39"/>
    </row>
    <row r="92" spans="1:4" x14ac:dyDescent="0.3">
      <c r="A92" s="40"/>
      <c r="B92" s="1"/>
      <c r="C92" s="1"/>
      <c r="D92" s="39"/>
    </row>
    <row r="93" spans="1:4" x14ac:dyDescent="0.3">
      <c r="A93" s="40"/>
      <c r="B93" s="1"/>
      <c r="C93" s="1"/>
      <c r="D93" s="39"/>
    </row>
    <row r="94" spans="1:4" x14ac:dyDescent="0.3">
      <c r="A94" s="40"/>
      <c r="B94" s="1"/>
      <c r="C94" s="1"/>
      <c r="D94" s="39"/>
    </row>
    <row r="95" spans="1:4" x14ac:dyDescent="0.3">
      <c r="A95" s="40"/>
      <c r="B95" s="1"/>
      <c r="C95" s="1"/>
      <c r="D95" s="39"/>
    </row>
    <row r="96" spans="1:4" x14ac:dyDescent="0.3">
      <c r="A96" s="40"/>
      <c r="B96" s="1"/>
      <c r="C96" s="1"/>
      <c r="D96" s="39"/>
    </row>
    <row r="97" spans="1:4" x14ac:dyDescent="0.3">
      <c r="A97" s="40"/>
      <c r="B97" s="1"/>
      <c r="C97" s="1"/>
      <c r="D97" s="39"/>
    </row>
    <row r="98" spans="1:4" x14ac:dyDescent="0.3">
      <c r="A98" s="40"/>
      <c r="B98" s="1"/>
      <c r="C98" s="1"/>
      <c r="D98" s="39"/>
    </row>
    <row r="99" spans="1:4" x14ac:dyDescent="0.3">
      <c r="A99" s="40"/>
      <c r="B99" s="1"/>
      <c r="C99" s="1"/>
      <c r="D99" s="39"/>
    </row>
    <row r="100" spans="1:4" x14ac:dyDescent="0.3">
      <c r="A100" s="40"/>
      <c r="B100" s="1"/>
      <c r="C100" s="1"/>
      <c r="D100" s="39"/>
    </row>
    <row r="101" spans="1:4" x14ac:dyDescent="0.3">
      <c r="A101" s="40"/>
      <c r="B101" s="1"/>
      <c r="C101" s="1"/>
      <c r="D101" s="39"/>
    </row>
    <row r="102" spans="1:4" x14ac:dyDescent="0.3">
      <c r="A102" s="40"/>
      <c r="B102" s="1"/>
      <c r="C102" s="1"/>
      <c r="D102" s="39"/>
    </row>
    <row r="103" spans="1:4" x14ac:dyDescent="0.3">
      <c r="A103" s="40"/>
      <c r="B103" s="1"/>
      <c r="C103" s="1"/>
      <c r="D103" s="39"/>
    </row>
    <row r="104" spans="1:4" x14ac:dyDescent="0.3">
      <c r="A104" s="40"/>
      <c r="B104" s="1"/>
      <c r="C104" s="1"/>
      <c r="D104" s="39"/>
    </row>
    <row r="105" spans="1:4" x14ac:dyDescent="0.3">
      <c r="A105" s="40"/>
      <c r="B105" s="1"/>
      <c r="C105" s="1"/>
      <c r="D105" s="39"/>
    </row>
    <row r="106" spans="1:4" x14ac:dyDescent="0.3">
      <c r="A106" s="40"/>
      <c r="B106" s="1"/>
      <c r="C106" s="1"/>
      <c r="D106" s="39"/>
    </row>
    <row r="107" spans="1:4" x14ac:dyDescent="0.3">
      <c r="A107" s="40"/>
      <c r="B107" s="1"/>
      <c r="C107" s="1"/>
      <c r="D107" s="39"/>
    </row>
    <row r="108" spans="1:4" x14ac:dyDescent="0.3">
      <c r="A108" s="40"/>
      <c r="B108" s="1"/>
      <c r="C108" s="1"/>
      <c r="D108" s="39"/>
    </row>
    <row r="109" spans="1:4" x14ac:dyDescent="0.3">
      <c r="A109" s="40"/>
      <c r="B109" s="1"/>
      <c r="C109" s="1"/>
      <c r="D109" s="39"/>
    </row>
    <row r="110" spans="1:4" x14ac:dyDescent="0.3">
      <c r="A110" s="40"/>
      <c r="B110" s="1"/>
      <c r="C110" s="1"/>
      <c r="D110" s="39"/>
    </row>
    <row r="111" spans="1:4" x14ac:dyDescent="0.3">
      <c r="A111" s="40"/>
      <c r="B111" s="1"/>
      <c r="C111" s="1"/>
      <c r="D111" s="39"/>
    </row>
    <row r="112" spans="1:4" x14ac:dyDescent="0.3">
      <c r="A112" s="40"/>
      <c r="B112" s="1"/>
      <c r="C112" s="1"/>
      <c r="D112" s="39"/>
    </row>
    <row r="113" spans="1:4" x14ac:dyDescent="0.3">
      <c r="A113" s="40"/>
      <c r="B113" s="1"/>
      <c r="C113" s="1"/>
      <c r="D113" s="39"/>
    </row>
    <row r="114" spans="1:4" x14ac:dyDescent="0.3">
      <c r="A114" s="40"/>
      <c r="B114" s="1"/>
      <c r="C114" s="1"/>
      <c r="D114" s="39"/>
    </row>
    <row r="115" spans="1:4" x14ac:dyDescent="0.3">
      <c r="A115" s="40"/>
      <c r="B115" s="1"/>
      <c r="C115" s="1"/>
      <c r="D115" s="39"/>
    </row>
    <row r="116" spans="1:4" x14ac:dyDescent="0.3">
      <c r="A116" s="40"/>
      <c r="B116" s="1"/>
      <c r="C116" s="1"/>
      <c r="D116" s="39"/>
    </row>
    <row r="117" spans="1:4" x14ac:dyDescent="0.3">
      <c r="A117" s="40"/>
      <c r="B117" s="1"/>
      <c r="C117" s="1"/>
      <c r="D117" s="39"/>
    </row>
    <row r="118" spans="1:4" x14ac:dyDescent="0.3">
      <c r="A118" s="40"/>
      <c r="B118" s="1"/>
      <c r="C118" s="1"/>
      <c r="D118" s="39"/>
    </row>
    <row r="119" spans="1:4" x14ac:dyDescent="0.3">
      <c r="A119" s="40"/>
      <c r="B119" s="1"/>
      <c r="C119" s="1"/>
      <c r="D119" s="39"/>
    </row>
    <row r="120" spans="1:4" x14ac:dyDescent="0.3">
      <c r="A120" s="40"/>
      <c r="B120" s="1"/>
      <c r="C120" s="1"/>
      <c r="D120" s="39"/>
    </row>
    <row r="121" spans="1:4" x14ac:dyDescent="0.3">
      <c r="A121" s="40"/>
      <c r="B121" s="1"/>
      <c r="C121" s="1"/>
      <c r="D121" s="39"/>
    </row>
    <row r="122" spans="1:4" x14ac:dyDescent="0.3">
      <c r="A122" s="40"/>
      <c r="B122" s="1"/>
      <c r="C122" s="1"/>
      <c r="D122" s="39"/>
    </row>
    <row r="123" spans="1:4" x14ac:dyDescent="0.3">
      <c r="A123" s="40"/>
      <c r="B123" s="1"/>
      <c r="C123" s="1"/>
      <c r="D123" s="39"/>
    </row>
    <row r="124" spans="1:4" x14ac:dyDescent="0.3">
      <c r="A124" s="40"/>
      <c r="B124" s="1"/>
      <c r="C124" s="1"/>
      <c r="D124" s="39"/>
    </row>
    <row r="125" spans="1:4" x14ac:dyDescent="0.3">
      <c r="A125" s="40"/>
      <c r="B125" s="1"/>
      <c r="C125" s="1"/>
      <c r="D125" s="39"/>
    </row>
    <row r="126" spans="1:4" x14ac:dyDescent="0.3">
      <c r="A126" s="40"/>
      <c r="B126" s="1"/>
      <c r="C126" s="1"/>
      <c r="D126" s="39"/>
    </row>
    <row r="127" spans="1:4" x14ac:dyDescent="0.3">
      <c r="A127" s="40"/>
      <c r="B127" s="1"/>
      <c r="C127" s="1"/>
      <c r="D127" s="39"/>
    </row>
    <row r="128" spans="1:4" x14ac:dyDescent="0.3">
      <c r="A128" s="40"/>
      <c r="B128" s="1"/>
      <c r="C128" s="1"/>
      <c r="D128" s="39"/>
    </row>
    <row r="129" spans="1:4" x14ac:dyDescent="0.3">
      <c r="A129" s="40"/>
      <c r="B129" s="1"/>
      <c r="C129" s="1"/>
      <c r="D129" s="39"/>
    </row>
    <row r="130" spans="1:4" x14ac:dyDescent="0.3">
      <c r="A130" s="40"/>
      <c r="B130" s="1"/>
      <c r="C130" s="1"/>
      <c r="D130" s="39"/>
    </row>
    <row r="131" spans="1:4" x14ac:dyDescent="0.3">
      <c r="A131" s="40"/>
      <c r="B131" s="1"/>
      <c r="C131" s="1"/>
      <c r="D131" s="39"/>
    </row>
    <row r="132" spans="1:4" x14ac:dyDescent="0.3">
      <c r="A132" s="40"/>
      <c r="B132" s="1"/>
      <c r="C132" s="1"/>
      <c r="D132" s="39"/>
    </row>
    <row r="133" spans="1:4" x14ac:dyDescent="0.3">
      <c r="A133" s="40"/>
      <c r="B133" s="1"/>
      <c r="C133" s="1"/>
      <c r="D133" s="39"/>
    </row>
    <row r="134" spans="1:4" x14ac:dyDescent="0.3">
      <c r="A134" s="40"/>
      <c r="B134" s="1"/>
      <c r="C134" s="1"/>
      <c r="D134" s="39"/>
    </row>
    <row r="135" spans="1:4" x14ac:dyDescent="0.3">
      <c r="A135" s="40"/>
      <c r="B135" s="1"/>
      <c r="C135" s="1"/>
      <c r="D135" s="39"/>
    </row>
    <row r="136" spans="1:4" x14ac:dyDescent="0.3">
      <c r="A136" s="40"/>
      <c r="B136" s="1"/>
      <c r="C136" s="1"/>
      <c r="D136" s="39"/>
    </row>
    <row r="137" spans="1:4" x14ac:dyDescent="0.3">
      <c r="A137" s="40"/>
      <c r="B137" s="1"/>
      <c r="C137" s="1"/>
      <c r="D137" s="39"/>
    </row>
    <row r="138" spans="1:4" x14ac:dyDescent="0.3">
      <c r="A138" s="40"/>
      <c r="B138" s="1"/>
      <c r="C138" s="1"/>
      <c r="D138" s="39"/>
    </row>
    <row r="139" spans="1:4" x14ac:dyDescent="0.3">
      <c r="A139" s="40"/>
      <c r="B139" s="1"/>
      <c r="C139" s="1"/>
      <c r="D139" s="39"/>
    </row>
    <row r="140" spans="1:4" x14ac:dyDescent="0.3">
      <c r="A140" s="40"/>
      <c r="B140" s="1"/>
      <c r="C140" s="1"/>
      <c r="D140" s="39"/>
    </row>
    <row r="141" spans="1:4" x14ac:dyDescent="0.3">
      <c r="A141" s="40"/>
      <c r="B141" s="1"/>
      <c r="C141" s="1"/>
      <c r="D141" s="39"/>
    </row>
    <row r="142" spans="1:4" x14ac:dyDescent="0.3">
      <c r="A142" s="40"/>
      <c r="B142" s="1"/>
      <c r="C142" s="1"/>
      <c r="D142" s="39"/>
    </row>
    <row r="143" spans="1:4" x14ac:dyDescent="0.3">
      <c r="A143" s="40"/>
      <c r="B143" s="1"/>
      <c r="C143" s="1"/>
      <c r="D143" s="39"/>
    </row>
    <row r="144" spans="1:4" x14ac:dyDescent="0.3">
      <c r="A144" s="40"/>
      <c r="B144" s="1"/>
      <c r="C144" s="1"/>
      <c r="D144" s="39"/>
    </row>
    <row r="145" spans="1:4" x14ac:dyDescent="0.3">
      <c r="A145" s="40"/>
      <c r="B145" s="1"/>
      <c r="C145" s="1"/>
      <c r="D145" s="39"/>
    </row>
    <row r="146" spans="1:4" x14ac:dyDescent="0.3">
      <c r="A146" s="40"/>
      <c r="B146" s="1"/>
      <c r="C146" s="1"/>
      <c r="D146" s="39"/>
    </row>
    <row r="147" spans="1:4" x14ac:dyDescent="0.3">
      <c r="A147" s="40"/>
      <c r="B147" s="1"/>
      <c r="C147" s="1"/>
      <c r="D147" s="39"/>
    </row>
    <row r="148" spans="1:4" x14ac:dyDescent="0.3">
      <c r="A148" s="40"/>
      <c r="B148" s="1"/>
      <c r="C148" s="1"/>
      <c r="D148" s="39"/>
    </row>
    <row r="149" spans="1:4" x14ac:dyDescent="0.3">
      <c r="A149" s="40"/>
      <c r="B149" s="1"/>
      <c r="C149" s="1"/>
      <c r="D149" s="39"/>
    </row>
    <row r="150" spans="1:4" x14ac:dyDescent="0.3">
      <c r="A150" s="40"/>
      <c r="B150" s="1"/>
      <c r="C150" s="1"/>
      <c r="D150" s="39"/>
    </row>
    <row r="151" spans="1:4" x14ac:dyDescent="0.3">
      <c r="A151" s="40"/>
      <c r="B151" s="1"/>
      <c r="C151" s="1"/>
      <c r="D151" s="39"/>
    </row>
    <row r="152" spans="1:4" x14ac:dyDescent="0.3">
      <c r="A152" s="40"/>
      <c r="B152" s="1"/>
      <c r="C152" s="1"/>
      <c r="D152" s="39"/>
    </row>
    <row r="153" spans="1:4" x14ac:dyDescent="0.3">
      <c r="A153" s="40"/>
      <c r="B153" s="1"/>
      <c r="C153" s="1"/>
      <c r="D153" s="39"/>
    </row>
    <row r="154" spans="1:4" x14ac:dyDescent="0.3">
      <c r="A154" s="40"/>
      <c r="B154" s="1"/>
      <c r="C154" s="1"/>
      <c r="D154" s="39"/>
    </row>
    <row r="155" spans="1:4" x14ac:dyDescent="0.3">
      <c r="A155" s="40"/>
      <c r="B155" s="1"/>
      <c r="C155" s="1"/>
      <c r="D155" s="39"/>
    </row>
    <row r="156" spans="1:4" x14ac:dyDescent="0.3">
      <c r="A156" s="40"/>
      <c r="B156" s="1"/>
      <c r="C156" s="1"/>
      <c r="D156" s="39"/>
    </row>
    <row r="157" spans="1:4" x14ac:dyDescent="0.3">
      <c r="A157" s="40"/>
      <c r="B157" s="1"/>
      <c r="C157" s="1"/>
      <c r="D157" s="39"/>
    </row>
    <row r="158" spans="1:4" x14ac:dyDescent="0.3">
      <c r="A158" s="40"/>
      <c r="B158" s="1"/>
      <c r="C158" s="1"/>
      <c r="D158" s="39"/>
    </row>
    <row r="159" spans="1:4" x14ac:dyDescent="0.3">
      <c r="A159" s="40"/>
      <c r="B159" s="1"/>
      <c r="C159" s="1"/>
      <c r="D159" s="39"/>
    </row>
    <row r="160" spans="1:4" x14ac:dyDescent="0.3">
      <c r="A160" s="40"/>
      <c r="B160" s="1"/>
      <c r="C160" s="1"/>
      <c r="D160" s="39"/>
    </row>
    <row r="161" spans="1:4" x14ac:dyDescent="0.3">
      <c r="A161" s="40"/>
      <c r="B161" s="1"/>
      <c r="C161" s="1"/>
      <c r="D161" s="39"/>
    </row>
    <row r="162" spans="1:4" x14ac:dyDescent="0.3">
      <c r="A162" s="40"/>
      <c r="B162" s="1"/>
      <c r="C162" s="1"/>
      <c r="D162" s="39"/>
    </row>
    <row r="163" spans="1:4" x14ac:dyDescent="0.3">
      <c r="A163" s="40"/>
      <c r="B163" s="1"/>
      <c r="C163" s="1"/>
      <c r="D163" s="39"/>
    </row>
    <row r="164" spans="1:4" x14ac:dyDescent="0.3">
      <c r="A164" s="40"/>
      <c r="B164" s="1"/>
      <c r="C164" s="1"/>
      <c r="D164" s="39"/>
    </row>
    <row r="165" spans="1:4" x14ac:dyDescent="0.3">
      <c r="A165" s="40"/>
      <c r="B165" s="1"/>
      <c r="C165" s="1"/>
      <c r="D165" s="39"/>
    </row>
    <row r="166" spans="1:4" x14ac:dyDescent="0.3">
      <c r="A166" s="40"/>
      <c r="B166" s="1"/>
      <c r="C166" s="1"/>
      <c r="D166" s="39"/>
    </row>
    <row r="167" spans="1:4" x14ac:dyDescent="0.3">
      <c r="A167" s="40"/>
      <c r="B167" s="1"/>
      <c r="C167" s="1"/>
      <c r="D167" s="39"/>
    </row>
    <row r="168" spans="1:4" x14ac:dyDescent="0.3">
      <c r="A168" s="40"/>
      <c r="B168" s="1"/>
      <c r="C168" s="1"/>
      <c r="D168" s="39"/>
    </row>
    <row r="169" spans="1:4" x14ac:dyDescent="0.3">
      <c r="A169" s="40"/>
      <c r="B169" s="1"/>
      <c r="C169" s="1"/>
      <c r="D169" s="39"/>
    </row>
    <row r="170" spans="1:4" x14ac:dyDescent="0.3">
      <c r="A170" s="40"/>
      <c r="B170" s="1"/>
      <c r="C170" s="1"/>
      <c r="D170" s="39"/>
    </row>
    <row r="171" spans="1:4" x14ac:dyDescent="0.3">
      <c r="A171" s="40"/>
      <c r="B171" s="1"/>
      <c r="C171" s="1"/>
      <c r="D171" s="39"/>
    </row>
    <row r="172" spans="1:4" x14ac:dyDescent="0.3">
      <c r="A172" s="40"/>
      <c r="B172" s="1"/>
      <c r="C172" s="1"/>
      <c r="D172" s="39"/>
    </row>
    <row r="173" spans="1:4" x14ac:dyDescent="0.3">
      <c r="A173" s="40"/>
      <c r="B173" s="1"/>
      <c r="C173" s="1"/>
      <c r="D173" s="39"/>
    </row>
    <row r="174" spans="1:4" x14ac:dyDescent="0.3">
      <c r="A174" s="40"/>
      <c r="B174" s="1"/>
      <c r="C174" s="1"/>
      <c r="D174" s="39"/>
    </row>
    <row r="175" spans="1:4" x14ac:dyDescent="0.3">
      <c r="A175" s="40"/>
      <c r="B175" s="1"/>
      <c r="C175" s="1"/>
      <c r="D175" s="39"/>
    </row>
    <row r="176" spans="1:4" x14ac:dyDescent="0.3">
      <c r="A176" s="40"/>
      <c r="B176" s="1"/>
      <c r="C176" s="1"/>
      <c r="D176" s="39"/>
    </row>
    <row r="177" spans="1:4" x14ac:dyDescent="0.3">
      <c r="A177" s="40"/>
      <c r="B177" s="1"/>
      <c r="C177" s="1"/>
      <c r="D177" s="39"/>
    </row>
    <row r="178" spans="1:4" x14ac:dyDescent="0.3">
      <c r="A178" s="40"/>
      <c r="B178" s="1"/>
      <c r="C178" s="1"/>
      <c r="D178" s="39"/>
    </row>
    <row r="179" spans="1:4" x14ac:dyDescent="0.3">
      <c r="A179" s="40"/>
      <c r="B179" s="1"/>
      <c r="C179" s="1"/>
      <c r="D179" s="39"/>
    </row>
    <row r="180" spans="1:4" x14ac:dyDescent="0.3">
      <c r="A180" s="40"/>
      <c r="B180" s="1"/>
      <c r="C180" s="1"/>
      <c r="D180" s="39"/>
    </row>
    <row r="181" spans="1:4" x14ac:dyDescent="0.3">
      <c r="A181" s="40"/>
      <c r="B181" s="1"/>
      <c r="C181" s="1"/>
      <c r="D181" s="39"/>
    </row>
    <row r="182" spans="1:4" x14ac:dyDescent="0.3">
      <c r="A182" s="40"/>
      <c r="B182" s="1"/>
      <c r="C182" s="1"/>
      <c r="D182" s="39"/>
    </row>
    <row r="183" spans="1:4" x14ac:dyDescent="0.3">
      <c r="A183" s="40"/>
      <c r="B183" s="1"/>
      <c r="C183" s="1"/>
      <c r="D183" s="39"/>
    </row>
    <row r="184" spans="1:4" x14ac:dyDescent="0.3">
      <c r="A184" s="40"/>
      <c r="B184" s="1"/>
      <c r="C184" s="1"/>
      <c r="D184" s="39"/>
    </row>
    <row r="185" spans="1:4" x14ac:dyDescent="0.3">
      <c r="A185" s="40"/>
      <c r="B185" s="1"/>
      <c r="C185" s="1"/>
      <c r="D185" s="39"/>
    </row>
    <row r="186" spans="1:4" x14ac:dyDescent="0.3">
      <c r="A186" s="40"/>
      <c r="B186" s="1"/>
      <c r="C186" s="1"/>
      <c r="D186" s="39"/>
    </row>
    <row r="187" spans="1:4" x14ac:dyDescent="0.3">
      <c r="A187" s="40"/>
      <c r="B187" s="1"/>
      <c r="C187" s="1"/>
      <c r="D187" s="39"/>
    </row>
    <row r="188" spans="1:4" x14ac:dyDescent="0.3">
      <c r="A188" s="40"/>
      <c r="B188" s="1"/>
      <c r="C188" s="1"/>
      <c r="D188" s="39"/>
    </row>
    <row r="189" spans="1:4" x14ac:dyDescent="0.3">
      <c r="A189" s="40"/>
      <c r="B189" s="1"/>
      <c r="C189" s="1"/>
      <c r="D189" s="39"/>
    </row>
    <row r="190" spans="1:4" x14ac:dyDescent="0.3">
      <c r="A190" s="40"/>
      <c r="B190" s="1"/>
      <c r="C190" s="1"/>
      <c r="D190" s="39"/>
    </row>
    <row r="191" spans="1:4" x14ac:dyDescent="0.3">
      <c r="A191" s="40"/>
      <c r="B191" s="1"/>
      <c r="C191" s="1"/>
      <c r="D191" s="39"/>
    </row>
    <row r="192" spans="1:4" x14ac:dyDescent="0.3">
      <c r="A192" s="40"/>
      <c r="B192" s="1"/>
      <c r="C192" s="1"/>
      <c r="D192" s="39"/>
    </row>
    <row r="193" spans="1:4" x14ac:dyDescent="0.3">
      <c r="A193" s="40"/>
      <c r="B193" s="1"/>
      <c r="C193" s="1"/>
      <c r="D193" s="39"/>
    </row>
    <row r="194" spans="1:4" x14ac:dyDescent="0.3">
      <c r="A194" s="40"/>
      <c r="B194" s="1"/>
      <c r="C194" s="1"/>
      <c r="D194" s="39"/>
    </row>
    <row r="195" spans="1:4" x14ac:dyDescent="0.3">
      <c r="A195" s="40"/>
      <c r="B195" s="1"/>
      <c r="C195" s="1"/>
      <c r="D195" s="39"/>
    </row>
    <row r="196" spans="1:4" x14ac:dyDescent="0.3">
      <c r="A196" s="40"/>
      <c r="B196" s="1"/>
      <c r="C196" s="1"/>
      <c r="D196" s="39"/>
    </row>
    <row r="197" spans="1:4" x14ac:dyDescent="0.3">
      <c r="A197" s="40"/>
      <c r="B197" s="1"/>
      <c r="C197" s="1"/>
      <c r="D197" s="39"/>
    </row>
    <row r="198" spans="1:4" x14ac:dyDescent="0.3">
      <c r="A198" s="40"/>
      <c r="B198" s="1"/>
      <c r="C198" s="1"/>
      <c r="D198" s="39"/>
    </row>
    <row r="199" spans="1:4" x14ac:dyDescent="0.3">
      <c r="A199" s="40"/>
      <c r="B199" s="1"/>
      <c r="C199" s="1"/>
      <c r="D199" s="39"/>
    </row>
    <row r="200" spans="1:4" x14ac:dyDescent="0.3">
      <c r="A200" s="40"/>
      <c r="B200" s="1"/>
      <c r="C200" s="1"/>
      <c r="D200" s="39"/>
    </row>
    <row r="201" spans="1:4" x14ac:dyDescent="0.3">
      <c r="A201" s="40"/>
      <c r="B201" s="1"/>
      <c r="C201" s="1"/>
      <c r="D201" s="39"/>
    </row>
    <row r="202" spans="1:4" x14ac:dyDescent="0.3">
      <c r="A202" s="40"/>
      <c r="B202" s="1"/>
      <c r="C202" s="1"/>
      <c r="D202" s="39"/>
    </row>
    <row r="203" spans="1:4" x14ac:dyDescent="0.3">
      <c r="A203" s="40"/>
      <c r="B203" s="1"/>
      <c r="C203" s="1"/>
      <c r="D203" s="39"/>
    </row>
    <row r="204" spans="1:4" x14ac:dyDescent="0.3">
      <c r="A204" s="40"/>
      <c r="B204" s="1"/>
      <c r="C204" s="1"/>
      <c r="D204" s="39"/>
    </row>
    <row r="205" spans="1:4" x14ac:dyDescent="0.3">
      <c r="A205" s="40"/>
      <c r="B205" s="1"/>
      <c r="C205" s="1"/>
      <c r="D205" s="39"/>
    </row>
    <row r="206" spans="1:4" x14ac:dyDescent="0.3">
      <c r="A206" s="40"/>
      <c r="B206" s="1"/>
      <c r="C206" s="1"/>
      <c r="D206" s="39"/>
    </row>
    <row r="207" spans="1:4" x14ac:dyDescent="0.3">
      <c r="A207" s="40"/>
      <c r="B207" s="1"/>
      <c r="C207" s="1"/>
      <c r="D207" s="39"/>
    </row>
    <row r="208" spans="1:4" x14ac:dyDescent="0.3">
      <c r="A208" s="40"/>
      <c r="B208" s="1"/>
      <c r="C208" s="1"/>
      <c r="D208" s="39"/>
    </row>
    <row r="209" spans="1:4" x14ac:dyDescent="0.3">
      <c r="A209" s="40"/>
      <c r="B209" s="1"/>
      <c r="C209" s="1"/>
      <c r="D209" s="39"/>
    </row>
    <row r="210" spans="1:4" x14ac:dyDescent="0.3">
      <c r="A210" s="40"/>
      <c r="B210" s="1"/>
      <c r="C210" s="1"/>
      <c r="D210" s="39"/>
    </row>
    <row r="211" spans="1:4" x14ac:dyDescent="0.3">
      <c r="A211" s="40"/>
      <c r="B211" s="1"/>
      <c r="C211" s="1"/>
      <c r="D211" s="39"/>
    </row>
    <row r="212" spans="1:4" x14ac:dyDescent="0.3">
      <c r="A212" s="40"/>
      <c r="B212" s="1"/>
      <c r="C212" s="1"/>
      <c r="D212" s="39"/>
    </row>
    <row r="213" spans="1:4" x14ac:dyDescent="0.3">
      <c r="A213" s="40"/>
      <c r="B213" s="1"/>
      <c r="C213" s="1"/>
      <c r="D213" s="39"/>
    </row>
    <row r="214" spans="1:4" x14ac:dyDescent="0.3">
      <c r="A214" s="40"/>
      <c r="B214" s="1"/>
      <c r="C214" s="1"/>
      <c r="D214" s="39"/>
    </row>
    <row r="215" spans="1:4" x14ac:dyDescent="0.3">
      <c r="A215" s="40"/>
      <c r="B215" s="1"/>
      <c r="C215" s="1"/>
      <c r="D215" s="39"/>
    </row>
    <row r="216" spans="1:4" x14ac:dyDescent="0.3">
      <c r="A216" s="40"/>
      <c r="B216" s="1"/>
      <c r="C216" s="1"/>
      <c r="D216" s="39"/>
    </row>
    <row r="217" spans="1:4" x14ac:dyDescent="0.3">
      <c r="A217" s="40"/>
      <c r="B217" s="1"/>
      <c r="C217" s="1"/>
      <c r="D217" s="39"/>
    </row>
    <row r="218" spans="1:4" x14ac:dyDescent="0.3">
      <c r="A218" s="40"/>
      <c r="B218" s="1"/>
      <c r="C218" s="1"/>
      <c r="D218" s="39"/>
    </row>
    <row r="219" spans="1:4" x14ac:dyDescent="0.3">
      <c r="A219" s="40"/>
      <c r="B219" s="1"/>
      <c r="C219" s="1"/>
      <c r="D219" s="39"/>
    </row>
    <row r="220" spans="1:4" x14ac:dyDescent="0.3">
      <c r="A220" s="40"/>
      <c r="B220" s="1"/>
      <c r="C220" s="1"/>
      <c r="D220" s="39"/>
    </row>
    <row r="221" spans="1:4" x14ac:dyDescent="0.3">
      <c r="A221" s="40"/>
      <c r="B221" s="1"/>
      <c r="C221" s="1"/>
      <c r="D221" s="39"/>
    </row>
    <row r="222" spans="1:4" x14ac:dyDescent="0.3">
      <c r="A222" s="40"/>
      <c r="B222" s="1"/>
      <c r="C222" s="1"/>
      <c r="D222" s="39"/>
    </row>
    <row r="223" spans="1:4" x14ac:dyDescent="0.3">
      <c r="A223" s="40"/>
      <c r="B223" s="1"/>
      <c r="C223" s="1"/>
      <c r="D223" s="39"/>
    </row>
    <row r="224" spans="1:4" x14ac:dyDescent="0.3">
      <c r="A224" s="40"/>
      <c r="B224" s="1"/>
      <c r="C224" s="1"/>
      <c r="D224" s="39"/>
    </row>
    <row r="225" spans="1:4" x14ac:dyDescent="0.3">
      <c r="A225" s="40"/>
      <c r="B225" s="1"/>
      <c r="C225" s="1"/>
      <c r="D225" s="39"/>
    </row>
    <row r="226" spans="1:4" x14ac:dyDescent="0.3">
      <c r="A226" s="40"/>
      <c r="B226" s="1"/>
      <c r="C226" s="1"/>
      <c r="D226" s="39"/>
    </row>
    <row r="227" spans="1:4" x14ac:dyDescent="0.3">
      <c r="A227" s="40"/>
      <c r="B227" s="1"/>
      <c r="C227" s="1"/>
      <c r="D227" s="39"/>
    </row>
    <row r="228" spans="1:4" x14ac:dyDescent="0.3">
      <c r="A228" s="40"/>
      <c r="B228" s="1"/>
      <c r="C228" s="1"/>
      <c r="D228" s="39"/>
    </row>
    <row r="229" spans="1:4" x14ac:dyDescent="0.3">
      <c r="A229" s="40"/>
      <c r="B229" s="1"/>
      <c r="C229" s="1"/>
      <c r="D229" s="39"/>
    </row>
    <row r="230" spans="1:4" x14ac:dyDescent="0.3">
      <c r="A230" s="40"/>
      <c r="B230" s="1"/>
      <c r="C230" s="1"/>
      <c r="D230" s="39"/>
    </row>
    <row r="231" spans="1:4" x14ac:dyDescent="0.3">
      <c r="A231" s="40"/>
      <c r="B231" s="1"/>
      <c r="C231" s="1"/>
      <c r="D231" s="39"/>
    </row>
    <row r="232" spans="1:4" x14ac:dyDescent="0.3">
      <c r="A232" s="40"/>
      <c r="B232" s="1"/>
      <c r="C232" s="1"/>
      <c r="D232" s="39"/>
    </row>
    <row r="233" spans="1:4" x14ac:dyDescent="0.3">
      <c r="A233" s="40"/>
      <c r="B233" s="1"/>
      <c r="C233" s="1"/>
      <c r="D233" s="39"/>
    </row>
    <row r="234" spans="1:4" x14ac:dyDescent="0.3">
      <c r="A234" s="40"/>
      <c r="B234" s="1"/>
      <c r="C234" s="1"/>
      <c r="D234" s="39"/>
    </row>
    <row r="235" spans="1:4" x14ac:dyDescent="0.3">
      <c r="A235" s="40"/>
      <c r="B235" s="1"/>
      <c r="C235" s="1"/>
      <c r="D235" s="39"/>
    </row>
    <row r="236" spans="1:4" x14ac:dyDescent="0.3">
      <c r="A236" s="40"/>
      <c r="B236" s="1"/>
      <c r="C236" s="1"/>
      <c r="D236" s="39"/>
    </row>
    <row r="237" spans="1:4" x14ac:dyDescent="0.3">
      <c r="A237" s="40"/>
      <c r="B237" s="1"/>
      <c r="C237" s="1"/>
      <c r="D237" s="39"/>
    </row>
    <row r="238" spans="1:4" x14ac:dyDescent="0.3">
      <c r="A238" s="40"/>
      <c r="B238" s="1"/>
      <c r="C238" s="1"/>
      <c r="D238" s="39"/>
    </row>
    <row r="239" spans="1:4" x14ac:dyDescent="0.3">
      <c r="A239" s="40"/>
      <c r="B239" s="1"/>
      <c r="C239" s="1"/>
      <c r="D239" s="39"/>
    </row>
    <row r="240" spans="1:4" x14ac:dyDescent="0.3">
      <c r="A240" s="40"/>
      <c r="B240" s="1"/>
      <c r="C240" s="1"/>
      <c r="D240" s="39"/>
    </row>
    <row r="241" spans="1:4" x14ac:dyDescent="0.3">
      <c r="A241" s="40"/>
      <c r="B241" s="1"/>
      <c r="C241" s="1"/>
      <c r="D241" s="39"/>
    </row>
    <row r="242" spans="1:4" x14ac:dyDescent="0.3">
      <c r="A242" s="40"/>
      <c r="B242" s="1"/>
      <c r="C242" s="1"/>
      <c r="D242" s="39"/>
    </row>
    <row r="243" spans="1:4" x14ac:dyDescent="0.3">
      <c r="A243" s="40"/>
      <c r="B243" s="1"/>
      <c r="C243" s="1"/>
      <c r="D243" s="39"/>
    </row>
    <row r="244" spans="1:4" x14ac:dyDescent="0.3">
      <c r="A244" s="40"/>
      <c r="B244" s="1"/>
      <c r="C244" s="1"/>
      <c r="D244" s="39"/>
    </row>
    <row r="245" spans="1:4" x14ac:dyDescent="0.3">
      <c r="A245" s="40"/>
      <c r="B245" s="1"/>
      <c r="C245" s="1"/>
      <c r="D245" s="39"/>
    </row>
    <row r="246" spans="1:4" x14ac:dyDescent="0.3">
      <c r="A246" s="40"/>
      <c r="B246" s="1"/>
      <c r="C246" s="1"/>
      <c r="D246" s="39"/>
    </row>
    <row r="247" spans="1:4" x14ac:dyDescent="0.3">
      <c r="A247" s="40"/>
      <c r="B247" s="1"/>
      <c r="C247" s="1"/>
      <c r="D247" s="39"/>
    </row>
    <row r="248" spans="1:4" x14ac:dyDescent="0.3">
      <c r="A248" s="40"/>
      <c r="B248" s="1"/>
      <c r="C248" s="1"/>
      <c r="D248" s="39"/>
    </row>
    <row r="249" spans="1:4" x14ac:dyDescent="0.3">
      <c r="A249" s="40"/>
      <c r="B249" s="1"/>
      <c r="C249" s="1"/>
      <c r="D249" s="39"/>
    </row>
    <row r="250" spans="1:4" x14ac:dyDescent="0.3">
      <c r="A250" s="40"/>
      <c r="B250" s="1"/>
      <c r="C250" s="1"/>
      <c r="D250" s="39"/>
    </row>
    <row r="251" spans="1:4" x14ac:dyDescent="0.3">
      <c r="A251" s="40"/>
      <c r="B251" s="1"/>
      <c r="C251" s="1"/>
      <c r="D251" s="39"/>
    </row>
    <row r="252" spans="1:4" x14ac:dyDescent="0.3">
      <c r="A252" s="40"/>
      <c r="B252" s="1"/>
      <c r="C252" s="1"/>
      <c r="D252" s="39"/>
    </row>
    <row r="253" spans="1:4" x14ac:dyDescent="0.3">
      <c r="A253" s="40"/>
      <c r="B253" s="1"/>
      <c r="C253" s="1"/>
      <c r="D253" s="39"/>
    </row>
    <row r="254" spans="1:4" x14ac:dyDescent="0.3">
      <c r="A254" s="40"/>
      <c r="B254" s="1"/>
      <c r="C254" s="1"/>
      <c r="D254" s="39"/>
    </row>
    <row r="255" spans="1:4" x14ac:dyDescent="0.3">
      <c r="A255" s="40"/>
      <c r="B255" s="1"/>
      <c r="C255" s="1"/>
      <c r="D255" s="39"/>
    </row>
    <row r="256" spans="1:4" x14ac:dyDescent="0.3">
      <c r="A256" s="40"/>
      <c r="B256" s="1"/>
      <c r="C256" s="1"/>
      <c r="D256" s="39"/>
    </row>
    <row r="257" spans="1:4" x14ac:dyDescent="0.3">
      <c r="A257" s="40"/>
      <c r="B257" s="1"/>
      <c r="C257" s="1"/>
      <c r="D257" s="39"/>
    </row>
    <row r="258" spans="1:4" x14ac:dyDescent="0.3">
      <c r="A258" s="40"/>
      <c r="B258" s="1"/>
      <c r="C258" s="1"/>
      <c r="D258" s="39"/>
    </row>
    <row r="259" spans="1:4" x14ac:dyDescent="0.3">
      <c r="A259" s="40"/>
      <c r="B259" s="1"/>
      <c r="C259" s="1"/>
      <c r="D259" s="39"/>
    </row>
    <row r="260" spans="1:4" x14ac:dyDescent="0.3">
      <c r="A260" s="40"/>
      <c r="B260" s="1"/>
      <c r="C260" s="1"/>
      <c r="D260" s="39"/>
    </row>
    <row r="261" spans="1:4" x14ac:dyDescent="0.3">
      <c r="A261" s="40"/>
      <c r="B261" s="1"/>
      <c r="C261" s="1"/>
      <c r="D261" s="39"/>
    </row>
    <row r="262" spans="1:4" x14ac:dyDescent="0.3">
      <c r="A262" s="40"/>
      <c r="B262" s="1"/>
      <c r="C262" s="1"/>
      <c r="D262" s="39"/>
    </row>
    <row r="263" spans="1:4" x14ac:dyDescent="0.3">
      <c r="A263" s="40"/>
      <c r="B263" s="1"/>
      <c r="C263" s="1"/>
      <c r="D263" s="39"/>
    </row>
    <row r="264" spans="1:4" x14ac:dyDescent="0.3">
      <c r="A264" s="40"/>
      <c r="B264" s="1"/>
      <c r="C264" s="1"/>
      <c r="D264" s="39"/>
    </row>
    <row r="265" spans="1:4" x14ac:dyDescent="0.3">
      <c r="A265" s="40"/>
      <c r="B265" s="1"/>
      <c r="C265" s="1"/>
      <c r="D265" s="39"/>
    </row>
    <row r="266" spans="1:4" x14ac:dyDescent="0.3">
      <c r="A266" s="40"/>
      <c r="B266" s="1"/>
      <c r="C266" s="1"/>
      <c r="D266" s="39"/>
    </row>
    <row r="267" spans="1:4" x14ac:dyDescent="0.3">
      <c r="A267" s="40"/>
      <c r="B267" s="1"/>
      <c r="C267" s="1"/>
      <c r="D267" s="39"/>
    </row>
    <row r="268" spans="1:4" x14ac:dyDescent="0.3">
      <c r="A268" s="40"/>
      <c r="B268" s="1"/>
      <c r="C268" s="1"/>
      <c r="D268" s="39"/>
    </row>
    <row r="269" spans="1:4" x14ac:dyDescent="0.3">
      <c r="A269" s="40"/>
      <c r="B269" s="1"/>
      <c r="C269" s="1"/>
      <c r="D269" s="39"/>
    </row>
    <row r="270" spans="1:4" x14ac:dyDescent="0.3">
      <c r="A270" s="40"/>
      <c r="B270" s="1"/>
      <c r="C270" s="1"/>
      <c r="D270" s="39"/>
    </row>
    <row r="271" spans="1:4" x14ac:dyDescent="0.3">
      <c r="A271" s="40"/>
      <c r="B271" s="1"/>
      <c r="C271" s="1"/>
      <c r="D271" s="39"/>
    </row>
    <row r="272" spans="1:4" x14ac:dyDescent="0.3">
      <c r="A272" s="40"/>
      <c r="B272" s="1"/>
      <c r="C272" s="1"/>
      <c r="D272" s="39"/>
    </row>
    <row r="273" spans="1:4" x14ac:dyDescent="0.3">
      <c r="A273" s="40"/>
      <c r="B273" s="1"/>
      <c r="C273" s="1"/>
      <c r="D273" s="39"/>
    </row>
    <row r="274" spans="1:4" x14ac:dyDescent="0.3">
      <c r="A274" s="40"/>
      <c r="B274" s="1"/>
      <c r="C274" s="1"/>
      <c r="D274" s="39"/>
    </row>
    <row r="275" spans="1:4" x14ac:dyDescent="0.3">
      <c r="A275" s="40"/>
      <c r="B275" s="1"/>
      <c r="C275" s="1"/>
      <c r="D275" s="39"/>
    </row>
    <row r="276" spans="1:4" x14ac:dyDescent="0.3">
      <c r="A276" s="40"/>
      <c r="B276" s="1"/>
      <c r="C276" s="1"/>
      <c r="D276" s="39"/>
    </row>
    <row r="277" spans="1:4" x14ac:dyDescent="0.3">
      <c r="A277" s="40"/>
      <c r="B277" s="1"/>
      <c r="C277" s="1"/>
      <c r="D277" s="39"/>
    </row>
    <row r="278" spans="1:4" x14ac:dyDescent="0.3">
      <c r="A278" s="40"/>
      <c r="B278" s="1"/>
      <c r="C278" s="1"/>
      <c r="D278" s="39"/>
    </row>
    <row r="279" spans="1:4" x14ac:dyDescent="0.3">
      <c r="A279" s="40"/>
      <c r="B279" s="1"/>
      <c r="C279" s="1"/>
      <c r="D279" s="39"/>
    </row>
    <row r="280" spans="1:4" x14ac:dyDescent="0.3">
      <c r="A280" s="40"/>
      <c r="B280" s="1"/>
      <c r="C280" s="1"/>
      <c r="D280" s="39"/>
    </row>
    <row r="281" spans="1:4" x14ac:dyDescent="0.3">
      <c r="A281" s="40"/>
      <c r="B281" s="1"/>
      <c r="C281" s="1"/>
      <c r="D281" s="39"/>
    </row>
    <row r="282" spans="1:4" x14ac:dyDescent="0.3">
      <c r="A282" s="40"/>
      <c r="B282" s="1"/>
      <c r="C282" s="1"/>
      <c r="D282" s="39"/>
    </row>
    <row r="283" spans="1:4" x14ac:dyDescent="0.3">
      <c r="A283" s="40"/>
      <c r="B283" s="1"/>
      <c r="C283" s="1"/>
      <c r="D283" s="39"/>
    </row>
    <row r="284" spans="1:4" x14ac:dyDescent="0.3">
      <c r="A284" s="40"/>
      <c r="B284" s="1"/>
      <c r="C284" s="1"/>
      <c r="D284" s="39"/>
    </row>
    <row r="285" spans="1:4" x14ac:dyDescent="0.3">
      <c r="A285" s="40"/>
      <c r="B285" s="1"/>
      <c r="C285" s="1"/>
      <c r="D285" s="39"/>
    </row>
    <row r="286" spans="1:4" x14ac:dyDescent="0.3">
      <c r="A286" s="40"/>
      <c r="B286" s="1"/>
      <c r="C286" s="1"/>
      <c r="D286" s="39"/>
    </row>
    <row r="287" spans="1:4" x14ac:dyDescent="0.3">
      <c r="A287" s="40"/>
      <c r="B287" s="1"/>
      <c r="C287" s="1"/>
      <c r="D287" s="39"/>
    </row>
    <row r="288" spans="1:4" x14ac:dyDescent="0.3">
      <c r="A288" s="40"/>
      <c r="B288" s="1"/>
      <c r="C288" s="1"/>
      <c r="D288" s="39"/>
    </row>
    <row r="289" spans="1:4" x14ac:dyDescent="0.3">
      <c r="A289" s="40"/>
      <c r="B289" s="1"/>
      <c r="C289" s="1"/>
      <c r="D289" s="39"/>
    </row>
    <row r="290" spans="1:4" x14ac:dyDescent="0.3">
      <c r="A290" s="40"/>
      <c r="B290" s="1"/>
      <c r="C290" s="1"/>
      <c r="D290" s="39"/>
    </row>
    <row r="291" spans="1:4" x14ac:dyDescent="0.3">
      <c r="A291" s="40"/>
      <c r="B291" s="1"/>
      <c r="C291" s="1"/>
      <c r="D291" s="39"/>
    </row>
    <row r="292" spans="1:4" x14ac:dyDescent="0.3">
      <c r="A292" s="40"/>
      <c r="B292" s="1"/>
      <c r="C292" s="1"/>
      <c r="D292" s="39"/>
    </row>
    <row r="293" spans="1:4" x14ac:dyDescent="0.3">
      <c r="A293" s="40"/>
      <c r="B293" s="1"/>
      <c r="C293" s="1"/>
      <c r="D293" s="39"/>
    </row>
    <row r="294" spans="1:4" x14ac:dyDescent="0.3">
      <c r="A294" s="40"/>
      <c r="B294" s="1"/>
      <c r="C294" s="1"/>
      <c r="D294" s="39"/>
    </row>
    <row r="295" spans="1:4" x14ac:dyDescent="0.3">
      <c r="A295" s="40"/>
      <c r="B295" s="1"/>
      <c r="C295" s="1"/>
      <c r="D295" s="39"/>
    </row>
    <row r="296" spans="1:4" x14ac:dyDescent="0.3">
      <c r="A296" s="40"/>
      <c r="B296" s="1"/>
      <c r="C296" s="1"/>
      <c r="D296" s="39"/>
    </row>
    <row r="297" spans="1:4" x14ac:dyDescent="0.3">
      <c r="A297" s="40"/>
      <c r="B297" s="1"/>
      <c r="C297" s="1"/>
      <c r="D297" s="39"/>
    </row>
    <row r="298" spans="1:4" x14ac:dyDescent="0.3">
      <c r="A298" s="40"/>
      <c r="B298" s="1"/>
      <c r="C298" s="1"/>
      <c r="D298" s="39"/>
    </row>
    <row r="299" spans="1:4" x14ac:dyDescent="0.3">
      <c r="A299" s="40"/>
      <c r="B299" s="1"/>
      <c r="C299" s="1"/>
      <c r="D299" s="39"/>
    </row>
    <row r="300" spans="1:4" x14ac:dyDescent="0.3">
      <c r="A300" s="40"/>
      <c r="B300" s="1"/>
      <c r="C300" s="1"/>
      <c r="D300" s="39"/>
    </row>
    <row r="301" spans="1:4" x14ac:dyDescent="0.3">
      <c r="A301" s="40"/>
      <c r="B301" s="1"/>
      <c r="C301" s="1"/>
      <c r="D301" s="39"/>
    </row>
    <row r="302" spans="1:4" x14ac:dyDescent="0.3">
      <c r="A302" s="40"/>
      <c r="B302" s="1"/>
      <c r="C302" s="1"/>
      <c r="D302" s="39"/>
    </row>
    <row r="303" spans="1:4" x14ac:dyDescent="0.3">
      <c r="A303" s="40"/>
      <c r="B303" s="1"/>
      <c r="C303" s="1"/>
      <c r="D303" s="39"/>
    </row>
    <row r="304" spans="1:4" x14ac:dyDescent="0.3">
      <c r="A304" s="40"/>
      <c r="B304" s="1"/>
      <c r="C304" s="1"/>
      <c r="D304" s="39"/>
    </row>
    <row r="305" spans="1:4" x14ac:dyDescent="0.3">
      <c r="A305" s="40"/>
      <c r="B305" s="1"/>
      <c r="C305" s="1"/>
      <c r="D305" s="39"/>
    </row>
    <row r="306" spans="1:4" x14ac:dyDescent="0.3">
      <c r="A306" s="40"/>
      <c r="B306" s="1"/>
      <c r="C306" s="1"/>
      <c r="D306" s="39"/>
    </row>
    <row r="307" spans="1:4" x14ac:dyDescent="0.3">
      <c r="A307" s="40"/>
      <c r="B307" s="1"/>
      <c r="C307" s="1"/>
      <c r="D307" s="39"/>
    </row>
    <row r="308" spans="1:4" x14ac:dyDescent="0.3">
      <c r="A308" s="40"/>
      <c r="B308" s="1"/>
      <c r="C308" s="1"/>
      <c r="D308" s="39"/>
    </row>
    <row r="309" spans="1:4" x14ac:dyDescent="0.3">
      <c r="A309" s="40"/>
      <c r="B309" s="1"/>
      <c r="C309" s="1"/>
      <c r="D309" s="39"/>
    </row>
    <row r="310" spans="1:4" x14ac:dyDescent="0.3">
      <c r="A310" s="40"/>
      <c r="B310" s="1"/>
      <c r="C310" s="1"/>
      <c r="D310" s="39"/>
    </row>
    <row r="311" spans="1:4" x14ac:dyDescent="0.3">
      <c r="A311" s="40"/>
      <c r="B311" s="1"/>
      <c r="C311" s="1"/>
      <c r="D311" s="39"/>
    </row>
    <row r="312" spans="1:4" x14ac:dyDescent="0.3">
      <c r="A312" s="40"/>
      <c r="B312" s="1"/>
      <c r="C312" s="1"/>
      <c r="D312" s="39"/>
    </row>
    <row r="313" spans="1:4" x14ac:dyDescent="0.3">
      <c r="A313" s="40"/>
      <c r="B313" s="1"/>
      <c r="C313" s="1"/>
      <c r="D313" s="39"/>
    </row>
    <row r="314" spans="1:4" x14ac:dyDescent="0.3">
      <c r="A314" s="40"/>
      <c r="B314" s="1"/>
      <c r="C314" s="1"/>
      <c r="D314" s="39"/>
    </row>
    <row r="315" spans="1:4" x14ac:dyDescent="0.3">
      <c r="A315" s="40"/>
      <c r="B315" s="1"/>
      <c r="C315" s="1"/>
      <c r="D315" s="39"/>
    </row>
    <row r="316" spans="1:4" x14ac:dyDescent="0.3">
      <c r="A316" s="40"/>
      <c r="B316" s="1"/>
      <c r="C316" s="1"/>
      <c r="D316" s="39"/>
    </row>
    <row r="317" spans="1:4" x14ac:dyDescent="0.3">
      <c r="A317" s="40"/>
      <c r="B317" s="1"/>
      <c r="C317" s="1"/>
      <c r="D317" s="39"/>
    </row>
    <row r="318" spans="1:4" x14ac:dyDescent="0.3">
      <c r="A318" s="40"/>
      <c r="B318" s="1"/>
      <c r="C318" s="1"/>
      <c r="D318" s="39"/>
    </row>
    <row r="319" spans="1:4" x14ac:dyDescent="0.3">
      <c r="A319" s="40"/>
      <c r="B319" s="1"/>
      <c r="C319" s="1"/>
      <c r="D319" s="39"/>
    </row>
    <row r="320" spans="1:4" x14ac:dyDescent="0.3">
      <c r="A320" s="40"/>
      <c r="B320" s="1"/>
      <c r="C320" s="1"/>
      <c r="D320" s="39"/>
    </row>
    <row r="321" spans="1:4" x14ac:dyDescent="0.3">
      <c r="A321" s="40"/>
      <c r="B321" s="1"/>
      <c r="C321" s="1"/>
      <c r="D321" s="39"/>
    </row>
    <row r="322" spans="1:4" x14ac:dyDescent="0.3">
      <c r="A322" s="40"/>
      <c r="B322" s="1"/>
      <c r="C322" s="1"/>
      <c r="D322" s="39"/>
    </row>
    <row r="323" spans="1:4" x14ac:dyDescent="0.3">
      <c r="A323" s="40"/>
      <c r="B323" s="1"/>
      <c r="C323" s="1"/>
      <c r="D323" s="39"/>
    </row>
    <row r="324" spans="1:4" x14ac:dyDescent="0.3">
      <c r="A324" s="40"/>
      <c r="B324" s="1"/>
      <c r="C324" s="1"/>
      <c r="D324" s="39"/>
    </row>
    <row r="325" spans="1:4" x14ac:dyDescent="0.3">
      <c r="A325" s="40"/>
      <c r="B325" s="1"/>
      <c r="C325" s="1"/>
      <c r="D325" s="39"/>
    </row>
    <row r="326" spans="1:4" x14ac:dyDescent="0.3">
      <c r="A326" s="40"/>
      <c r="B326" s="1"/>
      <c r="C326" s="1"/>
      <c r="D326" s="39"/>
    </row>
    <row r="327" spans="1:4" x14ac:dyDescent="0.3">
      <c r="A327" s="40"/>
      <c r="B327" s="1"/>
      <c r="C327" s="1"/>
      <c r="D327" s="39"/>
    </row>
    <row r="328" spans="1:4" x14ac:dyDescent="0.3">
      <c r="A328" s="40"/>
      <c r="B328" s="1"/>
      <c r="C328" s="1"/>
      <c r="D328" s="39"/>
    </row>
    <row r="329" spans="1:4" x14ac:dyDescent="0.3">
      <c r="A329" s="40"/>
      <c r="B329" s="1"/>
      <c r="C329" s="1"/>
      <c r="D329" s="39"/>
    </row>
    <row r="330" spans="1:4" x14ac:dyDescent="0.3">
      <c r="A330" s="40"/>
      <c r="B330" s="1"/>
      <c r="C330" s="1"/>
      <c r="D330" s="39"/>
    </row>
    <row r="331" spans="1:4" x14ac:dyDescent="0.3">
      <c r="A331" s="40"/>
      <c r="B331" s="1"/>
      <c r="C331" s="1"/>
      <c r="D331" s="39"/>
    </row>
    <row r="332" spans="1:4" x14ac:dyDescent="0.3">
      <c r="A332" s="40"/>
      <c r="B332" s="1"/>
      <c r="C332" s="1"/>
      <c r="D332" s="39"/>
    </row>
    <row r="333" spans="1:4" x14ac:dyDescent="0.3">
      <c r="A333" s="40"/>
      <c r="B333" s="1"/>
      <c r="C333" s="1"/>
      <c r="D333" s="39"/>
    </row>
    <row r="334" spans="1:4" x14ac:dyDescent="0.3">
      <c r="A334" s="40"/>
      <c r="B334" s="1"/>
      <c r="C334" s="1"/>
      <c r="D334" s="39"/>
    </row>
    <row r="335" spans="1:4" x14ac:dyDescent="0.3">
      <c r="A335" s="40"/>
      <c r="B335" s="1"/>
      <c r="C335" s="1"/>
      <c r="D335" s="39"/>
    </row>
    <row r="336" spans="1:4" x14ac:dyDescent="0.3">
      <c r="A336" s="40"/>
      <c r="B336" s="1"/>
      <c r="C336" s="1"/>
      <c r="D336" s="39"/>
    </row>
    <row r="337" spans="1:4" x14ac:dyDescent="0.3">
      <c r="A337" s="40"/>
      <c r="B337" s="1"/>
      <c r="C337" s="1"/>
      <c r="D337" s="39"/>
    </row>
    <row r="338" spans="1:4" x14ac:dyDescent="0.3">
      <c r="A338" s="40"/>
      <c r="B338" s="1"/>
      <c r="C338" s="1"/>
      <c r="D338" s="39"/>
    </row>
    <row r="339" spans="1:4" x14ac:dyDescent="0.3">
      <c r="A339" s="40"/>
      <c r="B339" s="1"/>
      <c r="C339" s="1"/>
      <c r="D339" s="39"/>
    </row>
    <row r="340" spans="1:4" x14ac:dyDescent="0.3">
      <c r="A340" s="40"/>
      <c r="B340" s="1"/>
      <c r="C340" s="1"/>
      <c r="D340" s="39"/>
    </row>
    <row r="341" spans="1:4" x14ac:dyDescent="0.3">
      <c r="A341" s="40"/>
      <c r="B341" s="1"/>
      <c r="C341" s="1"/>
      <c r="D341" s="39"/>
    </row>
    <row r="342" spans="1:4" x14ac:dyDescent="0.3">
      <c r="A342" s="40"/>
      <c r="B342" s="1"/>
      <c r="C342" s="1"/>
      <c r="D342" s="39"/>
    </row>
    <row r="343" spans="1:4" x14ac:dyDescent="0.3">
      <c r="A343" s="40"/>
      <c r="B343" s="1"/>
      <c r="C343" s="1"/>
      <c r="D343" s="39"/>
    </row>
    <row r="344" spans="1:4" x14ac:dyDescent="0.3">
      <c r="A344" s="40"/>
      <c r="B344" s="1"/>
      <c r="C344" s="1"/>
      <c r="D344" s="39"/>
    </row>
    <row r="345" spans="1:4" x14ac:dyDescent="0.3">
      <c r="A345" s="40"/>
      <c r="B345" s="1"/>
      <c r="C345" s="1"/>
      <c r="D345" s="39"/>
    </row>
    <row r="346" spans="1:4" x14ac:dyDescent="0.3">
      <c r="A346" s="40"/>
      <c r="B346" s="1"/>
      <c r="C346" s="1"/>
      <c r="D346" s="39"/>
    </row>
    <row r="347" spans="1:4" x14ac:dyDescent="0.3">
      <c r="A347" s="40"/>
      <c r="B347" s="1"/>
      <c r="C347" s="1"/>
      <c r="D347" s="39"/>
    </row>
    <row r="348" spans="1:4" x14ac:dyDescent="0.3">
      <c r="A348" s="40"/>
      <c r="B348" s="1"/>
      <c r="C348" s="1"/>
      <c r="D348" s="39"/>
    </row>
    <row r="349" spans="1:4" x14ac:dyDescent="0.3">
      <c r="A349" s="40"/>
      <c r="B349" s="1"/>
      <c r="C349" s="1"/>
      <c r="D349" s="39"/>
    </row>
    <row r="350" spans="1:4" x14ac:dyDescent="0.3">
      <c r="A350" s="40"/>
      <c r="B350" s="1"/>
      <c r="C350" s="1"/>
      <c r="D350" s="39"/>
    </row>
    <row r="351" spans="1:4" x14ac:dyDescent="0.3">
      <c r="A351" s="40"/>
      <c r="B351" s="1"/>
      <c r="C351" s="1"/>
      <c r="D351" s="39"/>
    </row>
    <row r="352" spans="1:4" x14ac:dyDescent="0.3">
      <c r="A352" s="40"/>
      <c r="B352" s="1"/>
      <c r="C352" s="1"/>
      <c r="D352" s="39"/>
    </row>
    <row r="353" spans="1:4" x14ac:dyDescent="0.3">
      <c r="A353" s="40"/>
      <c r="B353" s="1"/>
      <c r="C353" s="1"/>
      <c r="D353" s="39"/>
    </row>
    <row r="354" spans="1:4" x14ac:dyDescent="0.3">
      <c r="A354" s="40"/>
      <c r="B354" s="1"/>
      <c r="C354" s="1"/>
      <c r="D354" s="39"/>
    </row>
    <row r="355" spans="1:4" x14ac:dyDescent="0.3">
      <c r="A355" s="40"/>
      <c r="B355" s="1"/>
      <c r="C355" s="1"/>
      <c r="D355" s="39"/>
    </row>
    <row r="356" spans="1:4" x14ac:dyDescent="0.3">
      <c r="A356" s="40"/>
      <c r="B356" s="1"/>
      <c r="C356" s="1"/>
      <c r="D356" s="39"/>
    </row>
    <row r="357" spans="1:4" x14ac:dyDescent="0.3">
      <c r="A357" s="40"/>
      <c r="B357" s="1"/>
      <c r="C357" s="1"/>
      <c r="D357" s="39"/>
    </row>
    <row r="358" spans="1:4" x14ac:dyDescent="0.3">
      <c r="A358" s="40"/>
      <c r="B358" s="1"/>
      <c r="C358" s="1"/>
      <c r="D358" s="39"/>
    </row>
    <row r="359" spans="1:4" x14ac:dyDescent="0.3">
      <c r="A359" s="40"/>
      <c r="B359" s="1"/>
      <c r="C359" s="1"/>
      <c r="D359" s="39"/>
    </row>
    <row r="360" spans="1:4" x14ac:dyDescent="0.3">
      <c r="A360" s="40"/>
      <c r="B360" s="1"/>
      <c r="C360" s="1"/>
      <c r="D360" s="39"/>
    </row>
    <row r="361" spans="1:4" x14ac:dyDescent="0.3">
      <c r="A361" s="40"/>
      <c r="B361" s="1"/>
      <c r="C361" s="1"/>
      <c r="D361" s="39"/>
    </row>
    <row r="362" spans="1:4" x14ac:dyDescent="0.3">
      <c r="A362" s="40"/>
      <c r="B362" s="1"/>
      <c r="C362" s="1"/>
      <c r="D362" s="39"/>
    </row>
    <row r="363" spans="1:4" x14ac:dyDescent="0.3">
      <c r="A363" s="40"/>
      <c r="B363" s="1"/>
      <c r="C363" s="1"/>
      <c r="D363" s="39"/>
    </row>
    <row r="364" spans="1:4" x14ac:dyDescent="0.3">
      <c r="A364" s="40"/>
      <c r="B364" s="1"/>
      <c r="C364" s="1"/>
      <c r="D364" s="39"/>
    </row>
    <row r="365" spans="1:4" x14ac:dyDescent="0.3">
      <c r="A365" s="40"/>
      <c r="B365" s="1"/>
      <c r="C365" s="1"/>
      <c r="D365" s="39"/>
    </row>
    <row r="366" spans="1:4" x14ac:dyDescent="0.3">
      <c r="A366" s="40"/>
      <c r="B366" s="1"/>
      <c r="C366" s="1"/>
      <c r="D366" s="39"/>
    </row>
    <row r="367" spans="1:4" x14ac:dyDescent="0.3">
      <c r="A367" s="40"/>
      <c r="B367" s="1"/>
      <c r="C367" s="1"/>
      <c r="D367" s="39"/>
    </row>
    <row r="368" spans="1:4" x14ac:dyDescent="0.3">
      <c r="A368" s="40"/>
      <c r="B368" s="1"/>
      <c r="C368" s="1"/>
      <c r="D368" s="39"/>
    </row>
    <row r="369" spans="1:4" x14ac:dyDescent="0.3">
      <c r="A369" s="40"/>
      <c r="B369" s="1"/>
      <c r="C369" s="1"/>
      <c r="D369" s="39"/>
    </row>
    <row r="370" spans="1:4" x14ac:dyDescent="0.3">
      <c r="A370" s="40"/>
      <c r="B370" s="1"/>
      <c r="C370" s="1"/>
      <c r="D370" s="39"/>
    </row>
    <row r="371" spans="1:4" x14ac:dyDescent="0.3">
      <c r="A371" s="40"/>
      <c r="B371" s="1"/>
      <c r="C371" s="1"/>
      <c r="D371" s="39"/>
    </row>
    <row r="372" spans="1:4" x14ac:dyDescent="0.3">
      <c r="A372" s="40"/>
      <c r="B372" s="1"/>
      <c r="C372" s="1"/>
      <c r="D372" s="39"/>
    </row>
    <row r="373" spans="1:4" x14ac:dyDescent="0.3">
      <c r="A373" s="40"/>
      <c r="B373" s="1"/>
      <c r="C373" s="1"/>
      <c r="D373" s="39"/>
    </row>
    <row r="374" spans="1:4" x14ac:dyDescent="0.3">
      <c r="A374" s="40"/>
      <c r="B374" s="1"/>
      <c r="C374" s="1"/>
      <c r="D374" s="39"/>
    </row>
    <row r="375" spans="1:4" x14ac:dyDescent="0.3">
      <c r="A375" s="40"/>
      <c r="B375" s="1"/>
      <c r="C375" s="1"/>
      <c r="D375" s="39"/>
    </row>
    <row r="376" spans="1:4" x14ac:dyDescent="0.3">
      <c r="A376" s="40"/>
      <c r="B376" s="1"/>
      <c r="C376" s="1"/>
      <c r="D376" s="39"/>
    </row>
    <row r="377" spans="1:4" x14ac:dyDescent="0.3">
      <c r="A377" s="40"/>
      <c r="B377" s="1"/>
      <c r="C377" s="1"/>
      <c r="D377" s="39"/>
    </row>
    <row r="378" spans="1:4" x14ac:dyDescent="0.3">
      <c r="A378" s="40"/>
      <c r="B378" s="1"/>
      <c r="C378" s="1"/>
      <c r="D378" s="39"/>
    </row>
    <row r="379" spans="1:4" x14ac:dyDescent="0.3">
      <c r="A379" s="40"/>
      <c r="B379" s="1"/>
      <c r="C379" s="1"/>
      <c r="D379" s="39"/>
    </row>
    <row r="380" spans="1:4" x14ac:dyDescent="0.3">
      <c r="A380" s="40"/>
      <c r="B380" s="1"/>
      <c r="C380" s="1"/>
      <c r="D380" s="39"/>
    </row>
    <row r="381" spans="1:4" x14ac:dyDescent="0.3">
      <c r="A381" s="40"/>
      <c r="B381" s="1"/>
      <c r="C381" s="1"/>
      <c r="D381" s="39"/>
    </row>
    <row r="382" spans="1:4" x14ac:dyDescent="0.3">
      <c r="A382" s="40"/>
      <c r="B382" s="1"/>
      <c r="C382" s="1"/>
      <c r="D382" s="39"/>
    </row>
    <row r="383" spans="1:4" x14ac:dyDescent="0.3">
      <c r="A383" s="40"/>
      <c r="B383" s="1"/>
      <c r="C383" s="1"/>
      <c r="D383" s="39"/>
    </row>
    <row r="384" spans="1:4" x14ac:dyDescent="0.3">
      <c r="A384" s="40"/>
      <c r="B384" s="1"/>
      <c r="C384" s="1"/>
      <c r="D384" s="39"/>
    </row>
    <row r="385" spans="1:4" x14ac:dyDescent="0.3">
      <c r="A385" s="40"/>
      <c r="B385" s="1"/>
      <c r="C385" s="1"/>
      <c r="D385" s="39"/>
    </row>
    <row r="386" spans="1:4" x14ac:dyDescent="0.3">
      <c r="A386" s="40"/>
      <c r="B386" s="1"/>
      <c r="C386" s="1"/>
      <c r="D386" s="39"/>
    </row>
    <row r="387" spans="1:4" x14ac:dyDescent="0.3">
      <c r="A387" s="40"/>
      <c r="B387" s="1"/>
      <c r="C387" s="1"/>
      <c r="D387" s="39"/>
    </row>
    <row r="388" spans="1:4" x14ac:dyDescent="0.3">
      <c r="A388" s="40"/>
      <c r="B388" s="1"/>
      <c r="C388" s="1"/>
      <c r="D388" s="39"/>
    </row>
    <row r="389" spans="1:4" x14ac:dyDescent="0.3">
      <c r="A389" s="40"/>
      <c r="B389" s="1"/>
      <c r="C389" s="1"/>
      <c r="D389" s="39"/>
    </row>
    <row r="390" spans="1:4" x14ac:dyDescent="0.3">
      <c r="A390" s="40"/>
      <c r="B390" s="1"/>
      <c r="C390" s="1"/>
      <c r="D390" s="39"/>
    </row>
    <row r="391" spans="1:4" x14ac:dyDescent="0.3">
      <c r="A391" s="40"/>
      <c r="B391" s="1"/>
      <c r="C391" s="1"/>
      <c r="D391" s="39"/>
    </row>
    <row r="392" spans="1:4" x14ac:dyDescent="0.3">
      <c r="A392" s="40"/>
      <c r="B392" s="1"/>
      <c r="C392" s="1"/>
      <c r="D392" s="39"/>
    </row>
    <row r="393" spans="1:4" x14ac:dyDescent="0.3">
      <c r="A393" s="40"/>
      <c r="B393" s="1"/>
      <c r="C393" s="1"/>
      <c r="D393" s="39"/>
    </row>
    <row r="394" spans="1:4" x14ac:dyDescent="0.3">
      <c r="A394" s="40"/>
      <c r="B394" s="1"/>
      <c r="C394" s="1"/>
      <c r="D394" s="39"/>
    </row>
    <row r="395" spans="1:4" x14ac:dyDescent="0.3">
      <c r="A395" s="40"/>
      <c r="B395" s="1"/>
      <c r="C395" s="1"/>
      <c r="D395" s="39"/>
    </row>
    <row r="396" spans="1:4" x14ac:dyDescent="0.3">
      <c r="A396" s="40"/>
      <c r="B396" s="1"/>
      <c r="C396" s="1"/>
      <c r="D396" s="39"/>
    </row>
    <row r="397" spans="1:4" x14ac:dyDescent="0.3">
      <c r="A397" s="40"/>
      <c r="B397" s="1"/>
      <c r="C397" s="1"/>
      <c r="D397" s="39"/>
    </row>
    <row r="398" spans="1:4" x14ac:dyDescent="0.3">
      <c r="A398" s="40"/>
      <c r="B398" s="1"/>
      <c r="C398" s="1"/>
      <c r="D398" s="39"/>
    </row>
    <row r="399" spans="1:4" x14ac:dyDescent="0.3">
      <c r="A399" s="40"/>
      <c r="B399" s="1"/>
      <c r="C399" s="1"/>
      <c r="D399" s="39"/>
    </row>
    <row r="400" spans="1:4" x14ac:dyDescent="0.3">
      <c r="A400" s="40"/>
      <c r="B400" s="1"/>
      <c r="C400" s="1"/>
      <c r="D400" s="39"/>
    </row>
    <row r="401" spans="1:4" x14ac:dyDescent="0.3">
      <c r="A401" s="40"/>
      <c r="B401" s="1"/>
      <c r="C401" s="1"/>
      <c r="D401" s="39"/>
    </row>
    <row r="402" spans="1:4" x14ac:dyDescent="0.3">
      <c r="A402" s="40"/>
      <c r="B402" s="1"/>
      <c r="C402" s="1"/>
      <c r="D402" s="39"/>
    </row>
    <row r="403" spans="1:4" x14ac:dyDescent="0.3">
      <c r="A403" s="40"/>
      <c r="B403" s="1"/>
      <c r="C403" s="1"/>
      <c r="D403" s="39"/>
    </row>
    <row r="404" spans="1:4" x14ac:dyDescent="0.3">
      <c r="A404" s="40"/>
      <c r="B404" s="1"/>
      <c r="C404" s="1"/>
      <c r="D404" s="39"/>
    </row>
    <row r="405" spans="1:4" x14ac:dyDescent="0.3">
      <c r="A405" s="40"/>
      <c r="B405" s="1"/>
      <c r="C405" s="1"/>
      <c r="D405" s="39"/>
    </row>
    <row r="406" spans="1:4" x14ac:dyDescent="0.3">
      <c r="A406" s="40"/>
      <c r="B406" s="1"/>
      <c r="C406" s="1"/>
      <c r="D406" s="39"/>
    </row>
    <row r="407" spans="1:4" x14ac:dyDescent="0.3">
      <c r="A407" s="40"/>
      <c r="B407" s="1"/>
      <c r="C407" s="1"/>
      <c r="D407" s="39"/>
    </row>
    <row r="408" spans="1:4" x14ac:dyDescent="0.3">
      <c r="A408" s="40"/>
      <c r="B408" s="1"/>
      <c r="C408" s="1"/>
      <c r="D408" s="39"/>
    </row>
    <row r="409" spans="1:4" x14ac:dyDescent="0.3">
      <c r="A409" s="40"/>
      <c r="B409" s="1"/>
      <c r="C409" s="1"/>
      <c r="D409" s="39"/>
    </row>
    <row r="410" spans="1:4" x14ac:dyDescent="0.3">
      <c r="A410" s="40"/>
      <c r="B410" s="1"/>
      <c r="C410" s="1"/>
      <c r="D410" s="39"/>
    </row>
    <row r="411" spans="1:4" x14ac:dyDescent="0.3">
      <c r="A411" s="40"/>
      <c r="B411" s="1"/>
      <c r="C411" s="1"/>
      <c r="D411" s="39"/>
    </row>
    <row r="412" spans="1:4" x14ac:dyDescent="0.3">
      <c r="A412" s="40"/>
      <c r="B412" s="1"/>
      <c r="C412" s="1"/>
      <c r="D412" s="39"/>
    </row>
    <row r="413" spans="1:4" x14ac:dyDescent="0.3">
      <c r="A413" s="40"/>
      <c r="B413" s="1"/>
      <c r="C413" s="1"/>
      <c r="D413" s="39"/>
    </row>
    <row r="414" spans="1:4" x14ac:dyDescent="0.3">
      <c r="A414" s="40"/>
      <c r="B414" s="1"/>
      <c r="C414" s="1"/>
      <c r="D414" s="39"/>
    </row>
    <row r="415" spans="1:4" x14ac:dyDescent="0.3">
      <c r="A415" s="40"/>
      <c r="B415" s="1"/>
      <c r="C415" s="1"/>
      <c r="D415" s="39"/>
    </row>
    <row r="416" spans="1:4" x14ac:dyDescent="0.3">
      <c r="A416" s="40"/>
      <c r="B416" s="1"/>
      <c r="C416" s="1"/>
      <c r="D416" s="39"/>
    </row>
    <row r="417" spans="1:4" x14ac:dyDescent="0.3">
      <c r="A417" s="40"/>
      <c r="B417" s="1"/>
      <c r="C417" s="1"/>
      <c r="D417" s="39"/>
    </row>
    <row r="418" spans="1:4" x14ac:dyDescent="0.3">
      <c r="A418" s="40"/>
      <c r="B418" s="1"/>
      <c r="C418" s="1"/>
      <c r="D418" s="39"/>
    </row>
    <row r="419" spans="1:4" x14ac:dyDescent="0.3">
      <c r="A419" s="40"/>
      <c r="B419" s="1"/>
      <c r="C419" s="1"/>
      <c r="D419" s="39"/>
    </row>
    <row r="420" spans="1:4" x14ac:dyDescent="0.3">
      <c r="A420" s="40"/>
      <c r="B420" s="1"/>
      <c r="C420" s="1"/>
      <c r="D420" s="39"/>
    </row>
    <row r="421" spans="1:4" x14ac:dyDescent="0.3">
      <c r="A421" s="40"/>
      <c r="B421" s="1"/>
      <c r="C421" s="1"/>
      <c r="D421" s="39"/>
    </row>
    <row r="422" spans="1:4" x14ac:dyDescent="0.3">
      <c r="A422" s="40"/>
      <c r="B422" s="1"/>
      <c r="C422" s="1"/>
      <c r="D422" s="39"/>
    </row>
    <row r="423" spans="1:4" x14ac:dyDescent="0.3">
      <c r="A423" s="40"/>
      <c r="B423" s="1"/>
      <c r="C423" s="1"/>
      <c r="D423" s="39"/>
    </row>
    <row r="424" spans="1:4" x14ac:dyDescent="0.3">
      <c r="A424" s="40"/>
      <c r="B424" s="1"/>
      <c r="C424" s="1"/>
      <c r="D424" s="39"/>
    </row>
    <row r="425" spans="1:4" x14ac:dyDescent="0.3">
      <c r="A425" s="40"/>
      <c r="B425" s="1"/>
      <c r="C425" s="1"/>
      <c r="D425" s="39"/>
    </row>
    <row r="426" spans="1:4" x14ac:dyDescent="0.3">
      <c r="A426" s="40"/>
      <c r="B426" s="1"/>
      <c r="C426" s="1"/>
      <c r="D426" s="39"/>
    </row>
    <row r="427" spans="1:4" x14ac:dyDescent="0.3">
      <c r="A427" s="40"/>
      <c r="B427" s="1"/>
      <c r="C427" s="1"/>
      <c r="D427" s="39"/>
    </row>
    <row r="428" spans="1:4" x14ac:dyDescent="0.3">
      <c r="A428" s="40"/>
      <c r="B428" s="1"/>
      <c r="C428" s="1"/>
      <c r="D428" s="39"/>
    </row>
    <row r="429" spans="1:4" x14ac:dyDescent="0.3">
      <c r="A429" s="40"/>
      <c r="B429" s="1"/>
      <c r="C429" s="1"/>
      <c r="D429" s="39"/>
    </row>
    <row r="430" spans="1:4" x14ac:dyDescent="0.3">
      <c r="A430" s="40"/>
      <c r="B430" s="1"/>
      <c r="C430" s="1"/>
      <c r="D430" s="39"/>
    </row>
    <row r="431" spans="1:4" x14ac:dyDescent="0.3">
      <c r="A431" s="40"/>
      <c r="B431" s="1"/>
      <c r="C431" s="1"/>
      <c r="D431" s="39"/>
    </row>
    <row r="432" spans="1:4" x14ac:dyDescent="0.3">
      <c r="A432" s="40"/>
      <c r="B432" s="1"/>
      <c r="C432" s="1"/>
      <c r="D432" s="39"/>
    </row>
    <row r="433" spans="1:4" x14ac:dyDescent="0.3">
      <c r="A433" s="40"/>
      <c r="B433" s="1"/>
      <c r="C433" s="1"/>
      <c r="D433" s="39"/>
    </row>
    <row r="434" spans="1:4" x14ac:dyDescent="0.3">
      <c r="A434" s="40"/>
      <c r="B434" s="1"/>
      <c r="C434" s="1"/>
      <c r="D434" s="39"/>
    </row>
    <row r="435" spans="1:4" x14ac:dyDescent="0.3">
      <c r="A435" s="40"/>
      <c r="B435" s="1"/>
      <c r="C435" s="1"/>
      <c r="D435" s="39"/>
    </row>
    <row r="436" spans="1:4" x14ac:dyDescent="0.3">
      <c r="A436" s="40"/>
      <c r="B436" s="1"/>
      <c r="C436" s="1"/>
      <c r="D436" s="39"/>
    </row>
    <row r="437" spans="1:4" x14ac:dyDescent="0.3">
      <c r="A437" s="40"/>
      <c r="B437" s="1"/>
      <c r="C437" s="1"/>
      <c r="D437" s="39"/>
    </row>
    <row r="438" spans="1:4" x14ac:dyDescent="0.3">
      <c r="A438" s="40"/>
      <c r="B438" s="1"/>
      <c r="C438" s="1"/>
      <c r="D438" s="39"/>
    </row>
    <row r="439" spans="1:4" x14ac:dyDescent="0.3">
      <c r="A439" s="40"/>
      <c r="B439" s="1"/>
      <c r="C439" s="1"/>
      <c r="D439" s="39"/>
    </row>
    <row r="440" spans="1:4" x14ac:dyDescent="0.3">
      <c r="A440" s="40"/>
      <c r="B440" s="1"/>
      <c r="C440" s="1"/>
      <c r="D440" s="39"/>
    </row>
    <row r="441" spans="1:4" x14ac:dyDescent="0.3">
      <c r="A441" s="40"/>
      <c r="B441" s="1"/>
      <c r="C441" s="1"/>
      <c r="D441" s="39"/>
    </row>
    <row r="442" spans="1:4" x14ac:dyDescent="0.3">
      <c r="A442" s="40"/>
      <c r="B442" s="1"/>
      <c r="C442" s="1"/>
      <c r="D442" s="39"/>
    </row>
    <row r="443" spans="1:4" x14ac:dyDescent="0.3">
      <c r="A443" s="40"/>
      <c r="B443" s="1"/>
      <c r="C443" s="1"/>
      <c r="D443" s="39"/>
    </row>
    <row r="444" spans="1:4" x14ac:dyDescent="0.3">
      <c r="A444" s="40"/>
      <c r="B444" s="1"/>
      <c r="C444" s="1"/>
      <c r="D444" s="39"/>
    </row>
    <row r="445" spans="1:4" x14ac:dyDescent="0.3">
      <c r="A445" s="40"/>
      <c r="B445" s="1"/>
      <c r="C445" s="1"/>
      <c r="D445" s="39"/>
    </row>
    <row r="446" spans="1:4" x14ac:dyDescent="0.3">
      <c r="A446" s="40"/>
      <c r="B446" s="1"/>
      <c r="C446" s="1"/>
      <c r="D446" s="39"/>
    </row>
    <row r="447" spans="1:4" x14ac:dyDescent="0.3">
      <c r="A447" s="40"/>
      <c r="B447" s="1"/>
      <c r="C447" s="1"/>
      <c r="D447" s="39"/>
    </row>
    <row r="448" spans="1:4" x14ac:dyDescent="0.3">
      <c r="A448" s="40"/>
      <c r="B448" s="1"/>
      <c r="C448" s="1"/>
      <c r="D448" s="39"/>
    </row>
    <row r="449" spans="1:4" x14ac:dyDescent="0.3">
      <c r="A449" s="40"/>
      <c r="B449" s="1"/>
      <c r="C449" s="1"/>
      <c r="D449" s="39"/>
    </row>
    <row r="450" spans="1:4" x14ac:dyDescent="0.3">
      <c r="A450" s="40"/>
      <c r="B450" s="1"/>
      <c r="C450" s="1"/>
      <c r="D450" s="39"/>
    </row>
    <row r="451" spans="1:4" x14ac:dyDescent="0.3">
      <c r="A451" s="40"/>
      <c r="B451" s="1"/>
      <c r="C451" s="1"/>
      <c r="D451" s="39"/>
    </row>
    <row r="452" spans="1:4" x14ac:dyDescent="0.3">
      <c r="A452" s="40"/>
      <c r="B452" s="1"/>
      <c r="C452" s="1"/>
      <c r="D452" s="39"/>
    </row>
    <row r="453" spans="1:4" x14ac:dyDescent="0.3">
      <c r="A453" s="40"/>
      <c r="B453" s="1"/>
      <c r="C453" s="1"/>
      <c r="D453" s="39"/>
    </row>
    <row r="454" spans="1:4" x14ac:dyDescent="0.3">
      <c r="A454" s="40"/>
      <c r="B454" s="1"/>
      <c r="C454" s="1"/>
      <c r="D454" s="39"/>
    </row>
    <row r="455" spans="1:4" x14ac:dyDescent="0.3">
      <c r="A455" s="40"/>
      <c r="B455" s="1"/>
      <c r="C455" s="1"/>
      <c r="D455" s="39"/>
    </row>
    <row r="456" spans="1:4" x14ac:dyDescent="0.3">
      <c r="A456" s="40"/>
      <c r="B456" s="1"/>
      <c r="C456" s="1"/>
      <c r="D456" s="39"/>
    </row>
    <row r="457" spans="1:4" x14ac:dyDescent="0.3">
      <c r="A457" s="40"/>
      <c r="B457" s="1"/>
      <c r="C457" s="1"/>
      <c r="D457" s="39"/>
    </row>
    <row r="458" spans="1:4" x14ac:dyDescent="0.3">
      <c r="A458" s="40"/>
      <c r="B458" s="1"/>
      <c r="C458" s="1"/>
      <c r="D458" s="39"/>
    </row>
    <row r="459" spans="1:4" x14ac:dyDescent="0.3">
      <c r="A459" s="40"/>
      <c r="B459" s="1"/>
      <c r="C459" s="1"/>
      <c r="D459" s="39"/>
    </row>
    <row r="460" spans="1:4" x14ac:dyDescent="0.3">
      <c r="A460" s="40"/>
      <c r="B460" s="1"/>
      <c r="C460" s="1"/>
      <c r="D460" s="39"/>
    </row>
    <row r="461" spans="1:4" x14ac:dyDescent="0.3">
      <c r="A461" s="40"/>
      <c r="B461" s="1"/>
      <c r="C461" s="1"/>
      <c r="D461" s="39"/>
    </row>
    <row r="462" spans="1:4" x14ac:dyDescent="0.3">
      <c r="A462" s="40"/>
      <c r="B462" s="1"/>
      <c r="C462" s="1"/>
      <c r="D462" s="39"/>
    </row>
    <row r="463" spans="1:4" x14ac:dyDescent="0.3">
      <c r="A463" s="40"/>
      <c r="B463" s="1"/>
      <c r="C463" s="1"/>
      <c r="D463" s="39"/>
    </row>
    <row r="464" spans="1:4" x14ac:dyDescent="0.3">
      <c r="A464" s="40"/>
      <c r="B464" s="1"/>
      <c r="C464" s="1"/>
      <c r="D464" s="39"/>
    </row>
    <row r="465" spans="1:4" x14ac:dyDescent="0.3">
      <c r="A465" s="40"/>
      <c r="B465" s="1"/>
      <c r="C465" s="1"/>
      <c r="D465" s="39"/>
    </row>
    <row r="466" spans="1:4" x14ac:dyDescent="0.3">
      <c r="A466" s="40"/>
      <c r="B466" s="1"/>
      <c r="C466" s="1"/>
      <c r="D466" s="39"/>
    </row>
    <row r="467" spans="1:4" x14ac:dyDescent="0.3">
      <c r="A467" s="40"/>
      <c r="B467" s="1"/>
      <c r="C467" s="1"/>
      <c r="D467" s="39"/>
    </row>
    <row r="468" spans="1:4" x14ac:dyDescent="0.3">
      <c r="A468" s="40"/>
      <c r="B468" s="1"/>
      <c r="C468" s="1"/>
      <c r="D468" s="39"/>
    </row>
    <row r="469" spans="1:4" x14ac:dyDescent="0.3">
      <c r="A469" s="40"/>
      <c r="B469" s="1"/>
      <c r="C469" s="1"/>
      <c r="D469" s="39"/>
    </row>
    <row r="470" spans="1:4" x14ac:dyDescent="0.3">
      <c r="A470" s="40"/>
      <c r="B470" s="1"/>
      <c r="C470" s="1"/>
      <c r="D470" s="39"/>
    </row>
    <row r="471" spans="1:4" x14ac:dyDescent="0.3">
      <c r="A471" s="40"/>
      <c r="B471" s="1"/>
      <c r="C471" s="1"/>
      <c r="D471" s="39"/>
    </row>
    <row r="472" spans="1:4" x14ac:dyDescent="0.3">
      <c r="A472" s="40"/>
      <c r="B472" s="1"/>
      <c r="C472" s="1"/>
      <c r="D472" s="39"/>
    </row>
    <row r="473" spans="1:4" x14ac:dyDescent="0.3">
      <c r="A473" s="40"/>
      <c r="B473" s="1"/>
      <c r="C473" s="1"/>
      <c r="D473" s="39"/>
    </row>
    <row r="474" spans="1:4" x14ac:dyDescent="0.3">
      <c r="A474" s="40"/>
      <c r="B474" s="1"/>
      <c r="C474" s="1"/>
      <c r="D474" s="39"/>
    </row>
    <row r="475" spans="1:4" x14ac:dyDescent="0.3">
      <c r="A475" s="40"/>
      <c r="B475" s="1"/>
      <c r="C475" s="1"/>
      <c r="D475" s="39"/>
    </row>
    <row r="476" spans="1:4" x14ac:dyDescent="0.3">
      <c r="A476" s="40"/>
      <c r="B476" s="1"/>
      <c r="C476" s="1"/>
      <c r="D476" s="39"/>
    </row>
    <row r="477" spans="1:4" x14ac:dyDescent="0.3">
      <c r="A477" s="40"/>
      <c r="B477" s="1"/>
      <c r="C477" s="1"/>
      <c r="D477" s="39"/>
    </row>
    <row r="478" spans="1:4" x14ac:dyDescent="0.3">
      <c r="A478" s="40"/>
      <c r="B478" s="1"/>
      <c r="C478" s="1"/>
      <c r="D478" s="39"/>
    </row>
    <row r="479" spans="1:4" x14ac:dyDescent="0.3">
      <c r="A479" s="40"/>
      <c r="B479" s="1"/>
      <c r="C479" s="1"/>
      <c r="D479" s="39"/>
    </row>
    <row r="480" spans="1:4" x14ac:dyDescent="0.3">
      <c r="A480" s="40"/>
      <c r="B480" s="1"/>
      <c r="C480" s="1"/>
      <c r="D480" s="39"/>
    </row>
    <row r="481" spans="1:4" x14ac:dyDescent="0.3">
      <c r="A481" s="40"/>
      <c r="B481" s="1"/>
      <c r="C481" s="1"/>
      <c r="D481" s="39"/>
    </row>
    <row r="482" spans="1:4" x14ac:dyDescent="0.3">
      <c r="A482" s="40"/>
      <c r="B482" s="1"/>
      <c r="C482" s="1"/>
      <c r="D482" s="39"/>
    </row>
    <row r="483" spans="1:4" x14ac:dyDescent="0.3">
      <c r="A483" s="40"/>
      <c r="B483" s="1"/>
      <c r="C483" s="1"/>
      <c r="D483" s="39"/>
    </row>
    <row r="484" spans="1:4" x14ac:dyDescent="0.3">
      <c r="A484" s="40"/>
      <c r="B484" s="1"/>
      <c r="C484" s="1"/>
      <c r="D484" s="39"/>
    </row>
    <row r="485" spans="1:4" x14ac:dyDescent="0.3">
      <c r="A485" s="40"/>
      <c r="B485" s="1"/>
      <c r="C485" s="1"/>
      <c r="D485" s="39"/>
    </row>
    <row r="486" spans="1:4" x14ac:dyDescent="0.3">
      <c r="A486" s="40"/>
      <c r="B486" s="1"/>
      <c r="C486" s="1"/>
      <c r="D486" s="39"/>
    </row>
    <row r="487" spans="1:4" x14ac:dyDescent="0.3">
      <c r="A487" s="40"/>
      <c r="B487" s="1"/>
      <c r="C487" s="1"/>
      <c r="D487" s="39"/>
    </row>
    <row r="488" spans="1:4" x14ac:dyDescent="0.3">
      <c r="A488" s="40"/>
      <c r="B488" s="1"/>
      <c r="C488" s="1"/>
      <c r="D488" s="39"/>
    </row>
    <row r="489" spans="1:4" x14ac:dyDescent="0.3">
      <c r="A489" s="40"/>
      <c r="B489" s="1"/>
      <c r="C489" s="1"/>
      <c r="D489" s="39"/>
    </row>
    <row r="490" spans="1:4" x14ac:dyDescent="0.3">
      <c r="A490" s="40"/>
      <c r="B490" s="1"/>
      <c r="C490" s="1"/>
      <c r="D490" s="39"/>
    </row>
    <row r="491" spans="1:4" x14ac:dyDescent="0.3">
      <c r="A491" s="40"/>
      <c r="B491" s="1"/>
      <c r="C491" s="1"/>
      <c r="D491" s="39"/>
    </row>
    <row r="492" spans="1:4" x14ac:dyDescent="0.3">
      <c r="A492" s="40"/>
      <c r="B492" s="1"/>
      <c r="C492" s="1"/>
      <c r="D492" s="39"/>
    </row>
    <row r="493" spans="1:4" x14ac:dyDescent="0.3">
      <c r="A493" s="40"/>
      <c r="B493" s="1"/>
      <c r="C493" s="1"/>
      <c r="D493" s="39"/>
    </row>
    <row r="494" spans="1:4" x14ac:dyDescent="0.3">
      <c r="A494" s="40"/>
      <c r="B494" s="1"/>
      <c r="C494" s="1"/>
      <c r="D494" s="39"/>
    </row>
    <row r="495" spans="1:4" x14ac:dyDescent="0.3">
      <c r="A495" s="40"/>
      <c r="B495" s="1"/>
      <c r="C495" s="1"/>
      <c r="D495" s="39"/>
    </row>
    <row r="496" spans="1:4" x14ac:dyDescent="0.3">
      <c r="A496" s="40"/>
      <c r="B496" s="1"/>
      <c r="C496" s="1"/>
      <c r="D496" s="39"/>
    </row>
    <row r="497" spans="1:4" x14ac:dyDescent="0.3">
      <c r="A497" s="40"/>
      <c r="B497" s="1"/>
      <c r="C497" s="1"/>
      <c r="D497" s="39"/>
    </row>
    <row r="498" spans="1:4" x14ac:dyDescent="0.3">
      <c r="A498" s="40"/>
      <c r="B498" s="1"/>
      <c r="C498" s="1"/>
      <c r="D498" s="39"/>
    </row>
    <row r="499" spans="1:4" x14ac:dyDescent="0.3">
      <c r="A499" s="40"/>
      <c r="B499" s="1"/>
      <c r="C499" s="1"/>
      <c r="D499" s="39"/>
    </row>
    <row r="500" spans="1:4" x14ac:dyDescent="0.3">
      <c r="A500" s="40"/>
      <c r="B500" s="1"/>
      <c r="C500" s="1"/>
      <c r="D500" s="39"/>
    </row>
    <row r="501" spans="1:4" x14ac:dyDescent="0.3">
      <c r="A501" s="40"/>
      <c r="B501" s="1"/>
      <c r="C501" s="1"/>
      <c r="D501" s="39"/>
    </row>
    <row r="502" spans="1:4" x14ac:dyDescent="0.3">
      <c r="A502" s="40"/>
      <c r="B502" s="1"/>
      <c r="C502" s="1"/>
      <c r="D502" s="39"/>
    </row>
    <row r="503" spans="1:4" x14ac:dyDescent="0.3">
      <c r="A503" s="40"/>
      <c r="B503" s="1"/>
      <c r="C503" s="1"/>
      <c r="D503" s="39"/>
    </row>
    <row r="504" spans="1:4" x14ac:dyDescent="0.3">
      <c r="A504" s="40"/>
      <c r="B504" s="1"/>
      <c r="C504" s="1"/>
      <c r="D504" s="39"/>
    </row>
    <row r="505" spans="1:4" x14ac:dyDescent="0.3">
      <c r="A505" s="40"/>
      <c r="B505" s="1"/>
      <c r="C505" s="1"/>
      <c r="D505" s="39"/>
    </row>
    <row r="506" spans="1:4" x14ac:dyDescent="0.3">
      <c r="A506" s="40"/>
      <c r="B506" s="1"/>
      <c r="C506" s="1"/>
      <c r="D506" s="39"/>
    </row>
    <row r="507" spans="1:4" x14ac:dyDescent="0.3">
      <c r="A507" s="40"/>
      <c r="B507" s="1"/>
      <c r="C507" s="1"/>
      <c r="D507" s="39"/>
    </row>
    <row r="508" spans="1:4" x14ac:dyDescent="0.3">
      <c r="A508" s="40"/>
      <c r="B508" s="1"/>
      <c r="C508" s="1"/>
      <c r="D508" s="39"/>
    </row>
    <row r="509" spans="1:4" x14ac:dyDescent="0.3">
      <c r="A509" s="40"/>
      <c r="B509" s="1"/>
      <c r="C509" s="1"/>
      <c r="D509" s="39"/>
    </row>
    <row r="510" spans="1:4" x14ac:dyDescent="0.3">
      <c r="A510" s="40"/>
      <c r="B510" s="1"/>
      <c r="C510" s="1"/>
      <c r="D510" s="39"/>
    </row>
    <row r="511" spans="1:4" x14ac:dyDescent="0.3">
      <c r="A511" s="40"/>
      <c r="B511" s="1"/>
      <c r="C511" s="1"/>
      <c r="D511" s="39"/>
    </row>
    <row r="512" spans="1:4" x14ac:dyDescent="0.3">
      <c r="A512" s="40"/>
      <c r="B512" s="1"/>
      <c r="C512" s="1"/>
      <c r="D512" s="39"/>
    </row>
    <row r="513" spans="1:4" x14ac:dyDescent="0.3">
      <c r="A513" s="40"/>
      <c r="B513" s="1"/>
      <c r="C513" s="1"/>
      <c r="D513" s="39"/>
    </row>
    <row r="514" spans="1:4" x14ac:dyDescent="0.3">
      <c r="A514" s="40"/>
      <c r="B514" s="1"/>
      <c r="C514" s="1"/>
      <c r="D514" s="39"/>
    </row>
    <row r="515" spans="1:4" x14ac:dyDescent="0.3">
      <c r="A515" s="40"/>
      <c r="B515" s="1"/>
      <c r="C515" s="1"/>
      <c r="D515" s="39"/>
    </row>
    <row r="516" spans="1:4" x14ac:dyDescent="0.3">
      <c r="A516" s="40"/>
      <c r="B516" s="1"/>
      <c r="C516" s="1"/>
      <c r="D516" s="39"/>
    </row>
    <row r="517" spans="1:4" x14ac:dyDescent="0.3">
      <c r="A517" s="40"/>
      <c r="B517" s="1"/>
      <c r="C517" s="1"/>
      <c r="D517" s="39"/>
    </row>
    <row r="518" spans="1:4" x14ac:dyDescent="0.3">
      <c r="A518" s="40"/>
      <c r="B518" s="1"/>
      <c r="C518" s="1"/>
      <c r="D518" s="39"/>
    </row>
    <row r="519" spans="1:4" x14ac:dyDescent="0.3">
      <c r="A519" s="40"/>
      <c r="B519" s="1"/>
      <c r="C519" s="1"/>
      <c r="D519" s="39"/>
    </row>
    <row r="520" spans="1:4" x14ac:dyDescent="0.3">
      <c r="A520" s="40"/>
      <c r="B520" s="1"/>
      <c r="C520" s="1"/>
      <c r="D520" s="39"/>
    </row>
    <row r="521" spans="1:4" x14ac:dyDescent="0.3">
      <c r="A521" s="40"/>
      <c r="B521" s="1"/>
      <c r="C521" s="1"/>
      <c r="D521" s="39"/>
    </row>
    <row r="522" spans="1:4" x14ac:dyDescent="0.3">
      <c r="A522" s="40"/>
      <c r="B522" s="1"/>
      <c r="C522" s="1"/>
      <c r="D522" s="39"/>
    </row>
    <row r="523" spans="1:4" x14ac:dyDescent="0.3">
      <c r="A523" s="40"/>
      <c r="B523" s="1"/>
      <c r="C523" s="1"/>
      <c r="D523" s="39"/>
    </row>
    <row r="524" spans="1:4" x14ac:dyDescent="0.3">
      <c r="A524" s="40"/>
      <c r="B524" s="1"/>
      <c r="C524" s="1"/>
      <c r="D524" s="39"/>
    </row>
    <row r="525" spans="1:4" x14ac:dyDescent="0.3">
      <c r="A525" s="40"/>
      <c r="B525" s="1"/>
      <c r="C525" s="1"/>
      <c r="D525" s="39"/>
    </row>
    <row r="526" spans="1:4" x14ac:dyDescent="0.3">
      <c r="A526" s="40"/>
      <c r="B526" s="1"/>
      <c r="C526" s="1"/>
      <c r="D526" s="39"/>
    </row>
    <row r="527" spans="1:4" x14ac:dyDescent="0.3">
      <c r="A527" s="40"/>
      <c r="B527" s="1"/>
      <c r="C527" s="1"/>
      <c r="D527" s="39"/>
    </row>
    <row r="528" spans="1:4" x14ac:dyDescent="0.3">
      <c r="A528" s="40"/>
      <c r="B528" s="1"/>
      <c r="C528" s="1"/>
      <c r="D528" s="39"/>
    </row>
    <row r="529" spans="1:4" x14ac:dyDescent="0.3">
      <c r="A529" s="40"/>
      <c r="B529" s="1"/>
      <c r="C529" s="1"/>
      <c r="D529" s="39"/>
    </row>
    <row r="530" spans="1:4" x14ac:dyDescent="0.3">
      <c r="A530" s="40"/>
      <c r="B530" s="1"/>
      <c r="C530" s="1"/>
      <c r="D530" s="39"/>
    </row>
    <row r="531" spans="1:4" x14ac:dyDescent="0.3">
      <c r="A531" s="40"/>
      <c r="B531" s="1"/>
      <c r="C531" s="1"/>
      <c r="D531" s="39"/>
    </row>
    <row r="532" spans="1:4" x14ac:dyDescent="0.3">
      <c r="A532" s="40"/>
      <c r="B532" s="1"/>
      <c r="C532" s="1"/>
      <c r="D532" s="39"/>
    </row>
    <row r="533" spans="1:4" x14ac:dyDescent="0.3">
      <c r="A533" s="40"/>
      <c r="B533" s="1"/>
      <c r="C533" s="1"/>
      <c r="D533" s="39"/>
    </row>
    <row r="534" spans="1:4" x14ac:dyDescent="0.3">
      <c r="A534" s="40"/>
      <c r="B534" s="1"/>
      <c r="C534" s="1"/>
      <c r="D534" s="39"/>
    </row>
    <row r="535" spans="1:4" x14ac:dyDescent="0.3">
      <c r="A535" s="40"/>
      <c r="B535" s="1"/>
      <c r="C535" s="1"/>
      <c r="D535" s="39"/>
    </row>
    <row r="536" spans="1:4" x14ac:dyDescent="0.3">
      <c r="A536" s="40"/>
      <c r="B536" s="1"/>
      <c r="C536" s="1"/>
      <c r="D536" s="39"/>
    </row>
    <row r="537" spans="1:4" x14ac:dyDescent="0.3">
      <c r="A537" s="40"/>
      <c r="B537" s="1"/>
      <c r="C537" s="1"/>
      <c r="D537" s="39"/>
    </row>
    <row r="538" spans="1:4" x14ac:dyDescent="0.3">
      <c r="A538" s="40"/>
      <c r="B538" s="1"/>
      <c r="C538" s="1"/>
      <c r="D538" s="39"/>
    </row>
    <row r="539" spans="1:4" x14ac:dyDescent="0.3">
      <c r="A539" s="40"/>
      <c r="B539" s="1"/>
      <c r="C539" s="1"/>
      <c r="D539" s="39"/>
    </row>
    <row r="540" spans="1:4" x14ac:dyDescent="0.3">
      <c r="A540" s="40"/>
      <c r="B540" s="1"/>
      <c r="C540" s="1"/>
      <c r="D540" s="39"/>
    </row>
    <row r="541" spans="1:4" x14ac:dyDescent="0.3">
      <c r="A541" s="40"/>
      <c r="B541" s="1"/>
      <c r="C541" s="1"/>
      <c r="D541" s="39"/>
    </row>
    <row r="542" spans="1:4" x14ac:dyDescent="0.3">
      <c r="A542" s="40"/>
      <c r="B542" s="1"/>
      <c r="C542" s="1"/>
      <c r="D542" s="39"/>
    </row>
    <row r="543" spans="1:4" x14ac:dyDescent="0.3">
      <c r="A543" s="40"/>
      <c r="B543" s="1"/>
      <c r="C543" s="1"/>
      <c r="D543" s="39"/>
    </row>
    <row r="544" spans="1:4" x14ac:dyDescent="0.3">
      <c r="A544" s="40"/>
      <c r="B544" s="1"/>
      <c r="C544" s="1"/>
      <c r="D544" s="39"/>
    </row>
    <row r="545" spans="1:4" x14ac:dyDescent="0.3">
      <c r="A545" s="40"/>
      <c r="B545" s="1"/>
      <c r="C545" s="1"/>
      <c r="D545" s="39"/>
    </row>
    <row r="546" spans="1:4" x14ac:dyDescent="0.3">
      <c r="A546" s="40"/>
      <c r="B546" s="1"/>
      <c r="C546" s="1"/>
      <c r="D546" s="39"/>
    </row>
    <row r="547" spans="1:4" x14ac:dyDescent="0.3">
      <c r="A547" s="40"/>
      <c r="B547" s="1"/>
      <c r="C547" s="1"/>
      <c r="D547" s="39"/>
    </row>
    <row r="548" spans="1:4" x14ac:dyDescent="0.3">
      <c r="A548" s="40"/>
      <c r="B548" s="1"/>
      <c r="C548" s="1"/>
      <c r="D548" s="39"/>
    </row>
    <row r="549" spans="1:4" x14ac:dyDescent="0.3">
      <c r="A549" s="40"/>
      <c r="B549" s="1"/>
      <c r="C549" s="1"/>
      <c r="D549" s="39"/>
    </row>
    <row r="550" spans="1:4" x14ac:dyDescent="0.3">
      <c r="A550" s="40"/>
      <c r="B550" s="1"/>
      <c r="C550" s="1"/>
      <c r="D550" s="39"/>
    </row>
    <row r="551" spans="1:4" x14ac:dyDescent="0.3">
      <c r="A551" s="40"/>
      <c r="B551" s="1"/>
      <c r="C551" s="1"/>
      <c r="D551" s="39"/>
    </row>
    <row r="552" spans="1:4" x14ac:dyDescent="0.3">
      <c r="A552" s="40"/>
      <c r="B552" s="1"/>
      <c r="C552" s="1"/>
      <c r="D552" s="39"/>
    </row>
    <row r="553" spans="1:4" x14ac:dyDescent="0.3">
      <c r="A553" s="40"/>
      <c r="B553" s="1"/>
      <c r="C553" s="1"/>
      <c r="D553" s="39"/>
    </row>
    <row r="554" spans="1:4" x14ac:dyDescent="0.3">
      <c r="A554" s="40"/>
      <c r="B554" s="1"/>
      <c r="C554" s="1"/>
      <c r="D554" s="39"/>
    </row>
    <row r="555" spans="1:4" x14ac:dyDescent="0.3">
      <c r="A555" s="40"/>
      <c r="B555" s="1"/>
      <c r="C555" s="1"/>
      <c r="D555" s="39"/>
    </row>
    <row r="556" spans="1:4" x14ac:dyDescent="0.3">
      <c r="A556" s="40"/>
      <c r="B556" s="1"/>
      <c r="C556" s="1"/>
      <c r="D556" s="39"/>
    </row>
    <row r="557" spans="1:4" x14ac:dyDescent="0.3">
      <c r="A557" s="40"/>
      <c r="B557" s="1"/>
      <c r="C557" s="1"/>
      <c r="D557" s="39"/>
    </row>
    <row r="558" spans="1:4" x14ac:dyDescent="0.3">
      <c r="A558" s="40"/>
      <c r="B558" s="1"/>
      <c r="C558" s="1"/>
      <c r="D558" s="39"/>
    </row>
    <row r="559" spans="1:4" x14ac:dyDescent="0.3">
      <c r="A559" s="40"/>
      <c r="B559" s="1"/>
      <c r="C559" s="1"/>
      <c r="D559" s="39"/>
    </row>
    <row r="560" spans="1:4" x14ac:dyDescent="0.3">
      <c r="A560" s="40"/>
      <c r="B560" s="1"/>
      <c r="C560" s="1"/>
      <c r="D560" s="39"/>
    </row>
    <row r="561" spans="1:4" x14ac:dyDescent="0.3">
      <c r="A561" s="40"/>
      <c r="B561" s="1"/>
      <c r="C561" s="1"/>
      <c r="D561" s="39"/>
    </row>
    <row r="562" spans="1:4" x14ac:dyDescent="0.3">
      <c r="A562" s="40"/>
      <c r="B562" s="1"/>
      <c r="C562" s="1"/>
      <c r="D562" s="39"/>
    </row>
    <row r="563" spans="1:4" x14ac:dyDescent="0.3">
      <c r="A563" s="40"/>
      <c r="B563" s="1"/>
      <c r="C563" s="1"/>
      <c r="D563" s="39"/>
    </row>
    <row r="564" spans="1:4" x14ac:dyDescent="0.3">
      <c r="A564" s="40"/>
      <c r="B564" s="1"/>
      <c r="C564" s="1"/>
      <c r="D564" s="39"/>
    </row>
    <row r="565" spans="1:4" x14ac:dyDescent="0.3">
      <c r="A565" s="40"/>
      <c r="B565" s="1"/>
      <c r="C565" s="1"/>
      <c r="D565" s="39"/>
    </row>
    <row r="566" spans="1:4" x14ac:dyDescent="0.3">
      <c r="A566" s="40"/>
      <c r="B566" s="1"/>
      <c r="C566" s="1"/>
      <c r="D566" s="39"/>
    </row>
    <row r="567" spans="1:4" x14ac:dyDescent="0.3">
      <c r="A567" s="40"/>
      <c r="B567" s="1"/>
      <c r="C567" s="1"/>
      <c r="D567" s="39"/>
    </row>
    <row r="568" spans="1:4" x14ac:dyDescent="0.3">
      <c r="A568" s="40"/>
      <c r="B568" s="1"/>
      <c r="C568" s="1"/>
      <c r="D568" s="39"/>
    </row>
    <row r="569" spans="1:4" x14ac:dyDescent="0.3">
      <c r="A569" s="40"/>
      <c r="B569" s="1"/>
      <c r="C569" s="1"/>
      <c r="D569" s="39"/>
    </row>
    <row r="570" spans="1:4" x14ac:dyDescent="0.3">
      <c r="A570" s="40"/>
      <c r="B570" s="1"/>
      <c r="C570" s="1"/>
      <c r="D570" s="39"/>
    </row>
    <row r="571" spans="1:4" x14ac:dyDescent="0.3">
      <c r="A571" s="40"/>
      <c r="B571" s="1"/>
      <c r="C571" s="1"/>
      <c r="D571" s="39"/>
    </row>
    <row r="572" spans="1:4" x14ac:dyDescent="0.3">
      <c r="A572" s="40"/>
      <c r="B572" s="1"/>
      <c r="C572" s="1"/>
      <c r="D572" s="39"/>
    </row>
    <row r="573" spans="1:4" x14ac:dyDescent="0.3">
      <c r="A573" s="40"/>
      <c r="B573" s="1"/>
      <c r="C573" s="1"/>
      <c r="D573" s="39"/>
    </row>
    <row r="574" spans="1:4" x14ac:dyDescent="0.3">
      <c r="A574" s="40"/>
      <c r="B574" s="1"/>
      <c r="C574" s="1"/>
      <c r="D574" s="39"/>
    </row>
    <row r="575" spans="1:4" x14ac:dyDescent="0.3">
      <c r="A575" s="40"/>
      <c r="B575" s="1"/>
      <c r="C575" s="1"/>
      <c r="D575" s="39"/>
    </row>
    <row r="576" spans="1:4" x14ac:dyDescent="0.3">
      <c r="A576" s="40"/>
      <c r="B576" s="1"/>
      <c r="C576" s="1"/>
      <c r="D576" s="39"/>
    </row>
    <row r="577" spans="1:4" x14ac:dyDescent="0.3">
      <c r="A577" s="40"/>
      <c r="B577" s="1"/>
      <c r="C577" s="1"/>
      <c r="D577" s="39"/>
    </row>
    <row r="578" spans="1:4" x14ac:dyDescent="0.3">
      <c r="A578" s="40"/>
      <c r="B578" s="1"/>
      <c r="C578" s="1"/>
      <c r="D578" s="39"/>
    </row>
    <row r="579" spans="1:4" x14ac:dyDescent="0.3">
      <c r="A579" s="40"/>
      <c r="B579" s="1"/>
      <c r="C579" s="1"/>
      <c r="D579" s="39"/>
    </row>
    <row r="580" spans="1:4" x14ac:dyDescent="0.3">
      <c r="A580" s="40"/>
      <c r="B580" s="1"/>
      <c r="C580" s="1"/>
      <c r="D580" s="39"/>
    </row>
    <row r="581" spans="1:4" x14ac:dyDescent="0.3">
      <c r="A581" s="40"/>
      <c r="B581" s="1"/>
      <c r="C581" s="1"/>
      <c r="D581" s="39"/>
    </row>
    <row r="582" spans="1:4" x14ac:dyDescent="0.3">
      <c r="A582" s="40"/>
      <c r="B582" s="1"/>
      <c r="C582" s="1"/>
      <c r="D582" s="39"/>
    </row>
    <row r="583" spans="1:4" x14ac:dyDescent="0.3">
      <c r="A583" s="40"/>
      <c r="B583" s="1"/>
      <c r="C583" s="1"/>
      <c r="D583" s="39"/>
    </row>
    <row r="584" spans="1:4" x14ac:dyDescent="0.3">
      <c r="A584" s="40"/>
      <c r="B584" s="1"/>
      <c r="C584" s="1"/>
      <c r="D584" s="39"/>
    </row>
    <row r="585" spans="1:4" x14ac:dyDescent="0.3">
      <c r="A585" s="40"/>
      <c r="B585" s="1"/>
      <c r="C585" s="1"/>
      <c r="D585" s="39"/>
    </row>
    <row r="586" spans="1:4" x14ac:dyDescent="0.3">
      <c r="A586" s="40"/>
      <c r="B586" s="1"/>
      <c r="C586" s="1"/>
      <c r="D586" s="39"/>
    </row>
    <row r="587" spans="1:4" x14ac:dyDescent="0.3">
      <c r="A587" s="40"/>
      <c r="B587" s="1"/>
      <c r="C587" s="1"/>
      <c r="D587" s="39"/>
    </row>
    <row r="588" spans="1:4" x14ac:dyDescent="0.3">
      <c r="A588" s="40"/>
      <c r="B588" s="1"/>
      <c r="C588" s="1"/>
      <c r="D588" s="39"/>
    </row>
    <row r="589" spans="1:4" x14ac:dyDescent="0.3">
      <c r="A589" s="40"/>
      <c r="B589" s="1"/>
      <c r="C589" s="1"/>
      <c r="D589" s="39"/>
    </row>
    <row r="590" spans="1:4" x14ac:dyDescent="0.3">
      <c r="A590" s="40"/>
      <c r="B590" s="1"/>
      <c r="C590" s="1"/>
      <c r="D590" s="39"/>
    </row>
    <row r="591" spans="1:4" x14ac:dyDescent="0.3">
      <c r="A591" s="40"/>
      <c r="B591" s="1"/>
      <c r="C591" s="1"/>
      <c r="D591" s="39"/>
    </row>
    <row r="592" spans="1:4" x14ac:dyDescent="0.3">
      <c r="A592" s="40"/>
      <c r="B592" s="1"/>
      <c r="C592" s="1"/>
      <c r="D592" s="39"/>
    </row>
    <row r="593" spans="1:4" x14ac:dyDescent="0.3">
      <c r="A593" s="40"/>
      <c r="B593" s="1"/>
      <c r="C593" s="1"/>
      <c r="D593" s="39"/>
    </row>
    <row r="594" spans="1:4" x14ac:dyDescent="0.3">
      <c r="A594" s="40"/>
      <c r="B594" s="1"/>
      <c r="C594" s="1"/>
      <c r="D594" s="39"/>
    </row>
    <row r="595" spans="1:4" x14ac:dyDescent="0.3">
      <c r="A595" s="40"/>
      <c r="B595" s="1"/>
      <c r="C595" s="1"/>
      <c r="D595" s="39"/>
    </row>
    <row r="596" spans="1:4" x14ac:dyDescent="0.3">
      <c r="A596" s="40"/>
      <c r="B596" s="1"/>
      <c r="C596" s="1"/>
      <c r="D596" s="39"/>
    </row>
    <row r="597" spans="1:4" x14ac:dyDescent="0.3">
      <c r="A597" s="40"/>
      <c r="B597" s="1"/>
      <c r="C597" s="1"/>
      <c r="D597" s="39"/>
    </row>
    <row r="598" spans="1:4" x14ac:dyDescent="0.3">
      <c r="A598" s="40"/>
      <c r="B598" s="1"/>
      <c r="C598" s="1"/>
      <c r="D598" s="39"/>
    </row>
    <row r="599" spans="1:4" x14ac:dyDescent="0.3">
      <c r="A599" s="40"/>
      <c r="B599" s="1"/>
      <c r="C599" s="1"/>
      <c r="D599" s="39"/>
    </row>
    <row r="600" spans="1:4" x14ac:dyDescent="0.3">
      <c r="A600" s="40"/>
      <c r="B600" s="1"/>
      <c r="C600" s="1"/>
      <c r="D600" s="39"/>
    </row>
    <row r="601" spans="1:4" x14ac:dyDescent="0.3">
      <c r="A601" s="40"/>
      <c r="B601" s="1"/>
      <c r="C601" s="1"/>
      <c r="D601" s="39"/>
    </row>
    <row r="602" spans="1:4" x14ac:dyDescent="0.3">
      <c r="A602" s="40"/>
      <c r="B602" s="1"/>
      <c r="C602" s="1"/>
      <c r="D602" s="39"/>
    </row>
    <row r="603" spans="1:4" x14ac:dyDescent="0.3">
      <c r="A603" s="40"/>
      <c r="B603" s="1"/>
      <c r="C603" s="1"/>
      <c r="D603" s="39"/>
    </row>
    <row r="604" spans="1:4" x14ac:dyDescent="0.3">
      <c r="A604" s="40"/>
      <c r="B604" s="1"/>
      <c r="C604" s="1"/>
      <c r="D604" s="39"/>
    </row>
    <row r="605" spans="1:4" x14ac:dyDescent="0.3">
      <c r="A605" s="40"/>
      <c r="B605" s="1"/>
      <c r="C605" s="1"/>
      <c r="D605" s="39"/>
    </row>
    <row r="606" spans="1:4" x14ac:dyDescent="0.3">
      <c r="A606" s="40"/>
      <c r="B606" s="1"/>
      <c r="C606" s="1"/>
      <c r="D606" s="39"/>
    </row>
    <row r="607" spans="1:4" x14ac:dyDescent="0.3">
      <c r="A607" s="40"/>
      <c r="B607" s="1"/>
      <c r="C607" s="1"/>
      <c r="D607" s="39"/>
    </row>
    <row r="608" spans="1:4" x14ac:dyDescent="0.3">
      <c r="A608" s="40"/>
      <c r="B608" s="1"/>
      <c r="C608" s="1"/>
      <c r="D608" s="39"/>
    </row>
    <row r="609" spans="1:4" x14ac:dyDescent="0.3">
      <c r="A609" s="40"/>
      <c r="B609" s="1"/>
      <c r="C609" s="1"/>
      <c r="D609" s="39"/>
    </row>
    <row r="610" spans="1:4" x14ac:dyDescent="0.3">
      <c r="A610" s="40"/>
      <c r="B610" s="1"/>
      <c r="C610" s="1"/>
      <c r="D610" s="39"/>
    </row>
    <row r="611" spans="1:4" x14ac:dyDescent="0.3">
      <c r="A611" s="40"/>
      <c r="B611" s="1"/>
      <c r="C611" s="1"/>
      <c r="D611" s="39"/>
    </row>
    <row r="612" spans="1:4" x14ac:dyDescent="0.3">
      <c r="A612" s="40"/>
      <c r="B612" s="1"/>
      <c r="C612" s="1"/>
      <c r="D612" s="39"/>
    </row>
    <row r="613" spans="1:4" x14ac:dyDescent="0.3">
      <c r="A613" s="40"/>
      <c r="B613" s="1"/>
      <c r="C613" s="1"/>
      <c r="D613" s="39"/>
    </row>
    <row r="614" spans="1:4" x14ac:dyDescent="0.3">
      <c r="A614" s="40"/>
      <c r="B614" s="1"/>
      <c r="C614" s="1"/>
      <c r="D614" s="39"/>
    </row>
    <row r="615" spans="1:4" x14ac:dyDescent="0.3">
      <c r="A615" s="40"/>
      <c r="B615" s="1"/>
      <c r="C615" s="1"/>
      <c r="D615" s="39"/>
    </row>
    <row r="616" spans="1:4" x14ac:dyDescent="0.3">
      <c r="A616" s="40"/>
      <c r="B616" s="1"/>
      <c r="C616" s="1"/>
      <c r="D616" s="39"/>
    </row>
    <row r="617" spans="1:4" x14ac:dyDescent="0.3">
      <c r="A617" s="40"/>
      <c r="B617" s="1"/>
      <c r="C617" s="1"/>
      <c r="D617" s="39"/>
    </row>
    <row r="618" spans="1:4" x14ac:dyDescent="0.3">
      <c r="A618" s="40"/>
      <c r="B618" s="1"/>
      <c r="C618" s="1"/>
      <c r="D618" s="39"/>
    </row>
    <row r="619" spans="1:4" x14ac:dyDescent="0.3">
      <c r="A619" s="40"/>
      <c r="B619" s="1"/>
      <c r="C619" s="1"/>
      <c r="D619" s="39"/>
    </row>
    <row r="620" spans="1:4" x14ac:dyDescent="0.3">
      <c r="A620" s="40"/>
      <c r="B620" s="1"/>
      <c r="C620" s="1"/>
      <c r="D620" s="39"/>
    </row>
    <row r="621" spans="1:4" x14ac:dyDescent="0.3">
      <c r="A621" s="40"/>
      <c r="B621" s="1"/>
      <c r="C621" s="1"/>
      <c r="D621" s="39"/>
    </row>
    <row r="622" spans="1:4" x14ac:dyDescent="0.3">
      <c r="A622" s="40"/>
      <c r="B622" s="1"/>
      <c r="C622" s="1"/>
      <c r="D622" s="39"/>
    </row>
    <row r="623" spans="1:4" x14ac:dyDescent="0.3">
      <c r="A623" s="40"/>
      <c r="B623" s="1"/>
      <c r="C623" s="1"/>
      <c r="D623" s="39"/>
    </row>
    <row r="624" spans="1:4" x14ac:dyDescent="0.3">
      <c r="A624" s="40"/>
      <c r="B624" s="1"/>
      <c r="C624" s="1"/>
      <c r="D624" s="39"/>
    </row>
    <row r="625" spans="1:4" x14ac:dyDescent="0.3">
      <c r="A625" s="40"/>
      <c r="B625" s="1"/>
      <c r="C625" s="1"/>
      <c r="D625" s="39"/>
    </row>
    <row r="626" spans="1:4" x14ac:dyDescent="0.3">
      <c r="A626" s="40"/>
      <c r="B626" s="1"/>
      <c r="C626" s="1"/>
      <c r="D626" s="39"/>
    </row>
    <row r="627" spans="1:4" x14ac:dyDescent="0.3">
      <c r="A627" s="40"/>
      <c r="B627" s="1"/>
      <c r="C627" s="1"/>
      <c r="D627" s="39"/>
    </row>
    <row r="628" spans="1:4" x14ac:dyDescent="0.3">
      <c r="A628" s="40"/>
      <c r="B628" s="1"/>
      <c r="C628" s="1"/>
      <c r="D628" s="39"/>
    </row>
    <row r="629" spans="1:4" x14ac:dyDescent="0.3">
      <c r="A629" s="40"/>
      <c r="B629" s="1"/>
      <c r="C629" s="1"/>
      <c r="D629" s="39"/>
    </row>
    <row r="630" spans="1:4" x14ac:dyDescent="0.3">
      <c r="A630" s="40"/>
      <c r="B630" s="1"/>
      <c r="C630" s="1"/>
      <c r="D630" s="39"/>
    </row>
    <row r="631" spans="1:4" x14ac:dyDescent="0.3">
      <c r="A631" s="40"/>
      <c r="B631" s="1"/>
      <c r="C631" s="1"/>
      <c r="D631" s="39"/>
    </row>
    <row r="632" spans="1:4" x14ac:dyDescent="0.3">
      <c r="A632" s="40"/>
      <c r="B632" s="1"/>
      <c r="C632" s="1"/>
      <c r="D632" s="39"/>
    </row>
    <row r="633" spans="1:4" x14ac:dyDescent="0.3">
      <c r="A633" s="40"/>
      <c r="B633" s="1"/>
      <c r="C633" s="1"/>
      <c r="D633" s="39"/>
    </row>
    <row r="634" spans="1:4" x14ac:dyDescent="0.3">
      <c r="A634" s="40"/>
      <c r="B634" s="1"/>
      <c r="C634" s="1"/>
      <c r="D634" s="39"/>
    </row>
    <row r="635" spans="1:4" x14ac:dyDescent="0.3">
      <c r="A635" s="40"/>
      <c r="B635" s="1"/>
      <c r="C635" s="1"/>
      <c r="D635" s="39"/>
    </row>
    <row r="636" spans="1:4" x14ac:dyDescent="0.3">
      <c r="A636" s="40"/>
      <c r="B636" s="1"/>
      <c r="C636" s="1"/>
      <c r="D636" s="39"/>
    </row>
    <row r="637" spans="1:4" x14ac:dyDescent="0.3">
      <c r="A637" s="40"/>
      <c r="B637" s="1"/>
      <c r="C637" s="1"/>
      <c r="D637" s="39"/>
    </row>
    <row r="638" spans="1:4" x14ac:dyDescent="0.3">
      <c r="A638" s="40"/>
      <c r="B638" s="1"/>
      <c r="C638" s="1"/>
      <c r="D638" s="39"/>
    </row>
    <row r="639" spans="1:4" x14ac:dyDescent="0.3">
      <c r="A639" s="40"/>
      <c r="B639" s="1"/>
      <c r="C639" s="1"/>
      <c r="D639" s="39"/>
    </row>
    <row r="640" spans="1:4" x14ac:dyDescent="0.3">
      <c r="A640" s="40"/>
      <c r="B640" s="1"/>
      <c r="C640" s="1"/>
      <c r="D640" s="39"/>
    </row>
    <row r="641" spans="1:4" x14ac:dyDescent="0.3">
      <c r="A641" s="40"/>
      <c r="B641" s="1"/>
      <c r="C641" s="1"/>
      <c r="D641" s="39"/>
    </row>
    <row r="642" spans="1:4" x14ac:dyDescent="0.3">
      <c r="A642" s="40"/>
      <c r="B642" s="1"/>
      <c r="C642" s="1"/>
      <c r="D642" s="39"/>
    </row>
    <row r="643" spans="1:4" x14ac:dyDescent="0.3">
      <c r="A643" s="40"/>
      <c r="B643" s="1"/>
      <c r="C643" s="1"/>
      <c r="D643" s="39"/>
    </row>
    <row r="644" spans="1:4" x14ac:dyDescent="0.3">
      <c r="A644" s="40"/>
      <c r="B644" s="1"/>
      <c r="C644" s="1"/>
      <c r="D644" s="39"/>
    </row>
    <row r="645" spans="1:4" x14ac:dyDescent="0.3">
      <c r="A645" s="40"/>
      <c r="B645" s="1"/>
      <c r="C645" s="1"/>
      <c r="D645" s="39"/>
    </row>
    <row r="646" spans="1:4" x14ac:dyDescent="0.3">
      <c r="A646" s="40"/>
      <c r="B646" s="1"/>
      <c r="C646" s="1"/>
      <c r="D646" s="39"/>
    </row>
    <row r="647" spans="1:4" x14ac:dyDescent="0.3">
      <c r="A647" s="40"/>
      <c r="B647" s="1"/>
      <c r="C647" s="1"/>
      <c r="D647" s="39"/>
    </row>
    <row r="648" spans="1:4" x14ac:dyDescent="0.3">
      <c r="A648" s="40"/>
      <c r="B648" s="1"/>
      <c r="C648" s="1"/>
      <c r="D648" s="39"/>
    </row>
    <row r="649" spans="1:4" x14ac:dyDescent="0.3">
      <c r="A649" s="40"/>
      <c r="B649" s="1"/>
      <c r="C649" s="1"/>
      <c r="D649" s="39"/>
    </row>
    <row r="650" spans="1:4" x14ac:dyDescent="0.3">
      <c r="A650" s="40"/>
      <c r="B650" s="1"/>
      <c r="C650" s="1"/>
      <c r="D650" s="39"/>
    </row>
    <row r="651" spans="1:4" x14ac:dyDescent="0.3">
      <c r="A651" s="40"/>
      <c r="B651" s="1"/>
      <c r="C651" s="1"/>
      <c r="D651" s="39"/>
    </row>
    <row r="652" spans="1:4" x14ac:dyDescent="0.3">
      <c r="A652" s="40"/>
      <c r="B652" s="1"/>
      <c r="C652" s="1"/>
      <c r="D652" s="39"/>
    </row>
    <row r="653" spans="1:4" x14ac:dyDescent="0.3">
      <c r="A653" s="40"/>
      <c r="B653" s="1"/>
      <c r="C653" s="1"/>
      <c r="D653" s="39"/>
    </row>
    <row r="654" spans="1:4" x14ac:dyDescent="0.3">
      <c r="A654" s="40"/>
      <c r="B654" s="1"/>
      <c r="C654" s="1"/>
      <c r="D654" s="39"/>
    </row>
    <row r="655" spans="1:4" x14ac:dyDescent="0.3">
      <c r="A655" s="40"/>
      <c r="B655" s="1"/>
      <c r="C655" s="1"/>
      <c r="D655" s="39"/>
    </row>
    <row r="656" spans="1:4" x14ac:dyDescent="0.3">
      <c r="A656" s="40"/>
      <c r="B656" s="1"/>
      <c r="C656" s="1"/>
      <c r="D656" s="39"/>
    </row>
    <row r="657" spans="1:4" x14ac:dyDescent="0.3">
      <c r="A657" s="40"/>
      <c r="B657" s="1"/>
      <c r="C657" s="1"/>
      <c r="D657" s="39"/>
    </row>
    <row r="658" spans="1:4" x14ac:dyDescent="0.3">
      <c r="A658" s="40"/>
      <c r="B658" s="1"/>
      <c r="C658" s="1"/>
      <c r="D658" s="39"/>
    </row>
    <row r="659" spans="1:4" x14ac:dyDescent="0.3">
      <c r="A659" s="40"/>
      <c r="B659" s="1"/>
      <c r="C659" s="1"/>
      <c r="D659" s="39"/>
    </row>
    <row r="660" spans="1:4" x14ac:dyDescent="0.3">
      <c r="A660" s="40"/>
      <c r="B660" s="1"/>
      <c r="C660" s="1"/>
      <c r="D660" s="39"/>
    </row>
    <row r="661" spans="1:4" x14ac:dyDescent="0.3">
      <c r="A661" s="40"/>
      <c r="B661" s="1"/>
      <c r="C661" s="1"/>
      <c r="D661" s="39"/>
    </row>
    <row r="662" spans="1:4" x14ac:dyDescent="0.3">
      <c r="A662" s="40"/>
      <c r="B662" s="1"/>
      <c r="C662" s="1"/>
      <c r="D662" s="39"/>
    </row>
    <row r="663" spans="1:4" x14ac:dyDescent="0.3">
      <c r="A663" s="40"/>
      <c r="B663" s="1"/>
      <c r="C663" s="1"/>
      <c r="D663" s="39"/>
    </row>
    <row r="664" spans="1:4" x14ac:dyDescent="0.3">
      <c r="A664" s="40"/>
      <c r="B664" s="1"/>
      <c r="C664" s="1"/>
      <c r="D664" s="39"/>
    </row>
    <row r="665" spans="1:4" x14ac:dyDescent="0.3">
      <c r="A665" s="40"/>
      <c r="B665" s="1"/>
      <c r="C665" s="1"/>
      <c r="D665" s="39"/>
    </row>
    <row r="666" spans="1:4" x14ac:dyDescent="0.3">
      <c r="A666" s="40"/>
      <c r="B666" s="1"/>
      <c r="C666" s="1"/>
      <c r="D666" s="39"/>
    </row>
    <row r="667" spans="1:4" x14ac:dyDescent="0.3">
      <c r="A667" s="40"/>
      <c r="B667" s="1"/>
      <c r="C667" s="1"/>
      <c r="D667" s="39"/>
    </row>
    <row r="668" spans="1:4" x14ac:dyDescent="0.3">
      <c r="A668" s="40"/>
      <c r="B668" s="1"/>
      <c r="C668" s="1"/>
      <c r="D668" s="39"/>
    </row>
    <row r="669" spans="1:4" x14ac:dyDescent="0.3">
      <c r="A669" s="40"/>
      <c r="B669" s="1"/>
      <c r="C669" s="1"/>
      <c r="D669" s="39"/>
    </row>
    <row r="670" spans="1:4" x14ac:dyDescent="0.3">
      <c r="A670" s="40"/>
      <c r="B670" s="1"/>
      <c r="C670" s="1"/>
      <c r="D670" s="39"/>
    </row>
    <row r="671" spans="1:4" x14ac:dyDescent="0.3">
      <c r="A671" s="40"/>
      <c r="B671" s="1"/>
      <c r="C671" s="1"/>
      <c r="D671" s="39"/>
    </row>
  </sheetData>
  <phoneticPr fontId="7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71"/>
  <sheetViews>
    <sheetView workbookViewId="0">
      <selection activeCell="F26" sqref="F26"/>
    </sheetView>
  </sheetViews>
  <sheetFormatPr defaultColWidth="9" defaultRowHeight="14" x14ac:dyDescent="0.3"/>
  <cols>
    <col min="1" max="1" width="10" style="12" customWidth="1"/>
    <col min="2" max="2" width="9.5" style="12" customWidth="1"/>
    <col min="3" max="3" width="12.5" style="12" customWidth="1"/>
    <col min="4" max="5" width="9" style="12"/>
    <col min="6" max="6" width="25.33203125" style="12" customWidth="1"/>
    <col min="7" max="7" width="12.75" style="12" customWidth="1"/>
    <col min="8" max="13" width="9" style="12"/>
    <col min="14" max="16384" width="9" style="13"/>
  </cols>
  <sheetData>
    <row r="1" spans="1:9" x14ac:dyDescent="0.3">
      <c r="A1" s="14" t="s">
        <v>8</v>
      </c>
      <c r="B1" s="15" t="s">
        <v>9</v>
      </c>
      <c r="C1" s="16" t="s">
        <v>10</v>
      </c>
      <c r="D1" s="17"/>
      <c r="E1" s="18"/>
      <c r="F1" s="18"/>
      <c r="G1" s="18"/>
      <c r="H1" s="17"/>
      <c r="I1" s="17"/>
    </row>
    <row r="2" spans="1:9" x14ac:dyDescent="0.3">
      <c r="A2" s="19">
        <v>1</v>
      </c>
      <c r="B2" s="20">
        <v>27861.894956517201</v>
      </c>
      <c r="C2" s="21" t="str">
        <f ca="1">IF(A2&lt;=$G$3,"",AVERAGE(OFFSET(B2,-$G$3,0,$G$3,1)))</f>
        <v/>
      </c>
      <c r="D2" s="17"/>
      <c r="E2" s="22"/>
      <c r="F2" s="22"/>
      <c r="G2" s="22"/>
      <c r="H2" s="22"/>
      <c r="I2" s="17"/>
    </row>
    <row r="3" spans="1:9" x14ac:dyDescent="0.3">
      <c r="A3" s="19">
        <v>2</v>
      </c>
      <c r="B3" s="20">
        <v>75485.274986581499</v>
      </c>
      <c r="C3" s="21" t="str">
        <f t="shared" ref="C3:C26" ca="1" si="0">IF(A3&lt;=$G$3,"",AVERAGE(OFFSET(B3,-$G$3,0,$G$3,1)))</f>
        <v/>
      </c>
      <c r="D3" s="17"/>
      <c r="E3" s="22"/>
      <c r="F3" s="23" t="s">
        <v>11</v>
      </c>
      <c r="G3" s="24">
        <v>3</v>
      </c>
      <c r="H3" s="22"/>
      <c r="I3" s="17"/>
    </row>
    <row r="4" spans="1:9" x14ac:dyDescent="0.3">
      <c r="A4" s="19">
        <v>3</v>
      </c>
      <c r="B4" s="20">
        <v>26381.399988487399</v>
      </c>
      <c r="C4" s="21" t="str">
        <f t="shared" ca="1" si="0"/>
        <v/>
      </c>
      <c r="D4" s="17"/>
      <c r="E4" s="22"/>
      <c r="F4" s="23" t="s">
        <v>4</v>
      </c>
      <c r="G4" s="25" cm="1">
        <f t="array" ref="G4" ca="1">SUMXMY2(B2:B25,C2:C25)/COUNT(C2:C25)</f>
        <v>238785408.76885182</v>
      </c>
      <c r="H4" s="22"/>
      <c r="I4" s="17"/>
    </row>
    <row r="5" spans="1:9" x14ac:dyDescent="0.3">
      <c r="A5" s="19">
        <v>4</v>
      </c>
      <c r="B5" s="20">
        <v>55931.7249145143</v>
      </c>
      <c r="C5" s="21">
        <f t="shared" ca="1" si="0"/>
        <v>43242.856643862033</v>
      </c>
      <c r="D5" s="17"/>
      <c r="E5" s="22"/>
      <c r="F5" s="17"/>
      <c r="G5" s="17"/>
      <c r="H5" s="22"/>
      <c r="I5" s="17"/>
    </row>
    <row r="6" spans="1:9" x14ac:dyDescent="0.3">
      <c r="A6" s="19">
        <v>5</v>
      </c>
      <c r="B6" s="20">
        <v>47184.044943096102</v>
      </c>
      <c r="C6" s="21">
        <f t="shared" ca="1" si="0"/>
        <v>52599.466629861061</v>
      </c>
      <c r="D6" s="17"/>
      <c r="E6" s="22"/>
      <c r="F6" s="23" t="s">
        <v>12</v>
      </c>
      <c r="G6" s="25">
        <f>INDEX(F16:F22,MATCH(G7,G16:G22,0))</f>
        <v>3</v>
      </c>
      <c r="H6" s="22"/>
      <c r="I6" s="17"/>
    </row>
    <row r="7" spans="1:9" x14ac:dyDescent="0.3">
      <c r="A7" s="19">
        <v>6</v>
      </c>
      <c r="B7" s="20">
        <v>35239.629965431901</v>
      </c>
      <c r="C7" s="21">
        <f t="shared" ca="1" si="0"/>
        <v>43165.723282032603</v>
      </c>
      <c r="D7" s="17"/>
      <c r="E7" s="22"/>
      <c r="F7" s="23" t="s">
        <v>13</v>
      </c>
      <c r="G7" s="25">
        <f>MIN(G16:G22)</f>
        <v>238785408.76885182</v>
      </c>
      <c r="H7" s="22"/>
      <c r="I7" s="17"/>
    </row>
    <row r="8" spans="1:9" x14ac:dyDescent="0.3">
      <c r="A8" s="19">
        <v>7</v>
      </c>
      <c r="B8" s="20">
        <v>52540.244943848302</v>
      </c>
      <c r="C8" s="21">
        <f t="shared" ca="1" si="0"/>
        <v>46118.46660768077</v>
      </c>
      <c r="D8" s="17"/>
      <c r="E8" s="22"/>
      <c r="F8" s="23" t="s">
        <v>14</v>
      </c>
      <c r="G8" s="26">
        <f ca="1">C26</f>
        <v>53131.781597263034</v>
      </c>
      <c r="H8" s="22"/>
      <c r="I8" s="17"/>
    </row>
    <row r="9" spans="1:9" x14ac:dyDescent="0.3">
      <c r="A9" s="19">
        <v>8</v>
      </c>
      <c r="B9" s="20">
        <v>47201.459929579498</v>
      </c>
      <c r="C9" s="21">
        <f t="shared" ca="1" si="0"/>
        <v>44987.973284125437</v>
      </c>
      <c r="D9" s="17"/>
      <c r="E9" s="22"/>
      <c r="F9" s="17"/>
      <c r="G9" s="17"/>
      <c r="H9" s="17"/>
      <c r="I9" s="17"/>
    </row>
    <row r="10" spans="1:9" x14ac:dyDescent="0.3">
      <c r="A10" s="19">
        <v>9</v>
      </c>
      <c r="B10" s="20">
        <v>35124.514971709301</v>
      </c>
      <c r="C10" s="21">
        <f t="shared" ca="1" si="0"/>
        <v>44993.778279619903</v>
      </c>
      <c r="D10" s="17"/>
      <c r="H10" s="17"/>
      <c r="I10" s="17"/>
    </row>
    <row r="11" spans="1:9" x14ac:dyDescent="0.3">
      <c r="A11" s="19">
        <v>10</v>
      </c>
      <c r="B11" s="20">
        <v>56455.657425116202</v>
      </c>
      <c r="C11" s="21">
        <f t="shared" ca="1" si="0"/>
        <v>44955.4066150457</v>
      </c>
      <c r="D11" s="17"/>
      <c r="H11" s="22"/>
      <c r="I11" s="17"/>
    </row>
    <row r="12" spans="1:9" x14ac:dyDescent="0.3">
      <c r="A12" s="19">
        <v>11</v>
      </c>
      <c r="B12" s="20">
        <v>53781.289927985898</v>
      </c>
      <c r="C12" s="21">
        <f t="shared" ca="1" si="0"/>
        <v>46260.544108801667</v>
      </c>
      <c r="D12" s="17"/>
      <c r="H12" s="22"/>
      <c r="I12" s="17"/>
    </row>
    <row r="13" spans="1:9" x14ac:dyDescent="0.3">
      <c r="A13" s="19">
        <v>12</v>
      </c>
      <c r="B13" s="20">
        <v>36362.802448423201</v>
      </c>
      <c r="C13" s="21">
        <f t="shared" ca="1" si="0"/>
        <v>48453.820774937136</v>
      </c>
      <c r="D13" s="17"/>
      <c r="H13" s="22"/>
      <c r="I13" s="17"/>
    </row>
    <row r="14" spans="1:9" x14ac:dyDescent="0.3">
      <c r="A14" s="19">
        <v>13</v>
      </c>
      <c r="B14" s="20">
        <v>51020.857452725002</v>
      </c>
      <c r="C14" s="21">
        <f t="shared" ca="1" si="0"/>
        <v>48866.583267175098</v>
      </c>
      <c r="D14" s="17"/>
      <c r="H14" s="22"/>
      <c r="I14" s="17"/>
    </row>
    <row r="15" spans="1:9" x14ac:dyDescent="0.3">
      <c r="A15" s="19">
        <v>14</v>
      </c>
      <c r="B15" s="20">
        <v>27287.669948245901</v>
      </c>
      <c r="C15" s="21">
        <f t="shared" ca="1" si="0"/>
        <v>47054.983276378036</v>
      </c>
      <c r="D15" s="17"/>
      <c r="G15" s="12">
        <f ca="1">G4</f>
        <v>238785408.76885182</v>
      </c>
      <c r="H15" s="22"/>
      <c r="I15" s="17"/>
    </row>
    <row r="16" spans="1:9" x14ac:dyDescent="0.3">
      <c r="A16" s="19">
        <v>15</v>
      </c>
      <c r="B16" s="20">
        <v>55629.242456566499</v>
      </c>
      <c r="C16" s="21">
        <f t="shared" ca="1" si="0"/>
        <v>38223.776616464696</v>
      </c>
      <c r="D16" s="17"/>
      <c r="F16" s="12">
        <v>2</v>
      </c>
      <c r="G16" s="12">
        <f t="dataTable" ref="G16:G22" dt2D="0" dtr="0" r1="G3" ca="1"/>
        <v>371117681.18247253</v>
      </c>
      <c r="H16" s="22"/>
      <c r="I16" s="17"/>
    </row>
    <row r="17" spans="1:9" x14ac:dyDescent="0.3">
      <c r="A17" s="19">
        <v>16</v>
      </c>
      <c r="B17" s="20">
        <v>66461.425951800207</v>
      </c>
      <c r="C17" s="21">
        <f t="shared" ca="1" si="0"/>
        <v>44645.923285845805</v>
      </c>
      <c r="D17" s="17"/>
      <c r="F17" s="12">
        <v>3</v>
      </c>
      <c r="G17" s="12">
        <v>238785408.76885182</v>
      </c>
      <c r="H17" s="22"/>
      <c r="I17" s="17"/>
    </row>
    <row r="18" spans="1:9" x14ac:dyDescent="0.3">
      <c r="A18" s="19">
        <v>17</v>
      </c>
      <c r="B18" s="20">
        <v>43821.608967249304</v>
      </c>
      <c r="C18" s="21">
        <f t="shared" ca="1" si="0"/>
        <v>49792.779452204202</v>
      </c>
      <c r="D18" s="17"/>
      <c r="F18" s="12">
        <v>4</v>
      </c>
      <c r="G18" s="12">
        <v>257079924.97171736</v>
      </c>
      <c r="H18" s="22"/>
      <c r="I18" s="17"/>
    </row>
    <row r="19" spans="1:9" x14ac:dyDescent="0.3">
      <c r="A19" s="19">
        <v>18</v>
      </c>
      <c r="B19" s="20">
        <v>71398.428446732898</v>
      </c>
      <c r="C19" s="21">
        <f t="shared" ca="1" si="0"/>
        <v>55304.092458538675</v>
      </c>
      <c r="D19" s="17"/>
      <c r="F19" s="12">
        <v>5</v>
      </c>
      <c r="G19" s="12">
        <v>286590690.40645689</v>
      </c>
      <c r="H19" s="22"/>
      <c r="I19" s="17"/>
    </row>
    <row r="20" spans="1:9" x14ac:dyDescent="0.3">
      <c r="A20" s="19">
        <v>19</v>
      </c>
      <c r="B20" s="20">
        <v>90120.910382874907</v>
      </c>
      <c r="C20" s="21">
        <f t="shared" ca="1" si="0"/>
        <v>60560.487788594131</v>
      </c>
      <c r="D20" s="17"/>
      <c r="E20" s="22"/>
      <c r="F20" s="12">
        <v>6</v>
      </c>
      <c r="G20" s="17">
        <v>280623824.18435693</v>
      </c>
      <c r="H20" s="17"/>
      <c r="I20" s="17"/>
    </row>
    <row r="21" spans="1:9" x14ac:dyDescent="0.3">
      <c r="A21" s="19">
        <v>20</v>
      </c>
      <c r="B21" s="20">
        <v>53519.687455869003</v>
      </c>
      <c r="C21" s="21">
        <f t="shared" ca="1" si="0"/>
        <v>68446.982598952367</v>
      </c>
      <c r="D21" s="17"/>
      <c r="E21" s="17"/>
      <c r="F21" s="12">
        <v>7</v>
      </c>
      <c r="G21" s="17">
        <v>294038011.47524971</v>
      </c>
      <c r="H21" s="17"/>
      <c r="I21" s="17"/>
    </row>
    <row r="22" spans="1:9" x14ac:dyDescent="0.3">
      <c r="A22" s="19">
        <v>21</v>
      </c>
      <c r="B22" s="20">
        <v>34854.154937672</v>
      </c>
      <c r="C22" s="21">
        <f t="shared" ca="1" si="0"/>
        <v>71679.675428492264</v>
      </c>
      <c r="D22" s="17"/>
      <c r="E22" s="17"/>
      <c r="F22" s="12">
        <v>8</v>
      </c>
      <c r="G22" s="17">
        <v>298274390.34325016</v>
      </c>
      <c r="H22" s="17"/>
      <c r="I22" s="17"/>
    </row>
    <row r="23" spans="1:9" x14ac:dyDescent="0.3">
      <c r="A23" s="19">
        <v>22</v>
      </c>
      <c r="B23" s="20">
        <v>69247.252415380004</v>
      </c>
      <c r="C23" s="21">
        <f t="shared" ca="1" si="0"/>
        <v>59498.25092547197</v>
      </c>
      <c r="D23" s="17"/>
      <c r="E23" s="17"/>
      <c r="F23" s="17"/>
      <c r="G23" s="17"/>
      <c r="H23" s="17"/>
      <c r="I23" s="17"/>
    </row>
    <row r="24" spans="1:9" x14ac:dyDescent="0.3">
      <c r="A24" s="27">
        <v>23</v>
      </c>
      <c r="B24" s="20">
        <v>53783.289927985898</v>
      </c>
      <c r="C24" s="21">
        <f t="shared" ca="1" si="0"/>
        <v>52540.364936307007</v>
      </c>
      <c r="D24" s="17"/>
      <c r="E24" s="17"/>
      <c r="F24" s="17"/>
      <c r="G24" s="17"/>
      <c r="H24" s="17"/>
      <c r="I24" s="17"/>
    </row>
    <row r="25" spans="1:9" x14ac:dyDescent="0.3">
      <c r="A25" s="19">
        <v>24</v>
      </c>
      <c r="B25" s="20">
        <v>36364.802448423201</v>
      </c>
      <c r="C25" s="21">
        <f t="shared" ca="1" si="0"/>
        <v>52628.232427012634</v>
      </c>
    </row>
    <row r="26" spans="1:9" x14ac:dyDescent="0.3">
      <c r="A26" s="41">
        <v>25</v>
      </c>
      <c r="B26" s="13"/>
      <c r="C26" s="21">
        <f t="shared" ca="1" si="0"/>
        <v>53131.781597263034</v>
      </c>
    </row>
    <row r="27" spans="1:9" x14ac:dyDescent="0.3">
      <c r="A27" s="28"/>
      <c r="B27" s="13"/>
      <c r="C27" s="13"/>
    </row>
    <row r="28" spans="1:9" x14ac:dyDescent="0.3">
      <c r="A28" s="28"/>
      <c r="B28" s="13"/>
      <c r="C28" s="13"/>
    </row>
    <row r="29" spans="1:9" x14ac:dyDescent="0.3">
      <c r="A29" s="28"/>
      <c r="B29" s="13"/>
      <c r="C29" s="13"/>
    </row>
    <row r="30" spans="1:9" x14ac:dyDescent="0.3">
      <c r="A30" s="28"/>
      <c r="B30" s="13"/>
      <c r="C30" s="13"/>
    </row>
    <row r="31" spans="1:9" x14ac:dyDescent="0.3">
      <c r="A31" s="28"/>
      <c r="B31" s="13"/>
      <c r="C31" s="13"/>
    </row>
    <row r="32" spans="1:9" x14ac:dyDescent="0.3">
      <c r="A32" s="28"/>
      <c r="B32" s="13"/>
      <c r="C32" s="13"/>
    </row>
    <row r="33" spans="1:3" x14ac:dyDescent="0.3">
      <c r="A33" s="28"/>
      <c r="B33" s="13"/>
      <c r="C33" s="13"/>
    </row>
    <row r="34" spans="1:3" x14ac:dyDescent="0.3">
      <c r="A34" s="28"/>
      <c r="B34" s="13"/>
      <c r="C34" s="13"/>
    </row>
    <row r="35" spans="1:3" x14ac:dyDescent="0.3">
      <c r="A35" s="28"/>
      <c r="B35" s="13"/>
      <c r="C35" s="13"/>
    </row>
    <row r="36" spans="1:3" x14ac:dyDescent="0.3">
      <c r="A36" s="28"/>
      <c r="B36" s="13"/>
      <c r="C36" s="13"/>
    </row>
    <row r="37" spans="1:3" x14ac:dyDescent="0.3">
      <c r="A37" s="28"/>
      <c r="B37" s="13"/>
      <c r="C37" s="13"/>
    </row>
    <row r="38" spans="1:3" x14ac:dyDescent="0.3">
      <c r="A38" s="28"/>
      <c r="B38" s="13"/>
      <c r="C38" s="13"/>
    </row>
    <row r="39" spans="1:3" x14ac:dyDescent="0.3">
      <c r="A39" s="28"/>
      <c r="B39" s="13"/>
      <c r="C39" s="13"/>
    </row>
    <row r="40" spans="1:3" x14ac:dyDescent="0.3">
      <c r="A40" s="28"/>
      <c r="B40" s="13"/>
      <c r="C40" s="13"/>
    </row>
    <row r="41" spans="1:3" x14ac:dyDescent="0.3">
      <c r="A41" s="28"/>
      <c r="B41" s="13"/>
      <c r="C41" s="13"/>
    </row>
    <row r="42" spans="1:3" x14ac:dyDescent="0.3">
      <c r="A42" s="28"/>
      <c r="B42" s="13"/>
      <c r="C42" s="13"/>
    </row>
    <row r="43" spans="1:3" x14ac:dyDescent="0.3">
      <c r="A43" s="28"/>
      <c r="B43" s="13"/>
      <c r="C43" s="13"/>
    </row>
    <row r="44" spans="1:3" x14ac:dyDescent="0.3">
      <c r="A44" s="28"/>
      <c r="B44" s="13"/>
      <c r="C44" s="13"/>
    </row>
    <row r="45" spans="1:3" x14ac:dyDescent="0.3">
      <c r="A45" s="28"/>
      <c r="B45" s="13"/>
      <c r="C45" s="13"/>
    </row>
    <row r="46" spans="1:3" x14ac:dyDescent="0.3">
      <c r="A46" s="28"/>
      <c r="B46" s="13"/>
      <c r="C46" s="13"/>
    </row>
    <row r="47" spans="1:3" x14ac:dyDescent="0.3">
      <c r="A47" s="28"/>
      <c r="B47" s="13"/>
      <c r="C47" s="13"/>
    </row>
    <row r="48" spans="1:3" x14ac:dyDescent="0.3">
      <c r="A48" s="28"/>
      <c r="B48" s="13"/>
      <c r="C48" s="13"/>
    </row>
    <row r="49" spans="1:3" x14ac:dyDescent="0.3">
      <c r="A49" s="28"/>
      <c r="B49" s="13"/>
      <c r="C49" s="13"/>
    </row>
    <row r="50" spans="1:3" x14ac:dyDescent="0.3">
      <c r="A50" s="28"/>
      <c r="B50" s="13"/>
      <c r="C50" s="13"/>
    </row>
    <row r="51" spans="1:3" x14ac:dyDescent="0.3">
      <c r="A51" s="28"/>
      <c r="B51" s="13"/>
      <c r="C51" s="13"/>
    </row>
    <row r="52" spans="1:3" x14ac:dyDescent="0.3">
      <c r="A52" s="28"/>
      <c r="B52" s="13"/>
      <c r="C52" s="13"/>
    </row>
    <row r="53" spans="1:3" x14ac:dyDescent="0.3">
      <c r="A53" s="28"/>
      <c r="B53" s="13"/>
      <c r="C53" s="13"/>
    </row>
    <row r="54" spans="1:3" x14ac:dyDescent="0.3">
      <c r="A54" s="28"/>
      <c r="B54" s="13"/>
      <c r="C54" s="13"/>
    </row>
    <row r="55" spans="1:3" x14ac:dyDescent="0.3">
      <c r="A55" s="28"/>
      <c r="B55" s="13"/>
      <c r="C55" s="13"/>
    </row>
    <row r="56" spans="1:3" x14ac:dyDescent="0.3">
      <c r="A56" s="28"/>
      <c r="B56" s="13"/>
      <c r="C56" s="13"/>
    </row>
    <row r="57" spans="1:3" x14ac:dyDescent="0.3">
      <c r="A57" s="28"/>
      <c r="B57" s="13"/>
      <c r="C57" s="13"/>
    </row>
    <row r="58" spans="1:3" x14ac:dyDescent="0.3">
      <c r="A58" s="28"/>
      <c r="B58" s="13"/>
      <c r="C58" s="13"/>
    </row>
    <row r="59" spans="1:3" x14ac:dyDescent="0.3">
      <c r="A59" s="28"/>
      <c r="B59" s="13"/>
      <c r="C59" s="13"/>
    </row>
    <row r="60" spans="1:3" x14ac:dyDescent="0.3">
      <c r="A60" s="28"/>
      <c r="B60" s="13"/>
      <c r="C60" s="13"/>
    </row>
    <row r="61" spans="1:3" x14ac:dyDescent="0.3">
      <c r="A61" s="28"/>
      <c r="B61" s="13"/>
      <c r="C61" s="13"/>
    </row>
    <row r="62" spans="1:3" x14ac:dyDescent="0.3">
      <c r="A62" s="28"/>
      <c r="B62" s="13"/>
      <c r="C62" s="13"/>
    </row>
    <row r="63" spans="1:3" x14ac:dyDescent="0.3">
      <c r="A63" s="28"/>
      <c r="B63" s="13"/>
      <c r="C63" s="13"/>
    </row>
    <row r="64" spans="1:3" x14ac:dyDescent="0.3">
      <c r="A64" s="28"/>
      <c r="B64" s="13"/>
      <c r="C64" s="13"/>
    </row>
    <row r="65" spans="1:3" x14ac:dyDescent="0.3">
      <c r="A65" s="28"/>
      <c r="B65" s="13"/>
      <c r="C65" s="13"/>
    </row>
    <row r="66" spans="1:3" x14ac:dyDescent="0.3">
      <c r="A66" s="28"/>
      <c r="B66" s="13"/>
      <c r="C66" s="13"/>
    </row>
    <row r="67" spans="1:3" x14ac:dyDescent="0.3">
      <c r="A67" s="28"/>
      <c r="B67" s="13"/>
      <c r="C67" s="13"/>
    </row>
    <row r="68" spans="1:3" x14ac:dyDescent="0.3">
      <c r="A68" s="28"/>
      <c r="B68" s="13"/>
      <c r="C68" s="13"/>
    </row>
    <row r="69" spans="1:3" x14ac:dyDescent="0.3">
      <c r="A69" s="28"/>
      <c r="B69" s="13"/>
      <c r="C69" s="13"/>
    </row>
    <row r="70" spans="1:3" x14ac:dyDescent="0.3">
      <c r="A70" s="28"/>
      <c r="B70" s="13"/>
      <c r="C70" s="13"/>
    </row>
    <row r="71" spans="1:3" x14ac:dyDescent="0.3">
      <c r="A71" s="28"/>
      <c r="B71" s="13"/>
      <c r="C71" s="13"/>
    </row>
    <row r="72" spans="1:3" x14ac:dyDescent="0.3">
      <c r="A72" s="28"/>
      <c r="B72" s="13"/>
      <c r="C72" s="13"/>
    </row>
    <row r="73" spans="1:3" x14ac:dyDescent="0.3">
      <c r="A73" s="28"/>
      <c r="B73" s="13"/>
      <c r="C73" s="13"/>
    </row>
    <row r="74" spans="1:3" x14ac:dyDescent="0.3">
      <c r="A74" s="28"/>
      <c r="B74" s="13"/>
      <c r="C74" s="13"/>
    </row>
    <row r="75" spans="1:3" x14ac:dyDescent="0.3">
      <c r="A75" s="28"/>
      <c r="B75" s="13"/>
      <c r="C75" s="13"/>
    </row>
    <row r="76" spans="1:3" x14ac:dyDescent="0.3">
      <c r="A76" s="28"/>
      <c r="B76" s="13"/>
      <c r="C76" s="13"/>
    </row>
    <row r="77" spans="1:3" x14ac:dyDescent="0.3">
      <c r="A77" s="28"/>
      <c r="B77" s="13"/>
      <c r="C77" s="13"/>
    </row>
    <row r="78" spans="1:3" x14ac:dyDescent="0.3">
      <c r="A78" s="28"/>
      <c r="B78" s="13"/>
      <c r="C78" s="13"/>
    </row>
    <row r="79" spans="1:3" x14ac:dyDescent="0.3">
      <c r="A79" s="28"/>
      <c r="B79" s="13"/>
      <c r="C79" s="13"/>
    </row>
    <row r="80" spans="1:3" x14ac:dyDescent="0.3">
      <c r="A80" s="28"/>
      <c r="B80" s="13"/>
      <c r="C80" s="13"/>
    </row>
    <row r="81" spans="1:3" x14ac:dyDescent="0.3">
      <c r="A81" s="28"/>
      <c r="B81" s="13"/>
      <c r="C81" s="13"/>
    </row>
    <row r="82" spans="1:3" x14ac:dyDescent="0.3">
      <c r="A82" s="28"/>
      <c r="B82" s="13"/>
      <c r="C82" s="13"/>
    </row>
    <row r="83" spans="1:3" x14ac:dyDescent="0.3">
      <c r="A83" s="28"/>
      <c r="B83" s="13"/>
      <c r="C83" s="13"/>
    </row>
    <row r="84" spans="1:3" x14ac:dyDescent="0.3">
      <c r="A84" s="28"/>
      <c r="B84" s="13"/>
      <c r="C84" s="13"/>
    </row>
    <row r="85" spans="1:3" x14ac:dyDescent="0.3">
      <c r="A85" s="28"/>
      <c r="B85" s="13"/>
      <c r="C85" s="13"/>
    </row>
    <row r="86" spans="1:3" x14ac:dyDescent="0.3">
      <c r="A86" s="28"/>
      <c r="B86" s="13"/>
      <c r="C86" s="13"/>
    </row>
    <row r="87" spans="1:3" x14ac:dyDescent="0.3">
      <c r="A87" s="28"/>
      <c r="B87" s="13"/>
      <c r="C87" s="13"/>
    </row>
    <row r="88" spans="1:3" x14ac:dyDescent="0.3">
      <c r="A88" s="28"/>
      <c r="B88" s="13"/>
      <c r="C88" s="13"/>
    </row>
    <row r="89" spans="1:3" x14ac:dyDescent="0.3">
      <c r="A89" s="28"/>
      <c r="B89" s="13"/>
      <c r="C89" s="13"/>
    </row>
    <row r="90" spans="1:3" x14ac:dyDescent="0.3">
      <c r="A90" s="28"/>
      <c r="B90" s="13"/>
      <c r="C90" s="13"/>
    </row>
    <row r="91" spans="1:3" x14ac:dyDescent="0.3">
      <c r="A91" s="28"/>
      <c r="B91" s="13"/>
      <c r="C91" s="13"/>
    </row>
    <row r="92" spans="1:3" x14ac:dyDescent="0.3">
      <c r="A92" s="28"/>
      <c r="B92" s="13"/>
      <c r="C92" s="13"/>
    </row>
    <row r="93" spans="1:3" x14ac:dyDescent="0.3">
      <c r="A93" s="28"/>
      <c r="B93" s="13"/>
      <c r="C93" s="13"/>
    </row>
    <row r="94" spans="1:3" x14ac:dyDescent="0.3">
      <c r="A94" s="28"/>
      <c r="B94" s="13"/>
      <c r="C94" s="13"/>
    </row>
    <row r="95" spans="1:3" x14ac:dyDescent="0.3">
      <c r="A95" s="28"/>
      <c r="B95" s="13"/>
      <c r="C95" s="13"/>
    </row>
    <row r="96" spans="1:3" x14ac:dyDescent="0.3">
      <c r="A96" s="28"/>
      <c r="B96" s="13"/>
      <c r="C96" s="13"/>
    </row>
    <row r="97" spans="1:3" x14ac:dyDescent="0.3">
      <c r="A97" s="28"/>
      <c r="B97" s="13"/>
      <c r="C97" s="13"/>
    </row>
    <row r="98" spans="1:3" x14ac:dyDescent="0.3">
      <c r="A98" s="28"/>
      <c r="B98" s="13"/>
      <c r="C98" s="13"/>
    </row>
    <row r="99" spans="1:3" x14ac:dyDescent="0.3">
      <c r="A99" s="28"/>
      <c r="B99" s="13"/>
      <c r="C99" s="13"/>
    </row>
    <row r="100" spans="1:3" x14ac:dyDescent="0.3">
      <c r="A100" s="28"/>
      <c r="B100" s="13"/>
      <c r="C100" s="13"/>
    </row>
    <row r="101" spans="1:3" x14ac:dyDescent="0.3">
      <c r="A101" s="28"/>
      <c r="B101" s="13"/>
      <c r="C101" s="13"/>
    </row>
    <row r="102" spans="1:3" x14ac:dyDescent="0.3">
      <c r="A102" s="28"/>
      <c r="B102" s="13"/>
      <c r="C102" s="13"/>
    </row>
    <row r="103" spans="1:3" x14ac:dyDescent="0.3">
      <c r="A103" s="28"/>
      <c r="B103" s="13"/>
      <c r="C103" s="13"/>
    </row>
    <row r="104" spans="1:3" x14ac:dyDescent="0.3">
      <c r="A104" s="28"/>
      <c r="B104" s="13"/>
      <c r="C104" s="13"/>
    </row>
    <row r="105" spans="1:3" x14ac:dyDescent="0.3">
      <c r="A105" s="28"/>
      <c r="B105" s="13"/>
      <c r="C105" s="13"/>
    </row>
    <row r="106" spans="1:3" x14ac:dyDescent="0.3">
      <c r="A106" s="28"/>
      <c r="B106" s="13"/>
      <c r="C106" s="13"/>
    </row>
    <row r="107" spans="1:3" x14ac:dyDescent="0.3">
      <c r="A107" s="28"/>
      <c r="B107" s="13"/>
      <c r="C107" s="13"/>
    </row>
    <row r="108" spans="1:3" x14ac:dyDescent="0.3">
      <c r="A108" s="28"/>
      <c r="B108" s="13"/>
      <c r="C108" s="13"/>
    </row>
    <row r="109" spans="1:3" x14ac:dyDescent="0.3">
      <c r="A109" s="28"/>
      <c r="B109" s="13"/>
      <c r="C109" s="13"/>
    </row>
    <row r="110" spans="1:3" x14ac:dyDescent="0.3">
      <c r="A110" s="28"/>
      <c r="B110" s="13"/>
      <c r="C110" s="13"/>
    </row>
    <row r="111" spans="1:3" x14ac:dyDescent="0.3">
      <c r="A111" s="28"/>
      <c r="B111" s="13"/>
      <c r="C111" s="13"/>
    </row>
    <row r="112" spans="1:3" x14ac:dyDescent="0.3">
      <c r="A112" s="28"/>
      <c r="B112" s="13"/>
      <c r="C112" s="13"/>
    </row>
    <row r="113" spans="1:3" x14ac:dyDescent="0.3">
      <c r="A113" s="28"/>
      <c r="B113" s="13"/>
      <c r="C113" s="13"/>
    </row>
    <row r="114" spans="1:3" x14ac:dyDescent="0.3">
      <c r="A114" s="28"/>
      <c r="B114" s="13"/>
      <c r="C114" s="13"/>
    </row>
    <row r="115" spans="1:3" x14ac:dyDescent="0.3">
      <c r="A115" s="28"/>
      <c r="B115" s="13"/>
      <c r="C115" s="13"/>
    </row>
    <row r="116" spans="1:3" x14ac:dyDescent="0.3">
      <c r="A116" s="28"/>
      <c r="B116" s="13"/>
      <c r="C116" s="13"/>
    </row>
    <row r="117" spans="1:3" x14ac:dyDescent="0.3">
      <c r="A117" s="28"/>
      <c r="B117" s="13"/>
      <c r="C117" s="13"/>
    </row>
    <row r="118" spans="1:3" x14ac:dyDescent="0.3">
      <c r="A118" s="28"/>
      <c r="B118" s="13"/>
      <c r="C118" s="13"/>
    </row>
    <row r="119" spans="1:3" x14ac:dyDescent="0.3">
      <c r="A119" s="28"/>
      <c r="B119" s="13"/>
      <c r="C119" s="13"/>
    </row>
    <row r="120" spans="1:3" x14ac:dyDescent="0.3">
      <c r="A120" s="28"/>
      <c r="B120" s="13"/>
      <c r="C120" s="13"/>
    </row>
    <row r="121" spans="1:3" x14ac:dyDescent="0.3">
      <c r="A121" s="28"/>
      <c r="B121" s="13"/>
      <c r="C121" s="13"/>
    </row>
    <row r="122" spans="1:3" x14ac:dyDescent="0.3">
      <c r="A122" s="28"/>
      <c r="B122" s="13"/>
      <c r="C122" s="13"/>
    </row>
    <row r="123" spans="1:3" x14ac:dyDescent="0.3">
      <c r="A123" s="28"/>
      <c r="B123" s="13"/>
      <c r="C123" s="13"/>
    </row>
    <row r="124" spans="1:3" x14ac:dyDescent="0.3">
      <c r="A124" s="28"/>
      <c r="B124" s="13"/>
      <c r="C124" s="13"/>
    </row>
    <row r="125" spans="1:3" x14ac:dyDescent="0.3">
      <c r="A125" s="28"/>
      <c r="B125" s="13"/>
      <c r="C125" s="13"/>
    </row>
    <row r="126" spans="1:3" x14ac:dyDescent="0.3">
      <c r="A126" s="28"/>
      <c r="B126" s="13"/>
      <c r="C126" s="13"/>
    </row>
    <row r="127" spans="1:3" x14ac:dyDescent="0.3">
      <c r="A127" s="28"/>
      <c r="B127" s="13"/>
      <c r="C127" s="13"/>
    </row>
    <row r="128" spans="1:3" x14ac:dyDescent="0.3">
      <c r="A128" s="28"/>
      <c r="B128" s="13"/>
      <c r="C128" s="13"/>
    </row>
    <row r="129" spans="1:3" x14ac:dyDescent="0.3">
      <c r="A129" s="28"/>
      <c r="B129" s="13"/>
      <c r="C129" s="13"/>
    </row>
    <row r="130" spans="1:3" x14ac:dyDescent="0.3">
      <c r="A130" s="28"/>
      <c r="B130" s="13"/>
      <c r="C130" s="13"/>
    </row>
    <row r="131" spans="1:3" x14ac:dyDescent="0.3">
      <c r="A131" s="28"/>
      <c r="B131" s="13"/>
      <c r="C131" s="13"/>
    </row>
    <row r="132" spans="1:3" x14ac:dyDescent="0.3">
      <c r="A132" s="28"/>
      <c r="B132" s="13"/>
      <c r="C132" s="13"/>
    </row>
    <row r="133" spans="1:3" x14ac:dyDescent="0.3">
      <c r="A133" s="28"/>
      <c r="B133" s="13"/>
      <c r="C133" s="13"/>
    </row>
    <row r="134" spans="1:3" x14ac:dyDescent="0.3">
      <c r="A134" s="28"/>
      <c r="B134" s="13"/>
      <c r="C134" s="13"/>
    </row>
    <row r="135" spans="1:3" x14ac:dyDescent="0.3">
      <c r="A135" s="28"/>
      <c r="B135" s="13"/>
      <c r="C135" s="13"/>
    </row>
    <row r="136" spans="1:3" x14ac:dyDescent="0.3">
      <c r="A136" s="28"/>
      <c r="B136" s="13"/>
      <c r="C136" s="13"/>
    </row>
    <row r="137" spans="1:3" x14ac:dyDescent="0.3">
      <c r="A137" s="28"/>
      <c r="B137" s="13"/>
      <c r="C137" s="13"/>
    </row>
    <row r="138" spans="1:3" x14ac:dyDescent="0.3">
      <c r="A138" s="28"/>
      <c r="B138" s="13"/>
      <c r="C138" s="13"/>
    </row>
    <row r="139" spans="1:3" x14ac:dyDescent="0.3">
      <c r="A139" s="28"/>
      <c r="B139" s="13"/>
      <c r="C139" s="13"/>
    </row>
    <row r="140" spans="1:3" x14ac:dyDescent="0.3">
      <c r="A140" s="28"/>
      <c r="B140" s="13"/>
      <c r="C140" s="13"/>
    </row>
    <row r="141" spans="1:3" x14ac:dyDescent="0.3">
      <c r="A141" s="28"/>
      <c r="B141" s="13"/>
      <c r="C141" s="13"/>
    </row>
    <row r="142" spans="1:3" x14ac:dyDescent="0.3">
      <c r="A142" s="28"/>
      <c r="B142" s="13"/>
      <c r="C142" s="13"/>
    </row>
    <row r="143" spans="1:3" x14ac:dyDescent="0.3">
      <c r="A143" s="28"/>
      <c r="B143" s="13"/>
      <c r="C143" s="13"/>
    </row>
    <row r="144" spans="1:3" x14ac:dyDescent="0.3">
      <c r="A144" s="28"/>
      <c r="B144" s="13"/>
      <c r="C144" s="13"/>
    </row>
    <row r="145" spans="1:3" x14ac:dyDescent="0.3">
      <c r="A145" s="28"/>
      <c r="B145" s="13"/>
      <c r="C145" s="13"/>
    </row>
    <row r="146" spans="1:3" x14ac:dyDescent="0.3">
      <c r="A146" s="28"/>
      <c r="B146" s="13"/>
      <c r="C146" s="13"/>
    </row>
    <row r="147" spans="1:3" x14ac:dyDescent="0.3">
      <c r="A147" s="28"/>
      <c r="B147" s="13"/>
      <c r="C147" s="13"/>
    </row>
    <row r="148" spans="1:3" x14ac:dyDescent="0.3">
      <c r="A148" s="28"/>
      <c r="B148" s="13"/>
      <c r="C148" s="13"/>
    </row>
    <row r="149" spans="1:3" x14ac:dyDescent="0.3">
      <c r="A149" s="28"/>
      <c r="B149" s="13"/>
      <c r="C149" s="13"/>
    </row>
    <row r="150" spans="1:3" x14ac:dyDescent="0.3">
      <c r="A150" s="28"/>
      <c r="B150" s="13"/>
      <c r="C150" s="13"/>
    </row>
    <row r="151" spans="1:3" x14ac:dyDescent="0.3">
      <c r="A151" s="28"/>
      <c r="B151" s="13"/>
      <c r="C151" s="13"/>
    </row>
    <row r="152" spans="1:3" x14ac:dyDescent="0.3">
      <c r="A152" s="28"/>
      <c r="B152" s="13"/>
      <c r="C152" s="13"/>
    </row>
    <row r="153" spans="1:3" x14ac:dyDescent="0.3">
      <c r="A153" s="28"/>
      <c r="B153" s="13"/>
      <c r="C153" s="13"/>
    </row>
    <row r="154" spans="1:3" x14ac:dyDescent="0.3">
      <c r="A154" s="28"/>
      <c r="B154" s="13"/>
      <c r="C154" s="13"/>
    </row>
    <row r="155" spans="1:3" x14ac:dyDescent="0.3">
      <c r="A155" s="28"/>
      <c r="B155" s="13"/>
      <c r="C155" s="13"/>
    </row>
    <row r="156" spans="1:3" x14ac:dyDescent="0.3">
      <c r="A156" s="28"/>
      <c r="B156" s="13"/>
      <c r="C156" s="13"/>
    </row>
    <row r="157" spans="1:3" x14ac:dyDescent="0.3">
      <c r="A157" s="28"/>
      <c r="B157" s="13"/>
      <c r="C157" s="13"/>
    </row>
    <row r="158" spans="1:3" x14ac:dyDescent="0.3">
      <c r="A158" s="28"/>
      <c r="B158" s="13"/>
      <c r="C158" s="13"/>
    </row>
    <row r="159" spans="1:3" x14ac:dyDescent="0.3">
      <c r="A159" s="28"/>
      <c r="B159" s="13"/>
      <c r="C159" s="13"/>
    </row>
    <row r="160" spans="1:3" x14ac:dyDescent="0.3">
      <c r="A160" s="28"/>
      <c r="B160" s="13"/>
      <c r="C160" s="13"/>
    </row>
    <row r="161" spans="1:3" x14ac:dyDescent="0.3">
      <c r="A161" s="28"/>
      <c r="B161" s="13"/>
      <c r="C161" s="13"/>
    </row>
    <row r="162" spans="1:3" x14ac:dyDescent="0.3">
      <c r="A162" s="28"/>
      <c r="B162" s="13"/>
      <c r="C162" s="13"/>
    </row>
    <row r="163" spans="1:3" x14ac:dyDescent="0.3">
      <c r="A163" s="28"/>
      <c r="B163" s="13"/>
      <c r="C163" s="13"/>
    </row>
    <row r="164" spans="1:3" x14ac:dyDescent="0.3">
      <c r="A164" s="28"/>
      <c r="B164" s="13"/>
      <c r="C164" s="13"/>
    </row>
    <row r="165" spans="1:3" x14ac:dyDescent="0.3">
      <c r="A165" s="28"/>
      <c r="B165" s="13"/>
      <c r="C165" s="13"/>
    </row>
    <row r="166" spans="1:3" x14ac:dyDescent="0.3">
      <c r="A166" s="28"/>
      <c r="B166" s="13"/>
      <c r="C166" s="13"/>
    </row>
    <row r="167" spans="1:3" x14ac:dyDescent="0.3">
      <c r="A167" s="28"/>
      <c r="B167" s="13"/>
      <c r="C167" s="13"/>
    </row>
    <row r="168" spans="1:3" x14ac:dyDescent="0.3">
      <c r="A168" s="28"/>
      <c r="B168" s="13"/>
      <c r="C168" s="13"/>
    </row>
    <row r="169" spans="1:3" x14ac:dyDescent="0.3">
      <c r="A169" s="28"/>
      <c r="B169" s="13"/>
      <c r="C169" s="13"/>
    </row>
    <row r="170" spans="1:3" x14ac:dyDescent="0.3">
      <c r="A170" s="28"/>
      <c r="B170" s="13"/>
      <c r="C170" s="13"/>
    </row>
    <row r="171" spans="1:3" x14ac:dyDescent="0.3">
      <c r="A171" s="28"/>
      <c r="B171" s="13"/>
      <c r="C171" s="13"/>
    </row>
    <row r="172" spans="1:3" x14ac:dyDescent="0.3">
      <c r="A172" s="28"/>
      <c r="B172" s="13"/>
      <c r="C172" s="13"/>
    </row>
    <row r="173" spans="1:3" x14ac:dyDescent="0.3">
      <c r="A173" s="28"/>
      <c r="B173" s="13"/>
      <c r="C173" s="13"/>
    </row>
    <row r="174" spans="1:3" x14ac:dyDescent="0.3">
      <c r="A174" s="28"/>
      <c r="B174" s="13"/>
      <c r="C174" s="13"/>
    </row>
    <row r="175" spans="1:3" x14ac:dyDescent="0.3">
      <c r="A175" s="28"/>
      <c r="B175" s="13"/>
      <c r="C175" s="13"/>
    </row>
    <row r="176" spans="1:3" x14ac:dyDescent="0.3">
      <c r="A176" s="28"/>
      <c r="B176" s="13"/>
      <c r="C176" s="13"/>
    </row>
    <row r="177" spans="1:3" x14ac:dyDescent="0.3">
      <c r="A177" s="28"/>
      <c r="B177" s="13"/>
      <c r="C177" s="13"/>
    </row>
    <row r="178" spans="1:3" x14ac:dyDescent="0.3">
      <c r="A178" s="28"/>
      <c r="B178" s="13"/>
      <c r="C178" s="13"/>
    </row>
    <row r="179" spans="1:3" x14ac:dyDescent="0.3">
      <c r="A179" s="28"/>
      <c r="B179" s="13"/>
      <c r="C179" s="13"/>
    </row>
    <row r="180" spans="1:3" x14ac:dyDescent="0.3">
      <c r="A180" s="28"/>
      <c r="B180" s="13"/>
      <c r="C180" s="13"/>
    </row>
    <row r="181" spans="1:3" x14ac:dyDescent="0.3">
      <c r="A181" s="28"/>
      <c r="B181" s="13"/>
      <c r="C181" s="13"/>
    </row>
    <row r="182" spans="1:3" x14ac:dyDescent="0.3">
      <c r="A182" s="28"/>
      <c r="B182" s="13"/>
      <c r="C182" s="13"/>
    </row>
    <row r="183" spans="1:3" x14ac:dyDescent="0.3">
      <c r="A183" s="28"/>
      <c r="B183" s="13"/>
      <c r="C183" s="13"/>
    </row>
    <row r="184" spans="1:3" x14ac:dyDescent="0.3">
      <c r="A184" s="28"/>
      <c r="B184" s="13"/>
      <c r="C184" s="13"/>
    </row>
    <row r="185" spans="1:3" x14ac:dyDescent="0.3">
      <c r="A185" s="28"/>
      <c r="B185" s="13"/>
      <c r="C185" s="13"/>
    </row>
    <row r="186" spans="1:3" x14ac:dyDescent="0.3">
      <c r="A186" s="28"/>
      <c r="B186" s="13"/>
      <c r="C186" s="13"/>
    </row>
    <row r="187" spans="1:3" x14ac:dyDescent="0.3">
      <c r="A187" s="28"/>
      <c r="B187" s="13"/>
      <c r="C187" s="13"/>
    </row>
    <row r="188" spans="1:3" x14ac:dyDescent="0.3">
      <c r="A188" s="28"/>
      <c r="B188" s="13"/>
      <c r="C188" s="13"/>
    </row>
    <row r="189" spans="1:3" x14ac:dyDescent="0.3">
      <c r="A189" s="28"/>
      <c r="B189" s="13"/>
      <c r="C189" s="13"/>
    </row>
    <row r="190" spans="1:3" x14ac:dyDescent="0.3">
      <c r="A190" s="28"/>
      <c r="B190" s="13"/>
      <c r="C190" s="13"/>
    </row>
    <row r="191" spans="1:3" x14ac:dyDescent="0.3">
      <c r="A191" s="28"/>
      <c r="B191" s="13"/>
      <c r="C191" s="13"/>
    </row>
    <row r="192" spans="1:3" x14ac:dyDescent="0.3">
      <c r="A192" s="28"/>
      <c r="B192" s="13"/>
      <c r="C192" s="13"/>
    </row>
    <row r="193" spans="1:3" x14ac:dyDescent="0.3">
      <c r="A193" s="28"/>
      <c r="B193" s="13"/>
      <c r="C193" s="13"/>
    </row>
    <row r="194" spans="1:3" x14ac:dyDescent="0.3">
      <c r="A194" s="28"/>
      <c r="B194" s="13"/>
      <c r="C194" s="13"/>
    </row>
    <row r="195" spans="1:3" x14ac:dyDescent="0.3">
      <c r="A195" s="28"/>
      <c r="B195" s="13"/>
      <c r="C195" s="13"/>
    </row>
    <row r="196" spans="1:3" x14ac:dyDescent="0.3">
      <c r="A196" s="28"/>
      <c r="B196" s="13"/>
      <c r="C196" s="13"/>
    </row>
    <row r="197" spans="1:3" x14ac:dyDescent="0.3">
      <c r="A197" s="28"/>
      <c r="B197" s="13"/>
      <c r="C197" s="13"/>
    </row>
    <row r="198" spans="1:3" x14ac:dyDescent="0.3">
      <c r="A198" s="28"/>
      <c r="B198" s="13"/>
      <c r="C198" s="13"/>
    </row>
    <row r="199" spans="1:3" x14ac:dyDescent="0.3">
      <c r="A199" s="28"/>
      <c r="B199" s="13"/>
      <c r="C199" s="13"/>
    </row>
    <row r="200" spans="1:3" x14ac:dyDescent="0.3">
      <c r="A200" s="28"/>
      <c r="B200" s="13"/>
      <c r="C200" s="13"/>
    </row>
    <row r="201" spans="1:3" x14ac:dyDescent="0.3">
      <c r="A201" s="28"/>
      <c r="B201" s="13"/>
      <c r="C201" s="13"/>
    </row>
    <row r="202" spans="1:3" x14ac:dyDescent="0.3">
      <c r="A202" s="28"/>
      <c r="B202" s="13"/>
      <c r="C202" s="13"/>
    </row>
    <row r="203" spans="1:3" x14ac:dyDescent="0.3">
      <c r="A203" s="28"/>
      <c r="B203" s="13"/>
      <c r="C203" s="13"/>
    </row>
    <row r="204" spans="1:3" x14ac:dyDescent="0.3">
      <c r="A204" s="28"/>
      <c r="B204" s="13"/>
      <c r="C204" s="13"/>
    </row>
    <row r="205" spans="1:3" x14ac:dyDescent="0.3">
      <c r="A205" s="28"/>
      <c r="B205" s="13"/>
      <c r="C205" s="13"/>
    </row>
    <row r="206" spans="1:3" x14ac:dyDescent="0.3">
      <c r="A206" s="28"/>
      <c r="B206" s="13"/>
      <c r="C206" s="13"/>
    </row>
    <row r="207" spans="1:3" x14ac:dyDescent="0.3">
      <c r="A207" s="28"/>
      <c r="B207" s="13"/>
      <c r="C207" s="13"/>
    </row>
    <row r="208" spans="1:3" x14ac:dyDescent="0.3">
      <c r="A208" s="28"/>
      <c r="B208" s="13"/>
      <c r="C208" s="13"/>
    </row>
    <row r="209" spans="1:3" x14ac:dyDescent="0.3">
      <c r="A209" s="28"/>
      <c r="B209" s="13"/>
      <c r="C209" s="13"/>
    </row>
    <row r="210" spans="1:3" x14ac:dyDescent="0.3">
      <c r="A210" s="28"/>
      <c r="B210" s="13"/>
      <c r="C210" s="13"/>
    </row>
    <row r="211" spans="1:3" x14ac:dyDescent="0.3">
      <c r="A211" s="28"/>
      <c r="B211" s="13"/>
      <c r="C211" s="13"/>
    </row>
    <row r="212" spans="1:3" x14ac:dyDescent="0.3">
      <c r="A212" s="28"/>
      <c r="B212" s="13"/>
      <c r="C212" s="13"/>
    </row>
    <row r="213" spans="1:3" x14ac:dyDescent="0.3">
      <c r="A213" s="28"/>
      <c r="B213" s="13"/>
      <c r="C213" s="13"/>
    </row>
    <row r="214" spans="1:3" x14ac:dyDescent="0.3">
      <c r="A214" s="28"/>
      <c r="B214" s="13"/>
      <c r="C214" s="13"/>
    </row>
    <row r="215" spans="1:3" x14ac:dyDescent="0.3">
      <c r="A215" s="28"/>
      <c r="B215" s="13"/>
      <c r="C215" s="13"/>
    </row>
    <row r="216" spans="1:3" x14ac:dyDescent="0.3">
      <c r="A216" s="28"/>
      <c r="B216" s="13"/>
      <c r="C216" s="13"/>
    </row>
    <row r="217" spans="1:3" x14ac:dyDescent="0.3">
      <c r="A217" s="28"/>
      <c r="B217" s="13"/>
      <c r="C217" s="13"/>
    </row>
    <row r="218" spans="1:3" x14ac:dyDescent="0.3">
      <c r="A218" s="28"/>
      <c r="B218" s="13"/>
      <c r="C218" s="13"/>
    </row>
    <row r="219" spans="1:3" x14ac:dyDescent="0.3">
      <c r="A219" s="28"/>
      <c r="B219" s="13"/>
      <c r="C219" s="13"/>
    </row>
    <row r="220" spans="1:3" x14ac:dyDescent="0.3">
      <c r="A220" s="28"/>
      <c r="B220" s="13"/>
      <c r="C220" s="13"/>
    </row>
    <row r="221" spans="1:3" x14ac:dyDescent="0.3">
      <c r="A221" s="28"/>
      <c r="B221" s="13"/>
      <c r="C221" s="13"/>
    </row>
    <row r="222" spans="1:3" x14ac:dyDescent="0.3">
      <c r="A222" s="28"/>
      <c r="B222" s="13"/>
      <c r="C222" s="13"/>
    </row>
    <row r="223" spans="1:3" x14ac:dyDescent="0.3">
      <c r="A223" s="28"/>
      <c r="B223" s="13"/>
      <c r="C223" s="13"/>
    </row>
    <row r="224" spans="1:3" x14ac:dyDescent="0.3">
      <c r="A224" s="28"/>
      <c r="B224" s="13"/>
      <c r="C224" s="13"/>
    </row>
    <row r="225" spans="1:3" x14ac:dyDescent="0.3">
      <c r="A225" s="28"/>
      <c r="B225" s="13"/>
      <c r="C225" s="13"/>
    </row>
    <row r="226" spans="1:3" x14ac:dyDescent="0.3">
      <c r="A226" s="28"/>
      <c r="B226" s="13"/>
      <c r="C226" s="13"/>
    </row>
    <row r="227" spans="1:3" x14ac:dyDescent="0.3">
      <c r="A227" s="28"/>
      <c r="B227" s="13"/>
      <c r="C227" s="13"/>
    </row>
    <row r="228" spans="1:3" x14ac:dyDescent="0.3">
      <c r="A228" s="28"/>
      <c r="B228" s="13"/>
      <c r="C228" s="13"/>
    </row>
    <row r="229" spans="1:3" x14ac:dyDescent="0.3">
      <c r="A229" s="28"/>
      <c r="B229" s="13"/>
      <c r="C229" s="13"/>
    </row>
    <row r="230" spans="1:3" x14ac:dyDescent="0.3">
      <c r="A230" s="28"/>
      <c r="B230" s="13"/>
      <c r="C230" s="13"/>
    </row>
    <row r="231" spans="1:3" x14ac:dyDescent="0.3">
      <c r="A231" s="28"/>
      <c r="B231" s="13"/>
      <c r="C231" s="13"/>
    </row>
    <row r="232" spans="1:3" x14ac:dyDescent="0.3">
      <c r="A232" s="28"/>
      <c r="B232" s="13"/>
      <c r="C232" s="13"/>
    </row>
    <row r="233" spans="1:3" x14ac:dyDescent="0.3">
      <c r="A233" s="28"/>
      <c r="B233" s="13"/>
      <c r="C233" s="13"/>
    </row>
    <row r="234" spans="1:3" x14ac:dyDescent="0.3">
      <c r="A234" s="28"/>
      <c r="B234" s="13"/>
      <c r="C234" s="13"/>
    </row>
    <row r="235" spans="1:3" x14ac:dyDescent="0.3">
      <c r="A235" s="28"/>
      <c r="B235" s="13"/>
      <c r="C235" s="13"/>
    </row>
    <row r="236" spans="1:3" x14ac:dyDescent="0.3">
      <c r="A236" s="28"/>
      <c r="B236" s="13"/>
      <c r="C236" s="13"/>
    </row>
    <row r="237" spans="1:3" x14ac:dyDescent="0.3">
      <c r="A237" s="28"/>
      <c r="B237" s="13"/>
      <c r="C237" s="13"/>
    </row>
    <row r="238" spans="1:3" x14ac:dyDescent="0.3">
      <c r="A238" s="28"/>
      <c r="B238" s="13"/>
      <c r="C238" s="13"/>
    </row>
    <row r="239" spans="1:3" x14ac:dyDescent="0.3">
      <c r="A239" s="28"/>
      <c r="B239" s="13"/>
      <c r="C239" s="13"/>
    </row>
    <row r="240" spans="1:3" x14ac:dyDescent="0.3">
      <c r="A240" s="28"/>
      <c r="B240" s="13"/>
      <c r="C240" s="13"/>
    </row>
    <row r="241" spans="1:3" x14ac:dyDescent="0.3">
      <c r="A241" s="28"/>
      <c r="B241" s="13"/>
      <c r="C241" s="13"/>
    </row>
    <row r="242" spans="1:3" x14ac:dyDescent="0.3">
      <c r="A242" s="28"/>
      <c r="B242" s="13"/>
      <c r="C242" s="13"/>
    </row>
    <row r="243" spans="1:3" x14ac:dyDescent="0.3">
      <c r="A243" s="28"/>
      <c r="B243" s="13"/>
      <c r="C243" s="13"/>
    </row>
    <row r="244" spans="1:3" x14ac:dyDescent="0.3">
      <c r="A244" s="28"/>
      <c r="B244" s="13"/>
      <c r="C244" s="13"/>
    </row>
    <row r="245" spans="1:3" x14ac:dyDescent="0.3">
      <c r="A245" s="28"/>
      <c r="B245" s="13"/>
      <c r="C245" s="13"/>
    </row>
    <row r="246" spans="1:3" x14ac:dyDescent="0.3">
      <c r="A246" s="28"/>
      <c r="B246" s="13"/>
      <c r="C246" s="13"/>
    </row>
    <row r="247" spans="1:3" x14ac:dyDescent="0.3">
      <c r="A247" s="28"/>
      <c r="B247" s="13"/>
      <c r="C247" s="13"/>
    </row>
    <row r="248" spans="1:3" x14ac:dyDescent="0.3">
      <c r="A248" s="28"/>
      <c r="B248" s="13"/>
      <c r="C248" s="13"/>
    </row>
    <row r="249" spans="1:3" x14ac:dyDescent="0.3">
      <c r="A249" s="28"/>
      <c r="B249" s="13"/>
      <c r="C249" s="13"/>
    </row>
    <row r="250" spans="1:3" x14ac:dyDescent="0.3">
      <c r="A250" s="28"/>
      <c r="B250" s="13"/>
      <c r="C250" s="13"/>
    </row>
    <row r="251" spans="1:3" x14ac:dyDescent="0.3">
      <c r="A251" s="28"/>
      <c r="B251" s="13"/>
      <c r="C251" s="13"/>
    </row>
    <row r="252" spans="1:3" x14ac:dyDescent="0.3">
      <c r="A252" s="28"/>
      <c r="B252" s="13"/>
      <c r="C252" s="13"/>
    </row>
    <row r="253" spans="1:3" x14ac:dyDescent="0.3">
      <c r="A253" s="28"/>
      <c r="B253" s="13"/>
      <c r="C253" s="13"/>
    </row>
    <row r="254" spans="1:3" x14ac:dyDescent="0.3">
      <c r="A254" s="28"/>
      <c r="B254" s="13"/>
      <c r="C254" s="13"/>
    </row>
    <row r="255" spans="1:3" x14ac:dyDescent="0.3">
      <c r="A255" s="28"/>
      <c r="B255" s="13"/>
      <c r="C255" s="13"/>
    </row>
    <row r="256" spans="1:3" x14ac:dyDescent="0.3">
      <c r="A256" s="28"/>
      <c r="B256" s="13"/>
      <c r="C256" s="13"/>
    </row>
    <row r="257" spans="1:3" x14ac:dyDescent="0.3">
      <c r="A257" s="28"/>
      <c r="B257" s="13"/>
      <c r="C257" s="13"/>
    </row>
    <row r="258" spans="1:3" x14ac:dyDescent="0.3">
      <c r="A258" s="28"/>
      <c r="B258" s="13"/>
      <c r="C258" s="13"/>
    </row>
    <row r="259" spans="1:3" x14ac:dyDescent="0.3">
      <c r="A259" s="28"/>
      <c r="B259" s="13"/>
      <c r="C259" s="13"/>
    </row>
    <row r="260" spans="1:3" x14ac:dyDescent="0.3">
      <c r="A260" s="28"/>
      <c r="B260" s="13"/>
      <c r="C260" s="13"/>
    </row>
    <row r="261" spans="1:3" x14ac:dyDescent="0.3">
      <c r="A261" s="28"/>
      <c r="B261" s="13"/>
      <c r="C261" s="13"/>
    </row>
    <row r="262" spans="1:3" x14ac:dyDescent="0.3">
      <c r="A262" s="28"/>
      <c r="B262" s="13"/>
      <c r="C262" s="13"/>
    </row>
    <row r="263" spans="1:3" x14ac:dyDescent="0.3">
      <c r="A263" s="28"/>
      <c r="B263" s="13"/>
      <c r="C263" s="13"/>
    </row>
    <row r="264" spans="1:3" x14ac:dyDescent="0.3">
      <c r="A264" s="28"/>
      <c r="B264" s="13"/>
      <c r="C264" s="13"/>
    </row>
    <row r="265" spans="1:3" x14ac:dyDescent="0.3">
      <c r="A265" s="28"/>
      <c r="B265" s="13"/>
      <c r="C265" s="13"/>
    </row>
    <row r="266" spans="1:3" x14ac:dyDescent="0.3">
      <c r="A266" s="28"/>
      <c r="B266" s="13"/>
      <c r="C266" s="13"/>
    </row>
    <row r="267" spans="1:3" x14ac:dyDescent="0.3">
      <c r="A267" s="28"/>
      <c r="B267" s="13"/>
      <c r="C267" s="13"/>
    </row>
    <row r="268" spans="1:3" x14ac:dyDescent="0.3">
      <c r="A268" s="28"/>
      <c r="B268" s="13"/>
      <c r="C268" s="13"/>
    </row>
    <row r="269" spans="1:3" x14ac:dyDescent="0.3">
      <c r="A269" s="28"/>
      <c r="B269" s="13"/>
      <c r="C269" s="13"/>
    </row>
    <row r="270" spans="1:3" x14ac:dyDescent="0.3">
      <c r="A270" s="28"/>
      <c r="B270" s="13"/>
      <c r="C270" s="13"/>
    </row>
    <row r="271" spans="1:3" x14ac:dyDescent="0.3">
      <c r="A271" s="28"/>
      <c r="B271" s="13"/>
      <c r="C271" s="13"/>
    </row>
    <row r="272" spans="1:3" x14ac:dyDescent="0.3">
      <c r="A272" s="28"/>
      <c r="B272" s="13"/>
      <c r="C272" s="13"/>
    </row>
    <row r="273" spans="1:3" x14ac:dyDescent="0.3">
      <c r="A273" s="28"/>
      <c r="B273" s="13"/>
      <c r="C273" s="13"/>
    </row>
    <row r="274" spans="1:3" x14ac:dyDescent="0.3">
      <c r="A274" s="28"/>
      <c r="B274" s="13"/>
      <c r="C274" s="13"/>
    </row>
    <row r="275" spans="1:3" x14ac:dyDescent="0.3">
      <c r="A275" s="28"/>
      <c r="B275" s="13"/>
      <c r="C275" s="13"/>
    </row>
    <row r="276" spans="1:3" x14ac:dyDescent="0.3">
      <c r="A276" s="28"/>
      <c r="B276" s="13"/>
      <c r="C276" s="13"/>
    </row>
    <row r="277" spans="1:3" x14ac:dyDescent="0.3">
      <c r="A277" s="28"/>
      <c r="B277" s="13"/>
      <c r="C277" s="13"/>
    </row>
    <row r="278" spans="1:3" x14ac:dyDescent="0.3">
      <c r="A278" s="28"/>
      <c r="B278" s="13"/>
      <c r="C278" s="13"/>
    </row>
    <row r="279" spans="1:3" x14ac:dyDescent="0.3">
      <c r="A279" s="28"/>
      <c r="B279" s="13"/>
      <c r="C279" s="13"/>
    </row>
    <row r="280" spans="1:3" x14ac:dyDescent="0.3">
      <c r="A280" s="28"/>
      <c r="B280" s="13"/>
      <c r="C280" s="13"/>
    </row>
    <row r="281" spans="1:3" x14ac:dyDescent="0.3">
      <c r="A281" s="28"/>
      <c r="B281" s="13"/>
      <c r="C281" s="13"/>
    </row>
    <row r="282" spans="1:3" x14ac:dyDescent="0.3">
      <c r="A282" s="28"/>
      <c r="B282" s="13"/>
      <c r="C282" s="13"/>
    </row>
    <row r="283" spans="1:3" x14ac:dyDescent="0.3">
      <c r="A283" s="28"/>
      <c r="B283" s="13"/>
      <c r="C283" s="13"/>
    </row>
    <row r="284" spans="1:3" x14ac:dyDescent="0.3">
      <c r="A284" s="28"/>
      <c r="B284" s="13"/>
      <c r="C284" s="13"/>
    </row>
    <row r="285" spans="1:3" x14ac:dyDescent="0.3">
      <c r="A285" s="28"/>
      <c r="B285" s="13"/>
      <c r="C285" s="13"/>
    </row>
    <row r="286" spans="1:3" x14ac:dyDescent="0.3">
      <c r="A286" s="28"/>
      <c r="B286" s="13"/>
      <c r="C286" s="13"/>
    </row>
    <row r="287" spans="1:3" x14ac:dyDescent="0.3">
      <c r="A287" s="28"/>
      <c r="B287" s="13"/>
      <c r="C287" s="13"/>
    </row>
    <row r="288" spans="1:3" x14ac:dyDescent="0.3">
      <c r="A288" s="28"/>
      <c r="B288" s="13"/>
      <c r="C288" s="13"/>
    </row>
    <row r="289" spans="1:3" x14ac:dyDescent="0.3">
      <c r="A289" s="28"/>
      <c r="B289" s="13"/>
      <c r="C289" s="13"/>
    </row>
    <row r="290" spans="1:3" x14ac:dyDescent="0.3">
      <c r="A290" s="28"/>
      <c r="B290" s="13"/>
      <c r="C290" s="13"/>
    </row>
    <row r="291" spans="1:3" x14ac:dyDescent="0.3">
      <c r="A291" s="28"/>
      <c r="B291" s="13"/>
      <c r="C291" s="13"/>
    </row>
    <row r="292" spans="1:3" x14ac:dyDescent="0.3">
      <c r="A292" s="28"/>
      <c r="B292" s="13"/>
      <c r="C292" s="13"/>
    </row>
    <row r="293" spans="1:3" x14ac:dyDescent="0.3">
      <c r="A293" s="28"/>
      <c r="B293" s="13"/>
      <c r="C293" s="13"/>
    </row>
    <row r="294" spans="1:3" x14ac:dyDescent="0.3">
      <c r="A294" s="28"/>
      <c r="B294" s="13"/>
      <c r="C294" s="13"/>
    </row>
    <row r="295" spans="1:3" x14ac:dyDescent="0.3">
      <c r="A295" s="28"/>
      <c r="B295" s="13"/>
      <c r="C295" s="13"/>
    </row>
    <row r="296" spans="1:3" x14ac:dyDescent="0.3">
      <c r="A296" s="28"/>
      <c r="B296" s="13"/>
      <c r="C296" s="13"/>
    </row>
    <row r="297" spans="1:3" x14ac:dyDescent="0.3">
      <c r="A297" s="28"/>
      <c r="B297" s="13"/>
      <c r="C297" s="13"/>
    </row>
    <row r="298" spans="1:3" x14ac:dyDescent="0.3">
      <c r="A298" s="28"/>
      <c r="B298" s="13"/>
      <c r="C298" s="13"/>
    </row>
    <row r="299" spans="1:3" x14ac:dyDescent="0.3">
      <c r="A299" s="28"/>
      <c r="B299" s="13"/>
      <c r="C299" s="13"/>
    </row>
    <row r="300" spans="1:3" x14ac:dyDescent="0.3">
      <c r="A300" s="28"/>
      <c r="B300" s="13"/>
      <c r="C300" s="13"/>
    </row>
    <row r="301" spans="1:3" x14ac:dyDescent="0.3">
      <c r="A301" s="28"/>
      <c r="B301" s="13"/>
      <c r="C301" s="13"/>
    </row>
    <row r="302" spans="1:3" x14ac:dyDescent="0.3">
      <c r="A302" s="28"/>
      <c r="B302" s="13"/>
      <c r="C302" s="13"/>
    </row>
    <row r="303" spans="1:3" x14ac:dyDescent="0.3">
      <c r="A303" s="28"/>
      <c r="B303" s="13"/>
      <c r="C303" s="13"/>
    </row>
    <row r="304" spans="1:3" x14ac:dyDescent="0.3">
      <c r="A304" s="28"/>
      <c r="B304" s="13"/>
      <c r="C304" s="13"/>
    </row>
    <row r="305" spans="1:3" x14ac:dyDescent="0.3">
      <c r="A305" s="28"/>
      <c r="B305" s="13"/>
      <c r="C305" s="13"/>
    </row>
    <row r="306" spans="1:3" x14ac:dyDescent="0.3">
      <c r="A306" s="28"/>
      <c r="B306" s="13"/>
      <c r="C306" s="13"/>
    </row>
    <row r="307" spans="1:3" x14ac:dyDescent="0.3">
      <c r="A307" s="28"/>
      <c r="B307" s="13"/>
      <c r="C307" s="13"/>
    </row>
    <row r="308" spans="1:3" x14ac:dyDescent="0.3">
      <c r="A308" s="28"/>
      <c r="B308" s="13"/>
      <c r="C308" s="13"/>
    </row>
    <row r="309" spans="1:3" x14ac:dyDescent="0.3">
      <c r="A309" s="28"/>
      <c r="B309" s="13"/>
      <c r="C309" s="13"/>
    </row>
    <row r="310" spans="1:3" x14ac:dyDescent="0.3">
      <c r="A310" s="28"/>
      <c r="B310" s="13"/>
      <c r="C310" s="13"/>
    </row>
    <row r="311" spans="1:3" x14ac:dyDescent="0.3">
      <c r="A311" s="28"/>
      <c r="B311" s="13"/>
      <c r="C311" s="13"/>
    </row>
    <row r="312" spans="1:3" x14ac:dyDescent="0.3">
      <c r="A312" s="28"/>
      <c r="B312" s="13"/>
      <c r="C312" s="13"/>
    </row>
    <row r="313" spans="1:3" x14ac:dyDescent="0.3">
      <c r="A313" s="28"/>
      <c r="B313" s="13"/>
      <c r="C313" s="13"/>
    </row>
    <row r="314" spans="1:3" x14ac:dyDescent="0.3">
      <c r="A314" s="28"/>
      <c r="B314" s="13"/>
      <c r="C314" s="13"/>
    </row>
    <row r="315" spans="1:3" x14ac:dyDescent="0.3">
      <c r="A315" s="28"/>
      <c r="B315" s="13"/>
      <c r="C315" s="13"/>
    </row>
    <row r="316" spans="1:3" x14ac:dyDescent="0.3">
      <c r="A316" s="28"/>
      <c r="B316" s="13"/>
      <c r="C316" s="13"/>
    </row>
    <row r="317" spans="1:3" x14ac:dyDescent="0.3">
      <c r="A317" s="28"/>
      <c r="B317" s="13"/>
      <c r="C317" s="13"/>
    </row>
    <row r="318" spans="1:3" x14ac:dyDescent="0.3">
      <c r="A318" s="28"/>
      <c r="B318" s="13"/>
      <c r="C318" s="13"/>
    </row>
    <row r="319" spans="1:3" x14ac:dyDescent="0.3">
      <c r="A319" s="28"/>
      <c r="B319" s="13"/>
      <c r="C319" s="13"/>
    </row>
    <row r="320" spans="1:3" x14ac:dyDescent="0.3">
      <c r="A320" s="28"/>
      <c r="B320" s="13"/>
      <c r="C320" s="13"/>
    </row>
    <row r="321" spans="1:3" x14ac:dyDescent="0.3">
      <c r="A321" s="28"/>
      <c r="B321" s="13"/>
      <c r="C321" s="13"/>
    </row>
    <row r="322" spans="1:3" x14ac:dyDescent="0.3">
      <c r="A322" s="28"/>
      <c r="B322" s="13"/>
      <c r="C322" s="13"/>
    </row>
    <row r="323" spans="1:3" x14ac:dyDescent="0.3">
      <c r="A323" s="28"/>
      <c r="B323" s="13"/>
      <c r="C323" s="13"/>
    </row>
    <row r="324" spans="1:3" x14ac:dyDescent="0.3">
      <c r="A324" s="28"/>
      <c r="B324" s="13"/>
      <c r="C324" s="13"/>
    </row>
    <row r="325" spans="1:3" x14ac:dyDescent="0.3">
      <c r="A325" s="28"/>
      <c r="B325" s="13"/>
      <c r="C325" s="13"/>
    </row>
    <row r="326" spans="1:3" x14ac:dyDescent="0.3">
      <c r="A326" s="28"/>
      <c r="B326" s="13"/>
      <c r="C326" s="13"/>
    </row>
    <row r="327" spans="1:3" x14ac:dyDescent="0.3">
      <c r="A327" s="28"/>
      <c r="B327" s="13"/>
      <c r="C327" s="13"/>
    </row>
    <row r="328" spans="1:3" x14ac:dyDescent="0.3">
      <c r="A328" s="28"/>
      <c r="B328" s="13"/>
      <c r="C328" s="13"/>
    </row>
    <row r="329" spans="1:3" x14ac:dyDescent="0.3">
      <c r="A329" s="28"/>
      <c r="B329" s="13"/>
      <c r="C329" s="13"/>
    </row>
    <row r="330" spans="1:3" x14ac:dyDescent="0.3">
      <c r="A330" s="28"/>
      <c r="B330" s="13"/>
      <c r="C330" s="13"/>
    </row>
    <row r="331" spans="1:3" x14ac:dyDescent="0.3">
      <c r="A331" s="28"/>
      <c r="B331" s="13"/>
      <c r="C331" s="13"/>
    </row>
    <row r="332" spans="1:3" x14ac:dyDescent="0.3">
      <c r="A332" s="28"/>
      <c r="B332" s="13"/>
      <c r="C332" s="13"/>
    </row>
    <row r="333" spans="1:3" x14ac:dyDescent="0.3">
      <c r="A333" s="28"/>
      <c r="B333" s="13"/>
      <c r="C333" s="13"/>
    </row>
    <row r="334" spans="1:3" x14ac:dyDescent="0.3">
      <c r="A334" s="28"/>
      <c r="B334" s="13"/>
      <c r="C334" s="13"/>
    </row>
    <row r="335" spans="1:3" x14ac:dyDescent="0.3">
      <c r="A335" s="28"/>
      <c r="B335" s="13"/>
      <c r="C335" s="13"/>
    </row>
    <row r="336" spans="1:3" x14ac:dyDescent="0.3">
      <c r="A336" s="28"/>
      <c r="B336" s="13"/>
      <c r="C336" s="13"/>
    </row>
    <row r="337" spans="1:3" x14ac:dyDescent="0.3">
      <c r="A337" s="28"/>
      <c r="B337" s="13"/>
      <c r="C337" s="13"/>
    </row>
    <row r="338" spans="1:3" x14ac:dyDescent="0.3">
      <c r="A338" s="28"/>
      <c r="B338" s="13"/>
      <c r="C338" s="13"/>
    </row>
    <row r="339" spans="1:3" x14ac:dyDescent="0.3">
      <c r="A339" s="28"/>
      <c r="B339" s="13"/>
      <c r="C339" s="13"/>
    </row>
    <row r="340" spans="1:3" x14ac:dyDescent="0.3">
      <c r="A340" s="28"/>
      <c r="B340" s="13"/>
      <c r="C340" s="13"/>
    </row>
    <row r="341" spans="1:3" x14ac:dyDescent="0.3">
      <c r="A341" s="28"/>
      <c r="B341" s="13"/>
      <c r="C341" s="13"/>
    </row>
    <row r="342" spans="1:3" x14ac:dyDescent="0.3">
      <c r="A342" s="28"/>
      <c r="B342" s="13"/>
      <c r="C342" s="13"/>
    </row>
    <row r="343" spans="1:3" x14ac:dyDescent="0.3">
      <c r="A343" s="28"/>
      <c r="B343" s="13"/>
      <c r="C343" s="13"/>
    </row>
    <row r="344" spans="1:3" x14ac:dyDescent="0.3">
      <c r="A344" s="28"/>
      <c r="B344" s="13"/>
      <c r="C344" s="13"/>
    </row>
    <row r="345" spans="1:3" x14ac:dyDescent="0.3">
      <c r="A345" s="28"/>
      <c r="B345" s="13"/>
      <c r="C345" s="13"/>
    </row>
    <row r="346" spans="1:3" x14ac:dyDescent="0.3">
      <c r="A346" s="28"/>
      <c r="B346" s="13"/>
      <c r="C346" s="13"/>
    </row>
    <row r="347" spans="1:3" x14ac:dyDescent="0.3">
      <c r="A347" s="28"/>
      <c r="B347" s="13"/>
      <c r="C347" s="13"/>
    </row>
    <row r="348" spans="1:3" x14ac:dyDescent="0.3">
      <c r="A348" s="28"/>
      <c r="B348" s="13"/>
      <c r="C348" s="13"/>
    </row>
    <row r="349" spans="1:3" x14ac:dyDescent="0.3">
      <c r="A349" s="28"/>
      <c r="B349" s="13"/>
      <c r="C349" s="13"/>
    </row>
    <row r="350" spans="1:3" x14ac:dyDescent="0.3">
      <c r="A350" s="28"/>
      <c r="B350" s="13"/>
      <c r="C350" s="13"/>
    </row>
    <row r="351" spans="1:3" x14ac:dyDescent="0.3">
      <c r="A351" s="28"/>
      <c r="B351" s="13"/>
      <c r="C351" s="13"/>
    </row>
    <row r="352" spans="1:3" x14ac:dyDescent="0.3">
      <c r="A352" s="28"/>
      <c r="B352" s="13"/>
      <c r="C352" s="13"/>
    </row>
    <row r="353" spans="1:3" x14ac:dyDescent="0.3">
      <c r="A353" s="28"/>
      <c r="B353" s="13"/>
      <c r="C353" s="13"/>
    </row>
    <row r="354" spans="1:3" x14ac:dyDescent="0.3">
      <c r="A354" s="28"/>
      <c r="B354" s="13"/>
      <c r="C354" s="13"/>
    </row>
    <row r="355" spans="1:3" x14ac:dyDescent="0.3">
      <c r="A355" s="28"/>
      <c r="B355" s="13"/>
      <c r="C355" s="13"/>
    </row>
    <row r="356" spans="1:3" x14ac:dyDescent="0.3">
      <c r="A356" s="28"/>
      <c r="B356" s="13"/>
      <c r="C356" s="13"/>
    </row>
    <row r="357" spans="1:3" x14ac:dyDescent="0.3">
      <c r="A357" s="28"/>
      <c r="B357" s="13"/>
      <c r="C357" s="13"/>
    </row>
    <row r="358" spans="1:3" x14ac:dyDescent="0.3">
      <c r="A358" s="28"/>
      <c r="B358" s="13"/>
      <c r="C358" s="13"/>
    </row>
    <row r="359" spans="1:3" x14ac:dyDescent="0.3">
      <c r="A359" s="28"/>
      <c r="B359" s="13"/>
      <c r="C359" s="13"/>
    </row>
    <row r="360" spans="1:3" x14ac:dyDescent="0.3">
      <c r="A360" s="28"/>
      <c r="B360" s="13"/>
      <c r="C360" s="13"/>
    </row>
    <row r="361" spans="1:3" x14ac:dyDescent="0.3">
      <c r="A361" s="28"/>
      <c r="B361" s="13"/>
      <c r="C361" s="13"/>
    </row>
    <row r="362" spans="1:3" x14ac:dyDescent="0.3">
      <c r="A362" s="28"/>
      <c r="B362" s="13"/>
      <c r="C362" s="13"/>
    </row>
    <row r="363" spans="1:3" x14ac:dyDescent="0.3">
      <c r="A363" s="28"/>
      <c r="B363" s="13"/>
      <c r="C363" s="13"/>
    </row>
    <row r="364" spans="1:3" x14ac:dyDescent="0.3">
      <c r="A364" s="28"/>
      <c r="B364" s="13"/>
      <c r="C364" s="13"/>
    </row>
    <row r="365" spans="1:3" x14ac:dyDescent="0.3">
      <c r="A365" s="28"/>
      <c r="B365" s="13"/>
      <c r="C365" s="13"/>
    </row>
    <row r="366" spans="1:3" x14ac:dyDescent="0.3">
      <c r="A366" s="28"/>
      <c r="B366" s="13"/>
      <c r="C366" s="13"/>
    </row>
    <row r="367" spans="1:3" x14ac:dyDescent="0.3">
      <c r="A367" s="28"/>
      <c r="B367" s="13"/>
      <c r="C367" s="13"/>
    </row>
    <row r="368" spans="1:3" x14ac:dyDescent="0.3">
      <c r="A368" s="28"/>
      <c r="B368" s="13"/>
      <c r="C368" s="13"/>
    </row>
    <row r="369" spans="1:3" x14ac:dyDescent="0.3">
      <c r="A369" s="28"/>
      <c r="B369" s="13"/>
      <c r="C369" s="13"/>
    </row>
    <row r="370" spans="1:3" x14ac:dyDescent="0.3">
      <c r="A370" s="28"/>
      <c r="B370" s="13"/>
      <c r="C370" s="13"/>
    </row>
    <row r="371" spans="1:3" x14ac:dyDescent="0.3">
      <c r="A371" s="28"/>
      <c r="B371" s="13"/>
      <c r="C371" s="13"/>
    </row>
    <row r="372" spans="1:3" x14ac:dyDescent="0.3">
      <c r="A372" s="28"/>
      <c r="B372" s="13"/>
      <c r="C372" s="13"/>
    </row>
    <row r="373" spans="1:3" x14ac:dyDescent="0.3">
      <c r="A373" s="28"/>
      <c r="B373" s="13"/>
      <c r="C373" s="13"/>
    </row>
    <row r="374" spans="1:3" x14ac:dyDescent="0.3">
      <c r="A374" s="28"/>
      <c r="B374" s="13"/>
      <c r="C374" s="13"/>
    </row>
    <row r="375" spans="1:3" x14ac:dyDescent="0.3">
      <c r="A375" s="28"/>
      <c r="B375" s="13"/>
      <c r="C375" s="13"/>
    </row>
    <row r="376" spans="1:3" x14ac:dyDescent="0.3">
      <c r="A376" s="28"/>
      <c r="B376" s="13"/>
      <c r="C376" s="13"/>
    </row>
    <row r="377" spans="1:3" x14ac:dyDescent="0.3">
      <c r="A377" s="28"/>
      <c r="B377" s="13"/>
      <c r="C377" s="13"/>
    </row>
    <row r="378" spans="1:3" x14ac:dyDescent="0.3">
      <c r="A378" s="28"/>
      <c r="B378" s="13"/>
      <c r="C378" s="13"/>
    </row>
    <row r="379" spans="1:3" x14ac:dyDescent="0.3">
      <c r="A379" s="28"/>
      <c r="B379" s="13"/>
      <c r="C379" s="13"/>
    </row>
    <row r="380" spans="1:3" x14ac:dyDescent="0.3">
      <c r="A380" s="28"/>
      <c r="B380" s="13"/>
      <c r="C380" s="13"/>
    </row>
    <row r="381" spans="1:3" x14ac:dyDescent="0.3">
      <c r="A381" s="28"/>
      <c r="B381" s="13"/>
      <c r="C381" s="13"/>
    </row>
    <row r="382" spans="1:3" x14ac:dyDescent="0.3">
      <c r="A382" s="28"/>
      <c r="B382" s="13"/>
      <c r="C382" s="13"/>
    </row>
    <row r="383" spans="1:3" x14ac:dyDescent="0.3">
      <c r="A383" s="28"/>
      <c r="B383" s="13"/>
      <c r="C383" s="13"/>
    </row>
    <row r="384" spans="1:3" x14ac:dyDescent="0.3">
      <c r="A384" s="28"/>
      <c r="B384" s="13"/>
      <c r="C384" s="13"/>
    </row>
    <row r="385" spans="1:3" x14ac:dyDescent="0.3">
      <c r="A385" s="28"/>
      <c r="B385" s="13"/>
      <c r="C385" s="13"/>
    </row>
    <row r="386" spans="1:3" x14ac:dyDescent="0.3">
      <c r="A386" s="28"/>
      <c r="B386" s="13"/>
      <c r="C386" s="13"/>
    </row>
    <row r="387" spans="1:3" x14ac:dyDescent="0.3">
      <c r="A387" s="28"/>
      <c r="B387" s="13"/>
      <c r="C387" s="13"/>
    </row>
    <row r="388" spans="1:3" x14ac:dyDescent="0.3">
      <c r="A388" s="28"/>
      <c r="B388" s="13"/>
      <c r="C388" s="13"/>
    </row>
    <row r="389" spans="1:3" x14ac:dyDescent="0.3">
      <c r="A389" s="28"/>
      <c r="B389" s="13"/>
      <c r="C389" s="13"/>
    </row>
    <row r="390" spans="1:3" x14ac:dyDescent="0.3">
      <c r="A390" s="28"/>
      <c r="B390" s="13"/>
      <c r="C390" s="13"/>
    </row>
    <row r="391" spans="1:3" x14ac:dyDescent="0.3">
      <c r="A391" s="28"/>
      <c r="B391" s="13"/>
      <c r="C391" s="13"/>
    </row>
    <row r="392" spans="1:3" x14ac:dyDescent="0.3">
      <c r="A392" s="28"/>
      <c r="B392" s="13"/>
      <c r="C392" s="13"/>
    </row>
    <row r="393" spans="1:3" x14ac:dyDescent="0.3">
      <c r="A393" s="28"/>
      <c r="B393" s="13"/>
      <c r="C393" s="13"/>
    </row>
    <row r="394" spans="1:3" x14ac:dyDescent="0.3">
      <c r="A394" s="28"/>
      <c r="B394" s="13"/>
      <c r="C394" s="13"/>
    </row>
    <row r="395" spans="1:3" x14ac:dyDescent="0.3">
      <c r="A395" s="28"/>
      <c r="B395" s="13"/>
      <c r="C395" s="13"/>
    </row>
    <row r="396" spans="1:3" x14ac:dyDescent="0.3">
      <c r="A396" s="28"/>
      <c r="B396" s="13"/>
      <c r="C396" s="13"/>
    </row>
    <row r="397" spans="1:3" x14ac:dyDescent="0.3">
      <c r="A397" s="28"/>
      <c r="B397" s="13"/>
      <c r="C397" s="13"/>
    </row>
    <row r="398" spans="1:3" x14ac:dyDescent="0.3">
      <c r="A398" s="28"/>
      <c r="B398" s="13"/>
      <c r="C398" s="13"/>
    </row>
    <row r="399" spans="1:3" x14ac:dyDescent="0.3">
      <c r="A399" s="28"/>
      <c r="B399" s="13"/>
      <c r="C399" s="13"/>
    </row>
    <row r="400" spans="1:3" x14ac:dyDescent="0.3">
      <c r="A400" s="28"/>
      <c r="B400" s="13"/>
      <c r="C400" s="13"/>
    </row>
    <row r="401" spans="1:3" x14ac:dyDescent="0.3">
      <c r="A401" s="28"/>
      <c r="B401" s="13"/>
      <c r="C401" s="13"/>
    </row>
    <row r="402" spans="1:3" x14ac:dyDescent="0.3">
      <c r="A402" s="28"/>
      <c r="B402" s="13"/>
      <c r="C402" s="13"/>
    </row>
    <row r="403" spans="1:3" x14ac:dyDescent="0.3">
      <c r="A403" s="28"/>
      <c r="B403" s="13"/>
      <c r="C403" s="13"/>
    </row>
    <row r="404" spans="1:3" x14ac:dyDescent="0.3">
      <c r="A404" s="28"/>
      <c r="B404" s="13"/>
      <c r="C404" s="13"/>
    </row>
    <row r="405" spans="1:3" x14ac:dyDescent="0.3">
      <c r="A405" s="28"/>
      <c r="B405" s="13"/>
      <c r="C405" s="13"/>
    </row>
    <row r="406" spans="1:3" x14ac:dyDescent="0.3">
      <c r="A406" s="28"/>
      <c r="B406" s="13"/>
      <c r="C406" s="13"/>
    </row>
    <row r="407" spans="1:3" x14ac:dyDescent="0.3">
      <c r="A407" s="28"/>
      <c r="B407" s="13"/>
      <c r="C407" s="13"/>
    </row>
    <row r="408" spans="1:3" x14ac:dyDescent="0.3">
      <c r="A408" s="28"/>
      <c r="B408" s="13"/>
      <c r="C408" s="13"/>
    </row>
    <row r="409" spans="1:3" x14ac:dyDescent="0.3">
      <c r="A409" s="28"/>
      <c r="B409" s="13"/>
      <c r="C409" s="13"/>
    </row>
    <row r="410" spans="1:3" x14ac:dyDescent="0.3">
      <c r="A410" s="28"/>
      <c r="B410" s="13"/>
      <c r="C410" s="13"/>
    </row>
    <row r="411" spans="1:3" x14ac:dyDescent="0.3">
      <c r="A411" s="28"/>
      <c r="B411" s="13"/>
      <c r="C411" s="13"/>
    </row>
    <row r="412" spans="1:3" x14ac:dyDescent="0.3">
      <c r="A412" s="28"/>
      <c r="B412" s="13"/>
      <c r="C412" s="13"/>
    </row>
    <row r="413" spans="1:3" x14ac:dyDescent="0.3">
      <c r="A413" s="28"/>
      <c r="B413" s="13"/>
      <c r="C413" s="13"/>
    </row>
    <row r="414" spans="1:3" x14ac:dyDescent="0.3">
      <c r="A414" s="28"/>
      <c r="B414" s="13"/>
      <c r="C414" s="13"/>
    </row>
    <row r="415" spans="1:3" x14ac:dyDescent="0.3">
      <c r="A415" s="28"/>
      <c r="B415" s="13"/>
      <c r="C415" s="13"/>
    </row>
    <row r="416" spans="1:3" x14ac:dyDescent="0.3">
      <c r="A416" s="28"/>
      <c r="B416" s="13"/>
      <c r="C416" s="13"/>
    </row>
    <row r="417" spans="1:3" x14ac:dyDescent="0.3">
      <c r="A417" s="28"/>
      <c r="B417" s="13"/>
      <c r="C417" s="13"/>
    </row>
    <row r="418" spans="1:3" x14ac:dyDescent="0.3">
      <c r="A418" s="28"/>
      <c r="B418" s="13"/>
      <c r="C418" s="13"/>
    </row>
    <row r="419" spans="1:3" x14ac:dyDescent="0.3">
      <c r="A419" s="28"/>
      <c r="B419" s="13"/>
      <c r="C419" s="13"/>
    </row>
    <row r="420" spans="1:3" x14ac:dyDescent="0.3">
      <c r="A420" s="28"/>
      <c r="B420" s="13"/>
      <c r="C420" s="13"/>
    </row>
    <row r="421" spans="1:3" x14ac:dyDescent="0.3">
      <c r="A421" s="28"/>
      <c r="B421" s="13"/>
      <c r="C421" s="13"/>
    </row>
    <row r="422" spans="1:3" x14ac:dyDescent="0.3">
      <c r="A422" s="28"/>
      <c r="B422" s="13"/>
      <c r="C422" s="13"/>
    </row>
    <row r="423" spans="1:3" x14ac:dyDescent="0.3">
      <c r="A423" s="28"/>
      <c r="B423" s="13"/>
      <c r="C423" s="13"/>
    </row>
    <row r="424" spans="1:3" x14ac:dyDescent="0.3">
      <c r="A424" s="28"/>
      <c r="B424" s="13"/>
      <c r="C424" s="13"/>
    </row>
    <row r="425" spans="1:3" x14ac:dyDescent="0.3">
      <c r="A425" s="28"/>
      <c r="B425" s="13"/>
      <c r="C425" s="13"/>
    </row>
    <row r="426" spans="1:3" x14ac:dyDescent="0.3">
      <c r="A426" s="28"/>
      <c r="B426" s="13"/>
      <c r="C426" s="13"/>
    </row>
    <row r="427" spans="1:3" x14ac:dyDescent="0.3">
      <c r="A427" s="28"/>
      <c r="B427" s="13"/>
      <c r="C427" s="13"/>
    </row>
    <row r="428" spans="1:3" x14ac:dyDescent="0.3">
      <c r="A428" s="28"/>
      <c r="B428" s="13"/>
      <c r="C428" s="13"/>
    </row>
    <row r="429" spans="1:3" x14ac:dyDescent="0.3">
      <c r="A429" s="28"/>
      <c r="B429" s="13"/>
      <c r="C429" s="13"/>
    </row>
    <row r="430" spans="1:3" x14ac:dyDescent="0.3">
      <c r="A430" s="28"/>
      <c r="B430" s="13"/>
      <c r="C430" s="13"/>
    </row>
    <row r="431" spans="1:3" x14ac:dyDescent="0.3">
      <c r="A431" s="28"/>
      <c r="B431" s="13"/>
      <c r="C431" s="13"/>
    </row>
    <row r="432" spans="1:3" x14ac:dyDescent="0.3">
      <c r="A432" s="28"/>
      <c r="B432" s="13"/>
      <c r="C432" s="13"/>
    </row>
    <row r="433" spans="1:3" x14ac:dyDescent="0.3">
      <c r="A433" s="28"/>
      <c r="B433" s="13"/>
      <c r="C433" s="13"/>
    </row>
    <row r="434" spans="1:3" x14ac:dyDescent="0.3">
      <c r="A434" s="28"/>
      <c r="B434" s="13"/>
      <c r="C434" s="13"/>
    </row>
    <row r="435" spans="1:3" x14ac:dyDescent="0.3">
      <c r="A435" s="28"/>
      <c r="B435" s="13"/>
      <c r="C435" s="13"/>
    </row>
    <row r="436" spans="1:3" x14ac:dyDescent="0.3">
      <c r="A436" s="28"/>
      <c r="B436" s="13"/>
      <c r="C436" s="13"/>
    </row>
    <row r="437" spans="1:3" x14ac:dyDescent="0.3">
      <c r="A437" s="28"/>
      <c r="B437" s="13"/>
      <c r="C437" s="13"/>
    </row>
    <row r="438" spans="1:3" x14ac:dyDescent="0.3">
      <c r="A438" s="28"/>
      <c r="B438" s="13"/>
      <c r="C438" s="13"/>
    </row>
    <row r="439" spans="1:3" x14ac:dyDescent="0.3">
      <c r="A439" s="28"/>
      <c r="B439" s="13"/>
      <c r="C439" s="13"/>
    </row>
    <row r="440" spans="1:3" x14ac:dyDescent="0.3">
      <c r="A440" s="28"/>
      <c r="B440" s="13"/>
      <c r="C440" s="13"/>
    </row>
    <row r="441" spans="1:3" x14ac:dyDescent="0.3">
      <c r="A441" s="28"/>
      <c r="B441" s="13"/>
      <c r="C441" s="13"/>
    </row>
    <row r="442" spans="1:3" x14ac:dyDescent="0.3">
      <c r="A442" s="28"/>
      <c r="B442" s="13"/>
      <c r="C442" s="13"/>
    </row>
    <row r="443" spans="1:3" x14ac:dyDescent="0.3">
      <c r="A443" s="28"/>
      <c r="B443" s="13"/>
      <c r="C443" s="13"/>
    </row>
    <row r="444" spans="1:3" x14ac:dyDescent="0.3">
      <c r="A444" s="28"/>
      <c r="B444" s="13"/>
      <c r="C444" s="13"/>
    </row>
    <row r="445" spans="1:3" x14ac:dyDescent="0.3">
      <c r="A445" s="28"/>
      <c r="B445" s="13"/>
      <c r="C445" s="13"/>
    </row>
    <row r="446" spans="1:3" x14ac:dyDescent="0.3">
      <c r="A446" s="28"/>
      <c r="B446" s="13"/>
      <c r="C446" s="13"/>
    </row>
    <row r="447" spans="1:3" x14ac:dyDescent="0.3">
      <c r="A447" s="28"/>
      <c r="B447" s="13"/>
      <c r="C447" s="13"/>
    </row>
    <row r="448" spans="1:3" x14ac:dyDescent="0.3">
      <c r="A448" s="28"/>
      <c r="B448" s="13"/>
      <c r="C448" s="13"/>
    </row>
    <row r="449" spans="1:3" x14ac:dyDescent="0.3">
      <c r="A449" s="28"/>
      <c r="B449" s="13"/>
      <c r="C449" s="13"/>
    </row>
    <row r="450" spans="1:3" x14ac:dyDescent="0.3">
      <c r="A450" s="28"/>
      <c r="B450" s="13"/>
      <c r="C450" s="13"/>
    </row>
    <row r="451" spans="1:3" x14ac:dyDescent="0.3">
      <c r="A451" s="28"/>
      <c r="B451" s="13"/>
      <c r="C451" s="13"/>
    </row>
    <row r="452" spans="1:3" x14ac:dyDescent="0.3">
      <c r="A452" s="28"/>
      <c r="B452" s="13"/>
      <c r="C452" s="13"/>
    </row>
    <row r="453" spans="1:3" x14ac:dyDescent="0.3">
      <c r="A453" s="28"/>
      <c r="B453" s="13"/>
      <c r="C453" s="13"/>
    </row>
    <row r="454" spans="1:3" x14ac:dyDescent="0.3">
      <c r="A454" s="28"/>
      <c r="B454" s="13"/>
      <c r="C454" s="13"/>
    </row>
    <row r="455" spans="1:3" x14ac:dyDescent="0.3">
      <c r="A455" s="28"/>
      <c r="B455" s="13"/>
      <c r="C455" s="13"/>
    </row>
    <row r="456" spans="1:3" x14ac:dyDescent="0.3">
      <c r="A456" s="28"/>
      <c r="B456" s="13"/>
      <c r="C456" s="13"/>
    </row>
    <row r="457" spans="1:3" x14ac:dyDescent="0.3">
      <c r="A457" s="28"/>
      <c r="B457" s="13"/>
      <c r="C457" s="13"/>
    </row>
    <row r="458" spans="1:3" x14ac:dyDescent="0.3">
      <c r="A458" s="28"/>
      <c r="B458" s="13"/>
      <c r="C458" s="13"/>
    </row>
    <row r="459" spans="1:3" x14ac:dyDescent="0.3">
      <c r="A459" s="28"/>
      <c r="B459" s="13"/>
      <c r="C459" s="13"/>
    </row>
    <row r="460" spans="1:3" x14ac:dyDescent="0.3">
      <c r="A460" s="28"/>
      <c r="B460" s="13"/>
      <c r="C460" s="13"/>
    </row>
    <row r="461" spans="1:3" x14ac:dyDescent="0.3">
      <c r="A461" s="28"/>
      <c r="B461" s="13"/>
      <c r="C461" s="13"/>
    </row>
    <row r="462" spans="1:3" x14ac:dyDescent="0.3">
      <c r="A462" s="28"/>
      <c r="B462" s="13"/>
      <c r="C462" s="13"/>
    </row>
    <row r="463" spans="1:3" x14ac:dyDescent="0.3">
      <c r="A463" s="28"/>
      <c r="B463" s="13"/>
      <c r="C463" s="13"/>
    </row>
    <row r="464" spans="1:3" x14ac:dyDescent="0.3">
      <c r="A464" s="28"/>
      <c r="B464" s="13"/>
      <c r="C464" s="13"/>
    </row>
    <row r="465" spans="1:3" x14ac:dyDescent="0.3">
      <c r="A465" s="28"/>
      <c r="B465" s="13"/>
      <c r="C465" s="13"/>
    </row>
    <row r="466" spans="1:3" x14ac:dyDescent="0.3">
      <c r="A466" s="28"/>
      <c r="B466" s="13"/>
      <c r="C466" s="13"/>
    </row>
    <row r="467" spans="1:3" x14ac:dyDescent="0.3">
      <c r="A467" s="28"/>
      <c r="B467" s="13"/>
      <c r="C467" s="13"/>
    </row>
    <row r="468" spans="1:3" x14ac:dyDescent="0.3">
      <c r="A468" s="28"/>
      <c r="B468" s="13"/>
      <c r="C468" s="13"/>
    </row>
    <row r="469" spans="1:3" x14ac:dyDescent="0.3">
      <c r="A469" s="28"/>
      <c r="B469" s="13"/>
      <c r="C469" s="13"/>
    </row>
    <row r="470" spans="1:3" x14ac:dyDescent="0.3">
      <c r="A470" s="28"/>
      <c r="B470" s="13"/>
      <c r="C470" s="13"/>
    </row>
    <row r="471" spans="1:3" x14ac:dyDescent="0.3">
      <c r="A471" s="28"/>
      <c r="B471" s="13"/>
      <c r="C471" s="13"/>
    </row>
    <row r="472" spans="1:3" x14ac:dyDescent="0.3">
      <c r="A472" s="28"/>
      <c r="B472" s="13"/>
      <c r="C472" s="13"/>
    </row>
    <row r="473" spans="1:3" x14ac:dyDescent="0.3">
      <c r="A473" s="28"/>
      <c r="B473" s="13"/>
      <c r="C473" s="13"/>
    </row>
    <row r="474" spans="1:3" x14ac:dyDescent="0.3">
      <c r="A474" s="28"/>
      <c r="B474" s="13"/>
      <c r="C474" s="13"/>
    </row>
    <row r="475" spans="1:3" x14ac:dyDescent="0.3">
      <c r="A475" s="28"/>
      <c r="B475" s="13"/>
      <c r="C475" s="13"/>
    </row>
    <row r="476" spans="1:3" x14ac:dyDescent="0.3">
      <c r="A476" s="28"/>
      <c r="B476" s="13"/>
      <c r="C476" s="13"/>
    </row>
    <row r="477" spans="1:3" x14ac:dyDescent="0.3">
      <c r="A477" s="28"/>
      <c r="B477" s="13"/>
      <c r="C477" s="13"/>
    </row>
    <row r="478" spans="1:3" x14ac:dyDescent="0.3">
      <c r="A478" s="28"/>
      <c r="B478" s="13"/>
      <c r="C478" s="13"/>
    </row>
    <row r="479" spans="1:3" x14ac:dyDescent="0.3">
      <c r="A479" s="28"/>
      <c r="B479" s="13"/>
      <c r="C479" s="13"/>
    </row>
    <row r="480" spans="1:3" x14ac:dyDescent="0.3">
      <c r="A480" s="28"/>
      <c r="B480" s="13"/>
      <c r="C480" s="13"/>
    </row>
    <row r="481" spans="1:3" x14ac:dyDescent="0.3">
      <c r="A481" s="28"/>
      <c r="B481" s="13"/>
      <c r="C481" s="13"/>
    </row>
    <row r="482" spans="1:3" x14ac:dyDescent="0.3">
      <c r="A482" s="28"/>
      <c r="B482" s="13"/>
      <c r="C482" s="13"/>
    </row>
    <row r="483" spans="1:3" x14ac:dyDescent="0.3">
      <c r="A483" s="28"/>
      <c r="B483" s="13"/>
      <c r="C483" s="13"/>
    </row>
    <row r="484" spans="1:3" x14ac:dyDescent="0.3">
      <c r="A484" s="28"/>
      <c r="B484" s="13"/>
      <c r="C484" s="13"/>
    </row>
    <row r="485" spans="1:3" x14ac:dyDescent="0.3">
      <c r="A485" s="28"/>
      <c r="B485" s="13"/>
      <c r="C485" s="13"/>
    </row>
    <row r="486" spans="1:3" x14ac:dyDescent="0.3">
      <c r="A486" s="28"/>
      <c r="B486" s="13"/>
      <c r="C486" s="13"/>
    </row>
    <row r="487" spans="1:3" x14ac:dyDescent="0.3">
      <c r="A487" s="28"/>
      <c r="B487" s="13"/>
      <c r="C487" s="13"/>
    </row>
    <row r="488" spans="1:3" x14ac:dyDescent="0.3">
      <c r="A488" s="28"/>
      <c r="B488" s="13"/>
      <c r="C488" s="13"/>
    </row>
    <row r="489" spans="1:3" x14ac:dyDescent="0.3">
      <c r="A489" s="28"/>
      <c r="B489" s="13"/>
      <c r="C489" s="13"/>
    </row>
    <row r="490" spans="1:3" x14ac:dyDescent="0.3">
      <c r="A490" s="28"/>
      <c r="B490" s="13"/>
      <c r="C490" s="13"/>
    </row>
    <row r="491" spans="1:3" x14ac:dyDescent="0.3">
      <c r="A491" s="28"/>
      <c r="B491" s="13"/>
      <c r="C491" s="13"/>
    </row>
    <row r="492" spans="1:3" x14ac:dyDescent="0.3">
      <c r="A492" s="28"/>
      <c r="B492" s="13"/>
      <c r="C492" s="13"/>
    </row>
    <row r="493" spans="1:3" x14ac:dyDescent="0.3">
      <c r="A493" s="28"/>
      <c r="B493" s="13"/>
      <c r="C493" s="13"/>
    </row>
    <row r="494" spans="1:3" x14ac:dyDescent="0.3">
      <c r="A494" s="28"/>
      <c r="B494" s="13"/>
      <c r="C494" s="13"/>
    </row>
    <row r="495" spans="1:3" x14ac:dyDescent="0.3">
      <c r="A495" s="28"/>
      <c r="B495" s="13"/>
      <c r="C495" s="13"/>
    </row>
    <row r="496" spans="1:3" x14ac:dyDescent="0.3">
      <c r="A496" s="28"/>
      <c r="B496" s="13"/>
      <c r="C496" s="13"/>
    </row>
    <row r="497" spans="1:3" x14ac:dyDescent="0.3">
      <c r="A497" s="28"/>
      <c r="B497" s="13"/>
      <c r="C497" s="13"/>
    </row>
    <row r="498" spans="1:3" x14ac:dyDescent="0.3">
      <c r="A498" s="28"/>
      <c r="B498" s="13"/>
      <c r="C498" s="13"/>
    </row>
    <row r="499" spans="1:3" x14ac:dyDescent="0.3">
      <c r="A499" s="28"/>
      <c r="B499" s="13"/>
      <c r="C499" s="13"/>
    </row>
    <row r="500" spans="1:3" x14ac:dyDescent="0.3">
      <c r="A500" s="28"/>
      <c r="B500" s="13"/>
      <c r="C500" s="13"/>
    </row>
    <row r="501" spans="1:3" x14ac:dyDescent="0.3">
      <c r="A501" s="28"/>
      <c r="B501" s="13"/>
      <c r="C501" s="13"/>
    </row>
    <row r="502" spans="1:3" x14ac:dyDescent="0.3">
      <c r="A502" s="28"/>
      <c r="B502" s="13"/>
      <c r="C502" s="13"/>
    </row>
    <row r="503" spans="1:3" x14ac:dyDescent="0.3">
      <c r="A503" s="28"/>
      <c r="B503" s="13"/>
      <c r="C503" s="13"/>
    </row>
    <row r="504" spans="1:3" x14ac:dyDescent="0.3">
      <c r="A504" s="28"/>
      <c r="B504" s="13"/>
      <c r="C504" s="13"/>
    </row>
    <row r="505" spans="1:3" x14ac:dyDescent="0.3">
      <c r="A505" s="28"/>
      <c r="B505" s="13"/>
      <c r="C505" s="13"/>
    </row>
    <row r="506" spans="1:3" x14ac:dyDescent="0.3">
      <c r="A506" s="28"/>
      <c r="B506" s="13"/>
      <c r="C506" s="13"/>
    </row>
    <row r="507" spans="1:3" x14ac:dyDescent="0.3">
      <c r="A507" s="28"/>
      <c r="B507" s="13"/>
      <c r="C507" s="13"/>
    </row>
    <row r="508" spans="1:3" x14ac:dyDescent="0.3">
      <c r="A508" s="28"/>
      <c r="B508" s="13"/>
      <c r="C508" s="13"/>
    </row>
    <row r="509" spans="1:3" x14ac:dyDescent="0.3">
      <c r="A509" s="28"/>
      <c r="B509" s="13"/>
      <c r="C509" s="13"/>
    </row>
    <row r="510" spans="1:3" x14ac:dyDescent="0.3">
      <c r="A510" s="28"/>
      <c r="B510" s="13"/>
      <c r="C510" s="13"/>
    </row>
    <row r="511" spans="1:3" x14ac:dyDescent="0.3">
      <c r="A511" s="28"/>
      <c r="B511" s="13"/>
      <c r="C511" s="13"/>
    </row>
    <row r="512" spans="1:3" x14ac:dyDescent="0.3">
      <c r="A512" s="28"/>
      <c r="B512" s="13"/>
      <c r="C512" s="13"/>
    </row>
    <row r="513" spans="1:3" x14ac:dyDescent="0.3">
      <c r="A513" s="28"/>
      <c r="B513" s="13"/>
      <c r="C513" s="13"/>
    </row>
    <row r="514" spans="1:3" x14ac:dyDescent="0.3">
      <c r="A514" s="28"/>
      <c r="B514" s="13"/>
      <c r="C514" s="13"/>
    </row>
    <row r="515" spans="1:3" x14ac:dyDescent="0.3">
      <c r="A515" s="28"/>
      <c r="B515" s="13"/>
      <c r="C515" s="13"/>
    </row>
    <row r="516" spans="1:3" x14ac:dyDescent="0.3">
      <c r="A516" s="28"/>
      <c r="B516" s="13"/>
      <c r="C516" s="13"/>
    </row>
    <row r="517" spans="1:3" x14ac:dyDescent="0.3">
      <c r="A517" s="28"/>
      <c r="B517" s="13"/>
      <c r="C517" s="13"/>
    </row>
    <row r="518" spans="1:3" x14ac:dyDescent="0.3">
      <c r="A518" s="28"/>
      <c r="B518" s="13"/>
      <c r="C518" s="13"/>
    </row>
    <row r="519" spans="1:3" x14ac:dyDescent="0.3">
      <c r="A519" s="28"/>
      <c r="B519" s="13"/>
      <c r="C519" s="13"/>
    </row>
    <row r="520" spans="1:3" x14ac:dyDescent="0.3">
      <c r="A520" s="28"/>
      <c r="B520" s="13"/>
      <c r="C520" s="13"/>
    </row>
    <row r="521" spans="1:3" x14ac:dyDescent="0.3">
      <c r="A521" s="28"/>
      <c r="B521" s="13"/>
      <c r="C521" s="13"/>
    </row>
    <row r="522" spans="1:3" x14ac:dyDescent="0.3">
      <c r="A522" s="28"/>
      <c r="B522" s="13"/>
      <c r="C522" s="13"/>
    </row>
    <row r="523" spans="1:3" x14ac:dyDescent="0.3">
      <c r="A523" s="28"/>
      <c r="B523" s="13"/>
      <c r="C523" s="13"/>
    </row>
    <row r="524" spans="1:3" x14ac:dyDescent="0.3">
      <c r="A524" s="28"/>
      <c r="B524" s="13"/>
      <c r="C524" s="13"/>
    </row>
    <row r="525" spans="1:3" x14ac:dyDescent="0.3">
      <c r="A525" s="28"/>
      <c r="B525" s="13"/>
      <c r="C525" s="13"/>
    </row>
    <row r="526" spans="1:3" x14ac:dyDescent="0.3">
      <c r="A526" s="28"/>
      <c r="B526" s="13"/>
      <c r="C526" s="13"/>
    </row>
    <row r="527" spans="1:3" x14ac:dyDescent="0.3">
      <c r="A527" s="28"/>
      <c r="B527" s="13"/>
      <c r="C527" s="13"/>
    </row>
    <row r="528" spans="1:3" x14ac:dyDescent="0.3">
      <c r="A528" s="28"/>
      <c r="B528" s="13"/>
      <c r="C528" s="13"/>
    </row>
    <row r="529" spans="1:3" x14ac:dyDescent="0.3">
      <c r="A529" s="28"/>
      <c r="B529" s="13"/>
      <c r="C529" s="13"/>
    </row>
    <row r="530" spans="1:3" x14ac:dyDescent="0.3">
      <c r="A530" s="28"/>
      <c r="B530" s="13"/>
      <c r="C530" s="13"/>
    </row>
    <row r="531" spans="1:3" x14ac:dyDescent="0.3">
      <c r="A531" s="28"/>
      <c r="B531" s="13"/>
      <c r="C531" s="13"/>
    </row>
    <row r="532" spans="1:3" x14ac:dyDescent="0.3">
      <c r="A532" s="28"/>
      <c r="B532" s="13"/>
      <c r="C532" s="13"/>
    </row>
    <row r="533" spans="1:3" x14ac:dyDescent="0.3">
      <c r="A533" s="28"/>
      <c r="B533" s="13"/>
      <c r="C533" s="13"/>
    </row>
    <row r="534" spans="1:3" x14ac:dyDescent="0.3">
      <c r="A534" s="28"/>
      <c r="B534" s="13"/>
      <c r="C534" s="13"/>
    </row>
    <row r="535" spans="1:3" x14ac:dyDescent="0.3">
      <c r="A535" s="28"/>
      <c r="B535" s="13"/>
      <c r="C535" s="13"/>
    </row>
    <row r="536" spans="1:3" x14ac:dyDescent="0.3">
      <c r="A536" s="28"/>
      <c r="B536" s="13"/>
      <c r="C536" s="13"/>
    </row>
    <row r="537" spans="1:3" x14ac:dyDescent="0.3">
      <c r="A537" s="28"/>
      <c r="B537" s="13"/>
      <c r="C537" s="13"/>
    </row>
    <row r="538" spans="1:3" x14ac:dyDescent="0.3">
      <c r="A538" s="28"/>
      <c r="B538" s="13"/>
      <c r="C538" s="13"/>
    </row>
    <row r="539" spans="1:3" x14ac:dyDescent="0.3">
      <c r="A539" s="28"/>
      <c r="B539" s="13"/>
      <c r="C539" s="13"/>
    </row>
    <row r="540" spans="1:3" x14ac:dyDescent="0.3">
      <c r="A540" s="28"/>
      <c r="B540" s="13"/>
      <c r="C540" s="13"/>
    </row>
    <row r="541" spans="1:3" x14ac:dyDescent="0.3">
      <c r="A541" s="28"/>
      <c r="B541" s="13"/>
      <c r="C541" s="13"/>
    </row>
    <row r="542" spans="1:3" x14ac:dyDescent="0.3">
      <c r="A542" s="28"/>
      <c r="B542" s="13"/>
      <c r="C542" s="13"/>
    </row>
    <row r="543" spans="1:3" x14ac:dyDescent="0.3">
      <c r="A543" s="28"/>
      <c r="B543" s="13"/>
      <c r="C543" s="13"/>
    </row>
    <row r="544" spans="1:3" x14ac:dyDescent="0.3">
      <c r="A544" s="28"/>
      <c r="B544" s="13"/>
      <c r="C544" s="13"/>
    </row>
    <row r="545" spans="1:3" x14ac:dyDescent="0.3">
      <c r="A545" s="28"/>
      <c r="B545" s="13"/>
      <c r="C545" s="13"/>
    </row>
    <row r="546" spans="1:3" x14ac:dyDescent="0.3">
      <c r="A546" s="28"/>
      <c r="B546" s="13"/>
      <c r="C546" s="13"/>
    </row>
    <row r="547" spans="1:3" x14ac:dyDescent="0.3">
      <c r="A547" s="28"/>
      <c r="B547" s="13"/>
      <c r="C547" s="13"/>
    </row>
    <row r="548" spans="1:3" x14ac:dyDescent="0.3">
      <c r="A548" s="28"/>
      <c r="B548" s="13"/>
      <c r="C548" s="13"/>
    </row>
    <row r="549" spans="1:3" x14ac:dyDescent="0.3">
      <c r="A549" s="28"/>
      <c r="B549" s="13"/>
      <c r="C549" s="13"/>
    </row>
    <row r="550" spans="1:3" x14ac:dyDescent="0.3">
      <c r="A550" s="28"/>
      <c r="B550" s="13"/>
      <c r="C550" s="13"/>
    </row>
    <row r="551" spans="1:3" x14ac:dyDescent="0.3">
      <c r="A551" s="28"/>
      <c r="B551" s="13"/>
      <c r="C551" s="13"/>
    </row>
    <row r="552" spans="1:3" x14ac:dyDescent="0.3">
      <c r="A552" s="28"/>
      <c r="B552" s="13"/>
      <c r="C552" s="13"/>
    </row>
    <row r="553" spans="1:3" x14ac:dyDescent="0.3">
      <c r="A553" s="28"/>
      <c r="B553" s="13"/>
      <c r="C553" s="13"/>
    </row>
    <row r="554" spans="1:3" x14ac:dyDescent="0.3">
      <c r="A554" s="28"/>
      <c r="B554" s="13"/>
      <c r="C554" s="13"/>
    </row>
    <row r="555" spans="1:3" x14ac:dyDescent="0.3">
      <c r="A555" s="28"/>
      <c r="B555" s="13"/>
      <c r="C555" s="13"/>
    </row>
    <row r="556" spans="1:3" x14ac:dyDescent="0.3">
      <c r="A556" s="28"/>
      <c r="B556" s="13"/>
      <c r="C556" s="13"/>
    </row>
    <row r="557" spans="1:3" x14ac:dyDescent="0.3">
      <c r="A557" s="28"/>
      <c r="B557" s="13"/>
      <c r="C557" s="13"/>
    </row>
    <row r="558" spans="1:3" x14ac:dyDescent="0.3">
      <c r="A558" s="28"/>
      <c r="B558" s="13"/>
      <c r="C558" s="13"/>
    </row>
    <row r="559" spans="1:3" x14ac:dyDescent="0.3">
      <c r="A559" s="28"/>
      <c r="B559" s="13"/>
      <c r="C559" s="13"/>
    </row>
    <row r="560" spans="1:3" x14ac:dyDescent="0.3">
      <c r="A560" s="28"/>
      <c r="B560" s="13"/>
      <c r="C560" s="13"/>
    </row>
    <row r="561" spans="1:3" x14ac:dyDescent="0.3">
      <c r="A561" s="28"/>
      <c r="B561" s="13"/>
      <c r="C561" s="13"/>
    </row>
    <row r="562" spans="1:3" x14ac:dyDescent="0.3">
      <c r="A562" s="28"/>
      <c r="B562" s="13"/>
      <c r="C562" s="13"/>
    </row>
    <row r="563" spans="1:3" x14ac:dyDescent="0.3">
      <c r="A563" s="28"/>
      <c r="B563" s="13"/>
      <c r="C563" s="13"/>
    </row>
    <row r="564" spans="1:3" x14ac:dyDescent="0.3">
      <c r="A564" s="28"/>
      <c r="B564" s="13"/>
      <c r="C564" s="13"/>
    </row>
    <row r="565" spans="1:3" x14ac:dyDescent="0.3">
      <c r="A565" s="28"/>
      <c r="B565" s="13"/>
      <c r="C565" s="13"/>
    </row>
    <row r="566" spans="1:3" x14ac:dyDescent="0.3">
      <c r="A566" s="28"/>
      <c r="B566" s="13"/>
      <c r="C566" s="13"/>
    </row>
    <row r="567" spans="1:3" x14ac:dyDescent="0.3">
      <c r="A567" s="28"/>
      <c r="B567" s="13"/>
      <c r="C567" s="13"/>
    </row>
    <row r="568" spans="1:3" x14ac:dyDescent="0.3">
      <c r="A568" s="28"/>
      <c r="B568" s="13"/>
      <c r="C568" s="13"/>
    </row>
    <row r="569" spans="1:3" x14ac:dyDescent="0.3">
      <c r="A569" s="28"/>
      <c r="B569" s="13"/>
      <c r="C569" s="13"/>
    </row>
    <row r="570" spans="1:3" x14ac:dyDescent="0.3">
      <c r="A570" s="28"/>
      <c r="B570" s="13"/>
      <c r="C570" s="13"/>
    </row>
    <row r="571" spans="1:3" x14ac:dyDescent="0.3">
      <c r="A571" s="28"/>
      <c r="B571" s="13"/>
      <c r="C571" s="13"/>
    </row>
    <row r="572" spans="1:3" x14ac:dyDescent="0.3">
      <c r="A572" s="28"/>
      <c r="B572" s="13"/>
      <c r="C572" s="13"/>
    </row>
    <row r="573" spans="1:3" x14ac:dyDescent="0.3">
      <c r="A573" s="28"/>
      <c r="B573" s="13"/>
      <c r="C573" s="13"/>
    </row>
    <row r="574" spans="1:3" x14ac:dyDescent="0.3">
      <c r="A574" s="28"/>
      <c r="B574" s="13"/>
      <c r="C574" s="13"/>
    </row>
    <row r="575" spans="1:3" x14ac:dyDescent="0.3">
      <c r="A575" s="28"/>
      <c r="B575" s="13"/>
      <c r="C575" s="13"/>
    </row>
    <row r="576" spans="1:3" x14ac:dyDescent="0.3">
      <c r="A576" s="28"/>
      <c r="B576" s="13"/>
      <c r="C576" s="13"/>
    </row>
    <row r="577" spans="1:3" x14ac:dyDescent="0.3">
      <c r="A577" s="28"/>
      <c r="B577" s="13"/>
      <c r="C577" s="13"/>
    </row>
    <row r="578" spans="1:3" x14ac:dyDescent="0.3">
      <c r="A578" s="28"/>
      <c r="B578" s="13"/>
      <c r="C578" s="13"/>
    </row>
    <row r="579" spans="1:3" x14ac:dyDescent="0.3">
      <c r="A579" s="28"/>
      <c r="B579" s="13"/>
      <c r="C579" s="13"/>
    </row>
    <row r="580" spans="1:3" x14ac:dyDescent="0.3">
      <c r="A580" s="28"/>
      <c r="B580" s="13"/>
      <c r="C580" s="13"/>
    </row>
    <row r="581" spans="1:3" x14ac:dyDescent="0.3">
      <c r="A581" s="28"/>
      <c r="B581" s="13"/>
      <c r="C581" s="13"/>
    </row>
    <row r="582" spans="1:3" x14ac:dyDescent="0.3">
      <c r="A582" s="28"/>
      <c r="B582" s="13"/>
      <c r="C582" s="13"/>
    </row>
    <row r="583" spans="1:3" x14ac:dyDescent="0.3">
      <c r="A583" s="28"/>
      <c r="B583" s="13"/>
      <c r="C583" s="13"/>
    </row>
    <row r="584" spans="1:3" x14ac:dyDescent="0.3">
      <c r="A584" s="28"/>
      <c r="B584" s="13"/>
      <c r="C584" s="13"/>
    </row>
    <row r="585" spans="1:3" x14ac:dyDescent="0.3">
      <c r="A585" s="28"/>
      <c r="B585" s="13"/>
      <c r="C585" s="13"/>
    </row>
    <row r="586" spans="1:3" x14ac:dyDescent="0.3">
      <c r="A586" s="28"/>
      <c r="B586" s="13"/>
      <c r="C586" s="13"/>
    </row>
    <row r="587" spans="1:3" x14ac:dyDescent="0.3">
      <c r="A587" s="28"/>
      <c r="B587" s="13"/>
      <c r="C587" s="13"/>
    </row>
    <row r="588" spans="1:3" x14ac:dyDescent="0.3">
      <c r="A588" s="28"/>
      <c r="B588" s="13"/>
      <c r="C588" s="13"/>
    </row>
    <row r="589" spans="1:3" x14ac:dyDescent="0.3">
      <c r="A589" s="28"/>
      <c r="B589" s="13"/>
      <c r="C589" s="13"/>
    </row>
    <row r="590" spans="1:3" x14ac:dyDescent="0.3">
      <c r="A590" s="28"/>
      <c r="B590" s="13"/>
      <c r="C590" s="13"/>
    </row>
    <row r="591" spans="1:3" x14ac:dyDescent="0.3">
      <c r="A591" s="28"/>
      <c r="B591" s="13"/>
      <c r="C591" s="13"/>
    </row>
    <row r="592" spans="1:3" x14ac:dyDescent="0.3">
      <c r="A592" s="28"/>
      <c r="B592" s="13"/>
      <c r="C592" s="13"/>
    </row>
    <row r="593" spans="1:3" x14ac:dyDescent="0.3">
      <c r="A593" s="28"/>
      <c r="B593" s="13"/>
      <c r="C593" s="13"/>
    </row>
    <row r="594" spans="1:3" x14ac:dyDescent="0.3">
      <c r="A594" s="28"/>
      <c r="B594" s="13"/>
      <c r="C594" s="13"/>
    </row>
    <row r="595" spans="1:3" x14ac:dyDescent="0.3">
      <c r="A595" s="28"/>
      <c r="B595" s="13"/>
      <c r="C595" s="13"/>
    </row>
    <row r="596" spans="1:3" x14ac:dyDescent="0.3">
      <c r="A596" s="28"/>
      <c r="B596" s="13"/>
      <c r="C596" s="13"/>
    </row>
    <row r="597" spans="1:3" x14ac:dyDescent="0.3">
      <c r="A597" s="28"/>
      <c r="B597" s="13"/>
      <c r="C597" s="13"/>
    </row>
    <row r="598" spans="1:3" x14ac:dyDescent="0.3">
      <c r="A598" s="28"/>
      <c r="B598" s="13"/>
      <c r="C598" s="13"/>
    </row>
    <row r="599" spans="1:3" x14ac:dyDescent="0.3">
      <c r="A599" s="28"/>
      <c r="B599" s="13"/>
      <c r="C599" s="13"/>
    </row>
    <row r="600" spans="1:3" x14ac:dyDescent="0.3">
      <c r="A600" s="28"/>
      <c r="B600" s="13"/>
      <c r="C600" s="13"/>
    </row>
    <row r="601" spans="1:3" x14ac:dyDescent="0.3">
      <c r="A601" s="28"/>
      <c r="B601" s="13"/>
      <c r="C601" s="13"/>
    </row>
    <row r="602" spans="1:3" x14ac:dyDescent="0.3">
      <c r="A602" s="28"/>
      <c r="B602" s="13"/>
      <c r="C602" s="13"/>
    </row>
    <row r="603" spans="1:3" x14ac:dyDescent="0.3">
      <c r="A603" s="28"/>
      <c r="B603" s="13"/>
      <c r="C603" s="13"/>
    </row>
    <row r="604" spans="1:3" x14ac:dyDescent="0.3">
      <c r="A604" s="28"/>
      <c r="B604" s="13"/>
      <c r="C604" s="13"/>
    </row>
    <row r="605" spans="1:3" x14ac:dyDescent="0.3">
      <c r="A605" s="28"/>
      <c r="B605" s="13"/>
      <c r="C605" s="13"/>
    </row>
    <row r="606" spans="1:3" x14ac:dyDescent="0.3">
      <c r="A606" s="28"/>
      <c r="B606" s="13"/>
      <c r="C606" s="13"/>
    </row>
    <row r="607" spans="1:3" x14ac:dyDescent="0.3">
      <c r="A607" s="28"/>
      <c r="B607" s="13"/>
      <c r="C607" s="13"/>
    </row>
    <row r="608" spans="1:3" x14ac:dyDescent="0.3">
      <c r="A608" s="28"/>
      <c r="B608" s="13"/>
      <c r="C608" s="13"/>
    </row>
    <row r="609" spans="1:3" x14ac:dyDescent="0.3">
      <c r="A609" s="28"/>
      <c r="B609" s="13"/>
      <c r="C609" s="13"/>
    </row>
    <row r="610" spans="1:3" x14ac:dyDescent="0.3">
      <c r="A610" s="28"/>
      <c r="B610" s="13"/>
      <c r="C610" s="13"/>
    </row>
    <row r="611" spans="1:3" x14ac:dyDescent="0.3">
      <c r="A611" s="28"/>
      <c r="B611" s="13"/>
      <c r="C611" s="13"/>
    </row>
    <row r="612" spans="1:3" x14ac:dyDescent="0.3">
      <c r="A612" s="28"/>
      <c r="B612" s="13"/>
      <c r="C612" s="13"/>
    </row>
    <row r="613" spans="1:3" x14ac:dyDescent="0.3">
      <c r="A613" s="28"/>
      <c r="B613" s="13"/>
      <c r="C613" s="13"/>
    </row>
    <row r="614" spans="1:3" x14ac:dyDescent="0.3">
      <c r="A614" s="28"/>
      <c r="B614" s="13"/>
      <c r="C614" s="13"/>
    </row>
    <row r="615" spans="1:3" x14ac:dyDescent="0.3">
      <c r="A615" s="28"/>
      <c r="B615" s="13"/>
      <c r="C615" s="13"/>
    </row>
    <row r="616" spans="1:3" x14ac:dyDescent="0.3">
      <c r="A616" s="28"/>
      <c r="B616" s="13"/>
      <c r="C616" s="13"/>
    </row>
    <row r="617" spans="1:3" x14ac:dyDescent="0.3">
      <c r="A617" s="28"/>
      <c r="B617" s="13"/>
      <c r="C617" s="13"/>
    </row>
    <row r="618" spans="1:3" x14ac:dyDescent="0.3">
      <c r="A618" s="28"/>
      <c r="B618" s="13"/>
      <c r="C618" s="13"/>
    </row>
    <row r="619" spans="1:3" x14ac:dyDescent="0.3">
      <c r="A619" s="28"/>
      <c r="B619" s="13"/>
      <c r="C619" s="13"/>
    </row>
    <row r="620" spans="1:3" x14ac:dyDescent="0.3">
      <c r="A620" s="28"/>
      <c r="B620" s="13"/>
      <c r="C620" s="13"/>
    </row>
    <row r="621" spans="1:3" x14ac:dyDescent="0.3">
      <c r="A621" s="28"/>
      <c r="B621" s="13"/>
      <c r="C621" s="13"/>
    </row>
    <row r="622" spans="1:3" x14ac:dyDescent="0.3">
      <c r="A622" s="28"/>
      <c r="B622" s="13"/>
      <c r="C622" s="13"/>
    </row>
    <row r="623" spans="1:3" x14ac:dyDescent="0.3">
      <c r="A623" s="28"/>
      <c r="B623" s="13"/>
      <c r="C623" s="13"/>
    </row>
    <row r="624" spans="1:3" x14ac:dyDescent="0.3">
      <c r="A624" s="28"/>
      <c r="B624" s="13"/>
      <c r="C624" s="13"/>
    </row>
    <row r="625" spans="1:3" x14ac:dyDescent="0.3">
      <c r="A625" s="28"/>
      <c r="B625" s="13"/>
      <c r="C625" s="13"/>
    </row>
    <row r="626" spans="1:3" x14ac:dyDescent="0.3">
      <c r="A626" s="28"/>
      <c r="B626" s="13"/>
      <c r="C626" s="13"/>
    </row>
    <row r="627" spans="1:3" x14ac:dyDescent="0.3">
      <c r="A627" s="28"/>
      <c r="B627" s="13"/>
      <c r="C627" s="13"/>
    </row>
    <row r="628" spans="1:3" x14ac:dyDescent="0.3">
      <c r="A628" s="28"/>
      <c r="B628" s="13"/>
      <c r="C628" s="13"/>
    </row>
    <row r="629" spans="1:3" x14ac:dyDescent="0.3">
      <c r="A629" s="28"/>
      <c r="B629" s="13"/>
      <c r="C629" s="13"/>
    </row>
    <row r="630" spans="1:3" x14ac:dyDescent="0.3">
      <c r="A630" s="28"/>
      <c r="B630" s="13"/>
      <c r="C630" s="13"/>
    </row>
    <row r="631" spans="1:3" x14ac:dyDescent="0.3">
      <c r="A631" s="28"/>
      <c r="B631" s="13"/>
      <c r="C631" s="13"/>
    </row>
    <row r="632" spans="1:3" x14ac:dyDescent="0.3">
      <c r="A632" s="28"/>
      <c r="B632" s="13"/>
      <c r="C632" s="13"/>
    </row>
    <row r="633" spans="1:3" x14ac:dyDescent="0.3">
      <c r="A633" s="28"/>
      <c r="B633" s="13"/>
      <c r="C633" s="13"/>
    </row>
    <row r="634" spans="1:3" x14ac:dyDescent="0.3">
      <c r="A634" s="28"/>
      <c r="B634" s="13"/>
      <c r="C634" s="13"/>
    </row>
    <row r="635" spans="1:3" x14ac:dyDescent="0.3">
      <c r="A635" s="28"/>
      <c r="B635" s="13"/>
      <c r="C635" s="13"/>
    </row>
    <row r="636" spans="1:3" x14ac:dyDescent="0.3">
      <c r="A636" s="28"/>
      <c r="B636" s="13"/>
      <c r="C636" s="13"/>
    </row>
    <row r="637" spans="1:3" x14ac:dyDescent="0.3">
      <c r="A637" s="28"/>
      <c r="B637" s="13"/>
      <c r="C637" s="13"/>
    </row>
    <row r="638" spans="1:3" x14ac:dyDescent="0.3">
      <c r="A638" s="28"/>
      <c r="B638" s="13"/>
      <c r="C638" s="13"/>
    </row>
    <row r="639" spans="1:3" x14ac:dyDescent="0.3">
      <c r="A639" s="28"/>
      <c r="B639" s="13"/>
      <c r="C639" s="13"/>
    </row>
    <row r="640" spans="1:3" x14ac:dyDescent="0.3">
      <c r="A640" s="28"/>
      <c r="B640" s="13"/>
      <c r="C640" s="13"/>
    </row>
    <row r="641" spans="1:3" x14ac:dyDescent="0.3">
      <c r="A641" s="28"/>
      <c r="B641" s="13"/>
      <c r="C641" s="13"/>
    </row>
    <row r="642" spans="1:3" x14ac:dyDescent="0.3">
      <c r="A642" s="28"/>
      <c r="B642" s="13"/>
      <c r="C642" s="13"/>
    </row>
    <row r="643" spans="1:3" x14ac:dyDescent="0.3">
      <c r="A643" s="28"/>
      <c r="B643" s="13"/>
      <c r="C643" s="13"/>
    </row>
    <row r="644" spans="1:3" x14ac:dyDescent="0.3">
      <c r="A644" s="28"/>
      <c r="B644" s="13"/>
      <c r="C644" s="13"/>
    </row>
    <row r="645" spans="1:3" x14ac:dyDescent="0.3">
      <c r="A645" s="28"/>
      <c r="B645" s="13"/>
      <c r="C645" s="13"/>
    </row>
    <row r="646" spans="1:3" x14ac:dyDescent="0.3">
      <c r="A646" s="28"/>
      <c r="B646" s="13"/>
      <c r="C646" s="13"/>
    </row>
    <row r="647" spans="1:3" x14ac:dyDescent="0.3">
      <c r="A647" s="28"/>
      <c r="B647" s="13"/>
      <c r="C647" s="13"/>
    </row>
    <row r="648" spans="1:3" x14ac:dyDescent="0.3">
      <c r="A648" s="28"/>
      <c r="B648" s="13"/>
      <c r="C648" s="13"/>
    </row>
    <row r="649" spans="1:3" x14ac:dyDescent="0.3">
      <c r="A649" s="28"/>
      <c r="B649" s="13"/>
      <c r="C649" s="13"/>
    </row>
    <row r="650" spans="1:3" x14ac:dyDescent="0.3">
      <c r="A650" s="28"/>
      <c r="B650" s="13"/>
      <c r="C650" s="13"/>
    </row>
    <row r="651" spans="1:3" x14ac:dyDescent="0.3">
      <c r="A651" s="28"/>
      <c r="B651" s="13"/>
      <c r="C651" s="13"/>
    </row>
    <row r="652" spans="1:3" x14ac:dyDescent="0.3">
      <c r="A652" s="28"/>
      <c r="B652" s="13"/>
      <c r="C652" s="13"/>
    </row>
    <row r="653" spans="1:3" x14ac:dyDescent="0.3">
      <c r="A653" s="28"/>
      <c r="B653" s="13"/>
      <c r="C653" s="13"/>
    </row>
    <row r="654" spans="1:3" x14ac:dyDescent="0.3">
      <c r="A654" s="28"/>
      <c r="B654" s="13"/>
      <c r="C654" s="13"/>
    </row>
    <row r="655" spans="1:3" x14ac:dyDescent="0.3">
      <c r="A655" s="28"/>
      <c r="B655" s="13"/>
      <c r="C655" s="13"/>
    </row>
    <row r="656" spans="1:3" x14ac:dyDescent="0.3">
      <c r="A656" s="28"/>
      <c r="B656" s="13"/>
      <c r="C656" s="13"/>
    </row>
    <row r="657" spans="1:3" x14ac:dyDescent="0.3">
      <c r="A657" s="28"/>
      <c r="B657" s="13"/>
      <c r="C657" s="13"/>
    </row>
    <row r="658" spans="1:3" x14ac:dyDescent="0.3">
      <c r="A658" s="28"/>
      <c r="B658" s="13"/>
      <c r="C658" s="13"/>
    </row>
    <row r="659" spans="1:3" x14ac:dyDescent="0.3">
      <c r="A659" s="28"/>
      <c r="B659" s="13"/>
      <c r="C659" s="13"/>
    </row>
    <row r="660" spans="1:3" x14ac:dyDescent="0.3">
      <c r="A660" s="28"/>
      <c r="B660" s="13"/>
      <c r="C660" s="13"/>
    </row>
    <row r="661" spans="1:3" x14ac:dyDescent="0.3">
      <c r="A661" s="28"/>
      <c r="B661" s="13"/>
      <c r="C661" s="13"/>
    </row>
    <row r="662" spans="1:3" x14ac:dyDescent="0.3">
      <c r="A662" s="28"/>
      <c r="B662" s="13"/>
      <c r="C662" s="13"/>
    </row>
    <row r="663" spans="1:3" x14ac:dyDescent="0.3">
      <c r="A663" s="28"/>
      <c r="B663" s="13"/>
      <c r="C663" s="13"/>
    </row>
    <row r="664" spans="1:3" x14ac:dyDescent="0.3">
      <c r="A664" s="28"/>
      <c r="B664" s="13"/>
      <c r="C664" s="13"/>
    </row>
    <row r="665" spans="1:3" x14ac:dyDescent="0.3">
      <c r="A665" s="28"/>
      <c r="B665" s="13"/>
      <c r="C665" s="13"/>
    </row>
    <row r="666" spans="1:3" x14ac:dyDescent="0.3">
      <c r="A666" s="28"/>
      <c r="B666" s="13"/>
      <c r="C666" s="13"/>
    </row>
    <row r="667" spans="1:3" x14ac:dyDescent="0.3">
      <c r="A667" s="28"/>
      <c r="B667" s="13"/>
      <c r="C667" s="13"/>
    </row>
    <row r="668" spans="1:3" x14ac:dyDescent="0.3">
      <c r="A668" s="28"/>
      <c r="B668" s="13"/>
      <c r="C668" s="13"/>
    </row>
    <row r="669" spans="1:3" x14ac:dyDescent="0.3">
      <c r="A669" s="28"/>
      <c r="B669" s="13"/>
      <c r="C669" s="13"/>
    </row>
    <row r="670" spans="1:3" x14ac:dyDescent="0.3">
      <c r="A670" s="28"/>
      <c r="B670" s="13"/>
      <c r="C670" s="13"/>
    </row>
    <row r="671" spans="1:3" x14ac:dyDescent="0.3">
      <c r="A671" s="28"/>
      <c r="B671" s="13"/>
      <c r="C671" s="13"/>
    </row>
  </sheetData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topLeftCell="B43" workbookViewId="0">
      <selection activeCell="G9" sqref="G9"/>
    </sheetView>
  </sheetViews>
  <sheetFormatPr defaultColWidth="9" defaultRowHeight="14" x14ac:dyDescent="0.3"/>
  <cols>
    <col min="1" max="4" width="9" style="1"/>
    <col min="5" max="5" width="9.25" style="1" customWidth="1"/>
    <col min="6" max="16384" width="9" style="1"/>
  </cols>
  <sheetData>
    <row r="1" spans="1:12" x14ac:dyDescent="0.25">
      <c r="A1" s="2" t="s">
        <v>15</v>
      </c>
      <c r="B1" s="2" t="s">
        <v>16</v>
      </c>
      <c r="C1" s="2" t="s">
        <v>17</v>
      </c>
      <c r="D1" s="3" t="s">
        <v>8</v>
      </c>
      <c r="E1" s="3"/>
    </row>
    <row r="2" spans="1:12" x14ac:dyDescent="0.25">
      <c r="A2" s="4">
        <v>1</v>
      </c>
      <c r="B2" s="4">
        <v>1</v>
      </c>
      <c r="C2" s="4">
        <v>5.4</v>
      </c>
      <c r="D2" s="3">
        <v>1</v>
      </c>
      <c r="E2" s="3" cm="1">
        <f t="array" ref="E2:E5">C2:C5/$I$3:$I$6</f>
        <v>5.9264585465711397</v>
      </c>
      <c r="F2" s="1">
        <f>D2*$I$15+$I$14</f>
        <v>6.2312510019997402</v>
      </c>
      <c r="G2" s="1" cm="1">
        <f t="array" ref="G2:G5">F2:F5*$I$3:$I$6</f>
        <v>5.6777171638645401</v>
      </c>
      <c r="H2" s="1" t="s">
        <v>18</v>
      </c>
    </row>
    <row r="3" spans="1:12" x14ac:dyDescent="0.25">
      <c r="A3" s="4"/>
      <c r="B3" s="4">
        <v>2</v>
      </c>
      <c r="C3" s="4">
        <v>5.76</v>
      </c>
      <c r="D3" s="3">
        <v>2</v>
      </c>
      <c r="E3" s="3">
        <v>6.2322502522704397</v>
      </c>
      <c r="F3" s="1">
        <f t="shared" ref="F3:F53" si="0">D3*$I$15+$I$14</f>
        <v>6.4223679806380503</v>
      </c>
      <c r="G3" s="1">
        <v>5.9357115120655699</v>
      </c>
      <c r="H3" s="5">
        <v>1</v>
      </c>
      <c r="I3" s="6">
        <f>K3/$L$3</f>
        <v>0.91116810445325203</v>
      </c>
      <c r="K3" s="1">
        <f>AVERAGE(C2,C6,C10,C14,C18,C22,C26,C30,C34,C38,C42,C46)</f>
        <v>9.77</v>
      </c>
      <c r="L3" s="1">
        <f>AVERAGE(C2:C49)</f>
        <v>10.7225</v>
      </c>
    </row>
    <row r="4" spans="1:12" x14ac:dyDescent="0.25">
      <c r="A4" s="4"/>
      <c r="B4" s="4">
        <v>3</v>
      </c>
      <c r="C4" s="4">
        <v>7.08</v>
      </c>
      <c r="D4" s="3">
        <v>3</v>
      </c>
      <c r="E4" s="3">
        <v>6.6243717277486898</v>
      </c>
      <c r="F4" s="1">
        <f t="shared" si="0"/>
        <v>6.6134849592763603</v>
      </c>
      <c r="G4" s="1">
        <v>7.06836443304333</v>
      </c>
      <c r="H4" s="5">
        <v>2</v>
      </c>
      <c r="I4" s="6">
        <f t="shared" ref="I4:I6" si="1">K4/$L$3</f>
        <v>0.92422476101655404</v>
      </c>
      <c r="K4" s="1">
        <f t="shared" ref="K4:K6" si="2">AVERAGE(C3,C7,C11,C15,C19,C23,C27,C31,C35,C39,C43,C47)</f>
        <v>9.91</v>
      </c>
    </row>
    <row r="5" spans="1:12" x14ac:dyDescent="0.25">
      <c r="A5" s="7"/>
      <c r="B5" s="7">
        <v>4</v>
      </c>
      <c r="C5" s="7">
        <v>7.68</v>
      </c>
      <c r="D5" s="3">
        <v>4</v>
      </c>
      <c r="E5" s="3">
        <v>7.0084085106382998</v>
      </c>
      <c r="F5" s="1">
        <f t="shared" si="0"/>
        <v>6.8046019379146703</v>
      </c>
      <c r="G5" s="1">
        <v>7.4566633500114099</v>
      </c>
      <c r="H5" s="5">
        <v>3</v>
      </c>
      <c r="I5" s="6">
        <f t="shared" si="1"/>
        <v>1.0687806015388199</v>
      </c>
      <c r="K5" s="1">
        <f t="shared" si="2"/>
        <v>11.46</v>
      </c>
    </row>
    <row r="6" spans="1:12" x14ac:dyDescent="0.25">
      <c r="A6" s="4">
        <v>2</v>
      </c>
      <c r="B6" s="4">
        <v>1</v>
      </c>
      <c r="C6" s="4">
        <v>6.12</v>
      </c>
      <c r="D6" s="3">
        <v>5</v>
      </c>
      <c r="E6" s="3" cm="1">
        <f t="array" ref="E6:E9">C6:C9/$I$3:$I$6</f>
        <v>6.71665301944729</v>
      </c>
      <c r="F6" s="1">
        <f t="shared" si="0"/>
        <v>6.9957189165529803</v>
      </c>
      <c r="G6" s="1" cm="1">
        <f t="array" ref="G6:G9">F6:F9*$I$3:$I$6</f>
        <v>6.3742759444833403</v>
      </c>
      <c r="H6" s="2">
        <v>4</v>
      </c>
      <c r="I6" s="6">
        <f t="shared" si="1"/>
        <v>1.0958265329913699</v>
      </c>
      <c r="K6" s="1">
        <f t="shared" si="2"/>
        <v>11.75</v>
      </c>
    </row>
    <row r="7" spans="1:12" x14ac:dyDescent="0.25">
      <c r="A7" s="4"/>
      <c r="B7" s="4">
        <v>2</v>
      </c>
      <c r="C7" s="4">
        <v>6.36</v>
      </c>
      <c r="D7" s="3">
        <v>6</v>
      </c>
      <c r="E7" s="3">
        <v>6.8814429868819396</v>
      </c>
      <c r="F7" s="1">
        <f t="shared" si="0"/>
        <v>7.1868358951912903</v>
      </c>
      <c r="G7" s="1">
        <v>6.6422516876983604</v>
      </c>
    </row>
    <row r="8" spans="1:12" x14ac:dyDescent="0.25">
      <c r="A8" s="4"/>
      <c r="B8" s="4">
        <v>3</v>
      </c>
      <c r="C8" s="4">
        <v>8.52</v>
      </c>
      <c r="D8" s="3">
        <v>7</v>
      </c>
      <c r="E8" s="3">
        <v>7.9717015706806302</v>
      </c>
      <c r="F8" s="1">
        <f t="shared" si="0"/>
        <v>7.3779528738296003</v>
      </c>
      <c r="G8" s="1">
        <v>7.8854129106166599</v>
      </c>
      <c r="H8" s="1" t="s">
        <v>19</v>
      </c>
    </row>
    <row r="9" spans="1:12" x14ac:dyDescent="0.25">
      <c r="A9" s="7"/>
      <c r="B9" s="7">
        <v>4</v>
      </c>
      <c r="C9" s="7">
        <v>9.1199999999999992</v>
      </c>
      <c r="D9" s="3">
        <v>8</v>
      </c>
      <c r="E9" s="3">
        <v>8.3224851063829792</v>
      </c>
      <c r="F9" s="1">
        <f t="shared" si="0"/>
        <v>7.5690698524679103</v>
      </c>
      <c r="G9" s="1">
        <v>8.2943875743994298</v>
      </c>
      <c r="H9" s="42" t="s">
        <v>20</v>
      </c>
      <c r="I9" s="8" t="s">
        <v>21</v>
      </c>
      <c r="J9" s="6" cm="1">
        <f t="array" ref="J9:J12">G50:G53</f>
        <v>14.036422531290199</v>
      </c>
    </row>
    <row r="10" spans="1:12" ht="14.25" customHeight="1" x14ac:dyDescent="0.25">
      <c r="A10" s="4">
        <v>3</v>
      </c>
      <c r="B10" s="4">
        <v>1</v>
      </c>
      <c r="C10" s="4">
        <v>6.6</v>
      </c>
      <c r="D10" s="3">
        <v>9</v>
      </c>
      <c r="E10" s="3" cm="1">
        <f t="array" ref="E10:E13">C10:C13/$I$3:$I$6</f>
        <v>7.2434493346980604</v>
      </c>
      <c r="F10" s="1">
        <f t="shared" si="0"/>
        <v>7.7601868311062097</v>
      </c>
      <c r="G10" s="1" cm="1">
        <f t="array" ref="G10:G13">F10:F13*$I$3:$I$6</f>
        <v>7.0708347251021397</v>
      </c>
      <c r="H10" s="43"/>
      <c r="I10" s="8" t="s">
        <v>22</v>
      </c>
      <c r="J10" s="6">
        <v>14.414193619659001</v>
      </c>
    </row>
    <row r="11" spans="1:12" ht="14.25" customHeight="1" x14ac:dyDescent="0.25">
      <c r="A11" s="4"/>
      <c r="B11" s="4">
        <v>2</v>
      </c>
      <c r="C11" s="4">
        <v>6.6</v>
      </c>
      <c r="D11" s="3">
        <v>10</v>
      </c>
      <c r="E11" s="3">
        <v>7.14112008072654</v>
      </c>
      <c r="F11" s="1">
        <f t="shared" si="0"/>
        <v>7.9513038097445197</v>
      </c>
      <c r="G11" s="1">
        <v>7.3487918633311402</v>
      </c>
      <c r="H11" s="43"/>
      <c r="I11" s="8" t="s">
        <v>23</v>
      </c>
      <c r="J11" s="6">
        <v>16.872946163923299</v>
      </c>
    </row>
    <row r="12" spans="1:12" ht="14.25" customHeight="1" x14ac:dyDescent="0.25">
      <c r="A12" s="4"/>
      <c r="B12" s="4">
        <v>3</v>
      </c>
      <c r="C12" s="4">
        <v>8.76</v>
      </c>
      <c r="D12" s="3">
        <v>11</v>
      </c>
      <c r="E12" s="3">
        <v>8.1962565445026208</v>
      </c>
      <c r="F12" s="1">
        <f t="shared" si="0"/>
        <v>8.1424207883828306</v>
      </c>
      <c r="G12" s="1">
        <v>8.7024613881900006</v>
      </c>
      <c r="H12" s="44"/>
      <c r="I12" s="8" t="s">
        <v>24</v>
      </c>
      <c r="J12" s="6">
        <v>17.509354042667599</v>
      </c>
    </row>
    <row r="13" spans="1:12" x14ac:dyDescent="0.25">
      <c r="A13" s="7"/>
      <c r="B13" s="7">
        <v>4</v>
      </c>
      <c r="C13" s="7">
        <v>9.6</v>
      </c>
      <c r="D13" s="3">
        <v>12</v>
      </c>
      <c r="E13" s="3">
        <v>8.7605106382978697</v>
      </c>
      <c r="F13" s="1">
        <f t="shared" si="0"/>
        <v>8.3335377670211397</v>
      </c>
      <c r="G13" s="1">
        <v>9.1321117987874505</v>
      </c>
    </row>
    <row r="14" spans="1:12" x14ac:dyDescent="0.25">
      <c r="A14" s="4">
        <v>4</v>
      </c>
      <c r="B14" s="4">
        <v>1</v>
      </c>
      <c r="C14" s="4">
        <v>7.44</v>
      </c>
      <c r="D14" s="3">
        <v>13</v>
      </c>
      <c r="E14" s="3" cm="1">
        <f t="array" ref="E14:E17">C14:C17/$I$3:$I$6</f>
        <v>8.1653428863869006</v>
      </c>
      <c r="F14" s="1">
        <f t="shared" si="0"/>
        <v>8.5246547456594506</v>
      </c>
      <c r="G14" s="1" cm="1">
        <f t="array" ref="G14:G17">F14:F17*$I$3:$I$6</f>
        <v>7.76739350572094</v>
      </c>
      <c r="H14" s="1" t="s">
        <v>25</v>
      </c>
      <c r="I14" s="1">
        <f>INTERCEPT(E2:E49,D2:D49)</f>
        <v>6.04013402336144</v>
      </c>
    </row>
    <row r="15" spans="1:12" x14ac:dyDescent="0.25">
      <c r="A15" s="4"/>
      <c r="B15" s="4">
        <v>2</v>
      </c>
      <c r="C15" s="4">
        <v>7.56</v>
      </c>
      <c r="D15" s="3">
        <v>14</v>
      </c>
      <c r="E15" s="3">
        <v>8.1798284561049499</v>
      </c>
      <c r="F15" s="1">
        <f t="shared" si="0"/>
        <v>8.7157717242977597</v>
      </c>
      <c r="G15" s="1">
        <v>8.0553320389639307</v>
      </c>
      <c r="H15" s="1" t="s">
        <v>26</v>
      </c>
      <c r="I15" s="1">
        <f>SLOPE(E2:E49,D2:D49)</f>
        <v>0.19111697863830901</v>
      </c>
    </row>
    <row r="16" spans="1:12" x14ac:dyDescent="0.25">
      <c r="A16" s="4"/>
      <c r="B16" s="4">
        <v>3</v>
      </c>
      <c r="C16" s="4">
        <v>9.6</v>
      </c>
      <c r="D16" s="3">
        <v>15</v>
      </c>
      <c r="E16" s="3">
        <v>8.98219895287958</v>
      </c>
      <c r="F16" s="1">
        <f t="shared" si="0"/>
        <v>8.9068887029360706</v>
      </c>
      <c r="G16" s="1">
        <v>9.5195098657633306</v>
      </c>
    </row>
    <row r="17" spans="1:7" x14ac:dyDescent="0.25">
      <c r="A17" s="7"/>
      <c r="B17" s="7">
        <v>4</v>
      </c>
      <c r="C17" s="7">
        <v>10.199999999999999</v>
      </c>
      <c r="D17" s="3">
        <v>16</v>
      </c>
      <c r="E17" s="3">
        <v>9.3080425531914894</v>
      </c>
      <c r="F17" s="1">
        <f t="shared" si="0"/>
        <v>9.0980056815743797</v>
      </c>
      <c r="G17" s="1">
        <v>9.9698360231754606</v>
      </c>
    </row>
    <row r="18" spans="1:7" x14ac:dyDescent="0.25">
      <c r="A18" s="4">
        <v>5</v>
      </c>
      <c r="B18" s="4">
        <v>1</v>
      </c>
      <c r="C18" s="9">
        <v>8.52</v>
      </c>
      <c r="D18" s="3">
        <v>17</v>
      </c>
      <c r="E18" s="3" cm="1">
        <f t="array" ref="E18:E21">C18:C21/$I$3:$I$6</f>
        <v>9.3506345957011305</v>
      </c>
      <c r="F18" s="1">
        <f t="shared" si="0"/>
        <v>9.2891226602126906</v>
      </c>
      <c r="G18" s="1" cm="1">
        <f t="array" ref="G18:G21">F18:F21*$I$3:$I$6</f>
        <v>8.4639522863397403</v>
      </c>
    </row>
    <row r="19" spans="1:7" x14ac:dyDescent="0.25">
      <c r="A19" s="4"/>
      <c r="B19" s="4">
        <v>2</v>
      </c>
      <c r="C19" s="10">
        <v>8.76</v>
      </c>
      <c r="D19" s="3">
        <v>18</v>
      </c>
      <c r="E19" s="3">
        <v>9.4782139253279496</v>
      </c>
      <c r="F19" s="1">
        <f t="shared" si="0"/>
        <v>9.4802396388509909</v>
      </c>
      <c r="G19" s="1">
        <v>8.7618722145967194</v>
      </c>
    </row>
    <row r="20" spans="1:7" x14ac:dyDescent="0.25">
      <c r="A20" s="4"/>
      <c r="B20" s="4">
        <v>3</v>
      </c>
      <c r="C20" s="10">
        <v>10.199999999999999</v>
      </c>
      <c r="D20" s="3">
        <v>19</v>
      </c>
      <c r="E20" s="3">
        <v>9.5435863874345497</v>
      </c>
      <c r="F20" s="1">
        <f t="shared" si="0"/>
        <v>9.6713566174893</v>
      </c>
      <c r="G20" s="1">
        <v>10.3365583433367</v>
      </c>
    </row>
    <row r="21" spans="1:7" x14ac:dyDescent="0.25">
      <c r="A21" s="7"/>
      <c r="B21" s="7">
        <v>4</v>
      </c>
      <c r="C21" s="11">
        <v>10.56</v>
      </c>
      <c r="D21" s="3">
        <v>20</v>
      </c>
      <c r="E21" s="3">
        <v>9.6365617021276595</v>
      </c>
      <c r="F21" s="1">
        <f t="shared" si="0"/>
        <v>9.8624735961276109</v>
      </c>
      <c r="G21" s="1">
        <v>10.807560247563501</v>
      </c>
    </row>
    <row r="22" spans="1:7" x14ac:dyDescent="0.25">
      <c r="A22" s="4">
        <v>6</v>
      </c>
      <c r="B22" s="4">
        <v>1</v>
      </c>
      <c r="C22" s="9">
        <v>9.84</v>
      </c>
      <c r="D22" s="3">
        <v>21</v>
      </c>
      <c r="E22" s="3" cm="1">
        <f t="array" ref="E22:E25">C22:C25/$I$3:$I$6</f>
        <v>10.799324462640699</v>
      </c>
      <c r="F22" s="1">
        <f t="shared" si="0"/>
        <v>10.0535905747659</v>
      </c>
      <c r="G22" s="1" cm="1">
        <f t="array" ref="G22:G25">F22:F25*$I$3:$I$6</f>
        <v>9.1605110669585397</v>
      </c>
    </row>
    <row r="23" spans="1:7" x14ac:dyDescent="0.25">
      <c r="A23" s="4"/>
      <c r="B23" s="4">
        <v>2</v>
      </c>
      <c r="C23" s="10">
        <v>9.9600000000000009</v>
      </c>
      <c r="D23" s="3">
        <v>22</v>
      </c>
      <c r="E23" s="3">
        <v>10.776599394551001</v>
      </c>
      <c r="F23" s="1">
        <f t="shared" si="0"/>
        <v>10.244707553404201</v>
      </c>
      <c r="G23" s="1">
        <v>9.4684123902295099</v>
      </c>
    </row>
    <row r="24" spans="1:7" x14ac:dyDescent="0.25">
      <c r="A24" s="4"/>
      <c r="B24" s="4">
        <v>3</v>
      </c>
      <c r="C24" s="10">
        <v>10.8</v>
      </c>
      <c r="D24" s="3">
        <v>23</v>
      </c>
      <c r="E24" s="3">
        <v>10.1049738219895</v>
      </c>
      <c r="F24" s="1">
        <f t="shared" si="0"/>
        <v>10.435824532042499</v>
      </c>
      <c r="G24" s="1">
        <v>11.153606820909999</v>
      </c>
    </row>
    <row r="25" spans="1:7" x14ac:dyDescent="0.25">
      <c r="A25" s="7"/>
      <c r="B25" s="7">
        <v>4</v>
      </c>
      <c r="C25" s="11">
        <v>11.04</v>
      </c>
      <c r="D25" s="3">
        <v>24</v>
      </c>
      <c r="E25" s="3">
        <v>10.0745872340426</v>
      </c>
      <c r="F25" s="1">
        <f t="shared" si="0"/>
        <v>10.626941510680799</v>
      </c>
      <c r="G25" s="1">
        <v>11.6452844719515</v>
      </c>
    </row>
    <row r="26" spans="1:7" x14ac:dyDescent="0.25">
      <c r="A26" s="4">
        <v>7</v>
      </c>
      <c r="B26" s="4">
        <v>1</v>
      </c>
      <c r="C26" s="9">
        <v>10.199999999999999</v>
      </c>
      <c r="D26" s="3">
        <v>25</v>
      </c>
      <c r="E26" s="3" cm="1">
        <f t="array" ref="E26:E29">C26:C29/$I$3:$I$6</f>
        <v>11.1944216990788</v>
      </c>
      <c r="F26" s="1">
        <f t="shared" si="0"/>
        <v>10.818058489319201</v>
      </c>
      <c r="G26" s="1" cm="1">
        <f t="array" ref="G26:G29">F26:F29*$I$3:$I$6</f>
        <v>9.8570698475773497</v>
      </c>
    </row>
    <row r="27" spans="1:7" x14ac:dyDescent="0.25">
      <c r="A27" s="4"/>
      <c r="B27" s="4">
        <v>2</v>
      </c>
      <c r="C27" s="10">
        <v>10.56</v>
      </c>
      <c r="D27" s="3">
        <v>26</v>
      </c>
      <c r="E27" s="3">
        <v>11.425792129162501</v>
      </c>
      <c r="F27" s="1">
        <f t="shared" si="0"/>
        <v>11.009175467957499</v>
      </c>
      <c r="G27" s="1">
        <v>10.1749525658623</v>
      </c>
    </row>
    <row r="28" spans="1:7" x14ac:dyDescent="0.25">
      <c r="A28" s="4"/>
      <c r="B28" s="4">
        <v>3</v>
      </c>
      <c r="C28" s="10">
        <v>11.76</v>
      </c>
      <c r="D28" s="3">
        <v>27</v>
      </c>
      <c r="E28" s="3">
        <v>11.003193717277499</v>
      </c>
      <c r="F28" s="1">
        <f t="shared" si="0"/>
        <v>11.2002924465958</v>
      </c>
      <c r="G28" s="1">
        <v>11.970655298483299</v>
      </c>
    </row>
    <row r="29" spans="1:7" x14ac:dyDescent="0.25">
      <c r="A29" s="7"/>
      <c r="B29" s="7">
        <v>4</v>
      </c>
      <c r="C29" s="11">
        <v>11.88</v>
      </c>
      <c r="D29" s="3">
        <v>28</v>
      </c>
      <c r="E29" s="3">
        <v>10.8411319148936</v>
      </c>
      <c r="F29" s="1">
        <f t="shared" si="0"/>
        <v>11.3914094252341</v>
      </c>
      <c r="G29" s="1">
        <v>12.4830086963395</v>
      </c>
    </row>
    <row r="30" spans="1:7" x14ac:dyDescent="0.25">
      <c r="A30" s="4">
        <v>8</v>
      </c>
      <c r="B30" s="4">
        <v>1</v>
      </c>
      <c r="C30" s="9">
        <v>11.28</v>
      </c>
      <c r="D30" s="3">
        <v>29</v>
      </c>
      <c r="E30" s="3" cm="1">
        <f t="array" ref="E30:E33">C30:C33/$I$3:$I$6</f>
        <v>12.379713408393</v>
      </c>
      <c r="F30" s="1">
        <f t="shared" si="0"/>
        <v>11.5825264038724</v>
      </c>
      <c r="G30" s="1" cm="1">
        <f t="array" ref="G30:G33">F30:F33*$I$3:$I$6</f>
        <v>10.553628628196099</v>
      </c>
    </row>
    <row r="31" spans="1:7" x14ac:dyDescent="0.25">
      <c r="A31" s="4"/>
      <c r="B31" s="4">
        <v>2</v>
      </c>
      <c r="C31" s="10">
        <v>11.16</v>
      </c>
      <c r="D31" s="3">
        <v>30</v>
      </c>
      <c r="E31" s="3">
        <v>12.074984863774</v>
      </c>
      <c r="F31" s="1">
        <f t="shared" si="0"/>
        <v>11.7736433825107</v>
      </c>
      <c r="G31" s="1">
        <v>10.8814927414951</v>
      </c>
    </row>
    <row r="32" spans="1:7" x14ac:dyDescent="0.25">
      <c r="A32" s="4"/>
      <c r="B32" s="4">
        <v>3</v>
      </c>
      <c r="C32" s="10">
        <v>12.72</v>
      </c>
      <c r="D32" s="3">
        <v>31</v>
      </c>
      <c r="E32" s="3">
        <v>11.901413612565401</v>
      </c>
      <c r="F32" s="1">
        <f t="shared" si="0"/>
        <v>11.964760361149001</v>
      </c>
      <c r="G32" s="1">
        <v>12.7877037760567</v>
      </c>
    </row>
    <row r="33" spans="1:7" x14ac:dyDescent="0.25">
      <c r="A33" s="7"/>
      <c r="B33" s="7">
        <v>4</v>
      </c>
      <c r="C33" s="11">
        <v>12.84</v>
      </c>
      <c r="D33" s="3">
        <v>32</v>
      </c>
      <c r="E33" s="3">
        <v>11.7171829787234</v>
      </c>
      <c r="F33" s="1">
        <f t="shared" si="0"/>
        <v>12.155877339787301</v>
      </c>
      <c r="G33" s="1">
        <v>13.320732920727499</v>
      </c>
    </row>
    <row r="34" spans="1:7" x14ac:dyDescent="0.25">
      <c r="A34" s="4">
        <v>9</v>
      </c>
      <c r="B34" s="4">
        <v>1</v>
      </c>
      <c r="C34" s="9">
        <v>12</v>
      </c>
      <c r="D34" s="3">
        <v>33</v>
      </c>
      <c r="E34" s="3" cm="1">
        <f t="array" ref="E34:E37">C34:C37/$I$3:$I$6</f>
        <v>13.1699078812692</v>
      </c>
      <c r="F34" s="1">
        <f t="shared" si="0"/>
        <v>12.346994318425599</v>
      </c>
      <c r="G34" s="1" cm="1">
        <f t="array" ref="G34:G37">F34:F37*$I$3:$I$6</f>
        <v>11.250187408815</v>
      </c>
    </row>
    <row r="35" spans="1:7" x14ac:dyDescent="0.25">
      <c r="A35" s="4"/>
      <c r="B35" s="4">
        <v>2</v>
      </c>
      <c r="C35" s="10">
        <v>12.24</v>
      </c>
      <c r="D35" s="3">
        <v>34</v>
      </c>
      <c r="E35" s="3">
        <v>13.243531786074699</v>
      </c>
      <c r="F35" s="1">
        <f t="shared" si="0"/>
        <v>12.538111297063899</v>
      </c>
      <c r="G35" s="1">
        <v>11.588032917127901</v>
      </c>
    </row>
    <row r="36" spans="1:7" x14ac:dyDescent="0.25">
      <c r="A36" s="4"/>
      <c r="B36" s="4">
        <v>3</v>
      </c>
      <c r="C36" s="10">
        <v>13.2</v>
      </c>
      <c r="D36" s="3">
        <v>35</v>
      </c>
      <c r="E36" s="3">
        <v>12.3505235602094</v>
      </c>
      <c r="F36" s="1">
        <f t="shared" si="0"/>
        <v>12.7292282757022</v>
      </c>
      <c r="G36" s="1">
        <v>13.60475225363</v>
      </c>
    </row>
    <row r="37" spans="1:7" x14ac:dyDescent="0.25">
      <c r="A37" s="7"/>
      <c r="B37" s="7">
        <v>4</v>
      </c>
      <c r="C37" s="11">
        <v>13.56</v>
      </c>
      <c r="D37" s="3">
        <v>36</v>
      </c>
      <c r="E37" s="3">
        <v>12.3742212765957</v>
      </c>
      <c r="F37" s="1">
        <f t="shared" si="0"/>
        <v>12.920345254340599</v>
      </c>
      <c r="G37" s="1">
        <v>14.1584571451155</v>
      </c>
    </row>
    <row r="38" spans="1:7" x14ac:dyDescent="0.25">
      <c r="A38" s="4">
        <v>10</v>
      </c>
      <c r="B38" s="4">
        <v>1</v>
      </c>
      <c r="C38" s="9">
        <v>12.96</v>
      </c>
      <c r="D38" s="3">
        <v>37</v>
      </c>
      <c r="E38" s="3" cm="1">
        <f t="array" ref="E38:E41">C38:C41/$I$3:$I$6</f>
        <v>14.2235005117707</v>
      </c>
      <c r="F38" s="1">
        <f t="shared" si="0"/>
        <v>13.1114622329789</v>
      </c>
      <c r="G38" s="1" cm="1">
        <f t="array" ref="G38:G41">F38:F41*$I$3:$I$6</f>
        <v>11.946746189433799</v>
      </c>
    </row>
    <row r="39" spans="1:7" x14ac:dyDescent="0.25">
      <c r="A39" s="4"/>
      <c r="B39" s="4">
        <v>2</v>
      </c>
      <c r="C39" s="10">
        <v>12.72</v>
      </c>
      <c r="D39" s="3">
        <v>38</v>
      </c>
      <c r="E39" s="3">
        <v>13.7628859737639</v>
      </c>
      <c r="F39" s="1">
        <f t="shared" si="0"/>
        <v>13.3025792116172</v>
      </c>
      <c r="G39" s="1">
        <v>12.2945730927607</v>
      </c>
    </row>
    <row r="40" spans="1:7" x14ac:dyDescent="0.25">
      <c r="A40" s="4"/>
      <c r="B40" s="4">
        <v>3</v>
      </c>
      <c r="C40" s="10">
        <v>13.92</v>
      </c>
      <c r="D40" s="3">
        <v>39</v>
      </c>
      <c r="E40" s="3">
        <v>13.024188481675401</v>
      </c>
      <c r="F40" s="1">
        <f t="shared" si="0"/>
        <v>13.4936961902555</v>
      </c>
      <c r="G40" s="1">
        <v>14.4218007312033</v>
      </c>
    </row>
    <row r="41" spans="1:7" x14ac:dyDescent="0.25">
      <c r="A41" s="7"/>
      <c r="B41" s="7">
        <v>4</v>
      </c>
      <c r="C41" s="11">
        <v>13.68</v>
      </c>
      <c r="D41" s="3">
        <v>40</v>
      </c>
      <c r="E41" s="3">
        <v>12.4837276595745</v>
      </c>
      <c r="F41" s="1">
        <f t="shared" si="0"/>
        <v>13.6848131688938</v>
      </c>
      <c r="G41" s="1">
        <v>14.996181369503599</v>
      </c>
    </row>
    <row r="42" spans="1:7" x14ac:dyDescent="0.25">
      <c r="A42" s="4">
        <v>11</v>
      </c>
      <c r="B42" s="4">
        <v>1</v>
      </c>
      <c r="C42" s="9">
        <v>13.2</v>
      </c>
      <c r="D42" s="3">
        <v>41</v>
      </c>
      <c r="E42" s="3" cm="1">
        <f t="array" ref="E42:E45">C42:C45/$I$3:$I$6</f>
        <v>14.486898669396099</v>
      </c>
      <c r="F42" s="1">
        <f t="shared" si="0"/>
        <v>13.875930147532101</v>
      </c>
      <c r="G42" s="1" cm="1">
        <f t="array" ref="G42:G45">F42:F45*$I$3:$I$6</f>
        <v>12.643304970052601</v>
      </c>
    </row>
    <row r="43" spans="1:7" x14ac:dyDescent="0.25">
      <c r="A43" s="4"/>
      <c r="B43" s="4">
        <v>2</v>
      </c>
      <c r="C43" s="10">
        <v>13.44</v>
      </c>
      <c r="D43" s="3">
        <v>42</v>
      </c>
      <c r="E43" s="3">
        <v>14.541917255297699</v>
      </c>
      <c r="F43" s="1">
        <f t="shared" si="0"/>
        <v>14.067047126170401</v>
      </c>
      <c r="G43" s="1">
        <v>13.0011132683934</v>
      </c>
    </row>
    <row r="44" spans="1:7" x14ac:dyDescent="0.25">
      <c r="A44" s="4"/>
      <c r="B44" s="4">
        <v>3</v>
      </c>
      <c r="C44" s="10">
        <v>15.36</v>
      </c>
      <c r="D44" s="3">
        <v>43</v>
      </c>
      <c r="E44" s="3">
        <v>14.371518324607299</v>
      </c>
      <c r="F44" s="1">
        <f t="shared" si="0"/>
        <v>14.258164104808699</v>
      </c>
      <c r="G44" s="1">
        <v>15.238849208776699</v>
      </c>
    </row>
    <row r="45" spans="1:7" x14ac:dyDescent="0.25">
      <c r="A45" s="7"/>
      <c r="B45" s="7">
        <v>4</v>
      </c>
      <c r="C45" s="11">
        <v>15.12</v>
      </c>
      <c r="D45" s="3">
        <v>44</v>
      </c>
      <c r="E45" s="3">
        <v>13.7978042553192</v>
      </c>
      <c r="F45" s="1">
        <f t="shared" si="0"/>
        <v>14.449281083447</v>
      </c>
      <c r="G45" s="1">
        <v>15.8339055938916</v>
      </c>
    </row>
    <row r="46" spans="1:7" x14ac:dyDescent="0.25">
      <c r="A46" s="4">
        <v>12</v>
      </c>
      <c r="B46" s="4">
        <v>1</v>
      </c>
      <c r="C46" s="9">
        <v>13.68</v>
      </c>
      <c r="D46" s="3">
        <v>45</v>
      </c>
      <c r="E46" s="3" cm="1">
        <f t="array" ref="E46:E49">C46:C49/$I$3:$I$6</f>
        <v>15.0136949846469</v>
      </c>
      <c r="F46" s="1">
        <f t="shared" si="0"/>
        <v>14.6403980620853</v>
      </c>
      <c r="G46" s="1" cm="1">
        <f t="array" ref="G46:G49">F46:F49*$I$3:$I$6</f>
        <v>13.3398637506714</v>
      </c>
    </row>
    <row r="47" spans="1:7" x14ac:dyDescent="0.25">
      <c r="A47" s="4"/>
      <c r="B47" s="4">
        <v>2</v>
      </c>
      <c r="C47" s="10">
        <v>13.8</v>
      </c>
      <c r="D47" s="3">
        <v>46</v>
      </c>
      <c r="E47" s="3">
        <v>14.931432896064599</v>
      </c>
      <c r="F47" s="1">
        <f t="shared" si="0"/>
        <v>14.8315150407236</v>
      </c>
      <c r="G47" s="1">
        <v>13.707653444026199</v>
      </c>
    </row>
    <row r="48" spans="1:7" x14ac:dyDescent="0.25">
      <c r="A48" s="4"/>
      <c r="B48" s="4">
        <v>3</v>
      </c>
      <c r="C48" s="10">
        <v>15.6</v>
      </c>
      <c r="D48" s="3">
        <v>47</v>
      </c>
      <c r="E48" s="3">
        <v>14.5960732984293</v>
      </c>
      <c r="F48" s="1">
        <f t="shared" si="0"/>
        <v>15.0226320193619</v>
      </c>
      <c r="G48" s="1">
        <v>16.055897686350001</v>
      </c>
    </row>
    <row r="49" spans="1:7" x14ac:dyDescent="0.25">
      <c r="A49" s="7"/>
      <c r="B49" s="7">
        <v>4</v>
      </c>
      <c r="C49" s="11">
        <v>15.72</v>
      </c>
      <c r="D49" s="3">
        <v>48</v>
      </c>
      <c r="E49" s="3">
        <v>14.3453361702128</v>
      </c>
      <c r="F49" s="1">
        <f t="shared" si="0"/>
        <v>15.2137489980003</v>
      </c>
      <c r="G49" s="1">
        <v>16.671629818279602</v>
      </c>
    </row>
    <row r="50" spans="1:7" x14ac:dyDescent="0.25">
      <c r="D50" s="3">
        <v>49</v>
      </c>
      <c r="E50" s="3"/>
      <c r="F50" s="1">
        <f t="shared" si="0"/>
        <v>15.4048659766386</v>
      </c>
      <c r="G50" s="1" cm="1">
        <f t="array" ref="G50:G53">F50:F53*$I$3:$I$6</f>
        <v>14.036422531290199</v>
      </c>
    </row>
    <row r="51" spans="1:7" x14ac:dyDescent="0.25">
      <c r="D51" s="3">
        <v>50</v>
      </c>
      <c r="E51" s="3"/>
      <c r="F51" s="1">
        <f t="shared" si="0"/>
        <v>15.5959829552769</v>
      </c>
      <c r="G51" s="1">
        <v>14.414193619659001</v>
      </c>
    </row>
    <row r="52" spans="1:7" x14ac:dyDescent="0.25">
      <c r="D52" s="3">
        <v>51</v>
      </c>
      <c r="E52" s="3"/>
      <c r="F52" s="1">
        <f t="shared" si="0"/>
        <v>15.787099933915201</v>
      </c>
      <c r="G52" s="1">
        <v>16.872946163923299</v>
      </c>
    </row>
    <row r="53" spans="1:7" x14ac:dyDescent="0.25">
      <c r="D53" s="3">
        <v>52</v>
      </c>
      <c r="E53" s="3"/>
      <c r="F53" s="1">
        <f t="shared" si="0"/>
        <v>15.978216912553499</v>
      </c>
      <c r="G53" s="1">
        <v>17.509354042667599</v>
      </c>
    </row>
  </sheetData>
  <mergeCells count="1">
    <mergeCell ref="H9:H12"/>
  </mergeCells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第1题</vt:lpstr>
      <vt:lpstr>第2题</vt:lpstr>
      <vt:lpstr>第3题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cyz</dc:creator>
  <cp:lastModifiedBy>bin jiao</cp:lastModifiedBy>
  <dcterms:created xsi:type="dcterms:W3CDTF">2021-04-22T22:22:00Z</dcterms:created>
  <dcterms:modified xsi:type="dcterms:W3CDTF">2025-12-28T09:28:03Z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D01C3E2EDFA0474090A408E007E7D329_12</vt:lpwstr>
  </property>
  <property fmtid="{D5CDD505-2E9C-101B-9397-08002B2CF9AE}" pid="3" name="KSOProductBuildVer">
    <vt:lpwstr>2052-12.1.0.23542</vt:lpwstr>
  </property>
</Properties>
</file>