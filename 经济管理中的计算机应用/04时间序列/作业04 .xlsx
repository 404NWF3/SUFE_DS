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与资料\经管机\笔记\04时间序列\"/>
    </mc:Choice>
  </mc:AlternateContent>
  <xr:revisionPtr revIDLastSave="0" documentId="13_ncr:1_{98EB1A53-9AC0-421F-AF91-AAE584C1AA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第1题" sheetId="1" r:id="rId1"/>
    <sheet name="第2题" sheetId="2" r:id="rId2"/>
    <sheet name="第3题" sheetId="3" r:id="rId3"/>
    <sheet name="第4题" sheetId="4" r:id="rId4"/>
    <sheet name="第5题" sheetId="5" r:id="rId5"/>
    <sheet name="第6题" sheetId="6" r:id="rId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H10" i="6"/>
  <c r="E12" i="6"/>
  <c r="D12" i="6"/>
  <c r="C12" i="6"/>
  <c r="A12" i="6"/>
  <c r="H4" i="6"/>
  <c r="H5" i="6"/>
  <c r="H6" i="6"/>
  <c r="H3" i="6"/>
  <c r="C3" i="6"/>
  <c r="C4" i="6"/>
  <c r="C5" i="6"/>
  <c r="C6" i="6"/>
  <c r="C7" i="6"/>
  <c r="C8" i="6"/>
  <c r="C9" i="6"/>
  <c r="C10" i="6"/>
  <c r="C11" i="6"/>
  <c r="C2" i="6"/>
  <c r="E3" i="6"/>
  <c r="E4" i="6"/>
  <c r="E5" i="6"/>
  <c r="E6" i="6"/>
  <c r="E7" i="6"/>
  <c r="E8" i="6"/>
  <c r="E9" i="6"/>
  <c r="E10" i="6"/>
  <c r="E11" i="6"/>
  <c r="E2" i="6"/>
  <c r="D3" i="6"/>
  <c r="D4" i="6"/>
  <c r="D5" i="6"/>
  <c r="D6" i="6"/>
  <c r="D7" i="6"/>
  <c r="D8" i="6"/>
  <c r="D9" i="6"/>
  <c r="D10" i="6"/>
  <c r="D11" i="6"/>
  <c r="D2" i="6"/>
  <c r="G8" i="5"/>
  <c r="D10" i="5"/>
  <c r="C10" i="5"/>
  <c r="G4" i="5"/>
  <c r="G5" i="5"/>
  <c r="G3" i="5"/>
  <c r="D3" i="5"/>
  <c r="D4" i="5"/>
  <c r="D5" i="5"/>
  <c r="D6" i="5"/>
  <c r="D7" i="5"/>
  <c r="D8" i="5"/>
  <c r="D9" i="5"/>
  <c r="D2" i="5"/>
  <c r="C3" i="5"/>
  <c r="C4" i="5"/>
  <c r="C5" i="5"/>
  <c r="C6" i="5"/>
  <c r="C7" i="5"/>
  <c r="C8" i="5"/>
  <c r="C9" i="5"/>
  <c r="C2" i="5"/>
  <c r="G8" i="4"/>
  <c r="B12" i="4"/>
  <c r="C12" i="4"/>
  <c r="G4" i="4"/>
  <c r="G5" i="4"/>
  <c r="G3" i="4"/>
  <c r="C3" i="4" l="1"/>
  <c r="C4" i="4"/>
  <c r="C5" i="4"/>
  <c r="C6" i="4"/>
  <c r="C7" i="4"/>
  <c r="C8" i="4"/>
  <c r="C9" i="4"/>
  <c r="C10" i="4"/>
  <c r="C11" i="4"/>
  <c r="C2" i="4"/>
  <c r="B3" i="4"/>
  <c r="B4" i="4"/>
  <c r="B5" i="4"/>
  <c r="B6" i="4"/>
  <c r="B7" i="4"/>
  <c r="B8" i="4"/>
  <c r="B9" i="4"/>
  <c r="B10" i="4"/>
  <c r="B11" i="4"/>
  <c r="B2" i="4"/>
  <c r="J10" i="3"/>
  <c r="J11" i="3"/>
  <c r="J12" i="3"/>
  <c r="J9" i="3"/>
  <c r="G50" i="3" a="1"/>
  <c r="G50" i="3"/>
  <c r="F50" i="3"/>
  <c r="F51" i="3"/>
  <c r="F52" i="3"/>
  <c r="F53" i="3"/>
  <c r="I17" i="3"/>
  <c r="I16" i="3"/>
  <c r="E6" i="3" a="1"/>
  <c r="E6" i="3" s="1"/>
  <c r="E10" i="3" a="1"/>
  <c r="E10" i="3" s="1"/>
  <c r="E14" i="3" a="1"/>
  <c r="E14" i="3"/>
  <c r="E18" i="3" a="1"/>
  <c r="E18" i="3" s="1"/>
  <c r="E22" i="3" a="1"/>
  <c r="E22" i="3"/>
  <c r="E26" i="3" a="1"/>
  <c r="E26" i="3"/>
  <c r="E30" i="3" a="1"/>
  <c r="E30" i="3"/>
  <c r="E34" i="3" a="1"/>
  <c r="E34" i="3"/>
  <c r="E38" i="3" a="1"/>
  <c r="E38" i="3"/>
  <c r="E42" i="3" a="1"/>
  <c r="E42" i="3"/>
  <c r="E46" i="3" a="1"/>
  <c r="E46" i="3"/>
  <c r="E2" i="3" a="1"/>
  <c r="E2" i="3" s="1"/>
  <c r="I4" i="3"/>
  <c r="I5" i="3"/>
  <c r="I6" i="3"/>
  <c r="I3" i="3"/>
  <c r="L3" i="3"/>
  <c r="K4" i="3"/>
  <c r="K5" i="3"/>
  <c r="K6" i="3"/>
  <c r="K3" i="3"/>
  <c r="C26" i="2"/>
  <c r="G8" i="2" s="1"/>
  <c r="G6" i="2"/>
  <c r="G7" i="2" s="1"/>
  <c r="C2" i="2"/>
  <c r="C3" i="2"/>
  <c r="C4" i="2"/>
  <c r="C5" i="2"/>
  <c r="C6" i="2"/>
  <c r="C7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8" i="2"/>
  <c r="F4" i="1"/>
  <c r="F5" i="1" s="1"/>
  <c r="C4" i="1"/>
  <c r="C5" i="1" s="1"/>
  <c r="F9" i="3" l="1"/>
  <c r="F31" i="3"/>
  <c r="G30" i="3" s="1" a="1"/>
  <c r="G30" i="3" s="1"/>
  <c r="F32" i="3"/>
  <c r="F30" i="3"/>
  <c r="F8" i="3"/>
  <c r="F7" i="3"/>
  <c r="G6" i="3" s="1" a="1"/>
  <c r="G6" i="3" s="1"/>
  <c r="F6" i="3"/>
  <c r="F28" i="3"/>
  <c r="F2" i="3"/>
  <c r="F47" i="3"/>
  <c r="F23" i="3"/>
  <c r="F46" i="3"/>
  <c r="F22" i="3"/>
  <c r="F44" i="3"/>
  <c r="F42" i="3"/>
  <c r="F41" i="3"/>
  <c r="F17" i="3"/>
  <c r="F21" i="3"/>
  <c r="F19" i="3"/>
  <c r="F40" i="3"/>
  <c r="F16" i="3"/>
  <c r="F25" i="3"/>
  <c r="F20" i="3"/>
  <c r="F39" i="3"/>
  <c r="F15" i="3"/>
  <c r="F38" i="3"/>
  <c r="F14" i="3"/>
  <c r="F5" i="3"/>
  <c r="F3" i="3"/>
  <c r="F43" i="3"/>
  <c r="F18" i="3"/>
  <c r="F37" i="3"/>
  <c r="F13" i="3"/>
  <c r="F48" i="3"/>
  <c r="F36" i="3"/>
  <c r="F12" i="3"/>
  <c r="F29" i="3"/>
  <c r="F49" i="3"/>
  <c r="F35" i="3"/>
  <c r="F11" i="3"/>
  <c r="F27" i="3"/>
  <c r="F45" i="3"/>
  <c r="F10" i="3"/>
  <c r="G10" i="3" s="1" a="1"/>
  <c r="G10" i="3" s="1"/>
  <c r="F4" i="3"/>
  <c r="F26" i="3"/>
  <c r="F24" i="3"/>
  <c r="F34" i="3"/>
  <c r="F33" i="3"/>
  <c r="G4" i="2"/>
  <c r="G12" i="2" s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F6" i="1" s="1"/>
  <c r="G18" i="3" l="1" a="1"/>
  <c r="G18" i="3" s="1"/>
  <c r="G14" i="3" a="1"/>
  <c r="G14" i="3" s="1"/>
  <c r="G38" i="3" a="1"/>
  <c r="G38" i="3" s="1"/>
  <c r="G34" i="3" a="1"/>
  <c r="G34" i="3" s="1"/>
  <c r="G26" i="3" a="1"/>
  <c r="G26" i="3" s="1"/>
  <c r="G42" i="3" a="1"/>
  <c r="G42" i="3" s="1"/>
  <c r="G22" i="3" a="1"/>
  <c r="G22" i="3" s="1"/>
  <c r="G46" i="3" a="1"/>
  <c r="G46" i="3" s="1"/>
  <c r="G2" i="3" a="1"/>
  <c r="G2" i="3" s="1"/>
  <c r="F2" i="1"/>
  <c r="F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<sst xmlns="http://schemas.openxmlformats.org/spreadsheetml/2006/main" count="142" uniqueCount="78">
  <si>
    <t>月</t>
    <phoneticPr fontId="4" type="noConversion"/>
  </si>
  <si>
    <t>债券利率</t>
    <phoneticPr fontId="5" type="noConversion"/>
  </si>
  <si>
    <t>预测值</t>
  </si>
  <si>
    <t>平滑常数</t>
  </si>
  <si>
    <t>MSE</t>
  </si>
  <si>
    <t>最小MSE</t>
    <phoneticPr fontId="4" type="noConversion"/>
  </si>
  <si>
    <t>最优平滑常数</t>
  </si>
  <si>
    <t>第25月的预测值</t>
    <phoneticPr fontId="4" type="noConversion"/>
  </si>
  <si>
    <t>广告费用（万元）</t>
    <phoneticPr fontId="4" type="noConversion"/>
  </si>
  <si>
    <t>利润（万元）</t>
    <phoneticPr fontId="4" type="noConversion"/>
  </si>
  <si>
    <t>变换法：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</si>
  <si>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</si>
  <si>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</si>
  <si>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</si>
  <si>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广告费用</t>
    <phoneticPr fontId="4" type="noConversion"/>
  </si>
  <si>
    <t>利润预测值（万元）</t>
    <phoneticPr fontId="4" type="noConversion"/>
  </si>
  <si>
    <t>月份</t>
    <phoneticPr fontId="5" type="noConversion"/>
  </si>
  <si>
    <t>周</t>
    <phoneticPr fontId="5" type="noConversion"/>
  </si>
  <si>
    <t>销量</t>
    <phoneticPr fontId="5" type="noConversion"/>
  </si>
  <si>
    <t>季节指数</t>
    <phoneticPr fontId="4" type="noConversion"/>
  </si>
  <si>
    <t>预测结果</t>
    <phoneticPr fontId="4" type="noConversion"/>
  </si>
  <si>
    <t>第13月</t>
    <phoneticPr fontId="4" type="noConversion"/>
  </si>
  <si>
    <t>第1周</t>
    <phoneticPr fontId="4" type="noConversion"/>
  </si>
  <si>
    <t>第2周</t>
    <phoneticPr fontId="4" type="noConversion"/>
  </si>
  <si>
    <t>第3周</t>
  </si>
  <si>
    <t>第4周</t>
  </si>
  <si>
    <t>b1</t>
    <phoneticPr fontId="4" type="noConversion"/>
  </si>
  <si>
    <t>b2</t>
    <phoneticPr fontId="4" type="noConversion"/>
  </si>
  <si>
    <t>b3</t>
    <phoneticPr fontId="4" type="noConversion"/>
  </si>
  <si>
    <t>序号</t>
  </si>
  <si>
    <t>销售额</t>
  </si>
  <si>
    <t>销售额估计值</t>
  </si>
  <si>
    <t>移动平均跨度</t>
  </si>
  <si>
    <t>最优移动平均跨度</t>
  </si>
  <si>
    <t>MSE极小值</t>
  </si>
  <si>
    <t>第25个月的销售额预测值</t>
    <phoneticPr fontId="4" type="noConversion"/>
  </si>
  <si>
    <t>人均年生产总值(美元)</t>
    <phoneticPr fontId="4" type="noConversion"/>
  </si>
  <si>
    <t>人均年能量消耗量</t>
    <phoneticPr fontId="4" type="noConversion"/>
  </si>
  <si>
    <t>人均年生产总值</t>
  </si>
  <si>
    <t>人均年能量消耗量预测值</t>
    <phoneticPr fontId="4" type="noConversion"/>
  </si>
  <si>
    <t>a=</t>
    <phoneticPr fontId="4" type="noConversion"/>
  </si>
  <si>
    <t>b=</t>
    <phoneticPr fontId="4" type="noConversion"/>
  </si>
  <si>
    <t>SINX</t>
  </si>
  <si>
    <t>SINX</t>
    <phoneticPr fontId="4" type="noConversion"/>
  </si>
  <si>
    <t>COSX</t>
  </si>
  <si>
    <t>COSX</t>
    <phoneticPr fontId="4" type="noConversion"/>
  </si>
  <si>
    <t>SUMMARY OUTPUT</t>
  </si>
  <si>
    <t>回归统计</t>
  </si>
  <si>
    <t>Multiple R</t>
  </si>
  <si>
    <t>R Square</t>
  </si>
  <si>
    <t>Adjusted R Square</t>
  </si>
  <si>
    <t>标准误差</t>
  </si>
  <si>
    <t>观测值</t>
  </si>
  <si>
    <t>方差分析</t>
  </si>
  <si>
    <t>回归分析</t>
  </si>
  <si>
    <t>残差</t>
  </si>
  <si>
    <t>总计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</si>
  <si>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</si>
  <si>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</si>
  <si>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</si>
  <si>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</si>
  <si>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</si>
  <si>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</si>
  <si>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</si>
  <si>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</si>
  <si>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</si>
  <si>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</si>
  <si>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</si>
  <si>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下限 95.0%</t>
  </si>
  <si>
    <t>上限 95.0%</t>
  </si>
  <si>
    <t>LNX</t>
  </si>
  <si>
    <t>LNX</t>
    <phoneticPr fontId="4" type="noConversion"/>
  </si>
  <si>
    <t>X^0.5</t>
  </si>
  <si>
    <t>X^0.5</t>
    <phoneticPr fontId="4" type="noConversion"/>
  </si>
  <si>
    <t>X</t>
  </si>
  <si>
    <t>X</t>
    <phoneticPr fontId="4" type="noConversion"/>
  </si>
  <si>
    <t>X^2</t>
  </si>
  <si>
    <t>X^2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</si>
</sst>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yy&quot;年&quot;m&quot;月&quot;"/>
    <numFmt numFmtId="178" formatCode="0.0000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11"/>
      <name val="Arial"/>
      <family val="2"/>
    </font>
    <font>
      <b/>
      <sz val="12"/>
      <name val="宋体"/>
      <family val="3"/>
      <charset val="134"/>
    </font>
    <font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8" fillId="0" borderId="0"/>
  </cellStyleXfs>
  <cellXfs count="60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>
      <alignment vertical="center"/>
    </xf>
    <xf numFmtId="0" fontId="3" fillId="0" borderId="0" xfId="1" applyFont="1">
      <alignment vertical="center"/>
    </xf>
    <xf numFmtId="0" fontId="3" fillId="0" borderId="1" xfId="1" applyFont="1" applyFill="1" applyBorder="1">
      <alignment vertical="center"/>
    </xf>
    <xf numFmtId="0" fontId="1" fillId="0" borderId="0" xfId="0" applyFont="1">
      <alignment vertical="center"/>
    </xf>
    <xf numFmtId="176" fontId="3" fillId="2" borderId="1" xfId="1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3" fillId="3" borderId="1" xfId="1" applyFont="1" applyFill="1" applyBorder="1">
      <alignment vertical="center"/>
    </xf>
    <xf numFmtId="0" fontId="3" fillId="2" borderId="0" xfId="1" applyFont="1" applyFill="1">
      <alignment vertical="center"/>
    </xf>
    <xf numFmtId="0" fontId="6" fillId="0" borderId="0" xfId="0" applyFont="1">
      <alignment vertical="center"/>
    </xf>
    <xf numFmtId="0" fontId="3" fillId="0" borderId="0" xfId="0" applyFont="1">
      <alignment vertical="center"/>
    </xf>
    <xf numFmtId="14" fontId="6" fillId="0" borderId="0" xfId="0" applyNumberFormat="1" applyFont="1" applyAlignment="1">
      <alignment horizontal="left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7" fillId="2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77" fontId="9" fillId="2" borderId="1" xfId="2" applyNumberFormat="1" applyFont="1" applyFill="1" applyBorder="1" applyAlignment="1">
      <alignment horizontal="center"/>
    </xf>
    <xf numFmtId="0" fontId="9" fillId="2" borderId="1" xfId="2" applyFont="1" applyFill="1" applyBorder="1" applyAlignment="1">
      <alignment horizontal="center"/>
    </xf>
    <xf numFmtId="0" fontId="9" fillId="2" borderId="8" xfId="2" applyFont="1" applyFill="1" applyBorder="1" applyAlignment="1">
      <alignment horizontal="center"/>
    </xf>
    <xf numFmtId="0" fontId="9" fillId="0" borderId="0" xfId="2" applyFont="1"/>
    <xf numFmtId="0" fontId="9" fillId="0" borderId="0" xfId="2" applyFont="1" applyBorder="1"/>
    <xf numFmtId="0" fontId="10" fillId="0" borderId="0" xfId="0" applyFont="1">
      <alignment vertical="center"/>
    </xf>
    <xf numFmtId="0" fontId="9" fillId="0" borderId="0" xfId="0" applyFont="1">
      <alignment vertical="center"/>
    </xf>
    <xf numFmtId="1" fontId="9" fillId="2" borderId="1" xfId="2" applyNumberFormat="1" applyFont="1" applyFill="1" applyBorder="1"/>
    <xf numFmtId="2" fontId="9" fillId="2" borderId="1" xfId="2" applyNumberFormat="1" applyFont="1" applyFill="1" applyBorder="1"/>
    <xf numFmtId="178" fontId="9" fillId="2" borderId="1" xfId="2" applyNumberFormat="1" applyFont="1" applyFill="1" applyBorder="1"/>
    <xf numFmtId="0" fontId="9" fillId="0" borderId="0" xfId="1" applyFont="1">
      <alignment vertical="center"/>
    </xf>
    <xf numFmtId="0" fontId="9" fillId="2" borderId="1" xfId="2" applyFont="1" applyFill="1" applyBorder="1"/>
    <xf numFmtId="0" fontId="9" fillId="0" borderId="1" xfId="2" applyFont="1" applyFill="1" applyBorder="1"/>
    <xf numFmtId="0" fontId="9" fillId="3" borderId="1" xfId="2" applyFont="1" applyFill="1" applyBorder="1"/>
    <xf numFmtId="0" fontId="9" fillId="2" borderId="1" xfId="1" applyFont="1" applyFill="1" applyBorder="1">
      <alignment vertical="center"/>
    </xf>
    <xf numFmtId="14" fontId="9" fillId="0" borderId="0" xfId="0" applyNumberFormat="1" applyFont="1" applyAlignment="1">
      <alignment horizontal="left"/>
    </xf>
    <xf numFmtId="0" fontId="0" fillId="0" borderId="0" xfId="0" applyAlignment="1">
      <alignment vertical="center" wrapText="1"/>
    </xf>
    <xf numFmtId="0" fontId="0" fillId="5" borderId="1" xfId="0" applyFill="1" applyBorder="1" applyAlignment="1">
      <alignment horizontal="center" vertical="center"/>
    </xf>
    <xf numFmtId="0" fontId="11" fillId="4" borderId="1" xfId="0" applyFont="1" applyFill="1" applyBorder="1">
      <alignment vertical="center"/>
    </xf>
    <xf numFmtId="0" fontId="3" fillId="2" borderId="0" xfId="0" applyFont="1" applyFill="1" applyBorder="1" applyAlignment="1">
      <alignment horizontal="center"/>
    </xf>
    <xf numFmtId="176" fontId="1" fillId="0" borderId="1" xfId="0" applyNumberFormat="1" applyFont="1" applyBorder="1">
      <alignment vertical="center"/>
    </xf>
    <xf numFmtId="176" fontId="3" fillId="3" borderId="1" xfId="1" applyNumberFormat="1" applyFont="1" applyFill="1" applyBorder="1">
      <alignment vertical="center"/>
    </xf>
    <xf numFmtId="178" fontId="9" fillId="3" borderId="1" xfId="2" applyNumberFormat="1" applyFont="1" applyFill="1" applyBorder="1"/>
    <xf numFmtId="0" fontId="0" fillId="0" borderId="0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Continuous" vertical="center"/>
    </xf>
    <xf numFmtId="0" fontId="0" fillId="0" borderId="2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</cellXfs>
  <cellStyles count="3">
    <cellStyle name="常规" xfId="0" builtinId="0"/>
    <cellStyle name="常规 3" xfId="1" xr:uid="{00000000-0005-0000-0000-000001000000}"/>
    <cellStyle name="常规_移动平均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303608</xdr:colOff>
      <xdr:row>1</xdr:row>
      <xdr:rowOff>113109</xdr:rowOff>
    </xdr:from>
    <xdr:to>
      <xdr:col>13</xdr:col>
      <xdr:colOff>428625</xdr:colOff>
      <xdr:row>14</xdr:row>
      <xdr:rowOff>171450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625581D-503B-4B7E-B8C0-FDEC253833C1}"/>
            </a:ext>
          </a:extLst>
        </xdr:cNvPr>
        <xdr:cNvSpPr txBox="1">
          <a:spLocks noChangeArrowheads="1"/>
        </xdr:cNvSpPr>
      </xdr:nvSpPr>
      <xdr:spPr bwMode="auto">
        <a:xfrm>
          <a:off x="4329508" y="303609"/>
          <a:ext cx="4925617" cy="25348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800"/>
            </a:lnSpc>
            <a:defRPr sz="1000"/>
          </a:pP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200" b="1" i="0" baseline="0">
              <a:effectLst/>
              <a:latin typeface="+mn-lt"/>
              <a:ea typeface="+mn-ea"/>
              <a:cs typeface="+mn-cs"/>
            </a:rPr>
            <a:t>题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在单元格A1:B13中给出了过去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24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个月中债券利率,现要求建立指数平滑模型：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1、针对在F1中键入的任意的平滑常数（它可以是在0.1~0.5之间改变的任何正数）在C2:C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中正确的位置上求出各月的指数平滑预测值；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2、在单元格F2中求出这些预测值与对应的汇率实际值之间的均方误差；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3、利用灵敏度分析操作（模拟运算表）所得数据在F4中求出使均方误差达到极小的最优平滑常数；</a:t>
          </a:r>
        </a:p>
        <a:p>
          <a:pPr algn="l" rtl="0">
            <a:lnSpc>
              <a:spcPts val="18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4、利用最优平滑常数在F5中求出按照指数平滑模型计算的第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个月的</a:t>
          </a:r>
          <a:r>
            <a:rPr lang="zh-CN" altLang="zh-CN" sz="1200" b="0" i="0" baseline="0">
              <a:effectLst/>
              <a:latin typeface="+mn-lt"/>
              <a:ea typeface="+mn-ea"/>
              <a:cs typeface="+mn-cs"/>
            </a:rPr>
            <a:t>债券利率</a:t>
          </a:r>
          <a:r>
            <a:rPr lang="zh-CN" altLang="en-US" sz="1200" b="0" i="0" baseline="0">
              <a:effectLst/>
              <a:latin typeface="+mn-lt"/>
              <a:ea typeface="+mn-ea"/>
              <a:cs typeface="+mn-cs"/>
            </a:rPr>
            <a:t>的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/>
              <a:ea typeface="宋体"/>
            </a:rPr>
            <a:t>预测值。</a:t>
          </a:r>
        </a:p>
        <a:p>
          <a:pPr algn="l" rtl="0">
            <a:lnSpc>
              <a:spcPts val="1100"/>
            </a:lnSpc>
            <a:defRPr sz="1000"/>
          </a:pPr>
          <a:endParaRPr lang="zh-CN" altLang="en-US" sz="12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</xdr:row>
      <xdr:rowOff>57150</xdr:rowOff>
    </xdr:from>
    <xdr:to>
      <xdr:col>17</xdr:col>
      <xdr:colOff>556261</xdr:colOff>
      <xdr:row>14</xdr:row>
      <xdr:rowOff>80010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9470D49E-F119-49B5-9B85-1AED09E64771}"/>
            </a:ext>
          </a:extLst>
        </xdr:cNvPr>
        <xdr:cNvSpPr txBox="1">
          <a:spLocks noChangeArrowheads="1"/>
        </xdr:cNvSpPr>
      </xdr:nvSpPr>
      <xdr:spPr bwMode="auto">
        <a:xfrm>
          <a:off x="7124700" y="238125"/>
          <a:ext cx="6376036" cy="237553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</xdr:spPr>
      <xdr:txBody>
        <a:bodyPr vertOverflow="clip" wrap="square" lIns="82800" tIns="82800" rIns="90000" bIns="46800" anchor="t" upright="1"/>
        <a:lstStyle/>
        <a:p>
          <a:pPr algn="l" rtl="0">
            <a:lnSpc>
              <a:spcPts val="1900"/>
            </a:lnSpc>
            <a:defRPr sz="1000"/>
          </a:pPr>
          <a:r>
            <a:rPr lang="zh-CN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第</a:t>
          </a:r>
          <a:r>
            <a:rPr lang="en-US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2</a:t>
          </a:r>
          <a:r>
            <a:rPr lang="zh-CN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题</a:t>
          </a:r>
          <a:r>
            <a:rPr lang="zh-CN" altLang="en-US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）</a:t>
          </a:r>
          <a:r>
            <a:rPr lang="en-US" altLang="zh-CN" sz="1200" b="1" i="0" baseline="0">
              <a:effectLst/>
              <a:latin typeface="宋体" panose="02010600030101010101" pitchFamily="2" charset="-122"/>
              <a:ea typeface="宋体" panose="02010600030101010101" pitchFamily="2" charset="-122"/>
              <a:cs typeface="+mn-cs"/>
            </a:rPr>
            <a:t> 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本工作表中A1:B2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</a:rPr>
            <a:t>区域的数据是某公司在过去二年的销售额观测值，经观察发现这些数据大体上在一个水平位置附近上下波动。要求建立移动平均模型：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1、针对在单元格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G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3中的任意移动平均跨度值（它可以是在2~8之间改变的任何整数）求出各个月销售额的移动平均估计值；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2、求出这些估计值与对应的销售额实际值之间的均方误差MSE；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3、用灵敏度分析方法求出使MSE达到极小的最优移动平均跨度及该MSE极小值；</a:t>
          </a:r>
        </a:p>
        <a:p>
          <a:pPr algn="l" rtl="0">
            <a:lnSpc>
              <a:spcPts val="1900"/>
            </a:lnSpc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4、用最优移动平均跨度求出未来第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25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宋体" panose="02010600030101010101" pitchFamily="2" charset="-122"/>
              <a:ea typeface="宋体" panose="02010600030101010101" pitchFamily="2" charset="-122"/>
              <a:cs typeface="Arial"/>
            </a:rPr>
            <a:t>个月的销售额预测值。</a:t>
          </a:r>
          <a:endParaRPr lang="zh-CN" altLang="en-US" sz="1200" b="0" i="0" u="none" strike="noStrike" baseline="0">
            <a:solidFill>
              <a:srgbClr val="000000"/>
            </a:solidFill>
            <a:latin typeface="宋体" panose="02010600030101010101" pitchFamily="2" charset="-122"/>
            <a:ea typeface="宋体" panose="02010600030101010101" pitchFamily="2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649781</xdr:colOff>
      <xdr:row>1</xdr:row>
      <xdr:rowOff>128094</xdr:rowOff>
    </xdr:from>
    <xdr:to>
      <xdr:col>21</xdr:col>
      <xdr:colOff>34924</xdr:colOff>
      <xdr:row>10</xdr:row>
      <xdr:rowOff>152400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13E9F225-8075-4585-9505-3A0C28845985}"/>
            </a:ext>
          </a:extLst>
        </xdr:cNvPr>
        <xdr:cNvSpPr txBox="1"/>
      </xdr:nvSpPr>
      <xdr:spPr>
        <a:xfrm>
          <a:off x="9565181" y="305894"/>
          <a:ext cx="4871543" cy="1630856"/>
        </a:xfrm>
        <a:prstGeom prst="rect">
          <a:avLst/>
        </a:prstGeom>
        <a:solidFill>
          <a:srgbClr val="D3F5F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zh-CN" altLang="en-US" sz="1200" b="1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题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是某公司近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个月冰箱销售数据库，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负责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冰箱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销售的经理，发现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本工作表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A1:C49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销售数据整体上有增长趋势，但他不仅想预测第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个月的销量，还想预测第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个月每周的销量，为此他收集了过去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个月每周的销量的明细数据，数据显示每周的销量既有规律的变化，具有明显的季节成分。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请</a:t>
          </a:r>
          <a:r>
            <a:rPr lang="zh-CN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用季节指数预测模型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计算季节指数并预测未来第</a:t>
          </a:r>
          <a:r>
            <a:rPr lang="en-US" altLang="zh-CN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13</a:t>
          </a:r>
          <a:r>
            <a:rPr lang="zh-CN" altLang="en-US" sz="120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月各周的销量。</a:t>
          </a:r>
          <a:endParaRPr lang="zh-CN" altLang="zh-CN" sz="1200">
            <a:effectLst/>
            <a:latin typeface="+mn-ea"/>
            <a:ea typeface="+mn-ea"/>
          </a:endParaRPr>
        </a:p>
        <a:p>
          <a:endParaRPr lang="zh-CN" altLang="en-US" sz="1200">
            <a:latin typeface="+mn-ea"/>
            <a:ea typeface="+mn-ea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</xdr:row>
      <xdr:rowOff>47625</xdr:rowOff>
    </xdr:from>
    <xdr:to>
      <xdr:col>13</xdr:col>
      <xdr:colOff>219075</xdr:colOff>
      <xdr:row>11</xdr:row>
      <xdr:rowOff>66675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C7F48F3C-0069-4CE9-8C8C-28093224599F}"/>
            </a:ext>
          </a:extLst>
        </xdr:cNvPr>
        <xdr:cNvGrpSpPr/>
      </xdr:nvGrpSpPr>
      <xdr:grpSpPr>
        <a:xfrm>
          <a:off x="7680187" y="401016"/>
          <a:ext cx="3494018" cy="1819137"/>
          <a:chOff x="228600" y="2838450"/>
          <a:chExt cx="3609975" cy="1828800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0F9183F3-CB5B-4F0D-BAC0-DF0B28B2C732}"/>
              </a:ext>
            </a:extLst>
          </xdr:cNvPr>
          <xdr:cNvSpPr txBox="1"/>
        </xdr:nvSpPr>
        <xdr:spPr>
          <a:xfrm>
            <a:off x="228600" y="2838450"/>
            <a:ext cx="3609975" cy="182880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>
                <a:latin typeface="+mn-ea"/>
                <a:ea typeface="+mn-ea"/>
              </a:rPr>
              <a:t>第</a:t>
            </a:r>
            <a:r>
              <a:rPr lang="en-US" altLang="zh-CN" sz="1200" b="1">
                <a:latin typeface="+mn-ea"/>
                <a:ea typeface="+mn-ea"/>
              </a:rPr>
              <a:t>4</a:t>
            </a:r>
            <a:r>
              <a:rPr lang="zh-CN" altLang="en-US" sz="1200" b="1">
                <a:latin typeface="+mn-ea"/>
                <a:ea typeface="+mn-ea"/>
              </a:rPr>
              <a:t>题</a:t>
            </a:r>
            <a:r>
              <a:rPr lang="zh-CN" altLang="en-US" sz="1200">
                <a:latin typeface="+mn-ea"/>
                <a:ea typeface="+mn-ea"/>
              </a:rPr>
              <a:t>根据</a:t>
            </a:r>
            <a:r>
              <a:rPr lang="en-US" altLang="zh-CN" sz="1200">
                <a:latin typeface="+mn-ea"/>
                <a:ea typeface="+mn-ea"/>
              </a:rPr>
              <a:t>10</a:t>
            </a:r>
            <a:r>
              <a:rPr lang="zh-CN" altLang="en-US" sz="1200">
                <a:latin typeface="+mn-ea"/>
                <a:ea typeface="+mn-ea"/>
              </a:rPr>
              <a:t>个不同企业的利润与广告费用的数据记录，如单元格</a:t>
            </a:r>
            <a:r>
              <a:rPr lang="en-US" altLang="zh-CN" sz="1200">
                <a:latin typeface="+mn-ea"/>
                <a:ea typeface="+mn-ea"/>
              </a:rPr>
              <a:t>A1:B11</a:t>
            </a:r>
            <a:r>
              <a:rPr lang="zh-CN" altLang="en-US" sz="1200">
                <a:latin typeface="+mn-ea"/>
                <a:ea typeface="+mn-ea"/>
              </a:rPr>
              <a:t>所示，根据这些数据建立模型</a:t>
            </a:r>
            <a:r>
              <a:rPr lang="en-US" altLang="zh-CN" sz="1200">
                <a:latin typeface="+mn-ea"/>
                <a:ea typeface="+mn-ea"/>
              </a:rPr>
              <a:t>:</a:t>
            </a:r>
          </a:p>
          <a:p>
            <a:endParaRPr lang="en-US" altLang="zh-CN" sz="1200">
              <a:latin typeface="+mn-ea"/>
              <a:ea typeface="+mn-ea"/>
            </a:endParaRPr>
          </a:p>
          <a:p>
            <a:endParaRPr lang="en-US" altLang="zh-CN" sz="1200">
              <a:latin typeface="+mn-ea"/>
              <a:ea typeface="+mn-ea"/>
            </a:endParaRPr>
          </a:p>
          <a:p>
            <a:endParaRPr lang="en-US" altLang="zh-CN" sz="1200">
              <a:latin typeface="+mn-ea"/>
              <a:ea typeface="+mn-ea"/>
            </a:endParaRPr>
          </a:p>
          <a:p>
            <a:r>
              <a:rPr lang="zh-CN" altLang="en-US" sz="1200">
                <a:latin typeface="+mn-ea"/>
                <a:ea typeface="+mn-ea"/>
              </a:rPr>
              <a:t>（</a:t>
            </a:r>
            <a:r>
              <a:rPr lang="en-US" altLang="zh-CN" sz="1200">
                <a:latin typeface="+mn-ea"/>
                <a:ea typeface="+mn-ea"/>
              </a:rPr>
              <a:t>1</a:t>
            </a:r>
            <a:r>
              <a:rPr lang="zh-CN" altLang="en-US" sz="1200">
                <a:latin typeface="+mn-ea"/>
                <a:ea typeface="+mn-ea"/>
              </a:rPr>
              <a:t>）利用变换法计算模型参数</a:t>
            </a:r>
            <a:r>
              <a:rPr lang="en-US" altLang="zh-CN" sz="1200">
                <a:latin typeface="+mn-ea"/>
                <a:ea typeface="+mn-ea"/>
              </a:rPr>
              <a:t>a</a:t>
            </a:r>
            <a:r>
              <a:rPr lang="zh-CN" altLang="en-US" sz="1200">
                <a:latin typeface="+mn-ea"/>
                <a:ea typeface="+mn-ea"/>
              </a:rPr>
              <a:t>、</a:t>
            </a:r>
            <a:r>
              <a:rPr lang="en-US" altLang="zh-CN" sz="1200">
                <a:latin typeface="+mn-ea"/>
                <a:ea typeface="+mn-ea"/>
              </a:rPr>
              <a:t>b</a:t>
            </a:r>
            <a:r>
              <a:rPr lang="zh-CN" altLang="en-US" sz="1200">
                <a:latin typeface="+mn-ea"/>
                <a:ea typeface="+mn-ea"/>
              </a:rPr>
              <a:t>、</a:t>
            </a:r>
            <a:r>
              <a:rPr lang="en-US" altLang="zh-CN" sz="1200">
                <a:latin typeface="+mn-ea"/>
                <a:ea typeface="+mn-ea"/>
              </a:rPr>
              <a:t>c</a:t>
            </a:r>
            <a:r>
              <a:rPr lang="zh-CN" altLang="en-US" sz="1200">
                <a:latin typeface="+mn-ea"/>
                <a:ea typeface="+mn-ea"/>
              </a:rPr>
              <a:t>；</a:t>
            </a:r>
            <a:endParaRPr lang="en-US" altLang="zh-CN" sz="1200">
              <a:latin typeface="+mn-ea"/>
              <a:ea typeface="+mn-ea"/>
            </a:endParaRPr>
          </a:p>
          <a:p>
            <a:r>
              <a:rPr lang="zh-CN" altLang="en-US" sz="1200">
                <a:latin typeface="+mn-ea"/>
                <a:ea typeface="+mn-ea"/>
              </a:rPr>
              <a:t>（</a:t>
            </a:r>
            <a:r>
              <a:rPr lang="en-US" altLang="zh-CN" sz="1200">
                <a:latin typeface="+mn-ea"/>
                <a:ea typeface="+mn-ea"/>
              </a:rPr>
              <a:t>2</a:t>
            </a:r>
            <a:r>
              <a:rPr lang="zh-CN" altLang="en-US" sz="1200">
                <a:latin typeface="+mn-ea"/>
                <a:ea typeface="+mn-ea"/>
              </a:rPr>
              <a:t>）预测广告费用为</a:t>
            </a:r>
            <a:r>
              <a:rPr lang="en-US" altLang="zh-CN" sz="1200">
                <a:latin typeface="+mn-ea"/>
                <a:ea typeface="+mn-ea"/>
              </a:rPr>
              <a:t>9.5</a:t>
            </a:r>
            <a:r>
              <a:rPr lang="zh-CN" altLang="en-US" sz="1200">
                <a:latin typeface="+mn-ea"/>
                <a:ea typeface="+mn-ea"/>
              </a:rPr>
              <a:t>万元时的利润。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0E66C8DF-E839-4708-A40A-C165B72C9165}"/>
                  </a:ext>
                </a:extLst>
              </xdr:cNvPr>
              <xdr:cNvSpPr txBox="1"/>
            </xdr:nvSpPr>
            <xdr:spPr>
              <a:xfrm>
                <a:off x="1109662" y="3576637"/>
                <a:ext cx="2074607" cy="281808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14:m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800" i="1">
                        <a:latin typeface="Cambria Math" panose="02040503050406030204" pitchFamily="18" charset="0"/>
                      </a:rPr>
                      <m:t>y</m:t>
                    </m:r>
                  </m:oMath>
                </a14:m>
                <a:r>
                  <a:rPr lang="en-US" altLang="zh-CN" sz="1800"/>
                  <a:t>=a+b*sin(x)+c*cos(x)</a:t>
                </a:r>
                <a:endParaRPr lang="zh-CN" altLang="en-US" sz="1800"/>
              </a:p>
            </xdr:txBody>
          </xdr:sp>
        </mc:Choice>
        <mc:Fallback xmlns="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0E66C8DF-E839-4708-A40A-C165B72C9165}"/>
                  </a:ext>
                </a:extLst>
              </xdr:cNvPr>
              <xdr:cNvSpPr txBox="1"/>
            </xdr:nvSpPr>
            <xdr:spPr>
              <a:xfrm>
                <a:off x="1109662" y="3576637"/>
                <a:ext cx="2074607" cy="281808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spAutoFit/>
              </a:bodyPr>
              <a:lstStyle/>
              <a:p>
                <a:r>
                  <a:rPr lang="en-US" altLang="zh-CN" sz="1800" i="0">
                    <a:latin typeface="Cambria Math" panose="02040503050406030204" pitchFamily="18" charset="0"/>
                  </a:rPr>
                  <a:t>y</a:t>
                </a:r>
                <a:r>
                  <a:rPr lang="en-US" altLang="zh-CN" sz="1800"/>
                  <a:t>=a+b*sin(x)+c*cos(x)</a:t>
                </a:r>
                <a:endParaRPr lang="zh-CN" altLang="en-US" sz="1800"/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628650</xdr:colOff>
      <xdr:row>10</xdr:row>
      <xdr:rowOff>0</xdr:rowOff>
    </xdr:from>
    <xdr:to>
      <xdr:col>7</xdr:col>
      <xdr:colOff>600075</xdr:colOff>
      <xdr:row>21</xdr:row>
      <xdr:rowOff>95250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68E639CF-DA6D-48A3-9F5A-A03154D8468E}"/>
            </a:ext>
          </a:extLst>
        </xdr:cNvPr>
        <xdr:cNvGrpSpPr/>
      </xdr:nvGrpSpPr>
      <xdr:grpSpPr>
        <a:xfrm>
          <a:off x="3969302" y="1783522"/>
          <a:ext cx="5012773" cy="2055467"/>
          <a:chOff x="1181099" y="2942573"/>
          <a:chExt cx="4333875" cy="2057400"/>
        </a:xfrm>
        <a:solidFill>
          <a:schemeClr val="accent6">
            <a:lumMod val="20000"/>
            <a:lumOff val="80000"/>
          </a:schemeClr>
        </a:solidFill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3" name="文本框 2">
                <a:extLst>
                  <a:ext uri="{FF2B5EF4-FFF2-40B4-BE49-F238E27FC236}">
                    <a16:creationId xmlns:a16="http://schemas.microsoft.com/office/drawing/2014/main" id="{72C48B29-9303-4BA6-8735-C78D99893D2A}"/>
                  </a:ext>
                </a:extLst>
              </xdr:cNvPr>
              <xdr:cNvSpPr txBox="1"/>
            </xdr:nvSpPr>
            <xdr:spPr>
              <a:xfrm>
                <a:off x="1181099" y="2942573"/>
                <a:ext cx="4333875" cy="2057400"/>
              </a:xfrm>
              <a:prstGeom prst="rect">
                <a:avLst/>
              </a:prstGeom>
              <a:grpFill/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zh-CN" altLang="en-US" sz="1200" b="1">
                    <a:latin typeface="+mn-ea"/>
                    <a:ea typeface="+mn-ea"/>
                  </a:rPr>
                  <a:t>第</a:t>
                </a:r>
                <a:r>
                  <a:rPr lang="en-US" altLang="zh-CN" sz="1200" b="1">
                    <a:latin typeface="+mn-ea"/>
                    <a:ea typeface="+mn-ea"/>
                  </a:rPr>
                  <a:t>5</a:t>
                </a:r>
                <a:r>
                  <a:rPr lang="zh-CN" altLang="en-US" sz="1200" b="1">
                    <a:latin typeface="+mn-ea"/>
                    <a:ea typeface="+mn-ea"/>
                  </a:rPr>
                  <a:t>题）</a:t>
                </a:r>
                <a:r>
                  <a:rPr lang="zh-CN" altLang="en-US" sz="1200">
                    <a:latin typeface="+mn-ea"/>
                    <a:ea typeface="+mn-ea"/>
                  </a:rPr>
                  <a:t>根据</a:t>
                </a:r>
                <a:r>
                  <a:rPr lang="en-US" altLang="zh-CN" sz="1200">
                    <a:latin typeface="+mn-ea"/>
                    <a:ea typeface="+mn-ea"/>
                  </a:rPr>
                  <a:t>8</a:t>
                </a:r>
                <a:r>
                  <a:rPr lang="zh-CN" altLang="en-US" sz="1200">
                    <a:latin typeface="+mn-ea"/>
                    <a:ea typeface="+mn-ea"/>
                  </a:rPr>
                  <a:t>个不同经济发展水平地区的人均年能量消耗量（折合成标准煤，单位：</a:t>
                </a:r>
                <a:r>
                  <a:rPr lang="en-US" altLang="zh-CN" sz="1200">
                    <a:latin typeface="+mn-ea"/>
                    <a:ea typeface="+mn-ea"/>
                  </a:rPr>
                  <a:t>kg)</a:t>
                </a:r>
                <a:r>
                  <a:rPr lang="zh-CN" altLang="en-US" sz="1200">
                    <a:latin typeface="+mn-ea"/>
                    <a:ea typeface="+mn-ea"/>
                  </a:rPr>
                  <a:t>和人均国民生产总值的数据，根据这些数据建立模型</a:t>
                </a:r>
                <a:r>
                  <a:rPr lang="en-US" altLang="zh-CN" sz="1200">
                    <a:latin typeface="+mn-ea"/>
                    <a:ea typeface="+mn-ea"/>
                  </a:rPr>
                  <a:t>:</a:t>
                </a: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1</a:t>
                </a:r>
                <a:r>
                  <a:rPr lang="zh-CN" altLang="en-US" sz="1200">
                    <a:latin typeface="+mn-ea"/>
                    <a:ea typeface="+mn-ea"/>
                  </a:rPr>
                  <a:t>）利用变换法计算模型参数</a:t>
                </a:r>
                <a:r>
                  <a:rPr lang="en-US" altLang="zh-CN" sz="1200">
                    <a:latin typeface="+mn-ea"/>
                    <a:ea typeface="+mn-ea"/>
                  </a:rPr>
                  <a:t>a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a14:m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14:m>
                  <m:oMath xmlns:m="http://schemas.openxmlformats.org/officeDocument/2006/math">
                    <m:sSub>
                      <m:sSubPr>
                        <m:ctrlP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𝑏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</m:oMath>
                </a14:m>
                <a:r>
                  <a:rPr lang="zh-CN" altLang="en-US" sz="1200">
                    <a:latin typeface="+mn-ea"/>
                    <a:ea typeface="+mn-ea"/>
                  </a:rPr>
                  <a:t>；</a:t>
                </a:r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2</a:t>
                </a:r>
                <a:r>
                  <a:rPr lang="zh-CN" altLang="en-US" sz="1200">
                    <a:latin typeface="+mn-ea"/>
                    <a:ea typeface="+mn-ea"/>
                  </a:rPr>
                  <a:t>）预测人均年生产总值为</a:t>
                </a:r>
                <a:r>
                  <a:rPr lang="en-US" altLang="zh-CN" sz="1200">
                    <a:latin typeface="+mn-ea"/>
                    <a:ea typeface="+mn-ea"/>
                  </a:rPr>
                  <a:t>3000</a:t>
                </a:r>
                <a:r>
                  <a:rPr lang="zh-CN" altLang="en-US" sz="1200">
                    <a:latin typeface="+mn-ea"/>
                    <a:ea typeface="+mn-ea"/>
                  </a:rPr>
                  <a:t>美元时的人均年耗能。</a:t>
                </a:r>
              </a:p>
            </xdr:txBody>
          </xdr:sp>
        </mc:Choice>
        <mc:Fallback xmlns="">
          <xdr:sp macro="" textlink="">
            <xdr:nvSpPr>
              <xdr:cNvPr id="3" name="文本框 2">
                <a:extLst>
                  <a:ext uri="{FF2B5EF4-FFF2-40B4-BE49-F238E27FC236}">
                    <a16:creationId xmlns:a16="http://schemas.microsoft.com/office/drawing/2014/main" id="{72C48B29-9303-4BA6-8735-C78D99893D2A}"/>
                  </a:ext>
                </a:extLst>
              </xdr:cNvPr>
              <xdr:cNvSpPr txBox="1"/>
            </xdr:nvSpPr>
            <xdr:spPr>
              <a:xfrm>
                <a:off x="1181099" y="2942573"/>
                <a:ext cx="4333875" cy="2057400"/>
              </a:xfrm>
              <a:prstGeom prst="rect">
                <a:avLst/>
              </a:prstGeom>
              <a:grpFill/>
              <a:ln w="9525" cmpd="sng">
                <a:solidFill>
                  <a:schemeClr val="tx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zh-CN" altLang="en-US" sz="1200" b="1">
                    <a:latin typeface="+mn-ea"/>
                    <a:ea typeface="+mn-ea"/>
                  </a:rPr>
                  <a:t>第</a:t>
                </a:r>
                <a:r>
                  <a:rPr lang="en-US" altLang="zh-CN" sz="1200" b="1">
                    <a:latin typeface="+mn-ea"/>
                    <a:ea typeface="+mn-ea"/>
                  </a:rPr>
                  <a:t>5</a:t>
                </a:r>
                <a:r>
                  <a:rPr lang="zh-CN" altLang="en-US" sz="1200" b="1">
                    <a:latin typeface="+mn-ea"/>
                    <a:ea typeface="+mn-ea"/>
                  </a:rPr>
                  <a:t>题）</a:t>
                </a:r>
                <a:r>
                  <a:rPr lang="zh-CN" altLang="en-US" sz="1200">
                    <a:latin typeface="+mn-ea"/>
                    <a:ea typeface="+mn-ea"/>
                  </a:rPr>
                  <a:t>根据</a:t>
                </a:r>
                <a:r>
                  <a:rPr lang="en-US" altLang="zh-CN" sz="1200">
                    <a:latin typeface="+mn-ea"/>
                    <a:ea typeface="+mn-ea"/>
                  </a:rPr>
                  <a:t>8</a:t>
                </a:r>
                <a:r>
                  <a:rPr lang="zh-CN" altLang="en-US" sz="1200">
                    <a:latin typeface="+mn-ea"/>
                    <a:ea typeface="+mn-ea"/>
                  </a:rPr>
                  <a:t>个不同经济发展水平地区的人均年能量消耗量（折合成标准煤，单位：</a:t>
                </a:r>
                <a:r>
                  <a:rPr lang="en-US" altLang="zh-CN" sz="1200">
                    <a:latin typeface="+mn-ea"/>
                    <a:ea typeface="+mn-ea"/>
                  </a:rPr>
                  <a:t>kg)</a:t>
                </a:r>
                <a:r>
                  <a:rPr lang="zh-CN" altLang="en-US" sz="1200">
                    <a:latin typeface="+mn-ea"/>
                    <a:ea typeface="+mn-ea"/>
                  </a:rPr>
                  <a:t>和人均国民生产总值的数据，根据这些数据建立模型</a:t>
                </a:r>
                <a:r>
                  <a:rPr lang="en-US" altLang="zh-CN" sz="1200">
                    <a:latin typeface="+mn-ea"/>
                    <a:ea typeface="+mn-ea"/>
                  </a:rPr>
                  <a:t>:</a:t>
                </a: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1</a:t>
                </a:r>
                <a:r>
                  <a:rPr lang="zh-CN" altLang="en-US" sz="1200">
                    <a:latin typeface="+mn-ea"/>
                    <a:ea typeface="+mn-ea"/>
                  </a:rPr>
                  <a:t>）利用变换法计算模型参数</a:t>
                </a:r>
                <a:r>
                  <a:rPr lang="en-US" altLang="zh-CN" sz="1200">
                    <a:latin typeface="+mn-ea"/>
                    <a:ea typeface="+mn-ea"/>
                  </a:rPr>
                  <a:t>a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:r>
                  <a:rPr lang="en-US" altLang="zh-CN" sz="1200" b="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𝑏_1</a:t>
                </a:r>
                <a:r>
                  <a:rPr lang="zh-CN" altLang="en-US" sz="1200">
                    <a:latin typeface="+mn-ea"/>
                    <a:ea typeface="+mn-ea"/>
                  </a:rPr>
                  <a:t>、</a:t>
                </a:r>
                <a:r>
                  <a:rPr lang="en-US" altLang="zh-CN" sz="1200" b="0" i="0">
                    <a:solidFill>
                      <a:schemeClr val="dk1"/>
                    </a:solidFill>
                    <a:effectLst/>
                    <a:latin typeface="Cambria Math" panose="02040503050406030204" pitchFamily="18" charset="0"/>
                    <a:ea typeface="+mn-ea"/>
                    <a:cs typeface="+mn-cs"/>
                  </a:rPr>
                  <a:t>𝑏_2</a:t>
                </a:r>
                <a:r>
                  <a:rPr lang="zh-CN" altLang="en-US" sz="1200">
                    <a:latin typeface="+mn-ea"/>
                    <a:ea typeface="+mn-ea"/>
                  </a:rPr>
                  <a:t>；</a:t>
                </a:r>
                <a:endParaRPr lang="en-US" altLang="zh-CN" sz="1200">
                  <a:latin typeface="+mn-ea"/>
                  <a:ea typeface="+mn-ea"/>
                </a:endParaRPr>
              </a:p>
              <a:p>
                <a:r>
                  <a:rPr lang="zh-CN" altLang="en-US" sz="1200">
                    <a:latin typeface="+mn-ea"/>
                    <a:ea typeface="+mn-ea"/>
                  </a:rPr>
                  <a:t>（</a:t>
                </a:r>
                <a:r>
                  <a:rPr lang="en-US" altLang="zh-CN" sz="1200">
                    <a:latin typeface="+mn-ea"/>
                    <a:ea typeface="+mn-ea"/>
                  </a:rPr>
                  <a:t>2</a:t>
                </a:r>
                <a:r>
                  <a:rPr lang="zh-CN" altLang="en-US" sz="1200">
                    <a:latin typeface="+mn-ea"/>
                    <a:ea typeface="+mn-ea"/>
                  </a:rPr>
                  <a:t>）预测人均年生产总值为</a:t>
                </a:r>
                <a:r>
                  <a:rPr lang="en-US" altLang="zh-CN" sz="1200">
                    <a:latin typeface="+mn-ea"/>
                    <a:ea typeface="+mn-ea"/>
                  </a:rPr>
                  <a:t>3000</a:t>
                </a:r>
                <a:r>
                  <a:rPr lang="zh-CN" altLang="en-US" sz="1200">
                    <a:latin typeface="+mn-ea"/>
                    <a:ea typeface="+mn-ea"/>
                  </a:rPr>
                  <a:t>美元时的人均年耗能。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DDDE40EE-9F44-4587-9BAC-0453EB78069E}"/>
                  </a:ext>
                </a:extLst>
              </xdr:cNvPr>
              <xdr:cNvSpPr txBox="1"/>
            </xdr:nvSpPr>
            <xdr:spPr>
              <a:xfrm>
                <a:off x="2328862" y="3662362"/>
                <a:ext cx="2205540" cy="332397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𝒚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𝒂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𝒃</m:t>
                          </m:r>
                        </m:e>
                        <m:sub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𝟏</m:t>
                          </m:r>
                        </m:sub>
                      </m:sSub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∗</m:t>
                      </m:r>
                      <m:rad>
                        <m:radPr>
                          <m:degHide m:val="on"/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</m:rad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+</m:t>
                      </m:r>
                      <m:sSub>
                        <m:sSubPr>
                          <m:ctrlPr>
                            <a:rPr lang="en-US" altLang="zh-CN" sz="1400" b="1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𝒃</m:t>
                          </m:r>
                        </m:e>
                        <m:sub>
                          <m:r>
                            <a:rPr lang="en-US" altLang="zh-CN" sz="14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b>
                      </m:sSub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altLang="zh-CN" sz="1400" b="1" i="0">
                          <a:latin typeface="Cambria Math" panose="02040503050406030204" pitchFamily="18" charset="0"/>
                        </a:rPr>
                        <m:t>𝐥𝐧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⁡(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𝒙</m:t>
                      </m:r>
                      <m:r>
                        <a:rPr lang="en-US" altLang="zh-CN" sz="1400" b="1" i="1">
                          <a:latin typeface="Cambria Math" panose="02040503050406030204" pitchFamily="18" charset="0"/>
                        </a:rPr>
                        <m:t>)</m:t>
                      </m:r>
                    </m:oMath>
                  </m:oMathPara>
                </a14:m>
                <a:endParaRPr lang="zh-CN" altLang="en-US" sz="1400" b="1"/>
              </a:p>
            </xdr:txBody>
          </xdr:sp>
        </mc:Choice>
        <mc:Fallback xmlns="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DDDE40EE-9F44-4587-9BAC-0453EB78069E}"/>
                  </a:ext>
                </a:extLst>
              </xdr:cNvPr>
              <xdr:cNvSpPr txBox="1"/>
            </xdr:nvSpPr>
            <xdr:spPr>
              <a:xfrm>
                <a:off x="2328862" y="3662362"/>
                <a:ext cx="2205540" cy="332397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/>
                <a:r>
                  <a:rPr lang="en-US" altLang="zh-CN" sz="1400" b="1" i="0">
                    <a:latin typeface="Cambria Math" panose="02040503050406030204" pitchFamily="18" charset="0"/>
                  </a:rPr>
                  <a:t>𝒚=𝒂+𝒃_𝟏∗√𝒙+𝒃_𝟐∗𝐥𝐧⁡(𝒙)</a:t>
                </a:r>
                <a:endParaRPr lang="zh-CN" altLang="en-US" sz="1400" b="1"/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11</xdr:row>
      <xdr:rowOff>76200</xdr:rowOff>
    </xdr:from>
    <xdr:to>
      <xdr:col>11</xdr:col>
      <xdr:colOff>638175</xdr:colOff>
      <xdr:row>21</xdr:row>
      <xdr:rowOff>38100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C0E57F2-F53A-49D0-A0C9-D8F45A091666}"/>
            </a:ext>
          </a:extLst>
        </xdr:cNvPr>
        <xdr:cNvGrpSpPr/>
      </xdr:nvGrpSpPr>
      <xdr:grpSpPr>
        <a:xfrm>
          <a:off x="4508500" y="2057400"/>
          <a:ext cx="5426075" cy="1746250"/>
          <a:chOff x="685800" y="2895600"/>
          <a:chExt cx="4676775" cy="1771650"/>
        </a:xfrm>
      </xdr:grpSpPr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95D63A6B-F2A2-4A1E-B5E1-7C1D45B80A19}"/>
              </a:ext>
            </a:extLst>
          </xdr:cNvPr>
          <xdr:cNvSpPr txBox="1"/>
        </xdr:nvSpPr>
        <xdr:spPr>
          <a:xfrm>
            <a:off x="685800" y="2895600"/>
            <a:ext cx="4676775" cy="1771650"/>
          </a:xfrm>
          <a:prstGeom prst="rect">
            <a:avLst/>
          </a:prstGeom>
          <a:solidFill>
            <a:srgbClr val="D3F5F9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200" b="1"/>
              <a:t>第</a:t>
            </a:r>
            <a:r>
              <a:rPr lang="en-US" altLang="zh-CN" sz="1200" b="1"/>
              <a:t>6</a:t>
            </a:r>
            <a:r>
              <a:rPr lang="zh-CN" altLang="en-US" sz="1200" b="1"/>
              <a:t>题</a:t>
            </a:r>
            <a:r>
              <a:rPr lang="zh-CN" altLang="en-US" sz="1200"/>
              <a:t>根据</a:t>
            </a:r>
            <a:r>
              <a:rPr lang="en-US" altLang="zh-CN" sz="1200"/>
              <a:t>10</a:t>
            </a:r>
            <a:r>
              <a:rPr lang="zh-CN" altLang="en-US" sz="1200"/>
              <a:t>个不同企业的利润与广告费用的数据记录，如单元格</a:t>
            </a:r>
            <a:r>
              <a:rPr lang="en-US" altLang="zh-CN" sz="1200"/>
              <a:t>A1:B11</a:t>
            </a:r>
            <a:r>
              <a:rPr lang="zh-CN" altLang="en-US" sz="1200"/>
              <a:t>所示，根据这些数据建立模型</a:t>
            </a:r>
            <a:r>
              <a:rPr lang="en-US" altLang="zh-CN" sz="1200"/>
              <a:t>:</a:t>
            </a:r>
          </a:p>
          <a:p>
            <a:endParaRPr lang="en-US" altLang="zh-CN" sz="1200"/>
          </a:p>
          <a:p>
            <a:endParaRPr lang="en-US" altLang="zh-CN" sz="1200"/>
          </a:p>
          <a:p>
            <a:endParaRPr lang="en-US" altLang="zh-CN" sz="1200"/>
          </a:p>
          <a:p>
            <a:r>
              <a:rPr lang="zh-CN" altLang="en-US" sz="1200"/>
              <a:t>（</a:t>
            </a:r>
            <a:r>
              <a:rPr lang="en-US" altLang="zh-CN" sz="1200"/>
              <a:t>1</a:t>
            </a:r>
            <a:r>
              <a:rPr lang="zh-CN" altLang="en-US" sz="1200"/>
              <a:t>）利用变换法计算模型参数</a:t>
            </a:r>
            <a:r>
              <a:rPr lang="en-US" altLang="zh-CN" sz="1200"/>
              <a:t>a</a:t>
            </a:r>
            <a:r>
              <a:rPr lang="zh-CN" altLang="en-US" sz="1200"/>
              <a:t>、</a:t>
            </a:r>
            <a:r>
              <a:rPr lang="en-US" altLang="zh-CN" sz="1200"/>
              <a:t>b1</a:t>
            </a:r>
            <a:r>
              <a:rPr lang="zh-CN" altLang="en-US" sz="1200"/>
              <a:t>、</a:t>
            </a:r>
            <a:r>
              <a:rPr lang="en-US" altLang="zh-CN" sz="1200"/>
              <a:t>b2</a:t>
            </a:r>
            <a:r>
              <a:rPr lang="zh-CN" altLang="en-US" sz="1200"/>
              <a:t>、</a:t>
            </a:r>
            <a:r>
              <a:rPr lang="en-US" altLang="zh-CN" sz="1200"/>
              <a:t>b3</a:t>
            </a:r>
            <a:r>
              <a:rPr lang="zh-CN" altLang="en-US" sz="1200"/>
              <a:t>；</a:t>
            </a:r>
            <a:endParaRPr lang="en-US" altLang="zh-CN" sz="1200"/>
          </a:p>
          <a:p>
            <a:r>
              <a:rPr lang="zh-CN" altLang="en-US" sz="1200"/>
              <a:t>（</a:t>
            </a:r>
            <a:r>
              <a:rPr lang="en-US" altLang="zh-CN" sz="1200"/>
              <a:t>2</a:t>
            </a:r>
            <a:r>
              <a:rPr lang="zh-CN" altLang="en-US" sz="1200"/>
              <a:t>）预测广告费用为</a:t>
            </a:r>
            <a:r>
              <a:rPr lang="en-US" altLang="zh-CN" sz="1200"/>
              <a:t>9.5</a:t>
            </a:r>
            <a:r>
              <a:rPr lang="zh-CN" altLang="en-US" sz="1200"/>
              <a:t>万元时的利润。</a:t>
            </a:r>
          </a:p>
        </xdr:txBody>
      </xdr:sp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6AEB3499-AE78-4197-9920-4881B2D62D96}"/>
                  </a:ext>
                </a:extLst>
              </xdr:cNvPr>
              <xdr:cNvSpPr txBox="1"/>
            </xdr:nvSpPr>
            <xdr:spPr>
              <a:xfrm>
                <a:off x="1271400" y="3448051"/>
                <a:ext cx="2976750" cy="261290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Group"/>
                    </m:oMathParaPr>
                    <m:oMath xmlns:m="http://schemas.openxmlformats.org/officeDocument/2006/math"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𝒚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=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𝒂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𝟏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𝒙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𝟐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rad>
                        <m:radPr>
                          <m:degHide m:val="on"/>
                          <m:ctrlPr>
                            <a:rPr lang="en-US" altLang="zh-CN" sz="1600" b="1" i="1">
                              <a:latin typeface="Cambria Math" panose="02040503050406030204" pitchFamily="18" charset="0"/>
                            </a:rPr>
                          </m:ctrlPr>
                        </m:radPr>
                        <m:deg/>
                        <m:e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</m:rad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+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𝒃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𝟑</m:t>
                      </m:r>
                      <m:r>
                        <a:rPr lang="en-US" altLang="zh-CN" sz="1600" b="1" i="1">
                          <a:latin typeface="Cambria Math" panose="02040503050406030204" pitchFamily="18" charset="0"/>
                        </a:rPr>
                        <m:t>∗</m:t>
                      </m:r>
                      <m:sSup>
                        <m:sSupPr>
                          <m:ctrlPr>
                            <a:rPr lang="en-US" altLang="zh-CN" sz="1600" b="1" i="1"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𝒙</m:t>
                          </m:r>
                        </m:e>
                        <m:sup>
                          <m:r>
                            <a:rPr lang="en-US" altLang="zh-CN" sz="1600" b="1" i="1">
                              <a:latin typeface="Cambria Math" panose="02040503050406030204" pitchFamily="18" charset="0"/>
                            </a:rPr>
                            <m:t>𝟐</m:t>
                          </m:r>
                        </m:sup>
                      </m:sSup>
                    </m:oMath>
                  </m:oMathPara>
                </a14:m>
                <a:endParaRPr lang="zh-CN" altLang="en-US" sz="1600" b="1"/>
              </a:p>
            </xdr:txBody>
          </xdr:sp>
        </mc:Choice>
        <mc:Fallback xmlns="">
          <xdr:sp macro="" textlink="">
            <xdr:nvSpPr>
              <xdr:cNvPr id="4" name="文本框 3">
                <a:extLst>
                  <a:ext uri="{FF2B5EF4-FFF2-40B4-BE49-F238E27FC236}">
                    <a16:creationId xmlns:a16="http://schemas.microsoft.com/office/drawing/2014/main" id="{6AEB3499-AE78-4197-9920-4881B2D62D96}"/>
                  </a:ext>
                </a:extLst>
              </xdr:cNvPr>
              <xdr:cNvSpPr txBox="1"/>
            </xdr:nvSpPr>
            <xdr:spPr>
              <a:xfrm>
                <a:off x="1271400" y="3448051"/>
                <a:ext cx="2976750" cy="261290"/>
              </a:xfrm>
              <a:prstGeom prst="rect">
                <a:avLst/>
              </a:prstGeom>
              <a:solidFill>
                <a:srgbClr val="FFFF00"/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/>
                <a:r>
                  <a:rPr lang="en-US" altLang="zh-CN" sz="1600" b="1" i="0">
                    <a:latin typeface="Cambria Math" panose="02040503050406030204" pitchFamily="18" charset="0"/>
                  </a:rPr>
                  <a:t>𝒚=𝒂+𝒃𝟏∗𝒙+𝒃𝟐∗√𝒙+𝒃𝟑∗𝒙^𝟐</a:t>
                </a:r>
                <a:endParaRPr lang="zh-CN" altLang="en-US" sz="1600" b="1"/>
              </a:p>
            </xdr:txBody>
          </xdr:sp>
        </mc:Fallback>
      </mc:AlternateContent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1"/>
  <sheetViews>
    <sheetView tabSelected="1" zoomScale="130" zoomScaleNormal="130" workbookViewId="0">
      <selection activeCell="H23" sqref="H23"/>
    </sheetView>
  </sheetViews>
  <sheetFormatPr defaultRowHeight="14" x14ac:dyDescent="0.3"/>
  <cols>
    <col min="1" max="1" width="3.5" style="5" bestFit="1" customWidth="1"/>
    <col min="2" max="2" width="9" style="5" bestFit="1" customWidth="1"/>
    <col min="3" max="3" width="7.08203125" style="5" bestFit="1" customWidth="1"/>
    <col min="4" max="4" width="8.58203125" style="5"/>
    <col min="5" max="5" width="15.25" style="5" bestFit="1" customWidth="1"/>
    <col min="6" max="15" width="8.58203125" style="5"/>
  </cols>
  <sheetData>
    <row r="1" spans="1:6" x14ac:dyDescent="0.3">
      <c r="A1" s="1" t="s">
        <v>0</v>
      </c>
      <c r="B1" s="2" t="s">
        <v>1</v>
      </c>
      <c r="C1" s="2" t="s">
        <v>2</v>
      </c>
      <c r="D1" s="3"/>
      <c r="E1" s="2" t="s">
        <v>3</v>
      </c>
      <c r="F1" s="4">
        <v>0.2</v>
      </c>
    </row>
    <row r="2" spans="1:6" x14ac:dyDescent="0.3">
      <c r="A2" s="2">
        <v>1</v>
      </c>
      <c r="B2" s="6">
        <v>7.6244000000000005</v>
      </c>
      <c r="C2" s="7"/>
      <c r="D2" s="3"/>
      <c r="E2" s="2" t="s">
        <v>4</v>
      </c>
      <c r="F2" s="8">
        <f>SUMXMY2(B2:B25,C2:C25)/COUNT(C2:C25)</f>
        <v>1.9917382637244393E-3</v>
      </c>
    </row>
    <row r="3" spans="1:6" x14ac:dyDescent="0.3">
      <c r="A3" s="2">
        <v>2</v>
      </c>
      <c r="B3" s="6">
        <v>7.6244000000000005</v>
      </c>
      <c r="C3" s="49">
        <f>B2</f>
        <v>7.6244000000000005</v>
      </c>
      <c r="D3" s="3"/>
      <c r="E3" s="9"/>
      <c r="F3" s="3"/>
    </row>
    <row r="4" spans="1:6" x14ac:dyDescent="0.3">
      <c r="A4" s="2">
        <v>3</v>
      </c>
      <c r="B4" s="6">
        <v>7.6341999999999999</v>
      </c>
      <c r="C4" s="49">
        <f>B3*$F$1+C3*(1-$F$1)</f>
        <v>7.6244000000000014</v>
      </c>
      <c r="D4" s="3"/>
      <c r="E4" s="2" t="s">
        <v>5</v>
      </c>
      <c r="F4" s="8">
        <f>MIN(F14:F34)</f>
        <v>1.9917382637244393E-3</v>
      </c>
    </row>
    <row r="5" spans="1:6" x14ac:dyDescent="0.3">
      <c r="A5" s="2">
        <v>4</v>
      </c>
      <c r="B5" s="6">
        <v>7.6048</v>
      </c>
      <c r="C5" s="49">
        <f t="shared" ref="C5:C26" si="0">B4*$F$1+C4*(1-$F$1)</f>
        <v>7.6263600000000018</v>
      </c>
      <c r="D5" s="3"/>
      <c r="E5" s="2" t="s">
        <v>6</v>
      </c>
      <c r="F5" s="8">
        <f>INDEX(E14:E34,MATCH(F4,F14:F34,0))</f>
        <v>0.2</v>
      </c>
    </row>
    <row r="6" spans="1:6" x14ac:dyDescent="0.3">
      <c r="A6" s="2">
        <v>5</v>
      </c>
      <c r="B6" s="6">
        <v>7.6145999999999994</v>
      </c>
      <c r="C6" s="49">
        <f t="shared" si="0"/>
        <v>7.6220480000000013</v>
      </c>
      <c r="D6" s="3"/>
      <c r="E6" s="2" t="s">
        <v>7</v>
      </c>
      <c r="F6" s="50">
        <f>C26</f>
        <v>7.5789704625099379</v>
      </c>
    </row>
    <row r="7" spans="1:6" x14ac:dyDescent="0.3">
      <c r="A7" s="2">
        <v>6</v>
      </c>
      <c r="B7" s="6">
        <v>7.5949999999999998</v>
      </c>
      <c r="C7" s="49">
        <f t="shared" si="0"/>
        <v>7.6205584000000011</v>
      </c>
    </row>
    <row r="8" spans="1:6" x14ac:dyDescent="0.3">
      <c r="A8" s="2">
        <v>7</v>
      </c>
      <c r="B8" s="6">
        <v>7.6048</v>
      </c>
      <c r="C8" s="49">
        <f t="shared" si="0"/>
        <v>7.6154467200000013</v>
      </c>
    </row>
    <row r="9" spans="1:6" x14ac:dyDescent="0.3">
      <c r="A9" s="2">
        <v>8</v>
      </c>
      <c r="B9" s="6">
        <v>7.6244000000000005</v>
      </c>
      <c r="C9" s="49">
        <f t="shared" si="0"/>
        <v>7.6133173760000012</v>
      </c>
    </row>
    <row r="10" spans="1:6" x14ac:dyDescent="0.3">
      <c r="A10" s="2">
        <v>9</v>
      </c>
      <c r="B10" s="6">
        <v>7.6145999999999994</v>
      </c>
      <c r="C10" s="49">
        <f t="shared" si="0"/>
        <v>7.6155339008000018</v>
      </c>
    </row>
    <row r="11" spans="1:6" x14ac:dyDescent="0.3">
      <c r="A11" s="2">
        <v>10</v>
      </c>
      <c r="B11" s="6">
        <v>7.5852000000000004</v>
      </c>
      <c r="C11" s="49">
        <f t="shared" si="0"/>
        <v>7.6153471206400019</v>
      </c>
    </row>
    <row r="12" spans="1:6" x14ac:dyDescent="0.3">
      <c r="A12" s="2">
        <v>11</v>
      </c>
      <c r="B12" s="6">
        <v>7.6048</v>
      </c>
      <c r="C12" s="49">
        <f t="shared" si="0"/>
        <v>7.6093176965120026</v>
      </c>
    </row>
    <row r="13" spans="1:6" x14ac:dyDescent="0.3">
      <c r="A13" s="2">
        <v>12</v>
      </c>
      <c r="B13" s="6">
        <v>7.5852000000000004</v>
      </c>
      <c r="C13" s="49">
        <f t="shared" si="0"/>
        <v>7.6084141572096033</v>
      </c>
      <c r="F13" s="5">
        <f>F2</f>
        <v>1.9917382637244393E-3</v>
      </c>
    </row>
    <row r="14" spans="1:6" x14ac:dyDescent="0.3">
      <c r="A14" s="2">
        <v>13</v>
      </c>
      <c r="B14" s="6">
        <v>7.5481560000000005</v>
      </c>
      <c r="C14" s="49">
        <f t="shared" si="0"/>
        <v>7.6037713257676831</v>
      </c>
      <c r="E14" s="5">
        <v>0.1</v>
      </c>
      <c r="F14" s="5">
        <f t="dataTable" ref="F14:F34" dt2D="0" dtr="0" r1="F1"/>
        <v>2.1230979433733707E-3</v>
      </c>
    </row>
    <row r="15" spans="1:6" x14ac:dyDescent="0.3">
      <c r="A15" s="2">
        <v>14</v>
      </c>
      <c r="B15" s="6">
        <v>7.5481560000000005</v>
      </c>
      <c r="C15" s="49">
        <f t="shared" si="0"/>
        <v>7.5926482606141468</v>
      </c>
      <c r="D15" s="10"/>
      <c r="E15" s="5">
        <v>0.12</v>
      </c>
      <c r="F15" s="5">
        <v>2.0647216541896112E-3</v>
      </c>
    </row>
    <row r="16" spans="1:6" x14ac:dyDescent="0.3">
      <c r="A16" s="2">
        <v>15</v>
      </c>
      <c r="B16" s="6">
        <v>7.66</v>
      </c>
      <c r="C16" s="49">
        <f t="shared" si="0"/>
        <v>7.5837498084913184</v>
      </c>
      <c r="D16" s="10"/>
      <c r="E16" s="5">
        <v>0.14000000000000001</v>
      </c>
      <c r="F16" s="5">
        <v>2.0277343486257361E-3</v>
      </c>
    </row>
    <row r="17" spans="1:6" x14ac:dyDescent="0.3">
      <c r="A17" s="2">
        <v>16</v>
      </c>
      <c r="B17" s="6">
        <v>7.5287519999999999</v>
      </c>
      <c r="C17" s="49">
        <f t="shared" si="0"/>
        <v>7.5989998467930553</v>
      </c>
      <c r="D17" s="10"/>
      <c r="E17" s="5">
        <v>0.16</v>
      </c>
      <c r="F17" s="5">
        <v>2.0058180848051979E-3</v>
      </c>
    </row>
    <row r="18" spans="1:6" x14ac:dyDescent="0.3">
      <c r="A18" s="2">
        <v>17</v>
      </c>
      <c r="B18" s="6">
        <v>7.5384539999999989</v>
      </c>
      <c r="C18" s="49">
        <f t="shared" si="0"/>
        <v>7.5849502774344444</v>
      </c>
      <c r="D18" s="10"/>
      <c r="E18" s="5">
        <v>0.18</v>
      </c>
      <c r="F18" s="5">
        <v>1.9947654279286915E-3</v>
      </c>
    </row>
    <row r="19" spans="1:6" x14ac:dyDescent="0.3">
      <c r="A19" s="2">
        <v>18</v>
      </c>
      <c r="B19" s="6">
        <v>7.51905</v>
      </c>
      <c r="C19" s="49">
        <f t="shared" si="0"/>
        <v>7.5756510219475555</v>
      </c>
      <c r="D19" s="10"/>
      <c r="E19" s="5">
        <v>0.2</v>
      </c>
      <c r="F19" s="5">
        <v>1.9917382637244393E-3</v>
      </c>
    </row>
    <row r="20" spans="1:6" x14ac:dyDescent="0.3">
      <c r="A20" s="2">
        <v>19</v>
      </c>
      <c r="B20" s="6">
        <v>7.5287519999999999</v>
      </c>
      <c r="C20" s="49">
        <f t="shared" si="0"/>
        <v>7.5643308175580444</v>
      </c>
      <c r="D20" s="10"/>
      <c r="E20" s="5">
        <v>0.22</v>
      </c>
      <c r="F20" s="5">
        <v>1.9947957104676094E-3</v>
      </c>
    </row>
    <row r="21" spans="1:6" x14ac:dyDescent="0.3">
      <c r="A21" s="2">
        <v>20</v>
      </c>
      <c r="B21" s="6">
        <v>7.65</v>
      </c>
      <c r="C21" s="49">
        <f t="shared" si="0"/>
        <v>7.557215054046436</v>
      </c>
      <c r="D21" s="10"/>
      <c r="E21" s="5">
        <v>0.24</v>
      </c>
      <c r="F21" s="5">
        <v>2.0025908864791005E-3</v>
      </c>
    </row>
    <row r="22" spans="1:6" x14ac:dyDescent="0.3">
      <c r="A22" s="2">
        <v>21</v>
      </c>
      <c r="B22" s="6">
        <v>7.5384539999999989</v>
      </c>
      <c r="C22" s="49">
        <f t="shared" si="0"/>
        <v>7.5757720432371496</v>
      </c>
      <c r="D22" s="10"/>
      <c r="E22" s="5">
        <v>0.26</v>
      </c>
      <c r="F22" s="5">
        <v>2.0141743947984015E-3</v>
      </c>
    </row>
    <row r="23" spans="1:6" x14ac:dyDescent="0.3">
      <c r="A23" s="2">
        <v>22</v>
      </c>
      <c r="B23" s="6">
        <v>7.5093480000000001</v>
      </c>
      <c r="C23" s="49">
        <f t="shared" si="0"/>
        <v>7.5683084345897198</v>
      </c>
      <c r="D23" s="10"/>
      <c r="E23" s="5">
        <v>0.28000000000000003</v>
      </c>
      <c r="F23" s="5">
        <v>2.0288657811696224E-3</v>
      </c>
    </row>
    <row r="24" spans="1:6" x14ac:dyDescent="0.3">
      <c r="A24" s="2">
        <v>23</v>
      </c>
      <c r="B24" s="6">
        <v>7.63</v>
      </c>
      <c r="C24" s="49">
        <f t="shared" si="0"/>
        <v>7.556516347671776</v>
      </c>
      <c r="D24" s="10"/>
      <c r="E24" s="5">
        <v>0.3</v>
      </c>
      <c r="F24" s="5">
        <v>2.0461686507998234E-3</v>
      </c>
    </row>
    <row r="25" spans="1:6" x14ac:dyDescent="0.3">
      <c r="A25" s="2">
        <v>24</v>
      </c>
      <c r="B25" s="6">
        <v>7.61</v>
      </c>
      <c r="C25" s="49">
        <f t="shared" si="0"/>
        <v>7.5712130781374212</v>
      </c>
      <c r="D25" s="10"/>
      <c r="E25" s="5">
        <v>0.32</v>
      </c>
      <c r="F25" s="5">
        <v>2.0657140757392805E-3</v>
      </c>
    </row>
    <row r="26" spans="1:6" x14ac:dyDescent="0.3">
      <c r="A26" s="3"/>
      <c r="B26" s="11"/>
      <c r="C26" s="49">
        <f t="shared" si="0"/>
        <v>7.5789704625099379</v>
      </c>
      <c r="D26" s="10"/>
      <c r="E26" s="5">
        <v>0.34</v>
      </c>
      <c r="F26" s="5">
        <v>2.0872225041266334E-3</v>
      </c>
    </row>
    <row r="27" spans="1:6" x14ac:dyDescent="0.3">
      <c r="A27" s="12"/>
      <c r="B27" s="11"/>
      <c r="C27" s="11"/>
      <c r="D27" s="10"/>
      <c r="E27" s="5">
        <v>0.36</v>
      </c>
      <c r="F27" s="5">
        <v>2.110477884646357E-3</v>
      </c>
    </row>
    <row r="28" spans="1:6" x14ac:dyDescent="0.3">
      <c r="A28" s="12"/>
      <c r="B28" s="11"/>
      <c r="C28" s="11"/>
      <c r="D28" s="10"/>
      <c r="E28" s="5">
        <v>0.38</v>
      </c>
      <c r="F28" s="5">
        <v>2.1353099333408076E-3</v>
      </c>
    </row>
    <row r="29" spans="1:6" x14ac:dyDescent="0.3">
      <c r="A29" s="12"/>
      <c r="B29" s="11"/>
      <c r="C29" s="11"/>
      <c r="D29" s="10"/>
      <c r="E29" s="5">
        <v>0.4</v>
      </c>
      <c r="F29" s="5">
        <v>2.1615818800566071E-3</v>
      </c>
    </row>
    <row r="30" spans="1:6" x14ac:dyDescent="0.3">
      <c r="A30" s="12"/>
      <c r="B30" s="11"/>
      <c r="C30" s="11"/>
      <c r="D30" s="10"/>
      <c r="E30" s="5">
        <v>0.42</v>
      </c>
      <c r="F30" s="5">
        <v>2.189181937387371E-3</v>
      </c>
    </row>
    <row r="31" spans="1:6" x14ac:dyDescent="0.3">
      <c r="A31" s="12"/>
      <c r="B31" s="11"/>
      <c r="C31" s="11"/>
      <c r="D31" s="10"/>
      <c r="E31" s="5">
        <v>0.44</v>
      </c>
      <c r="F31" s="5">
        <v>2.2180173215505515E-3</v>
      </c>
    </row>
    <row r="32" spans="1:6" x14ac:dyDescent="0.3">
      <c r="A32" s="12"/>
      <c r="B32" s="11"/>
      <c r="C32" s="11"/>
      <c r="D32" s="10"/>
      <c r="E32" s="5">
        <v>0.46</v>
      </c>
      <c r="F32" s="5">
        <v>2.2480100379718253E-3</v>
      </c>
    </row>
    <row r="33" spans="1:6" x14ac:dyDescent="0.3">
      <c r="A33" s="12"/>
      <c r="B33" s="11"/>
      <c r="C33" s="11"/>
      <c r="D33" s="10"/>
      <c r="E33" s="5">
        <v>0.48</v>
      </c>
      <c r="F33" s="5">
        <v>2.2790938971341546E-3</v>
      </c>
    </row>
    <row r="34" spans="1:6" x14ac:dyDescent="0.3">
      <c r="A34" s="12"/>
      <c r="B34" s="11"/>
      <c r="C34" s="11"/>
      <c r="D34" s="10"/>
      <c r="E34" s="5">
        <v>0.5</v>
      </c>
      <c r="F34" s="5">
        <v>2.3112123944432472E-3</v>
      </c>
    </row>
    <row r="35" spans="1:6" x14ac:dyDescent="0.3">
      <c r="A35" s="12"/>
      <c r="B35" s="11"/>
      <c r="C35" s="11"/>
      <c r="D35" s="10"/>
    </row>
    <row r="36" spans="1:6" x14ac:dyDescent="0.3">
      <c r="A36" s="12"/>
      <c r="B36" s="11"/>
      <c r="C36" s="11"/>
      <c r="D36" s="10"/>
    </row>
    <row r="37" spans="1:6" x14ac:dyDescent="0.3">
      <c r="A37" s="12"/>
      <c r="B37" s="11"/>
      <c r="C37" s="11"/>
      <c r="D37" s="10"/>
    </row>
    <row r="38" spans="1:6" x14ac:dyDescent="0.3">
      <c r="A38" s="12"/>
      <c r="B38" s="11"/>
      <c r="C38" s="11"/>
      <c r="D38" s="10"/>
    </row>
    <row r="39" spans="1:6" x14ac:dyDescent="0.3">
      <c r="A39" s="12"/>
      <c r="B39" s="11"/>
      <c r="C39" s="11"/>
      <c r="D39" s="10"/>
    </row>
    <row r="40" spans="1:6" x14ac:dyDescent="0.3">
      <c r="A40" s="12"/>
      <c r="B40" s="11"/>
      <c r="C40" s="11"/>
      <c r="D40" s="10"/>
    </row>
    <row r="41" spans="1:6" x14ac:dyDescent="0.3">
      <c r="A41" s="12"/>
      <c r="B41" s="11"/>
      <c r="C41" s="11"/>
      <c r="D41" s="10"/>
    </row>
    <row r="42" spans="1:6" x14ac:dyDescent="0.3">
      <c r="A42" s="12"/>
      <c r="B42" s="11"/>
      <c r="C42" s="11"/>
      <c r="D42" s="10"/>
    </row>
    <row r="43" spans="1:6" x14ac:dyDescent="0.3">
      <c r="A43" s="12"/>
      <c r="B43" s="11"/>
      <c r="C43" s="11"/>
      <c r="D43" s="10"/>
    </row>
    <row r="44" spans="1:6" x14ac:dyDescent="0.3">
      <c r="A44" s="12"/>
      <c r="B44" s="11"/>
      <c r="C44" s="11"/>
      <c r="D44" s="10"/>
    </row>
    <row r="45" spans="1:6" x14ac:dyDescent="0.3">
      <c r="A45" s="12"/>
      <c r="B45" s="11"/>
      <c r="C45" s="11"/>
      <c r="D45" s="10"/>
    </row>
    <row r="46" spans="1:6" x14ac:dyDescent="0.3">
      <c r="A46" s="12"/>
      <c r="B46" s="11"/>
      <c r="C46" s="11"/>
      <c r="D46" s="10"/>
    </row>
    <row r="47" spans="1:6" x14ac:dyDescent="0.3">
      <c r="A47" s="12"/>
      <c r="B47" s="11"/>
      <c r="C47" s="11"/>
      <c r="D47" s="10"/>
    </row>
    <row r="48" spans="1:6" x14ac:dyDescent="0.3">
      <c r="A48" s="12"/>
      <c r="B48" s="11"/>
      <c r="C48" s="11"/>
      <c r="D48" s="10"/>
    </row>
    <row r="49" spans="1:4" x14ac:dyDescent="0.3">
      <c r="A49" s="12"/>
      <c r="B49" s="11"/>
      <c r="C49" s="11"/>
      <c r="D49" s="10"/>
    </row>
    <row r="50" spans="1:4" x14ac:dyDescent="0.3">
      <c r="A50" s="12"/>
      <c r="B50" s="11"/>
      <c r="C50" s="11"/>
      <c r="D50" s="10"/>
    </row>
    <row r="51" spans="1:4" x14ac:dyDescent="0.3">
      <c r="A51" s="12"/>
      <c r="B51" s="11"/>
      <c r="C51" s="11"/>
      <c r="D51" s="10"/>
    </row>
    <row r="52" spans="1:4" x14ac:dyDescent="0.3">
      <c r="A52" s="12"/>
      <c r="B52" s="11"/>
      <c r="C52" s="11"/>
      <c r="D52" s="10"/>
    </row>
    <row r="53" spans="1:4" x14ac:dyDescent="0.3">
      <c r="A53" s="12"/>
      <c r="B53" s="11"/>
      <c r="C53" s="11"/>
      <c r="D53" s="10"/>
    </row>
    <row r="54" spans="1:4" x14ac:dyDescent="0.3">
      <c r="A54" s="12"/>
      <c r="B54" s="11"/>
      <c r="C54" s="11"/>
      <c r="D54" s="10"/>
    </row>
    <row r="55" spans="1:4" x14ac:dyDescent="0.3">
      <c r="A55" s="12"/>
      <c r="B55" s="11"/>
      <c r="C55" s="11"/>
      <c r="D55" s="10"/>
    </row>
    <row r="56" spans="1:4" x14ac:dyDescent="0.3">
      <c r="A56" s="12"/>
      <c r="B56" s="11"/>
      <c r="C56" s="11"/>
      <c r="D56" s="10"/>
    </row>
    <row r="57" spans="1:4" x14ac:dyDescent="0.3">
      <c r="A57" s="12"/>
      <c r="B57" s="11"/>
      <c r="C57" s="11"/>
      <c r="D57" s="10"/>
    </row>
    <row r="58" spans="1:4" x14ac:dyDescent="0.3">
      <c r="A58" s="12"/>
      <c r="B58" s="11"/>
      <c r="C58" s="11"/>
      <c r="D58" s="10"/>
    </row>
    <row r="59" spans="1:4" x14ac:dyDescent="0.3">
      <c r="A59" s="12"/>
      <c r="B59" s="11"/>
      <c r="C59" s="11"/>
      <c r="D59" s="10"/>
    </row>
    <row r="60" spans="1:4" x14ac:dyDescent="0.3">
      <c r="A60" s="12"/>
      <c r="B60" s="11"/>
      <c r="C60" s="11"/>
      <c r="D60" s="10"/>
    </row>
    <row r="61" spans="1:4" x14ac:dyDescent="0.3">
      <c r="A61" s="12"/>
      <c r="B61" s="11"/>
      <c r="C61" s="11"/>
      <c r="D61" s="10"/>
    </row>
    <row r="62" spans="1:4" x14ac:dyDescent="0.3">
      <c r="A62" s="12"/>
      <c r="B62" s="11"/>
      <c r="C62" s="11"/>
      <c r="D62" s="10"/>
    </row>
    <row r="63" spans="1:4" x14ac:dyDescent="0.3">
      <c r="A63" s="12"/>
      <c r="B63" s="11"/>
      <c r="C63" s="11"/>
      <c r="D63" s="10"/>
    </row>
    <row r="64" spans="1:4" x14ac:dyDescent="0.3">
      <c r="A64" s="12"/>
      <c r="B64" s="11"/>
      <c r="C64" s="11"/>
      <c r="D64" s="10"/>
    </row>
    <row r="65" spans="1:4" x14ac:dyDescent="0.3">
      <c r="A65" s="12"/>
      <c r="B65" s="11"/>
      <c r="C65" s="11"/>
      <c r="D65" s="10"/>
    </row>
    <row r="66" spans="1:4" x14ac:dyDescent="0.3">
      <c r="A66" s="12"/>
      <c r="B66" s="11"/>
      <c r="C66" s="11"/>
      <c r="D66" s="10"/>
    </row>
    <row r="67" spans="1:4" x14ac:dyDescent="0.3">
      <c r="A67" s="12"/>
      <c r="B67" s="11"/>
      <c r="C67" s="11"/>
      <c r="D67" s="10"/>
    </row>
    <row r="68" spans="1:4" x14ac:dyDescent="0.3">
      <c r="A68" s="12"/>
      <c r="B68" s="11"/>
      <c r="C68" s="11"/>
      <c r="D68" s="10"/>
    </row>
    <row r="69" spans="1:4" x14ac:dyDescent="0.3">
      <c r="A69" s="12"/>
      <c r="B69" s="11"/>
      <c r="C69" s="11"/>
      <c r="D69" s="10"/>
    </row>
    <row r="70" spans="1:4" x14ac:dyDescent="0.3">
      <c r="A70" s="12"/>
      <c r="B70" s="11"/>
      <c r="C70" s="11"/>
      <c r="D70" s="10"/>
    </row>
    <row r="71" spans="1:4" x14ac:dyDescent="0.3">
      <c r="A71" s="12"/>
      <c r="B71" s="11"/>
      <c r="C71" s="11"/>
      <c r="D71" s="10"/>
    </row>
    <row r="72" spans="1:4" x14ac:dyDescent="0.3">
      <c r="A72" s="12"/>
      <c r="B72" s="11"/>
      <c r="C72" s="11"/>
      <c r="D72" s="10"/>
    </row>
    <row r="73" spans="1:4" x14ac:dyDescent="0.3">
      <c r="A73" s="12"/>
      <c r="B73" s="11"/>
      <c r="C73" s="11"/>
      <c r="D73" s="10"/>
    </row>
    <row r="74" spans="1:4" x14ac:dyDescent="0.3">
      <c r="A74" s="12"/>
      <c r="B74" s="11"/>
      <c r="C74" s="11"/>
      <c r="D74" s="10"/>
    </row>
    <row r="75" spans="1:4" x14ac:dyDescent="0.3">
      <c r="A75" s="12"/>
      <c r="B75" s="11"/>
      <c r="C75" s="11"/>
      <c r="D75" s="10"/>
    </row>
    <row r="76" spans="1:4" x14ac:dyDescent="0.3">
      <c r="A76" s="12"/>
      <c r="B76" s="11"/>
      <c r="C76" s="11"/>
      <c r="D76" s="10"/>
    </row>
    <row r="77" spans="1:4" x14ac:dyDescent="0.3">
      <c r="A77" s="12"/>
      <c r="B77" s="11"/>
      <c r="C77" s="11"/>
      <c r="D77" s="10"/>
    </row>
    <row r="78" spans="1:4" x14ac:dyDescent="0.3">
      <c r="A78" s="12"/>
      <c r="B78" s="11"/>
      <c r="C78" s="11"/>
      <c r="D78" s="10"/>
    </row>
    <row r="79" spans="1:4" x14ac:dyDescent="0.3">
      <c r="A79" s="12"/>
      <c r="B79" s="11"/>
      <c r="C79" s="11"/>
      <c r="D79" s="10"/>
    </row>
    <row r="80" spans="1:4" x14ac:dyDescent="0.3">
      <c r="A80" s="12"/>
      <c r="B80" s="11"/>
      <c r="C80" s="11"/>
      <c r="D80" s="10"/>
    </row>
    <row r="81" spans="1:4" x14ac:dyDescent="0.3">
      <c r="A81" s="12"/>
      <c r="B81" s="11"/>
      <c r="C81" s="11"/>
      <c r="D81" s="10"/>
    </row>
    <row r="82" spans="1:4" x14ac:dyDescent="0.3">
      <c r="A82" s="12"/>
      <c r="B82" s="11"/>
      <c r="C82" s="11"/>
      <c r="D82" s="10"/>
    </row>
    <row r="83" spans="1:4" x14ac:dyDescent="0.3">
      <c r="A83" s="12"/>
      <c r="B83" s="11"/>
      <c r="C83" s="11"/>
      <c r="D83" s="10"/>
    </row>
    <row r="84" spans="1:4" x14ac:dyDescent="0.3">
      <c r="A84" s="12"/>
      <c r="B84" s="11"/>
      <c r="C84" s="11"/>
      <c r="D84" s="10"/>
    </row>
    <row r="85" spans="1:4" x14ac:dyDescent="0.3">
      <c r="A85" s="12"/>
      <c r="B85" s="11"/>
      <c r="C85" s="11"/>
      <c r="D85" s="10"/>
    </row>
    <row r="86" spans="1:4" x14ac:dyDescent="0.3">
      <c r="A86" s="12"/>
      <c r="B86" s="11"/>
      <c r="C86" s="11"/>
      <c r="D86" s="10"/>
    </row>
    <row r="87" spans="1:4" x14ac:dyDescent="0.3">
      <c r="A87" s="12"/>
      <c r="B87" s="11"/>
      <c r="C87" s="11"/>
      <c r="D87" s="10"/>
    </row>
    <row r="88" spans="1:4" x14ac:dyDescent="0.3">
      <c r="A88" s="12"/>
      <c r="B88" s="11"/>
      <c r="C88" s="11"/>
      <c r="D88" s="10"/>
    </row>
    <row r="89" spans="1:4" x14ac:dyDescent="0.3">
      <c r="A89" s="12"/>
      <c r="B89" s="11"/>
      <c r="C89" s="11"/>
      <c r="D89" s="10"/>
    </row>
    <row r="90" spans="1:4" x14ac:dyDescent="0.3">
      <c r="A90" s="12"/>
      <c r="B90" s="11"/>
      <c r="C90" s="11"/>
      <c r="D90" s="10"/>
    </row>
    <row r="91" spans="1:4" x14ac:dyDescent="0.3">
      <c r="A91" s="12"/>
      <c r="B91" s="11"/>
      <c r="C91" s="11"/>
      <c r="D91" s="10"/>
    </row>
    <row r="92" spans="1:4" x14ac:dyDescent="0.3">
      <c r="A92" s="12"/>
      <c r="B92" s="11"/>
      <c r="C92" s="11"/>
      <c r="D92" s="10"/>
    </row>
    <row r="93" spans="1:4" x14ac:dyDescent="0.3">
      <c r="A93" s="12"/>
      <c r="B93" s="11"/>
      <c r="C93" s="11"/>
      <c r="D93" s="10"/>
    </row>
    <row r="94" spans="1:4" x14ac:dyDescent="0.3">
      <c r="A94" s="12"/>
      <c r="B94" s="11"/>
      <c r="C94" s="11"/>
      <c r="D94" s="10"/>
    </row>
    <row r="95" spans="1:4" x14ac:dyDescent="0.3">
      <c r="A95" s="12"/>
      <c r="B95" s="11"/>
      <c r="C95" s="11"/>
      <c r="D95" s="10"/>
    </row>
    <row r="96" spans="1:4" x14ac:dyDescent="0.3">
      <c r="A96" s="12"/>
      <c r="B96" s="11"/>
      <c r="C96" s="11"/>
      <c r="D96" s="10"/>
    </row>
    <row r="97" spans="1:4" x14ac:dyDescent="0.3">
      <c r="A97" s="12"/>
      <c r="B97" s="11"/>
      <c r="C97" s="11"/>
      <c r="D97" s="10"/>
    </row>
    <row r="98" spans="1:4" x14ac:dyDescent="0.3">
      <c r="A98" s="12"/>
      <c r="B98" s="11"/>
      <c r="C98" s="11"/>
      <c r="D98" s="10"/>
    </row>
    <row r="99" spans="1:4" x14ac:dyDescent="0.3">
      <c r="A99" s="12"/>
      <c r="B99" s="11"/>
      <c r="C99" s="11"/>
      <c r="D99" s="10"/>
    </row>
    <row r="100" spans="1:4" x14ac:dyDescent="0.3">
      <c r="A100" s="12"/>
      <c r="B100" s="11"/>
      <c r="C100" s="11"/>
      <c r="D100" s="10"/>
    </row>
    <row r="101" spans="1:4" x14ac:dyDescent="0.3">
      <c r="A101" s="12"/>
      <c r="B101" s="11"/>
      <c r="C101" s="11"/>
      <c r="D101" s="10"/>
    </row>
    <row r="102" spans="1:4" x14ac:dyDescent="0.3">
      <c r="A102" s="12"/>
      <c r="B102" s="11"/>
      <c r="C102" s="11"/>
      <c r="D102" s="10"/>
    </row>
    <row r="103" spans="1:4" x14ac:dyDescent="0.3">
      <c r="A103" s="12"/>
      <c r="B103" s="11"/>
      <c r="C103" s="11"/>
      <c r="D103" s="10"/>
    </row>
    <row r="104" spans="1:4" x14ac:dyDescent="0.3">
      <c r="A104" s="12"/>
      <c r="B104" s="11"/>
      <c r="C104" s="11"/>
      <c r="D104" s="10"/>
    </row>
    <row r="105" spans="1:4" x14ac:dyDescent="0.3">
      <c r="A105" s="12"/>
      <c r="B105" s="11"/>
      <c r="C105" s="11"/>
      <c r="D105" s="10"/>
    </row>
    <row r="106" spans="1:4" x14ac:dyDescent="0.3">
      <c r="A106" s="12"/>
      <c r="B106" s="11"/>
      <c r="C106" s="11"/>
      <c r="D106" s="10"/>
    </row>
    <row r="107" spans="1:4" x14ac:dyDescent="0.3">
      <c r="A107" s="12"/>
      <c r="B107" s="11"/>
      <c r="C107" s="11"/>
      <c r="D107" s="10"/>
    </row>
    <row r="108" spans="1:4" x14ac:dyDescent="0.3">
      <c r="A108" s="12"/>
      <c r="B108" s="11"/>
      <c r="C108" s="11"/>
      <c r="D108" s="10"/>
    </row>
    <row r="109" spans="1:4" x14ac:dyDescent="0.3">
      <c r="A109" s="12"/>
      <c r="B109" s="11"/>
      <c r="C109" s="11"/>
      <c r="D109" s="10"/>
    </row>
    <row r="110" spans="1:4" x14ac:dyDescent="0.3">
      <c r="A110" s="12"/>
      <c r="B110" s="11"/>
      <c r="C110" s="11"/>
      <c r="D110" s="10"/>
    </row>
    <row r="111" spans="1:4" x14ac:dyDescent="0.3">
      <c r="A111" s="12"/>
      <c r="B111" s="11"/>
      <c r="C111" s="11"/>
      <c r="D111" s="10"/>
    </row>
    <row r="112" spans="1:4" x14ac:dyDescent="0.3">
      <c r="A112" s="12"/>
      <c r="B112" s="11"/>
      <c r="C112" s="11"/>
      <c r="D112" s="10"/>
    </row>
    <row r="113" spans="1:4" x14ac:dyDescent="0.3">
      <c r="A113" s="12"/>
      <c r="B113" s="11"/>
      <c r="C113" s="11"/>
      <c r="D113" s="10"/>
    </row>
    <row r="114" spans="1:4" x14ac:dyDescent="0.3">
      <c r="A114" s="12"/>
      <c r="B114" s="11"/>
      <c r="C114" s="11"/>
      <c r="D114" s="10"/>
    </row>
    <row r="115" spans="1:4" x14ac:dyDescent="0.3">
      <c r="A115" s="12"/>
      <c r="B115" s="11"/>
      <c r="C115" s="11"/>
      <c r="D115" s="10"/>
    </row>
    <row r="116" spans="1:4" x14ac:dyDescent="0.3">
      <c r="A116" s="12"/>
      <c r="B116" s="11"/>
      <c r="C116" s="11"/>
      <c r="D116" s="10"/>
    </row>
    <row r="117" spans="1:4" x14ac:dyDescent="0.3">
      <c r="A117" s="12"/>
      <c r="B117" s="11"/>
      <c r="C117" s="11"/>
      <c r="D117" s="10"/>
    </row>
    <row r="118" spans="1:4" x14ac:dyDescent="0.3">
      <c r="A118" s="12"/>
      <c r="B118" s="11"/>
      <c r="C118" s="11"/>
      <c r="D118" s="10"/>
    </row>
    <row r="119" spans="1:4" x14ac:dyDescent="0.3">
      <c r="A119" s="12"/>
      <c r="B119" s="11"/>
      <c r="C119" s="11"/>
      <c r="D119" s="10"/>
    </row>
    <row r="120" spans="1:4" x14ac:dyDescent="0.3">
      <c r="A120" s="12"/>
      <c r="B120" s="11"/>
      <c r="C120" s="11"/>
      <c r="D120" s="10"/>
    </row>
    <row r="121" spans="1:4" x14ac:dyDescent="0.3">
      <c r="A121" s="12"/>
      <c r="B121" s="11"/>
      <c r="C121" s="11"/>
      <c r="D121" s="10"/>
    </row>
    <row r="122" spans="1:4" x14ac:dyDescent="0.3">
      <c r="A122" s="12"/>
      <c r="B122" s="11"/>
      <c r="C122" s="11"/>
      <c r="D122" s="10"/>
    </row>
    <row r="123" spans="1:4" x14ac:dyDescent="0.3">
      <c r="A123" s="12"/>
      <c r="B123" s="11"/>
      <c r="C123" s="11"/>
      <c r="D123" s="10"/>
    </row>
    <row r="124" spans="1:4" x14ac:dyDescent="0.3">
      <c r="A124" s="12"/>
      <c r="B124" s="11"/>
      <c r="C124" s="11"/>
      <c r="D124" s="10"/>
    </row>
    <row r="125" spans="1:4" x14ac:dyDescent="0.3">
      <c r="A125" s="12"/>
      <c r="B125" s="11"/>
      <c r="C125" s="11"/>
      <c r="D125" s="10"/>
    </row>
    <row r="126" spans="1:4" x14ac:dyDescent="0.3">
      <c r="A126" s="12"/>
      <c r="B126" s="11"/>
      <c r="C126" s="11"/>
      <c r="D126" s="10"/>
    </row>
    <row r="127" spans="1:4" x14ac:dyDescent="0.3">
      <c r="A127" s="12"/>
      <c r="B127" s="11"/>
      <c r="C127" s="11"/>
      <c r="D127" s="10"/>
    </row>
    <row r="128" spans="1:4" x14ac:dyDescent="0.3">
      <c r="A128" s="12"/>
      <c r="B128" s="11"/>
      <c r="C128" s="11"/>
      <c r="D128" s="10"/>
    </row>
    <row r="129" spans="1:4" x14ac:dyDescent="0.3">
      <c r="A129" s="12"/>
      <c r="B129" s="11"/>
      <c r="C129" s="11"/>
      <c r="D129" s="10"/>
    </row>
    <row r="130" spans="1:4" x14ac:dyDescent="0.3">
      <c r="A130" s="12"/>
      <c r="B130" s="11"/>
      <c r="C130" s="11"/>
      <c r="D130" s="10"/>
    </row>
    <row r="131" spans="1:4" x14ac:dyDescent="0.3">
      <c r="A131" s="12"/>
      <c r="B131" s="11"/>
      <c r="C131" s="11"/>
      <c r="D131" s="10"/>
    </row>
    <row r="132" spans="1:4" x14ac:dyDescent="0.3">
      <c r="A132" s="12"/>
      <c r="B132" s="11"/>
      <c r="C132" s="11"/>
      <c r="D132" s="10"/>
    </row>
    <row r="133" spans="1:4" x14ac:dyDescent="0.3">
      <c r="A133" s="12"/>
      <c r="B133" s="11"/>
      <c r="C133" s="11"/>
      <c r="D133" s="10"/>
    </row>
    <row r="134" spans="1:4" x14ac:dyDescent="0.3">
      <c r="A134" s="12"/>
      <c r="B134" s="11"/>
      <c r="C134" s="11"/>
      <c r="D134" s="10"/>
    </row>
    <row r="135" spans="1:4" x14ac:dyDescent="0.3">
      <c r="A135" s="12"/>
      <c r="B135" s="11"/>
      <c r="C135" s="11"/>
      <c r="D135" s="10"/>
    </row>
    <row r="136" spans="1:4" x14ac:dyDescent="0.3">
      <c r="A136" s="12"/>
      <c r="B136" s="11"/>
      <c r="C136" s="11"/>
      <c r="D136" s="10"/>
    </row>
    <row r="137" spans="1:4" x14ac:dyDescent="0.3">
      <c r="A137" s="12"/>
      <c r="B137" s="11"/>
      <c r="C137" s="11"/>
      <c r="D137" s="10"/>
    </row>
    <row r="138" spans="1:4" x14ac:dyDescent="0.3">
      <c r="A138" s="12"/>
      <c r="B138" s="11"/>
      <c r="C138" s="11"/>
      <c r="D138" s="10"/>
    </row>
    <row r="139" spans="1:4" x14ac:dyDescent="0.3">
      <c r="A139" s="12"/>
      <c r="B139" s="11"/>
      <c r="C139" s="11"/>
      <c r="D139" s="10"/>
    </row>
    <row r="140" spans="1:4" x14ac:dyDescent="0.3">
      <c r="A140" s="12"/>
      <c r="B140" s="11"/>
      <c r="C140" s="11"/>
      <c r="D140" s="10"/>
    </row>
    <row r="141" spans="1:4" x14ac:dyDescent="0.3">
      <c r="A141" s="12"/>
      <c r="B141" s="11"/>
      <c r="C141" s="11"/>
      <c r="D141" s="10"/>
    </row>
    <row r="142" spans="1:4" x14ac:dyDescent="0.3">
      <c r="A142" s="12"/>
      <c r="B142" s="11"/>
      <c r="C142" s="11"/>
      <c r="D142" s="10"/>
    </row>
    <row r="143" spans="1:4" x14ac:dyDescent="0.3">
      <c r="A143" s="12"/>
      <c r="B143" s="11"/>
      <c r="C143" s="11"/>
      <c r="D143" s="10"/>
    </row>
    <row r="144" spans="1:4" x14ac:dyDescent="0.3">
      <c r="A144" s="12"/>
      <c r="B144" s="11"/>
      <c r="C144" s="11"/>
      <c r="D144" s="10"/>
    </row>
    <row r="145" spans="1:4" x14ac:dyDescent="0.3">
      <c r="A145" s="12"/>
      <c r="B145" s="11"/>
      <c r="C145" s="11"/>
      <c r="D145" s="10"/>
    </row>
    <row r="146" spans="1:4" x14ac:dyDescent="0.3">
      <c r="A146" s="12"/>
      <c r="B146" s="11"/>
      <c r="C146" s="11"/>
      <c r="D146" s="10"/>
    </row>
    <row r="147" spans="1:4" x14ac:dyDescent="0.3">
      <c r="A147" s="12"/>
      <c r="B147" s="11"/>
      <c r="C147" s="11"/>
      <c r="D147" s="10"/>
    </row>
    <row r="148" spans="1:4" x14ac:dyDescent="0.3">
      <c r="A148" s="12"/>
      <c r="B148" s="11"/>
      <c r="C148" s="11"/>
      <c r="D148" s="10"/>
    </row>
    <row r="149" spans="1:4" x14ac:dyDescent="0.3">
      <c r="A149" s="12"/>
      <c r="B149" s="11"/>
      <c r="C149" s="11"/>
      <c r="D149" s="10"/>
    </row>
    <row r="150" spans="1:4" x14ac:dyDescent="0.3">
      <c r="A150" s="12"/>
      <c r="B150" s="11"/>
      <c r="C150" s="11"/>
      <c r="D150" s="10"/>
    </row>
    <row r="151" spans="1:4" x14ac:dyDescent="0.3">
      <c r="A151" s="12"/>
      <c r="B151" s="11"/>
      <c r="C151" s="11"/>
      <c r="D151" s="10"/>
    </row>
    <row r="152" spans="1:4" x14ac:dyDescent="0.3">
      <c r="A152" s="12"/>
      <c r="B152" s="11"/>
      <c r="C152" s="11"/>
      <c r="D152" s="10"/>
    </row>
    <row r="153" spans="1:4" x14ac:dyDescent="0.3">
      <c r="A153" s="12"/>
      <c r="B153" s="11"/>
      <c r="C153" s="11"/>
      <c r="D153" s="10"/>
    </row>
    <row r="154" spans="1:4" x14ac:dyDescent="0.3">
      <c r="A154" s="12"/>
      <c r="B154" s="11"/>
      <c r="C154" s="11"/>
      <c r="D154" s="10"/>
    </row>
    <row r="155" spans="1:4" x14ac:dyDescent="0.3">
      <c r="A155" s="12"/>
      <c r="B155" s="11"/>
      <c r="C155" s="11"/>
      <c r="D155" s="10"/>
    </row>
    <row r="156" spans="1:4" x14ac:dyDescent="0.3">
      <c r="A156" s="12"/>
      <c r="B156" s="11"/>
      <c r="C156" s="11"/>
      <c r="D156" s="10"/>
    </row>
    <row r="157" spans="1:4" x14ac:dyDescent="0.3">
      <c r="A157" s="12"/>
      <c r="B157" s="11"/>
      <c r="C157" s="11"/>
      <c r="D157" s="10"/>
    </row>
    <row r="158" spans="1:4" x14ac:dyDescent="0.3">
      <c r="A158" s="12"/>
      <c r="B158" s="11"/>
      <c r="C158" s="11"/>
      <c r="D158" s="10"/>
    </row>
    <row r="159" spans="1:4" x14ac:dyDescent="0.3">
      <c r="A159" s="12"/>
      <c r="B159" s="11"/>
      <c r="C159" s="11"/>
      <c r="D159" s="10"/>
    </row>
    <row r="160" spans="1:4" x14ac:dyDescent="0.3">
      <c r="A160" s="12"/>
      <c r="B160" s="11"/>
      <c r="C160" s="11"/>
      <c r="D160" s="10"/>
    </row>
    <row r="161" spans="1:4" x14ac:dyDescent="0.3">
      <c r="A161" s="12"/>
      <c r="B161" s="11"/>
      <c r="C161" s="11"/>
      <c r="D161" s="10"/>
    </row>
    <row r="162" spans="1:4" x14ac:dyDescent="0.3">
      <c r="A162" s="12"/>
      <c r="B162" s="11"/>
      <c r="C162" s="11"/>
      <c r="D162" s="10"/>
    </row>
    <row r="163" spans="1:4" x14ac:dyDescent="0.3">
      <c r="A163" s="12"/>
      <c r="B163" s="11"/>
      <c r="C163" s="11"/>
      <c r="D163" s="10"/>
    </row>
    <row r="164" spans="1:4" x14ac:dyDescent="0.3">
      <c r="A164" s="12"/>
      <c r="B164" s="11"/>
      <c r="C164" s="11"/>
      <c r="D164" s="10"/>
    </row>
    <row r="165" spans="1:4" x14ac:dyDescent="0.3">
      <c r="A165" s="12"/>
      <c r="B165" s="11"/>
      <c r="C165" s="11"/>
      <c r="D165" s="10"/>
    </row>
    <row r="166" spans="1:4" x14ac:dyDescent="0.3">
      <c r="A166" s="12"/>
      <c r="B166" s="11"/>
      <c r="C166" s="11"/>
      <c r="D166" s="10"/>
    </row>
    <row r="167" spans="1:4" x14ac:dyDescent="0.3">
      <c r="A167" s="12"/>
      <c r="B167" s="11"/>
      <c r="C167" s="11"/>
      <c r="D167" s="10"/>
    </row>
    <row r="168" spans="1:4" x14ac:dyDescent="0.3">
      <c r="A168" s="12"/>
      <c r="B168" s="11"/>
      <c r="C168" s="11"/>
      <c r="D168" s="10"/>
    </row>
    <row r="169" spans="1:4" x14ac:dyDescent="0.3">
      <c r="A169" s="12"/>
      <c r="B169" s="11"/>
      <c r="C169" s="11"/>
      <c r="D169" s="10"/>
    </row>
    <row r="170" spans="1:4" x14ac:dyDescent="0.3">
      <c r="A170" s="12"/>
      <c r="B170" s="11"/>
      <c r="C170" s="11"/>
      <c r="D170" s="10"/>
    </row>
    <row r="171" spans="1:4" x14ac:dyDescent="0.3">
      <c r="A171" s="12"/>
      <c r="B171" s="11"/>
      <c r="C171" s="11"/>
      <c r="D171" s="10"/>
    </row>
    <row r="172" spans="1:4" x14ac:dyDescent="0.3">
      <c r="A172" s="12"/>
      <c r="B172" s="11"/>
      <c r="C172" s="11"/>
      <c r="D172" s="10"/>
    </row>
    <row r="173" spans="1:4" x14ac:dyDescent="0.3">
      <c r="A173" s="12"/>
      <c r="B173" s="11"/>
      <c r="C173" s="11"/>
      <c r="D173" s="10"/>
    </row>
    <row r="174" spans="1:4" x14ac:dyDescent="0.3">
      <c r="A174" s="12"/>
      <c r="B174" s="11"/>
      <c r="C174" s="11"/>
      <c r="D174" s="10"/>
    </row>
    <row r="175" spans="1:4" x14ac:dyDescent="0.3">
      <c r="A175" s="12"/>
      <c r="B175" s="11"/>
      <c r="C175" s="11"/>
      <c r="D175" s="10"/>
    </row>
    <row r="176" spans="1:4" x14ac:dyDescent="0.3">
      <c r="A176" s="12"/>
      <c r="B176" s="11"/>
      <c r="C176" s="11"/>
      <c r="D176" s="10"/>
    </row>
    <row r="177" spans="1:4" x14ac:dyDescent="0.3">
      <c r="A177" s="12"/>
      <c r="B177" s="11"/>
      <c r="C177" s="11"/>
      <c r="D177" s="10"/>
    </row>
    <row r="178" spans="1:4" x14ac:dyDescent="0.3">
      <c r="A178" s="12"/>
      <c r="B178" s="11"/>
      <c r="C178" s="11"/>
      <c r="D178" s="10"/>
    </row>
    <row r="179" spans="1:4" x14ac:dyDescent="0.3">
      <c r="A179" s="12"/>
      <c r="B179" s="11"/>
      <c r="C179" s="11"/>
      <c r="D179" s="10"/>
    </row>
    <row r="180" spans="1:4" x14ac:dyDescent="0.3">
      <c r="A180" s="12"/>
      <c r="B180" s="11"/>
      <c r="C180" s="11"/>
      <c r="D180" s="10"/>
    </row>
    <row r="181" spans="1:4" x14ac:dyDescent="0.3">
      <c r="A181" s="12"/>
      <c r="B181" s="11"/>
      <c r="C181" s="11"/>
      <c r="D181" s="10"/>
    </row>
    <row r="182" spans="1:4" x14ac:dyDescent="0.3">
      <c r="A182" s="12"/>
      <c r="B182" s="11"/>
      <c r="C182" s="11"/>
      <c r="D182" s="10"/>
    </row>
    <row r="183" spans="1:4" x14ac:dyDescent="0.3">
      <c r="A183" s="12"/>
      <c r="B183" s="11"/>
      <c r="C183" s="11"/>
      <c r="D183" s="10"/>
    </row>
    <row r="184" spans="1:4" x14ac:dyDescent="0.3">
      <c r="A184" s="12"/>
      <c r="B184" s="11"/>
      <c r="C184" s="11"/>
      <c r="D184" s="10"/>
    </row>
    <row r="185" spans="1:4" x14ac:dyDescent="0.3">
      <c r="A185" s="12"/>
      <c r="B185" s="11"/>
      <c r="C185" s="11"/>
      <c r="D185" s="10"/>
    </row>
    <row r="186" spans="1:4" x14ac:dyDescent="0.3">
      <c r="A186" s="12"/>
      <c r="B186" s="11"/>
      <c r="C186" s="11"/>
      <c r="D186" s="10"/>
    </row>
    <row r="187" spans="1:4" x14ac:dyDescent="0.3">
      <c r="A187" s="12"/>
      <c r="B187" s="11"/>
      <c r="C187" s="11"/>
      <c r="D187" s="10"/>
    </row>
    <row r="188" spans="1:4" x14ac:dyDescent="0.3">
      <c r="A188" s="12"/>
      <c r="B188" s="11"/>
      <c r="C188" s="11"/>
      <c r="D188" s="10"/>
    </row>
    <row r="189" spans="1:4" x14ac:dyDescent="0.3">
      <c r="A189" s="12"/>
      <c r="B189" s="11"/>
      <c r="C189" s="11"/>
      <c r="D189" s="10"/>
    </row>
    <row r="190" spans="1:4" x14ac:dyDescent="0.3">
      <c r="A190" s="12"/>
      <c r="B190" s="11"/>
      <c r="C190" s="11"/>
      <c r="D190" s="10"/>
    </row>
    <row r="191" spans="1:4" x14ac:dyDescent="0.3">
      <c r="A191" s="12"/>
      <c r="B191" s="11"/>
      <c r="C191" s="11"/>
      <c r="D191" s="10"/>
    </row>
    <row r="192" spans="1:4" x14ac:dyDescent="0.3">
      <c r="A192" s="12"/>
      <c r="B192" s="11"/>
      <c r="C192" s="11"/>
      <c r="D192" s="10"/>
    </row>
    <row r="193" spans="1:4" x14ac:dyDescent="0.3">
      <c r="A193" s="12"/>
      <c r="B193" s="11"/>
      <c r="C193" s="11"/>
      <c r="D193" s="10"/>
    </row>
    <row r="194" spans="1:4" x14ac:dyDescent="0.3">
      <c r="A194" s="12"/>
      <c r="B194" s="11"/>
      <c r="C194" s="11"/>
      <c r="D194" s="10"/>
    </row>
    <row r="195" spans="1:4" x14ac:dyDescent="0.3">
      <c r="A195" s="12"/>
      <c r="B195" s="11"/>
      <c r="C195" s="11"/>
      <c r="D195" s="10"/>
    </row>
    <row r="196" spans="1:4" x14ac:dyDescent="0.3">
      <c r="A196" s="12"/>
      <c r="B196" s="11"/>
      <c r="C196" s="11"/>
      <c r="D196" s="10"/>
    </row>
    <row r="197" spans="1:4" x14ac:dyDescent="0.3">
      <c r="A197" s="12"/>
      <c r="B197" s="11"/>
      <c r="C197" s="11"/>
      <c r="D197" s="10"/>
    </row>
    <row r="198" spans="1:4" x14ac:dyDescent="0.3">
      <c r="A198" s="12"/>
      <c r="B198" s="11"/>
      <c r="C198" s="11"/>
      <c r="D198" s="10"/>
    </row>
    <row r="199" spans="1:4" x14ac:dyDescent="0.3">
      <c r="A199" s="12"/>
      <c r="B199" s="11"/>
      <c r="C199" s="11"/>
      <c r="D199" s="10"/>
    </row>
    <row r="200" spans="1:4" x14ac:dyDescent="0.3">
      <c r="A200" s="12"/>
      <c r="B200" s="11"/>
      <c r="C200" s="11"/>
      <c r="D200" s="10"/>
    </row>
    <row r="201" spans="1:4" x14ac:dyDescent="0.3">
      <c r="A201" s="12"/>
      <c r="B201" s="11"/>
      <c r="C201" s="11"/>
      <c r="D201" s="10"/>
    </row>
    <row r="202" spans="1:4" x14ac:dyDescent="0.3">
      <c r="A202" s="12"/>
      <c r="B202" s="11"/>
      <c r="C202" s="11"/>
      <c r="D202" s="10"/>
    </row>
    <row r="203" spans="1:4" x14ac:dyDescent="0.3">
      <c r="A203" s="12"/>
      <c r="B203" s="11"/>
      <c r="C203" s="11"/>
      <c r="D203" s="10"/>
    </row>
    <row r="204" spans="1:4" x14ac:dyDescent="0.3">
      <c r="A204" s="12"/>
      <c r="B204" s="11"/>
      <c r="C204" s="11"/>
      <c r="D204" s="10"/>
    </row>
    <row r="205" spans="1:4" x14ac:dyDescent="0.3">
      <c r="A205" s="12"/>
      <c r="B205" s="11"/>
      <c r="C205" s="11"/>
      <c r="D205" s="10"/>
    </row>
    <row r="206" spans="1:4" x14ac:dyDescent="0.3">
      <c r="A206" s="12"/>
      <c r="B206" s="11"/>
      <c r="C206" s="11"/>
      <c r="D206" s="10"/>
    </row>
    <row r="207" spans="1:4" x14ac:dyDescent="0.3">
      <c r="A207" s="12"/>
      <c r="B207" s="11"/>
      <c r="C207" s="11"/>
      <c r="D207" s="10"/>
    </row>
    <row r="208" spans="1:4" x14ac:dyDescent="0.3">
      <c r="A208" s="12"/>
      <c r="B208" s="11"/>
      <c r="C208" s="11"/>
      <c r="D208" s="10"/>
    </row>
    <row r="209" spans="1:4" x14ac:dyDescent="0.3">
      <c r="A209" s="12"/>
      <c r="B209" s="11"/>
      <c r="C209" s="11"/>
      <c r="D209" s="10"/>
    </row>
    <row r="210" spans="1:4" x14ac:dyDescent="0.3">
      <c r="A210" s="12"/>
      <c r="B210" s="11"/>
      <c r="C210" s="11"/>
      <c r="D210" s="10"/>
    </row>
    <row r="211" spans="1:4" x14ac:dyDescent="0.3">
      <c r="A211" s="12"/>
      <c r="B211" s="11"/>
      <c r="C211" s="11"/>
      <c r="D211" s="10"/>
    </row>
    <row r="212" spans="1:4" x14ac:dyDescent="0.3">
      <c r="A212" s="12"/>
      <c r="B212" s="11"/>
      <c r="C212" s="11"/>
      <c r="D212" s="10"/>
    </row>
    <row r="213" spans="1:4" x14ac:dyDescent="0.3">
      <c r="A213" s="12"/>
      <c r="B213" s="11"/>
      <c r="C213" s="11"/>
      <c r="D213" s="10"/>
    </row>
    <row r="214" spans="1:4" x14ac:dyDescent="0.3">
      <c r="A214" s="12"/>
      <c r="B214" s="11"/>
      <c r="C214" s="11"/>
      <c r="D214" s="10"/>
    </row>
    <row r="215" spans="1:4" x14ac:dyDescent="0.3">
      <c r="A215" s="12"/>
      <c r="B215" s="11"/>
      <c r="C215" s="11"/>
      <c r="D215" s="10"/>
    </row>
    <row r="216" spans="1:4" x14ac:dyDescent="0.3">
      <c r="A216" s="12"/>
      <c r="B216" s="11"/>
      <c r="C216" s="11"/>
      <c r="D216" s="10"/>
    </row>
    <row r="217" spans="1:4" x14ac:dyDescent="0.3">
      <c r="A217" s="12"/>
      <c r="B217" s="11"/>
      <c r="C217" s="11"/>
      <c r="D217" s="10"/>
    </row>
    <row r="218" spans="1:4" x14ac:dyDescent="0.3">
      <c r="A218" s="12"/>
      <c r="B218" s="11"/>
      <c r="C218" s="11"/>
      <c r="D218" s="10"/>
    </row>
    <row r="219" spans="1:4" x14ac:dyDescent="0.3">
      <c r="A219" s="12"/>
      <c r="B219" s="11"/>
      <c r="C219" s="11"/>
      <c r="D219" s="10"/>
    </row>
    <row r="220" spans="1:4" x14ac:dyDescent="0.3">
      <c r="A220" s="12"/>
      <c r="B220" s="11"/>
      <c r="C220" s="11"/>
      <c r="D220" s="10"/>
    </row>
    <row r="221" spans="1:4" x14ac:dyDescent="0.3">
      <c r="A221" s="12"/>
      <c r="B221" s="11"/>
      <c r="C221" s="11"/>
      <c r="D221" s="10"/>
    </row>
    <row r="222" spans="1:4" x14ac:dyDescent="0.3">
      <c r="A222" s="12"/>
      <c r="B222" s="11"/>
      <c r="C222" s="11"/>
      <c r="D222" s="10"/>
    </row>
    <row r="223" spans="1:4" x14ac:dyDescent="0.3">
      <c r="A223" s="12"/>
      <c r="B223" s="11"/>
      <c r="C223" s="11"/>
      <c r="D223" s="10"/>
    </row>
    <row r="224" spans="1:4" x14ac:dyDescent="0.3">
      <c r="A224" s="12"/>
      <c r="B224" s="11"/>
      <c r="C224" s="11"/>
      <c r="D224" s="10"/>
    </row>
    <row r="225" spans="1:4" x14ac:dyDescent="0.3">
      <c r="A225" s="12"/>
      <c r="B225" s="11"/>
      <c r="C225" s="11"/>
      <c r="D225" s="10"/>
    </row>
    <row r="226" spans="1:4" x14ac:dyDescent="0.3">
      <c r="A226" s="12"/>
      <c r="B226" s="11"/>
      <c r="C226" s="11"/>
      <c r="D226" s="10"/>
    </row>
    <row r="227" spans="1:4" x14ac:dyDescent="0.3">
      <c r="A227" s="12"/>
      <c r="B227" s="11"/>
      <c r="C227" s="11"/>
      <c r="D227" s="10"/>
    </row>
    <row r="228" spans="1:4" x14ac:dyDescent="0.3">
      <c r="A228" s="12"/>
      <c r="B228" s="11"/>
      <c r="C228" s="11"/>
      <c r="D228" s="10"/>
    </row>
    <row r="229" spans="1:4" x14ac:dyDescent="0.3">
      <c r="A229" s="12"/>
      <c r="B229" s="11"/>
      <c r="C229" s="11"/>
      <c r="D229" s="10"/>
    </row>
    <row r="230" spans="1:4" x14ac:dyDescent="0.3">
      <c r="A230" s="12"/>
      <c r="B230" s="11"/>
      <c r="C230" s="11"/>
      <c r="D230" s="10"/>
    </row>
    <row r="231" spans="1:4" x14ac:dyDescent="0.3">
      <c r="A231" s="12"/>
      <c r="B231" s="11"/>
      <c r="C231" s="11"/>
      <c r="D231" s="10"/>
    </row>
    <row r="232" spans="1:4" x14ac:dyDescent="0.3">
      <c r="A232" s="12"/>
      <c r="B232" s="11"/>
      <c r="C232" s="11"/>
      <c r="D232" s="10"/>
    </row>
    <row r="233" spans="1:4" x14ac:dyDescent="0.3">
      <c r="A233" s="12"/>
      <c r="B233" s="11"/>
      <c r="C233" s="11"/>
      <c r="D233" s="10"/>
    </row>
    <row r="234" spans="1:4" x14ac:dyDescent="0.3">
      <c r="A234" s="12"/>
      <c r="B234" s="11"/>
      <c r="C234" s="11"/>
      <c r="D234" s="10"/>
    </row>
    <row r="235" spans="1:4" x14ac:dyDescent="0.3">
      <c r="A235" s="12"/>
      <c r="B235" s="11"/>
      <c r="C235" s="11"/>
      <c r="D235" s="10"/>
    </row>
    <row r="236" spans="1:4" x14ac:dyDescent="0.3">
      <c r="A236" s="12"/>
      <c r="B236" s="11"/>
      <c r="C236" s="11"/>
      <c r="D236" s="10"/>
    </row>
    <row r="237" spans="1:4" x14ac:dyDescent="0.3">
      <c r="A237" s="12"/>
      <c r="B237" s="11"/>
      <c r="C237" s="11"/>
      <c r="D237" s="10"/>
    </row>
    <row r="238" spans="1:4" x14ac:dyDescent="0.3">
      <c r="A238" s="12"/>
      <c r="B238" s="11"/>
      <c r="C238" s="11"/>
      <c r="D238" s="10"/>
    </row>
    <row r="239" spans="1:4" x14ac:dyDescent="0.3">
      <c r="A239" s="12"/>
      <c r="B239" s="11"/>
      <c r="C239" s="11"/>
      <c r="D239" s="10"/>
    </row>
    <row r="240" spans="1:4" x14ac:dyDescent="0.3">
      <c r="A240" s="12"/>
      <c r="B240" s="11"/>
      <c r="C240" s="11"/>
      <c r="D240" s="10"/>
    </row>
    <row r="241" spans="1:4" x14ac:dyDescent="0.3">
      <c r="A241" s="12"/>
      <c r="B241" s="11"/>
      <c r="C241" s="11"/>
      <c r="D241" s="10"/>
    </row>
    <row r="242" spans="1:4" x14ac:dyDescent="0.3">
      <c r="A242" s="12"/>
      <c r="B242" s="11"/>
      <c r="C242" s="11"/>
      <c r="D242" s="10"/>
    </row>
    <row r="243" spans="1:4" x14ac:dyDescent="0.3">
      <c r="A243" s="12"/>
      <c r="B243" s="11"/>
      <c r="C243" s="11"/>
      <c r="D243" s="10"/>
    </row>
    <row r="244" spans="1:4" x14ac:dyDescent="0.3">
      <c r="A244" s="12"/>
      <c r="B244" s="11"/>
      <c r="C244" s="11"/>
      <c r="D244" s="10"/>
    </row>
    <row r="245" spans="1:4" x14ac:dyDescent="0.3">
      <c r="A245" s="12"/>
      <c r="B245" s="11"/>
      <c r="C245" s="11"/>
      <c r="D245" s="10"/>
    </row>
    <row r="246" spans="1:4" x14ac:dyDescent="0.3">
      <c r="A246" s="12"/>
      <c r="B246" s="11"/>
      <c r="C246" s="11"/>
      <c r="D246" s="10"/>
    </row>
    <row r="247" spans="1:4" x14ac:dyDescent="0.3">
      <c r="A247" s="12"/>
      <c r="B247" s="11"/>
      <c r="C247" s="11"/>
      <c r="D247" s="10"/>
    </row>
    <row r="248" spans="1:4" x14ac:dyDescent="0.3">
      <c r="A248" s="12"/>
      <c r="B248" s="11"/>
      <c r="C248" s="11"/>
      <c r="D248" s="10"/>
    </row>
    <row r="249" spans="1:4" x14ac:dyDescent="0.3">
      <c r="A249" s="12"/>
      <c r="B249" s="11"/>
      <c r="C249" s="11"/>
      <c r="D249" s="10"/>
    </row>
    <row r="250" spans="1:4" x14ac:dyDescent="0.3">
      <c r="A250" s="12"/>
      <c r="B250" s="11"/>
      <c r="C250" s="11"/>
      <c r="D250" s="10"/>
    </row>
    <row r="251" spans="1:4" x14ac:dyDescent="0.3">
      <c r="A251" s="12"/>
      <c r="B251" s="11"/>
      <c r="C251" s="11"/>
      <c r="D251" s="10"/>
    </row>
    <row r="252" spans="1:4" x14ac:dyDescent="0.3">
      <c r="A252" s="12"/>
      <c r="B252" s="11"/>
      <c r="C252" s="11"/>
      <c r="D252" s="10"/>
    </row>
    <row r="253" spans="1:4" x14ac:dyDescent="0.3">
      <c r="A253" s="12"/>
      <c r="B253" s="11"/>
      <c r="C253" s="11"/>
      <c r="D253" s="10"/>
    </row>
    <row r="254" spans="1:4" x14ac:dyDescent="0.3">
      <c r="A254" s="12"/>
      <c r="B254" s="11"/>
      <c r="C254" s="11"/>
      <c r="D254" s="10"/>
    </row>
    <row r="255" spans="1:4" x14ac:dyDescent="0.3">
      <c r="A255" s="12"/>
      <c r="B255" s="11"/>
      <c r="C255" s="11"/>
      <c r="D255" s="10"/>
    </row>
    <row r="256" spans="1:4" x14ac:dyDescent="0.3">
      <c r="A256" s="12"/>
      <c r="B256" s="11"/>
      <c r="C256" s="11"/>
      <c r="D256" s="10"/>
    </row>
    <row r="257" spans="1:4" x14ac:dyDescent="0.3">
      <c r="A257" s="12"/>
      <c r="B257" s="11"/>
      <c r="C257" s="11"/>
      <c r="D257" s="10"/>
    </row>
    <row r="258" spans="1:4" x14ac:dyDescent="0.3">
      <c r="A258" s="12"/>
      <c r="B258" s="11"/>
      <c r="C258" s="11"/>
      <c r="D258" s="10"/>
    </row>
    <row r="259" spans="1:4" x14ac:dyDescent="0.3">
      <c r="A259" s="12"/>
      <c r="B259" s="11"/>
      <c r="C259" s="11"/>
      <c r="D259" s="10"/>
    </row>
    <row r="260" spans="1:4" x14ac:dyDescent="0.3">
      <c r="A260" s="12"/>
      <c r="B260" s="11"/>
      <c r="C260" s="11"/>
      <c r="D260" s="10"/>
    </row>
    <row r="261" spans="1:4" x14ac:dyDescent="0.3">
      <c r="A261" s="12"/>
      <c r="B261" s="11"/>
      <c r="C261" s="11"/>
      <c r="D261" s="10"/>
    </row>
    <row r="262" spans="1:4" x14ac:dyDescent="0.3">
      <c r="A262" s="12"/>
      <c r="B262" s="11"/>
      <c r="C262" s="11"/>
      <c r="D262" s="10"/>
    </row>
    <row r="263" spans="1:4" x14ac:dyDescent="0.3">
      <c r="A263" s="12"/>
      <c r="B263" s="11"/>
      <c r="C263" s="11"/>
      <c r="D263" s="10"/>
    </row>
    <row r="264" spans="1:4" x14ac:dyDescent="0.3">
      <c r="A264" s="12"/>
      <c r="B264" s="11"/>
      <c r="C264" s="11"/>
      <c r="D264" s="10"/>
    </row>
    <row r="265" spans="1:4" x14ac:dyDescent="0.3">
      <c r="A265" s="12"/>
      <c r="B265" s="11"/>
      <c r="C265" s="11"/>
      <c r="D265" s="10"/>
    </row>
    <row r="266" spans="1:4" x14ac:dyDescent="0.3">
      <c r="A266" s="12"/>
      <c r="B266" s="11"/>
      <c r="C266" s="11"/>
      <c r="D266" s="10"/>
    </row>
    <row r="267" spans="1:4" x14ac:dyDescent="0.3">
      <c r="A267" s="12"/>
      <c r="B267" s="11"/>
      <c r="C267" s="11"/>
      <c r="D267" s="10"/>
    </row>
    <row r="268" spans="1:4" x14ac:dyDescent="0.3">
      <c r="A268" s="12"/>
      <c r="B268" s="11"/>
      <c r="C268" s="11"/>
      <c r="D268" s="10"/>
    </row>
    <row r="269" spans="1:4" x14ac:dyDescent="0.3">
      <c r="A269" s="12"/>
      <c r="B269" s="11"/>
      <c r="C269" s="11"/>
      <c r="D269" s="10"/>
    </row>
    <row r="270" spans="1:4" x14ac:dyDescent="0.3">
      <c r="A270" s="12"/>
      <c r="B270" s="11"/>
      <c r="C270" s="11"/>
      <c r="D270" s="10"/>
    </row>
    <row r="271" spans="1:4" x14ac:dyDescent="0.3">
      <c r="A271" s="12"/>
      <c r="B271" s="11"/>
      <c r="C271" s="11"/>
      <c r="D271" s="10"/>
    </row>
    <row r="272" spans="1:4" x14ac:dyDescent="0.3">
      <c r="A272" s="12"/>
      <c r="B272" s="11"/>
      <c r="C272" s="11"/>
      <c r="D272" s="10"/>
    </row>
    <row r="273" spans="1:4" x14ac:dyDescent="0.3">
      <c r="A273" s="12"/>
      <c r="B273" s="11"/>
      <c r="C273" s="11"/>
      <c r="D273" s="10"/>
    </row>
    <row r="274" spans="1:4" x14ac:dyDescent="0.3">
      <c r="A274" s="12"/>
      <c r="B274" s="11"/>
      <c r="C274" s="11"/>
      <c r="D274" s="10"/>
    </row>
    <row r="275" spans="1:4" x14ac:dyDescent="0.3">
      <c r="A275" s="12"/>
      <c r="B275" s="11"/>
      <c r="C275" s="11"/>
      <c r="D275" s="10"/>
    </row>
    <row r="276" spans="1:4" x14ac:dyDescent="0.3">
      <c r="A276" s="12"/>
      <c r="B276" s="11"/>
      <c r="C276" s="11"/>
      <c r="D276" s="10"/>
    </row>
    <row r="277" spans="1:4" x14ac:dyDescent="0.3">
      <c r="A277" s="12"/>
      <c r="B277" s="11"/>
      <c r="C277" s="11"/>
      <c r="D277" s="10"/>
    </row>
    <row r="278" spans="1:4" x14ac:dyDescent="0.3">
      <c r="A278" s="12"/>
      <c r="B278" s="11"/>
      <c r="C278" s="11"/>
      <c r="D278" s="10"/>
    </row>
    <row r="279" spans="1:4" x14ac:dyDescent="0.3">
      <c r="A279" s="12"/>
      <c r="B279" s="11"/>
      <c r="C279" s="11"/>
      <c r="D279" s="10"/>
    </row>
    <row r="280" spans="1:4" x14ac:dyDescent="0.3">
      <c r="A280" s="12"/>
      <c r="B280" s="11"/>
      <c r="C280" s="11"/>
      <c r="D280" s="10"/>
    </row>
    <row r="281" spans="1:4" x14ac:dyDescent="0.3">
      <c r="A281" s="12"/>
      <c r="B281" s="11"/>
      <c r="C281" s="11"/>
      <c r="D281" s="10"/>
    </row>
    <row r="282" spans="1:4" x14ac:dyDescent="0.3">
      <c r="A282" s="12"/>
      <c r="B282" s="11"/>
      <c r="C282" s="11"/>
      <c r="D282" s="10"/>
    </row>
    <row r="283" spans="1:4" x14ac:dyDescent="0.3">
      <c r="A283" s="12"/>
      <c r="B283" s="11"/>
      <c r="C283" s="11"/>
      <c r="D283" s="10"/>
    </row>
    <row r="284" spans="1:4" x14ac:dyDescent="0.3">
      <c r="A284" s="12"/>
      <c r="B284" s="11"/>
      <c r="C284" s="11"/>
      <c r="D284" s="10"/>
    </row>
    <row r="285" spans="1:4" x14ac:dyDescent="0.3">
      <c r="A285" s="12"/>
      <c r="B285" s="11"/>
      <c r="C285" s="11"/>
      <c r="D285" s="10"/>
    </row>
    <row r="286" spans="1:4" x14ac:dyDescent="0.3">
      <c r="A286" s="12"/>
      <c r="B286" s="11"/>
      <c r="C286" s="11"/>
      <c r="D286" s="10"/>
    </row>
    <row r="287" spans="1:4" x14ac:dyDescent="0.3">
      <c r="A287" s="12"/>
      <c r="B287" s="11"/>
      <c r="C287" s="11"/>
      <c r="D287" s="10"/>
    </row>
    <row r="288" spans="1:4" x14ac:dyDescent="0.3">
      <c r="A288" s="12"/>
      <c r="B288" s="11"/>
      <c r="C288" s="11"/>
      <c r="D288" s="10"/>
    </row>
    <row r="289" spans="1:4" x14ac:dyDescent="0.3">
      <c r="A289" s="12"/>
      <c r="B289" s="11"/>
      <c r="C289" s="11"/>
      <c r="D289" s="10"/>
    </row>
    <row r="290" spans="1:4" x14ac:dyDescent="0.3">
      <c r="A290" s="12"/>
      <c r="B290" s="11"/>
      <c r="C290" s="11"/>
      <c r="D290" s="10"/>
    </row>
    <row r="291" spans="1:4" x14ac:dyDescent="0.3">
      <c r="A291" s="12"/>
      <c r="B291" s="11"/>
      <c r="C291" s="11"/>
      <c r="D291" s="10"/>
    </row>
    <row r="292" spans="1:4" x14ac:dyDescent="0.3">
      <c r="A292" s="12"/>
      <c r="B292" s="11"/>
      <c r="C292" s="11"/>
      <c r="D292" s="10"/>
    </row>
    <row r="293" spans="1:4" x14ac:dyDescent="0.3">
      <c r="A293" s="12"/>
      <c r="B293" s="11"/>
      <c r="C293" s="11"/>
      <c r="D293" s="10"/>
    </row>
    <row r="294" spans="1:4" x14ac:dyDescent="0.3">
      <c r="A294" s="12"/>
      <c r="B294" s="11"/>
      <c r="C294" s="11"/>
      <c r="D294" s="10"/>
    </row>
    <row r="295" spans="1:4" x14ac:dyDescent="0.3">
      <c r="A295" s="12"/>
      <c r="B295" s="11"/>
      <c r="C295" s="11"/>
      <c r="D295" s="10"/>
    </row>
    <row r="296" spans="1:4" x14ac:dyDescent="0.3">
      <c r="A296" s="12"/>
      <c r="B296" s="11"/>
      <c r="C296" s="11"/>
      <c r="D296" s="10"/>
    </row>
    <row r="297" spans="1:4" x14ac:dyDescent="0.3">
      <c r="A297" s="12"/>
      <c r="B297" s="11"/>
      <c r="C297" s="11"/>
      <c r="D297" s="10"/>
    </row>
    <row r="298" spans="1:4" x14ac:dyDescent="0.3">
      <c r="A298" s="12"/>
      <c r="B298" s="11"/>
      <c r="C298" s="11"/>
      <c r="D298" s="10"/>
    </row>
    <row r="299" spans="1:4" x14ac:dyDescent="0.3">
      <c r="A299" s="12"/>
      <c r="B299" s="11"/>
      <c r="C299" s="11"/>
      <c r="D299" s="10"/>
    </row>
    <row r="300" spans="1:4" x14ac:dyDescent="0.3">
      <c r="A300" s="12"/>
      <c r="B300" s="11"/>
      <c r="C300" s="11"/>
      <c r="D300" s="10"/>
    </row>
    <row r="301" spans="1:4" x14ac:dyDescent="0.3">
      <c r="A301" s="12"/>
      <c r="B301" s="11"/>
      <c r="C301" s="11"/>
      <c r="D301" s="10"/>
    </row>
    <row r="302" spans="1:4" x14ac:dyDescent="0.3">
      <c r="A302" s="12"/>
      <c r="B302" s="11"/>
      <c r="C302" s="11"/>
      <c r="D302" s="10"/>
    </row>
    <row r="303" spans="1:4" x14ac:dyDescent="0.3">
      <c r="A303" s="12"/>
      <c r="B303" s="11"/>
      <c r="C303" s="11"/>
      <c r="D303" s="10"/>
    </row>
    <row r="304" spans="1:4" x14ac:dyDescent="0.3">
      <c r="A304" s="12"/>
      <c r="B304" s="11"/>
      <c r="C304" s="11"/>
      <c r="D304" s="10"/>
    </row>
    <row r="305" spans="1:4" x14ac:dyDescent="0.3">
      <c r="A305" s="12"/>
      <c r="B305" s="11"/>
      <c r="C305" s="11"/>
      <c r="D305" s="10"/>
    </row>
    <row r="306" spans="1:4" x14ac:dyDescent="0.3">
      <c r="A306" s="12"/>
      <c r="B306" s="11"/>
      <c r="C306" s="11"/>
      <c r="D306" s="10"/>
    </row>
    <row r="307" spans="1:4" x14ac:dyDescent="0.3">
      <c r="A307" s="12"/>
      <c r="B307" s="11"/>
      <c r="C307" s="11"/>
      <c r="D307" s="10"/>
    </row>
    <row r="308" spans="1:4" x14ac:dyDescent="0.3">
      <c r="A308" s="12"/>
      <c r="B308" s="11"/>
      <c r="C308" s="11"/>
      <c r="D308" s="10"/>
    </row>
    <row r="309" spans="1:4" x14ac:dyDescent="0.3">
      <c r="A309" s="12"/>
      <c r="B309" s="11"/>
      <c r="C309" s="11"/>
      <c r="D309" s="10"/>
    </row>
    <row r="310" spans="1:4" x14ac:dyDescent="0.3">
      <c r="A310" s="12"/>
      <c r="B310" s="11"/>
      <c r="C310" s="11"/>
      <c r="D310" s="10"/>
    </row>
    <row r="311" spans="1:4" x14ac:dyDescent="0.3">
      <c r="A311" s="12"/>
      <c r="B311" s="11"/>
      <c r="C311" s="11"/>
      <c r="D311" s="10"/>
    </row>
    <row r="312" spans="1:4" x14ac:dyDescent="0.3">
      <c r="A312" s="12"/>
      <c r="B312" s="11"/>
      <c r="C312" s="11"/>
      <c r="D312" s="10"/>
    </row>
    <row r="313" spans="1:4" x14ac:dyDescent="0.3">
      <c r="A313" s="12"/>
      <c r="B313" s="11"/>
      <c r="C313" s="11"/>
      <c r="D313" s="10"/>
    </row>
    <row r="314" spans="1:4" x14ac:dyDescent="0.3">
      <c r="A314" s="12"/>
      <c r="B314" s="11"/>
      <c r="C314" s="11"/>
      <c r="D314" s="10"/>
    </row>
    <row r="315" spans="1:4" x14ac:dyDescent="0.3">
      <c r="A315" s="12"/>
      <c r="B315" s="11"/>
      <c r="C315" s="11"/>
      <c r="D315" s="10"/>
    </row>
    <row r="316" spans="1:4" x14ac:dyDescent="0.3">
      <c r="A316" s="12"/>
      <c r="B316" s="11"/>
      <c r="C316" s="11"/>
      <c r="D316" s="10"/>
    </row>
    <row r="317" spans="1:4" x14ac:dyDescent="0.3">
      <c r="A317" s="12"/>
      <c r="B317" s="11"/>
      <c r="C317" s="11"/>
      <c r="D317" s="10"/>
    </row>
    <row r="318" spans="1:4" x14ac:dyDescent="0.3">
      <c r="A318" s="12"/>
      <c r="B318" s="11"/>
      <c r="C318" s="11"/>
      <c r="D318" s="10"/>
    </row>
    <row r="319" spans="1:4" x14ac:dyDescent="0.3">
      <c r="A319" s="12"/>
      <c r="B319" s="11"/>
      <c r="C319" s="11"/>
      <c r="D319" s="10"/>
    </row>
    <row r="320" spans="1:4" x14ac:dyDescent="0.3">
      <c r="A320" s="12"/>
      <c r="B320" s="11"/>
      <c r="C320" s="11"/>
      <c r="D320" s="10"/>
    </row>
    <row r="321" spans="1:4" x14ac:dyDescent="0.3">
      <c r="A321" s="12"/>
      <c r="B321" s="11"/>
      <c r="C321" s="11"/>
      <c r="D321" s="10"/>
    </row>
    <row r="322" spans="1:4" x14ac:dyDescent="0.3">
      <c r="A322" s="12"/>
      <c r="B322" s="11"/>
      <c r="C322" s="11"/>
      <c r="D322" s="10"/>
    </row>
    <row r="323" spans="1:4" x14ac:dyDescent="0.3">
      <c r="A323" s="12"/>
      <c r="B323" s="11"/>
      <c r="C323" s="11"/>
      <c r="D323" s="10"/>
    </row>
    <row r="324" spans="1:4" x14ac:dyDescent="0.3">
      <c r="A324" s="12"/>
      <c r="B324" s="11"/>
      <c r="C324" s="11"/>
      <c r="D324" s="10"/>
    </row>
    <row r="325" spans="1:4" x14ac:dyDescent="0.3">
      <c r="A325" s="12"/>
      <c r="B325" s="11"/>
      <c r="C325" s="11"/>
      <c r="D325" s="10"/>
    </row>
    <row r="326" spans="1:4" x14ac:dyDescent="0.3">
      <c r="A326" s="12"/>
      <c r="B326" s="11"/>
      <c r="C326" s="11"/>
      <c r="D326" s="10"/>
    </row>
    <row r="327" spans="1:4" x14ac:dyDescent="0.3">
      <c r="A327" s="12"/>
      <c r="B327" s="11"/>
      <c r="C327" s="11"/>
      <c r="D327" s="10"/>
    </row>
    <row r="328" spans="1:4" x14ac:dyDescent="0.3">
      <c r="A328" s="12"/>
      <c r="B328" s="11"/>
      <c r="C328" s="11"/>
      <c r="D328" s="10"/>
    </row>
    <row r="329" spans="1:4" x14ac:dyDescent="0.3">
      <c r="A329" s="12"/>
      <c r="B329" s="11"/>
      <c r="C329" s="11"/>
      <c r="D329" s="10"/>
    </row>
    <row r="330" spans="1:4" x14ac:dyDescent="0.3">
      <c r="A330" s="12"/>
      <c r="B330" s="11"/>
      <c r="C330" s="11"/>
      <c r="D330" s="10"/>
    </row>
    <row r="331" spans="1:4" x14ac:dyDescent="0.3">
      <c r="A331" s="12"/>
      <c r="B331" s="11"/>
      <c r="C331" s="11"/>
      <c r="D331" s="10"/>
    </row>
    <row r="332" spans="1:4" x14ac:dyDescent="0.3">
      <c r="A332" s="12"/>
      <c r="B332" s="11"/>
      <c r="C332" s="11"/>
      <c r="D332" s="10"/>
    </row>
    <row r="333" spans="1:4" x14ac:dyDescent="0.3">
      <c r="A333" s="12"/>
      <c r="B333" s="11"/>
      <c r="C333" s="11"/>
      <c r="D333" s="10"/>
    </row>
    <row r="334" spans="1:4" x14ac:dyDescent="0.3">
      <c r="A334" s="12"/>
      <c r="B334" s="11"/>
      <c r="C334" s="11"/>
      <c r="D334" s="10"/>
    </row>
    <row r="335" spans="1:4" x14ac:dyDescent="0.3">
      <c r="A335" s="12"/>
      <c r="B335" s="11"/>
      <c r="C335" s="11"/>
      <c r="D335" s="10"/>
    </row>
    <row r="336" spans="1:4" x14ac:dyDescent="0.3">
      <c r="A336" s="12"/>
      <c r="B336" s="11"/>
      <c r="C336" s="11"/>
      <c r="D336" s="10"/>
    </row>
    <row r="337" spans="1:4" x14ac:dyDescent="0.3">
      <c r="A337" s="12"/>
      <c r="B337" s="11"/>
      <c r="C337" s="11"/>
      <c r="D337" s="10"/>
    </row>
    <row r="338" spans="1:4" x14ac:dyDescent="0.3">
      <c r="A338" s="12"/>
      <c r="B338" s="11"/>
      <c r="C338" s="11"/>
      <c r="D338" s="10"/>
    </row>
    <row r="339" spans="1:4" x14ac:dyDescent="0.3">
      <c r="A339" s="12"/>
      <c r="B339" s="11"/>
      <c r="C339" s="11"/>
      <c r="D339" s="10"/>
    </row>
    <row r="340" spans="1:4" x14ac:dyDescent="0.3">
      <c r="A340" s="12"/>
      <c r="B340" s="11"/>
      <c r="C340" s="11"/>
      <c r="D340" s="10"/>
    </row>
    <row r="341" spans="1:4" x14ac:dyDescent="0.3">
      <c r="A341" s="12"/>
      <c r="B341" s="11"/>
      <c r="C341" s="11"/>
      <c r="D341" s="10"/>
    </row>
    <row r="342" spans="1:4" x14ac:dyDescent="0.3">
      <c r="A342" s="12"/>
      <c r="B342" s="11"/>
      <c r="C342" s="11"/>
      <c r="D342" s="10"/>
    </row>
    <row r="343" spans="1:4" x14ac:dyDescent="0.3">
      <c r="A343" s="12"/>
      <c r="B343" s="11"/>
      <c r="C343" s="11"/>
      <c r="D343" s="10"/>
    </row>
    <row r="344" spans="1:4" x14ac:dyDescent="0.3">
      <c r="A344" s="12"/>
      <c r="B344" s="11"/>
      <c r="C344" s="11"/>
      <c r="D344" s="10"/>
    </row>
    <row r="345" spans="1:4" x14ac:dyDescent="0.3">
      <c r="A345" s="12"/>
      <c r="B345" s="11"/>
      <c r="C345" s="11"/>
      <c r="D345" s="10"/>
    </row>
    <row r="346" spans="1:4" x14ac:dyDescent="0.3">
      <c r="A346" s="12"/>
      <c r="B346" s="11"/>
      <c r="C346" s="11"/>
      <c r="D346" s="10"/>
    </row>
    <row r="347" spans="1:4" x14ac:dyDescent="0.3">
      <c r="A347" s="12"/>
      <c r="B347" s="11"/>
      <c r="C347" s="11"/>
      <c r="D347" s="10"/>
    </row>
    <row r="348" spans="1:4" x14ac:dyDescent="0.3">
      <c r="A348" s="12"/>
      <c r="B348" s="11"/>
      <c r="C348" s="11"/>
      <c r="D348" s="10"/>
    </row>
    <row r="349" spans="1:4" x14ac:dyDescent="0.3">
      <c r="A349" s="12"/>
      <c r="B349" s="11"/>
      <c r="C349" s="11"/>
      <c r="D349" s="10"/>
    </row>
    <row r="350" spans="1:4" x14ac:dyDescent="0.3">
      <c r="A350" s="12"/>
      <c r="B350" s="11"/>
      <c r="C350" s="11"/>
      <c r="D350" s="10"/>
    </row>
    <row r="351" spans="1:4" x14ac:dyDescent="0.3">
      <c r="A351" s="12"/>
      <c r="B351" s="11"/>
      <c r="C351" s="11"/>
      <c r="D351" s="10"/>
    </row>
    <row r="352" spans="1:4" x14ac:dyDescent="0.3">
      <c r="A352" s="12"/>
      <c r="B352" s="11"/>
      <c r="C352" s="11"/>
      <c r="D352" s="10"/>
    </row>
    <row r="353" spans="1:4" x14ac:dyDescent="0.3">
      <c r="A353" s="12"/>
      <c r="B353" s="11"/>
      <c r="C353" s="11"/>
      <c r="D353" s="10"/>
    </row>
    <row r="354" spans="1:4" x14ac:dyDescent="0.3">
      <c r="A354" s="12"/>
      <c r="B354" s="11"/>
      <c r="C354" s="11"/>
      <c r="D354" s="10"/>
    </row>
    <row r="355" spans="1:4" x14ac:dyDescent="0.3">
      <c r="A355" s="12"/>
      <c r="B355" s="11"/>
      <c r="C355" s="11"/>
      <c r="D355" s="10"/>
    </row>
    <row r="356" spans="1:4" x14ac:dyDescent="0.3">
      <c r="A356" s="12"/>
      <c r="B356" s="11"/>
      <c r="C356" s="11"/>
      <c r="D356" s="10"/>
    </row>
    <row r="357" spans="1:4" x14ac:dyDescent="0.3">
      <c r="A357" s="12"/>
      <c r="B357" s="11"/>
      <c r="C357" s="11"/>
      <c r="D357" s="10"/>
    </row>
    <row r="358" spans="1:4" x14ac:dyDescent="0.3">
      <c r="A358" s="12"/>
      <c r="B358" s="11"/>
      <c r="C358" s="11"/>
      <c r="D358" s="10"/>
    </row>
    <row r="359" spans="1:4" x14ac:dyDescent="0.3">
      <c r="A359" s="12"/>
      <c r="B359" s="11"/>
      <c r="C359" s="11"/>
      <c r="D359" s="10"/>
    </row>
    <row r="360" spans="1:4" x14ac:dyDescent="0.3">
      <c r="A360" s="12"/>
      <c r="B360" s="11"/>
      <c r="C360" s="11"/>
      <c r="D360" s="10"/>
    </row>
    <row r="361" spans="1:4" x14ac:dyDescent="0.3">
      <c r="A361" s="12"/>
      <c r="B361" s="11"/>
      <c r="C361" s="11"/>
      <c r="D361" s="10"/>
    </row>
    <row r="362" spans="1:4" x14ac:dyDescent="0.3">
      <c r="A362" s="12"/>
      <c r="B362" s="11"/>
      <c r="C362" s="11"/>
      <c r="D362" s="10"/>
    </row>
    <row r="363" spans="1:4" x14ac:dyDescent="0.3">
      <c r="A363" s="12"/>
      <c r="B363" s="11"/>
      <c r="C363" s="11"/>
      <c r="D363" s="10"/>
    </row>
    <row r="364" spans="1:4" x14ac:dyDescent="0.3">
      <c r="A364" s="12"/>
      <c r="B364" s="11"/>
      <c r="C364" s="11"/>
      <c r="D364" s="10"/>
    </row>
    <row r="365" spans="1:4" x14ac:dyDescent="0.3">
      <c r="A365" s="12"/>
      <c r="B365" s="11"/>
      <c r="C365" s="11"/>
      <c r="D365" s="10"/>
    </row>
    <row r="366" spans="1:4" x14ac:dyDescent="0.3">
      <c r="A366" s="12"/>
      <c r="B366" s="11"/>
      <c r="C366" s="11"/>
      <c r="D366" s="10"/>
    </row>
    <row r="367" spans="1:4" x14ac:dyDescent="0.3">
      <c r="A367" s="12"/>
      <c r="B367" s="11"/>
      <c r="C367" s="11"/>
      <c r="D367" s="10"/>
    </row>
    <row r="368" spans="1:4" x14ac:dyDescent="0.3">
      <c r="A368" s="12"/>
      <c r="B368" s="11"/>
      <c r="C368" s="11"/>
      <c r="D368" s="10"/>
    </row>
    <row r="369" spans="1:4" x14ac:dyDescent="0.3">
      <c r="A369" s="12"/>
      <c r="B369" s="11"/>
      <c r="C369" s="11"/>
      <c r="D369" s="10"/>
    </row>
    <row r="370" spans="1:4" x14ac:dyDescent="0.3">
      <c r="A370" s="12"/>
      <c r="B370" s="11"/>
      <c r="C370" s="11"/>
      <c r="D370" s="10"/>
    </row>
    <row r="371" spans="1:4" x14ac:dyDescent="0.3">
      <c r="A371" s="12"/>
      <c r="B371" s="11"/>
      <c r="C371" s="11"/>
      <c r="D371" s="10"/>
    </row>
    <row r="372" spans="1:4" x14ac:dyDescent="0.3">
      <c r="A372" s="12"/>
      <c r="B372" s="11"/>
      <c r="C372" s="11"/>
      <c r="D372" s="10"/>
    </row>
    <row r="373" spans="1:4" x14ac:dyDescent="0.3">
      <c r="A373" s="12"/>
      <c r="B373" s="11"/>
      <c r="C373" s="11"/>
      <c r="D373" s="10"/>
    </row>
    <row r="374" spans="1:4" x14ac:dyDescent="0.3">
      <c r="A374" s="12"/>
      <c r="B374" s="11"/>
      <c r="C374" s="11"/>
      <c r="D374" s="10"/>
    </row>
    <row r="375" spans="1:4" x14ac:dyDescent="0.3">
      <c r="A375" s="12"/>
      <c r="B375" s="11"/>
      <c r="C375" s="11"/>
      <c r="D375" s="10"/>
    </row>
    <row r="376" spans="1:4" x14ac:dyDescent="0.3">
      <c r="A376" s="12"/>
      <c r="B376" s="11"/>
      <c r="C376" s="11"/>
      <c r="D376" s="10"/>
    </row>
    <row r="377" spans="1:4" x14ac:dyDescent="0.3">
      <c r="A377" s="12"/>
      <c r="B377" s="11"/>
      <c r="C377" s="11"/>
      <c r="D377" s="10"/>
    </row>
    <row r="378" spans="1:4" x14ac:dyDescent="0.3">
      <c r="A378" s="12"/>
      <c r="B378" s="11"/>
      <c r="C378" s="11"/>
      <c r="D378" s="10"/>
    </row>
    <row r="379" spans="1:4" x14ac:dyDescent="0.3">
      <c r="A379" s="12"/>
      <c r="B379" s="11"/>
      <c r="C379" s="11"/>
      <c r="D379" s="10"/>
    </row>
    <row r="380" spans="1:4" x14ac:dyDescent="0.3">
      <c r="A380" s="12"/>
      <c r="B380" s="11"/>
      <c r="C380" s="11"/>
      <c r="D380" s="10"/>
    </row>
    <row r="381" spans="1:4" x14ac:dyDescent="0.3">
      <c r="A381" s="12"/>
      <c r="B381" s="11"/>
      <c r="C381" s="11"/>
      <c r="D381" s="10"/>
    </row>
    <row r="382" spans="1:4" x14ac:dyDescent="0.3">
      <c r="A382" s="12"/>
      <c r="B382" s="11"/>
      <c r="C382" s="11"/>
      <c r="D382" s="10"/>
    </row>
    <row r="383" spans="1:4" x14ac:dyDescent="0.3">
      <c r="A383" s="12"/>
      <c r="B383" s="11"/>
      <c r="C383" s="11"/>
      <c r="D383" s="10"/>
    </row>
    <row r="384" spans="1:4" x14ac:dyDescent="0.3">
      <c r="A384" s="12"/>
      <c r="B384" s="11"/>
      <c r="C384" s="11"/>
      <c r="D384" s="10"/>
    </row>
    <row r="385" spans="1:4" x14ac:dyDescent="0.3">
      <c r="A385" s="12"/>
      <c r="B385" s="11"/>
      <c r="C385" s="11"/>
      <c r="D385" s="10"/>
    </row>
    <row r="386" spans="1:4" x14ac:dyDescent="0.3">
      <c r="A386" s="12"/>
      <c r="B386" s="11"/>
      <c r="C386" s="11"/>
      <c r="D386" s="10"/>
    </row>
    <row r="387" spans="1:4" x14ac:dyDescent="0.3">
      <c r="A387" s="12"/>
      <c r="B387" s="11"/>
      <c r="C387" s="11"/>
      <c r="D387" s="10"/>
    </row>
    <row r="388" spans="1:4" x14ac:dyDescent="0.3">
      <c r="A388" s="12"/>
      <c r="B388" s="11"/>
      <c r="C388" s="11"/>
      <c r="D388" s="10"/>
    </row>
    <row r="389" spans="1:4" x14ac:dyDescent="0.3">
      <c r="A389" s="12"/>
      <c r="B389" s="11"/>
      <c r="C389" s="11"/>
      <c r="D389" s="10"/>
    </row>
    <row r="390" spans="1:4" x14ac:dyDescent="0.3">
      <c r="A390" s="12"/>
      <c r="B390" s="11"/>
      <c r="C390" s="11"/>
      <c r="D390" s="10"/>
    </row>
    <row r="391" spans="1:4" x14ac:dyDescent="0.3">
      <c r="A391" s="12"/>
      <c r="B391" s="11"/>
      <c r="C391" s="11"/>
      <c r="D391" s="10"/>
    </row>
    <row r="392" spans="1:4" x14ac:dyDescent="0.3">
      <c r="A392" s="12"/>
      <c r="B392" s="11"/>
      <c r="C392" s="11"/>
      <c r="D392" s="10"/>
    </row>
    <row r="393" spans="1:4" x14ac:dyDescent="0.3">
      <c r="A393" s="12"/>
      <c r="B393" s="11"/>
      <c r="C393" s="11"/>
      <c r="D393" s="10"/>
    </row>
    <row r="394" spans="1:4" x14ac:dyDescent="0.3">
      <c r="A394" s="12"/>
      <c r="B394" s="11"/>
      <c r="C394" s="11"/>
      <c r="D394" s="10"/>
    </row>
    <row r="395" spans="1:4" x14ac:dyDescent="0.3">
      <c r="A395" s="12"/>
      <c r="B395" s="11"/>
      <c r="C395" s="11"/>
      <c r="D395" s="10"/>
    </row>
    <row r="396" spans="1:4" x14ac:dyDescent="0.3">
      <c r="A396" s="12"/>
      <c r="B396" s="11"/>
      <c r="C396" s="11"/>
      <c r="D396" s="10"/>
    </row>
    <row r="397" spans="1:4" x14ac:dyDescent="0.3">
      <c r="A397" s="12"/>
      <c r="B397" s="11"/>
      <c r="C397" s="11"/>
      <c r="D397" s="10"/>
    </row>
    <row r="398" spans="1:4" x14ac:dyDescent="0.3">
      <c r="A398" s="12"/>
      <c r="B398" s="11"/>
      <c r="C398" s="11"/>
      <c r="D398" s="10"/>
    </row>
    <row r="399" spans="1:4" x14ac:dyDescent="0.3">
      <c r="A399" s="12"/>
      <c r="B399" s="11"/>
      <c r="C399" s="11"/>
      <c r="D399" s="10"/>
    </row>
    <row r="400" spans="1:4" x14ac:dyDescent="0.3">
      <c r="A400" s="12"/>
      <c r="B400" s="11"/>
      <c r="C400" s="11"/>
      <c r="D400" s="10"/>
    </row>
    <row r="401" spans="1:4" x14ac:dyDescent="0.3">
      <c r="A401" s="12"/>
      <c r="B401" s="11"/>
      <c r="C401" s="11"/>
      <c r="D401" s="10"/>
    </row>
    <row r="402" spans="1:4" x14ac:dyDescent="0.3">
      <c r="A402" s="12"/>
      <c r="B402" s="11"/>
      <c r="C402" s="11"/>
      <c r="D402" s="10"/>
    </row>
    <row r="403" spans="1:4" x14ac:dyDescent="0.3">
      <c r="A403" s="12"/>
      <c r="B403" s="11"/>
      <c r="C403" s="11"/>
      <c r="D403" s="10"/>
    </row>
    <row r="404" spans="1:4" x14ac:dyDescent="0.3">
      <c r="A404" s="12"/>
      <c r="B404" s="11"/>
      <c r="C404" s="11"/>
      <c r="D404" s="10"/>
    </row>
    <row r="405" spans="1:4" x14ac:dyDescent="0.3">
      <c r="A405" s="12"/>
      <c r="B405" s="11"/>
      <c r="C405" s="11"/>
      <c r="D405" s="10"/>
    </row>
    <row r="406" spans="1:4" x14ac:dyDescent="0.3">
      <c r="A406" s="12"/>
      <c r="B406" s="11"/>
      <c r="C406" s="11"/>
      <c r="D406" s="10"/>
    </row>
    <row r="407" spans="1:4" x14ac:dyDescent="0.3">
      <c r="A407" s="12"/>
      <c r="B407" s="11"/>
      <c r="C407" s="11"/>
      <c r="D407" s="10"/>
    </row>
    <row r="408" spans="1:4" x14ac:dyDescent="0.3">
      <c r="A408" s="12"/>
      <c r="B408" s="11"/>
      <c r="C408" s="11"/>
      <c r="D408" s="10"/>
    </row>
    <row r="409" spans="1:4" x14ac:dyDescent="0.3">
      <c r="A409" s="12"/>
      <c r="B409" s="11"/>
      <c r="C409" s="11"/>
      <c r="D409" s="10"/>
    </row>
    <row r="410" spans="1:4" x14ac:dyDescent="0.3">
      <c r="A410" s="12"/>
      <c r="B410" s="11"/>
      <c r="C410" s="11"/>
      <c r="D410" s="10"/>
    </row>
    <row r="411" spans="1:4" x14ac:dyDescent="0.3">
      <c r="A411" s="12"/>
      <c r="B411" s="11"/>
      <c r="C411" s="11"/>
      <c r="D411" s="10"/>
    </row>
    <row r="412" spans="1:4" x14ac:dyDescent="0.3">
      <c r="A412" s="12"/>
      <c r="B412" s="11"/>
      <c r="C412" s="11"/>
      <c r="D412" s="10"/>
    </row>
    <row r="413" spans="1:4" x14ac:dyDescent="0.3">
      <c r="A413" s="12"/>
      <c r="B413" s="11"/>
      <c r="C413" s="11"/>
      <c r="D413" s="10"/>
    </row>
    <row r="414" spans="1:4" x14ac:dyDescent="0.3">
      <c r="A414" s="12"/>
      <c r="B414" s="11"/>
      <c r="C414" s="11"/>
      <c r="D414" s="10"/>
    </row>
    <row r="415" spans="1:4" x14ac:dyDescent="0.3">
      <c r="A415" s="12"/>
      <c r="B415" s="11"/>
      <c r="C415" s="11"/>
      <c r="D415" s="10"/>
    </row>
    <row r="416" spans="1:4" x14ac:dyDescent="0.3">
      <c r="A416" s="12"/>
      <c r="B416" s="11"/>
      <c r="C416" s="11"/>
      <c r="D416" s="10"/>
    </row>
    <row r="417" spans="1:4" x14ac:dyDescent="0.3">
      <c r="A417" s="12"/>
      <c r="B417" s="11"/>
      <c r="C417" s="11"/>
      <c r="D417" s="10"/>
    </row>
    <row r="418" spans="1:4" x14ac:dyDescent="0.3">
      <c r="A418" s="12"/>
      <c r="B418" s="11"/>
      <c r="C418" s="11"/>
      <c r="D418" s="10"/>
    </row>
    <row r="419" spans="1:4" x14ac:dyDescent="0.3">
      <c r="A419" s="12"/>
      <c r="B419" s="11"/>
      <c r="C419" s="11"/>
      <c r="D419" s="10"/>
    </row>
    <row r="420" spans="1:4" x14ac:dyDescent="0.3">
      <c r="A420" s="12"/>
      <c r="B420" s="11"/>
      <c r="C420" s="11"/>
      <c r="D420" s="10"/>
    </row>
    <row r="421" spans="1:4" x14ac:dyDescent="0.3">
      <c r="A421" s="12"/>
      <c r="B421" s="11"/>
      <c r="C421" s="11"/>
      <c r="D421" s="10"/>
    </row>
    <row r="422" spans="1:4" x14ac:dyDescent="0.3">
      <c r="A422" s="12"/>
      <c r="B422" s="11"/>
      <c r="C422" s="11"/>
      <c r="D422" s="10"/>
    </row>
    <row r="423" spans="1:4" x14ac:dyDescent="0.3">
      <c r="A423" s="12"/>
      <c r="B423" s="11"/>
      <c r="C423" s="11"/>
      <c r="D423" s="10"/>
    </row>
    <row r="424" spans="1:4" x14ac:dyDescent="0.3">
      <c r="A424" s="12"/>
      <c r="B424" s="11"/>
      <c r="C424" s="11"/>
      <c r="D424" s="10"/>
    </row>
    <row r="425" spans="1:4" x14ac:dyDescent="0.3">
      <c r="A425" s="12"/>
      <c r="B425" s="11"/>
      <c r="C425" s="11"/>
      <c r="D425" s="10"/>
    </row>
    <row r="426" spans="1:4" x14ac:dyDescent="0.3">
      <c r="A426" s="12"/>
      <c r="B426" s="11"/>
      <c r="C426" s="11"/>
      <c r="D426" s="10"/>
    </row>
    <row r="427" spans="1:4" x14ac:dyDescent="0.3">
      <c r="A427" s="12"/>
      <c r="B427" s="11"/>
      <c r="C427" s="11"/>
      <c r="D427" s="10"/>
    </row>
    <row r="428" spans="1:4" x14ac:dyDescent="0.3">
      <c r="A428" s="12"/>
      <c r="B428" s="11"/>
      <c r="C428" s="11"/>
      <c r="D428" s="10"/>
    </row>
    <row r="429" spans="1:4" x14ac:dyDescent="0.3">
      <c r="A429" s="12"/>
      <c r="B429" s="11"/>
      <c r="C429" s="11"/>
      <c r="D429" s="10"/>
    </row>
    <row r="430" spans="1:4" x14ac:dyDescent="0.3">
      <c r="A430" s="12"/>
      <c r="B430" s="11"/>
      <c r="C430" s="11"/>
      <c r="D430" s="10"/>
    </row>
    <row r="431" spans="1:4" x14ac:dyDescent="0.3">
      <c r="A431" s="12"/>
      <c r="B431" s="11"/>
      <c r="C431" s="11"/>
      <c r="D431" s="10"/>
    </row>
    <row r="432" spans="1:4" x14ac:dyDescent="0.3">
      <c r="A432" s="12"/>
      <c r="B432" s="11"/>
      <c r="C432" s="11"/>
      <c r="D432" s="10"/>
    </row>
    <row r="433" spans="1:4" x14ac:dyDescent="0.3">
      <c r="A433" s="12"/>
      <c r="B433" s="11"/>
      <c r="C433" s="11"/>
      <c r="D433" s="10"/>
    </row>
    <row r="434" spans="1:4" x14ac:dyDescent="0.3">
      <c r="A434" s="12"/>
      <c r="B434" s="11"/>
      <c r="C434" s="11"/>
      <c r="D434" s="10"/>
    </row>
    <row r="435" spans="1:4" x14ac:dyDescent="0.3">
      <c r="A435" s="12"/>
      <c r="B435" s="11"/>
      <c r="C435" s="11"/>
      <c r="D435" s="10"/>
    </row>
    <row r="436" spans="1:4" x14ac:dyDescent="0.3">
      <c r="A436" s="12"/>
      <c r="B436" s="11"/>
      <c r="C436" s="11"/>
      <c r="D436" s="10"/>
    </row>
    <row r="437" spans="1:4" x14ac:dyDescent="0.3">
      <c r="A437" s="12"/>
      <c r="B437" s="11"/>
      <c r="C437" s="11"/>
      <c r="D437" s="10"/>
    </row>
    <row r="438" spans="1:4" x14ac:dyDescent="0.3">
      <c r="A438" s="12"/>
      <c r="B438" s="11"/>
      <c r="C438" s="11"/>
      <c r="D438" s="10"/>
    </row>
    <row r="439" spans="1:4" x14ac:dyDescent="0.3">
      <c r="A439" s="12"/>
      <c r="B439" s="11"/>
      <c r="C439" s="11"/>
      <c r="D439" s="10"/>
    </row>
    <row r="440" spans="1:4" x14ac:dyDescent="0.3">
      <c r="A440" s="12"/>
      <c r="B440" s="11"/>
      <c r="C440" s="11"/>
      <c r="D440" s="10"/>
    </row>
    <row r="441" spans="1:4" x14ac:dyDescent="0.3">
      <c r="A441" s="12"/>
      <c r="B441" s="11"/>
      <c r="C441" s="11"/>
      <c r="D441" s="10"/>
    </row>
    <row r="442" spans="1:4" x14ac:dyDescent="0.3">
      <c r="A442" s="12"/>
      <c r="B442" s="11"/>
      <c r="C442" s="11"/>
      <c r="D442" s="10"/>
    </row>
    <row r="443" spans="1:4" x14ac:dyDescent="0.3">
      <c r="A443" s="12"/>
      <c r="B443" s="11"/>
      <c r="C443" s="11"/>
      <c r="D443" s="10"/>
    </row>
    <row r="444" spans="1:4" x14ac:dyDescent="0.3">
      <c r="A444" s="12"/>
      <c r="B444" s="11"/>
      <c r="C444" s="11"/>
      <c r="D444" s="10"/>
    </row>
    <row r="445" spans="1:4" x14ac:dyDescent="0.3">
      <c r="A445" s="12"/>
      <c r="B445" s="11"/>
      <c r="C445" s="11"/>
      <c r="D445" s="10"/>
    </row>
    <row r="446" spans="1:4" x14ac:dyDescent="0.3">
      <c r="A446" s="12"/>
      <c r="B446" s="11"/>
      <c r="C446" s="11"/>
      <c r="D446" s="10"/>
    </row>
    <row r="447" spans="1:4" x14ac:dyDescent="0.3">
      <c r="A447" s="12"/>
      <c r="B447" s="11"/>
      <c r="C447" s="11"/>
      <c r="D447" s="10"/>
    </row>
    <row r="448" spans="1:4" x14ac:dyDescent="0.3">
      <c r="A448" s="12"/>
      <c r="B448" s="11"/>
      <c r="C448" s="11"/>
      <c r="D448" s="10"/>
    </row>
    <row r="449" spans="1:4" x14ac:dyDescent="0.3">
      <c r="A449" s="12"/>
      <c r="B449" s="11"/>
      <c r="C449" s="11"/>
      <c r="D449" s="10"/>
    </row>
    <row r="450" spans="1:4" x14ac:dyDescent="0.3">
      <c r="A450" s="12"/>
      <c r="B450" s="11"/>
      <c r="C450" s="11"/>
      <c r="D450" s="10"/>
    </row>
    <row r="451" spans="1:4" x14ac:dyDescent="0.3">
      <c r="A451" s="12"/>
      <c r="B451" s="11"/>
      <c r="C451" s="11"/>
      <c r="D451" s="10"/>
    </row>
    <row r="452" spans="1:4" x14ac:dyDescent="0.3">
      <c r="A452" s="12"/>
      <c r="B452" s="11"/>
      <c r="C452" s="11"/>
      <c r="D452" s="10"/>
    </row>
    <row r="453" spans="1:4" x14ac:dyDescent="0.3">
      <c r="A453" s="12"/>
      <c r="B453" s="11"/>
      <c r="C453" s="11"/>
      <c r="D453" s="10"/>
    </row>
    <row r="454" spans="1:4" x14ac:dyDescent="0.3">
      <c r="A454" s="12"/>
      <c r="B454" s="11"/>
      <c r="C454" s="11"/>
      <c r="D454" s="10"/>
    </row>
    <row r="455" spans="1:4" x14ac:dyDescent="0.3">
      <c r="A455" s="12"/>
      <c r="B455" s="11"/>
      <c r="C455" s="11"/>
      <c r="D455" s="10"/>
    </row>
    <row r="456" spans="1:4" x14ac:dyDescent="0.3">
      <c r="A456" s="12"/>
      <c r="B456" s="11"/>
      <c r="C456" s="11"/>
      <c r="D456" s="10"/>
    </row>
    <row r="457" spans="1:4" x14ac:dyDescent="0.3">
      <c r="A457" s="12"/>
      <c r="B457" s="11"/>
      <c r="C457" s="11"/>
      <c r="D457" s="10"/>
    </row>
    <row r="458" spans="1:4" x14ac:dyDescent="0.3">
      <c r="A458" s="12"/>
      <c r="B458" s="11"/>
      <c r="C458" s="11"/>
      <c r="D458" s="10"/>
    </row>
    <row r="459" spans="1:4" x14ac:dyDescent="0.3">
      <c r="A459" s="12"/>
      <c r="B459" s="11"/>
      <c r="C459" s="11"/>
      <c r="D459" s="10"/>
    </row>
    <row r="460" spans="1:4" x14ac:dyDescent="0.3">
      <c r="A460" s="12"/>
      <c r="B460" s="11"/>
      <c r="C460" s="11"/>
      <c r="D460" s="10"/>
    </row>
    <row r="461" spans="1:4" x14ac:dyDescent="0.3">
      <c r="A461" s="12"/>
      <c r="B461" s="11"/>
      <c r="C461" s="11"/>
      <c r="D461" s="10"/>
    </row>
    <row r="462" spans="1:4" x14ac:dyDescent="0.3">
      <c r="A462" s="12"/>
      <c r="B462" s="11"/>
      <c r="C462" s="11"/>
      <c r="D462" s="10"/>
    </row>
    <row r="463" spans="1:4" x14ac:dyDescent="0.3">
      <c r="A463" s="12"/>
      <c r="B463" s="11"/>
      <c r="C463" s="11"/>
      <c r="D463" s="10"/>
    </row>
    <row r="464" spans="1:4" x14ac:dyDescent="0.3">
      <c r="A464" s="12"/>
      <c r="B464" s="11"/>
      <c r="C464" s="11"/>
      <c r="D464" s="10"/>
    </row>
    <row r="465" spans="1:4" x14ac:dyDescent="0.3">
      <c r="A465" s="12"/>
      <c r="B465" s="11"/>
      <c r="C465" s="11"/>
      <c r="D465" s="10"/>
    </row>
    <row r="466" spans="1:4" x14ac:dyDescent="0.3">
      <c r="A466" s="12"/>
      <c r="B466" s="11"/>
      <c r="C466" s="11"/>
      <c r="D466" s="10"/>
    </row>
    <row r="467" spans="1:4" x14ac:dyDescent="0.3">
      <c r="A467" s="12"/>
      <c r="B467" s="11"/>
      <c r="C467" s="11"/>
      <c r="D467" s="10"/>
    </row>
    <row r="468" spans="1:4" x14ac:dyDescent="0.3">
      <c r="A468" s="12"/>
      <c r="B468" s="11"/>
      <c r="C468" s="11"/>
      <c r="D468" s="10"/>
    </row>
    <row r="469" spans="1:4" x14ac:dyDescent="0.3">
      <c r="A469" s="12"/>
      <c r="B469" s="11"/>
      <c r="C469" s="11"/>
      <c r="D469" s="10"/>
    </row>
    <row r="470" spans="1:4" x14ac:dyDescent="0.3">
      <c r="A470" s="12"/>
      <c r="B470" s="11"/>
      <c r="C470" s="11"/>
      <c r="D470" s="10"/>
    </row>
    <row r="471" spans="1:4" x14ac:dyDescent="0.3">
      <c r="A471" s="12"/>
      <c r="B471" s="11"/>
      <c r="C471" s="11"/>
      <c r="D471" s="10"/>
    </row>
    <row r="472" spans="1:4" x14ac:dyDescent="0.3">
      <c r="A472" s="12"/>
      <c r="B472" s="11"/>
      <c r="C472" s="11"/>
      <c r="D472" s="10"/>
    </row>
    <row r="473" spans="1:4" x14ac:dyDescent="0.3">
      <c r="A473" s="12"/>
      <c r="B473" s="11"/>
      <c r="C473" s="11"/>
      <c r="D473" s="10"/>
    </row>
    <row r="474" spans="1:4" x14ac:dyDescent="0.3">
      <c r="A474" s="12"/>
      <c r="B474" s="11"/>
      <c r="C474" s="11"/>
      <c r="D474" s="10"/>
    </row>
    <row r="475" spans="1:4" x14ac:dyDescent="0.3">
      <c r="A475" s="12"/>
      <c r="B475" s="11"/>
      <c r="C475" s="11"/>
      <c r="D475" s="10"/>
    </row>
    <row r="476" spans="1:4" x14ac:dyDescent="0.3">
      <c r="A476" s="12"/>
      <c r="B476" s="11"/>
      <c r="C476" s="11"/>
      <c r="D476" s="10"/>
    </row>
    <row r="477" spans="1:4" x14ac:dyDescent="0.3">
      <c r="A477" s="12"/>
      <c r="B477" s="11"/>
      <c r="C477" s="11"/>
      <c r="D477" s="10"/>
    </row>
    <row r="478" spans="1:4" x14ac:dyDescent="0.3">
      <c r="A478" s="12"/>
      <c r="B478" s="11"/>
      <c r="C478" s="11"/>
      <c r="D478" s="10"/>
    </row>
    <row r="479" spans="1:4" x14ac:dyDescent="0.3">
      <c r="A479" s="12"/>
      <c r="B479" s="11"/>
      <c r="C479" s="11"/>
      <c r="D479" s="10"/>
    </row>
    <row r="480" spans="1:4" x14ac:dyDescent="0.3">
      <c r="A480" s="12"/>
      <c r="B480" s="11"/>
      <c r="C480" s="11"/>
      <c r="D480" s="10"/>
    </row>
    <row r="481" spans="1:4" x14ac:dyDescent="0.3">
      <c r="A481" s="12"/>
      <c r="B481" s="11"/>
      <c r="C481" s="11"/>
      <c r="D481" s="10"/>
    </row>
    <row r="482" spans="1:4" x14ac:dyDescent="0.3">
      <c r="A482" s="12"/>
      <c r="B482" s="11"/>
      <c r="C482" s="11"/>
      <c r="D482" s="10"/>
    </row>
    <row r="483" spans="1:4" x14ac:dyDescent="0.3">
      <c r="A483" s="12"/>
      <c r="B483" s="11"/>
      <c r="C483" s="11"/>
      <c r="D483" s="10"/>
    </row>
    <row r="484" spans="1:4" x14ac:dyDescent="0.3">
      <c r="A484" s="12"/>
      <c r="B484" s="11"/>
      <c r="C484" s="11"/>
      <c r="D484" s="10"/>
    </row>
    <row r="485" spans="1:4" x14ac:dyDescent="0.3">
      <c r="A485" s="12"/>
      <c r="B485" s="11"/>
      <c r="C485" s="11"/>
      <c r="D485" s="10"/>
    </row>
    <row r="486" spans="1:4" x14ac:dyDescent="0.3">
      <c r="A486" s="12"/>
      <c r="B486" s="11"/>
      <c r="C486" s="11"/>
      <c r="D486" s="10"/>
    </row>
    <row r="487" spans="1:4" x14ac:dyDescent="0.3">
      <c r="A487" s="12"/>
      <c r="B487" s="11"/>
      <c r="C487" s="11"/>
      <c r="D487" s="10"/>
    </row>
    <row r="488" spans="1:4" x14ac:dyDescent="0.3">
      <c r="A488" s="12"/>
      <c r="B488" s="11"/>
      <c r="C488" s="11"/>
      <c r="D488" s="10"/>
    </row>
    <row r="489" spans="1:4" x14ac:dyDescent="0.3">
      <c r="A489" s="12"/>
      <c r="B489" s="11"/>
      <c r="C489" s="11"/>
      <c r="D489" s="10"/>
    </row>
    <row r="490" spans="1:4" x14ac:dyDescent="0.3">
      <c r="A490" s="12"/>
      <c r="B490" s="11"/>
      <c r="C490" s="11"/>
      <c r="D490" s="10"/>
    </row>
    <row r="491" spans="1:4" x14ac:dyDescent="0.3">
      <c r="A491" s="12"/>
      <c r="B491" s="11"/>
      <c r="C491" s="11"/>
      <c r="D491" s="10"/>
    </row>
    <row r="492" spans="1:4" x14ac:dyDescent="0.3">
      <c r="A492" s="12"/>
      <c r="B492" s="11"/>
      <c r="C492" s="11"/>
      <c r="D492" s="10"/>
    </row>
    <row r="493" spans="1:4" x14ac:dyDescent="0.3">
      <c r="A493" s="12"/>
      <c r="B493" s="11"/>
      <c r="C493" s="11"/>
      <c r="D493" s="10"/>
    </row>
    <row r="494" spans="1:4" x14ac:dyDescent="0.3">
      <c r="A494" s="12"/>
      <c r="B494" s="11"/>
      <c r="C494" s="11"/>
      <c r="D494" s="10"/>
    </row>
    <row r="495" spans="1:4" x14ac:dyDescent="0.3">
      <c r="A495" s="12"/>
      <c r="B495" s="11"/>
      <c r="C495" s="11"/>
      <c r="D495" s="10"/>
    </row>
    <row r="496" spans="1:4" x14ac:dyDescent="0.3">
      <c r="A496" s="12"/>
      <c r="B496" s="11"/>
      <c r="C496" s="11"/>
      <c r="D496" s="10"/>
    </row>
    <row r="497" spans="1:4" x14ac:dyDescent="0.3">
      <c r="A497" s="12"/>
      <c r="B497" s="11"/>
      <c r="C497" s="11"/>
      <c r="D497" s="10"/>
    </row>
    <row r="498" spans="1:4" x14ac:dyDescent="0.3">
      <c r="A498" s="12"/>
      <c r="B498" s="11"/>
      <c r="C498" s="11"/>
      <c r="D498" s="10"/>
    </row>
    <row r="499" spans="1:4" x14ac:dyDescent="0.3">
      <c r="A499" s="12"/>
      <c r="B499" s="11"/>
      <c r="C499" s="11"/>
      <c r="D499" s="10"/>
    </row>
    <row r="500" spans="1:4" x14ac:dyDescent="0.3">
      <c r="A500" s="12"/>
      <c r="B500" s="11"/>
      <c r="C500" s="11"/>
      <c r="D500" s="10"/>
    </row>
    <row r="501" spans="1:4" x14ac:dyDescent="0.3">
      <c r="A501" s="12"/>
      <c r="B501" s="11"/>
      <c r="C501" s="11"/>
      <c r="D501" s="10"/>
    </row>
    <row r="502" spans="1:4" x14ac:dyDescent="0.3">
      <c r="A502" s="12"/>
      <c r="B502" s="11"/>
      <c r="C502" s="11"/>
      <c r="D502" s="10"/>
    </row>
    <row r="503" spans="1:4" x14ac:dyDescent="0.3">
      <c r="A503" s="12"/>
      <c r="B503" s="11"/>
      <c r="C503" s="11"/>
      <c r="D503" s="10"/>
    </row>
    <row r="504" spans="1:4" x14ac:dyDescent="0.3">
      <c r="A504" s="12"/>
      <c r="B504" s="11"/>
      <c r="C504" s="11"/>
      <c r="D504" s="10"/>
    </row>
    <row r="505" spans="1:4" x14ac:dyDescent="0.3">
      <c r="A505" s="12"/>
      <c r="B505" s="11"/>
      <c r="C505" s="11"/>
      <c r="D505" s="10"/>
    </row>
    <row r="506" spans="1:4" x14ac:dyDescent="0.3">
      <c r="A506" s="12"/>
      <c r="B506" s="11"/>
      <c r="C506" s="11"/>
      <c r="D506" s="10"/>
    </row>
    <row r="507" spans="1:4" x14ac:dyDescent="0.3">
      <c r="A507" s="12"/>
      <c r="B507" s="11"/>
      <c r="C507" s="11"/>
      <c r="D507" s="10"/>
    </row>
    <row r="508" spans="1:4" x14ac:dyDescent="0.3">
      <c r="A508" s="12"/>
      <c r="B508" s="11"/>
      <c r="C508" s="11"/>
      <c r="D508" s="10"/>
    </row>
    <row r="509" spans="1:4" x14ac:dyDescent="0.3">
      <c r="A509" s="12"/>
      <c r="B509" s="11"/>
      <c r="C509" s="11"/>
      <c r="D509" s="10"/>
    </row>
    <row r="510" spans="1:4" x14ac:dyDescent="0.3">
      <c r="A510" s="12"/>
      <c r="B510" s="11"/>
      <c r="C510" s="11"/>
      <c r="D510" s="10"/>
    </row>
    <row r="511" spans="1:4" x14ac:dyDescent="0.3">
      <c r="A511" s="12"/>
      <c r="B511" s="11"/>
      <c r="C511" s="11"/>
      <c r="D511" s="10"/>
    </row>
    <row r="512" spans="1:4" x14ac:dyDescent="0.3">
      <c r="A512" s="12"/>
      <c r="B512" s="11"/>
      <c r="C512" s="11"/>
      <c r="D512" s="10"/>
    </row>
    <row r="513" spans="1:4" x14ac:dyDescent="0.3">
      <c r="A513" s="12"/>
      <c r="B513" s="11"/>
      <c r="C513" s="11"/>
      <c r="D513" s="10"/>
    </row>
    <row r="514" spans="1:4" x14ac:dyDescent="0.3">
      <c r="A514" s="12"/>
      <c r="B514" s="11"/>
      <c r="C514" s="11"/>
      <c r="D514" s="10"/>
    </row>
    <row r="515" spans="1:4" x14ac:dyDescent="0.3">
      <c r="A515" s="12"/>
      <c r="B515" s="11"/>
      <c r="C515" s="11"/>
      <c r="D515" s="10"/>
    </row>
    <row r="516" spans="1:4" x14ac:dyDescent="0.3">
      <c r="A516" s="12"/>
      <c r="B516" s="11"/>
      <c r="C516" s="11"/>
      <c r="D516" s="10"/>
    </row>
    <row r="517" spans="1:4" x14ac:dyDescent="0.3">
      <c r="A517" s="12"/>
      <c r="B517" s="11"/>
      <c r="C517" s="11"/>
      <c r="D517" s="10"/>
    </row>
    <row r="518" spans="1:4" x14ac:dyDescent="0.3">
      <c r="A518" s="12"/>
      <c r="B518" s="11"/>
      <c r="C518" s="11"/>
      <c r="D518" s="10"/>
    </row>
    <row r="519" spans="1:4" x14ac:dyDescent="0.3">
      <c r="A519" s="12"/>
      <c r="B519" s="11"/>
      <c r="C519" s="11"/>
      <c r="D519" s="10"/>
    </row>
    <row r="520" spans="1:4" x14ac:dyDescent="0.3">
      <c r="A520" s="12"/>
      <c r="B520" s="11"/>
      <c r="C520" s="11"/>
      <c r="D520" s="10"/>
    </row>
    <row r="521" spans="1:4" x14ac:dyDescent="0.3">
      <c r="A521" s="12"/>
      <c r="B521" s="11"/>
      <c r="C521" s="11"/>
      <c r="D521" s="10"/>
    </row>
    <row r="522" spans="1:4" x14ac:dyDescent="0.3">
      <c r="A522" s="12"/>
      <c r="B522" s="11"/>
      <c r="C522" s="11"/>
      <c r="D522" s="10"/>
    </row>
    <row r="523" spans="1:4" x14ac:dyDescent="0.3">
      <c r="A523" s="12"/>
      <c r="B523" s="11"/>
      <c r="C523" s="11"/>
      <c r="D523" s="10"/>
    </row>
    <row r="524" spans="1:4" x14ac:dyDescent="0.3">
      <c r="A524" s="12"/>
      <c r="B524" s="11"/>
      <c r="C524" s="11"/>
      <c r="D524" s="10"/>
    </row>
    <row r="525" spans="1:4" x14ac:dyDescent="0.3">
      <c r="A525" s="12"/>
      <c r="B525" s="11"/>
      <c r="C525" s="11"/>
      <c r="D525" s="10"/>
    </row>
    <row r="526" spans="1:4" x14ac:dyDescent="0.3">
      <c r="A526" s="12"/>
      <c r="B526" s="11"/>
      <c r="C526" s="11"/>
      <c r="D526" s="10"/>
    </row>
    <row r="527" spans="1:4" x14ac:dyDescent="0.3">
      <c r="A527" s="12"/>
      <c r="B527" s="11"/>
      <c r="C527" s="11"/>
      <c r="D527" s="10"/>
    </row>
    <row r="528" spans="1:4" x14ac:dyDescent="0.3">
      <c r="A528" s="12"/>
      <c r="B528" s="11"/>
      <c r="C528" s="11"/>
      <c r="D528" s="10"/>
    </row>
    <row r="529" spans="1:4" x14ac:dyDescent="0.3">
      <c r="A529" s="12"/>
      <c r="B529" s="11"/>
      <c r="C529" s="11"/>
      <c r="D529" s="10"/>
    </row>
    <row r="530" spans="1:4" x14ac:dyDescent="0.3">
      <c r="A530" s="12"/>
      <c r="B530" s="11"/>
      <c r="C530" s="11"/>
      <c r="D530" s="10"/>
    </row>
    <row r="531" spans="1:4" x14ac:dyDescent="0.3">
      <c r="A531" s="12"/>
      <c r="B531" s="11"/>
      <c r="C531" s="11"/>
      <c r="D531" s="10"/>
    </row>
    <row r="532" spans="1:4" x14ac:dyDescent="0.3">
      <c r="A532" s="12"/>
      <c r="B532" s="11"/>
      <c r="C532" s="11"/>
      <c r="D532" s="10"/>
    </row>
    <row r="533" spans="1:4" x14ac:dyDescent="0.3">
      <c r="A533" s="12"/>
      <c r="B533" s="11"/>
      <c r="C533" s="11"/>
      <c r="D533" s="10"/>
    </row>
    <row r="534" spans="1:4" x14ac:dyDescent="0.3">
      <c r="A534" s="12"/>
      <c r="B534" s="11"/>
      <c r="C534" s="11"/>
      <c r="D534" s="10"/>
    </row>
    <row r="535" spans="1:4" x14ac:dyDescent="0.3">
      <c r="A535" s="12"/>
      <c r="B535" s="11"/>
      <c r="C535" s="11"/>
      <c r="D535" s="10"/>
    </row>
    <row r="536" spans="1:4" x14ac:dyDescent="0.3">
      <c r="A536" s="12"/>
      <c r="B536" s="11"/>
      <c r="C536" s="11"/>
      <c r="D536" s="10"/>
    </row>
    <row r="537" spans="1:4" x14ac:dyDescent="0.3">
      <c r="A537" s="12"/>
      <c r="B537" s="11"/>
      <c r="C537" s="11"/>
      <c r="D537" s="10"/>
    </row>
    <row r="538" spans="1:4" x14ac:dyDescent="0.3">
      <c r="A538" s="12"/>
      <c r="B538" s="11"/>
      <c r="C538" s="11"/>
      <c r="D538" s="10"/>
    </row>
    <row r="539" spans="1:4" x14ac:dyDescent="0.3">
      <c r="A539" s="12"/>
      <c r="B539" s="11"/>
      <c r="C539" s="11"/>
      <c r="D539" s="10"/>
    </row>
    <row r="540" spans="1:4" x14ac:dyDescent="0.3">
      <c r="A540" s="12"/>
      <c r="B540" s="11"/>
      <c r="C540" s="11"/>
      <c r="D540" s="10"/>
    </row>
    <row r="541" spans="1:4" x14ac:dyDescent="0.3">
      <c r="A541" s="12"/>
      <c r="B541" s="11"/>
      <c r="C541" s="11"/>
      <c r="D541" s="10"/>
    </row>
    <row r="542" spans="1:4" x14ac:dyDescent="0.3">
      <c r="A542" s="12"/>
      <c r="B542" s="11"/>
      <c r="C542" s="11"/>
      <c r="D542" s="10"/>
    </row>
    <row r="543" spans="1:4" x14ac:dyDescent="0.3">
      <c r="A543" s="12"/>
      <c r="B543" s="11"/>
      <c r="C543" s="11"/>
      <c r="D543" s="10"/>
    </row>
    <row r="544" spans="1:4" x14ac:dyDescent="0.3">
      <c r="A544" s="12"/>
      <c r="B544" s="11"/>
      <c r="C544" s="11"/>
      <c r="D544" s="10"/>
    </row>
    <row r="545" spans="1:4" x14ac:dyDescent="0.3">
      <c r="A545" s="12"/>
      <c r="B545" s="11"/>
      <c r="C545" s="11"/>
      <c r="D545" s="10"/>
    </row>
    <row r="546" spans="1:4" x14ac:dyDescent="0.3">
      <c r="A546" s="12"/>
      <c r="B546" s="11"/>
      <c r="C546" s="11"/>
      <c r="D546" s="10"/>
    </row>
    <row r="547" spans="1:4" x14ac:dyDescent="0.3">
      <c r="A547" s="12"/>
      <c r="B547" s="11"/>
      <c r="C547" s="11"/>
      <c r="D547" s="10"/>
    </row>
    <row r="548" spans="1:4" x14ac:dyDescent="0.3">
      <c r="A548" s="12"/>
      <c r="B548" s="11"/>
      <c r="C548" s="11"/>
      <c r="D548" s="10"/>
    </row>
    <row r="549" spans="1:4" x14ac:dyDescent="0.3">
      <c r="A549" s="12"/>
      <c r="B549" s="11"/>
      <c r="C549" s="11"/>
      <c r="D549" s="10"/>
    </row>
    <row r="550" spans="1:4" x14ac:dyDescent="0.3">
      <c r="A550" s="12"/>
      <c r="B550" s="11"/>
      <c r="C550" s="11"/>
      <c r="D550" s="10"/>
    </row>
    <row r="551" spans="1:4" x14ac:dyDescent="0.3">
      <c r="A551" s="12"/>
      <c r="B551" s="11"/>
      <c r="C551" s="11"/>
      <c r="D551" s="10"/>
    </row>
    <row r="552" spans="1:4" x14ac:dyDescent="0.3">
      <c r="A552" s="12"/>
      <c r="B552" s="11"/>
      <c r="C552" s="11"/>
      <c r="D552" s="10"/>
    </row>
    <row r="553" spans="1:4" x14ac:dyDescent="0.3">
      <c r="A553" s="12"/>
      <c r="B553" s="11"/>
      <c r="C553" s="11"/>
      <c r="D553" s="10"/>
    </row>
    <row r="554" spans="1:4" x14ac:dyDescent="0.3">
      <c r="A554" s="12"/>
      <c r="B554" s="11"/>
      <c r="C554" s="11"/>
      <c r="D554" s="10"/>
    </row>
    <row r="555" spans="1:4" x14ac:dyDescent="0.3">
      <c r="A555" s="12"/>
      <c r="B555" s="11"/>
      <c r="C555" s="11"/>
      <c r="D555" s="10"/>
    </row>
    <row r="556" spans="1:4" x14ac:dyDescent="0.3">
      <c r="A556" s="12"/>
      <c r="B556" s="11"/>
      <c r="C556" s="11"/>
      <c r="D556" s="10"/>
    </row>
    <row r="557" spans="1:4" x14ac:dyDescent="0.3">
      <c r="A557" s="12"/>
      <c r="B557" s="11"/>
      <c r="C557" s="11"/>
      <c r="D557" s="10"/>
    </row>
    <row r="558" spans="1:4" x14ac:dyDescent="0.3">
      <c r="A558" s="12"/>
      <c r="B558" s="11"/>
      <c r="C558" s="11"/>
      <c r="D558" s="10"/>
    </row>
    <row r="559" spans="1:4" x14ac:dyDescent="0.3">
      <c r="A559" s="12"/>
      <c r="B559" s="11"/>
      <c r="C559" s="11"/>
      <c r="D559" s="10"/>
    </row>
    <row r="560" spans="1:4" x14ac:dyDescent="0.3">
      <c r="A560" s="12"/>
      <c r="B560" s="11"/>
      <c r="C560" s="11"/>
      <c r="D560" s="10"/>
    </row>
    <row r="561" spans="1:4" x14ac:dyDescent="0.3">
      <c r="A561" s="12"/>
      <c r="B561" s="11"/>
      <c r="C561" s="11"/>
      <c r="D561" s="10"/>
    </row>
    <row r="562" spans="1:4" x14ac:dyDescent="0.3">
      <c r="A562" s="12"/>
      <c r="B562" s="11"/>
      <c r="C562" s="11"/>
      <c r="D562" s="10"/>
    </row>
    <row r="563" spans="1:4" x14ac:dyDescent="0.3">
      <c r="A563" s="12"/>
      <c r="B563" s="11"/>
      <c r="C563" s="11"/>
      <c r="D563" s="10"/>
    </row>
    <row r="564" spans="1:4" x14ac:dyDescent="0.3">
      <c r="A564" s="12"/>
      <c r="B564" s="11"/>
      <c r="C564" s="11"/>
      <c r="D564" s="10"/>
    </row>
    <row r="565" spans="1:4" x14ac:dyDescent="0.3">
      <c r="A565" s="12"/>
      <c r="B565" s="11"/>
      <c r="C565" s="11"/>
      <c r="D565" s="10"/>
    </row>
    <row r="566" spans="1:4" x14ac:dyDescent="0.3">
      <c r="A566" s="12"/>
      <c r="B566" s="11"/>
      <c r="C566" s="11"/>
      <c r="D566" s="10"/>
    </row>
    <row r="567" spans="1:4" x14ac:dyDescent="0.3">
      <c r="A567" s="12"/>
      <c r="B567" s="11"/>
      <c r="C567" s="11"/>
      <c r="D567" s="10"/>
    </row>
    <row r="568" spans="1:4" x14ac:dyDescent="0.3">
      <c r="A568" s="12"/>
      <c r="B568" s="11"/>
      <c r="C568" s="11"/>
      <c r="D568" s="10"/>
    </row>
    <row r="569" spans="1:4" x14ac:dyDescent="0.3">
      <c r="A569" s="12"/>
      <c r="B569" s="11"/>
      <c r="C569" s="11"/>
      <c r="D569" s="10"/>
    </row>
    <row r="570" spans="1:4" x14ac:dyDescent="0.3">
      <c r="A570" s="12"/>
      <c r="B570" s="11"/>
      <c r="C570" s="11"/>
      <c r="D570" s="10"/>
    </row>
    <row r="571" spans="1:4" x14ac:dyDescent="0.3">
      <c r="A571" s="12"/>
      <c r="B571" s="11"/>
      <c r="C571" s="11"/>
      <c r="D571" s="10"/>
    </row>
    <row r="572" spans="1:4" x14ac:dyDescent="0.3">
      <c r="A572" s="12"/>
      <c r="B572" s="11"/>
      <c r="C572" s="11"/>
      <c r="D572" s="10"/>
    </row>
    <row r="573" spans="1:4" x14ac:dyDescent="0.3">
      <c r="A573" s="12"/>
      <c r="B573" s="11"/>
      <c r="C573" s="11"/>
      <c r="D573" s="10"/>
    </row>
    <row r="574" spans="1:4" x14ac:dyDescent="0.3">
      <c r="A574" s="12"/>
      <c r="B574" s="11"/>
      <c r="C574" s="11"/>
      <c r="D574" s="10"/>
    </row>
    <row r="575" spans="1:4" x14ac:dyDescent="0.3">
      <c r="A575" s="12"/>
      <c r="B575" s="11"/>
      <c r="C575" s="11"/>
      <c r="D575" s="10"/>
    </row>
    <row r="576" spans="1:4" x14ac:dyDescent="0.3">
      <c r="A576" s="12"/>
      <c r="B576" s="11"/>
      <c r="C576" s="11"/>
      <c r="D576" s="10"/>
    </row>
    <row r="577" spans="1:4" x14ac:dyDescent="0.3">
      <c r="A577" s="12"/>
      <c r="B577" s="11"/>
      <c r="C577" s="11"/>
      <c r="D577" s="10"/>
    </row>
    <row r="578" spans="1:4" x14ac:dyDescent="0.3">
      <c r="A578" s="12"/>
      <c r="B578" s="11"/>
      <c r="C578" s="11"/>
      <c r="D578" s="10"/>
    </row>
    <row r="579" spans="1:4" x14ac:dyDescent="0.3">
      <c r="A579" s="12"/>
      <c r="B579" s="11"/>
      <c r="C579" s="11"/>
      <c r="D579" s="10"/>
    </row>
    <row r="580" spans="1:4" x14ac:dyDescent="0.3">
      <c r="A580" s="12"/>
      <c r="B580" s="11"/>
      <c r="C580" s="11"/>
      <c r="D580" s="10"/>
    </row>
    <row r="581" spans="1:4" x14ac:dyDescent="0.3">
      <c r="A581" s="12"/>
      <c r="B581" s="11"/>
      <c r="C581" s="11"/>
      <c r="D581" s="10"/>
    </row>
    <row r="582" spans="1:4" x14ac:dyDescent="0.3">
      <c r="A582" s="12"/>
      <c r="B582" s="11"/>
      <c r="C582" s="11"/>
      <c r="D582" s="10"/>
    </row>
    <row r="583" spans="1:4" x14ac:dyDescent="0.3">
      <c r="A583" s="12"/>
      <c r="B583" s="11"/>
      <c r="C583" s="11"/>
      <c r="D583" s="10"/>
    </row>
    <row r="584" spans="1:4" x14ac:dyDescent="0.3">
      <c r="A584" s="12"/>
      <c r="B584" s="11"/>
      <c r="C584" s="11"/>
      <c r="D584" s="10"/>
    </row>
    <row r="585" spans="1:4" x14ac:dyDescent="0.3">
      <c r="A585" s="12"/>
      <c r="B585" s="11"/>
      <c r="C585" s="11"/>
      <c r="D585" s="10"/>
    </row>
    <row r="586" spans="1:4" x14ac:dyDescent="0.3">
      <c r="A586" s="12"/>
      <c r="B586" s="11"/>
      <c r="C586" s="11"/>
      <c r="D586" s="10"/>
    </row>
    <row r="587" spans="1:4" x14ac:dyDescent="0.3">
      <c r="A587" s="12"/>
      <c r="B587" s="11"/>
      <c r="C587" s="11"/>
      <c r="D587" s="10"/>
    </row>
    <row r="588" spans="1:4" x14ac:dyDescent="0.3">
      <c r="A588" s="12"/>
      <c r="B588" s="11"/>
      <c r="C588" s="11"/>
      <c r="D588" s="10"/>
    </row>
    <row r="589" spans="1:4" x14ac:dyDescent="0.3">
      <c r="A589" s="12"/>
      <c r="B589" s="11"/>
      <c r="C589" s="11"/>
      <c r="D589" s="10"/>
    </row>
    <row r="590" spans="1:4" x14ac:dyDescent="0.3">
      <c r="A590" s="12"/>
      <c r="B590" s="11"/>
      <c r="C590" s="11"/>
      <c r="D590" s="10"/>
    </row>
    <row r="591" spans="1:4" x14ac:dyDescent="0.3">
      <c r="A591" s="12"/>
      <c r="B591" s="11"/>
      <c r="C591" s="11"/>
      <c r="D591" s="10"/>
    </row>
    <row r="592" spans="1:4" x14ac:dyDescent="0.3">
      <c r="A592" s="12"/>
      <c r="B592" s="11"/>
      <c r="C592" s="11"/>
      <c r="D592" s="10"/>
    </row>
    <row r="593" spans="1:4" x14ac:dyDescent="0.3">
      <c r="A593" s="12"/>
      <c r="B593" s="11"/>
      <c r="C593" s="11"/>
      <c r="D593" s="10"/>
    </row>
    <row r="594" spans="1:4" x14ac:dyDescent="0.3">
      <c r="A594" s="12"/>
      <c r="B594" s="11"/>
      <c r="C594" s="11"/>
      <c r="D594" s="10"/>
    </row>
    <row r="595" spans="1:4" x14ac:dyDescent="0.3">
      <c r="A595" s="12"/>
      <c r="B595" s="11"/>
      <c r="C595" s="11"/>
      <c r="D595" s="10"/>
    </row>
    <row r="596" spans="1:4" x14ac:dyDescent="0.3">
      <c r="A596" s="12"/>
      <c r="B596" s="11"/>
      <c r="C596" s="11"/>
      <c r="D596" s="10"/>
    </row>
    <row r="597" spans="1:4" x14ac:dyDescent="0.3">
      <c r="A597" s="12"/>
      <c r="B597" s="11"/>
      <c r="C597" s="11"/>
      <c r="D597" s="10"/>
    </row>
    <row r="598" spans="1:4" x14ac:dyDescent="0.3">
      <c r="A598" s="12"/>
      <c r="B598" s="11"/>
      <c r="C598" s="11"/>
      <c r="D598" s="10"/>
    </row>
    <row r="599" spans="1:4" x14ac:dyDescent="0.3">
      <c r="A599" s="12"/>
      <c r="B599" s="11"/>
      <c r="C599" s="11"/>
      <c r="D599" s="10"/>
    </row>
    <row r="600" spans="1:4" x14ac:dyDescent="0.3">
      <c r="A600" s="12"/>
      <c r="B600" s="11"/>
      <c r="C600" s="11"/>
      <c r="D600" s="10"/>
    </row>
    <row r="601" spans="1:4" x14ac:dyDescent="0.3">
      <c r="A601" s="12"/>
      <c r="B601" s="11"/>
      <c r="C601" s="11"/>
      <c r="D601" s="10"/>
    </row>
    <row r="602" spans="1:4" x14ac:dyDescent="0.3">
      <c r="A602" s="12"/>
      <c r="B602" s="11"/>
      <c r="C602" s="11"/>
      <c r="D602" s="10"/>
    </row>
    <row r="603" spans="1:4" x14ac:dyDescent="0.3">
      <c r="A603" s="12"/>
      <c r="B603" s="11"/>
      <c r="C603" s="11"/>
      <c r="D603" s="10"/>
    </row>
    <row r="604" spans="1:4" x14ac:dyDescent="0.3">
      <c r="A604" s="12"/>
      <c r="B604" s="11"/>
      <c r="C604" s="11"/>
      <c r="D604" s="10"/>
    </row>
    <row r="605" spans="1:4" x14ac:dyDescent="0.3">
      <c r="A605" s="12"/>
      <c r="B605" s="11"/>
      <c r="C605" s="11"/>
      <c r="D605" s="10"/>
    </row>
    <row r="606" spans="1:4" x14ac:dyDescent="0.3">
      <c r="A606" s="12"/>
      <c r="B606" s="11"/>
      <c r="C606" s="11"/>
      <c r="D606" s="10"/>
    </row>
    <row r="607" spans="1:4" x14ac:dyDescent="0.3">
      <c r="A607" s="12"/>
      <c r="B607" s="11"/>
      <c r="C607" s="11"/>
      <c r="D607" s="10"/>
    </row>
    <row r="608" spans="1:4" x14ac:dyDescent="0.3">
      <c r="A608" s="12"/>
      <c r="B608" s="11"/>
      <c r="C608" s="11"/>
      <c r="D608" s="10"/>
    </row>
    <row r="609" spans="1:4" x14ac:dyDescent="0.3">
      <c r="A609" s="12"/>
      <c r="B609" s="11"/>
      <c r="C609" s="11"/>
      <c r="D609" s="10"/>
    </row>
    <row r="610" spans="1:4" x14ac:dyDescent="0.3">
      <c r="A610" s="12"/>
      <c r="B610" s="11"/>
      <c r="C610" s="11"/>
      <c r="D610" s="10"/>
    </row>
    <row r="611" spans="1:4" x14ac:dyDescent="0.3">
      <c r="A611" s="12"/>
      <c r="B611" s="11"/>
      <c r="C611" s="11"/>
      <c r="D611" s="10"/>
    </row>
    <row r="612" spans="1:4" x14ac:dyDescent="0.3">
      <c r="A612" s="12"/>
      <c r="B612" s="11"/>
      <c r="C612" s="11"/>
      <c r="D612" s="10"/>
    </row>
    <row r="613" spans="1:4" x14ac:dyDescent="0.3">
      <c r="A613" s="12"/>
      <c r="B613" s="11"/>
      <c r="C613" s="11"/>
      <c r="D613" s="10"/>
    </row>
    <row r="614" spans="1:4" x14ac:dyDescent="0.3">
      <c r="A614" s="12"/>
      <c r="B614" s="11"/>
      <c r="C614" s="11"/>
      <c r="D614" s="10"/>
    </row>
    <row r="615" spans="1:4" x14ac:dyDescent="0.3">
      <c r="A615" s="12"/>
      <c r="B615" s="11"/>
      <c r="C615" s="11"/>
      <c r="D615" s="10"/>
    </row>
    <row r="616" spans="1:4" x14ac:dyDescent="0.3">
      <c r="A616" s="12"/>
      <c r="B616" s="11"/>
      <c r="C616" s="11"/>
      <c r="D616" s="10"/>
    </row>
    <row r="617" spans="1:4" x14ac:dyDescent="0.3">
      <c r="A617" s="12"/>
      <c r="B617" s="11"/>
      <c r="C617" s="11"/>
      <c r="D617" s="10"/>
    </row>
    <row r="618" spans="1:4" x14ac:dyDescent="0.3">
      <c r="A618" s="12"/>
      <c r="B618" s="11"/>
      <c r="C618" s="11"/>
      <c r="D618" s="10"/>
    </row>
    <row r="619" spans="1:4" x14ac:dyDescent="0.3">
      <c r="A619" s="12"/>
      <c r="B619" s="11"/>
      <c r="C619" s="11"/>
      <c r="D619" s="10"/>
    </row>
    <row r="620" spans="1:4" x14ac:dyDescent="0.3">
      <c r="A620" s="12"/>
      <c r="B620" s="11"/>
      <c r="C620" s="11"/>
      <c r="D620" s="10"/>
    </row>
    <row r="621" spans="1:4" x14ac:dyDescent="0.3">
      <c r="A621" s="12"/>
      <c r="B621" s="11"/>
      <c r="C621" s="11"/>
      <c r="D621" s="10"/>
    </row>
    <row r="622" spans="1:4" x14ac:dyDescent="0.3">
      <c r="A622" s="12"/>
      <c r="B622" s="11"/>
      <c r="C622" s="11"/>
      <c r="D622" s="10"/>
    </row>
    <row r="623" spans="1:4" x14ac:dyDescent="0.3">
      <c r="A623" s="12"/>
      <c r="B623" s="11"/>
      <c r="C623" s="11"/>
      <c r="D623" s="10"/>
    </row>
    <row r="624" spans="1:4" x14ac:dyDescent="0.3">
      <c r="A624" s="12"/>
      <c r="B624" s="11"/>
      <c r="C624" s="11"/>
      <c r="D624" s="10"/>
    </row>
    <row r="625" spans="1:4" x14ac:dyDescent="0.3">
      <c r="A625" s="12"/>
      <c r="B625" s="11"/>
      <c r="C625" s="11"/>
      <c r="D625" s="10"/>
    </row>
    <row r="626" spans="1:4" x14ac:dyDescent="0.3">
      <c r="A626" s="12"/>
      <c r="B626" s="11"/>
      <c r="C626" s="11"/>
      <c r="D626" s="10"/>
    </row>
    <row r="627" spans="1:4" x14ac:dyDescent="0.3">
      <c r="A627" s="12"/>
      <c r="B627" s="11"/>
      <c r="C627" s="11"/>
      <c r="D627" s="10"/>
    </row>
    <row r="628" spans="1:4" x14ac:dyDescent="0.3">
      <c r="A628" s="12"/>
      <c r="B628" s="11"/>
      <c r="C628" s="11"/>
      <c r="D628" s="10"/>
    </row>
    <row r="629" spans="1:4" x14ac:dyDescent="0.3">
      <c r="A629" s="12"/>
      <c r="B629" s="11"/>
      <c r="C629" s="11"/>
      <c r="D629" s="10"/>
    </row>
    <row r="630" spans="1:4" x14ac:dyDescent="0.3">
      <c r="A630" s="12"/>
      <c r="B630" s="11"/>
      <c r="C630" s="11"/>
      <c r="D630" s="10"/>
    </row>
    <row r="631" spans="1:4" x14ac:dyDescent="0.3">
      <c r="A631" s="12"/>
      <c r="B631" s="11"/>
      <c r="C631" s="11"/>
      <c r="D631" s="10"/>
    </row>
    <row r="632" spans="1:4" x14ac:dyDescent="0.3">
      <c r="A632" s="12"/>
      <c r="B632" s="11"/>
      <c r="C632" s="11"/>
      <c r="D632" s="10"/>
    </row>
    <row r="633" spans="1:4" x14ac:dyDescent="0.3">
      <c r="A633" s="12"/>
      <c r="B633" s="11"/>
      <c r="C633" s="11"/>
      <c r="D633" s="10"/>
    </row>
    <row r="634" spans="1:4" x14ac:dyDescent="0.3">
      <c r="A634" s="12"/>
      <c r="B634" s="11"/>
      <c r="C634" s="11"/>
      <c r="D634" s="10"/>
    </row>
    <row r="635" spans="1:4" x14ac:dyDescent="0.3">
      <c r="A635" s="12"/>
      <c r="B635" s="11"/>
      <c r="C635" s="11"/>
      <c r="D635" s="10"/>
    </row>
    <row r="636" spans="1:4" x14ac:dyDescent="0.3">
      <c r="A636" s="12"/>
      <c r="B636" s="11"/>
      <c r="C636" s="11"/>
      <c r="D636" s="10"/>
    </row>
    <row r="637" spans="1:4" x14ac:dyDescent="0.3">
      <c r="A637" s="12"/>
      <c r="B637" s="11"/>
      <c r="C637" s="11"/>
      <c r="D637" s="10"/>
    </row>
    <row r="638" spans="1:4" x14ac:dyDescent="0.3">
      <c r="A638" s="12"/>
      <c r="B638" s="11"/>
      <c r="C638" s="11"/>
      <c r="D638" s="10"/>
    </row>
    <row r="639" spans="1:4" x14ac:dyDescent="0.3">
      <c r="A639" s="12"/>
      <c r="B639" s="11"/>
      <c r="C639" s="11"/>
      <c r="D639" s="10"/>
    </row>
    <row r="640" spans="1:4" x14ac:dyDescent="0.3">
      <c r="A640" s="12"/>
      <c r="B640" s="11"/>
      <c r="C640" s="11"/>
      <c r="D640" s="10"/>
    </row>
    <row r="641" spans="1:4" x14ac:dyDescent="0.3">
      <c r="A641" s="12"/>
      <c r="B641" s="11"/>
      <c r="C641" s="11"/>
      <c r="D641" s="10"/>
    </row>
    <row r="642" spans="1:4" x14ac:dyDescent="0.3">
      <c r="A642" s="12"/>
      <c r="B642" s="11"/>
      <c r="C642" s="11"/>
      <c r="D642" s="10"/>
    </row>
    <row r="643" spans="1:4" x14ac:dyDescent="0.3">
      <c r="A643" s="12"/>
      <c r="B643" s="11"/>
      <c r="C643" s="11"/>
      <c r="D643" s="10"/>
    </row>
    <row r="644" spans="1:4" x14ac:dyDescent="0.3">
      <c r="A644" s="12"/>
      <c r="B644" s="11"/>
      <c r="C644" s="11"/>
      <c r="D644" s="10"/>
    </row>
    <row r="645" spans="1:4" x14ac:dyDescent="0.3">
      <c r="A645" s="12"/>
      <c r="B645" s="11"/>
      <c r="C645" s="11"/>
      <c r="D645" s="10"/>
    </row>
    <row r="646" spans="1:4" x14ac:dyDescent="0.3">
      <c r="A646" s="12"/>
      <c r="B646" s="11"/>
      <c r="C646" s="11"/>
      <c r="D646" s="10"/>
    </row>
    <row r="647" spans="1:4" x14ac:dyDescent="0.3">
      <c r="A647" s="12"/>
      <c r="B647" s="11"/>
      <c r="C647" s="11"/>
      <c r="D647" s="10"/>
    </row>
    <row r="648" spans="1:4" x14ac:dyDescent="0.3">
      <c r="A648" s="12"/>
      <c r="B648" s="11"/>
      <c r="C648" s="11"/>
      <c r="D648" s="10"/>
    </row>
    <row r="649" spans="1:4" x14ac:dyDescent="0.3">
      <c r="A649" s="12"/>
      <c r="B649" s="11"/>
      <c r="C649" s="11"/>
      <c r="D649" s="10"/>
    </row>
    <row r="650" spans="1:4" x14ac:dyDescent="0.3">
      <c r="A650" s="12"/>
      <c r="B650" s="11"/>
      <c r="C650" s="11"/>
      <c r="D650" s="10"/>
    </row>
    <row r="651" spans="1:4" x14ac:dyDescent="0.3">
      <c r="A651" s="12"/>
      <c r="B651" s="11"/>
      <c r="C651" s="11"/>
      <c r="D651" s="10"/>
    </row>
    <row r="652" spans="1:4" x14ac:dyDescent="0.3">
      <c r="A652" s="12"/>
      <c r="B652" s="11"/>
      <c r="C652" s="11"/>
      <c r="D652" s="10"/>
    </row>
    <row r="653" spans="1:4" x14ac:dyDescent="0.3">
      <c r="A653" s="12"/>
      <c r="B653" s="11"/>
      <c r="C653" s="11"/>
      <c r="D653" s="10"/>
    </row>
    <row r="654" spans="1:4" x14ac:dyDescent="0.3">
      <c r="A654" s="12"/>
      <c r="B654" s="11"/>
      <c r="C654" s="11"/>
      <c r="D654" s="10"/>
    </row>
    <row r="655" spans="1:4" x14ac:dyDescent="0.3">
      <c r="A655" s="12"/>
      <c r="B655" s="11"/>
      <c r="C655" s="11"/>
      <c r="D655" s="10"/>
    </row>
    <row r="656" spans="1:4" x14ac:dyDescent="0.3">
      <c r="A656" s="12"/>
      <c r="B656" s="11"/>
      <c r="C656" s="11"/>
      <c r="D656" s="10"/>
    </row>
    <row r="657" spans="1:4" x14ac:dyDescent="0.3">
      <c r="A657" s="12"/>
      <c r="B657" s="11"/>
      <c r="C657" s="11"/>
      <c r="D657" s="10"/>
    </row>
    <row r="658" spans="1:4" x14ac:dyDescent="0.3">
      <c r="A658" s="12"/>
      <c r="B658" s="11"/>
      <c r="C658" s="11"/>
      <c r="D658" s="10"/>
    </row>
    <row r="659" spans="1:4" x14ac:dyDescent="0.3">
      <c r="A659" s="12"/>
      <c r="B659" s="11"/>
      <c r="C659" s="11"/>
      <c r="D659" s="10"/>
    </row>
    <row r="660" spans="1:4" x14ac:dyDescent="0.3">
      <c r="A660" s="12"/>
      <c r="B660" s="11"/>
      <c r="C660" s="11"/>
      <c r="D660" s="10"/>
    </row>
    <row r="661" spans="1:4" x14ac:dyDescent="0.3">
      <c r="A661" s="12"/>
      <c r="B661" s="11"/>
      <c r="C661" s="11"/>
      <c r="D661" s="10"/>
    </row>
    <row r="662" spans="1:4" x14ac:dyDescent="0.3">
      <c r="A662" s="12"/>
      <c r="B662" s="11"/>
      <c r="C662" s="11"/>
      <c r="D662" s="10"/>
    </row>
    <row r="663" spans="1:4" x14ac:dyDescent="0.3">
      <c r="A663" s="12"/>
      <c r="B663" s="11"/>
      <c r="C663" s="11"/>
      <c r="D663" s="10"/>
    </row>
    <row r="664" spans="1:4" x14ac:dyDescent="0.3">
      <c r="A664" s="12"/>
      <c r="B664" s="11"/>
      <c r="C664" s="11"/>
      <c r="D664" s="10"/>
    </row>
    <row r="665" spans="1:4" x14ac:dyDescent="0.3">
      <c r="A665" s="12"/>
      <c r="B665" s="11"/>
      <c r="C665" s="11"/>
      <c r="D665" s="10"/>
    </row>
    <row r="666" spans="1:4" x14ac:dyDescent="0.3">
      <c r="A666" s="12"/>
      <c r="B666" s="11"/>
      <c r="C666" s="11"/>
      <c r="D666" s="10"/>
    </row>
    <row r="667" spans="1:4" x14ac:dyDescent="0.3">
      <c r="A667" s="12"/>
      <c r="B667" s="11"/>
      <c r="C667" s="11"/>
      <c r="D667" s="10"/>
    </row>
    <row r="668" spans="1:4" x14ac:dyDescent="0.3">
      <c r="A668" s="12"/>
      <c r="B668" s="11"/>
      <c r="C668" s="11"/>
      <c r="D668" s="10"/>
    </row>
    <row r="669" spans="1:4" x14ac:dyDescent="0.3">
      <c r="A669" s="12"/>
      <c r="B669" s="11"/>
      <c r="C669" s="11"/>
      <c r="D669" s="10"/>
    </row>
    <row r="670" spans="1:4" x14ac:dyDescent="0.3">
      <c r="A670" s="12"/>
      <c r="B670" s="11"/>
      <c r="C670" s="11"/>
      <c r="D670" s="10"/>
    </row>
    <row r="671" spans="1:4" x14ac:dyDescent="0.3">
      <c r="A671" s="12"/>
      <c r="B671" s="11"/>
      <c r="C671" s="11"/>
      <c r="D671" s="10"/>
    </row>
  </sheetData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71"/>
  <sheetViews>
    <sheetView zoomScaleNormal="100" workbookViewId="0">
      <selection activeCell="C16" sqref="C16"/>
    </sheetView>
  </sheetViews>
  <sheetFormatPr defaultColWidth="9" defaultRowHeight="14" x14ac:dyDescent="0.3"/>
  <cols>
    <col min="1" max="1" width="5.33203125" style="34" bestFit="1" customWidth="1"/>
    <col min="2" max="2" width="9.5" style="34" bestFit="1" customWidth="1"/>
    <col min="3" max="3" width="12.5" style="34" customWidth="1"/>
    <col min="4" max="5" width="9" style="34"/>
    <col min="6" max="7" width="20.75" style="34" customWidth="1"/>
    <col min="8" max="13" width="9" style="34"/>
    <col min="14" max="16384" width="9" style="35"/>
  </cols>
  <sheetData>
    <row r="1" spans="1:9" x14ac:dyDescent="0.3">
      <c r="A1" s="29" t="s">
        <v>29</v>
      </c>
      <c r="B1" s="30" t="s">
        <v>30</v>
      </c>
      <c r="C1" s="31" t="s">
        <v>31</v>
      </c>
      <c r="D1" s="32"/>
      <c r="E1" s="33"/>
      <c r="F1" s="33"/>
      <c r="G1" s="33"/>
      <c r="H1" s="32"/>
      <c r="I1" s="32"/>
    </row>
    <row r="2" spans="1:9" x14ac:dyDescent="0.3">
      <c r="A2" s="36">
        <v>1</v>
      </c>
      <c r="B2" s="37">
        <v>27861.894956517215</v>
      </c>
      <c r="C2" s="38" t="str">
        <f t="shared" ref="C2:C7" ca="1" si="0">IF(A2&lt;=$G$3,"",AVERAGE(OFFSET(B2,-$G$3,0,$G$3,1)))</f>
        <v/>
      </c>
      <c r="D2" s="32"/>
      <c r="E2" s="39"/>
      <c r="F2" s="39"/>
      <c r="G2" s="39"/>
      <c r="H2" s="39"/>
      <c r="I2" s="32"/>
    </row>
    <row r="3" spans="1:9" x14ac:dyDescent="0.3">
      <c r="A3" s="36">
        <v>2</v>
      </c>
      <c r="B3" s="37">
        <v>75485.274986581499</v>
      </c>
      <c r="C3" s="38" t="str">
        <f t="shared" ca="1" si="0"/>
        <v/>
      </c>
      <c r="D3" s="32"/>
      <c r="E3" s="39"/>
      <c r="F3" s="40" t="s">
        <v>32</v>
      </c>
      <c r="G3" s="41">
        <v>3</v>
      </c>
      <c r="H3" s="39"/>
      <c r="I3" s="32"/>
    </row>
    <row r="4" spans="1:9" x14ac:dyDescent="0.3">
      <c r="A4" s="36">
        <v>3</v>
      </c>
      <c r="B4" s="37">
        <v>26381.399988487363</v>
      </c>
      <c r="C4" s="38" t="str">
        <f t="shared" ca="1" si="0"/>
        <v/>
      </c>
      <c r="D4" s="32"/>
      <c r="E4" s="39"/>
      <c r="F4" s="40" t="s">
        <v>4</v>
      </c>
      <c r="G4" s="42">
        <f ca="1">SUMXMY2(B2:B25,C2:C25)/COUNT(C2:C25)</f>
        <v>238785408.76885182</v>
      </c>
      <c r="H4" s="39"/>
      <c r="I4" s="32"/>
    </row>
    <row r="5" spans="1:9" x14ac:dyDescent="0.3">
      <c r="A5" s="36">
        <v>4</v>
      </c>
      <c r="B5" s="37">
        <v>55931.7249145143</v>
      </c>
      <c r="C5" s="38">
        <f t="shared" ca="1" si="0"/>
        <v>43242.856643862026</v>
      </c>
      <c r="D5" s="32"/>
      <c r="E5" s="39"/>
      <c r="F5" s="32"/>
      <c r="G5" s="32"/>
      <c r="H5" s="39"/>
      <c r="I5" s="32"/>
    </row>
    <row r="6" spans="1:9" x14ac:dyDescent="0.3">
      <c r="A6" s="36">
        <v>5</v>
      </c>
      <c r="B6" s="37">
        <v>47184.044943096116</v>
      </c>
      <c r="C6" s="38">
        <f t="shared" ca="1" si="0"/>
        <v>52599.466629861061</v>
      </c>
      <c r="D6" s="32"/>
      <c r="E6" s="39"/>
      <c r="F6" s="40" t="s">
        <v>33</v>
      </c>
      <c r="G6" s="42">
        <f>MIN(G13:G19)</f>
        <v>238785408.76885182</v>
      </c>
      <c r="H6" s="39"/>
      <c r="I6" s="32"/>
    </row>
    <row r="7" spans="1:9" x14ac:dyDescent="0.3">
      <c r="A7" s="36">
        <v>6</v>
      </c>
      <c r="B7" s="37">
        <v>35239.629965431901</v>
      </c>
      <c r="C7" s="38">
        <f t="shared" ca="1" si="0"/>
        <v>43165.723282032595</v>
      </c>
      <c r="D7" s="32"/>
      <c r="E7" s="39"/>
      <c r="F7" s="40" t="s">
        <v>34</v>
      </c>
      <c r="G7" s="42">
        <f>INDEX(F13:F19,MATCH(G6,G13:G19,0))</f>
        <v>3</v>
      </c>
      <c r="H7" s="39"/>
      <c r="I7" s="32"/>
    </row>
    <row r="8" spans="1:9" x14ac:dyDescent="0.3">
      <c r="A8" s="36">
        <v>7</v>
      </c>
      <c r="B8" s="37">
        <v>52540.244943848258</v>
      </c>
      <c r="C8" s="38">
        <f ca="1">IF(A8&lt;=$G$3,"",AVERAGE(OFFSET(B8,-$G$3,0,$G$3,1)))</f>
        <v>46118.466607680777</v>
      </c>
      <c r="D8" s="32"/>
      <c r="E8" s="39"/>
      <c r="F8" s="40" t="s">
        <v>35</v>
      </c>
      <c r="G8" s="51">
        <f ca="1">C26</f>
        <v>53131.781597263034</v>
      </c>
      <c r="H8" s="39"/>
      <c r="I8" s="32"/>
    </row>
    <row r="9" spans="1:9" x14ac:dyDescent="0.3">
      <c r="A9" s="36">
        <v>8</v>
      </c>
      <c r="B9" s="37">
        <v>47201.459929579491</v>
      </c>
      <c r="C9" s="38">
        <f t="shared" ref="C9:C26" ca="1" si="1">IF(A9&lt;=$G$3,"",AVERAGE(OFFSET(B9,-$G$3,0,$G$3,1)))</f>
        <v>44987.973284125423</v>
      </c>
      <c r="D9" s="32"/>
      <c r="E9" s="39"/>
      <c r="F9" s="32"/>
      <c r="G9" s="32"/>
      <c r="H9" s="32"/>
      <c r="I9" s="32"/>
    </row>
    <row r="10" spans="1:9" x14ac:dyDescent="0.3">
      <c r="A10" s="36">
        <v>9</v>
      </c>
      <c r="B10" s="37">
        <v>35124.514971709257</v>
      </c>
      <c r="C10" s="38">
        <f t="shared" ca="1" si="1"/>
        <v>44993.778279619881</v>
      </c>
      <c r="D10" s="32"/>
      <c r="H10" s="32"/>
      <c r="I10" s="32"/>
    </row>
    <row r="11" spans="1:9" x14ac:dyDescent="0.3">
      <c r="A11" s="36">
        <v>10</v>
      </c>
      <c r="B11" s="37">
        <v>56455.657425116151</v>
      </c>
      <c r="C11" s="38">
        <f t="shared" ca="1" si="1"/>
        <v>44955.406615045671</v>
      </c>
      <c r="D11" s="32"/>
      <c r="H11" s="39"/>
      <c r="I11" s="32"/>
    </row>
    <row r="12" spans="1:9" x14ac:dyDescent="0.3">
      <c r="A12" s="36">
        <v>11</v>
      </c>
      <c r="B12" s="37">
        <v>53781.28992798589</v>
      </c>
      <c r="C12" s="38">
        <f t="shared" ca="1" si="1"/>
        <v>46260.544108801638</v>
      </c>
      <c r="D12" s="32"/>
      <c r="G12" s="34">
        <f ca="1">G4</f>
        <v>238785408.76885182</v>
      </c>
      <c r="H12" s="39"/>
      <c r="I12" s="32"/>
    </row>
    <row r="13" spans="1:9" x14ac:dyDescent="0.3">
      <c r="A13" s="36">
        <v>12</v>
      </c>
      <c r="B13" s="37">
        <v>36362.802448423208</v>
      </c>
      <c r="C13" s="38">
        <f t="shared" ca="1" si="1"/>
        <v>48453.820774937099</v>
      </c>
      <c r="D13" s="32"/>
      <c r="F13" s="34">
        <v>2</v>
      </c>
      <c r="G13" s="34">
        <f t="dataTable" ref="G13:G19" dt2D="0" dtr="0" r1="G3" ca="1"/>
        <v>371117681.18247271</v>
      </c>
      <c r="H13" s="39"/>
      <c r="I13" s="32"/>
    </row>
    <row r="14" spans="1:9" x14ac:dyDescent="0.3">
      <c r="A14" s="36">
        <v>13</v>
      </c>
      <c r="B14" s="37">
        <v>51020.857452724988</v>
      </c>
      <c r="C14" s="38">
        <f t="shared" ca="1" si="1"/>
        <v>48866.583267175076</v>
      </c>
      <c r="D14" s="32"/>
      <c r="F14" s="34">
        <v>3</v>
      </c>
      <c r="G14" s="34">
        <v>238785408.76885182</v>
      </c>
      <c r="H14" s="39"/>
      <c r="I14" s="32"/>
    </row>
    <row r="15" spans="1:9" x14ac:dyDescent="0.3">
      <c r="A15" s="36">
        <v>14</v>
      </c>
      <c r="B15" s="37">
        <v>27287.669948245901</v>
      </c>
      <c r="C15" s="38">
        <f t="shared" ca="1" si="1"/>
        <v>47054.983276378036</v>
      </c>
      <c r="D15" s="32"/>
      <c r="F15" s="34">
        <v>4</v>
      </c>
      <c r="G15" s="34">
        <v>257079924.97171736</v>
      </c>
      <c r="H15" s="39"/>
      <c r="I15" s="32"/>
    </row>
    <row r="16" spans="1:9" x14ac:dyDescent="0.3">
      <c r="A16" s="36">
        <v>15</v>
      </c>
      <c r="B16" s="37">
        <v>55629.242456566535</v>
      </c>
      <c r="C16" s="38">
        <f t="shared" ca="1" si="1"/>
        <v>38223.776616464696</v>
      </c>
      <c r="D16" s="32"/>
      <c r="F16" s="34">
        <v>5</v>
      </c>
      <c r="G16" s="34">
        <v>286590690.40645677</v>
      </c>
      <c r="H16" s="39"/>
      <c r="I16" s="32"/>
    </row>
    <row r="17" spans="1:9" x14ac:dyDescent="0.3">
      <c r="A17" s="36">
        <v>16</v>
      </c>
      <c r="B17" s="37">
        <v>66461.425951800222</v>
      </c>
      <c r="C17" s="38">
        <f t="shared" ca="1" si="1"/>
        <v>44645.923285845813</v>
      </c>
      <c r="D17" s="32"/>
      <c r="F17" s="34">
        <v>6</v>
      </c>
      <c r="G17" s="34">
        <v>280623824.18435693</v>
      </c>
      <c r="H17" s="39"/>
      <c r="I17" s="32"/>
    </row>
    <row r="18" spans="1:9" x14ac:dyDescent="0.3">
      <c r="A18" s="36">
        <v>17</v>
      </c>
      <c r="B18" s="37">
        <v>43821.608967249282</v>
      </c>
      <c r="C18" s="38">
        <f t="shared" ca="1" si="1"/>
        <v>49792.779452204217</v>
      </c>
      <c r="D18" s="32"/>
      <c r="F18" s="34">
        <v>7</v>
      </c>
      <c r="G18" s="34">
        <v>294038011.47524977</v>
      </c>
      <c r="H18" s="39"/>
      <c r="I18" s="32"/>
    </row>
    <row r="19" spans="1:9" x14ac:dyDescent="0.3">
      <c r="A19" s="36">
        <v>18</v>
      </c>
      <c r="B19" s="37">
        <v>71398.428446732913</v>
      </c>
      <c r="C19" s="38">
        <f t="shared" ca="1" si="1"/>
        <v>55304.092458538682</v>
      </c>
      <c r="D19" s="32"/>
      <c r="F19" s="34">
        <v>8</v>
      </c>
      <c r="G19" s="34">
        <v>298274390.34325022</v>
      </c>
      <c r="H19" s="39"/>
      <c r="I19" s="32"/>
    </row>
    <row r="20" spans="1:9" x14ac:dyDescent="0.3">
      <c r="A20" s="36">
        <v>19</v>
      </c>
      <c r="B20" s="37">
        <v>90120.910382874907</v>
      </c>
      <c r="C20" s="38">
        <f t="shared" ca="1" si="1"/>
        <v>60560.487788594131</v>
      </c>
      <c r="D20" s="32"/>
      <c r="E20" s="39"/>
      <c r="F20" s="32"/>
      <c r="G20" s="32"/>
      <c r="H20" s="32"/>
      <c r="I20" s="32"/>
    </row>
    <row r="21" spans="1:9" x14ac:dyDescent="0.3">
      <c r="A21" s="36">
        <v>20</v>
      </c>
      <c r="B21" s="37">
        <v>53519.687455869003</v>
      </c>
      <c r="C21" s="38">
        <f t="shared" ca="1" si="1"/>
        <v>68446.982598952367</v>
      </c>
      <c r="D21" s="32"/>
      <c r="E21" s="32"/>
      <c r="F21" s="32"/>
      <c r="G21" s="32"/>
      <c r="H21" s="32"/>
      <c r="I21" s="32"/>
    </row>
    <row r="22" spans="1:9" x14ac:dyDescent="0.3">
      <c r="A22" s="36">
        <v>21</v>
      </c>
      <c r="B22" s="37">
        <v>34854.154937672</v>
      </c>
      <c r="C22" s="38">
        <f t="shared" ca="1" si="1"/>
        <v>71679.675428492264</v>
      </c>
      <c r="D22" s="32"/>
      <c r="E22" s="32"/>
      <c r="F22" s="32"/>
      <c r="G22" s="32"/>
      <c r="H22" s="32"/>
      <c r="I22" s="32"/>
    </row>
    <row r="23" spans="1:9" x14ac:dyDescent="0.3">
      <c r="A23" s="36">
        <v>22</v>
      </c>
      <c r="B23" s="37">
        <v>69247.252415380004</v>
      </c>
      <c r="C23" s="38">
        <f t="shared" ca="1" si="1"/>
        <v>59498.25092547197</v>
      </c>
      <c r="D23" s="32"/>
      <c r="E23" s="32"/>
      <c r="F23" s="32"/>
      <c r="G23" s="32"/>
      <c r="H23" s="32"/>
      <c r="I23" s="32"/>
    </row>
    <row r="24" spans="1:9" x14ac:dyDescent="0.3">
      <c r="A24" s="43">
        <v>23</v>
      </c>
      <c r="B24" s="37">
        <v>53783.28992798589</v>
      </c>
      <c r="C24" s="38">
        <f t="shared" ca="1" si="1"/>
        <v>52540.364936307007</v>
      </c>
      <c r="D24" s="32"/>
      <c r="E24" s="32"/>
      <c r="F24" s="32"/>
      <c r="G24" s="32"/>
      <c r="H24" s="32"/>
      <c r="I24" s="32"/>
    </row>
    <row r="25" spans="1:9" x14ac:dyDescent="0.3">
      <c r="A25" s="36">
        <v>24</v>
      </c>
      <c r="B25" s="37">
        <v>36364.802448423208</v>
      </c>
      <c r="C25" s="38">
        <f t="shared" ca="1" si="1"/>
        <v>52628.232427012634</v>
      </c>
    </row>
    <row r="26" spans="1:9" x14ac:dyDescent="0.3">
      <c r="A26" s="36">
        <v>25</v>
      </c>
      <c r="B26" s="35"/>
      <c r="C26" s="38">
        <f t="shared" ca="1" si="1"/>
        <v>53131.781597263034</v>
      </c>
    </row>
    <row r="27" spans="1:9" x14ac:dyDescent="0.3">
      <c r="A27" s="44"/>
      <c r="B27" s="35"/>
      <c r="C27" s="35"/>
    </row>
    <row r="28" spans="1:9" x14ac:dyDescent="0.3">
      <c r="A28" s="44"/>
      <c r="B28" s="35"/>
      <c r="C28" s="35"/>
    </row>
    <row r="29" spans="1:9" x14ac:dyDescent="0.3">
      <c r="A29" s="44"/>
      <c r="B29" s="35"/>
      <c r="C29" s="35"/>
    </row>
    <row r="30" spans="1:9" x14ac:dyDescent="0.3">
      <c r="A30" s="44"/>
      <c r="B30" s="35"/>
      <c r="C30" s="35"/>
    </row>
    <row r="31" spans="1:9" x14ac:dyDescent="0.3">
      <c r="A31" s="44"/>
      <c r="B31" s="35"/>
      <c r="C31" s="35"/>
    </row>
    <row r="32" spans="1:9" x14ac:dyDescent="0.3">
      <c r="A32" s="44"/>
      <c r="B32" s="35"/>
      <c r="C32" s="35"/>
    </row>
    <row r="33" spans="1:3" x14ac:dyDescent="0.3">
      <c r="A33" s="44"/>
      <c r="B33" s="35"/>
      <c r="C33" s="35"/>
    </row>
    <row r="34" spans="1:3" x14ac:dyDescent="0.3">
      <c r="A34" s="44"/>
      <c r="B34" s="35"/>
      <c r="C34" s="35"/>
    </row>
    <row r="35" spans="1:3" x14ac:dyDescent="0.3">
      <c r="A35" s="44"/>
      <c r="B35" s="35"/>
      <c r="C35" s="35"/>
    </row>
    <row r="36" spans="1:3" x14ac:dyDescent="0.3">
      <c r="A36" s="44"/>
      <c r="B36" s="35"/>
      <c r="C36" s="35"/>
    </row>
    <row r="37" spans="1:3" x14ac:dyDescent="0.3">
      <c r="A37" s="44"/>
      <c r="B37" s="35"/>
      <c r="C37" s="35"/>
    </row>
    <row r="38" spans="1:3" x14ac:dyDescent="0.3">
      <c r="A38" s="44"/>
      <c r="B38" s="35"/>
      <c r="C38" s="35"/>
    </row>
    <row r="39" spans="1:3" x14ac:dyDescent="0.3">
      <c r="A39" s="44"/>
      <c r="B39" s="35"/>
      <c r="C39" s="35"/>
    </row>
    <row r="40" spans="1:3" x14ac:dyDescent="0.3">
      <c r="A40" s="44"/>
      <c r="B40" s="35"/>
      <c r="C40" s="35"/>
    </row>
    <row r="41" spans="1:3" x14ac:dyDescent="0.3">
      <c r="A41" s="44"/>
      <c r="B41" s="35"/>
      <c r="C41" s="35"/>
    </row>
    <row r="42" spans="1:3" x14ac:dyDescent="0.3">
      <c r="A42" s="44"/>
      <c r="B42" s="35"/>
      <c r="C42" s="35"/>
    </row>
    <row r="43" spans="1:3" x14ac:dyDescent="0.3">
      <c r="A43" s="44"/>
      <c r="B43" s="35"/>
      <c r="C43" s="35"/>
    </row>
    <row r="44" spans="1:3" x14ac:dyDescent="0.3">
      <c r="A44" s="44"/>
      <c r="B44" s="35"/>
      <c r="C44" s="35"/>
    </row>
    <row r="45" spans="1:3" x14ac:dyDescent="0.3">
      <c r="A45" s="44"/>
      <c r="B45" s="35"/>
      <c r="C45" s="35"/>
    </row>
    <row r="46" spans="1:3" x14ac:dyDescent="0.3">
      <c r="A46" s="44"/>
      <c r="B46" s="35"/>
      <c r="C46" s="35"/>
    </row>
    <row r="47" spans="1:3" x14ac:dyDescent="0.3">
      <c r="A47" s="44"/>
      <c r="B47" s="35"/>
      <c r="C47" s="35"/>
    </row>
    <row r="48" spans="1:3" x14ac:dyDescent="0.3">
      <c r="A48" s="44"/>
      <c r="B48" s="35"/>
      <c r="C48" s="35"/>
    </row>
    <row r="49" spans="1:3" x14ac:dyDescent="0.3">
      <c r="A49" s="44"/>
      <c r="B49" s="35"/>
      <c r="C49" s="35"/>
    </row>
    <row r="50" spans="1:3" x14ac:dyDescent="0.3">
      <c r="A50" s="44"/>
      <c r="B50" s="35"/>
      <c r="C50" s="35"/>
    </row>
    <row r="51" spans="1:3" x14ac:dyDescent="0.3">
      <c r="A51" s="44"/>
      <c r="B51" s="35"/>
      <c r="C51" s="35"/>
    </row>
    <row r="52" spans="1:3" x14ac:dyDescent="0.3">
      <c r="A52" s="44"/>
      <c r="B52" s="35"/>
      <c r="C52" s="35"/>
    </row>
    <row r="53" spans="1:3" x14ac:dyDescent="0.3">
      <c r="A53" s="44"/>
      <c r="B53" s="35"/>
      <c r="C53" s="35"/>
    </row>
    <row r="54" spans="1:3" x14ac:dyDescent="0.3">
      <c r="A54" s="44"/>
      <c r="B54" s="35"/>
      <c r="C54" s="35"/>
    </row>
    <row r="55" spans="1:3" x14ac:dyDescent="0.3">
      <c r="A55" s="44"/>
      <c r="B55" s="35"/>
      <c r="C55" s="35"/>
    </row>
    <row r="56" spans="1:3" x14ac:dyDescent="0.3">
      <c r="A56" s="44"/>
      <c r="B56" s="35"/>
      <c r="C56" s="35"/>
    </row>
    <row r="57" spans="1:3" x14ac:dyDescent="0.3">
      <c r="A57" s="44"/>
      <c r="B57" s="35"/>
      <c r="C57" s="35"/>
    </row>
    <row r="58" spans="1:3" x14ac:dyDescent="0.3">
      <c r="A58" s="44"/>
      <c r="B58" s="35"/>
      <c r="C58" s="35"/>
    </row>
    <row r="59" spans="1:3" x14ac:dyDescent="0.3">
      <c r="A59" s="44"/>
      <c r="B59" s="35"/>
      <c r="C59" s="35"/>
    </row>
    <row r="60" spans="1:3" x14ac:dyDescent="0.3">
      <c r="A60" s="44"/>
      <c r="B60" s="35"/>
      <c r="C60" s="35"/>
    </row>
    <row r="61" spans="1:3" x14ac:dyDescent="0.3">
      <c r="A61" s="44"/>
      <c r="B61" s="35"/>
      <c r="C61" s="35"/>
    </row>
    <row r="62" spans="1:3" x14ac:dyDescent="0.3">
      <c r="A62" s="44"/>
      <c r="B62" s="35"/>
      <c r="C62" s="35"/>
    </row>
    <row r="63" spans="1:3" x14ac:dyDescent="0.3">
      <c r="A63" s="44"/>
      <c r="B63" s="35"/>
      <c r="C63" s="35"/>
    </row>
    <row r="64" spans="1:3" x14ac:dyDescent="0.3">
      <c r="A64" s="44"/>
      <c r="B64" s="35"/>
      <c r="C64" s="35"/>
    </row>
    <row r="65" spans="1:3" x14ac:dyDescent="0.3">
      <c r="A65" s="44"/>
      <c r="B65" s="35"/>
      <c r="C65" s="35"/>
    </row>
    <row r="66" spans="1:3" x14ac:dyDescent="0.3">
      <c r="A66" s="44"/>
      <c r="B66" s="35"/>
      <c r="C66" s="35"/>
    </row>
    <row r="67" spans="1:3" x14ac:dyDescent="0.3">
      <c r="A67" s="44"/>
      <c r="B67" s="35"/>
      <c r="C67" s="35"/>
    </row>
    <row r="68" spans="1:3" x14ac:dyDescent="0.3">
      <c r="A68" s="44"/>
      <c r="B68" s="35"/>
      <c r="C68" s="35"/>
    </row>
    <row r="69" spans="1:3" x14ac:dyDescent="0.3">
      <c r="A69" s="44"/>
      <c r="B69" s="35"/>
      <c r="C69" s="35"/>
    </row>
    <row r="70" spans="1:3" x14ac:dyDescent="0.3">
      <c r="A70" s="44"/>
      <c r="B70" s="35"/>
      <c r="C70" s="35"/>
    </row>
    <row r="71" spans="1:3" x14ac:dyDescent="0.3">
      <c r="A71" s="44"/>
      <c r="B71" s="35"/>
      <c r="C71" s="35"/>
    </row>
    <row r="72" spans="1:3" x14ac:dyDescent="0.3">
      <c r="A72" s="44"/>
      <c r="B72" s="35"/>
      <c r="C72" s="35"/>
    </row>
    <row r="73" spans="1:3" x14ac:dyDescent="0.3">
      <c r="A73" s="44"/>
      <c r="B73" s="35"/>
      <c r="C73" s="35"/>
    </row>
    <row r="74" spans="1:3" x14ac:dyDescent="0.3">
      <c r="A74" s="44"/>
      <c r="B74" s="35"/>
      <c r="C74" s="35"/>
    </row>
    <row r="75" spans="1:3" x14ac:dyDescent="0.3">
      <c r="A75" s="44"/>
      <c r="B75" s="35"/>
      <c r="C75" s="35"/>
    </row>
    <row r="76" spans="1:3" x14ac:dyDescent="0.3">
      <c r="A76" s="44"/>
      <c r="B76" s="35"/>
      <c r="C76" s="35"/>
    </row>
    <row r="77" spans="1:3" x14ac:dyDescent="0.3">
      <c r="A77" s="44"/>
      <c r="B77" s="35"/>
      <c r="C77" s="35"/>
    </row>
    <row r="78" spans="1:3" x14ac:dyDescent="0.3">
      <c r="A78" s="44"/>
      <c r="B78" s="35"/>
      <c r="C78" s="35"/>
    </row>
    <row r="79" spans="1:3" x14ac:dyDescent="0.3">
      <c r="A79" s="44"/>
      <c r="B79" s="35"/>
      <c r="C79" s="35"/>
    </row>
    <row r="80" spans="1:3" x14ac:dyDescent="0.3">
      <c r="A80" s="44"/>
      <c r="B80" s="35"/>
      <c r="C80" s="35"/>
    </row>
    <row r="81" spans="1:3" x14ac:dyDescent="0.3">
      <c r="A81" s="44"/>
      <c r="B81" s="35"/>
      <c r="C81" s="35"/>
    </row>
    <row r="82" spans="1:3" x14ac:dyDescent="0.3">
      <c r="A82" s="44"/>
      <c r="B82" s="35"/>
      <c r="C82" s="35"/>
    </row>
    <row r="83" spans="1:3" x14ac:dyDescent="0.3">
      <c r="A83" s="44"/>
      <c r="B83" s="35"/>
      <c r="C83" s="35"/>
    </row>
    <row r="84" spans="1:3" x14ac:dyDescent="0.3">
      <c r="A84" s="44"/>
      <c r="B84" s="35"/>
      <c r="C84" s="35"/>
    </row>
    <row r="85" spans="1:3" x14ac:dyDescent="0.3">
      <c r="A85" s="44"/>
      <c r="B85" s="35"/>
      <c r="C85" s="35"/>
    </row>
    <row r="86" spans="1:3" x14ac:dyDescent="0.3">
      <c r="A86" s="44"/>
      <c r="B86" s="35"/>
      <c r="C86" s="35"/>
    </row>
    <row r="87" spans="1:3" x14ac:dyDescent="0.3">
      <c r="A87" s="44"/>
      <c r="B87" s="35"/>
      <c r="C87" s="35"/>
    </row>
    <row r="88" spans="1:3" x14ac:dyDescent="0.3">
      <c r="A88" s="44"/>
      <c r="B88" s="35"/>
      <c r="C88" s="35"/>
    </row>
    <row r="89" spans="1:3" x14ac:dyDescent="0.3">
      <c r="A89" s="44"/>
      <c r="B89" s="35"/>
      <c r="C89" s="35"/>
    </row>
    <row r="90" spans="1:3" x14ac:dyDescent="0.3">
      <c r="A90" s="44"/>
      <c r="B90" s="35"/>
      <c r="C90" s="35"/>
    </row>
    <row r="91" spans="1:3" x14ac:dyDescent="0.3">
      <c r="A91" s="44"/>
      <c r="B91" s="35"/>
      <c r="C91" s="35"/>
    </row>
    <row r="92" spans="1:3" x14ac:dyDescent="0.3">
      <c r="A92" s="44"/>
      <c r="B92" s="35"/>
      <c r="C92" s="35"/>
    </row>
    <row r="93" spans="1:3" x14ac:dyDescent="0.3">
      <c r="A93" s="44"/>
      <c r="B93" s="35"/>
      <c r="C93" s="35"/>
    </row>
    <row r="94" spans="1:3" x14ac:dyDescent="0.3">
      <c r="A94" s="44"/>
      <c r="B94" s="35"/>
      <c r="C94" s="35"/>
    </row>
    <row r="95" spans="1:3" x14ac:dyDescent="0.3">
      <c r="A95" s="44"/>
      <c r="B95" s="35"/>
      <c r="C95" s="35"/>
    </row>
    <row r="96" spans="1:3" x14ac:dyDescent="0.3">
      <c r="A96" s="44"/>
      <c r="B96" s="35"/>
      <c r="C96" s="35"/>
    </row>
    <row r="97" spans="1:3" x14ac:dyDescent="0.3">
      <c r="A97" s="44"/>
      <c r="B97" s="35"/>
      <c r="C97" s="35"/>
    </row>
    <row r="98" spans="1:3" x14ac:dyDescent="0.3">
      <c r="A98" s="44"/>
      <c r="B98" s="35"/>
      <c r="C98" s="35"/>
    </row>
    <row r="99" spans="1:3" x14ac:dyDescent="0.3">
      <c r="A99" s="44"/>
      <c r="B99" s="35"/>
      <c r="C99" s="35"/>
    </row>
    <row r="100" spans="1:3" x14ac:dyDescent="0.3">
      <c r="A100" s="44"/>
      <c r="B100" s="35"/>
      <c r="C100" s="35"/>
    </row>
    <row r="101" spans="1:3" x14ac:dyDescent="0.3">
      <c r="A101" s="44"/>
      <c r="B101" s="35"/>
      <c r="C101" s="35"/>
    </row>
    <row r="102" spans="1:3" x14ac:dyDescent="0.3">
      <c r="A102" s="44"/>
      <c r="B102" s="35"/>
      <c r="C102" s="35"/>
    </row>
    <row r="103" spans="1:3" x14ac:dyDescent="0.3">
      <c r="A103" s="44"/>
      <c r="B103" s="35"/>
      <c r="C103" s="35"/>
    </row>
    <row r="104" spans="1:3" x14ac:dyDescent="0.3">
      <c r="A104" s="44"/>
      <c r="B104" s="35"/>
      <c r="C104" s="35"/>
    </row>
    <row r="105" spans="1:3" x14ac:dyDescent="0.3">
      <c r="A105" s="44"/>
      <c r="B105" s="35"/>
      <c r="C105" s="35"/>
    </row>
    <row r="106" spans="1:3" x14ac:dyDescent="0.3">
      <c r="A106" s="44"/>
      <c r="B106" s="35"/>
      <c r="C106" s="35"/>
    </row>
    <row r="107" spans="1:3" x14ac:dyDescent="0.3">
      <c r="A107" s="44"/>
      <c r="B107" s="35"/>
      <c r="C107" s="35"/>
    </row>
    <row r="108" spans="1:3" x14ac:dyDescent="0.3">
      <c r="A108" s="44"/>
      <c r="B108" s="35"/>
      <c r="C108" s="35"/>
    </row>
    <row r="109" spans="1:3" x14ac:dyDescent="0.3">
      <c r="A109" s="44"/>
      <c r="B109" s="35"/>
      <c r="C109" s="35"/>
    </row>
    <row r="110" spans="1:3" x14ac:dyDescent="0.3">
      <c r="A110" s="44"/>
      <c r="B110" s="35"/>
      <c r="C110" s="35"/>
    </row>
    <row r="111" spans="1:3" x14ac:dyDescent="0.3">
      <c r="A111" s="44"/>
      <c r="B111" s="35"/>
      <c r="C111" s="35"/>
    </row>
    <row r="112" spans="1:3" x14ac:dyDescent="0.3">
      <c r="A112" s="44"/>
      <c r="B112" s="35"/>
      <c r="C112" s="35"/>
    </row>
    <row r="113" spans="1:3" x14ac:dyDescent="0.3">
      <c r="A113" s="44"/>
      <c r="B113" s="35"/>
      <c r="C113" s="35"/>
    </row>
    <row r="114" spans="1:3" x14ac:dyDescent="0.3">
      <c r="A114" s="44"/>
      <c r="B114" s="35"/>
      <c r="C114" s="35"/>
    </row>
    <row r="115" spans="1:3" x14ac:dyDescent="0.3">
      <c r="A115" s="44"/>
      <c r="B115" s="35"/>
      <c r="C115" s="35"/>
    </row>
    <row r="116" spans="1:3" x14ac:dyDescent="0.3">
      <c r="A116" s="44"/>
      <c r="B116" s="35"/>
      <c r="C116" s="35"/>
    </row>
    <row r="117" spans="1:3" x14ac:dyDescent="0.3">
      <c r="A117" s="44"/>
      <c r="B117" s="35"/>
      <c r="C117" s="35"/>
    </row>
    <row r="118" spans="1:3" x14ac:dyDescent="0.3">
      <c r="A118" s="44"/>
      <c r="B118" s="35"/>
      <c r="C118" s="35"/>
    </row>
    <row r="119" spans="1:3" x14ac:dyDescent="0.3">
      <c r="A119" s="44"/>
      <c r="B119" s="35"/>
      <c r="C119" s="35"/>
    </row>
    <row r="120" spans="1:3" x14ac:dyDescent="0.3">
      <c r="A120" s="44"/>
      <c r="B120" s="35"/>
      <c r="C120" s="35"/>
    </row>
    <row r="121" spans="1:3" x14ac:dyDescent="0.3">
      <c r="A121" s="44"/>
      <c r="B121" s="35"/>
      <c r="C121" s="35"/>
    </row>
    <row r="122" spans="1:3" x14ac:dyDescent="0.3">
      <c r="A122" s="44"/>
      <c r="B122" s="35"/>
      <c r="C122" s="35"/>
    </row>
    <row r="123" spans="1:3" x14ac:dyDescent="0.3">
      <c r="A123" s="44"/>
      <c r="B123" s="35"/>
      <c r="C123" s="35"/>
    </row>
    <row r="124" spans="1:3" x14ac:dyDescent="0.3">
      <c r="A124" s="44"/>
      <c r="B124" s="35"/>
      <c r="C124" s="35"/>
    </row>
    <row r="125" spans="1:3" x14ac:dyDescent="0.3">
      <c r="A125" s="44"/>
      <c r="B125" s="35"/>
      <c r="C125" s="35"/>
    </row>
    <row r="126" spans="1:3" x14ac:dyDescent="0.3">
      <c r="A126" s="44"/>
      <c r="B126" s="35"/>
      <c r="C126" s="35"/>
    </row>
    <row r="127" spans="1:3" x14ac:dyDescent="0.3">
      <c r="A127" s="44"/>
      <c r="B127" s="35"/>
      <c r="C127" s="35"/>
    </row>
    <row r="128" spans="1:3" x14ac:dyDescent="0.3">
      <c r="A128" s="44"/>
      <c r="B128" s="35"/>
      <c r="C128" s="35"/>
    </row>
    <row r="129" spans="1:3" x14ac:dyDescent="0.3">
      <c r="A129" s="44"/>
      <c r="B129" s="35"/>
      <c r="C129" s="35"/>
    </row>
    <row r="130" spans="1:3" x14ac:dyDescent="0.3">
      <c r="A130" s="44"/>
      <c r="B130" s="35"/>
      <c r="C130" s="35"/>
    </row>
    <row r="131" spans="1:3" x14ac:dyDescent="0.3">
      <c r="A131" s="44"/>
      <c r="B131" s="35"/>
      <c r="C131" s="35"/>
    </row>
    <row r="132" spans="1:3" x14ac:dyDescent="0.3">
      <c r="A132" s="44"/>
      <c r="B132" s="35"/>
      <c r="C132" s="35"/>
    </row>
    <row r="133" spans="1:3" x14ac:dyDescent="0.3">
      <c r="A133" s="44"/>
      <c r="B133" s="35"/>
      <c r="C133" s="35"/>
    </row>
    <row r="134" spans="1:3" x14ac:dyDescent="0.3">
      <c r="A134" s="44"/>
      <c r="B134" s="35"/>
      <c r="C134" s="35"/>
    </row>
    <row r="135" spans="1:3" x14ac:dyDescent="0.3">
      <c r="A135" s="44"/>
      <c r="B135" s="35"/>
      <c r="C135" s="35"/>
    </row>
    <row r="136" spans="1:3" x14ac:dyDescent="0.3">
      <c r="A136" s="44"/>
      <c r="B136" s="35"/>
      <c r="C136" s="35"/>
    </row>
    <row r="137" spans="1:3" x14ac:dyDescent="0.3">
      <c r="A137" s="44"/>
      <c r="B137" s="35"/>
      <c r="C137" s="35"/>
    </row>
    <row r="138" spans="1:3" x14ac:dyDescent="0.3">
      <c r="A138" s="44"/>
      <c r="B138" s="35"/>
      <c r="C138" s="35"/>
    </row>
    <row r="139" spans="1:3" x14ac:dyDescent="0.3">
      <c r="A139" s="44"/>
      <c r="B139" s="35"/>
      <c r="C139" s="35"/>
    </row>
    <row r="140" spans="1:3" x14ac:dyDescent="0.3">
      <c r="A140" s="44"/>
      <c r="B140" s="35"/>
      <c r="C140" s="35"/>
    </row>
    <row r="141" spans="1:3" x14ac:dyDescent="0.3">
      <c r="A141" s="44"/>
      <c r="B141" s="35"/>
      <c r="C141" s="35"/>
    </row>
    <row r="142" spans="1:3" x14ac:dyDescent="0.3">
      <c r="A142" s="44"/>
      <c r="B142" s="35"/>
      <c r="C142" s="35"/>
    </row>
    <row r="143" spans="1:3" x14ac:dyDescent="0.3">
      <c r="A143" s="44"/>
      <c r="B143" s="35"/>
      <c r="C143" s="35"/>
    </row>
    <row r="144" spans="1:3" x14ac:dyDescent="0.3">
      <c r="A144" s="44"/>
      <c r="B144" s="35"/>
      <c r="C144" s="35"/>
    </row>
    <row r="145" spans="1:3" x14ac:dyDescent="0.3">
      <c r="A145" s="44"/>
      <c r="B145" s="35"/>
      <c r="C145" s="35"/>
    </row>
    <row r="146" spans="1:3" x14ac:dyDescent="0.3">
      <c r="A146" s="44"/>
      <c r="B146" s="35"/>
      <c r="C146" s="35"/>
    </row>
    <row r="147" spans="1:3" x14ac:dyDescent="0.3">
      <c r="A147" s="44"/>
      <c r="B147" s="35"/>
      <c r="C147" s="35"/>
    </row>
    <row r="148" spans="1:3" x14ac:dyDescent="0.3">
      <c r="A148" s="44"/>
      <c r="B148" s="35"/>
      <c r="C148" s="35"/>
    </row>
    <row r="149" spans="1:3" x14ac:dyDescent="0.3">
      <c r="A149" s="44"/>
      <c r="B149" s="35"/>
      <c r="C149" s="35"/>
    </row>
    <row r="150" spans="1:3" x14ac:dyDescent="0.3">
      <c r="A150" s="44"/>
      <c r="B150" s="35"/>
      <c r="C150" s="35"/>
    </row>
    <row r="151" spans="1:3" x14ac:dyDescent="0.3">
      <c r="A151" s="44"/>
      <c r="B151" s="35"/>
      <c r="C151" s="35"/>
    </row>
    <row r="152" spans="1:3" x14ac:dyDescent="0.3">
      <c r="A152" s="44"/>
      <c r="B152" s="35"/>
      <c r="C152" s="35"/>
    </row>
    <row r="153" spans="1:3" x14ac:dyDescent="0.3">
      <c r="A153" s="44"/>
      <c r="B153" s="35"/>
      <c r="C153" s="35"/>
    </row>
    <row r="154" spans="1:3" x14ac:dyDescent="0.3">
      <c r="A154" s="44"/>
      <c r="B154" s="35"/>
      <c r="C154" s="35"/>
    </row>
    <row r="155" spans="1:3" x14ac:dyDescent="0.3">
      <c r="A155" s="44"/>
      <c r="B155" s="35"/>
      <c r="C155" s="35"/>
    </row>
    <row r="156" spans="1:3" x14ac:dyDescent="0.3">
      <c r="A156" s="44"/>
      <c r="B156" s="35"/>
      <c r="C156" s="35"/>
    </row>
    <row r="157" spans="1:3" x14ac:dyDescent="0.3">
      <c r="A157" s="44"/>
      <c r="B157" s="35"/>
      <c r="C157" s="35"/>
    </row>
    <row r="158" spans="1:3" x14ac:dyDescent="0.3">
      <c r="A158" s="44"/>
      <c r="B158" s="35"/>
      <c r="C158" s="35"/>
    </row>
    <row r="159" spans="1:3" x14ac:dyDescent="0.3">
      <c r="A159" s="44"/>
      <c r="B159" s="35"/>
      <c r="C159" s="35"/>
    </row>
    <row r="160" spans="1:3" x14ac:dyDescent="0.3">
      <c r="A160" s="44"/>
      <c r="B160" s="35"/>
      <c r="C160" s="35"/>
    </row>
    <row r="161" spans="1:3" x14ac:dyDescent="0.3">
      <c r="A161" s="44"/>
      <c r="B161" s="35"/>
      <c r="C161" s="35"/>
    </row>
    <row r="162" spans="1:3" x14ac:dyDescent="0.3">
      <c r="A162" s="44"/>
      <c r="B162" s="35"/>
      <c r="C162" s="35"/>
    </row>
    <row r="163" spans="1:3" x14ac:dyDescent="0.3">
      <c r="A163" s="44"/>
      <c r="B163" s="35"/>
      <c r="C163" s="35"/>
    </row>
    <row r="164" spans="1:3" x14ac:dyDescent="0.3">
      <c r="A164" s="44"/>
      <c r="B164" s="35"/>
      <c r="C164" s="35"/>
    </row>
    <row r="165" spans="1:3" x14ac:dyDescent="0.3">
      <c r="A165" s="44"/>
      <c r="B165" s="35"/>
      <c r="C165" s="35"/>
    </row>
    <row r="166" spans="1:3" x14ac:dyDescent="0.3">
      <c r="A166" s="44"/>
      <c r="B166" s="35"/>
      <c r="C166" s="35"/>
    </row>
    <row r="167" spans="1:3" x14ac:dyDescent="0.3">
      <c r="A167" s="44"/>
      <c r="B167" s="35"/>
      <c r="C167" s="35"/>
    </row>
    <row r="168" spans="1:3" x14ac:dyDescent="0.3">
      <c r="A168" s="44"/>
      <c r="B168" s="35"/>
      <c r="C168" s="35"/>
    </row>
    <row r="169" spans="1:3" x14ac:dyDescent="0.3">
      <c r="A169" s="44"/>
      <c r="B169" s="35"/>
      <c r="C169" s="35"/>
    </row>
    <row r="170" spans="1:3" x14ac:dyDescent="0.3">
      <c r="A170" s="44"/>
      <c r="B170" s="35"/>
      <c r="C170" s="35"/>
    </row>
    <row r="171" spans="1:3" x14ac:dyDescent="0.3">
      <c r="A171" s="44"/>
      <c r="B171" s="35"/>
      <c r="C171" s="35"/>
    </row>
    <row r="172" spans="1:3" x14ac:dyDescent="0.3">
      <c r="A172" s="44"/>
      <c r="B172" s="35"/>
      <c r="C172" s="35"/>
    </row>
    <row r="173" spans="1:3" x14ac:dyDescent="0.3">
      <c r="A173" s="44"/>
      <c r="B173" s="35"/>
      <c r="C173" s="35"/>
    </row>
    <row r="174" spans="1:3" x14ac:dyDescent="0.3">
      <c r="A174" s="44"/>
      <c r="B174" s="35"/>
      <c r="C174" s="35"/>
    </row>
    <row r="175" spans="1:3" x14ac:dyDescent="0.3">
      <c r="A175" s="44"/>
      <c r="B175" s="35"/>
      <c r="C175" s="35"/>
    </row>
    <row r="176" spans="1:3" x14ac:dyDescent="0.3">
      <c r="A176" s="44"/>
      <c r="B176" s="35"/>
      <c r="C176" s="35"/>
    </row>
    <row r="177" spans="1:3" x14ac:dyDescent="0.3">
      <c r="A177" s="44"/>
      <c r="B177" s="35"/>
      <c r="C177" s="35"/>
    </row>
    <row r="178" spans="1:3" x14ac:dyDescent="0.3">
      <c r="A178" s="44"/>
      <c r="B178" s="35"/>
      <c r="C178" s="35"/>
    </row>
    <row r="179" spans="1:3" x14ac:dyDescent="0.3">
      <c r="A179" s="44"/>
      <c r="B179" s="35"/>
      <c r="C179" s="35"/>
    </row>
    <row r="180" spans="1:3" x14ac:dyDescent="0.3">
      <c r="A180" s="44"/>
      <c r="B180" s="35"/>
      <c r="C180" s="35"/>
    </row>
    <row r="181" spans="1:3" x14ac:dyDescent="0.3">
      <c r="A181" s="44"/>
      <c r="B181" s="35"/>
      <c r="C181" s="35"/>
    </row>
    <row r="182" spans="1:3" x14ac:dyDescent="0.3">
      <c r="A182" s="44"/>
      <c r="B182" s="35"/>
      <c r="C182" s="35"/>
    </row>
    <row r="183" spans="1:3" x14ac:dyDescent="0.3">
      <c r="A183" s="44"/>
      <c r="B183" s="35"/>
      <c r="C183" s="35"/>
    </row>
    <row r="184" spans="1:3" x14ac:dyDescent="0.3">
      <c r="A184" s="44"/>
      <c r="B184" s="35"/>
      <c r="C184" s="35"/>
    </row>
    <row r="185" spans="1:3" x14ac:dyDescent="0.3">
      <c r="A185" s="44"/>
      <c r="B185" s="35"/>
      <c r="C185" s="35"/>
    </row>
    <row r="186" spans="1:3" x14ac:dyDescent="0.3">
      <c r="A186" s="44"/>
      <c r="B186" s="35"/>
      <c r="C186" s="35"/>
    </row>
    <row r="187" spans="1:3" x14ac:dyDescent="0.3">
      <c r="A187" s="44"/>
      <c r="B187" s="35"/>
      <c r="C187" s="35"/>
    </row>
    <row r="188" spans="1:3" x14ac:dyDescent="0.3">
      <c r="A188" s="44"/>
      <c r="B188" s="35"/>
      <c r="C188" s="35"/>
    </row>
    <row r="189" spans="1:3" x14ac:dyDescent="0.3">
      <c r="A189" s="44"/>
      <c r="B189" s="35"/>
      <c r="C189" s="35"/>
    </row>
    <row r="190" spans="1:3" x14ac:dyDescent="0.3">
      <c r="A190" s="44"/>
      <c r="B190" s="35"/>
      <c r="C190" s="35"/>
    </row>
    <row r="191" spans="1:3" x14ac:dyDescent="0.3">
      <c r="A191" s="44"/>
      <c r="B191" s="35"/>
      <c r="C191" s="35"/>
    </row>
    <row r="192" spans="1:3" x14ac:dyDescent="0.3">
      <c r="A192" s="44"/>
      <c r="B192" s="35"/>
      <c r="C192" s="35"/>
    </row>
    <row r="193" spans="1:3" x14ac:dyDescent="0.3">
      <c r="A193" s="44"/>
      <c r="B193" s="35"/>
      <c r="C193" s="35"/>
    </row>
    <row r="194" spans="1:3" x14ac:dyDescent="0.3">
      <c r="A194" s="44"/>
      <c r="B194" s="35"/>
      <c r="C194" s="35"/>
    </row>
    <row r="195" spans="1:3" x14ac:dyDescent="0.3">
      <c r="A195" s="44"/>
      <c r="B195" s="35"/>
      <c r="C195" s="35"/>
    </row>
    <row r="196" spans="1:3" x14ac:dyDescent="0.3">
      <c r="A196" s="44"/>
      <c r="B196" s="35"/>
      <c r="C196" s="35"/>
    </row>
    <row r="197" spans="1:3" x14ac:dyDescent="0.3">
      <c r="A197" s="44"/>
      <c r="B197" s="35"/>
      <c r="C197" s="35"/>
    </row>
    <row r="198" spans="1:3" x14ac:dyDescent="0.3">
      <c r="A198" s="44"/>
      <c r="B198" s="35"/>
      <c r="C198" s="35"/>
    </row>
    <row r="199" spans="1:3" x14ac:dyDescent="0.3">
      <c r="A199" s="44"/>
      <c r="B199" s="35"/>
      <c r="C199" s="35"/>
    </row>
    <row r="200" spans="1:3" x14ac:dyDescent="0.3">
      <c r="A200" s="44"/>
      <c r="B200" s="35"/>
      <c r="C200" s="35"/>
    </row>
    <row r="201" spans="1:3" x14ac:dyDescent="0.3">
      <c r="A201" s="44"/>
      <c r="B201" s="35"/>
      <c r="C201" s="35"/>
    </row>
    <row r="202" spans="1:3" x14ac:dyDescent="0.3">
      <c r="A202" s="44"/>
      <c r="B202" s="35"/>
      <c r="C202" s="35"/>
    </row>
    <row r="203" spans="1:3" x14ac:dyDescent="0.3">
      <c r="A203" s="44"/>
      <c r="B203" s="35"/>
      <c r="C203" s="35"/>
    </row>
    <row r="204" spans="1:3" x14ac:dyDescent="0.3">
      <c r="A204" s="44"/>
      <c r="B204" s="35"/>
      <c r="C204" s="35"/>
    </row>
    <row r="205" spans="1:3" x14ac:dyDescent="0.3">
      <c r="A205" s="44"/>
      <c r="B205" s="35"/>
      <c r="C205" s="35"/>
    </row>
    <row r="206" spans="1:3" x14ac:dyDescent="0.3">
      <c r="A206" s="44"/>
      <c r="B206" s="35"/>
      <c r="C206" s="35"/>
    </row>
    <row r="207" spans="1:3" x14ac:dyDescent="0.3">
      <c r="A207" s="44"/>
      <c r="B207" s="35"/>
      <c r="C207" s="35"/>
    </row>
    <row r="208" spans="1:3" x14ac:dyDescent="0.3">
      <c r="A208" s="44"/>
      <c r="B208" s="35"/>
      <c r="C208" s="35"/>
    </row>
    <row r="209" spans="1:3" x14ac:dyDescent="0.3">
      <c r="A209" s="44"/>
      <c r="B209" s="35"/>
      <c r="C209" s="35"/>
    </row>
    <row r="210" spans="1:3" x14ac:dyDescent="0.3">
      <c r="A210" s="44"/>
      <c r="B210" s="35"/>
      <c r="C210" s="35"/>
    </row>
    <row r="211" spans="1:3" x14ac:dyDescent="0.3">
      <c r="A211" s="44"/>
      <c r="B211" s="35"/>
      <c r="C211" s="35"/>
    </row>
    <row r="212" spans="1:3" x14ac:dyDescent="0.3">
      <c r="A212" s="44"/>
      <c r="B212" s="35"/>
      <c r="C212" s="35"/>
    </row>
    <row r="213" spans="1:3" x14ac:dyDescent="0.3">
      <c r="A213" s="44"/>
      <c r="B213" s="35"/>
      <c r="C213" s="35"/>
    </row>
    <row r="214" spans="1:3" x14ac:dyDescent="0.3">
      <c r="A214" s="44"/>
      <c r="B214" s="35"/>
      <c r="C214" s="35"/>
    </row>
    <row r="215" spans="1:3" x14ac:dyDescent="0.3">
      <c r="A215" s="44"/>
      <c r="B215" s="35"/>
      <c r="C215" s="35"/>
    </row>
    <row r="216" spans="1:3" x14ac:dyDescent="0.3">
      <c r="A216" s="44"/>
      <c r="B216" s="35"/>
      <c r="C216" s="35"/>
    </row>
    <row r="217" spans="1:3" x14ac:dyDescent="0.3">
      <c r="A217" s="44"/>
      <c r="B217" s="35"/>
      <c r="C217" s="35"/>
    </row>
    <row r="218" spans="1:3" x14ac:dyDescent="0.3">
      <c r="A218" s="44"/>
      <c r="B218" s="35"/>
      <c r="C218" s="35"/>
    </row>
    <row r="219" spans="1:3" x14ac:dyDescent="0.3">
      <c r="A219" s="44"/>
      <c r="B219" s="35"/>
      <c r="C219" s="35"/>
    </row>
    <row r="220" spans="1:3" x14ac:dyDescent="0.3">
      <c r="A220" s="44"/>
      <c r="B220" s="35"/>
      <c r="C220" s="35"/>
    </row>
    <row r="221" spans="1:3" x14ac:dyDescent="0.3">
      <c r="A221" s="44"/>
      <c r="B221" s="35"/>
      <c r="C221" s="35"/>
    </row>
    <row r="222" spans="1:3" x14ac:dyDescent="0.3">
      <c r="A222" s="44"/>
      <c r="B222" s="35"/>
      <c r="C222" s="35"/>
    </row>
    <row r="223" spans="1:3" x14ac:dyDescent="0.3">
      <c r="A223" s="44"/>
      <c r="B223" s="35"/>
      <c r="C223" s="35"/>
    </row>
    <row r="224" spans="1:3" x14ac:dyDescent="0.3">
      <c r="A224" s="44"/>
      <c r="B224" s="35"/>
      <c r="C224" s="35"/>
    </row>
    <row r="225" spans="1:3" x14ac:dyDescent="0.3">
      <c r="A225" s="44"/>
      <c r="B225" s="35"/>
      <c r="C225" s="35"/>
    </row>
    <row r="226" spans="1:3" x14ac:dyDescent="0.3">
      <c r="A226" s="44"/>
      <c r="B226" s="35"/>
      <c r="C226" s="35"/>
    </row>
    <row r="227" spans="1:3" x14ac:dyDescent="0.3">
      <c r="A227" s="44"/>
      <c r="B227" s="35"/>
      <c r="C227" s="35"/>
    </row>
    <row r="228" spans="1:3" x14ac:dyDescent="0.3">
      <c r="A228" s="44"/>
      <c r="B228" s="35"/>
      <c r="C228" s="35"/>
    </row>
    <row r="229" spans="1:3" x14ac:dyDescent="0.3">
      <c r="A229" s="44"/>
      <c r="B229" s="35"/>
      <c r="C229" s="35"/>
    </row>
    <row r="230" spans="1:3" x14ac:dyDescent="0.3">
      <c r="A230" s="44"/>
      <c r="B230" s="35"/>
      <c r="C230" s="35"/>
    </row>
    <row r="231" spans="1:3" x14ac:dyDescent="0.3">
      <c r="A231" s="44"/>
      <c r="B231" s="35"/>
      <c r="C231" s="35"/>
    </row>
    <row r="232" spans="1:3" x14ac:dyDescent="0.3">
      <c r="A232" s="44"/>
      <c r="B232" s="35"/>
      <c r="C232" s="35"/>
    </row>
    <row r="233" spans="1:3" x14ac:dyDescent="0.3">
      <c r="A233" s="44"/>
      <c r="B233" s="35"/>
      <c r="C233" s="35"/>
    </row>
    <row r="234" spans="1:3" x14ac:dyDescent="0.3">
      <c r="A234" s="44"/>
      <c r="B234" s="35"/>
      <c r="C234" s="35"/>
    </row>
    <row r="235" spans="1:3" x14ac:dyDescent="0.3">
      <c r="A235" s="44"/>
      <c r="B235" s="35"/>
      <c r="C235" s="35"/>
    </row>
    <row r="236" spans="1:3" x14ac:dyDescent="0.3">
      <c r="A236" s="44"/>
      <c r="B236" s="35"/>
      <c r="C236" s="35"/>
    </row>
    <row r="237" spans="1:3" x14ac:dyDescent="0.3">
      <c r="A237" s="44"/>
      <c r="B237" s="35"/>
      <c r="C237" s="35"/>
    </row>
    <row r="238" spans="1:3" x14ac:dyDescent="0.3">
      <c r="A238" s="44"/>
      <c r="B238" s="35"/>
      <c r="C238" s="35"/>
    </row>
    <row r="239" spans="1:3" x14ac:dyDescent="0.3">
      <c r="A239" s="44"/>
      <c r="B239" s="35"/>
      <c r="C239" s="35"/>
    </row>
    <row r="240" spans="1:3" x14ac:dyDescent="0.3">
      <c r="A240" s="44"/>
      <c r="B240" s="35"/>
      <c r="C240" s="35"/>
    </row>
    <row r="241" spans="1:3" x14ac:dyDescent="0.3">
      <c r="A241" s="44"/>
      <c r="B241" s="35"/>
      <c r="C241" s="35"/>
    </row>
    <row r="242" spans="1:3" x14ac:dyDescent="0.3">
      <c r="A242" s="44"/>
      <c r="B242" s="35"/>
      <c r="C242" s="35"/>
    </row>
    <row r="243" spans="1:3" x14ac:dyDescent="0.3">
      <c r="A243" s="44"/>
      <c r="B243" s="35"/>
      <c r="C243" s="35"/>
    </row>
    <row r="244" spans="1:3" x14ac:dyDescent="0.3">
      <c r="A244" s="44"/>
      <c r="B244" s="35"/>
      <c r="C244" s="35"/>
    </row>
    <row r="245" spans="1:3" x14ac:dyDescent="0.3">
      <c r="A245" s="44"/>
      <c r="B245" s="35"/>
      <c r="C245" s="35"/>
    </row>
    <row r="246" spans="1:3" x14ac:dyDescent="0.3">
      <c r="A246" s="44"/>
      <c r="B246" s="35"/>
      <c r="C246" s="35"/>
    </row>
    <row r="247" spans="1:3" x14ac:dyDescent="0.3">
      <c r="A247" s="44"/>
      <c r="B247" s="35"/>
      <c r="C247" s="35"/>
    </row>
    <row r="248" spans="1:3" x14ac:dyDescent="0.3">
      <c r="A248" s="44"/>
      <c r="B248" s="35"/>
      <c r="C248" s="35"/>
    </row>
    <row r="249" spans="1:3" x14ac:dyDescent="0.3">
      <c r="A249" s="44"/>
      <c r="B249" s="35"/>
      <c r="C249" s="35"/>
    </row>
    <row r="250" spans="1:3" x14ac:dyDescent="0.3">
      <c r="A250" s="44"/>
      <c r="B250" s="35"/>
      <c r="C250" s="35"/>
    </row>
    <row r="251" spans="1:3" x14ac:dyDescent="0.3">
      <c r="A251" s="44"/>
      <c r="B251" s="35"/>
      <c r="C251" s="35"/>
    </row>
    <row r="252" spans="1:3" x14ac:dyDescent="0.3">
      <c r="A252" s="44"/>
      <c r="B252" s="35"/>
      <c r="C252" s="35"/>
    </row>
    <row r="253" spans="1:3" x14ac:dyDescent="0.3">
      <c r="A253" s="44"/>
      <c r="B253" s="35"/>
      <c r="C253" s="35"/>
    </row>
    <row r="254" spans="1:3" x14ac:dyDescent="0.3">
      <c r="A254" s="44"/>
      <c r="B254" s="35"/>
      <c r="C254" s="35"/>
    </row>
    <row r="255" spans="1:3" x14ac:dyDescent="0.3">
      <c r="A255" s="44"/>
      <c r="B255" s="35"/>
      <c r="C255" s="35"/>
    </row>
    <row r="256" spans="1:3" x14ac:dyDescent="0.3">
      <c r="A256" s="44"/>
      <c r="B256" s="35"/>
      <c r="C256" s="35"/>
    </row>
    <row r="257" spans="1:3" x14ac:dyDescent="0.3">
      <c r="A257" s="44"/>
      <c r="B257" s="35"/>
      <c r="C257" s="35"/>
    </row>
    <row r="258" spans="1:3" x14ac:dyDescent="0.3">
      <c r="A258" s="44"/>
      <c r="B258" s="35"/>
      <c r="C258" s="35"/>
    </row>
    <row r="259" spans="1:3" x14ac:dyDescent="0.3">
      <c r="A259" s="44"/>
      <c r="B259" s="35"/>
      <c r="C259" s="35"/>
    </row>
    <row r="260" spans="1:3" x14ac:dyDescent="0.3">
      <c r="A260" s="44"/>
      <c r="B260" s="35"/>
      <c r="C260" s="35"/>
    </row>
    <row r="261" spans="1:3" x14ac:dyDescent="0.3">
      <c r="A261" s="44"/>
      <c r="B261" s="35"/>
      <c r="C261" s="35"/>
    </row>
    <row r="262" spans="1:3" x14ac:dyDescent="0.3">
      <c r="A262" s="44"/>
      <c r="B262" s="35"/>
      <c r="C262" s="35"/>
    </row>
    <row r="263" spans="1:3" x14ac:dyDescent="0.3">
      <c r="A263" s="44"/>
      <c r="B263" s="35"/>
      <c r="C263" s="35"/>
    </row>
    <row r="264" spans="1:3" x14ac:dyDescent="0.3">
      <c r="A264" s="44"/>
      <c r="B264" s="35"/>
      <c r="C264" s="35"/>
    </row>
    <row r="265" spans="1:3" x14ac:dyDescent="0.3">
      <c r="A265" s="44"/>
      <c r="B265" s="35"/>
      <c r="C265" s="35"/>
    </row>
    <row r="266" spans="1:3" x14ac:dyDescent="0.3">
      <c r="A266" s="44"/>
      <c r="B266" s="35"/>
      <c r="C266" s="35"/>
    </row>
    <row r="267" spans="1:3" x14ac:dyDescent="0.3">
      <c r="A267" s="44"/>
      <c r="B267" s="35"/>
      <c r="C267" s="35"/>
    </row>
    <row r="268" spans="1:3" x14ac:dyDescent="0.3">
      <c r="A268" s="44"/>
      <c r="B268" s="35"/>
      <c r="C268" s="35"/>
    </row>
    <row r="269" spans="1:3" x14ac:dyDescent="0.3">
      <c r="A269" s="44"/>
      <c r="B269" s="35"/>
      <c r="C269" s="35"/>
    </row>
    <row r="270" spans="1:3" x14ac:dyDescent="0.3">
      <c r="A270" s="44"/>
      <c r="B270" s="35"/>
      <c r="C270" s="35"/>
    </row>
    <row r="271" spans="1:3" x14ac:dyDescent="0.3">
      <c r="A271" s="44"/>
      <c r="B271" s="35"/>
      <c r="C271" s="35"/>
    </row>
    <row r="272" spans="1:3" x14ac:dyDescent="0.3">
      <c r="A272" s="44"/>
      <c r="B272" s="35"/>
      <c r="C272" s="35"/>
    </row>
    <row r="273" spans="1:3" x14ac:dyDescent="0.3">
      <c r="A273" s="44"/>
      <c r="B273" s="35"/>
      <c r="C273" s="35"/>
    </row>
    <row r="274" spans="1:3" x14ac:dyDescent="0.3">
      <c r="A274" s="44"/>
      <c r="B274" s="35"/>
      <c r="C274" s="35"/>
    </row>
    <row r="275" spans="1:3" x14ac:dyDescent="0.3">
      <c r="A275" s="44"/>
      <c r="B275" s="35"/>
      <c r="C275" s="35"/>
    </row>
    <row r="276" spans="1:3" x14ac:dyDescent="0.3">
      <c r="A276" s="44"/>
      <c r="B276" s="35"/>
      <c r="C276" s="35"/>
    </row>
    <row r="277" spans="1:3" x14ac:dyDescent="0.3">
      <c r="A277" s="44"/>
      <c r="B277" s="35"/>
      <c r="C277" s="35"/>
    </row>
    <row r="278" spans="1:3" x14ac:dyDescent="0.3">
      <c r="A278" s="44"/>
      <c r="B278" s="35"/>
      <c r="C278" s="35"/>
    </row>
    <row r="279" spans="1:3" x14ac:dyDescent="0.3">
      <c r="A279" s="44"/>
      <c r="B279" s="35"/>
      <c r="C279" s="35"/>
    </row>
    <row r="280" spans="1:3" x14ac:dyDescent="0.3">
      <c r="A280" s="44"/>
      <c r="B280" s="35"/>
      <c r="C280" s="35"/>
    </row>
    <row r="281" spans="1:3" x14ac:dyDescent="0.3">
      <c r="A281" s="44"/>
      <c r="B281" s="35"/>
      <c r="C281" s="35"/>
    </row>
    <row r="282" spans="1:3" x14ac:dyDescent="0.3">
      <c r="A282" s="44"/>
      <c r="B282" s="35"/>
      <c r="C282" s="35"/>
    </row>
    <row r="283" spans="1:3" x14ac:dyDescent="0.3">
      <c r="A283" s="44"/>
      <c r="B283" s="35"/>
      <c r="C283" s="35"/>
    </row>
    <row r="284" spans="1:3" x14ac:dyDescent="0.3">
      <c r="A284" s="44"/>
      <c r="B284" s="35"/>
      <c r="C284" s="35"/>
    </row>
    <row r="285" spans="1:3" x14ac:dyDescent="0.3">
      <c r="A285" s="44"/>
      <c r="B285" s="35"/>
      <c r="C285" s="35"/>
    </row>
    <row r="286" spans="1:3" x14ac:dyDescent="0.3">
      <c r="A286" s="44"/>
      <c r="B286" s="35"/>
      <c r="C286" s="35"/>
    </row>
    <row r="287" spans="1:3" x14ac:dyDescent="0.3">
      <c r="A287" s="44"/>
      <c r="B287" s="35"/>
      <c r="C287" s="35"/>
    </row>
    <row r="288" spans="1:3" x14ac:dyDescent="0.3">
      <c r="A288" s="44"/>
      <c r="B288" s="35"/>
      <c r="C288" s="35"/>
    </row>
    <row r="289" spans="1:3" x14ac:dyDescent="0.3">
      <c r="A289" s="44"/>
      <c r="B289" s="35"/>
      <c r="C289" s="35"/>
    </row>
    <row r="290" spans="1:3" x14ac:dyDescent="0.3">
      <c r="A290" s="44"/>
      <c r="B290" s="35"/>
      <c r="C290" s="35"/>
    </row>
    <row r="291" spans="1:3" x14ac:dyDescent="0.3">
      <c r="A291" s="44"/>
      <c r="B291" s="35"/>
      <c r="C291" s="35"/>
    </row>
    <row r="292" spans="1:3" x14ac:dyDescent="0.3">
      <c r="A292" s="44"/>
      <c r="B292" s="35"/>
      <c r="C292" s="35"/>
    </row>
    <row r="293" spans="1:3" x14ac:dyDescent="0.3">
      <c r="A293" s="44"/>
      <c r="B293" s="35"/>
      <c r="C293" s="35"/>
    </row>
    <row r="294" spans="1:3" x14ac:dyDescent="0.3">
      <c r="A294" s="44"/>
      <c r="B294" s="35"/>
      <c r="C294" s="35"/>
    </row>
    <row r="295" spans="1:3" x14ac:dyDescent="0.3">
      <c r="A295" s="44"/>
      <c r="B295" s="35"/>
      <c r="C295" s="35"/>
    </row>
    <row r="296" spans="1:3" x14ac:dyDescent="0.3">
      <c r="A296" s="44"/>
      <c r="B296" s="35"/>
      <c r="C296" s="35"/>
    </row>
    <row r="297" spans="1:3" x14ac:dyDescent="0.3">
      <c r="A297" s="44"/>
      <c r="B297" s="35"/>
      <c r="C297" s="35"/>
    </row>
    <row r="298" spans="1:3" x14ac:dyDescent="0.3">
      <c r="A298" s="44"/>
      <c r="B298" s="35"/>
      <c r="C298" s="35"/>
    </row>
    <row r="299" spans="1:3" x14ac:dyDescent="0.3">
      <c r="A299" s="44"/>
      <c r="B299" s="35"/>
      <c r="C299" s="35"/>
    </row>
    <row r="300" spans="1:3" x14ac:dyDescent="0.3">
      <c r="A300" s="44"/>
      <c r="B300" s="35"/>
      <c r="C300" s="35"/>
    </row>
    <row r="301" spans="1:3" x14ac:dyDescent="0.3">
      <c r="A301" s="44"/>
      <c r="B301" s="35"/>
      <c r="C301" s="35"/>
    </row>
    <row r="302" spans="1:3" x14ac:dyDescent="0.3">
      <c r="A302" s="44"/>
      <c r="B302" s="35"/>
      <c r="C302" s="35"/>
    </row>
    <row r="303" spans="1:3" x14ac:dyDescent="0.3">
      <c r="A303" s="44"/>
      <c r="B303" s="35"/>
      <c r="C303" s="35"/>
    </row>
    <row r="304" spans="1:3" x14ac:dyDescent="0.3">
      <c r="A304" s="44"/>
      <c r="B304" s="35"/>
      <c r="C304" s="35"/>
    </row>
    <row r="305" spans="1:3" x14ac:dyDescent="0.3">
      <c r="A305" s="44"/>
      <c r="B305" s="35"/>
      <c r="C305" s="35"/>
    </row>
    <row r="306" spans="1:3" x14ac:dyDescent="0.3">
      <c r="A306" s="44"/>
      <c r="B306" s="35"/>
      <c r="C306" s="35"/>
    </row>
    <row r="307" spans="1:3" x14ac:dyDescent="0.3">
      <c r="A307" s="44"/>
      <c r="B307" s="35"/>
      <c r="C307" s="35"/>
    </row>
    <row r="308" spans="1:3" x14ac:dyDescent="0.3">
      <c r="A308" s="44"/>
      <c r="B308" s="35"/>
      <c r="C308" s="35"/>
    </row>
    <row r="309" spans="1:3" x14ac:dyDescent="0.3">
      <c r="A309" s="44"/>
      <c r="B309" s="35"/>
      <c r="C309" s="35"/>
    </row>
    <row r="310" spans="1:3" x14ac:dyDescent="0.3">
      <c r="A310" s="44"/>
      <c r="B310" s="35"/>
      <c r="C310" s="35"/>
    </row>
    <row r="311" spans="1:3" x14ac:dyDescent="0.3">
      <c r="A311" s="44"/>
      <c r="B311" s="35"/>
      <c r="C311" s="35"/>
    </row>
    <row r="312" spans="1:3" x14ac:dyDescent="0.3">
      <c r="A312" s="44"/>
      <c r="B312" s="35"/>
      <c r="C312" s="35"/>
    </row>
    <row r="313" spans="1:3" x14ac:dyDescent="0.3">
      <c r="A313" s="44"/>
      <c r="B313" s="35"/>
      <c r="C313" s="35"/>
    </row>
    <row r="314" spans="1:3" x14ac:dyDescent="0.3">
      <c r="A314" s="44"/>
      <c r="B314" s="35"/>
      <c r="C314" s="35"/>
    </row>
    <row r="315" spans="1:3" x14ac:dyDescent="0.3">
      <c r="A315" s="44"/>
      <c r="B315" s="35"/>
      <c r="C315" s="35"/>
    </row>
    <row r="316" spans="1:3" x14ac:dyDescent="0.3">
      <c r="A316" s="44"/>
      <c r="B316" s="35"/>
      <c r="C316" s="35"/>
    </row>
    <row r="317" spans="1:3" x14ac:dyDescent="0.3">
      <c r="A317" s="44"/>
      <c r="B317" s="35"/>
      <c r="C317" s="35"/>
    </row>
    <row r="318" spans="1:3" x14ac:dyDescent="0.3">
      <c r="A318" s="44"/>
      <c r="B318" s="35"/>
      <c r="C318" s="35"/>
    </row>
    <row r="319" spans="1:3" x14ac:dyDescent="0.3">
      <c r="A319" s="44"/>
      <c r="B319" s="35"/>
      <c r="C319" s="35"/>
    </row>
    <row r="320" spans="1:3" x14ac:dyDescent="0.3">
      <c r="A320" s="44"/>
      <c r="B320" s="35"/>
      <c r="C320" s="35"/>
    </row>
    <row r="321" spans="1:3" x14ac:dyDescent="0.3">
      <c r="A321" s="44"/>
      <c r="B321" s="35"/>
      <c r="C321" s="35"/>
    </row>
    <row r="322" spans="1:3" x14ac:dyDescent="0.3">
      <c r="A322" s="44"/>
      <c r="B322" s="35"/>
      <c r="C322" s="35"/>
    </row>
    <row r="323" spans="1:3" x14ac:dyDescent="0.3">
      <c r="A323" s="44"/>
      <c r="B323" s="35"/>
      <c r="C323" s="35"/>
    </row>
    <row r="324" spans="1:3" x14ac:dyDescent="0.3">
      <c r="A324" s="44"/>
      <c r="B324" s="35"/>
      <c r="C324" s="35"/>
    </row>
    <row r="325" spans="1:3" x14ac:dyDescent="0.3">
      <c r="A325" s="44"/>
      <c r="B325" s="35"/>
      <c r="C325" s="35"/>
    </row>
    <row r="326" spans="1:3" x14ac:dyDescent="0.3">
      <c r="A326" s="44"/>
      <c r="B326" s="35"/>
      <c r="C326" s="35"/>
    </row>
    <row r="327" spans="1:3" x14ac:dyDescent="0.3">
      <c r="A327" s="44"/>
      <c r="B327" s="35"/>
      <c r="C327" s="35"/>
    </row>
    <row r="328" spans="1:3" x14ac:dyDescent="0.3">
      <c r="A328" s="44"/>
      <c r="B328" s="35"/>
      <c r="C328" s="35"/>
    </row>
    <row r="329" spans="1:3" x14ac:dyDescent="0.3">
      <c r="A329" s="44"/>
      <c r="B329" s="35"/>
      <c r="C329" s="35"/>
    </row>
    <row r="330" spans="1:3" x14ac:dyDescent="0.3">
      <c r="A330" s="44"/>
      <c r="B330" s="35"/>
      <c r="C330" s="35"/>
    </row>
    <row r="331" spans="1:3" x14ac:dyDescent="0.3">
      <c r="A331" s="44"/>
      <c r="B331" s="35"/>
      <c r="C331" s="35"/>
    </row>
    <row r="332" spans="1:3" x14ac:dyDescent="0.3">
      <c r="A332" s="44"/>
      <c r="B332" s="35"/>
      <c r="C332" s="35"/>
    </row>
    <row r="333" spans="1:3" x14ac:dyDescent="0.3">
      <c r="A333" s="44"/>
      <c r="B333" s="35"/>
      <c r="C333" s="35"/>
    </row>
    <row r="334" spans="1:3" x14ac:dyDescent="0.3">
      <c r="A334" s="44"/>
      <c r="B334" s="35"/>
      <c r="C334" s="35"/>
    </row>
    <row r="335" spans="1:3" x14ac:dyDescent="0.3">
      <c r="A335" s="44"/>
      <c r="B335" s="35"/>
      <c r="C335" s="35"/>
    </row>
    <row r="336" spans="1:3" x14ac:dyDescent="0.3">
      <c r="A336" s="44"/>
      <c r="B336" s="35"/>
      <c r="C336" s="35"/>
    </row>
    <row r="337" spans="1:3" x14ac:dyDescent="0.3">
      <c r="A337" s="44"/>
      <c r="B337" s="35"/>
      <c r="C337" s="35"/>
    </row>
    <row r="338" spans="1:3" x14ac:dyDescent="0.3">
      <c r="A338" s="44"/>
      <c r="B338" s="35"/>
      <c r="C338" s="35"/>
    </row>
    <row r="339" spans="1:3" x14ac:dyDescent="0.3">
      <c r="A339" s="44"/>
      <c r="B339" s="35"/>
      <c r="C339" s="35"/>
    </row>
    <row r="340" spans="1:3" x14ac:dyDescent="0.3">
      <c r="A340" s="44"/>
      <c r="B340" s="35"/>
      <c r="C340" s="35"/>
    </row>
    <row r="341" spans="1:3" x14ac:dyDescent="0.3">
      <c r="A341" s="44"/>
      <c r="B341" s="35"/>
      <c r="C341" s="35"/>
    </row>
    <row r="342" spans="1:3" x14ac:dyDescent="0.3">
      <c r="A342" s="44"/>
      <c r="B342" s="35"/>
      <c r="C342" s="35"/>
    </row>
    <row r="343" spans="1:3" x14ac:dyDescent="0.3">
      <c r="A343" s="44"/>
      <c r="B343" s="35"/>
      <c r="C343" s="35"/>
    </row>
    <row r="344" spans="1:3" x14ac:dyDescent="0.3">
      <c r="A344" s="44"/>
      <c r="B344" s="35"/>
      <c r="C344" s="35"/>
    </row>
    <row r="345" spans="1:3" x14ac:dyDescent="0.3">
      <c r="A345" s="44"/>
      <c r="B345" s="35"/>
      <c r="C345" s="35"/>
    </row>
    <row r="346" spans="1:3" x14ac:dyDescent="0.3">
      <c r="A346" s="44"/>
      <c r="B346" s="35"/>
      <c r="C346" s="35"/>
    </row>
    <row r="347" spans="1:3" x14ac:dyDescent="0.3">
      <c r="A347" s="44"/>
      <c r="B347" s="35"/>
      <c r="C347" s="35"/>
    </row>
    <row r="348" spans="1:3" x14ac:dyDescent="0.3">
      <c r="A348" s="44"/>
      <c r="B348" s="35"/>
      <c r="C348" s="35"/>
    </row>
    <row r="349" spans="1:3" x14ac:dyDescent="0.3">
      <c r="A349" s="44"/>
      <c r="B349" s="35"/>
      <c r="C349" s="35"/>
    </row>
    <row r="350" spans="1:3" x14ac:dyDescent="0.3">
      <c r="A350" s="44"/>
      <c r="B350" s="35"/>
      <c r="C350" s="35"/>
    </row>
    <row r="351" spans="1:3" x14ac:dyDescent="0.3">
      <c r="A351" s="44"/>
      <c r="B351" s="35"/>
      <c r="C351" s="35"/>
    </row>
    <row r="352" spans="1:3" x14ac:dyDescent="0.3">
      <c r="A352" s="44"/>
      <c r="B352" s="35"/>
      <c r="C352" s="35"/>
    </row>
    <row r="353" spans="1:3" x14ac:dyDescent="0.3">
      <c r="A353" s="44"/>
      <c r="B353" s="35"/>
      <c r="C353" s="35"/>
    </row>
    <row r="354" spans="1:3" x14ac:dyDescent="0.3">
      <c r="A354" s="44"/>
      <c r="B354" s="35"/>
      <c r="C354" s="35"/>
    </row>
    <row r="355" spans="1:3" x14ac:dyDescent="0.3">
      <c r="A355" s="44"/>
      <c r="B355" s="35"/>
      <c r="C355" s="35"/>
    </row>
    <row r="356" spans="1:3" x14ac:dyDescent="0.3">
      <c r="A356" s="44"/>
      <c r="B356" s="35"/>
      <c r="C356" s="35"/>
    </row>
    <row r="357" spans="1:3" x14ac:dyDescent="0.3">
      <c r="A357" s="44"/>
      <c r="B357" s="35"/>
      <c r="C357" s="35"/>
    </row>
    <row r="358" spans="1:3" x14ac:dyDescent="0.3">
      <c r="A358" s="44"/>
      <c r="B358" s="35"/>
      <c r="C358" s="35"/>
    </row>
    <row r="359" spans="1:3" x14ac:dyDescent="0.3">
      <c r="A359" s="44"/>
      <c r="B359" s="35"/>
      <c r="C359" s="35"/>
    </row>
    <row r="360" spans="1:3" x14ac:dyDescent="0.3">
      <c r="A360" s="44"/>
      <c r="B360" s="35"/>
      <c r="C360" s="35"/>
    </row>
    <row r="361" spans="1:3" x14ac:dyDescent="0.3">
      <c r="A361" s="44"/>
      <c r="B361" s="35"/>
      <c r="C361" s="35"/>
    </row>
    <row r="362" spans="1:3" x14ac:dyDescent="0.3">
      <c r="A362" s="44"/>
      <c r="B362" s="35"/>
      <c r="C362" s="35"/>
    </row>
    <row r="363" spans="1:3" x14ac:dyDescent="0.3">
      <c r="A363" s="44"/>
      <c r="B363" s="35"/>
      <c r="C363" s="35"/>
    </row>
    <row r="364" spans="1:3" x14ac:dyDescent="0.3">
      <c r="A364" s="44"/>
      <c r="B364" s="35"/>
      <c r="C364" s="35"/>
    </row>
    <row r="365" spans="1:3" x14ac:dyDescent="0.3">
      <c r="A365" s="44"/>
      <c r="B365" s="35"/>
      <c r="C365" s="35"/>
    </row>
    <row r="366" spans="1:3" x14ac:dyDescent="0.3">
      <c r="A366" s="44"/>
      <c r="B366" s="35"/>
      <c r="C366" s="35"/>
    </row>
    <row r="367" spans="1:3" x14ac:dyDescent="0.3">
      <c r="A367" s="44"/>
      <c r="B367" s="35"/>
      <c r="C367" s="35"/>
    </row>
    <row r="368" spans="1:3" x14ac:dyDescent="0.3">
      <c r="A368" s="44"/>
      <c r="B368" s="35"/>
      <c r="C368" s="35"/>
    </row>
    <row r="369" spans="1:3" x14ac:dyDescent="0.3">
      <c r="A369" s="44"/>
      <c r="B369" s="35"/>
      <c r="C369" s="35"/>
    </row>
    <row r="370" spans="1:3" x14ac:dyDescent="0.3">
      <c r="A370" s="44"/>
      <c r="B370" s="35"/>
      <c r="C370" s="35"/>
    </row>
    <row r="371" spans="1:3" x14ac:dyDescent="0.3">
      <c r="A371" s="44"/>
      <c r="B371" s="35"/>
      <c r="C371" s="35"/>
    </row>
    <row r="372" spans="1:3" x14ac:dyDescent="0.3">
      <c r="A372" s="44"/>
      <c r="B372" s="35"/>
      <c r="C372" s="35"/>
    </row>
    <row r="373" spans="1:3" x14ac:dyDescent="0.3">
      <c r="A373" s="44"/>
      <c r="B373" s="35"/>
      <c r="C373" s="35"/>
    </row>
    <row r="374" spans="1:3" x14ac:dyDescent="0.3">
      <c r="A374" s="44"/>
      <c r="B374" s="35"/>
      <c r="C374" s="35"/>
    </row>
    <row r="375" spans="1:3" x14ac:dyDescent="0.3">
      <c r="A375" s="44"/>
      <c r="B375" s="35"/>
      <c r="C375" s="35"/>
    </row>
    <row r="376" spans="1:3" x14ac:dyDescent="0.3">
      <c r="A376" s="44"/>
      <c r="B376" s="35"/>
      <c r="C376" s="35"/>
    </row>
    <row r="377" spans="1:3" x14ac:dyDescent="0.3">
      <c r="A377" s="44"/>
      <c r="B377" s="35"/>
      <c r="C377" s="35"/>
    </row>
    <row r="378" spans="1:3" x14ac:dyDescent="0.3">
      <c r="A378" s="44"/>
      <c r="B378" s="35"/>
      <c r="C378" s="35"/>
    </row>
    <row r="379" spans="1:3" x14ac:dyDescent="0.3">
      <c r="A379" s="44"/>
      <c r="B379" s="35"/>
      <c r="C379" s="35"/>
    </row>
    <row r="380" spans="1:3" x14ac:dyDescent="0.3">
      <c r="A380" s="44"/>
      <c r="B380" s="35"/>
      <c r="C380" s="35"/>
    </row>
    <row r="381" spans="1:3" x14ac:dyDescent="0.3">
      <c r="A381" s="44"/>
      <c r="B381" s="35"/>
      <c r="C381" s="35"/>
    </row>
    <row r="382" spans="1:3" x14ac:dyDescent="0.3">
      <c r="A382" s="44"/>
      <c r="B382" s="35"/>
      <c r="C382" s="35"/>
    </row>
    <row r="383" spans="1:3" x14ac:dyDescent="0.3">
      <c r="A383" s="44"/>
      <c r="B383" s="35"/>
      <c r="C383" s="35"/>
    </row>
    <row r="384" spans="1:3" x14ac:dyDescent="0.3">
      <c r="A384" s="44"/>
      <c r="B384" s="35"/>
      <c r="C384" s="35"/>
    </row>
    <row r="385" spans="1:3" x14ac:dyDescent="0.3">
      <c r="A385" s="44"/>
      <c r="B385" s="35"/>
      <c r="C385" s="35"/>
    </row>
    <row r="386" spans="1:3" x14ac:dyDescent="0.3">
      <c r="A386" s="44"/>
      <c r="B386" s="35"/>
      <c r="C386" s="35"/>
    </row>
    <row r="387" spans="1:3" x14ac:dyDescent="0.3">
      <c r="A387" s="44"/>
      <c r="B387" s="35"/>
      <c r="C387" s="35"/>
    </row>
    <row r="388" spans="1:3" x14ac:dyDescent="0.3">
      <c r="A388" s="44"/>
      <c r="B388" s="35"/>
      <c r="C388" s="35"/>
    </row>
    <row r="389" spans="1:3" x14ac:dyDescent="0.3">
      <c r="A389" s="44"/>
      <c r="B389" s="35"/>
      <c r="C389" s="35"/>
    </row>
    <row r="390" spans="1:3" x14ac:dyDescent="0.3">
      <c r="A390" s="44"/>
      <c r="B390" s="35"/>
      <c r="C390" s="35"/>
    </row>
    <row r="391" spans="1:3" x14ac:dyDescent="0.3">
      <c r="A391" s="44"/>
      <c r="B391" s="35"/>
      <c r="C391" s="35"/>
    </row>
    <row r="392" spans="1:3" x14ac:dyDescent="0.3">
      <c r="A392" s="44"/>
      <c r="B392" s="35"/>
      <c r="C392" s="35"/>
    </row>
    <row r="393" spans="1:3" x14ac:dyDescent="0.3">
      <c r="A393" s="44"/>
      <c r="B393" s="35"/>
      <c r="C393" s="35"/>
    </row>
    <row r="394" spans="1:3" x14ac:dyDescent="0.3">
      <c r="A394" s="44"/>
      <c r="B394" s="35"/>
      <c r="C394" s="35"/>
    </row>
    <row r="395" spans="1:3" x14ac:dyDescent="0.3">
      <c r="A395" s="44"/>
      <c r="B395" s="35"/>
      <c r="C395" s="35"/>
    </row>
    <row r="396" spans="1:3" x14ac:dyDescent="0.3">
      <c r="A396" s="44"/>
      <c r="B396" s="35"/>
      <c r="C396" s="35"/>
    </row>
    <row r="397" spans="1:3" x14ac:dyDescent="0.3">
      <c r="A397" s="44"/>
      <c r="B397" s="35"/>
      <c r="C397" s="35"/>
    </row>
    <row r="398" spans="1:3" x14ac:dyDescent="0.3">
      <c r="A398" s="44"/>
      <c r="B398" s="35"/>
      <c r="C398" s="35"/>
    </row>
    <row r="399" spans="1:3" x14ac:dyDescent="0.3">
      <c r="A399" s="44"/>
      <c r="B399" s="35"/>
      <c r="C399" s="35"/>
    </row>
    <row r="400" spans="1:3" x14ac:dyDescent="0.3">
      <c r="A400" s="44"/>
      <c r="B400" s="35"/>
      <c r="C400" s="35"/>
    </row>
    <row r="401" spans="1:3" x14ac:dyDescent="0.3">
      <c r="A401" s="44"/>
      <c r="B401" s="35"/>
      <c r="C401" s="35"/>
    </row>
    <row r="402" spans="1:3" x14ac:dyDescent="0.3">
      <c r="A402" s="44"/>
      <c r="B402" s="35"/>
      <c r="C402" s="35"/>
    </row>
    <row r="403" spans="1:3" x14ac:dyDescent="0.3">
      <c r="A403" s="44"/>
      <c r="B403" s="35"/>
      <c r="C403" s="35"/>
    </row>
    <row r="404" spans="1:3" x14ac:dyDescent="0.3">
      <c r="A404" s="44"/>
      <c r="B404" s="35"/>
      <c r="C404" s="35"/>
    </row>
    <row r="405" spans="1:3" x14ac:dyDescent="0.3">
      <c r="A405" s="44"/>
      <c r="B405" s="35"/>
      <c r="C405" s="35"/>
    </row>
    <row r="406" spans="1:3" x14ac:dyDescent="0.3">
      <c r="A406" s="44"/>
      <c r="B406" s="35"/>
      <c r="C406" s="35"/>
    </row>
    <row r="407" spans="1:3" x14ac:dyDescent="0.3">
      <c r="A407" s="44"/>
      <c r="B407" s="35"/>
      <c r="C407" s="35"/>
    </row>
    <row r="408" spans="1:3" x14ac:dyDescent="0.3">
      <c r="A408" s="44"/>
      <c r="B408" s="35"/>
      <c r="C408" s="35"/>
    </row>
    <row r="409" spans="1:3" x14ac:dyDescent="0.3">
      <c r="A409" s="44"/>
      <c r="B409" s="35"/>
      <c r="C409" s="35"/>
    </row>
    <row r="410" spans="1:3" x14ac:dyDescent="0.3">
      <c r="A410" s="44"/>
      <c r="B410" s="35"/>
      <c r="C410" s="35"/>
    </row>
    <row r="411" spans="1:3" x14ac:dyDescent="0.3">
      <c r="A411" s="44"/>
      <c r="B411" s="35"/>
      <c r="C411" s="35"/>
    </row>
    <row r="412" spans="1:3" x14ac:dyDescent="0.3">
      <c r="A412" s="44"/>
      <c r="B412" s="35"/>
      <c r="C412" s="35"/>
    </row>
    <row r="413" spans="1:3" x14ac:dyDescent="0.3">
      <c r="A413" s="44"/>
      <c r="B413" s="35"/>
      <c r="C413" s="35"/>
    </row>
    <row r="414" spans="1:3" x14ac:dyDescent="0.3">
      <c r="A414" s="44"/>
      <c r="B414" s="35"/>
      <c r="C414" s="35"/>
    </row>
    <row r="415" spans="1:3" x14ac:dyDescent="0.3">
      <c r="A415" s="44"/>
      <c r="B415" s="35"/>
      <c r="C415" s="35"/>
    </row>
    <row r="416" spans="1:3" x14ac:dyDescent="0.3">
      <c r="A416" s="44"/>
      <c r="B416" s="35"/>
      <c r="C416" s="35"/>
    </row>
    <row r="417" spans="1:3" x14ac:dyDescent="0.3">
      <c r="A417" s="44"/>
      <c r="B417" s="35"/>
      <c r="C417" s="35"/>
    </row>
    <row r="418" spans="1:3" x14ac:dyDescent="0.3">
      <c r="A418" s="44"/>
      <c r="B418" s="35"/>
      <c r="C418" s="35"/>
    </row>
    <row r="419" spans="1:3" x14ac:dyDescent="0.3">
      <c r="A419" s="44"/>
      <c r="B419" s="35"/>
      <c r="C419" s="35"/>
    </row>
    <row r="420" spans="1:3" x14ac:dyDescent="0.3">
      <c r="A420" s="44"/>
      <c r="B420" s="35"/>
      <c r="C420" s="35"/>
    </row>
    <row r="421" spans="1:3" x14ac:dyDescent="0.3">
      <c r="A421" s="44"/>
      <c r="B421" s="35"/>
      <c r="C421" s="35"/>
    </row>
    <row r="422" spans="1:3" x14ac:dyDescent="0.3">
      <c r="A422" s="44"/>
      <c r="B422" s="35"/>
      <c r="C422" s="35"/>
    </row>
    <row r="423" spans="1:3" x14ac:dyDescent="0.3">
      <c r="A423" s="44"/>
      <c r="B423" s="35"/>
      <c r="C423" s="35"/>
    </row>
    <row r="424" spans="1:3" x14ac:dyDescent="0.3">
      <c r="A424" s="44"/>
      <c r="B424" s="35"/>
      <c r="C424" s="35"/>
    </row>
    <row r="425" spans="1:3" x14ac:dyDescent="0.3">
      <c r="A425" s="44"/>
      <c r="B425" s="35"/>
      <c r="C425" s="35"/>
    </row>
    <row r="426" spans="1:3" x14ac:dyDescent="0.3">
      <c r="A426" s="44"/>
      <c r="B426" s="35"/>
      <c r="C426" s="35"/>
    </row>
    <row r="427" spans="1:3" x14ac:dyDescent="0.3">
      <c r="A427" s="44"/>
      <c r="B427" s="35"/>
      <c r="C427" s="35"/>
    </row>
    <row r="428" spans="1:3" x14ac:dyDescent="0.3">
      <c r="A428" s="44"/>
      <c r="B428" s="35"/>
      <c r="C428" s="35"/>
    </row>
    <row r="429" spans="1:3" x14ac:dyDescent="0.3">
      <c r="A429" s="44"/>
      <c r="B429" s="35"/>
      <c r="C429" s="35"/>
    </row>
    <row r="430" spans="1:3" x14ac:dyDescent="0.3">
      <c r="A430" s="44"/>
      <c r="B430" s="35"/>
      <c r="C430" s="35"/>
    </row>
    <row r="431" spans="1:3" x14ac:dyDescent="0.3">
      <c r="A431" s="44"/>
      <c r="B431" s="35"/>
      <c r="C431" s="35"/>
    </row>
    <row r="432" spans="1:3" x14ac:dyDescent="0.3">
      <c r="A432" s="44"/>
      <c r="B432" s="35"/>
      <c r="C432" s="35"/>
    </row>
    <row r="433" spans="1:3" x14ac:dyDescent="0.3">
      <c r="A433" s="44"/>
      <c r="B433" s="35"/>
      <c r="C433" s="35"/>
    </row>
    <row r="434" spans="1:3" x14ac:dyDescent="0.3">
      <c r="A434" s="44"/>
      <c r="B434" s="35"/>
      <c r="C434" s="35"/>
    </row>
    <row r="435" spans="1:3" x14ac:dyDescent="0.3">
      <c r="A435" s="44"/>
      <c r="B435" s="35"/>
      <c r="C435" s="35"/>
    </row>
    <row r="436" spans="1:3" x14ac:dyDescent="0.3">
      <c r="A436" s="44"/>
      <c r="B436" s="35"/>
      <c r="C436" s="35"/>
    </row>
    <row r="437" spans="1:3" x14ac:dyDescent="0.3">
      <c r="A437" s="44"/>
      <c r="B437" s="35"/>
      <c r="C437" s="35"/>
    </row>
    <row r="438" spans="1:3" x14ac:dyDescent="0.3">
      <c r="A438" s="44"/>
      <c r="B438" s="35"/>
      <c r="C438" s="35"/>
    </row>
    <row r="439" spans="1:3" x14ac:dyDescent="0.3">
      <c r="A439" s="44"/>
      <c r="B439" s="35"/>
      <c r="C439" s="35"/>
    </row>
    <row r="440" spans="1:3" x14ac:dyDescent="0.3">
      <c r="A440" s="44"/>
      <c r="B440" s="35"/>
      <c r="C440" s="35"/>
    </row>
    <row r="441" spans="1:3" x14ac:dyDescent="0.3">
      <c r="A441" s="44"/>
      <c r="B441" s="35"/>
      <c r="C441" s="35"/>
    </row>
    <row r="442" spans="1:3" x14ac:dyDescent="0.3">
      <c r="A442" s="44"/>
      <c r="B442" s="35"/>
      <c r="C442" s="35"/>
    </row>
    <row r="443" spans="1:3" x14ac:dyDescent="0.3">
      <c r="A443" s="44"/>
      <c r="B443" s="35"/>
      <c r="C443" s="35"/>
    </row>
    <row r="444" spans="1:3" x14ac:dyDescent="0.3">
      <c r="A444" s="44"/>
      <c r="B444" s="35"/>
      <c r="C444" s="35"/>
    </row>
    <row r="445" spans="1:3" x14ac:dyDescent="0.3">
      <c r="A445" s="44"/>
      <c r="B445" s="35"/>
      <c r="C445" s="35"/>
    </row>
    <row r="446" spans="1:3" x14ac:dyDescent="0.3">
      <c r="A446" s="44"/>
      <c r="B446" s="35"/>
      <c r="C446" s="35"/>
    </row>
    <row r="447" spans="1:3" x14ac:dyDescent="0.3">
      <c r="A447" s="44"/>
      <c r="B447" s="35"/>
      <c r="C447" s="35"/>
    </row>
    <row r="448" spans="1:3" x14ac:dyDescent="0.3">
      <c r="A448" s="44"/>
      <c r="B448" s="35"/>
      <c r="C448" s="35"/>
    </row>
    <row r="449" spans="1:3" x14ac:dyDescent="0.3">
      <c r="A449" s="44"/>
      <c r="B449" s="35"/>
      <c r="C449" s="35"/>
    </row>
    <row r="450" spans="1:3" x14ac:dyDescent="0.3">
      <c r="A450" s="44"/>
      <c r="B450" s="35"/>
      <c r="C450" s="35"/>
    </row>
    <row r="451" spans="1:3" x14ac:dyDescent="0.3">
      <c r="A451" s="44"/>
      <c r="B451" s="35"/>
      <c r="C451" s="35"/>
    </row>
    <row r="452" spans="1:3" x14ac:dyDescent="0.3">
      <c r="A452" s="44"/>
      <c r="B452" s="35"/>
      <c r="C452" s="35"/>
    </row>
    <row r="453" spans="1:3" x14ac:dyDescent="0.3">
      <c r="A453" s="44"/>
      <c r="B453" s="35"/>
      <c r="C453" s="35"/>
    </row>
    <row r="454" spans="1:3" x14ac:dyDescent="0.3">
      <c r="A454" s="44"/>
      <c r="B454" s="35"/>
      <c r="C454" s="35"/>
    </row>
    <row r="455" spans="1:3" x14ac:dyDescent="0.3">
      <c r="A455" s="44"/>
      <c r="B455" s="35"/>
      <c r="C455" s="35"/>
    </row>
    <row r="456" spans="1:3" x14ac:dyDescent="0.3">
      <c r="A456" s="44"/>
      <c r="B456" s="35"/>
      <c r="C456" s="35"/>
    </row>
    <row r="457" spans="1:3" x14ac:dyDescent="0.3">
      <c r="A457" s="44"/>
      <c r="B457" s="35"/>
      <c r="C457" s="35"/>
    </row>
    <row r="458" spans="1:3" x14ac:dyDescent="0.3">
      <c r="A458" s="44"/>
      <c r="B458" s="35"/>
      <c r="C458" s="35"/>
    </row>
    <row r="459" spans="1:3" x14ac:dyDescent="0.3">
      <c r="A459" s="44"/>
      <c r="B459" s="35"/>
      <c r="C459" s="35"/>
    </row>
    <row r="460" spans="1:3" x14ac:dyDescent="0.3">
      <c r="A460" s="44"/>
      <c r="B460" s="35"/>
      <c r="C460" s="35"/>
    </row>
    <row r="461" spans="1:3" x14ac:dyDescent="0.3">
      <c r="A461" s="44"/>
      <c r="B461" s="35"/>
      <c r="C461" s="35"/>
    </row>
    <row r="462" spans="1:3" x14ac:dyDescent="0.3">
      <c r="A462" s="44"/>
      <c r="B462" s="35"/>
      <c r="C462" s="35"/>
    </row>
    <row r="463" spans="1:3" x14ac:dyDescent="0.3">
      <c r="A463" s="44"/>
      <c r="B463" s="35"/>
      <c r="C463" s="35"/>
    </row>
    <row r="464" spans="1:3" x14ac:dyDescent="0.3">
      <c r="A464" s="44"/>
      <c r="B464" s="35"/>
      <c r="C464" s="35"/>
    </row>
    <row r="465" spans="1:3" x14ac:dyDescent="0.3">
      <c r="A465" s="44"/>
      <c r="B465" s="35"/>
      <c r="C465" s="35"/>
    </row>
    <row r="466" spans="1:3" x14ac:dyDescent="0.3">
      <c r="A466" s="44"/>
      <c r="B466" s="35"/>
      <c r="C466" s="35"/>
    </row>
    <row r="467" spans="1:3" x14ac:dyDescent="0.3">
      <c r="A467" s="44"/>
      <c r="B467" s="35"/>
      <c r="C467" s="35"/>
    </row>
    <row r="468" spans="1:3" x14ac:dyDescent="0.3">
      <c r="A468" s="44"/>
      <c r="B468" s="35"/>
      <c r="C468" s="35"/>
    </row>
    <row r="469" spans="1:3" x14ac:dyDescent="0.3">
      <c r="A469" s="44"/>
      <c r="B469" s="35"/>
      <c r="C469" s="35"/>
    </row>
    <row r="470" spans="1:3" x14ac:dyDescent="0.3">
      <c r="A470" s="44"/>
      <c r="B470" s="35"/>
      <c r="C470" s="35"/>
    </row>
    <row r="471" spans="1:3" x14ac:dyDescent="0.3">
      <c r="A471" s="44"/>
      <c r="B471" s="35"/>
      <c r="C471" s="35"/>
    </row>
    <row r="472" spans="1:3" x14ac:dyDescent="0.3">
      <c r="A472" s="44"/>
      <c r="B472" s="35"/>
      <c r="C472" s="35"/>
    </row>
    <row r="473" spans="1:3" x14ac:dyDescent="0.3">
      <c r="A473" s="44"/>
      <c r="B473" s="35"/>
      <c r="C473" s="35"/>
    </row>
    <row r="474" spans="1:3" x14ac:dyDescent="0.3">
      <c r="A474" s="44"/>
      <c r="B474" s="35"/>
      <c r="C474" s="35"/>
    </row>
    <row r="475" spans="1:3" x14ac:dyDescent="0.3">
      <c r="A475" s="44"/>
      <c r="B475" s="35"/>
      <c r="C475" s="35"/>
    </row>
    <row r="476" spans="1:3" x14ac:dyDescent="0.3">
      <c r="A476" s="44"/>
      <c r="B476" s="35"/>
      <c r="C476" s="35"/>
    </row>
    <row r="477" spans="1:3" x14ac:dyDescent="0.3">
      <c r="A477" s="44"/>
      <c r="B477" s="35"/>
      <c r="C477" s="35"/>
    </row>
    <row r="478" spans="1:3" x14ac:dyDescent="0.3">
      <c r="A478" s="44"/>
      <c r="B478" s="35"/>
      <c r="C478" s="35"/>
    </row>
    <row r="479" spans="1:3" x14ac:dyDescent="0.3">
      <c r="A479" s="44"/>
      <c r="B479" s="35"/>
      <c r="C479" s="35"/>
    </row>
    <row r="480" spans="1:3" x14ac:dyDescent="0.3">
      <c r="A480" s="44"/>
      <c r="B480" s="35"/>
      <c r="C480" s="35"/>
    </row>
    <row r="481" spans="1:3" x14ac:dyDescent="0.3">
      <c r="A481" s="44"/>
      <c r="B481" s="35"/>
      <c r="C481" s="35"/>
    </row>
    <row r="482" spans="1:3" x14ac:dyDescent="0.3">
      <c r="A482" s="44"/>
      <c r="B482" s="35"/>
      <c r="C482" s="35"/>
    </row>
    <row r="483" spans="1:3" x14ac:dyDescent="0.3">
      <c r="A483" s="44"/>
      <c r="B483" s="35"/>
      <c r="C483" s="35"/>
    </row>
    <row r="484" spans="1:3" x14ac:dyDescent="0.3">
      <c r="A484" s="44"/>
      <c r="B484" s="35"/>
      <c r="C484" s="35"/>
    </row>
    <row r="485" spans="1:3" x14ac:dyDescent="0.3">
      <c r="A485" s="44"/>
      <c r="B485" s="35"/>
      <c r="C485" s="35"/>
    </row>
    <row r="486" spans="1:3" x14ac:dyDescent="0.3">
      <c r="A486" s="44"/>
      <c r="B486" s="35"/>
      <c r="C486" s="35"/>
    </row>
    <row r="487" spans="1:3" x14ac:dyDescent="0.3">
      <c r="A487" s="44"/>
      <c r="B487" s="35"/>
      <c r="C487" s="35"/>
    </row>
    <row r="488" spans="1:3" x14ac:dyDescent="0.3">
      <c r="A488" s="44"/>
      <c r="B488" s="35"/>
      <c r="C488" s="35"/>
    </row>
    <row r="489" spans="1:3" x14ac:dyDescent="0.3">
      <c r="A489" s="44"/>
      <c r="B489" s="35"/>
      <c r="C489" s="35"/>
    </row>
    <row r="490" spans="1:3" x14ac:dyDescent="0.3">
      <c r="A490" s="44"/>
      <c r="B490" s="35"/>
      <c r="C490" s="35"/>
    </row>
    <row r="491" spans="1:3" x14ac:dyDescent="0.3">
      <c r="A491" s="44"/>
      <c r="B491" s="35"/>
      <c r="C491" s="35"/>
    </row>
    <row r="492" spans="1:3" x14ac:dyDescent="0.3">
      <c r="A492" s="44"/>
      <c r="B492" s="35"/>
      <c r="C492" s="35"/>
    </row>
    <row r="493" spans="1:3" x14ac:dyDescent="0.3">
      <c r="A493" s="44"/>
      <c r="B493" s="35"/>
      <c r="C493" s="35"/>
    </row>
    <row r="494" spans="1:3" x14ac:dyDescent="0.3">
      <c r="A494" s="44"/>
      <c r="B494" s="35"/>
      <c r="C494" s="35"/>
    </row>
    <row r="495" spans="1:3" x14ac:dyDescent="0.3">
      <c r="A495" s="44"/>
      <c r="B495" s="35"/>
      <c r="C495" s="35"/>
    </row>
    <row r="496" spans="1:3" x14ac:dyDescent="0.3">
      <c r="A496" s="44"/>
      <c r="B496" s="35"/>
      <c r="C496" s="35"/>
    </row>
    <row r="497" spans="1:3" x14ac:dyDescent="0.3">
      <c r="A497" s="44"/>
      <c r="B497" s="35"/>
      <c r="C497" s="35"/>
    </row>
    <row r="498" spans="1:3" x14ac:dyDescent="0.3">
      <c r="A498" s="44"/>
      <c r="B498" s="35"/>
      <c r="C498" s="35"/>
    </row>
    <row r="499" spans="1:3" x14ac:dyDescent="0.3">
      <c r="A499" s="44"/>
      <c r="B499" s="35"/>
      <c r="C499" s="35"/>
    </row>
    <row r="500" spans="1:3" x14ac:dyDescent="0.3">
      <c r="A500" s="44"/>
      <c r="B500" s="35"/>
      <c r="C500" s="35"/>
    </row>
    <row r="501" spans="1:3" x14ac:dyDescent="0.3">
      <c r="A501" s="44"/>
      <c r="B501" s="35"/>
      <c r="C501" s="35"/>
    </row>
    <row r="502" spans="1:3" x14ac:dyDescent="0.3">
      <c r="A502" s="44"/>
      <c r="B502" s="35"/>
      <c r="C502" s="35"/>
    </row>
    <row r="503" spans="1:3" x14ac:dyDescent="0.3">
      <c r="A503" s="44"/>
      <c r="B503" s="35"/>
      <c r="C503" s="35"/>
    </row>
    <row r="504" spans="1:3" x14ac:dyDescent="0.3">
      <c r="A504" s="44"/>
      <c r="B504" s="35"/>
      <c r="C504" s="35"/>
    </row>
    <row r="505" spans="1:3" x14ac:dyDescent="0.3">
      <c r="A505" s="44"/>
      <c r="B505" s="35"/>
      <c r="C505" s="35"/>
    </row>
    <row r="506" spans="1:3" x14ac:dyDescent="0.3">
      <c r="A506" s="44"/>
      <c r="B506" s="35"/>
      <c r="C506" s="35"/>
    </row>
    <row r="507" spans="1:3" x14ac:dyDescent="0.3">
      <c r="A507" s="44"/>
      <c r="B507" s="35"/>
      <c r="C507" s="35"/>
    </row>
    <row r="508" spans="1:3" x14ac:dyDescent="0.3">
      <c r="A508" s="44"/>
      <c r="B508" s="35"/>
      <c r="C508" s="35"/>
    </row>
    <row r="509" spans="1:3" x14ac:dyDescent="0.3">
      <c r="A509" s="44"/>
      <c r="B509" s="35"/>
      <c r="C509" s="35"/>
    </row>
    <row r="510" spans="1:3" x14ac:dyDescent="0.3">
      <c r="A510" s="44"/>
      <c r="B510" s="35"/>
      <c r="C510" s="35"/>
    </row>
    <row r="511" spans="1:3" x14ac:dyDescent="0.3">
      <c r="A511" s="44"/>
      <c r="B511" s="35"/>
      <c r="C511" s="35"/>
    </row>
    <row r="512" spans="1:3" x14ac:dyDescent="0.3">
      <c r="A512" s="44"/>
      <c r="B512" s="35"/>
      <c r="C512" s="35"/>
    </row>
    <row r="513" spans="1:3" x14ac:dyDescent="0.3">
      <c r="A513" s="44"/>
      <c r="B513" s="35"/>
      <c r="C513" s="35"/>
    </row>
    <row r="514" spans="1:3" x14ac:dyDescent="0.3">
      <c r="A514" s="44"/>
      <c r="B514" s="35"/>
      <c r="C514" s="35"/>
    </row>
    <row r="515" spans="1:3" x14ac:dyDescent="0.3">
      <c r="A515" s="44"/>
      <c r="B515" s="35"/>
      <c r="C515" s="35"/>
    </row>
    <row r="516" spans="1:3" x14ac:dyDescent="0.3">
      <c r="A516" s="44"/>
      <c r="B516" s="35"/>
      <c r="C516" s="35"/>
    </row>
    <row r="517" spans="1:3" x14ac:dyDescent="0.3">
      <c r="A517" s="44"/>
      <c r="B517" s="35"/>
      <c r="C517" s="35"/>
    </row>
    <row r="518" spans="1:3" x14ac:dyDescent="0.3">
      <c r="A518" s="44"/>
      <c r="B518" s="35"/>
      <c r="C518" s="35"/>
    </row>
    <row r="519" spans="1:3" x14ac:dyDescent="0.3">
      <c r="A519" s="44"/>
      <c r="B519" s="35"/>
      <c r="C519" s="35"/>
    </row>
    <row r="520" spans="1:3" x14ac:dyDescent="0.3">
      <c r="A520" s="44"/>
      <c r="B520" s="35"/>
      <c r="C520" s="35"/>
    </row>
    <row r="521" spans="1:3" x14ac:dyDescent="0.3">
      <c r="A521" s="44"/>
      <c r="B521" s="35"/>
      <c r="C521" s="35"/>
    </row>
    <row r="522" spans="1:3" x14ac:dyDescent="0.3">
      <c r="A522" s="44"/>
      <c r="B522" s="35"/>
      <c r="C522" s="35"/>
    </row>
    <row r="523" spans="1:3" x14ac:dyDescent="0.3">
      <c r="A523" s="44"/>
      <c r="B523" s="35"/>
      <c r="C523" s="35"/>
    </row>
    <row r="524" spans="1:3" x14ac:dyDescent="0.3">
      <c r="A524" s="44"/>
      <c r="B524" s="35"/>
      <c r="C524" s="35"/>
    </row>
    <row r="525" spans="1:3" x14ac:dyDescent="0.3">
      <c r="A525" s="44"/>
      <c r="B525" s="35"/>
      <c r="C525" s="35"/>
    </row>
    <row r="526" spans="1:3" x14ac:dyDescent="0.3">
      <c r="A526" s="44"/>
      <c r="B526" s="35"/>
      <c r="C526" s="35"/>
    </row>
    <row r="527" spans="1:3" x14ac:dyDescent="0.3">
      <c r="A527" s="44"/>
      <c r="B527" s="35"/>
      <c r="C527" s="35"/>
    </row>
    <row r="528" spans="1:3" x14ac:dyDescent="0.3">
      <c r="A528" s="44"/>
      <c r="B528" s="35"/>
      <c r="C528" s="35"/>
    </row>
    <row r="529" spans="1:3" x14ac:dyDescent="0.3">
      <c r="A529" s="44"/>
      <c r="B529" s="35"/>
      <c r="C529" s="35"/>
    </row>
    <row r="530" spans="1:3" x14ac:dyDescent="0.3">
      <c r="A530" s="44"/>
      <c r="B530" s="35"/>
      <c r="C530" s="35"/>
    </row>
    <row r="531" spans="1:3" x14ac:dyDescent="0.3">
      <c r="A531" s="44"/>
      <c r="B531" s="35"/>
      <c r="C531" s="35"/>
    </row>
    <row r="532" spans="1:3" x14ac:dyDescent="0.3">
      <c r="A532" s="44"/>
      <c r="B532" s="35"/>
      <c r="C532" s="35"/>
    </row>
    <row r="533" spans="1:3" x14ac:dyDescent="0.3">
      <c r="A533" s="44"/>
      <c r="B533" s="35"/>
      <c r="C533" s="35"/>
    </row>
    <row r="534" spans="1:3" x14ac:dyDescent="0.3">
      <c r="A534" s="44"/>
      <c r="B534" s="35"/>
      <c r="C534" s="35"/>
    </row>
    <row r="535" spans="1:3" x14ac:dyDescent="0.3">
      <c r="A535" s="44"/>
      <c r="B535" s="35"/>
      <c r="C535" s="35"/>
    </row>
    <row r="536" spans="1:3" x14ac:dyDescent="0.3">
      <c r="A536" s="44"/>
      <c r="B536" s="35"/>
      <c r="C536" s="35"/>
    </row>
    <row r="537" spans="1:3" x14ac:dyDescent="0.3">
      <c r="A537" s="44"/>
      <c r="B537" s="35"/>
      <c r="C537" s="35"/>
    </row>
    <row r="538" spans="1:3" x14ac:dyDescent="0.3">
      <c r="A538" s="44"/>
      <c r="B538" s="35"/>
      <c r="C538" s="35"/>
    </row>
    <row r="539" spans="1:3" x14ac:dyDescent="0.3">
      <c r="A539" s="44"/>
      <c r="B539" s="35"/>
      <c r="C539" s="35"/>
    </row>
    <row r="540" spans="1:3" x14ac:dyDescent="0.3">
      <c r="A540" s="44"/>
      <c r="B540" s="35"/>
      <c r="C540" s="35"/>
    </row>
    <row r="541" spans="1:3" x14ac:dyDescent="0.3">
      <c r="A541" s="44"/>
      <c r="B541" s="35"/>
      <c r="C541" s="35"/>
    </row>
    <row r="542" spans="1:3" x14ac:dyDescent="0.3">
      <c r="A542" s="44"/>
      <c r="B542" s="35"/>
      <c r="C542" s="35"/>
    </row>
    <row r="543" spans="1:3" x14ac:dyDescent="0.3">
      <c r="A543" s="44"/>
      <c r="B543" s="35"/>
      <c r="C543" s="35"/>
    </row>
    <row r="544" spans="1:3" x14ac:dyDescent="0.3">
      <c r="A544" s="44"/>
      <c r="B544" s="35"/>
      <c r="C544" s="35"/>
    </row>
    <row r="545" spans="1:3" x14ac:dyDescent="0.3">
      <c r="A545" s="44"/>
      <c r="B545" s="35"/>
      <c r="C545" s="35"/>
    </row>
    <row r="546" spans="1:3" x14ac:dyDescent="0.3">
      <c r="A546" s="44"/>
      <c r="B546" s="35"/>
      <c r="C546" s="35"/>
    </row>
    <row r="547" spans="1:3" x14ac:dyDescent="0.3">
      <c r="A547" s="44"/>
      <c r="B547" s="35"/>
      <c r="C547" s="35"/>
    </row>
    <row r="548" spans="1:3" x14ac:dyDescent="0.3">
      <c r="A548" s="44"/>
      <c r="B548" s="35"/>
      <c r="C548" s="35"/>
    </row>
    <row r="549" spans="1:3" x14ac:dyDescent="0.3">
      <c r="A549" s="44"/>
      <c r="B549" s="35"/>
      <c r="C549" s="35"/>
    </row>
    <row r="550" spans="1:3" x14ac:dyDescent="0.3">
      <c r="A550" s="44"/>
      <c r="B550" s="35"/>
      <c r="C550" s="35"/>
    </row>
    <row r="551" spans="1:3" x14ac:dyDescent="0.3">
      <c r="A551" s="44"/>
      <c r="B551" s="35"/>
      <c r="C551" s="35"/>
    </row>
    <row r="552" spans="1:3" x14ac:dyDescent="0.3">
      <c r="A552" s="44"/>
      <c r="B552" s="35"/>
      <c r="C552" s="35"/>
    </row>
    <row r="553" spans="1:3" x14ac:dyDescent="0.3">
      <c r="A553" s="44"/>
      <c r="B553" s="35"/>
      <c r="C553" s="35"/>
    </row>
    <row r="554" spans="1:3" x14ac:dyDescent="0.3">
      <c r="A554" s="44"/>
      <c r="B554" s="35"/>
      <c r="C554" s="35"/>
    </row>
    <row r="555" spans="1:3" x14ac:dyDescent="0.3">
      <c r="A555" s="44"/>
      <c r="B555" s="35"/>
      <c r="C555" s="35"/>
    </row>
    <row r="556" spans="1:3" x14ac:dyDescent="0.3">
      <c r="A556" s="44"/>
      <c r="B556" s="35"/>
      <c r="C556" s="35"/>
    </row>
    <row r="557" spans="1:3" x14ac:dyDescent="0.3">
      <c r="A557" s="44"/>
      <c r="B557" s="35"/>
      <c r="C557" s="35"/>
    </row>
    <row r="558" spans="1:3" x14ac:dyDescent="0.3">
      <c r="A558" s="44"/>
      <c r="B558" s="35"/>
      <c r="C558" s="35"/>
    </row>
    <row r="559" spans="1:3" x14ac:dyDescent="0.3">
      <c r="A559" s="44"/>
      <c r="B559" s="35"/>
      <c r="C559" s="35"/>
    </row>
    <row r="560" spans="1:3" x14ac:dyDescent="0.3">
      <c r="A560" s="44"/>
      <c r="B560" s="35"/>
      <c r="C560" s="35"/>
    </row>
    <row r="561" spans="1:3" x14ac:dyDescent="0.3">
      <c r="A561" s="44"/>
      <c r="B561" s="35"/>
      <c r="C561" s="35"/>
    </row>
    <row r="562" spans="1:3" x14ac:dyDescent="0.3">
      <c r="A562" s="44"/>
      <c r="B562" s="35"/>
      <c r="C562" s="35"/>
    </row>
    <row r="563" spans="1:3" x14ac:dyDescent="0.3">
      <c r="A563" s="44"/>
      <c r="B563" s="35"/>
      <c r="C563" s="35"/>
    </row>
    <row r="564" spans="1:3" x14ac:dyDescent="0.3">
      <c r="A564" s="44"/>
      <c r="B564" s="35"/>
      <c r="C564" s="35"/>
    </row>
    <row r="565" spans="1:3" x14ac:dyDescent="0.3">
      <c r="A565" s="44"/>
      <c r="B565" s="35"/>
      <c r="C565" s="35"/>
    </row>
    <row r="566" spans="1:3" x14ac:dyDescent="0.3">
      <c r="A566" s="44"/>
      <c r="B566" s="35"/>
      <c r="C566" s="35"/>
    </row>
    <row r="567" spans="1:3" x14ac:dyDescent="0.3">
      <c r="A567" s="44"/>
      <c r="B567" s="35"/>
      <c r="C567" s="35"/>
    </row>
    <row r="568" spans="1:3" x14ac:dyDescent="0.3">
      <c r="A568" s="44"/>
      <c r="B568" s="35"/>
      <c r="C568" s="35"/>
    </row>
    <row r="569" spans="1:3" x14ac:dyDescent="0.3">
      <c r="A569" s="44"/>
      <c r="B569" s="35"/>
      <c r="C569" s="35"/>
    </row>
    <row r="570" spans="1:3" x14ac:dyDescent="0.3">
      <c r="A570" s="44"/>
      <c r="B570" s="35"/>
      <c r="C570" s="35"/>
    </row>
    <row r="571" spans="1:3" x14ac:dyDescent="0.3">
      <c r="A571" s="44"/>
      <c r="B571" s="35"/>
      <c r="C571" s="35"/>
    </row>
    <row r="572" spans="1:3" x14ac:dyDescent="0.3">
      <c r="A572" s="44"/>
      <c r="B572" s="35"/>
      <c r="C572" s="35"/>
    </row>
    <row r="573" spans="1:3" x14ac:dyDescent="0.3">
      <c r="A573" s="44"/>
      <c r="B573" s="35"/>
      <c r="C573" s="35"/>
    </row>
    <row r="574" spans="1:3" x14ac:dyDescent="0.3">
      <c r="A574" s="44"/>
      <c r="B574" s="35"/>
      <c r="C574" s="35"/>
    </row>
    <row r="575" spans="1:3" x14ac:dyDescent="0.3">
      <c r="A575" s="44"/>
      <c r="B575" s="35"/>
      <c r="C575" s="35"/>
    </row>
    <row r="576" spans="1:3" x14ac:dyDescent="0.3">
      <c r="A576" s="44"/>
      <c r="B576" s="35"/>
      <c r="C576" s="35"/>
    </row>
    <row r="577" spans="1:3" x14ac:dyDescent="0.3">
      <c r="A577" s="44"/>
      <c r="B577" s="35"/>
      <c r="C577" s="35"/>
    </row>
    <row r="578" spans="1:3" x14ac:dyDescent="0.3">
      <c r="A578" s="44"/>
      <c r="B578" s="35"/>
      <c r="C578" s="35"/>
    </row>
    <row r="579" spans="1:3" x14ac:dyDescent="0.3">
      <c r="A579" s="44"/>
      <c r="B579" s="35"/>
      <c r="C579" s="35"/>
    </row>
    <row r="580" spans="1:3" x14ac:dyDescent="0.3">
      <c r="A580" s="44"/>
      <c r="B580" s="35"/>
      <c r="C580" s="35"/>
    </row>
    <row r="581" spans="1:3" x14ac:dyDescent="0.3">
      <c r="A581" s="44"/>
      <c r="B581" s="35"/>
      <c r="C581" s="35"/>
    </row>
    <row r="582" spans="1:3" x14ac:dyDescent="0.3">
      <c r="A582" s="44"/>
      <c r="B582" s="35"/>
      <c r="C582" s="35"/>
    </row>
    <row r="583" spans="1:3" x14ac:dyDescent="0.3">
      <c r="A583" s="44"/>
      <c r="B583" s="35"/>
      <c r="C583" s="35"/>
    </row>
    <row r="584" spans="1:3" x14ac:dyDescent="0.3">
      <c r="A584" s="44"/>
      <c r="B584" s="35"/>
      <c r="C584" s="35"/>
    </row>
    <row r="585" spans="1:3" x14ac:dyDescent="0.3">
      <c r="A585" s="44"/>
      <c r="B585" s="35"/>
      <c r="C585" s="35"/>
    </row>
    <row r="586" spans="1:3" x14ac:dyDescent="0.3">
      <c r="A586" s="44"/>
      <c r="B586" s="35"/>
      <c r="C586" s="35"/>
    </row>
    <row r="587" spans="1:3" x14ac:dyDescent="0.3">
      <c r="A587" s="44"/>
      <c r="B587" s="35"/>
      <c r="C587" s="35"/>
    </row>
    <row r="588" spans="1:3" x14ac:dyDescent="0.3">
      <c r="A588" s="44"/>
      <c r="B588" s="35"/>
      <c r="C588" s="35"/>
    </row>
    <row r="589" spans="1:3" x14ac:dyDescent="0.3">
      <c r="A589" s="44"/>
      <c r="B589" s="35"/>
      <c r="C589" s="35"/>
    </row>
    <row r="590" spans="1:3" x14ac:dyDescent="0.3">
      <c r="A590" s="44"/>
      <c r="B590" s="35"/>
      <c r="C590" s="35"/>
    </row>
    <row r="591" spans="1:3" x14ac:dyDescent="0.3">
      <c r="A591" s="44"/>
      <c r="B591" s="35"/>
      <c r="C591" s="35"/>
    </row>
    <row r="592" spans="1:3" x14ac:dyDescent="0.3">
      <c r="A592" s="44"/>
      <c r="B592" s="35"/>
      <c r="C592" s="35"/>
    </row>
    <row r="593" spans="1:3" x14ac:dyDescent="0.3">
      <c r="A593" s="44"/>
      <c r="B593" s="35"/>
      <c r="C593" s="35"/>
    </row>
    <row r="594" spans="1:3" x14ac:dyDescent="0.3">
      <c r="A594" s="44"/>
      <c r="B594" s="35"/>
      <c r="C594" s="35"/>
    </row>
    <row r="595" spans="1:3" x14ac:dyDescent="0.3">
      <c r="A595" s="44"/>
      <c r="B595" s="35"/>
      <c r="C595" s="35"/>
    </row>
    <row r="596" spans="1:3" x14ac:dyDescent="0.3">
      <c r="A596" s="44"/>
      <c r="B596" s="35"/>
      <c r="C596" s="35"/>
    </row>
    <row r="597" spans="1:3" x14ac:dyDescent="0.3">
      <c r="A597" s="44"/>
      <c r="B597" s="35"/>
      <c r="C597" s="35"/>
    </row>
    <row r="598" spans="1:3" x14ac:dyDescent="0.3">
      <c r="A598" s="44"/>
      <c r="B598" s="35"/>
      <c r="C598" s="35"/>
    </row>
    <row r="599" spans="1:3" x14ac:dyDescent="0.3">
      <c r="A599" s="44"/>
      <c r="B599" s="35"/>
      <c r="C599" s="35"/>
    </row>
    <row r="600" spans="1:3" x14ac:dyDescent="0.3">
      <c r="A600" s="44"/>
      <c r="B600" s="35"/>
      <c r="C600" s="35"/>
    </row>
    <row r="601" spans="1:3" x14ac:dyDescent="0.3">
      <c r="A601" s="44"/>
      <c r="B601" s="35"/>
      <c r="C601" s="35"/>
    </row>
    <row r="602" spans="1:3" x14ac:dyDescent="0.3">
      <c r="A602" s="44"/>
      <c r="B602" s="35"/>
      <c r="C602" s="35"/>
    </row>
    <row r="603" spans="1:3" x14ac:dyDescent="0.3">
      <c r="A603" s="44"/>
      <c r="B603" s="35"/>
      <c r="C603" s="35"/>
    </row>
    <row r="604" spans="1:3" x14ac:dyDescent="0.3">
      <c r="A604" s="44"/>
      <c r="B604" s="35"/>
      <c r="C604" s="35"/>
    </row>
    <row r="605" spans="1:3" x14ac:dyDescent="0.3">
      <c r="A605" s="44"/>
      <c r="B605" s="35"/>
      <c r="C605" s="35"/>
    </row>
    <row r="606" spans="1:3" x14ac:dyDescent="0.3">
      <c r="A606" s="44"/>
      <c r="B606" s="35"/>
      <c r="C606" s="35"/>
    </row>
    <row r="607" spans="1:3" x14ac:dyDescent="0.3">
      <c r="A607" s="44"/>
      <c r="B607" s="35"/>
      <c r="C607" s="35"/>
    </row>
    <row r="608" spans="1:3" x14ac:dyDescent="0.3">
      <c r="A608" s="44"/>
      <c r="B608" s="35"/>
      <c r="C608" s="35"/>
    </row>
    <row r="609" spans="1:3" x14ac:dyDescent="0.3">
      <c r="A609" s="44"/>
      <c r="B609" s="35"/>
      <c r="C609" s="35"/>
    </row>
    <row r="610" spans="1:3" x14ac:dyDescent="0.3">
      <c r="A610" s="44"/>
      <c r="B610" s="35"/>
      <c r="C610" s="35"/>
    </row>
    <row r="611" spans="1:3" x14ac:dyDescent="0.3">
      <c r="A611" s="44"/>
      <c r="B611" s="35"/>
      <c r="C611" s="35"/>
    </row>
    <row r="612" spans="1:3" x14ac:dyDescent="0.3">
      <c r="A612" s="44"/>
      <c r="B612" s="35"/>
      <c r="C612" s="35"/>
    </row>
    <row r="613" spans="1:3" x14ac:dyDescent="0.3">
      <c r="A613" s="44"/>
      <c r="B613" s="35"/>
      <c r="C613" s="35"/>
    </row>
    <row r="614" spans="1:3" x14ac:dyDescent="0.3">
      <c r="A614" s="44"/>
      <c r="B614" s="35"/>
      <c r="C614" s="35"/>
    </row>
    <row r="615" spans="1:3" x14ac:dyDescent="0.3">
      <c r="A615" s="44"/>
      <c r="B615" s="35"/>
      <c r="C615" s="35"/>
    </row>
    <row r="616" spans="1:3" x14ac:dyDescent="0.3">
      <c r="A616" s="44"/>
      <c r="B616" s="35"/>
      <c r="C616" s="35"/>
    </row>
    <row r="617" spans="1:3" x14ac:dyDescent="0.3">
      <c r="A617" s="44"/>
      <c r="B617" s="35"/>
      <c r="C617" s="35"/>
    </row>
    <row r="618" spans="1:3" x14ac:dyDescent="0.3">
      <c r="A618" s="44"/>
      <c r="B618" s="35"/>
      <c r="C618" s="35"/>
    </row>
    <row r="619" spans="1:3" x14ac:dyDescent="0.3">
      <c r="A619" s="44"/>
      <c r="B619" s="35"/>
      <c r="C619" s="35"/>
    </row>
    <row r="620" spans="1:3" x14ac:dyDescent="0.3">
      <c r="A620" s="44"/>
      <c r="B620" s="35"/>
      <c r="C620" s="35"/>
    </row>
    <row r="621" spans="1:3" x14ac:dyDescent="0.3">
      <c r="A621" s="44"/>
      <c r="B621" s="35"/>
      <c r="C621" s="35"/>
    </row>
    <row r="622" spans="1:3" x14ac:dyDescent="0.3">
      <c r="A622" s="44"/>
      <c r="B622" s="35"/>
      <c r="C622" s="35"/>
    </row>
    <row r="623" spans="1:3" x14ac:dyDescent="0.3">
      <c r="A623" s="44"/>
      <c r="B623" s="35"/>
      <c r="C623" s="35"/>
    </row>
    <row r="624" spans="1:3" x14ac:dyDescent="0.3">
      <c r="A624" s="44"/>
      <c r="B624" s="35"/>
      <c r="C624" s="35"/>
    </row>
    <row r="625" spans="1:3" x14ac:dyDescent="0.3">
      <c r="A625" s="44"/>
      <c r="B625" s="35"/>
      <c r="C625" s="35"/>
    </row>
    <row r="626" spans="1:3" x14ac:dyDescent="0.3">
      <c r="A626" s="44"/>
      <c r="B626" s="35"/>
      <c r="C626" s="35"/>
    </row>
    <row r="627" spans="1:3" x14ac:dyDescent="0.3">
      <c r="A627" s="44"/>
      <c r="B627" s="35"/>
      <c r="C627" s="35"/>
    </row>
    <row r="628" spans="1:3" x14ac:dyDescent="0.3">
      <c r="A628" s="44"/>
      <c r="B628" s="35"/>
      <c r="C628" s="35"/>
    </row>
    <row r="629" spans="1:3" x14ac:dyDescent="0.3">
      <c r="A629" s="44"/>
      <c r="B629" s="35"/>
      <c r="C629" s="35"/>
    </row>
    <row r="630" spans="1:3" x14ac:dyDescent="0.3">
      <c r="A630" s="44"/>
      <c r="B630" s="35"/>
      <c r="C630" s="35"/>
    </row>
    <row r="631" spans="1:3" x14ac:dyDescent="0.3">
      <c r="A631" s="44"/>
      <c r="B631" s="35"/>
      <c r="C631" s="35"/>
    </row>
    <row r="632" spans="1:3" x14ac:dyDescent="0.3">
      <c r="A632" s="44"/>
      <c r="B632" s="35"/>
      <c r="C632" s="35"/>
    </row>
    <row r="633" spans="1:3" x14ac:dyDescent="0.3">
      <c r="A633" s="44"/>
      <c r="B633" s="35"/>
      <c r="C633" s="35"/>
    </row>
    <row r="634" spans="1:3" x14ac:dyDescent="0.3">
      <c r="A634" s="44"/>
      <c r="B634" s="35"/>
      <c r="C634" s="35"/>
    </row>
    <row r="635" spans="1:3" x14ac:dyDescent="0.3">
      <c r="A635" s="44"/>
      <c r="B635" s="35"/>
      <c r="C635" s="35"/>
    </row>
    <row r="636" spans="1:3" x14ac:dyDescent="0.3">
      <c r="A636" s="44"/>
      <c r="B636" s="35"/>
      <c r="C636" s="35"/>
    </row>
    <row r="637" spans="1:3" x14ac:dyDescent="0.3">
      <c r="A637" s="44"/>
      <c r="B637" s="35"/>
      <c r="C637" s="35"/>
    </row>
    <row r="638" spans="1:3" x14ac:dyDescent="0.3">
      <c r="A638" s="44"/>
      <c r="B638" s="35"/>
      <c r="C638" s="35"/>
    </row>
    <row r="639" spans="1:3" x14ac:dyDescent="0.3">
      <c r="A639" s="44"/>
      <c r="B639" s="35"/>
      <c r="C639" s="35"/>
    </row>
    <row r="640" spans="1:3" x14ac:dyDescent="0.3">
      <c r="A640" s="44"/>
      <c r="B640" s="35"/>
      <c r="C640" s="35"/>
    </row>
    <row r="641" spans="1:3" x14ac:dyDescent="0.3">
      <c r="A641" s="44"/>
      <c r="B641" s="35"/>
      <c r="C641" s="35"/>
    </row>
    <row r="642" spans="1:3" x14ac:dyDescent="0.3">
      <c r="A642" s="44"/>
      <c r="B642" s="35"/>
      <c r="C642" s="35"/>
    </row>
    <row r="643" spans="1:3" x14ac:dyDescent="0.3">
      <c r="A643" s="44"/>
      <c r="B643" s="35"/>
      <c r="C643" s="35"/>
    </row>
    <row r="644" spans="1:3" x14ac:dyDescent="0.3">
      <c r="A644" s="44"/>
      <c r="B644" s="35"/>
      <c r="C644" s="35"/>
    </row>
    <row r="645" spans="1:3" x14ac:dyDescent="0.3">
      <c r="A645" s="44"/>
      <c r="B645" s="35"/>
      <c r="C645" s="35"/>
    </row>
    <row r="646" spans="1:3" x14ac:dyDescent="0.3">
      <c r="A646" s="44"/>
      <c r="B646" s="35"/>
      <c r="C646" s="35"/>
    </row>
    <row r="647" spans="1:3" x14ac:dyDescent="0.3">
      <c r="A647" s="44"/>
      <c r="B647" s="35"/>
      <c r="C647" s="35"/>
    </row>
    <row r="648" spans="1:3" x14ac:dyDescent="0.3">
      <c r="A648" s="44"/>
      <c r="B648" s="35"/>
      <c r="C648" s="35"/>
    </row>
    <row r="649" spans="1:3" x14ac:dyDescent="0.3">
      <c r="A649" s="44"/>
      <c r="B649" s="35"/>
      <c r="C649" s="35"/>
    </row>
    <row r="650" spans="1:3" x14ac:dyDescent="0.3">
      <c r="A650" s="44"/>
      <c r="B650" s="35"/>
      <c r="C650" s="35"/>
    </row>
    <row r="651" spans="1:3" x14ac:dyDescent="0.3">
      <c r="A651" s="44"/>
      <c r="B651" s="35"/>
      <c r="C651" s="35"/>
    </row>
    <row r="652" spans="1:3" x14ac:dyDescent="0.3">
      <c r="A652" s="44"/>
      <c r="B652" s="35"/>
      <c r="C652" s="35"/>
    </row>
    <row r="653" spans="1:3" x14ac:dyDescent="0.3">
      <c r="A653" s="44"/>
      <c r="B653" s="35"/>
      <c r="C653" s="35"/>
    </row>
    <row r="654" spans="1:3" x14ac:dyDescent="0.3">
      <c r="A654" s="44"/>
      <c r="B654" s="35"/>
      <c r="C654" s="35"/>
    </row>
    <row r="655" spans="1:3" x14ac:dyDescent="0.3">
      <c r="A655" s="44"/>
      <c r="B655" s="35"/>
      <c r="C655" s="35"/>
    </row>
    <row r="656" spans="1:3" x14ac:dyDescent="0.3">
      <c r="A656" s="44"/>
      <c r="B656" s="35"/>
      <c r="C656" s="35"/>
    </row>
    <row r="657" spans="1:3" x14ac:dyDescent="0.3">
      <c r="A657" s="44"/>
      <c r="B657" s="35"/>
      <c r="C657" s="35"/>
    </row>
    <row r="658" spans="1:3" x14ac:dyDescent="0.3">
      <c r="A658" s="44"/>
      <c r="B658" s="35"/>
      <c r="C658" s="35"/>
    </row>
    <row r="659" spans="1:3" x14ac:dyDescent="0.3">
      <c r="A659" s="44"/>
      <c r="B659" s="35"/>
      <c r="C659" s="35"/>
    </row>
    <row r="660" spans="1:3" x14ac:dyDescent="0.3">
      <c r="A660" s="44"/>
      <c r="B660" s="35"/>
      <c r="C660" s="35"/>
    </row>
    <row r="661" spans="1:3" x14ac:dyDescent="0.3">
      <c r="A661" s="44"/>
      <c r="B661" s="35"/>
      <c r="C661" s="35"/>
    </row>
    <row r="662" spans="1:3" x14ac:dyDescent="0.3">
      <c r="A662" s="44"/>
      <c r="B662" s="35"/>
      <c r="C662" s="35"/>
    </row>
    <row r="663" spans="1:3" x14ac:dyDescent="0.3">
      <c r="A663" s="44"/>
      <c r="B663" s="35"/>
      <c r="C663" s="35"/>
    </row>
    <row r="664" spans="1:3" x14ac:dyDescent="0.3">
      <c r="A664" s="44"/>
      <c r="B664" s="35"/>
      <c r="C664" s="35"/>
    </row>
    <row r="665" spans="1:3" x14ac:dyDescent="0.3">
      <c r="A665" s="44"/>
      <c r="B665" s="35"/>
      <c r="C665" s="35"/>
    </row>
    <row r="666" spans="1:3" x14ac:dyDescent="0.3">
      <c r="A666" s="44"/>
      <c r="B666" s="35"/>
      <c r="C666" s="35"/>
    </row>
    <row r="667" spans="1:3" x14ac:dyDescent="0.3">
      <c r="A667" s="44"/>
      <c r="B667" s="35"/>
      <c r="C667" s="35"/>
    </row>
    <row r="668" spans="1:3" x14ac:dyDescent="0.3">
      <c r="A668" s="44"/>
      <c r="B668" s="35"/>
      <c r="C668" s="35"/>
    </row>
    <row r="669" spans="1:3" x14ac:dyDescent="0.3">
      <c r="A669" s="44"/>
      <c r="B669" s="35"/>
      <c r="C669" s="35"/>
    </row>
    <row r="670" spans="1:3" x14ac:dyDescent="0.3">
      <c r="A670" s="44"/>
      <c r="B670" s="35"/>
      <c r="C670" s="35"/>
    </row>
    <row r="671" spans="1:3" x14ac:dyDescent="0.3">
      <c r="A671" s="44"/>
      <c r="B671" s="35"/>
      <c r="C671" s="35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3"/>
  <sheetViews>
    <sheetView zoomScaleNormal="100" workbookViewId="0">
      <selection activeCell="J10" sqref="J10"/>
    </sheetView>
  </sheetViews>
  <sheetFormatPr defaultColWidth="9" defaultRowHeight="14" x14ac:dyDescent="0.3"/>
  <cols>
    <col min="1" max="16384" width="9" style="11"/>
  </cols>
  <sheetData>
    <row r="1" spans="1:12" x14ac:dyDescent="0.25">
      <c r="A1" s="20" t="s">
        <v>16</v>
      </c>
      <c r="B1" s="20" t="s">
        <v>17</v>
      </c>
      <c r="C1" s="20" t="s">
        <v>18</v>
      </c>
      <c r="D1" s="48"/>
      <c r="E1" s="48"/>
    </row>
    <row r="2" spans="1:12" x14ac:dyDescent="0.25">
      <c r="A2" s="21">
        <v>1</v>
      </c>
      <c r="B2" s="21">
        <v>1</v>
      </c>
      <c r="C2" s="21">
        <v>5.3999999999999995</v>
      </c>
      <c r="D2" s="48">
        <v>1</v>
      </c>
      <c r="E2" s="48" cm="1">
        <f t="array" ref="E2:E5">C2:C5/$I$3:$I$6</f>
        <v>5.926458546571137</v>
      </c>
      <c r="F2" s="11">
        <f>D2*$I$17+$I$16</f>
        <v>6.2312510019997411</v>
      </c>
      <c r="G2" s="11" cm="1">
        <f t="array" ref="G2:G5">F2:F5*$I$3:$I$6</f>
        <v>5.677717163864533</v>
      </c>
      <c r="H2" s="11" t="s">
        <v>19</v>
      </c>
    </row>
    <row r="3" spans="1:12" x14ac:dyDescent="0.25">
      <c r="A3" s="21"/>
      <c r="B3" s="21">
        <v>2</v>
      </c>
      <c r="C3" s="21">
        <v>5.76</v>
      </c>
      <c r="D3" s="48">
        <v>2</v>
      </c>
      <c r="E3" s="48">
        <v>6.2322502522704344</v>
      </c>
      <c r="F3" s="11">
        <f t="shared" ref="F3:F53" si="0">D3*$I$17+$I$16</f>
        <v>6.4223679806380494</v>
      </c>
      <c r="G3" s="11">
        <v>5.9357115120655681</v>
      </c>
      <c r="H3" s="22">
        <v>1</v>
      </c>
      <c r="I3" s="23">
        <f>K3/$L$3</f>
        <v>0.91116810445325225</v>
      </c>
      <c r="K3" s="11">
        <f>AVERAGE(C2,C6,C10,C14,C18,C22,C26,C30,C34,C38,C42,C46)</f>
        <v>9.7699999999999978</v>
      </c>
      <c r="L3" s="11">
        <f>AVERAGE(K3:K6)</f>
        <v>10.7225</v>
      </c>
    </row>
    <row r="4" spans="1:12" x14ac:dyDescent="0.25">
      <c r="A4" s="21"/>
      <c r="B4" s="21">
        <v>3</v>
      </c>
      <c r="C4" s="21">
        <v>7.08</v>
      </c>
      <c r="D4" s="48">
        <v>3</v>
      </c>
      <c r="E4" s="48">
        <v>6.6243717277486907</v>
      </c>
      <c r="F4" s="11">
        <f t="shared" si="0"/>
        <v>6.6134849592763585</v>
      </c>
      <c r="G4" s="11">
        <v>7.0683644330433273</v>
      </c>
      <c r="H4" s="22">
        <v>2</v>
      </c>
      <c r="I4" s="23">
        <f t="shared" ref="I4:I6" si="1">K4/$L$3</f>
        <v>0.92422476101655382</v>
      </c>
      <c r="K4" s="11">
        <f t="shared" ref="K4:K6" si="2">AVERAGE(C3,C7,C11,C15,C19,C23,C27,C31,C35,C39,C43,C47)</f>
        <v>9.9099999999999984</v>
      </c>
    </row>
    <row r="5" spans="1:12" x14ac:dyDescent="0.25">
      <c r="A5" s="24"/>
      <c r="B5" s="24">
        <v>4</v>
      </c>
      <c r="C5" s="24">
        <v>7.68</v>
      </c>
      <c r="D5" s="48">
        <v>4</v>
      </c>
      <c r="E5" s="48">
        <v>7.0084085106382981</v>
      </c>
      <c r="F5" s="11">
        <f t="shared" si="0"/>
        <v>6.8046019379146676</v>
      </c>
      <c r="G5" s="11">
        <v>7.4566633500114099</v>
      </c>
      <c r="H5" s="22">
        <v>3</v>
      </c>
      <c r="I5" s="23">
        <f t="shared" si="1"/>
        <v>1.0687806015388204</v>
      </c>
      <c r="K5" s="11">
        <f t="shared" si="2"/>
        <v>11.46</v>
      </c>
    </row>
    <row r="6" spans="1:12" x14ac:dyDescent="0.25">
      <c r="A6" s="21">
        <v>2</v>
      </c>
      <c r="B6" s="21">
        <v>1</v>
      </c>
      <c r="C6" s="21">
        <v>6.1199999999999992</v>
      </c>
      <c r="D6" s="48">
        <v>5</v>
      </c>
      <c r="E6" s="48" cm="1">
        <f t="array" ref="E6:E9">C6:C9/$I$3:$I$6</f>
        <v>6.7166530194472891</v>
      </c>
      <c r="F6" s="11">
        <f t="shared" si="0"/>
        <v>6.9957189165529758</v>
      </c>
      <c r="G6" s="11" cm="1">
        <f t="array" ref="G6:G9">F6:F9*$I$3:$I$6</f>
        <v>6.3742759444833341</v>
      </c>
      <c r="H6" s="20">
        <v>4</v>
      </c>
      <c r="I6" s="23">
        <f t="shared" si="1"/>
        <v>1.0958265329913732</v>
      </c>
      <c r="K6" s="11">
        <f t="shared" si="2"/>
        <v>11.75</v>
      </c>
    </row>
    <row r="7" spans="1:12" x14ac:dyDescent="0.25">
      <c r="A7" s="21"/>
      <c r="B7" s="21">
        <v>2</v>
      </c>
      <c r="C7" s="21">
        <v>6.3599999999999994</v>
      </c>
      <c r="D7" s="48">
        <v>6</v>
      </c>
      <c r="E7" s="48">
        <v>6.8814429868819378</v>
      </c>
      <c r="F7" s="11">
        <f t="shared" si="0"/>
        <v>7.186835895191285</v>
      </c>
      <c r="G7" s="11">
        <v>6.6422516876983559</v>
      </c>
    </row>
    <row r="8" spans="1:12" ht="14.5" thickBot="1" x14ac:dyDescent="0.3">
      <c r="A8" s="21"/>
      <c r="B8" s="21">
        <v>3</v>
      </c>
      <c r="C8" s="21">
        <v>8.52</v>
      </c>
      <c r="D8" s="48">
        <v>7</v>
      </c>
      <c r="E8" s="48">
        <v>7.9717015706806267</v>
      </c>
      <c r="F8" s="11">
        <f t="shared" si="0"/>
        <v>7.3779528738295941</v>
      </c>
      <c r="G8" s="11">
        <v>7.8854129106166617</v>
      </c>
      <c r="H8" s="11" t="s">
        <v>20</v>
      </c>
    </row>
    <row r="9" spans="1:12" x14ac:dyDescent="0.25">
      <c r="A9" s="24"/>
      <c r="B9" s="24">
        <v>4</v>
      </c>
      <c r="C9" s="24">
        <v>9.1199999999999992</v>
      </c>
      <c r="D9" s="48">
        <v>8</v>
      </c>
      <c r="E9" s="48">
        <v>8.3224851063829792</v>
      </c>
      <c r="F9" s="11">
        <f t="shared" si="0"/>
        <v>7.5690698524679023</v>
      </c>
      <c r="G9" s="11">
        <v>8.2943875743994262</v>
      </c>
      <c r="H9" s="57" t="s">
        <v>21</v>
      </c>
      <c r="I9" s="25" t="s">
        <v>22</v>
      </c>
      <c r="J9" s="23">
        <f>G50</f>
        <v>14.03642253129016</v>
      </c>
    </row>
    <row r="10" spans="1:12" ht="14.25" customHeight="1" x14ac:dyDescent="0.25">
      <c r="A10" s="21">
        <v>3</v>
      </c>
      <c r="B10" s="21">
        <v>1</v>
      </c>
      <c r="C10" s="21">
        <v>6.6</v>
      </c>
      <c r="D10" s="48">
        <v>9</v>
      </c>
      <c r="E10" s="48" cm="1">
        <f t="array" ref="E10:E13">C10:C13/$I$3:$I$6</f>
        <v>7.2434493346980569</v>
      </c>
      <c r="F10" s="11">
        <f t="shared" si="0"/>
        <v>7.7601868311062114</v>
      </c>
      <c r="G10" s="11" cm="1">
        <f t="array" ref="G10:G13">F10:F13*$I$3:$I$6</f>
        <v>7.0708347251021371</v>
      </c>
      <c r="H10" s="58"/>
      <c r="I10" s="25" t="s">
        <v>23</v>
      </c>
      <c r="J10" s="23">
        <f t="shared" ref="J10:J12" si="3">G51</f>
        <v>14.414193619659013</v>
      </c>
    </row>
    <row r="11" spans="1:12" ht="14.25" customHeight="1" x14ac:dyDescent="0.25">
      <c r="A11" s="21"/>
      <c r="B11" s="21">
        <v>2</v>
      </c>
      <c r="C11" s="21">
        <v>6.6</v>
      </c>
      <c r="D11" s="48">
        <v>10</v>
      </c>
      <c r="E11" s="48">
        <v>7.14112008072654</v>
      </c>
      <c r="F11" s="11">
        <f t="shared" si="0"/>
        <v>7.9513038097445197</v>
      </c>
      <c r="G11" s="11">
        <v>7.3487918633311429</v>
      </c>
      <c r="H11" s="58"/>
      <c r="I11" s="25" t="s">
        <v>24</v>
      </c>
      <c r="J11" s="23">
        <f t="shared" si="3"/>
        <v>16.872946163923338</v>
      </c>
    </row>
    <row r="12" spans="1:12" ht="14.25" customHeight="1" thickBot="1" x14ac:dyDescent="0.3">
      <c r="A12" s="21"/>
      <c r="B12" s="21">
        <v>3</v>
      </c>
      <c r="C12" s="21">
        <v>8.76</v>
      </c>
      <c r="D12" s="48">
        <v>11</v>
      </c>
      <c r="E12" s="48">
        <v>8.1962565445026172</v>
      </c>
      <c r="F12" s="11">
        <f t="shared" si="0"/>
        <v>8.1424207883828288</v>
      </c>
      <c r="G12" s="11">
        <v>8.7024613881899953</v>
      </c>
      <c r="H12" s="59"/>
      <c r="I12" s="25" t="s">
        <v>25</v>
      </c>
      <c r="J12" s="23">
        <f t="shared" si="3"/>
        <v>17.509354042667614</v>
      </c>
    </row>
    <row r="13" spans="1:12" x14ac:dyDescent="0.25">
      <c r="A13" s="24"/>
      <c r="B13" s="24">
        <v>4</v>
      </c>
      <c r="C13" s="24">
        <v>9.6</v>
      </c>
      <c r="D13" s="48">
        <v>12</v>
      </c>
      <c r="E13" s="48">
        <v>8.7605106382978732</v>
      </c>
      <c r="F13" s="11">
        <f t="shared" si="0"/>
        <v>8.3335377670211379</v>
      </c>
      <c r="G13" s="11">
        <v>9.1321117987874434</v>
      </c>
    </row>
    <row r="14" spans="1:12" x14ac:dyDescent="0.25">
      <c r="A14" s="21">
        <v>4</v>
      </c>
      <c r="B14" s="21">
        <v>1</v>
      </c>
      <c r="C14" s="21">
        <v>7.4399999999999995</v>
      </c>
      <c r="D14" s="48">
        <v>13</v>
      </c>
      <c r="E14" s="48" cm="1">
        <f t="array" ref="E14:E17">C14:C17/$I$3:$I$6</f>
        <v>8.1653428863869006</v>
      </c>
      <c r="F14" s="11">
        <f t="shared" si="0"/>
        <v>8.524654745659447</v>
      </c>
      <c r="G14" s="11" cm="1">
        <f t="array" ref="G14:G17">F14:F17*$I$3:$I$6</f>
        <v>7.7673935057209391</v>
      </c>
    </row>
    <row r="15" spans="1:12" x14ac:dyDescent="0.25">
      <c r="A15" s="21"/>
      <c r="B15" s="21">
        <v>2</v>
      </c>
      <c r="C15" s="21">
        <v>7.56</v>
      </c>
      <c r="D15" s="48">
        <v>14</v>
      </c>
      <c r="E15" s="48">
        <v>8.1798284561049446</v>
      </c>
      <c r="F15" s="11">
        <f t="shared" si="0"/>
        <v>8.7157717242977562</v>
      </c>
      <c r="G15" s="11">
        <v>8.0553320389639307</v>
      </c>
    </row>
    <row r="16" spans="1:12" x14ac:dyDescent="0.25">
      <c r="A16" s="21"/>
      <c r="B16" s="21">
        <v>3</v>
      </c>
      <c r="C16" s="21">
        <v>9.6</v>
      </c>
      <c r="D16" s="48">
        <v>15</v>
      </c>
      <c r="E16" s="48">
        <v>8.98219895287958</v>
      </c>
      <c r="F16" s="11">
        <f t="shared" si="0"/>
        <v>8.9068887029360653</v>
      </c>
      <c r="G16" s="11">
        <v>9.5195098657633306</v>
      </c>
      <c r="H16" s="11" t="s">
        <v>40</v>
      </c>
      <c r="I16" s="11">
        <f>INTERCEPT(E2:E49,D2:D49)</f>
        <v>6.040134023361432</v>
      </c>
    </row>
    <row r="17" spans="1:9" x14ac:dyDescent="0.25">
      <c r="A17" s="24"/>
      <c r="B17" s="24">
        <v>4</v>
      </c>
      <c r="C17" s="24">
        <v>10.199999999999999</v>
      </c>
      <c r="D17" s="48">
        <v>16</v>
      </c>
      <c r="E17" s="48">
        <v>9.3080425531914894</v>
      </c>
      <c r="F17" s="11">
        <f t="shared" si="0"/>
        <v>9.0980056815743726</v>
      </c>
      <c r="G17" s="11">
        <v>9.9698360231754606</v>
      </c>
      <c r="H17" s="11" t="s">
        <v>41</v>
      </c>
      <c r="I17" s="11">
        <f>SLOPE(E2:E49,D2:D49)</f>
        <v>0.19111697863830882</v>
      </c>
    </row>
    <row r="18" spans="1:9" x14ac:dyDescent="0.25">
      <c r="A18" s="21">
        <v>5</v>
      </c>
      <c r="B18" s="21">
        <v>1</v>
      </c>
      <c r="C18" s="26">
        <v>8.52</v>
      </c>
      <c r="D18" s="48">
        <v>17</v>
      </c>
      <c r="E18" s="48" cm="1">
        <f t="array" ref="E18:E21">C18:C21/$I$3:$I$6</f>
        <v>9.3506345957011288</v>
      </c>
      <c r="F18" s="11">
        <f t="shared" si="0"/>
        <v>9.2891226602126817</v>
      </c>
      <c r="G18" s="11" cm="1">
        <f t="array" ref="G18:G21">F18:F21*$I$3:$I$6</f>
        <v>8.4639522863397421</v>
      </c>
    </row>
    <row r="19" spans="1:9" x14ac:dyDescent="0.25">
      <c r="A19" s="21"/>
      <c r="B19" s="21">
        <v>2</v>
      </c>
      <c r="C19" s="27">
        <v>8.76</v>
      </c>
      <c r="D19" s="48">
        <v>18</v>
      </c>
      <c r="E19" s="48">
        <v>9.4782139253279531</v>
      </c>
      <c r="F19" s="11">
        <f t="shared" si="0"/>
        <v>9.4802396388509909</v>
      </c>
      <c r="G19" s="11">
        <v>8.7618722145967176</v>
      </c>
    </row>
    <row r="20" spans="1:9" x14ac:dyDescent="0.25">
      <c r="A20" s="21"/>
      <c r="B20" s="21">
        <v>3</v>
      </c>
      <c r="C20" s="27">
        <v>10.199999999999999</v>
      </c>
      <c r="D20" s="48">
        <v>19</v>
      </c>
      <c r="E20" s="48">
        <v>9.5435863874345532</v>
      </c>
      <c r="F20" s="11">
        <f t="shared" si="0"/>
        <v>9.6713566174893</v>
      </c>
      <c r="G20" s="11">
        <v>10.336558343336666</v>
      </c>
    </row>
    <row r="21" spans="1:9" x14ac:dyDescent="0.25">
      <c r="A21" s="24"/>
      <c r="B21" s="24">
        <v>4</v>
      </c>
      <c r="C21" s="28">
        <v>10.56</v>
      </c>
      <c r="D21" s="48">
        <v>20</v>
      </c>
      <c r="E21" s="48">
        <v>9.6365617021276613</v>
      </c>
      <c r="F21" s="11">
        <f t="shared" si="0"/>
        <v>9.8624735961276073</v>
      </c>
      <c r="G21" s="11">
        <v>10.807560247563476</v>
      </c>
    </row>
    <row r="22" spans="1:9" x14ac:dyDescent="0.25">
      <c r="A22" s="21">
        <v>6</v>
      </c>
      <c r="B22" s="21">
        <v>1</v>
      </c>
      <c r="C22" s="26">
        <v>9.8399999999999981</v>
      </c>
      <c r="D22" s="48">
        <v>21</v>
      </c>
      <c r="E22" s="48" cm="1">
        <f t="array" ref="E22:E25">C22:C25/$I$3:$I$6</f>
        <v>10.799324462640739</v>
      </c>
      <c r="F22" s="11">
        <f t="shared" si="0"/>
        <v>10.053590574765916</v>
      </c>
      <c r="G22" s="11" cm="1">
        <f t="array" ref="G22:G25">F22:F25*$I$3:$I$6</f>
        <v>9.1605110669585432</v>
      </c>
    </row>
    <row r="23" spans="1:9" x14ac:dyDescent="0.25">
      <c r="A23" s="21"/>
      <c r="B23" s="21">
        <v>2</v>
      </c>
      <c r="C23" s="27">
        <v>9.9600000000000009</v>
      </c>
      <c r="D23" s="48">
        <v>22</v>
      </c>
      <c r="E23" s="48">
        <v>10.776599394550962</v>
      </c>
      <c r="F23" s="11">
        <f t="shared" si="0"/>
        <v>10.244707553404226</v>
      </c>
      <c r="G23" s="11">
        <v>9.4684123902295045</v>
      </c>
    </row>
    <row r="24" spans="1:9" x14ac:dyDescent="0.25">
      <c r="A24" s="21"/>
      <c r="B24" s="21">
        <v>3</v>
      </c>
      <c r="C24" s="27">
        <v>10.799999999999999</v>
      </c>
      <c r="D24" s="48">
        <v>23</v>
      </c>
      <c r="E24" s="48">
        <v>10.104973821989526</v>
      </c>
      <c r="F24" s="11">
        <f t="shared" si="0"/>
        <v>10.435824532042535</v>
      </c>
      <c r="G24" s="11">
        <v>11.153606820909999</v>
      </c>
    </row>
    <row r="25" spans="1:9" x14ac:dyDescent="0.25">
      <c r="A25" s="24"/>
      <c r="B25" s="24">
        <v>4</v>
      </c>
      <c r="C25" s="28">
        <v>11.04</v>
      </c>
      <c r="D25" s="48">
        <v>24</v>
      </c>
      <c r="E25" s="48">
        <v>10.074587234042554</v>
      </c>
      <c r="F25" s="11">
        <f t="shared" si="0"/>
        <v>10.626941510680844</v>
      </c>
      <c r="G25" s="11">
        <v>11.645284471951495</v>
      </c>
    </row>
    <row r="26" spans="1:9" x14ac:dyDescent="0.25">
      <c r="A26" s="21">
        <v>7</v>
      </c>
      <c r="B26" s="21">
        <v>1</v>
      </c>
      <c r="C26" s="26">
        <v>10.199999999999999</v>
      </c>
      <c r="D26" s="48">
        <v>25</v>
      </c>
      <c r="E26" s="48" cm="1">
        <f t="array" ref="E26:E29">C26:C29/$I$3:$I$6</f>
        <v>11.194421699078815</v>
      </c>
      <c r="F26" s="11">
        <f t="shared" si="0"/>
        <v>10.818058489319153</v>
      </c>
      <c r="G26" s="11" cm="1">
        <f t="array" ref="G26:G29">F26:F29*$I$3:$I$6</f>
        <v>9.8570698475773462</v>
      </c>
    </row>
    <row r="27" spans="1:9" x14ac:dyDescent="0.25">
      <c r="A27" s="21"/>
      <c r="B27" s="21">
        <v>2</v>
      </c>
      <c r="C27" s="27">
        <v>10.56</v>
      </c>
      <c r="D27" s="48">
        <v>26</v>
      </c>
      <c r="E27" s="48">
        <v>11.425792129162465</v>
      </c>
      <c r="F27" s="11">
        <f t="shared" si="0"/>
        <v>11.009175467957462</v>
      </c>
      <c r="G27" s="11">
        <v>10.174952565862293</v>
      </c>
    </row>
    <row r="28" spans="1:9" x14ac:dyDescent="0.25">
      <c r="A28" s="21"/>
      <c r="B28" s="21">
        <v>3</v>
      </c>
      <c r="C28" s="27">
        <v>11.76</v>
      </c>
      <c r="D28" s="48">
        <v>27</v>
      </c>
      <c r="E28" s="48">
        <v>11.003193717277485</v>
      </c>
      <c r="F28" s="11">
        <f t="shared" si="0"/>
        <v>11.200292446595771</v>
      </c>
      <c r="G28" s="11">
        <v>11.970655298483335</v>
      </c>
    </row>
    <row r="29" spans="1:9" x14ac:dyDescent="0.25">
      <c r="A29" s="24"/>
      <c r="B29" s="24">
        <v>4</v>
      </c>
      <c r="C29" s="28">
        <v>11.88</v>
      </c>
      <c r="D29" s="48">
        <v>28</v>
      </c>
      <c r="E29" s="48">
        <v>10.841131914893618</v>
      </c>
      <c r="F29" s="11">
        <f t="shared" si="0"/>
        <v>11.391409425234079</v>
      </c>
      <c r="G29" s="11">
        <v>12.483008696339512</v>
      </c>
    </row>
    <row r="30" spans="1:9" x14ac:dyDescent="0.25">
      <c r="A30" s="21">
        <v>8</v>
      </c>
      <c r="B30" s="21">
        <v>1</v>
      </c>
      <c r="C30" s="26">
        <v>11.28</v>
      </c>
      <c r="D30" s="48">
        <v>29</v>
      </c>
      <c r="E30" s="48" cm="1">
        <f t="array" ref="E30:E33">C30:C33/$I$3:$I$6</f>
        <v>12.379713408393043</v>
      </c>
      <c r="F30" s="11">
        <f t="shared" si="0"/>
        <v>11.582526403872388</v>
      </c>
      <c r="G30" s="11" cm="1">
        <f t="array" ref="G30:G33">F30:F33*$I$3:$I$6</f>
        <v>10.553628628196147</v>
      </c>
    </row>
    <row r="31" spans="1:9" x14ac:dyDescent="0.25">
      <c r="A31" s="21"/>
      <c r="B31" s="21">
        <v>2</v>
      </c>
      <c r="C31" s="27">
        <v>11.16</v>
      </c>
      <c r="D31" s="48">
        <v>30</v>
      </c>
      <c r="E31" s="48">
        <v>12.074984863773969</v>
      </c>
      <c r="F31" s="11">
        <f t="shared" si="0"/>
        <v>11.773643382510697</v>
      </c>
      <c r="G31" s="11">
        <v>10.881492741495078</v>
      </c>
    </row>
    <row r="32" spans="1:9" x14ac:dyDescent="0.25">
      <c r="A32" s="21"/>
      <c r="B32" s="21">
        <v>3</v>
      </c>
      <c r="C32" s="27">
        <v>12.719999999999999</v>
      </c>
      <c r="D32" s="48">
        <v>31</v>
      </c>
      <c r="E32" s="48">
        <v>11.901413612565442</v>
      </c>
      <c r="F32" s="11">
        <f t="shared" si="0"/>
        <v>11.964760361149004</v>
      </c>
      <c r="G32" s="11">
        <v>12.787703776056667</v>
      </c>
    </row>
    <row r="33" spans="1:7" x14ac:dyDescent="0.25">
      <c r="A33" s="24"/>
      <c r="B33" s="24">
        <v>4</v>
      </c>
      <c r="C33" s="28">
        <v>12.839999999999998</v>
      </c>
      <c r="D33" s="48">
        <v>32</v>
      </c>
      <c r="E33" s="48">
        <v>11.717182978723404</v>
      </c>
      <c r="F33" s="11">
        <f t="shared" si="0"/>
        <v>12.155877339787313</v>
      </c>
      <c r="G33" s="11">
        <v>13.320732920727528</v>
      </c>
    </row>
    <row r="34" spans="1:7" x14ac:dyDescent="0.25">
      <c r="A34" s="21">
        <v>9</v>
      </c>
      <c r="B34" s="21">
        <v>1</v>
      </c>
      <c r="C34" s="26">
        <v>12</v>
      </c>
      <c r="D34" s="48">
        <v>33</v>
      </c>
      <c r="E34" s="48" cm="1">
        <f t="array" ref="E34:E37">C34:C37/$I$3:$I$6</f>
        <v>13.169907881269195</v>
      </c>
      <c r="F34" s="11">
        <f t="shared" si="0"/>
        <v>12.346994318425622</v>
      </c>
      <c r="G34" s="11" cm="1">
        <f t="array" ref="G34:G37">F34:F37*$I$3:$I$6</f>
        <v>11.25018740881495</v>
      </c>
    </row>
    <row r="35" spans="1:7" x14ac:dyDescent="0.25">
      <c r="A35" s="21"/>
      <c r="B35" s="21">
        <v>2</v>
      </c>
      <c r="C35" s="27">
        <v>12.239999999999998</v>
      </c>
      <c r="D35" s="48">
        <v>34</v>
      </c>
      <c r="E35" s="48">
        <v>13.243531786074673</v>
      </c>
      <c r="F35" s="11">
        <f t="shared" si="0"/>
        <v>12.538111297063931</v>
      </c>
      <c r="G35" s="11">
        <v>11.588032917127865</v>
      </c>
    </row>
    <row r="36" spans="1:7" x14ac:dyDescent="0.25">
      <c r="A36" s="21"/>
      <c r="B36" s="21">
        <v>3</v>
      </c>
      <c r="C36" s="27">
        <v>13.2</v>
      </c>
      <c r="D36" s="48">
        <v>35</v>
      </c>
      <c r="E36" s="48">
        <v>12.350523560209421</v>
      </c>
      <c r="F36" s="11">
        <f t="shared" si="0"/>
        <v>12.729228275702241</v>
      </c>
      <c r="G36" s="11">
        <v>13.604752253630002</v>
      </c>
    </row>
    <row r="37" spans="1:7" x14ac:dyDescent="0.25">
      <c r="A37" s="24"/>
      <c r="B37" s="24">
        <v>4</v>
      </c>
      <c r="C37" s="28">
        <v>13.56</v>
      </c>
      <c r="D37" s="48">
        <v>36</v>
      </c>
      <c r="E37" s="48">
        <v>12.374221276595746</v>
      </c>
      <c r="F37" s="11">
        <f t="shared" si="0"/>
        <v>12.92034525434055</v>
      </c>
      <c r="G37" s="11">
        <v>14.158457145115547</v>
      </c>
    </row>
    <row r="38" spans="1:7" x14ac:dyDescent="0.25">
      <c r="A38" s="21">
        <v>10</v>
      </c>
      <c r="B38" s="21">
        <v>1</v>
      </c>
      <c r="C38" s="26">
        <v>12.96</v>
      </c>
      <c r="D38" s="48">
        <v>37</v>
      </c>
      <c r="E38" s="48" cm="1">
        <f t="array" ref="E38:E41">C38:C41/$I$3:$I$6</f>
        <v>14.223500511770732</v>
      </c>
      <c r="F38" s="11">
        <f t="shared" si="0"/>
        <v>13.111462232978859</v>
      </c>
      <c r="G38" s="11" cm="1">
        <f t="array" ref="G38:G41">F38:F41*$I$3:$I$6</f>
        <v>11.946746189433753</v>
      </c>
    </row>
    <row r="39" spans="1:7" x14ac:dyDescent="0.25">
      <c r="A39" s="21"/>
      <c r="B39" s="21">
        <v>2</v>
      </c>
      <c r="C39" s="27">
        <v>12.719999999999999</v>
      </c>
      <c r="D39" s="48">
        <v>38</v>
      </c>
      <c r="E39" s="48">
        <v>13.762885973763876</v>
      </c>
      <c r="F39" s="11">
        <f t="shared" si="0"/>
        <v>13.302579211617168</v>
      </c>
      <c r="G39" s="11">
        <v>12.294573092760654</v>
      </c>
    </row>
    <row r="40" spans="1:7" x14ac:dyDescent="0.25">
      <c r="A40" s="21"/>
      <c r="B40" s="21">
        <v>3</v>
      </c>
      <c r="C40" s="27">
        <v>13.92</v>
      </c>
      <c r="D40" s="48">
        <v>39</v>
      </c>
      <c r="E40" s="48">
        <v>13.024188481675392</v>
      </c>
      <c r="F40" s="11">
        <f t="shared" si="0"/>
        <v>13.493696190255477</v>
      </c>
      <c r="G40" s="11">
        <v>14.421800731203337</v>
      </c>
    </row>
    <row r="41" spans="1:7" x14ac:dyDescent="0.25">
      <c r="A41" s="24"/>
      <c r="B41" s="24">
        <v>4</v>
      </c>
      <c r="C41" s="28">
        <v>13.68</v>
      </c>
      <c r="D41" s="48">
        <v>40</v>
      </c>
      <c r="E41" s="48">
        <v>12.483727659574468</v>
      </c>
      <c r="F41" s="11">
        <f t="shared" si="0"/>
        <v>13.684813168893784</v>
      </c>
      <c r="G41" s="11">
        <v>14.996181369503564</v>
      </c>
    </row>
    <row r="42" spans="1:7" x14ac:dyDescent="0.25">
      <c r="A42" s="21">
        <v>11</v>
      </c>
      <c r="B42" s="21">
        <v>1</v>
      </c>
      <c r="C42" s="26">
        <v>13.2</v>
      </c>
      <c r="D42" s="48">
        <v>41</v>
      </c>
      <c r="E42" s="48" cm="1">
        <f t="array" ref="E42:E45">C42:C45/$I$3:$I$6</f>
        <v>14.486898669396114</v>
      </c>
      <c r="F42" s="11">
        <f t="shared" si="0"/>
        <v>13.875930147532094</v>
      </c>
      <c r="G42" s="11" cm="1">
        <f t="array" ref="G42:G45">F42:F45*$I$3:$I$6</f>
        <v>12.643304970052554</v>
      </c>
    </row>
    <row r="43" spans="1:7" x14ac:dyDescent="0.25">
      <c r="A43" s="21"/>
      <c r="B43" s="21">
        <v>2</v>
      </c>
      <c r="C43" s="27">
        <v>13.44</v>
      </c>
      <c r="D43" s="48">
        <v>42</v>
      </c>
      <c r="E43" s="48">
        <v>14.541917255297681</v>
      </c>
      <c r="F43" s="11">
        <f t="shared" si="0"/>
        <v>14.067047126170403</v>
      </c>
      <c r="G43" s="11">
        <v>13.001113268393441</v>
      </c>
    </row>
    <row r="44" spans="1:7" x14ac:dyDescent="0.25">
      <c r="A44" s="21"/>
      <c r="B44" s="21">
        <v>3</v>
      </c>
      <c r="C44" s="27">
        <v>15.36</v>
      </c>
      <c r="D44" s="48">
        <v>43</v>
      </c>
      <c r="E44" s="48">
        <v>14.371518324607328</v>
      </c>
      <c r="F44" s="11">
        <f t="shared" si="0"/>
        <v>14.258164104808712</v>
      </c>
      <c r="G44" s="11">
        <v>15.238849208776671</v>
      </c>
    </row>
    <row r="45" spans="1:7" x14ac:dyDescent="0.25">
      <c r="A45" s="24"/>
      <c r="B45" s="24">
        <v>4</v>
      </c>
      <c r="C45" s="28">
        <v>15.12</v>
      </c>
      <c r="D45" s="48">
        <v>44</v>
      </c>
      <c r="E45" s="48">
        <v>13.797804255319148</v>
      </c>
      <c r="F45" s="11">
        <f t="shared" si="0"/>
        <v>14.449281083447019</v>
      </c>
      <c r="G45" s="11">
        <v>15.833905593891579</v>
      </c>
    </row>
    <row r="46" spans="1:7" x14ac:dyDescent="0.25">
      <c r="A46" s="21">
        <v>12</v>
      </c>
      <c r="B46" s="21">
        <v>1</v>
      </c>
      <c r="C46" s="26">
        <v>13.68</v>
      </c>
      <c r="D46" s="48">
        <v>45</v>
      </c>
      <c r="E46" s="48" cm="1">
        <f t="array" ref="E46:E49">C46:C49/$I$3:$I$6</f>
        <v>15.013694984646882</v>
      </c>
      <c r="F46" s="11">
        <f t="shared" si="0"/>
        <v>14.640398062085328</v>
      </c>
      <c r="G46" s="11" cm="1">
        <f t="array" ref="G46:G49">F46:F49*$I$3:$I$6</f>
        <v>13.339863750671356</v>
      </c>
    </row>
    <row r="47" spans="1:7" x14ac:dyDescent="0.25">
      <c r="A47" s="21"/>
      <c r="B47" s="21">
        <v>2</v>
      </c>
      <c r="C47" s="27">
        <v>13.799999999999999</v>
      </c>
      <c r="D47" s="48">
        <v>46</v>
      </c>
      <c r="E47" s="48">
        <v>14.931432896064583</v>
      </c>
      <c r="F47" s="11">
        <f t="shared" si="0"/>
        <v>14.831515040723637</v>
      </c>
      <c r="G47" s="11">
        <v>13.707653444026228</v>
      </c>
    </row>
    <row r="48" spans="1:7" x14ac:dyDescent="0.25">
      <c r="A48" s="21"/>
      <c r="B48" s="21">
        <v>3</v>
      </c>
      <c r="C48" s="27">
        <v>15.6</v>
      </c>
      <c r="D48" s="48">
        <v>47</v>
      </c>
      <c r="E48" s="48">
        <v>14.596073298429317</v>
      </c>
      <c r="F48" s="11">
        <f t="shared" si="0"/>
        <v>15.022632019361946</v>
      </c>
      <c r="G48" s="11">
        <v>16.055897686350004</v>
      </c>
    </row>
    <row r="49" spans="1:7" x14ac:dyDescent="0.25">
      <c r="A49" s="24"/>
      <c r="B49" s="24">
        <v>4</v>
      </c>
      <c r="C49" s="28">
        <v>15.719999999999999</v>
      </c>
      <c r="D49" s="48">
        <v>48</v>
      </c>
      <c r="E49" s="48">
        <v>14.345336170212766</v>
      </c>
      <c r="F49" s="11">
        <f t="shared" si="0"/>
        <v>15.213748998000256</v>
      </c>
      <c r="G49" s="11">
        <v>16.671629818279598</v>
      </c>
    </row>
    <row r="50" spans="1:7" x14ac:dyDescent="0.25">
      <c r="D50" s="48">
        <v>49</v>
      </c>
      <c r="F50" s="11">
        <f t="shared" si="0"/>
        <v>15.404865976638565</v>
      </c>
      <c r="G50" s="11" cm="1">
        <f t="array" ref="G50:G53">F50:F53*$I$3:$I$6</f>
        <v>14.03642253129016</v>
      </c>
    </row>
    <row r="51" spans="1:7" x14ac:dyDescent="0.25">
      <c r="D51" s="48">
        <v>50</v>
      </c>
      <c r="F51" s="11">
        <f t="shared" si="0"/>
        <v>15.595982955276872</v>
      </c>
      <c r="G51" s="11">
        <v>14.414193619659013</v>
      </c>
    </row>
    <row r="52" spans="1:7" x14ac:dyDescent="0.25">
      <c r="D52" s="48">
        <v>51</v>
      </c>
      <c r="F52" s="11">
        <f t="shared" si="0"/>
        <v>15.787099933915181</v>
      </c>
      <c r="G52" s="11">
        <v>16.872946163923338</v>
      </c>
    </row>
    <row r="53" spans="1:7" x14ac:dyDescent="0.25">
      <c r="D53" s="48">
        <v>52</v>
      </c>
      <c r="F53" s="11">
        <f t="shared" si="0"/>
        <v>15.97821691255349</v>
      </c>
      <c r="G53" s="11">
        <v>17.509354042667614</v>
      </c>
    </row>
  </sheetData>
  <mergeCells count="1">
    <mergeCell ref="H9:H12"/>
  </mergeCells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zoomScale="115" zoomScaleNormal="115" workbookViewId="0">
      <selection activeCell="H13" sqref="H13"/>
    </sheetView>
  </sheetViews>
  <sheetFormatPr defaultRowHeight="14" x14ac:dyDescent="0.3"/>
  <cols>
    <col min="1" max="1" width="18.33203125" bestFit="1" customWidth="1"/>
    <col min="2" max="2" width="13.83203125" bestFit="1" customWidth="1"/>
    <col min="6" max="6" width="20.5" bestFit="1" customWidth="1"/>
    <col min="7" max="7" width="12.83203125" customWidth="1"/>
  </cols>
  <sheetData>
    <row r="1" spans="1:7" ht="28" x14ac:dyDescent="0.3">
      <c r="A1" s="13" t="s">
        <v>8</v>
      </c>
      <c r="B1" t="s">
        <v>43</v>
      </c>
      <c r="C1" t="s">
        <v>45</v>
      </c>
      <c r="D1" s="13" t="s">
        <v>9</v>
      </c>
    </row>
    <row r="2" spans="1:7" x14ac:dyDescent="0.3">
      <c r="A2" s="14">
        <v>7.5</v>
      </c>
      <c r="B2">
        <f t="shared" ref="B2:B12" si="0">SIN(A2)</f>
        <v>0.9379999767747389</v>
      </c>
      <c r="C2">
        <f t="shared" ref="C2:C12" si="1">COS(A2)</f>
        <v>0.34663531783502582</v>
      </c>
      <c r="D2" s="14">
        <v>225</v>
      </c>
      <c r="F2" s="15" t="s">
        <v>10</v>
      </c>
    </row>
    <row r="3" spans="1:7" x14ac:dyDescent="0.3">
      <c r="A3" s="14">
        <v>8.1</v>
      </c>
      <c r="B3">
        <f t="shared" si="0"/>
        <v>0.9698898108450863</v>
      </c>
      <c r="C3">
        <f t="shared" si="1"/>
        <v>-0.24354415373579111</v>
      </c>
      <c r="D3" s="14">
        <v>240</v>
      </c>
      <c r="F3" s="14" t="s">
        <v>11</v>
      </c>
      <c r="G3" s="16">
        <f>B37</f>
        <v>228.7393484889773</v>
      </c>
    </row>
    <row r="4" spans="1:7" x14ac:dyDescent="0.3">
      <c r="A4" s="14">
        <v>8.5</v>
      </c>
      <c r="B4">
        <f t="shared" si="0"/>
        <v>0.79848711262349026</v>
      </c>
      <c r="C4">
        <f t="shared" si="1"/>
        <v>-0.60201190268482363</v>
      </c>
      <c r="D4" s="14">
        <v>238</v>
      </c>
      <c r="F4" s="14" t="s">
        <v>12</v>
      </c>
      <c r="G4" s="16">
        <f t="shared" ref="G4:G5" si="2">B38</f>
        <v>3.3101838036502635</v>
      </c>
    </row>
    <row r="5" spans="1:7" x14ac:dyDescent="0.3">
      <c r="A5" s="14">
        <v>10.4</v>
      </c>
      <c r="B5">
        <f t="shared" si="0"/>
        <v>-0.82782646908565372</v>
      </c>
      <c r="C5">
        <f t="shared" si="1"/>
        <v>-0.56098425742722879</v>
      </c>
      <c r="D5" s="14">
        <v>230</v>
      </c>
      <c r="F5" s="14" t="s">
        <v>13</v>
      </c>
      <c r="G5" s="16">
        <f t="shared" si="2"/>
        <v>-16.556875209025144</v>
      </c>
    </row>
    <row r="6" spans="1:7" x14ac:dyDescent="0.3">
      <c r="A6" s="14">
        <v>11</v>
      </c>
      <c r="B6">
        <f t="shared" si="0"/>
        <v>-0.99999020655070348</v>
      </c>
      <c r="C6">
        <f t="shared" si="1"/>
        <v>4.4256979880507854E-3</v>
      </c>
      <c r="D6" s="14">
        <v>241</v>
      </c>
    </row>
    <row r="7" spans="1:7" ht="15" x14ac:dyDescent="0.3">
      <c r="A7" s="14">
        <v>13.8</v>
      </c>
      <c r="B7">
        <f t="shared" si="0"/>
        <v>0.94369566944410477</v>
      </c>
      <c r="C7">
        <f t="shared" si="1"/>
        <v>0.33081487794904696</v>
      </c>
      <c r="D7" s="14">
        <v>235</v>
      </c>
      <c r="F7" s="17" t="s">
        <v>14</v>
      </c>
      <c r="G7" s="18">
        <v>9.5</v>
      </c>
    </row>
    <row r="8" spans="1:7" ht="15" x14ac:dyDescent="0.3">
      <c r="A8" s="14">
        <v>12</v>
      </c>
      <c r="B8">
        <f t="shared" si="0"/>
        <v>-0.53657291800043494</v>
      </c>
      <c r="C8">
        <f t="shared" si="1"/>
        <v>0.84385395873249214</v>
      </c>
      <c r="D8" s="14">
        <v>200</v>
      </c>
      <c r="F8" s="19" t="s">
        <v>15</v>
      </c>
      <c r="G8" s="16">
        <f>G3+B12*G4+C12*G5</f>
        <v>245.00063941925643</v>
      </c>
    </row>
    <row r="9" spans="1:7" x14ac:dyDescent="0.3">
      <c r="A9" s="14">
        <v>14.8</v>
      </c>
      <c r="B9">
        <f t="shared" si="0"/>
        <v>0.78825206737531628</v>
      </c>
      <c r="C9">
        <f t="shared" si="1"/>
        <v>-0.61535248295472078</v>
      </c>
      <c r="D9" s="14">
        <v>235</v>
      </c>
    </row>
    <row r="10" spans="1:7" x14ac:dyDescent="0.3">
      <c r="A10" s="14">
        <v>15.3</v>
      </c>
      <c r="B10">
        <f t="shared" si="0"/>
        <v>0.39674057313061206</v>
      </c>
      <c r="C10">
        <f t="shared" si="1"/>
        <v>-0.91793078041429321</v>
      </c>
      <c r="D10" s="14">
        <v>245</v>
      </c>
    </row>
    <row r="11" spans="1:7" x14ac:dyDescent="0.3">
      <c r="A11" s="14">
        <v>14</v>
      </c>
      <c r="B11">
        <f t="shared" si="0"/>
        <v>0.99060735569487035</v>
      </c>
      <c r="C11">
        <f t="shared" si="1"/>
        <v>0.13673721820783361</v>
      </c>
      <c r="D11" s="14">
        <v>231</v>
      </c>
    </row>
    <row r="12" spans="1:7" x14ac:dyDescent="0.3">
      <c r="A12" s="56">
        <v>9.5</v>
      </c>
      <c r="B12">
        <f t="shared" si="0"/>
        <v>-7.5151120461809301E-2</v>
      </c>
      <c r="C12">
        <f t="shared" si="1"/>
        <v>-0.99717215619637845</v>
      </c>
    </row>
    <row r="21" spans="1:6" x14ac:dyDescent="0.3">
      <c r="A21" t="s">
        <v>46</v>
      </c>
    </row>
    <row r="22" spans="1:6" ht="14.5" thickBot="1" x14ac:dyDescent="0.35"/>
    <row r="23" spans="1:6" x14ac:dyDescent="0.3">
      <c r="A23" s="55" t="s">
        <v>47</v>
      </c>
      <c r="B23" s="55"/>
    </row>
    <row r="24" spans="1:6" x14ac:dyDescent="0.3">
      <c r="A24" s="52" t="s">
        <v>48</v>
      </c>
      <c r="B24" s="52">
        <v>0.77002618743528983</v>
      </c>
    </row>
    <row r="25" spans="1:6" x14ac:dyDescent="0.3">
      <c r="A25" s="52" t="s">
        <v>49</v>
      </c>
      <c r="B25" s="52">
        <v>0.59294032933612806</v>
      </c>
    </row>
    <row r="26" spans="1:6" x14ac:dyDescent="0.3">
      <c r="A26" s="52" t="s">
        <v>50</v>
      </c>
      <c r="B26" s="52">
        <v>0.47663756628930748</v>
      </c>
    </row>
    <row r="27" spans="1:6" x14ac:dyDescent="0.3">
      <c r="A27" s="52" t="s">
        <v>51</v>
      </c>
      <c r="B27" s="52">
        <v>9.1698908217519826</v>
      </c>
    </row>
    <row r="28" spans="1:6" ht="14.5" thickBot="1" x14ac:dyDescent="0.35">
      <c r="A28" s="53" t="s">
        <v>52</v>
      </c>
      <c r="B28" s="53">
        <v>10</v>
      </c>
    </row>
    <row r="30" spans="1:6" ht="14.5" thickBot="1" x14ac:dyDescent="0.35">
      <c r="A30" t="s">
        <v>53</v>
      </c>
    </row>
    <row r="31" spans="1:6" x14ac:dyDescent="0.3">
      <c r="A31" s="54"/>
      <c r="B31" s="54" t="s">
        <v>58</v>
      </c>
      <c r="C31" s="54" t="s">
        <v>59</v>
      </c>
      <c r="D31" s="54" t="s">
        <v>60</v>
      </c>
      <c r="E31" s="54" t="s">
        <v>61</v>
      </c>
      <c r="F31" s="54" t="s">
        <v>62</v>
      </c>
    </row>
    <row r="32" spans="1:6" x14ac:dyDescent="0.3">
      <c r="A32" s="52" t="s">
        <v>54</v>
      </c>
      <c r="B32" s="52">
        <v>2</v>
      </c>
      <c r="C32" s="52">
        <v>857.39171622004119</v>
      </c>
      <c r="D32" s="52">
        <v>428.69585811002059</v>
      </c>
      <c r="E32" s="52">
        <v>5.0982480020481136</v>
      </c>
      <c r="F32" s="52">
        <v>4.3033163058695922E-2</v>
      </c>
    </row>
    <row r="33" spans="1:9" x14ac:dyDescent="0.3">
      <c r="A33" s="52" t="s">
        <v>55</v>
      </c>
      <c r="B33" s="52">
        <v>7</v>
      </c>
      <c r="C33" s="52">
        <v>588.60828377995881</v>
      </c>
      <c r="D33" s="52">
        <v>84.086897682851259</v>
      </c>
      <c r="E33" s="52"/>
      <c r="F33" s="52"/>
    </row>
    <row r="34" spans="1:9" ht="14.5" thickBot="1" x14ac:dyDescent="0.35">
      <c r="A34" s="53" t="s">
        <v>56</v>
      </c>
      <c r="B34" s="53">
        <v>9</v>
      </c>
      <c r="C34" s="53">
        <v>1446</v>
      </c>
      <c r="D34" s="53"/>
      <c r="E34" s="53"/>
      <c r="F34" s="53"/>
    </row>
    <row r="35" spans="1:9" ht="14.5" thickBot="1" x14ac:dyDescent="0.35"/>
    <row r="36" spans="1:9" x14ac:dyDescent="0.3">
      <c r="A36" s="54"/>
      <c r="B36" s="54" t="s">
        <v>63</v>
      </c>
      <c r="C36" s="54" t="s">
        <v>51</v>
      </c>
      <c r="D36" s="54" t="s">
        <v>64</v>
      </c>
      <c r="E36" s="54" t="s">
        <v>65</v>
      </c>
      <c r="F36" s="54" t="s">
        <v>66</v>
      </c>
      <c r="G36" s="54" t="s">
        <v>67</v>
      </c>
      <c r="H36" s="54" t="s">
        <v>68</v>
      </c>
      <c r="I36" s="54" t="s">
        <v>69</v>
      </c>
    </row>
    <row r="37" spans="1:9" x14ac:dyDescent="0.3">
      <c r="A37" s="52" t="s">
        <v>57</v>
      </c>
      <c r="B37" s="52">
        <v>228.7393484889773</v>
      </c>
      <c r="C37" s="52">
        <v>3.2366849364294228</v>
      </c>
      <c r="D37" s="52">
        <v>70.670872507385013</v>
      </c>
      <c r="E37" s="52">
        <v>2.9867550243224553E-11</v>
      </c>
      <c r="F37" s="52">
        <v>221.08580479353122</v>
      </c>
      <c r="G37" s="52">
        <v>236.39289218442337</v>
      </c>
      <c r="H37" s="52">
        <v>221.08580479353122</v>
      </c>
      <c r="I37" s="52">
        <v>236.39289218442337</v>
      </c>
    </row>
    <row r="38" spans="1:9" x14ac:dyDescent="0.3">
      <c r="A38" s="52" t="s">
        <v>42</v>
      </c>
      <c r="B38" s="52">
        <v>3.3101838036502635</v>
      </c>
      <c r="C38" s="52">
        <v>3.7942372137870963</v>
      </c>
      <c r="D38" s="52">
        <v>0.87242405182840677</v>
      </c>
      <c r="E38" s="52">
        <v>0.41190022534205095</v>
      </c>
      <c r="F38" s="52">
        <v>-5.6617615283665437</v>
      </c>
      <c r="G38" s="52">
        <v>12.28212913566707</v>
      </c>
      <c r="H38" s="52">
        <v>-5.6617615283665437</v>
      </c>
      <c r="I38" s="52">
        <v>12.28212913566707</v>
      </c>
    </row>
    <row r="39" spans="1:9" ht="14.5" thickBot="1" x14ac:dyDescent="0.35">
      <c r="A39" s="53" t="s">
        <v>44</v>
      </c>
      <c r="B39" s="53">
        <v>-16.556875209025144</v>
      </c>
      <c r="C39" s="53">
        <v>5.5449872297267682</v>
      </c>
      <c r="D39" s="53">
        <v>-2.9859176447266571</v>
      </c>
      <c r="E39" s="53">
        <v>2.0343606666088487E-2</v>
      </c>
      <c r="F39" s="53">
        <v>-29.668686487209353</v>
      </c>
      <c r="G39" s="53">
        <v>-3.4450639308409343</v>
      </c>
      <c r="H39" s="53">
        <v>-29.668686487209353</v>
      </c>
      <c r="I39" s="53">
        <v>-3.4450639308409343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zoomScale="115" zoomScaleNormal="115" workbookViewId="0">
      <selection activeCell="G9" sqref="G9"/>
    </sheetView>
  </sheetViews>
  <sheetFormatPr defaultRowHeight="14" x14ac:dyDescent="0.3"/>
  <cols>
    <col min="1" max="1" width="22.75" bestFit="1" customWidth="1"/>
    <col min="2" max="2" width="21.08203125" customWidth="1"/>
    <col min="5" max="5" width="15.08203125" bestFit="1" customWidth="1"/>
    <col min="6" max="6" width="25" bestFit="1" customWidth="1"/>
    <col min="8" max="8" width="15.08203125" bestFit="1" customWidth="1"/>
  </cols>
  <sheetData>
    <row r="1" spans="1:7" x14ac:dyDescent="0.3">
      <c r="A1" s="13" t="s">
        <v>36</v>
      </c>
      <c r="B1" s="13" t="s">
        <v>37</v>
      </c>
      <c r="C1" s="45" t="s">
        <v>73</v>
      </c>
      <c r="D1" t="s">
        <v>71</v>
      </c>
    </row>
    <row r="2" spans="1:7" x14ac:dyDescent="0.3">
      <c r="A2" s="14">
        <v>600</v>
      </c>
      <c r="B2" s="14">
        <v>100</v>
      </c>
      <c r="C2">
        <f>POWER(A2,0.5)</f>
        <v>24.494897427831781</v>
      </c>
      <c r="D2">
        <f>LN(A2)</f>
        <v>6.3969296552161463</v>
      </c>
      <c r="F2" s="15" t="s">
        <v>10</v>
      </c>
    </row>
    <row r="3" spans="1:7" x14ac:dyDescent="0.3">
      <c r="A3" s="14">
        <v>2500</v>
      </c>
      <c r="B3" s="14">
        <v>1150</v>
      </c>
      <c r="C3">
        <f t="shared" ref="C3:C10" si="0">POWER(A3,0.5)</f>
        <v>50</v>
      </c>
      <c r="D3">
        <f t="shared" ref="D3:D10" si="1">LN(A3)</f>
        <v>7.8240460108562919</v>
      </c>
      <c r="F3" s="46" t="s">
        <v>11</v>
      </c>
      <c r="G3" s="16">
        <f>B28</f>
        <v>1436.5124752669917</v>
      </c>
    </row>
    <row r="4" spans="1:7" x14ac:dyDescent="0.3">
      <c r="A4" s="14">
        <v>2900</v>
      </c>
      <c r="B4" s="14">
        <v>1400</v>
      </c>
      <c r="C4">
        <f t="shared" si="0"/>
        <v>53.851648071345039</v>
      </c>
      <c r="D4">
        <f t="shared" si="1"/>
        <v>7.9724660159745655</v>
      </c>
      <c r="F4" s="46" t="s">
        <v>26</v>
      </c>
      <c r="G4" s="16">
        <f t="shared" ref="G4:G5" si="2">B29</f>
        <v>79.737323916786124</v>
      </c>
    </row>
    <row r="5" spans="1:7" x14ac:dyDescent="0.3">
      <c r="A5" s="14">
        <v>3200</v>
      </c>
      <c r="B5" s="14">
        <v>2000</v>
      </c>
      <c r="C5">
        <f t="shared" si="0"/>
        <v>56.568542494923804</v>
      </c>
      <c r="D5">
        <f t="shared" si="1"/>
        <v>8.0709060887878188</v>
      </c>
      <c r="F5" s="46" t="s">
        <v>27</v>
      </c>
      <c r="G5" s="16">
        <f t="shared" si="2"/>
        <v>-519.10140269617546</v>
      </c>
    </row>
    <row r="6" spans="1:7" x14ac:dyDescent="0.3">
      <c r="A6" s="14">
        <v>4100</v>
      </c>
      <c r="B6" s="14">
        <v>2500</v>
      </c>
      <c r="C6">
        <f t="shared" si="0"/>
        <v>64.031242374328485</v>
      </c>
      <c r="D6">
        <f t="shared" si="1"/>
        <v>8.3187422526923989</v>
      </c>
    </row>
    <row r="7" spans="1:7" x14ac:dyDescent="0.3">
      <c r="A7" s="14">
        <v>5400</v>
      </c>
      <c r="B7" s="14">
        <v>2700</v>
      </c>
      <c r="C7">
        <f t="shared" si="0"/>
        <v>73.484692283495349</v>
      </c>
      <c r="D7">
        <f t="shared" si="1"/>
        <v>8.5941542325523663</v>
      </c>
      <c r="F7" s="47" t="s">
        <v>38</v>
      </c>
      <c r="G7" s="15">
        <v>3000</v>
      </c>
    </row>
    <row r="8" spans="1:7" ht="15" x14ac:dyDescent="0.3">
      <c r="A8" s="14">
        <v>8600</v>
      </c>
      <c r="B8" s="14">
        <v>4200</v>
      </c>
      <c r="C8">
        <f t="shared" si="0"/>
        <v>92.736184954957039</v>
      </c>
      <c r="D8">
        <f t="shared" si="1"/>
        <v>9.0595174822415991</v>
      </c>
      <c r="F8" s="19" t="s">
        <v>39</v>
      </c>
      <c r="G8" s="16">
        <f>G3+C10*G4+D10*G5</f>
        <v>1647.7889388305775</v>
      </c>
    </row>
    <row r="9" spans="1:7" x14ac:dyDescent="0.3">
      <c r="A9" s="14">
        <v>9300</v>
      </c>
      <c r="B9" s="14">
        <v>4300</v>
      </c>
      <c r="C9">
        <f t="shared" si="0"/>
        <v>96.436507609929549</v>
      </c>
      <c r="D9">
        <f t="shared" si="1"/>
        <v>9.1377696791413481</v>
      </c>
    </row>
    <row r="10" spans="1:7" x14ac:dyDescent="0.3">
      <c r="A10" s="15">
        <v>3000</v>
      </c>
      <c r="C10">
        <f t="shared" si="0"/>
        <v>54.772255750516614</v>
      </c>
      <c r="D10">
        <f t="shared" si="1"/>
        <v>8.0063675676502459</v>
      </c>
    </row>
    <row r="12" spans="1:7" x14ac:dyDescent="0.3">
      <c r="A12" t="s">
        <v>46</v>
      </c>
    </row>
    <row r="13" spans="1:7" ht="14.5" thickBot="1" x14ac:dyDescent="0.35"/>
    <row r="14" spans="1:7" x14ac:dyDescent="0.3">
      <c r="A14" s="55" t="s">
        <v>47</v>
      </c>
      <c r="B14" s="55"/>
    </row>
    <row r="15" spans="1:7" x14ac:dyDescent="0.3">
      <c r="A15" s="52" t="s">
        <v>48</v>
      </c>
      <c r="B15" s="52">
        <v>0.99163135584359718</v>
      </c>
    </row>
    <row r="16" spans="1:7" x14ac:dyDescent="0.3">
      <c r="A16" s="52" t="s">
        <v>49</v>
      </c>
      <c r="B16" s="52">
        <v>0.98333274589221087</v>
      </c>
    </row>
    <row r="17" spans="1:9" x14ac:dyDescent="0.3">
      <c r="A17" s="52" t="s">
        <v>50</v>
      </c>
      <c r="B17" s="52">
        <v>0.97666584424909519</v>
      </c>
    </row>
    <row r="18" spans="1:9" x14ac:dyDescent="0.3">
      <c r="A18" s="52" t="s">
        <v>51</v>
      </c>
      <c r="B18" s="52">
        <v>222.65602538498052</v>
      </c>
    </row>
    <row r="19" spans="1:9" ht="14.5" thickBot="1" x14ac:dyDescent="0.35">
      <c r="A19" s="53" t="s">
        <v>52</v>
      </c>
      <c r="B19" s="53">
        <v>8</v>
      </c>
    </row>
    <row r="21" spans="1:9" ht="14.5" thickBot="1" x14ac:dyDescent="0.35">
      <c r="A21" t="s">
        <v>53</v>
      </c>
    </row>
    <row r="22" spans="1:9" x14ac:dyDescent="0.3">
      <c r="A22" s="54"/>
      <c r="B22" s="54" t="s">
        <v>58</v>
      </c>
      <c r="C22" s="54" t="s">
        <v>59</v>
      </c>
      <c r="D22" s="54" t="s">
        <v>60</v>
      </c>
      <c r="E22" s="54" t="s">
        <v>61</v>
      </c>
      <c r="F22" s="54" t="s">
        <v>62</v>
      </c>
    </row>
    <row r="23" spans="1:9" x14ac:dyDescent="0.3">
      <c r="A23" s="52" t="s">
        <v>54</v>
      </c>
      <c r="B23" s="52">
        <v>2</v>
      </c>
      <c r="C23" s="52">
        <v>14624308.971798815</v>
      </c>
      <c r="D23" s="52">
        <v>7312154.4858994074</v>
      </c>
      <c r="E23" s="52">
        <v>147.4947132162381</v>
      </c>
      <c r="F23" s="52">
        <v>3.5864116922977662E-5</v>
      </c>
    </row>
    <row r="24" spans="1:9" x14ac:dyDescent="0.3">
      <c r="A24" s="52" t="s">
        <v>55</v>
      </c>
      <c r="B24" s="52">
        <v>5</v>
      </c>
      <c r="C24" s="52">
        <v>247878.52820118549</v>
      </c>
      <c r="D24" s="52">
        <v>49575.705640237094</v>
      </c>
      <c r="E24" s="52"/>
      <c r="F24" s="52"/>
    </row>
    <row r="25" spans="1:9" ht="14.5" thickBot="1" x14ac:dyDescent="0.35">
      <c r="A25" s="53" t="s">
        <v>56</v>
      </c>
      <c r="B25" s="53">
        <v>7</v>
      </c>
      <c r="C25" s="53">
        <v>14872187.5</v>
      </c>
      <c r="D25" s="53"/>
      <c r="E25" s="53"/>
      <c r="F25" s="53"/>
    </row>
    <row r="26" spans="1:9" ht="14.5" thickBot="1" x14ac:dyDescent="0.35"/>
    <row r="27" spans="1:9" x14ac:dyDescent="0.3">
      <c r="A27" s="54"/>
      <c r="B27" s="54" t="s">
        <v>63</v>
      </c>
      <c r="C27" s="54" t="s">
        <v>51</v>
      </c>
      <c r="D27" s="54" t="s">
        <v>64</v>
      </c>
      <c r="E27" s="54" t="s">
        <v>65</v>
      </c>
      <c r="F27" s="54" t="s">
        <v>66</v>
      </c>
      <c r="G27" s="54" t="s">
        <v>67</v>
      </c>
      <c r="H27" s="54" t="s">
        <v>68</v>
      </c>
      <c r="I27" s="54" t="s">
        <v>69</v>
      </c>
    </row>
    <row r="28" spans="1:9" x14ac:dyDescent="0.3">
      <c r="A28" s="52" t="s">
        <v>57</v>
      </c>
      <c r="B28" s="52">
        <v>1436.5124752669917</v>
      </c>
      <c r="C28" s="52">
        <v>2431.0250379934751</v>
      </c>
      <c r="D28" s="52">
        <v>0.59090813661576425</v>
      </c>
      <c r="E28" s="52">
        <v>0.58028050667109876</v>
      </c>
      <c r="F28" s="52">
        <v>-4812.6363293761178</v>
      </c>
      <c r="G28" s="52">
        <v>7685.6612799101013</v>
      </c>
      <c r="H28" s="52">
        <v>-4812.6363293761178</v>
      </c>
      <c r="I28" s="52">
        <v>7685.6612799101013</v>
      </c>
    </row>
    <row r="29" spans="1:9" x14ac:dyDescent="0.3">
      <c r="A29" s="52" t="s">
        <v>72</v>
      </c>
      <c r="B29" s="52">
        <v>79.737323916786124</v>
      </c>
      <c r="C29" s="52">
        <v>15.093526920191838</v>
      </c>
      <c r="D29" s="52">
        <v>5.282882147983254</v>
      </c>
      <c r="E29" s="52">
        <v>3.2372628743901561E-3</v>
      </c>
      <c r="F29" s="52">
        <v>40.938177780053252</v>
      </c>
      <c r="G29" s="52">
        <v>118.536470053519</v>
      </c>
      <c r="H29" s="52">
        <v>40.938177780053252</v>
      </c>
      <c r="I29" s="52">
        <v>118.536470053519</v>
      </c>
    </row>
    <row r="30" spans="1:9" ht="14.5" thickBot="1" x14ac:dyDescent="0.35">
      <c r="A30" s="53" t="s">
        <v>70</v>
      </c>
      <c r="B30" s="53">
        <v>-519.10140269617546</v>
      </c>
      <c r="C30" s="53">
        <v>410.77517631057003</v>
      </c>
      <c r="D30" s="53">
        <v>-1.2637117153927151</v>
      </c>
      <c r="E30" s="53">
        <v>0.26204794122427622</v>
      </c>
      <c r="F30" s="53">
        <v>-1575.0326094504314</v>
      </c>
      <c r="G30" s="53">
        <v>536.82980405808053</v>
      </c>
      <c r="H30" s="53">
        <v>-1575.0326094504314</v>
      </c>
      <c r="I30" s="53">
        <v>536.82980405808053</v>
      </c>
    </row>
  </sheetData>
  <phoneticPr fontId="4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zoomScaleNormal="100" workbookViewId="0">
      <selection activeCell="I26" sqref="I26"/>
    </sheetView>
  </sheetViews>
  <sheetFormatPr defaultRowHeight="14" x14ac:dyDescent="0.3"/>
  <cols>
    <col min="1" max="1" width="18.33203125" bestFit="1" customWidth="1"/>
    <col min="2" max="2" width="13.83203125" bestFit="1" customWidth="1"/>
    <col min="7" max="7" width="20.5" bestFit="1" customWidth="1"/>
  </cols>
  <sheetData>
    <row r="1" spans="1:8" x14ac:dyDescent="0.3">
      <c r="A1" s="13" t="s">
        <v>8</v>
      </c>
      <c r="B1" s="13" t="s">
        <v>9</v>
      </c>
      <c r="C1" t="s">
        <v>75</v>
      </c>
      <c r="D1" t="s">
        <v>73</v>
      </c>
      <c r="E1" t="s">
        <v>77</v>
      </c>
    </row>
    <row r="2" spans="1:8" x14ac:dyDescent="0.3">
      <c r="A2" s="14">
        <v>7.5</v>
      </c>
      <c r="B2" s="14">
        <v>100</v>
      </c>
      <c r="C2">
        <f>A2</f>
        <v>7.5</v>
      </c>
      <c r="D2">
        <f t="shared" ref="D2:D12" si="0">POWER(A2,0.5)</f>
        <v>2.7386127875258306</v>
      </c>
      <c r="E2">
        <f t="shared" ref="E2:E12" si="1">POWER(A2,2)</f>
        <v>56.25</v>
      </c>
      <c r="G2" s="15" t="s">
        <v>10</v>
      </c>
    </row>
    <row r="3" spans="1:8" x14ac:dyDescent="0.3">
      <c r="A3" s="14">
        <v>8.1</v>
      </c>
      <c r="B3" s="14">
        <v>150</v>
      </c>
      <c r="C3">
        <f t="shared" ref="C3:C12" si="2">A3</f>
        <v>8.1</v>
      </c>
      <c r="D3">
        <f t="shared" si="0"/>
        <v>2.8460498941515415</v>
      </c>
      <c r="E3">
        <f t="shared" si="1"/>
        <v>65.61</v>
      </c>
      <c r="G3" s="14" t="s">
        <v>11</v>
      </c>
      <c r="H3" s="16">
        <f>B32</f>
        <v>-775.47110142055135</v>
      </c>
    </row>
    <row r="4" spans="1:8" x14ac:dyDescent="0.3">
      <c r="A4" s="14">
        <v>8.5</v>
      </c>
      <c r="B4" s="14">
        <v>160</v>
      </c>
      <c r="C4">
        <f t="shared" si="2"/>
        <v>8.5</v>
      </c>
      <c r="D4">
        <f t="shared" si="0"/>
        <v>2.9154759474226504</v>
      </c>
      <c r="E4">
        <f t="shared" si="1"/>
        <v>72.25</v>
      </c>
      <c r="G4" s="14" t="s">
        <v>26</v>
      </c>
      <c r="H4" s="16">
        <f t="shared" ref="H4:H6" si="3">B33</f>
        <v>-46.759281954273192</v>
      </c>
    </row>
    <row r="5" spans="1:8" x14ac:dyDescent="0.3">
      <c r="A5" s="14">
        <v>10.4</v>
      </c>
      <c r="B5" s="14">
        <v>180</v>
      </c>
      <c r="C5">
        <f t="shared" si="2"/>
        <v>10.4</v>
      </c>
      <c r="D5">
        <f t="shared" si="0"/>
        <v>3.2249030993194201</v>
      </c>
      <c r="E5">
        <f t="shared" si="1"/>
        <v>108.16000000000001</v>
      </c>
      <c r="G5" s="14" t="s">
        <v>27</v>
      </c>
      <c r="H5" s="16">
        <f t="shared" si="3"/>
        <v>445.035948401474</v>
      </c>
    </row>
    <row r="6" spans="1:8" x14ac:dyDescent="0.3">
      <c r="A6" s="14">
        <v>11</v>
      </c>
      <c r="B6" s="14">
        <v>230</v>
      </c>
      <c r="C6">
        <f t="shared" si="2"/>
        <v>11</v>
      </c>
      <c r="D6">
        <f t="shared" si="0"/>
        <v>3.3166247903553998</v>
      </c>
      <c r="E6">
        <f t="shared" si="1"/>
        <v>121</v>
      </c>
      <c r="G6" s="14" t="s">
        <v>28</v>
      </c>
      <c r="H6" s="16">
        <f t="shared" si="3"/>
        <v>0.35095514067120609</v>
      </c>
    </row>
    <row r="7" spans="1:8" x14ac:dyDescent="0.3">
      <c r="A7" s="14">
        <v>13.8</v>
      </c>
      <c r="B7" s="14">
        <v>300</v>
      </c>
      <c r="C7">
        <f t="shared" si="2"/>
        <v>13.8</v>
      </c>
      <c r="D7">
        <f t="shared" si="0"/>
        <v>3.714835124201342</v>
      </c>
      <c r="E7">
        <f t="shared" si="1"/>
        <v>190.44000000000003</v>
      </c>
    </row>
    <row r="8" spans="1:8" x14ac:dyDescent="0.3">
      <c r="A8" s="14">
        <v>12</v>
      </c>
      <c r="B8" s="14">
        <v>280</v>
      </c>
      <c r="C8">
        <f t="shared" si="2"/>
        <v>12</v>
      </c>
      <c r="D8">
        <f t="shared" si="0"/>
        <v>3.4641016151377544</v>
      </c>
      <c r="E8">
        <f t="shared" si="1"/>
        <v>144</v>
      </c>
    </row>
    <row r="9" spans="1:8" ht="15" x14ac:dyDescent="0.3">
      <c r="A9" s="14">
        <v>14.8</v>
      </c>
      <c r="B9" s="14">
        <v>310</v>
      </c>
      <c r="C9">
        <f t="shared" si="2"/>
        <v>14.8</v>
      </c>
      <c r="D9">
        <f t="shared" si="0"/>
        <v>3.8470768123342691</v>
      </c>
      <c r="E9">
        <f t="shared" si="1"/>
        <v>219.04000000000002</v>
      </c>
      <c r="G9" s="17" t="s">
        <v>14</v>
      </c>
      <c r="H9" s="18">
        <v>9.5</v>
      </c>
    </row>
    <row r="10" spans="1:8" ht="15" x14ac:dyDescent="0.3">
      <c r="A10" s="14">
        <v>15.3</v>
      </c>
      <c r="B10" s="14">
        <v>340</v>
      </c>
      <c r="C10">
        <f t="shared" si="2"/>
        <v>15.3</v>
      </c>
      <c r="D10">
        <f t="shared" si="0"/>
        <v>3.9115214431215892</v>
      </c>
      <c r="E10">
        <f t="shared" si="1"/>
        <v>234.09000000000003</v>
      </c>
      <c r="G10" s="19" t="s">
        <v>15</v>
      </c>
      <c r="H10" s="16">
        <f>H3+H4*C12+H5*D12+H6*E12</f>
        <v>183.68233753474209</v>
      </c>
    </row>
    <row r="11" spans="1:8" x14ac:dyDescent="0.3">
      <c r="A11" s="14">
        <v>14</v>
      </c>
      <c r="B11" s="14">
        <v>300</v>
      </c>
      <c r="C11">
        <f t="shared" si="2"/>
        <v>14</v>
      </c>
      <c r="D11">
        <f t="shared" si="0"/>
        <v>3.7416573867739413</v>
      </c>
      <c r="E11">
        <f t="shared" si="1"/>
        <v>196</v>
      </c>
    </row>
    <row r="12" spans="1:8" x14ac:dyDescent="0.3">
      <c r="A12">
        <f>H9</f>
        <v>9.5</v>
      </c>
      <c r="C12">
        <f t="shared" si="2"/>
        <v>9.5</v>
      </c>
      <c r="D12">
        <f t="shared" si="0"/>
        <v>3.082207001484488</v>
      </c>
      <c r="E12">
        <f t="shared" si="1"/>
        <v>90.25</v>
      </c>
    </row>
    <row r="16" spans="1:8" x14ac:dyDescent="0.3">
      <c r="A16" t="s">
        <v>46</v>
      </c>
    </row>
    <row r="17" spans="1:9" ht="14.5" thickBot="1" x14ac:dyDescent="0.35"/>
    <row r="18" spans="1:9" x14ac:dyDescent="0.3">
      <c r="A18" s="55" t="s">
        <v>47</v>
      </c>
      <c r="B18" s="55"/>
    </row>
    <row r="19" spans="1:9" x14ac:dyDescent="0.3">
      <c r="A19" s="52" t="s">
        <v>48</v>
      </c>
      <c r="B19" s="52">
        <v>0.98138115095248957</v>
      </c>
    </row>
    <row r="20" spans="1:9" x14ac:dyDescent="0.3">
      <c r="A20" s="52" t="s">
        <v>49</v>
      </c>
      <c r="B20" s="52">
        <v>0.9631089634448331</v>
      </c>
    </row>
    <row r="21" spans="1:9" x14ac:dyDescent="0.3">
      <c r="A21" s="52" t="s">
        <v>50</v>
      </c>
      <c r="B21" s="52">
        <v>0.94466344516724965</v>
      </c>
    </row>
    <row r="22" spans="1:9" x14ac:dyDescent="0.3">
      <c r="A22" s="52" t="s">
        <v>51</v>
      </c>
      <c r="B22" s="52">
        <v>19.406081473788795</v>
      </c>
    </row>
    <row r="23" spans="1:9" ht="14.5" thickBot="1" x14ac:dyDescent="0.35">
      <c r="A23" s="53" t="s">
        <v>52</v>
      </c>
      <c r="B23" s="53">
        <v>10</v>
      </c>
    </row>
    <row r="25" spans="1:9" ht="14.5" thickBot="1" x14ac:dyDescent="0.35">
      <c r="A25" t="s">
        <v>53</v>
      </c>
    </row>
    <row r="26" spans="1:9" x14ac:dyDescent="0.3">
      <c r="A26" s="54"/>
      <c r="B26" s="54" t="s">
        <v>58</v>
      </c>
      <c r="C26" s="54" t="s">
        <v>59</v>
      </c>
      <c r="D26" s="54" t="s">
        <v>60</v>
      </c>
      <c r="E26" s="54" t="s">
        <v>61</v>
      </c>
      <c r="F26" s="54" t="s">
        <v>62</v>
      </c>
    </row>
    <row r="27" spans="1:9" x14ac:dyDescent="0.3">
      <c r="A27" s="52" t="s">
        <v>54</v>
      </c>
      <c r="B27" s="52">
        <v>3</v>
      </c>
      <c r="C27" s="52">
        <v>58990.42401099603</v>
      </c>
      <c r="D27" s="52">
        <v>19663.474670332009</v>
      </c>
      <c r="E27" s="52">
        <v>52.213711154719064</v>
      </c>
      <c r="F27" s="52">
        <v>1.0829662993300174E-4</v>
      </c>
    </row>
    <row r="28" spans="1:9" x14ac:dyDescent="0.3">
      <c r="A28" s="52" t="s">
        <v>55</v>
      </c>
      <c r="B28" s="52">
        <v>6</v>
      </c>
      <c r="C28" s="52">
        <v>2259.5759890039722</v>
      </c>
      <c r="D28" s="52">
        <v>376.59599816732867</v>
      </c>
      <c r="E28" s="52"/>
      <c r="F28" s="52"/>
    </row>
    <row r="29" spans="1:9" ht="14.5" thickBot="1" x14ac:dyDescent="0.35">
      <c r="A29" s="53" t="s">
        <v>56</v>
      </c>
      <c r="B29" s="53">
        <v>9</v>
      </c>
      <c r="C29" s="53">
        <v>61250</v>
      </c>
      <c r="D29" s="53"/>
      <c r="E29" s="53"/>
      <c r="F29" s="53"/>
    </row>
    <row r="30" spans="1:9" ht="14.5" thickBot="1" x14ac:dyDescent="0.35"/>
    <row r="31" spans="1:9" x14ac:dyDescent="0.3">
      <c r="A31" s="54"/>
      <c r="B31" s="54" t="s">
        <v>63</v>
      </c>
      <c r="C31" s="54" t="s">
        <v>51</v>
      </c>
      <c r="D31" s="54" t="s">
        <v>64</v>
      </c>
      <c r="E31" s="54" t="s">
        <v>65</v>
      </c>
      <c r="F31" s="54" t="s">
        <v>66</v>
      </c>
      <c r="G31" s="54" t="s">
        <v>67</v>
      </c>
      <c r="H31" s="54" t="s">
        <v>68</v>
      </c>
      <c r="I31" s="54" t="s">
        <v>69</v>
      </c>
    </row>
    <row r="32" spans="1:9" x14ac:dyDescent="0.3">
      <c r="A32" s="52" t="s">
        <v>57</v>
      </c>
      <c r="B32" s="52">
        <v>-775.47110142055135</v>
      </c>
      <c r="C32" s="52">
        <v>4988.743016389918</v>
      </c>
      <c r="D32" s="52">
        <v>-0.15544418681676603</v>
      </c>
      <c r="E32" s="52">
        <v>0.88156884977329253</v>
      </c>
      <c r="F32" s="52">
        <v>-12982.485510541745</v>
      </c>
      <c r="G32" s="52">
        <v>11431.543307700642</v>
      </c>
      <c r="H32" s="52">
        <v>-12982.485510541745</v>
      </c>
      <c r="I32" s="52">
        <v>11431.543307700642</v>
      </c>
    </row>
    <row r="33" spans="1:9" x14ac:dyDescent="0.3">
      <c r="A33" s="52" t="s">
        <v>74</v>
      </c>
      <c r="B33" s="52">
        <v>-46.759281954273192</v>
      </c>
      <c r="C33" s="52">
        <v>919.25060674627741</v>
      </c>
      <c r="D33" s="52">
        <v>-5.086674037646758E-2</v>
      </c>
      <c r="E33" s="52">
        <v>0.96108284095684415</v>
      </c>
      <c r="F33" s="52">
        <v>-2296.0844857739435</v>
      </c>
      <c r="G33" s="52">
        <v>2202.5659218653968</v>
      </c>
      <c r="H33" s="52">
        <v>-2296.0844857739435</v>
      </c>
      <c r="I33" s="52">
        <v>2202.5659218653968</v>
      </c>
    </row>
    <row r="34" spans="1:9" x14ac:dyDescent="0.3">
      <c r="A34" s="52" t="s">
        <v>72</v>
      </c>
      <c r="B34" s="52">
        <v>445.035948401474</v>
      </c>
      <c r="C34" s="52">
        <v>4053.1052713297718</v>
      </c>
      <c r="D34" s="52">
        <v>0.10980123105844311</v>
      </c>
      <c r="E34" s="52">
        <v>0.91614744252463987</v>
      </c>
      <c r="F34" s="52">
        <v>-9472.5553739534935</v>
      </c>
      <c r="G34" s="52">
        <v>10362.62727075644</v>
      </c>
      <c r="H34" s="52">
        <v>-9472.5553739534935</v>
      </c>
      <c r="I34" s="52">
        <v>10362.62727075644</v>
      </c>
    </row>
    <row r="35" spans="1:9" ht="14.5" thickBot="1" x14ac:dyDescent="0.35">
      <c r="A35" s="53" t="s">
        <v>76</v>
      </c>
      <c r="B35" s="53">
        <v>0.35095514067120609</v>
      </c>
      <c r="C35" s="53">
        <v>13.717629127098089</v>
      </c>
      <c r="D35" s="53">
        <v>2.5584241811722554E-2</v>
      </c>
      <c r="E35" s="53">
        <v>0.98041863656195272</v>
      </c>
      <c r="F35" s="53">
        <v>-33.214874140036535</v>
      </c>
      <c r="G35" s="53">
        <v>33.916784421378942</v>
      </c>
      <c r="H35" s="53">
        <v>-33.214874140036535</v>
      </c>
      <c r="I35" s="53">
        <v>33.916784421378942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第1题</vt:lpstr>
      <vt:lpstr>第2题</vt:lpstr>
      <vt:lpstr>第3题</vt:lpstr>
      <vt:lpstr>第4题</vt:lpstr>
      <vt:lpstr>第5题</vt:lpstr>
      <vt:lpstr>第6题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cyz</dc:creator>
  <cp:lastModifiedBy>bin jiao</cp:lastModifiedBy>
  <dcterms:created xsi:type="dcterms:W3CDTF">2021-04-22T22:22:39Z</dcterms:created>
  <dcterms:modified xsi:type="dcterms:W3CDTF">2025-12-29T08:27:43Z</dcterms:modified>
</cp:coreProperties>
</file>