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笔记\05回归分析\"/>
    </mc:Choice>
  </mc:AlternateContent>
  <xr:revisionPtr revIDLastSave="0" documentId="13_ncr:1_{6EB482A9-3DEF-4041-AEDF-63249578FDE5}" xr6:coauthVersionLast="47" xr6:coauthVersionMax="47" xr10:uidLastSave="{00000000-0000-0000-0000-000000000000}"/>
  <bookViews>
    <workbookView xWindow="3960" yWindow="1550" windowWidth="19950" windowHeight="13700" activeTab="2" xr2:uid="{00000000-000D-0000-FFFF-FFFF00000000}"/>
  </bookViews>
  <sheets>
    <sheet name="例6-1" sheetId="1" r:id="rId1"/>
    <sheet name="方法一 回归报告法" sheetId="2" r:id="rId2"/>
    <sheet name="方法二  规划求解法 " sheetId="3" r:id="rId3"/>
  </sheets>
  <definedNames>
    <definedName name="solver_adj" localSheetId="2" hidden="1">'方法二  规划求解法 '!$H$2:$H$3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'方法二  规划求解法 '!$H$5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3" l="1"/>
  <c r="H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" i="3"/>
  <c r="I3" i="2"/>
  <c r="I2" i="2"/>
  <c r="G8" i="2"/>
  <c r="G5" i="2"/>
  <c r="G3" i="2"/>
  <c r="G2" i="2"/>
  <c r="H5" i="3" l="1"/>
</calcChain>
</file>

<file path=xl/sharedStrings.xml><?xml version="1.0" encoding="utf-8"?>
<sst xmlns="http://schemas.openxmlformats.org/spreadsheetml/2006/main" count="123" uniqueCount="57">
  <si>
    <t>年</t>
  </si>
  <si>
    <t>订购日期</t>
  </si>
  <si>
    <t>数量</t>
    <phoneticPr fontId="1" type="noConversion"/>
  </si>
  <si>
    <t>1996年</t>
  </si>
  <si>
    <t>7月</t>
  </si>
  <si>
    <t>8月</t>
  </si>
  <si>
    <t>9月</t>
  </si>
  <si>
    <t>10月</t>
  </si>
  <si>
    <t>11月</t>
  </si>
  <si>
    <t>12月</t>
  </si>
  <si>
    <t>1997年</t>
  </si>
  <si>
    <t>1月</t>
  </si>
  <si>
    <t>2月</t>
  </si>
  <si>
    <t>3月</t>
  </si>
  <si>
    <t>4月</t>
  </si>
  <si>
    <t>5月</t>
  </si>
  <si>
    <t>6月</t>
  </si>
  <si>
    <t>1998年</t>
  </si>
  <si>
    <t>销售额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</si>
  <si>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</si>
  <si>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</si>
  <si>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</si>
  <si>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</si>
  <si>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</si>
  <si>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</si>
  <si>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</si>
  <si>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</si>
  <si>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</si>
  <si>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</si>
  <si>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</si>
  <si>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</si>
  <si>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</si>
  <si>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</si>
  <si>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</si>
  <si>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</si>
  <si>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</si>
  <si>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</si>
  <si>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</si>
  <si>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</si>
  <si>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</si>
  <si>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</si>
  <si>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</si>
  <si>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</si>
  <si>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数量</t>
  </si>
  <si>
    <t>a</t>
    <phoneticPr fontId="1" type="noConversion"/>
  </si>
  <si>
    <t>b</t>
    <phoneticPr fontId="1" type="noConversion"/>
  </si>
  <si>
    <t>R^2</t>
    <phoneticPr fontId="1" type="noConversion"/>
  </si>
  <si>
    <t>数量</t>
    <phoneticPr fontId="1" type="noConversion"/>
  </si>
  <si>
    <t>销售额预测值</t>
    <phoneticPr fontId="1" type="noConversion"/>
  </si>
  <si>
    <t>a</t>
    <phoneticPr fontId="1" type="noConversion"/>
  </si>
  <si>
    <t>b</t>
    <phoneticPr fontId="1" type="noConversion"/>
  </si>
  <si>
    <t>MSE</t>
    <phoneticPr fontId="1" type="noConversion"/>
  </si>
  <si>
    <t>数量</t>
    <phoneticPr fontId="1" type="noConversion"/>
  </si>
  <si>
    <t>销售额预测值</t>
    <phoneticPr fontId="1" type="noConversion"/>
  </si>
  <si>
    <t>销售额估计值</t>
    <phoneticPr fontId="1" type="noConversion"/>
  </si>
  <si>
    <t>R^2</t>
    <phoneticPr fontId="1" type="noConversion"/>
  </si>
  <si>
    <t>文件-选项-加载项-转到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</si>
</sst>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Continuous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280314960629922"/>
          <c:y val="0.14335666375036454"/>
          <c:w val="0.82686351706036743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011154855643047E-2"/>
                  <c:y val="-1.372703412073490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100" b="1" baseline="0"/>
                      <a:t>y = 29.764x - 11480</a:t>
                    </a:r>
                    <a:br>
                      <a:rPr lang="en-US" altLang="zh-CN" sz="1100" b="1" baseline="0"/>
                    </a:br>
                    <a:r>
                      <a:rPr lang="en-US" altLang="zh-CN" sz="1100" b="1" baseline="0"/>
                      <a:t>R² = 0.9463</a:t>
                    </a:r>
                    <a:endParaRPr lang="en-US" altLang="zh-CN" sz="11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'方法一 回归报告法'!$C$2:$C$23</c:f>
              <c:numCache>
                <c:formatCode>General</c:formatCode>
                <c:ptCount val="22"/>
                <c:pt idx="0">
                  <c:v>1462</c:v>
                </c:pt>
                <c:pt idx="1">
                  <c:v>1322</c:v>
                </c:pt>
                <c:pt idx="2">
                  <c:v>1124</c:v>
                </c:pt>
                <c:pt idx="3">
                  <c:v>1738</c:v>
                </c:pt>
                <c:pt idx="4">
                  <c:v>1735</c:v>
                </c:pt>
                <c:pt idx="5">
                  <c:v>2200</c:v>
                </c:pt>
                <c:pt idx="6">
                  <c:v>2401</c:v>
                </c:pt>
                <c:pt idx="7">
                  <c:v>2132</c:v>
                </c:pt>
                <c:pt idx="8">
                  <c:v>1770</c:v>
                </c:pt>
                <c:pt idx="9">
                  <c:v>1912</c:v>
                </c:pt>
                <c:pt idx="10">
                  <c:v>2164</c:v>
                </c:pt>
                <c:pt idx="11">
                  <c:v>1635</c:v>
                </c:pt>
                <c:pt idx="12">
                  <c:v>2054</c:v>
                </c:pt>
                <c:pt idx="13">
                  <c:v>1861</c:v>
                </c:pt>
                <c:pt idx="14">
                  <c:v>2343</c:v>
                </c:pt>
                <c:pt idx="15">
                  <c:v>2679</c:v>
                </c:pt>
                <c:pt idx="16">
                  <c:v>1856</c:v>
                </c:pt>
                <c:pt idx="17">
                  <c:v>2682</c:v>
                </c:pt>
                <c:pt idx="18">
                  <c:v>3466</c:v>
                </c:pt>
                <c:pt idx="19">
                  <c:v>3115</c:v>
                </c:pt>
                <c:pt idx="20">
                  <c:v>4067</c:v>
                </c:pt>
                <c:pt idx="21">
                  <c:v>4680</c:v>
                </c:pt>
              </c:numCache>
            </c:numRef>
          </c:xVal>
          <c:yVal>
            <c:numRef>
              <c:f>'方法一 回归报告法'!$D$2:$D$23</c:f>
              <c:numCache>
                <c:formatCode>General</c:formatCode>
                <c:ptCount val="22"/>
                <c:pt idx="0">
                  <c:v>27861.894956517222</c:v>
                </c:pt>
                <c:pt idx="1">
                  <c:v>25485.274986581506</c:v>
                </c:pt>
                <c:pt idx="2">
                  <c:v>26381.399988487363</c:v>
                </c:pt>
                <c:pt idx="3">
                  <c:v>37515.724914484468</c:v>
                </c:pt>
                <c:pt idx="4">
                  <c:v>45600.044943125919</c:v>
                </c:pt>
                <c:pt idx="5">
                  <c:v>45239.629965431996</c:v>
                </c:pt>
                <c:pt idx="6">
                  <c:v>61258.069930484889</c:v>
                </c:pt>
                <c:pt idx="7">
                  <c:v>38483.634942942852</c:v>
                </c:pt>
                <c:pt idx="8">
                  <c:v>38547.219969889513</c:v>
                </c:pt>
                <c:pt idx="9">
                  <c:v>53032.952426935888</c:v>
                </c:pt>
                <c:pt idx="10">
                  <c:v>53781.28992798589</c:v>
                </c:pt>
                <c:pt idx="11">
                  <c:v>36362.802448423223</c:v>
                </c:pt>
                <c:pt idx="12">
                  <c:v>51020.857452724988</c:v>
                </c:pt>
                <c:pt idx="13">
                  <c:v>47287.669948245915</c:v>
                </c:pt>
                <c:pt idx="14">
                  <c:v>55629.242456566542</c:v>
                </c:pt>
                <c:pt idx="15">
                  <c:v>66749.225951800239</c:v>
                </c:pt>
                <c:pt idx="16">
                  <c:v>43533.808967249279</c:v>
                </c:pt>
                <c:pt idx="17">
                  <c:v>71398.428446732898</c:v>
                </c:pt>
                <c:pt idx="18">
                  <c:v>94225.310382874901</c:v>
                </c:pt>
                <c:pt idx="19">
                  <c:v>99415.287455868907</c:v>
                </c:pt>
                <c:pt idx="20">
                  <c:v>104901.65493767225</c:v>
                </c:pt>
                <c:pt idx="21">
                  <c:v>123798.68242121949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A-4070-B77A-C5FE1FE0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29632"/>
        <c:axId val="1949425888"/>
      </c:scatterChart>
      <c:valAx>
        <c:axId val="194942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9425888"/>
        <c:crosses val="autoZero"/>
        <c:crossBetween val="midCat"/>
      </c:valAx>
      <c:valAx>
        <c:axId val="19494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942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0</xdr:row>
      <xdr:rowOff>165101</xdr:rowOff>
    </xdr:from>
    <xdr:to>
      <xdr:col>7</xdr:col>
      <xdr:colOff>415925</xdr:colOff>
      <xdr:row>27</xdr:row>
      <xdr:rowOff>127000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1150" y="165101"/>
          <a:ext cx="4371975" cy="476249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6-1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　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表中的数据，销售经理观察到销售数量影响销售额，他想了解如果销售数量稳定在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时，销售额能达到多少？ 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606425</xdr:colOff>
      <xdr:row>4</xdr:row>
      <xdr:rowOff>12700</xdr:rowOff>
    </xdr:from>
    <xdr:to>
      <xdr:col>6</xdr:col>
      <xdr:colOff>6350</xdr:colOff>
      <xdr:row>27</xdr:row>
      <xdr:rowOff>22225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025" y="723900"/>
          <a:ext cx="2447925" cy="409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26</xdr:row>
      <xdr:rowOff>85725</xdr:rowOff>
    </xdr:from>
    <xdr:to>
      <xdr:col>6</xdr:col>
      <xdr:colOff>542925</xdr:colOff>
      <xdr:row>41</xdr:row>
      <xdr:rowOff>130175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34E35-2DE9-4A03-8691-446AAF8A3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196850</xdr:colOff>
      <xdr:row>50</xdr:row>
      <xdr:rowOff>19050</xdr:rowOff>
    </xdr:from>
    <xdr:to>
      <xdr:col>10</xdr:col>
      <xdr:colOff>606105</xdr:colOff>
      <xdr:row>70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292492B-FBD4-4637-823F-89254B89F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9850" y="8947150"/>
          <a:ext cx="2390455" cy="367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654050</xdr:colOff>
      <xdr:row>49</xdr:row>
      <xdr:rowOff>12701</xdr:rowOff>
    </xdr:from>
    <xdr:to>
      <xdr:col>6</xdr:col>
      <xdr:colOff>549163</xdr:colOff>
      <xdr:row>68</xdr:row>
      <xdr:rowOff>101601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51F0753-0CFF-432C-B90A-4F9BD367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050" y="8763001"/>
          <a:ext cx="4187713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77</xdr:row>
      <xdr:rowOff>88900</xdr:rowOff>
    </xdr:from>
    <xdr:to>
      <xdr:col>5</xdr:col>
      <xdr:colOff>49833</xdr:colOff>
      <xdr:row>85</xdr:row>
      <xdr:rowOff>171045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598E4FD-DB45-4D0D-938B-DE269DAB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13817600"/>
          <a:ext cx="2761283" cy="1504545"/>
        </a:xfrm>
        <a:prstGeom prst="rect">
          <a:avLst/>
        </a:prstGeom>
      </xdr:spPr>
    </xdr:pic>
    <xdr:clientData/>
  </xdr:twoCellAnchor>
  <xdr:twoCellAnchor editAs="oneCell">
    <xdr:from>
      <xdr:col>11</xdr:col>
      <xdr:colOff>141539</xdr:colOff>
      <xdr:row>45</xdr:row>
      <xdr:rowOff>120650</xdr:rowOff>
    </xdr:from>
    <xdr:to>
      <xdr:col>22</xdr:col>
      <xdr:colOff>618368</xdr:colOff>
      <xdr:row>82</xdr:row>
      <xdr:rowOff>59531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C8A6E1D-27D5-482B-B37E-4FC4921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8883" y="8216900"/>
          <a:ext cx="8354798" cy="6546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49631</xdr:colOff>
      <xdr:row>0</xdr:row>
      <xdr:rowOff>45573</xdr:rowOff>
    </xdr:from>
    <xdr:to>
      <xdr:col>13</xdr:col>
      <xdr:colOff>198073</xdr:colOff>
      <xdr:row>24</xdr:row>
      <xdr:rowOff>5040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382BBC-68D2-4095-8FD8-89955052A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258" y="45573"/>
          <a:ext cx="2789236" cy="2428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Q14" sqref="Q14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0"/>
  <sheetViews>
    <sheetView showGridLines="0" zoomScale="64" workbookViewId="0">
      <selection activeCell="G8" sqref="G8"/>
    </sheetView>
  </sheetViews>
  <sheetFormatPr defaultRowHeight="14" x14ac:dyDescent="0.3"/>
  <cols>
    <col min="3" max="4" width="8.75" bestFit="1" customWidth="1"/>
    <col min="6" max="6" width="13" bestFit="1" customWidth="1"/>
    <col min="7" max="7" width="8.75" bestFit="1" customWidth="1"/>
    <col min="9" max="10" width="8.75" bestFit="1" customWidth="1"/>
    <col min="11" max="11" width="12.83203125" bestFit="1" customWidth="1"/>
    <col min="12" max="12" width="12.33203125" bestFit="1" customWidth="1"/>
    <col min="13" max="13" width="8.75" bestFit="1" customWidth="1"/>
    <col min="14" max="14" width="12.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18</v>
      </c>
      <c r="E1" s="12"/>
    </row>
    <row r="2" spans="1:9" x14ac:dyDescent="0.3">
      <c r="A2" s="1" t="s">
        <v>3</v>
      </c>
      <c r="B2" s="1" t="s">
        <v>4</v>
      </c>
      <c r="C2" s="1">
        <v>1462</v>
      </c>
      <c r="D2" s="1">
        <v>27861.894956517222</v>
      </c>
      <c r="F2" s="1" t="s">
        <v>44</v>
      </c>
      <c r="G2" s="10">
        <f>J39</f>
        <v>-11479.524334595008</v>
      </c>
      <c r="I2">
        <f>INTERCEPT(D2:D23,C2:C23)</f>
        <v>-11479.524334595037</v>
      </c>
    </row>
    <row r="3" spans="1:9" x14ac:dyDescent="0.3">
      <c r="A3" s="1"/>
      <c r="B3" s="1" t="s">
        <v>5</v>
      </c>
      <c r="C3" s="1">
        <v>1322</v>
      </c>
      <c r="D3" s="1">
        <v>25485.274986581506</v>
      </c>
      <c r="F3" s="1" t="s">
        <v>45</v>
      </c>
      <c r="G3" s="10">
        <f>J40</f>
        <v>29.764269280196359</v>
      </c>
      <c r="I3">
        <f>SLOPE(D2:D23,C2:C23)</f>
        <v>29.764269280196377</v>
      </c>
    </row>
    <row r="4" spans="1:9" x14ac:dyDescent="0.3">
      <c r="A4" s="1"/>
      <c r="B4" s="1" t="s">
        <v>6</v>
      </c>
      <c r="C4" s="1">
        <v>1124</v>
      </c>
      <c r="D4" s="1">
        <v>26381.399988487363</v>
      </c>
      <c r="F4" s="11"/>
      <c r="G4" s="8"/>
    </row>
    <row r="5" spans="1:9" x14ac:dyDescent="0.3">
      <c r="A5" s="1"/>
      <c r="B5" s="1" t="s">
        <v>7</v>
      </c>
      <c r="C5" s="1">
        <v>1738</v>
      </c>
      <c r="D5" s="1">
        <v>37515.724914484468</v>
      </c>
      <c r="F5" s="1" t="s">
        <v>46</v>
      </c>
      <c r="G5" s="10">
        <f>J27</f>
        <v>0.9462855053136825</v>
      </c>
    </row>
    <row r="6" spans="1:9" x14ac:dyDescent="0.3">
      <c r="A6" s="1"/>
      <c r="B6" s="1" t="s">
        <v>8</v>
      </c>
      <c r="C6" s="1">
        <v>1735</v>
      </c>
      <c r="D6" s="1">
        <v>45600.044943125919</v>
      </c>
      <c r="E6" s="12"/>
    </row>
    <row r="7" spans="1:9" x14ac:dyDescent="0.3">
      <c r="A7" s="1"/>
      <c r="B7" s="1" t="s">
        <v>9</v>
      </c>
      <c r="C7" s="1">
        <v>2200</v>
      </c>
      <c r="D7" s="1">
        <v>45239.629965431996</v>
      </c>
      <c r="E7" s="12"/>
      <c r="F7" s="13" t="s">
        <v>47</v>
      </c>
      <c r="G7" s="10">
        <v>3510</v>
      </c>
    </row>
    <row r="8" spans="1:9" x14ac:dyDescent="0.3">
      <c r="A8" s="1" t="s">
        <v>10</v>
      </c>
      <c r="B8" s="1" t="s">
        <v>11</v>
      </c>
      <c r="C8" s="1">
        <v>2401</v>
      </c>
      <c r="D8" s="1">
        <v>61258.069930484889</v>
      </c>
      <c r="E8" s="12"/>
      <c r="F8" s="13" t="s">
        <v>48</v>
      </c>
      <c r="G8" s="10">
        <f>G2+G3*G7</f>
        <v>92993.06083889422</v>
      </c>
    </row>
    <row r="9" spans="1:9" x14ac:dyDescent="0.3">
      <c r="A9" s="1"/>
      <c r="B9" s="1" t="s">
        <v>12</v>
      </c>
      <c r="C9" s="1">
        <v>2132</v>
      </c>
      <c r="D9" s="1">
        <v>38483.634942942852</v>
      </c>
      <c r="E9" s="12"/>
    </row>
    <row r="10" spans="1:9" x14ac:dyDescent="0.3">
      <c r="A10" s="1"/>
      <c r="B10" s="1" t="s">
        <v>13</v>
      </c>
      <c r="C10" s="1">
        <v>1770</v>
      </c>
      <c r="D10" s="1">
        <v>38547.219969889513</v>
      </c>
      <c r="E10" s="12"/>
    </row>
    <row r="11" spans="1:9" x14ac:dyDescent="0.3">
      <c r="A11" s="1"/>
      <c r="B11" s="1" t="s">
        <v>14</v>
      </c>
      <c r="C11" s="1">
        <v>1912</v>
      </c>
      <c r="D11" s="1">
        <v>53032.952426935888</v>
      </c>
      <c r="E11" s="12"/>
    </row>
    <row r="12" spans="1:9" x14ac:dyDescent="0.3">
      <c r="A12" s="1"/>
      <c r="B12" s="1" t="s">
        <v>15</v>
      </c>
      <c r="C12" s="1">
        <v>2164</v>
      </c>
      <c r="D12" s="1">
        <v>53781.28992798589</v>
      </c>
      <c r="E12" s="12"/>
    </row>
    <row r="13" spans="1:9" x14ac:dyDescent="0.3">
      <c r="A13" s="1"/>
      <c r="B13" s="1" t="s">
        <v>16</v>
      </c>
      <c r="C13" s="1">
        <v>1635</v>
      </c>
      <c r="D13" s="1">
        <v>36362.802448423223</v>
      </c>
      <c r="E13" s="12"/>
    </row>
    <row r="14" spans="1:9" x14ac:dyDescent="0.3">
      <c r="A14" s="1"/>
      <c r="B14" s="1" t="s">
        <v>4</v>
      </c>
      <c r="C14" s="1">
        <v>2054</v>
      </c>
      <c r="D14" s="1">
        <v>51020.857452724988</v>
      </c>
      <c r="E14" s="12"/>
    </row>
    <row r="15" spans="1:9" x14ac:dyDescent="0.3">
      <c r="A15" s="1"/>
      <c r="B15" s="1" t="s">
        <v>5</v>
      </c>
      <c r="C15" s="1">
        <v>1861</v>
      </c>
      <c r="D15" s="1">
        <v>47287.669948245915</v>
      </c>
      <c r="E15" s="12"/>
    </row>
    <row r="16" spans="1:9" x14ac:dyDescent="0.3">
      <c r="A16" s="1"/>
      <c r="B16" s="1" t="s">
        <v>6</v>
      </c>
      <c r="C16" s="1">
        <v>2343</v>
      </c>
      <c r="D16" s="1">
        <v>55629.242456566542</v>
      </c>
      <c r="E16" s="12"/>
    </row>
    <row r="17" spans="1:10" x14ac:dyDescent="0.3">
      <c r="A17" s="1"/>
      <c r="B17" s="1" t="s">
        <v>7</v>
      </c>
      <c r="C17" s="1">
        <v>2679</v>
      </c>
      <c r="D17" s="1">
        <v>66749.225951800239</v>
      </c>
      <c r="E17" s="12"/>
    </row>
    <row r="18" spans="1:10" x14ac:dyDescent="0.3">
      <c r="A18" s="1"/>
      <c r="B18" s="1" t="s">
        <v>8</v>
      </c>
      <c r="C18" s="1">
        <v>1856</v>
      </c>
      <c r="D18" s="1">
        <v>43533.808967249279</v>
      </c>
      <c r="E18" s="12"/>
    </row>
    <row r="19" spans="1:10" x14ac:dyDescent="0.3">
      <c r="A19" s="1"/>
      <c r="B19" s="1" t="s">
        <v>9</v>
      </c>
      <c r="C19" s="1">
        <v>2682</v>
      </c>
      <c r="D19" s="1">
        <v>71398.428446732898</v>
      </c>
      <c r="E19" s="12"/>
    </row>
    <row r="20" spans="1:10" x14ac:dyDescent="0.3">
      <c r="A20" s="1" t="s">
        <v>17</v>
      </c>
      <c r="B20" s="1" t="s">
        <v>11</v>
      </c>
      <c r="C20" s="1">
        <v>3466</v>
      </c>
      <c r="D20" s="1">
        <v>94225.310382874901</v>
      </c>
      <c r="E20" s="12"/>
    </row>
    <row r="21" spans="1:10" x14ac:dyDescent="0.3">
      <c r="A21" s="1"/>
      <c r="B21" s="1" t="s">
        <v>12</v>
      </c>
      <c r="C21" s="1">
        <v>3115</v>
      </c>
      <c r="D21" s="1">
        <v>99415.287455868907</v>
      </c>
      <c r="E21" s="12"/>
    </row>
    <row r="22" spans="1:10" x14ac:dyDescent="0.3">
      <c r="A22" s="1"/>
      <c r="B22" s="1" t="s">
        <v>13</v>
      </c>
      <c r="C22" s="1">
        <v>4067</v>
      </c>
      <c r="D22" s="1">
        <v>104901.65493767225</v>
      </c>
      <c r="E22" s="12"/>
    </row>
    <row r="23" spans="1:10" x14ac:dyDescent="0.3">
      <c r="A23" s="1"/>
      <c r="B23" s="1" t="s">
        <v>14</v>
      </c>
      <c r="C23" s="1">
        <v>4680</v>
      </c>
      <c r="D23" s="1">
        <v>123798.68242121949</v>
      </c>
      <c r="E23" s="12"/>
      <c r="I23" t="s">
        <v>19</v>
      </c>
    </row>
    <row r="24" spans="1:10" ht="14.5" thickBot="1" x14ac:dyDescent="0.35"/>
    <row r="25" spans="1:10" x14ac:dyDescent="0.3">
      <c r="I25" s="5" t="s">
        <v>20</v>
      </c>
      <c r="J25" s="5"/>
    </row>
    <row r="26" spans="1:10" x14ac:dyDescent="0.3">
      <c r="I26" s="2" t="s">
        <v>21</v>
      </c>
      <c r="J26" s="2">
        <v>0.97277207264275556</v>
      </c>
    </row>
    <row r="27" spans="1:10" x14ac:dyDescent="0.3">
      <c r="I27" s="2" t="s">
        <v>22</v>
      </c>
      <c r="J27" s="2">
        <v>0.9462855053136825</v>
      </c>
    </row>
    <row r="28" spans="1:10" x14ac:dyDescent="0.3">
      <c r="I28" s="2" t="s">
        <v>23</v>
      </c>
      <c r="J28" s="2">
        <v>0.94359978057936666</v>
      </c>
    </row>
    <row r="29" spans="1:10" x14ac:dyDescent="0.3">
      <c r="I29" s="2" t="s">
        <v>24</v>
      </c>
      <c r="J29" s="2">
        <v>6375.8762346958374</v>
      </c>
    </row>
    <row r="30" spans="1:10" ht="14.5" thickBot="1" x14ac:dyDescent="0.35">
      <c r="I30" s="3" t="s">
        <v>25</v>
      </c>
      <c r="J30" s="3">
        <v>22</v>
      </c>
    </row>
    <row r="32" spans="1:10" ht="14.5" thickBot="1" x14ac:dyDescent="0.35">
      <c r="I32" t="s">
        <v>26</v>
      </c>
    </row>
    <row r="33" spans="9:17" x14ac:dyDescent="0.3">
      <c r="I33" s="4"/>
      <c r="J33" s="4" t="s">
        <v>31</v>
      </c>
      <c r="K33" s="4" t="s">
        <v>32</v>
      </c>
      <c r="L33" s="4" t="s">
        <v>33</v>
      </c>
      <c r="M33" s="4" t="s">
        <v>34</v>
      </c>
      <c r="N33" s="4" t="s">
        <v>35</v>
      </c>
    </row>
    <row r="34" spans="9:17" x14ac:dyDescent="0.3">
      <c r="I34" s="2" t="s">
        <v>27</v>
      </c>
      <c r="J34" s="2">
        <v>1</v>
      </c>
      <c r="K34" s="2">
        <v>14323212834.833109</v>
      </c>
      <c r="L34" s="2">
        <v>14323212834.833109</v>
      </c>
      <c r="M34" s="2">
        <v>352.33897697067135</v>
      </c>
      <c r="N34" s="2">
        <v>3.6123379787533611E-14</v>
      </c>
    </row>
    <row r="35" spans="9:17" x14ac:dyDescent="0.3">
      <c r="I35" s="2" t="s">
        <v>28</v>
      </c>
      <c r="J35" s="2">
        <v>20</v>
      </c>
      <c r="K35" s="2">
        <v>813035955.20318329</v>
      </c>
      <c r="L35" s="2">
        <v>40651797.760159165</v>
      </c>
      <c r="M35" s="2"/>
      <c r="N35" s="2"/>
    </row>
    <row r="36" spans="9:17" ht="14.5" thickBot="1" x14ac:dyDescent="0.35">
      <c r="I36" s="3" t="s">
        <v>29</v>
      </c>
      <c r="J36" s="3">
        <v>21</v>
      </c>
      <c r="K36" s="3">
        <v>15136248790.036293</v>
      </c>
      <c r="L36" s="3"/>
      <c r="M36" s="3"/>
      <c r="N36" s="3"/>
    </row>
    <row r="37" spans="9:17" ht="14.5" thickBot="1" x14ac:dyDescent="0.35"/>
    <row r="38" spans="9:17" x14ac:dyDescent="0.3">
      <c r="I38" s="4"/>
      <c r="J38" s="4" t="s">
        <v>36</v>
      </c>
      <c r="K38" s="4" t="s">
        <v>24</v>
      </c>
      <c r="L38" s="4" t="s">
        <v>37</v>
      </c>
      <c r="M38" s="4" t="s">
        <v>38</v>
      </c>
      <c r="N38" s="4" t="s">
        <v>39</v>
      </c>
      <c r="O38" s="4" t="s">
        <v>40</v>
      </c>
      <c r="P38" s="4" t="s">
        <v>41</v>
      </c>
      <c r="Q38" s="4" t="s">
        <v>42</v>
      </c>
    </row>
    <row r="39" spans="9:17" x14ac:dyDescent="0.3">
      <c r="I39" s="2" t="s">
        <v>30</v>
      </c>
      <c r="J39" s="2">
        <v>-11479.524334595008</v>
      </c>
      <c r="K39" s="2">
        <v>3878.5123281206402</v>
      </c>
      <c r="L39" s="2">
        <v>-2.9597751311409368</v>
      </c>
      <c r="M39" s="2">
        <v>7.7453588223185552E-3</v>
      </c>
      <c r="N39" s="2">
        <v>-19569.959280824693</v>
      </c>
      <c r="O39" s="2">
        <v>-3389.0893883653216</v>
      </c>
      <c r="P39" s="2">
        <v>-19569.959280824693</v>
      </c>
      <c r="Q39" s="2">
        <v>-3389.0893883653216</v>
      </c>
    </row>
    <row r="40" spans="9:17" ht="14.5" thickBot="1" x14ac:dyDescent="0.35">
      <c r="I40" s="3" t="s">
        <v>43</v>
      </c>
      <c r="J40" s="3">
        <v>29.764269280196359</v>
      </c>
      <c r="K40" s="3">
        <v>1.5856775608790274</v>
      </c>
      <c r="L40" s="3">
        <v>18.770694632076651</v>
      </c>
      <c r="M40" s="3">
        <v>3.6123379787533864E-14</v>
      </c>
      <c r="N40" s="3">
        <v>26.456603849053014</v>
      </c>
      <c r="O40" s="3">
        <v>33.071934711339701</v>
      </c>
      <c r="P40" s="3">
        <v>26.456603849053014</v>
      </c>
      <c r="Q40" s="3">
        <v>33.071934711339701</v>
      </c>
    </row>
    <row r="71" spans="3:3" x14ac:dyDescent="0.3">
      <c r="C71" t="s">
        <v>56</v>
      </c>
    </row>
    <row r="93" spans="2:3" x14ac:dyDescent="0.3">
      <c r="B93" t="s">
        <v>19</v>
      </c>
    </row>
    <row r="94" spans="2:3" ht="14.5" thickBot="1" x14ac:dyDescent="0.35"/>
    <row r="95" spans="2:3" x14ac:dyDescent="0.3">
      <c r="B95" s="5" t="s">
        <v>20</v>
      </c>
      <c r="C95" s="5"/>
    </row>
    <row r="96" spans="2:3" x14ac:dyDescent="0.3">
      <c r="B96" s="2" t="s">
        <v>21</v>
      </c>
      <c r="C96" s="2">
        <v>0.97277207264275556</v>
      </c>
    </row>
    <row r="97" spans="2:10" x14ac:dyDescent="0.3">
      <c r="B97" s="2" t="s">
        <v>22</v>
      </c>
      <c r="C97" s="2">
        <v>0.9462855053136825</v>
      </c>
    </row>
    <row r="98" spans="2:10" x14ac:dyDescent="0.3">
      <c r="B98" s="2" t="s">
        <v>23</v>
      </c>
      <c r="C98" s="2">
        <v>0.94359978057936666</v>
      </c>
    </row>
    <row r="99" spans="2:10" x14ac:dyDescent="0.3">
      <c r="B99" s="2" t="s">
        <v>24</v>
      </c>
      <c r="C99" s="2">
        <v>6375.8762346958374</v>
      </c>
    </row>
    <row r="100" spans="2:10" ht="14.5" thickBot="1" x14ac:dyDescent="0.35">
      <c r="B100" s="3" t="s">
        <v>25</v>
      </c>
      <c r="C100" s="3">
        <v>22</v>
      </c>
    </row>
    <row r="102" spans="2:10" ht="14.5" thickBot="1" x14ac:dyDescent="0.35">
      <c r="B102" t="s">
        <v>26</v>
      </c>
    </row>
    <row r="103" spans="2:10" x14ac:dyDescent="0.3">
      <c r="B103" s="4"/>
      <c r="C103" s="4" t="s">
        <v>31</v>
      </c>
      <c r="D103" s="4" t="s">
        <v>32</v>
      </c>
      <c r="E103" s="4" t="s">
        <v>33</v>
      </c>
      <c r="F103" s="4" t="s">
        <v>34</v>
      </c>
      <c r="G103" s="4" t="s">
        <v>35</v>
      </c>
    </row>
    <row r="104" spans="2:10" x14ac:dyDescent="0.3">
      <c r="B104" s="2" t="s">
        <v>27</v>
      </c>
      <c r="C104" s="2">
        <v>1</v>
      </c>
      <c r="D104" s="2">
        <v>14323212834.833109</v>
      </c>
      <c r="E104" s="2">
        <v>14323212834.833109</v>
      </c>
      <c r="F104" s="2">
        <v>352.33897697067135</v>
      </c>
      <c r="G104" s="2">
        <v>3.6123379787533611E-14</v>
      </c>
    </row>
    <row r="105" spans="2:10" x14ac:dyDescent="0.3">
      <c r="B105" s="2" t="s">
        <v>28</v>
      </c>
      <c r="C105" s="2">
        <v>20</v>
      </c>
      <c r="D105" s="2">
        <v>813035955.20318329</v>
      </c>
      <c r="E105" s="2">
        <v>40651797.760159165</v>
      </c>
      <c r="F105" s="2"/>
      <c r="G105" s="2"/>
    </row>
    <row r="106" spans="2:10" ht="14.5" thickBot="1" x14ac:dyDescent="0.35">
      <c r="B106" s="3" t="s">
        <v>29</v>
      </c>
      <c r="C106" s="3">
        <v>21</v>
      </c>
      <c r="D106" s="3">
        <v>15136248790.036293</v>
      </c>
      <c r="E106" s="3"/>
      <c r="F106" s="3"/>
      <c r="G106" s="3"/>
    </row>
    <row r="107" spans="2:10" ht="14.5" thickBot="1" x14ac:dyDescent="0.35"/>
    <row r="108" spans="2:10" x14ac:dyDescent="0.3">
      <c r="B108" s="4"/>
      <c r="C108" s="4" t="s">
        <v>36</v>
      </c>
      <c r="D108" s="4" t="s">
        <v>24</v>
      </c>
      <c r="E108" s="4" t="s">
        <v>37</v>
      </c>
      <c r="F108" s="4" t="s">
        <v>38</v>
      </c>
      <c r="G108" s="4" t="s">
        <v>39</v>
      </c>
      <c r="H108" s="4" t="s">
        <v>40</v>
      </c>
      <c r="I108" s="4" t="s">
        <v>41</v>
      </c>
      <c r="J108" s="4" t="s">
        <v>42</v>
      </c>
    </row>
    <row r="109" spans="2:10" x14ac:dyDescent="0.3">
      <c r="B109" s="2" t="s">
        <v>30</v>
      </c>
      <c r="C109" s="2">
        <v>-11479.524334595008</v>
      </c>
      <c r="D109" s="2">
        <v>3878.5123281206402</v>
      </c>
      <c r="E109" s="2">
        <v>-2.9597751311409368</v>
      </c>
      <c r="F109" s="2">
        <v>7.7453588223185552E-3</v>
      </c>
      <c r="G109" s="2">
        <v>-19569.959280824693</v>
      </c>
      <c r="H109" s="2">
        <v>-3389.0893883653216</v>
      </c>
      <c r="I109" s="2">
        <v>-19569.959280824693</v>
      </c>
      <c r="J109" s="2">
        <v>-3389.0893883653216</v>
      </c>
    </row>
    <row r="110" spans="2:10" ht="14.5" thickBot="1" x14ac:dyDescent="0.35">
      <c r="B110" s="3" t="s">
        <v>43</v>
      </c>
      <c r="C110" s="3">
        <v>29.764269280196359</v>
      </c>
      <c r="D110" s="3">
        <v>1.5856775608790274</v>
      </c>
      <c r="E110" s="3">
        <v>18.770694632076651</v>
      </c>
      <c r="F110" s="3">
        <v>3.6123379787533864E-14</v>
      </c>
      <c r="G110" s="3">
        <v>26.456603849053014</v>
      </c>
      <c r="H110" s="3">
        <v>33.071934711339701</v>
      </c>
      <c r="I110" s="3">
        <v>26.456603849053014</v>
      </c>
      <c r="J110" s="3">
        <v>33.071934711339701</v>
      </c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abSelected="1" topLeftCell="C1" zoomScale="126" workbookViewId="0">
      <selection activeCell="H8" sqref="H8"/>
    </sheetView>
  </sheetViews>
  <sheetFormatPr defaultRowHeight="14" x14ac:dyDescent="0.3"/>
  <cols>
    <col min="5" max="5" width="13" bestFit="1" customWidth="1"/>
    <col min="6" max="6" width="2.83203125" customWidth="1"/>
    <col min="7" max="7" width="13" bestFit="1" customWidth="1"/>
    <col min="8" max="8" width="13.8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18</v>
      </c>
      <c r="E1" s="13" t="s">
        <v>54</v>
      </c>
      <c r="F1" s="6"/>
      <c r="G1" s="6"/>
      <c r="H1" s="7"/>
    </row>
    <row r="2" spans="1:8" x14ac:dyDescent="0.3">
      <c r="A2" s="1" t="s">
        <v>3</v>
      </c>
      <c r="B2" s="1" t="s">
        <v>4</v>
      </c>
      <c r="C2" s="1">
        <v>1462</v>
      </c>
      <c r="D2" s="1">
        <v>27861.894956517222</v>
      </c>
      <c r="E2" s="10">
        <f>$H$2+C2*$H$3</f>
        <v>32036.038448983374</v>
      </c>
      <c r="F2" s="8"/>
      <c r="G2" s="10" t="s">
        <v>49</v>
      </c>
      <c r="H2" s="10">
        <v>-11479.101308730098</v>
      </c>
    </row>
    <row r="3" spans="1:8" x14ac:dyDescent="0.3">
      <c r="A3" s="1"/>
      <c r="B3" s="1" t="s">
        <v>5</v>
      </c>
      <c r="C3" s="1">
        <v>1322</v>
      </c>
      <c r="D3" s="1">
        <v>25485.274986581506</v>
      </c>
      <c r="E3" s="10">
        <f t="shared" ref="E3:E23" si="0">$H$2+C3*$H$3</f>
        <v>27869.062001596307</v>
      </c>
      <c r="F3" s="8"/>
      <c r="G3" s="10" t="s">
        <v>50</v>
      </c>
      <c r="H3" s="10">
        <v>29.764117481336161</v>
      </c>
    </row>
    <row r="4" spans="1:8" x14ac:dyDescent="0.3">
      <c r="A4" s="1"/>
      <c r="B4" s="1" t="s">
        <v>6</v>
      </c>
      <c r="C4" s="1">
        <v>1124</v>
      </c>
      <c r="D4" s="1">
        <v>26381.399988487363</v>
      </c>
      <c r="E4" s="10">
        <f t="shared" si="0"/>
        <v>21975.76674029175</v>
      </c>
      <c r="F4" s="8"/>
      <c r="G4" s="8"/>
      <c r="H4" s="9"/>
    </row>
    <row r="5" spans="1:8" x14ac:dyDescent="0.3">
      <c r="A5" s="1"/>
      <c r="B5" s="1" t="s">
        <v>7</v>
      </c>
      <c r="C5" s="1">
        <v>1738</v>
      </c>
      <c r="D5" s="1">
        <v>37515.724914484468</v>
      </c>
      <c r="E5" s="10">
        <f t="shared" si="0"/>
        <v>40250.93487383215</v>
      </c>
      <c r="F5" s="8"/>
      <c r="G5" s="10" t="s">
        <v>51</v>
      </c>
      <c r="H5" s="10">
        <f>SUMXMY2(D2:D23,E2:E23)/COUNT(E2:E23)</f>
        <v>36956179.804564469</v>
      </c>
    </row>
    <row r="6" spans="1:8" x14ac:dyDescent="0.3">
      <c r="A6" s="1"/>
      <c r="B6" s="1" t="s">
        <v>8</v>
      </c>
      <c r="C6" s="1">
        <v>1735</v>
      </c>
      <c r="D6" s="1">
        <v>45600.044943125919</v>
      </c>
      <c r="E6" s="10">
        <f t="shared" si="0"/>
        <v>40161.642521388145</v>
      </c>
      <c r="F6" s="8"/>
      <c r="G6" s="16" t="s">
        <v>55</v>
      </c>
      <c r="H6" s="10">
        <f>RSQ(D2:D23,C2:C23)</f>
        <v>0.94628550531368294</v>
      </c>
    </row>
    <row r="7" spans="1:8" x14ac:dyDescent="0.3">
      <c r="A7" s="1"/>
      <c r="B7" s="1" t="s">
        <v>9</v>
      </c>
      <c r="C7" s="1">
        <v>2200</v>
      </c>
      <c r="D7" s="1">
        <v>45239.629965431996</v>
      </c>
      <c r="E7" s="10">
        <f t="shared" si="0"/>
        <v>54001.957150209455</v>
      </c>
      <c r="F7" s="8"/>
      <c r="G7" s="10" t="s">
        <v>52</v>
      </c>
      <c r="H7" s="10">
        <v>3510</v>
      </c>
    </row>
    <row r="8" spans="1:8" x14ac:dyDescent="0.3">
      <c r="A8" s="1" t="s">
        <v>10</v>
      </c>
      <c r="B8" s="1" t="s">
        <v>11</v>
      </c>
      <c r="C8" s="1">
        <v>2401</v>
      </c>
      <c r="D8" s="1">
        <v>61258.069930484889</v>
      </c>
      <c r="E8" s="10">
        <f t="shared" si="0"/>
        <v>59984.544763958023</v>
      </c>
      <c r="F8" s="8"/>
      <c r="G8" s="10" t="s">
        <v>53</v>
      </c>
      <c r="H8" s="10">
        <f>H2+H7*H3</f>
        <v>92992.951050759832</v>
      </c>
    </row>
    <row r="9" spans="1:8" x14ac:dyDescent="0.3">
      <c r="A9" s="1"/>
      <c r="B9" s="1" t="s">
        <v>12</v>
      </c>
      <c r="C9" s="1">
        <v>2132</v>
      </c>
      <c r="D9" s="1">
        <v>38483.634942942852</v>
      </c>
      <c r="E9" s="10">
        <f t="shared" si="0"/>
        <v>51977.997161478597</v>
      </c>
      <c r="F9" s="8"/>
      <c r="G9" s="8"/>
      <c r="H9" s="9"/>
    </row>
    <row r="10" spans="1:8" hidden="1" x14ac:dyDescent="0.3">
      <c r="A10" s="1"/>
      <c r="B10" s="1" t="s">
        <v>13</v>
      </c>
      <c r="C10" s="1">
        <v>1770</v>
      </c>
      <c r="D10" s="1">
        <v>38547.219969889513</v>
      </c>
      <c r="E10" s="10">
        <f t="shared" si="0"/>
        <v>41203.386633234906</v>
      </c>
      <c r="F10" s="8"/>
      <c r="G10" s="8"/>
      <c r="H10" s="9"/>
    </row>
    <row r="11" spans="1:8" hidden="1" x14ac:dyDescent="0.3">
      <c r="A11" s="1"/>
      <c r="B11" s="1" t="s">
        <v>14</v>
      </c>
      <c r="C11" s="1">
        <v>1912</v>
      </c>
      <c r="D11" s="1">
        <v>53032.952426935888</v>
      </c>
      <c r="E11" s="10">
        <f t="shared" si="0"/>
        <v>45429.891315584646</v>
      </c>
      <c r="F11" s="8"/>
      <c r="G11" s="8"/>
      <c r="H11" s="9"/>
    </row>
    <row r="12" spans="1:8" hidden="1" x14ac:dyDescent="0.3">
      <c r="A12" s="1"/>
      <c r="B12" s="1" t="s">
        <v>15</v>
      </c>
      <c r="C12" s="1">
        <v>2164</v>
      </c>
      <c r="D12" s="1">
        <v>53781.28992798589</v>
      </c>
      <c r="E12" s="10">
        <f t="shared" si="0"/>
        <v>52930.448920881354</v>
      </c>
      <c r="F12" s="8"/>
      <c r="G12" s="8"/>
      <c r="H12" s="9"/>
    </row>
    <row r="13" spans="1:8" hidden="1" x14ac:dyDescent="0.3">
      <c r="A13" s="1"/>
      <c r="B13" s="1" t="s">
        <v>16</v>
      </c>
      <c r="C13" s="1">
        <v>1635</v>
      </c>
      <c r="D13" s="1">
        <v>36362.802448423223</v>
      </c>
      <c r="E13" s="10">
        <f t="shared" si="0"/>
        <v>37185.230773254523</v>
      </c>
      <c r="F13" s="8"/>
      <c r="G13" s="8"/>
      <c r="H13" s="9"/>
    </row>
    <row r="14" spans="1:8" hidden="1" x14ac:dyDescent="0.3">
      <c r="A14" s="1"/>
      <c r="B14" s="1" t="s">
        <v>4</v>
      </c>
      <c r="C14" s="1">
        <v>2054</v>
      </c>
      <c r="D14" s="1">
        <v>51020.857452724988</v>
      </c>
      <c r="E14" s="10">
        <f t="shared" si="0"/>
        <v>49656.395997934378</v>
      </c>
      <c r="F14" s="8"/>
      <c r="G14" s="8"/>
      <c r="H14" s="9"/>
    </row>
    <row r="15" spans="1:8" hidden="1" x14ac:dyDescent="0.3">
      <c r="A15" s="1"/>
      <c r="B15" s="1" t="s">
        <v>5</v>
      </c>
      <c r="C15" s="1">
        <v>1861</v>
      </c>
      <c r="D15" s="1">
        <v>47287.669948245915</v>
      </c>
      <c r="E15" s="10">
        <f t="shared" si="0"/>
        <v>43911.921324036499</v>
      </c>
      <c r="F15" s="8"/>
      <c r="G15" s="8"/>
      <c r="H15" s="9"/>
    </row>
    <row r="16" spans="1:8" hidden="1" x14ac:dyDescent="0.3">
      <c r="A16" s="1"/>
      <c r="B16" s="1" t="s">
        <v>6</v>
      </c>
      <c r="C16" s="1">
        <v>2343</v>
      </c>
      <c r="D16" s="1">
        <v>55629.242456566542</v>
      </c>
      <c r="E16" s="10">
        <f t="shared" si="0"/>
        <v>58258.225950040534</v>
      </c>
      <c r="F16" s="8"/>
      <c r="G16" s="8"/>
      <c r="H16" s="9"/>
    </row>
    <row r="17" spans="1:8" hidden="1" x14ac:dyDescent="0.3">
      <c r="A17" s="1"/>
      <c r="B17" s="1" t="s">
        <v>7</v>
      </c>
      <c r="C17" s="1">
        <v>2679</v>
      </c>
      <c r="D17" s="1">
        <v>66749.225951800239</v>
      </c>
      <c r="E17" s="10">
        <f t="shared" si="0"/>
        <v>68258.969423769478</v>
      </c>
      <c r="F17" s="8"/>
      <c r="G17" s="8"/>
      <c r="H17" s="9"/>
    </row>
    <row r="18" spans="1:8" hidden="1" x14ac:dyDescent="0.3">
      <c r="A18" s="1"/>
      <c r="B18" s="1" t="s">
        <v>8</v>
      </c>
      <c r="C18" s="1">
        <v>1856</v>
      </c>
      <c r="D18" s="1">
        <v>43533.808967249279</v>
      </c>
      <c r="E18" s="10">
        <f t="shared" si="0"/>
        <v>43763.100736629822</v>
      </c>
      <c r="F18" s="8"/>
      <c r="G18" s="8"/>
      <c r="H18" s="9"/>
    </row>
    <row r="19" spans="1:8" hidden="1" x14ac:dyDescent="0.3">
      <c r="A19" s="1"/>
      <c r="B19" s="1" t="s">
        <v>9</v>
      </c>
      <c r="C19" s="1">
        <v>2682</v>
      </c>
      <c r="D19" s="1">
        <v>71398.428446732898</v>
      </c>
      <c r="E19" s="10">
        <f t="shared" si="0"/>
        <v>68348.261776213491</v>
      </c>
      <c r="F19" s="8"/>
      <c r="G19" s="8"/>
      <c r="H19" s="9"/>
    </row>
    <row r="20" spans="1:8" x14ac:dyDescent="0.3">
      <c r="A20" s="1" t="s">
        <v>17</v>
      </c>
      <c r="B20" s="1" t="s">
        <v>11</v>
      </c>
      <c r="C20" s="1">
        <v>3466</v>
      </c>
      <c r="D20" s="1">
        <v>94225.310382874901</v>
      </c>
      <c r="E20" s="10">
        <f t="shared" si="0"/>
        <v>91683.329881581041</v>
      </c>
      <c r="F20" s="8"/>
      <c r="G20" s="8"/>
      <c r="H20" s="9"/>
    </row>
    <row r="21" spans="1:8" x14ac:dyDescent="0.3">
      <c r="A21" s="1"/>
      <c r="B21" s="1" t="s">
        <v>12</v>
      </c>
      <c r="C21" s="1">
        <v>3115</v>
      </c>
      <c r="D21" s="1">
        <v>99415.287455868907</v>
      </c>
      <c r="E21" s="10">
        <f t="shared" si="0"/>
        <v>81236.124645632051</v>
      </c>
      <c r="F21" s="8"/>
      <c r="G21" s="8"/>
      <c r="H21" s="9"/>
    </row>
    <row r="22" spans="1:8" x14ac:dyDescent="0.3">
      <c r="A22" s="1"/>
      <c r="B22" s="1" t="s">
        <v>13</v>
      </c>
      <c r="C22" s="1">
        <v>4067</v>
      </c>
      <c r="D22" s="1">
        <v>104901.65493767225</v>
      </c>
      <c r="E22" s="10">
        <f t="shared" si="0"/>
        <v>109571.56448786407</v>
      </c>
      <c r="F22" s="8"/>
      <c r="G22" s="8"/>
      <c r="H22" s="9"/>
    </row>
    <row r="23" spans="1:8" x14ac:dyDescent="0.3">
      <c r="A23" s="1"/>
      <c r="B23" s="1" t="s">
        <v>14</v>
      </c>
      <c r="C23" s="1">
        <v>4680</v>
      </c>
      <c r="D23" s="1">
        <v>123798.68242121949</v>
      </c>
      <c r="E23" s="10">
        <f t="shared" si="0"/>
        <v>127816.96850392314</v>
      </c>
      <c r="F23" s="14"/>
      <c r="G23" s="14"/>
      <c r="H23" s="15"/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例6-1</vt:lpstr>
      <vt:lpstr>方法一 回归报告法</vt:lpstr>
      <vt:lpstr>方法二  规划求解法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bin jiao</cp:lastModifiedBy>
  <cp:lastPrinted>2019-09-02T01:57:02Z</cp:lastPrinted>
  <dcterms:created xsi:type="dcterms:W3CDTF">2019-09-02T01:10:12Z</dcterms:created>
  <dcterms:modified xsi:type="dcterms:W3CDTF">2025-12-26T07:12:57Z</dcterms:modified>
</cp:coreProperties>
</file>