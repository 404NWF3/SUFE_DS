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笔记\08投资模型（含随机数）\"/>
    </mc:Choice>
  </mc:AlternateContent>
  <xr:revisionPtr revIDLastSave="0" documentId="13_ncr:1_{35F2AB79-0AE4-4138-8073-F0F937191026}" xr6:coauthVersionLast="47" xr6:coauthVersionMax="47" xr10:uidLastSave="{00000000-0000-0000-0000-000000000000}"/>
  <bookViews>
    <workbookView xWindow="-110" yWindow="-110" windowWidth="25820" windowHeight="15500" activeTab="10" xr2:uid="{00000000-000D-0000-FFFF-FFFF00000000}"/>
  </bookViews>
  <sheets>
    <sheet name="第1题" sheetId="1" r:id="rId1"/>
    <sheet name="第2题" sheetId="2" r:id="rId2"/>
    <sheet name="第3题" sheetId="3" r:id="rId3"/>
    <sheet name="第4题" sheetId="4" r:id="rId4"/>
    <sheet name="第5题" sheetId="5" r:id="rId5"/>
    <sheet name="第6题" sheetId="6" r:id="rId6"/>
    <sheet name="第7题" sheetId="7" r:id="rId7"/>
    <sheet name="第8题" sheetId="8" r:id="rId8"/>
    <sheet name="第9题" sheetId="11" r:id="rId9"/>
    <sheet name="第10题" sheetId="9" r:id="rId10"/>
    <sheet name="第11题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0" l="1"/>
  <c r="K5" i="10"/>
  <c r="N11" i="8"/>
  <c r="M8" i="8" s="1"/>
  <c r="M9" i="8" s="1"/>
  <c r="H11" i="7"/>
  <c r="D18" i="6"/>
  <c r="F14" i="1"/>
  <c r="D8" i="6"/>
  <c r="C20" i="3"/>
  <c r="D20" i="3"/>
  <c r="E20" i="3" s="1"/>
  <c r="F20" i="3"/>
  <c r="C21" i="3"/>
  <c r="D21" i="3"/>
  <c r="E21" i="3"/>
  <c r="F21" i="3"/>
  <c r="C22" i="3"/>
  <c r="D22" i="3"/>
  <c r="D139" i="3" s="1"/>
  <c r="E22" i="3"/>
  <c r="F22" i="3"/>
  <c r="C23" i="3"/>
  <c r="D23" i="3"/>
  <c r="E23" i="3" s="1"/>
  <c r="F23" i="3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C24" i="3"/>
  <c r="D24" i="3"/>
  <c r="E24" i="3"/>
  <c r="C25" i="3"/>
  <c r="D25" i="3"/>
  <c r="E25" i="3"/>
  <c r="C26" i="3"/>
  <c r="D26" i="3"/>
  <c r="E26" i="3" s="1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 s="1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 s="1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 s="1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 s="1"/>
  <c r="C51" i="3"/>
  <c r="D51" i="3"/>
  <c r="E51" i="3"/>
  <c r="C52" i="3"/>
  <c r="D52" i="3"/>
  <c r="E52" i="3"/>
  <c r="C53" i="3"/>
  <c r="D53" i="3"/>
  <c r="E53" i="3"/>
  <c r="C54" i="3"/>
  <c r="D54" i="3"/>
  <c r="E54" i="3" s="1"/>
  <c r="C55" i="3"/>
  <c r="D55" i="3"/>
  <c r="E55" i="3"/>
  <c r="C56" i="3"/>
  <c r="D56" i="3"/>
  <c r="E56" i="3" s="1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C62" i="3"/>
  <c r="D62" i="3"/>
  <c r="E62" i="3" s="1"/>
  <c r="C63" i="3"/>
  <c r="D63" i="3"/>
  <c r="E63" i="3"/>
  <c r="C64" i="3"/>
  <c r="D64" i="3"/>
  <c r="E64" i="3"/>
  <c r="C65" i="3"/>
  <c r="D65" i="3"/>
  <c r="E65" i="3"/>
  <c r="C66" i="3"/>
  <c r="D66" i="3"/>
  <c r="E66" i="3"/>
  <c r="C67" i="3"/>
  <c r="D67" i="3"/>
  <c r="E67" i="3"/>
  <c r="C68" i="3"/>
  <c r="D68" i="3"/>
  <c r="E68" i="3" s="1"/>
  <c r="C69" i="3"/>
  <c r="D69" i="3"/>
  <c r="E69" i="3"/>
  <c r="C70" i="3"/>
  <c r="D70" i="3"/>
  <c r="E70" i="3"/>
  <c r="C71" i="3"/>
  <c r="D71" i="3"/>
  <c r="E71" i="3"/>
  <c r="C72" i="3"/>
  <c r="D72" i="3"/>
  <c r="E72" i="3"/>
  <c r="C73" i="3"/>
  <c r="D73" i="3"/>
  <c r="E73" i="3"/>
  <c r="C74" i="3"/>
  <c r="D74" i="3"/>
  <c r="E74" i="3" s="1"/>
  <c r="C75" i="3"/>
  <c r="D75" i="3"/>
  <c r="E75" i="3"/>
  <c r="C76" i="3"/>
  <c r="D76" i="3"/>
  <c r="E76" i="3"/>
  <c r="C77" i="3"/>
  <c r="D77" i="3"/>
  <c r="E77" i="3"/>
  <c r="C78" i="3"/>
  <c r="D78" i="3"/>
  <c r="E78" i="3" s="1"/>
  <c r="C79" i="3"/>
  <c r="D79" i="3"/>
  <c r="E79" i="3"/>
  <c r="C80" i="3"/>
  <c r="D80" i="3"/>
  <c r="E80" i="3" s="1"/>
  <c r="C81" i="3"/>
  <c r="D81" i="3"/>
  <c r="E81" i="3"/>
  <c r="C82" i="3"/>
  <c r="D82" i="3"/>
  <c r="E82" i="3"/>
  <c r="C83" i="3"/>
  <c r="D83" i="3"/>
  <c r="E83" i="3" s="1"/>
  <c r="C84" i="3"/>
  <c r="D84" i="3"/>
  <c r="E84" i="3"/>
  <c r="C85" i="3"/>
  <c r="D85" i="3"/>
  <c r="E85" i="3"/>
  <c r="C86" i="3"/>
  <c r="D86" i="3"/>
  <c r="E86" i="3" s="1"/>
  <c r="C87" i="3"/>
  <c r="D87" i="3"/>
  <c r="E87" i="3"/>
  <c r="C88" i="3"/>
  <c r="D88" i="3"/>
  <c r="E88" i="3"/>
  <c r="C89" i="3"/>
  <c r="D89" i="3"/>
  <c r="E89" i="3"/>
  <c r="C90" i="3"/>
  <c r="D90" i="3"/>
  <c r="E90" i="3"/>
  <c r="C91" i="3"/>
  <c r="D91" i="3"/>
  <c r="E91" i="3"/>
  <c r="C92" i="3"/>
  <c r="D92" i="3"/>
  <c r="E92" i="3" s="1"/>
  <c r="C93" i="3"/>
  <c r="D93" i="3"/>
  <c r="E93" i="3"/>
  <c r="C94" i="3"/>
  <c r="D94" i="3"/>
  <c r="E94" i="3"/>
  <c r="C95" i="3"/>
  <c r="D95" i="3"/>
  <c r="E95" i="3"/>
  <c r="C96" i="3"/>
  <c r="D96" i="3"/>
  <c r="E96" i="3"/>
  <c r="C97" i="3"/>
  <c r="D97" i="3"/>
  <c r="E97" i="3"/>
  <c r="C98" i="3"/>
  <c r="D98" i="3"/>
  <c r="E98" i="3" s="1"/>
  <c r="C99" i="3"/>
  <c r="D99" i="3"/>
  <c r="E99" i="3" s="1"/>
  <c r="C100" i="3"/>
  <c r="D100" i="3"/>
  <c r="E100" i="3"/>
  <c r="C101" i="3"/>
  <c r="D101" i="3"/>
  <c r="E101" i="3"/>
  <c r="C102" i="3"/>
  <c r="D102" i="3"/>
  <c r="E102" i="3"/>
  <c r="C103" i="3"/>
  <c r="D103" i="3"/>
  <c r="E103" i="3"/>
  <c r="C104" i="3"/>
  <c r="D104" i="3"/>
  <c r="E104" i="3" s="1"/>
  <c r="C105" i="3"/>
  <c r="D105" i="3"/>
  <c r="E105" i="3"/>
  <c r="C106" i="3"/>
  <c r="D106" i="3"/>
  <c r="E106" i="3"/>
  <c r="C107" i="3"/>
  <c r="D107" i="3"/>
  <c r="E107" i="3"/>
  <c r="C108" i="3"/>
  <c r="D108" i="3"/>
  <c r="E108" i="3"/>
  <c r="C109" i="3"/>
  <c r="D109" i="3"/>
  <c r="E109" i="3"/>
  <c r="C110" i="3"/>
  <c r="D110" i="3"/>
  <c r="E110" i="3" s="1"/>
  <c r="C111" i="3"/>
  <c r="D111" i="3"/>
  <c r="E111" i="3"/>
  <c r="C112" i="3"/>
  <c r="D112" i="3"/>
  <c r="E112" i="3"/>
  <c r="C113" i="3"/>
  <c r="D113" i="3"/>
  <c r="E113" i="3"/>
  <c r="C114" i="3"/>
  <c r="D114" i="3"/>
  <c r="E114" i="3"/>
  <c r="C115" i="3"/>
  <c r="D115" i="3"/>
  <c r="E115" i="3"/>
  <c r="C116" i="3"/>
  <c r="D116" i="3"/>
  <c r="E116" i="3" s="1"/>
  <c r="C117" i="3"/>
  <c r="D117" i="3"/>
  <c r="E117" i="3"/>
  <c r="C118" i="3"/>
  <c r="D118" i="3"/>
  <c r="E118" i="3"/>
  <c r="C119" i="3"/>
  <c r="D119" i="3"/>
  <c r="E119" i="3"/>
  <c r="C120" i="3"/>
  <c r="D120" i="3"/>
  <c r="E120" i="3"/>
  <c r="C121" i="3"/>
  <c r="D121" i="3"/>
  <c r="E121" i="3"/>
  <c r="C122" i="3"/>
  <c r="D122" i="3"/>
  <c r="E122" i="3" s="1"/>
  <c r="C123" i="3"/>
  <c r="D123" i="3"/>
  <c r="E123" i="3"/>
  <c r="C124" i="3"/>
  <c r="D124" i="3"/>
  <c r="E124" i="3"/>
  <c r="C125" i="3"/>
  <c r="D125" i="3"/>
  <c r="E125" i="3"/>
  <c r="C126" i="3"/>
  <c r="D126" i="3"/>
  <c r="E126" i="3"/>
  <c r="C127" i="3"/>
  <c r="D127" i="3"/>
  <c r="E127" i="3"/>
  <c r="C128" i="3"/>
  <c r="D128" i="3"/>
  <c r="E128" i="3" s="1"/>
  <c r="C129" i="3"/>
  <c r="D129" i="3"/>
  <c r="E129" i="3"/>
  <c r="C130" i="3"/>
  <c r="D130" i="3"/>
  <c r="E130" i="3"/>
  <c r="C131" i="3"/>
  <c r="D131" i="3"/>
  <c r="E131" i="3"/>
  <c r="C132" i="3"/>
  <c r="D132" i="3"/>
  <c r="E132" i="3"/>
  <c r="C133" i="3"/>
  <c r="D133" i="3"/>
  <c r="E133" i="3"/>
  <c r="C134" i="3"/>
  <c r="D134" i="3"/>
  <c r="E134" i="3" s="1"/>
  <c r="C135" i="3"/>
  <c r="D135" i="3"/>
  <c r="E135" i="3"/>
  <c r="C136" i="3"/>
  <c r="D136" i="3"/>
  <c r="E136" i="3"/>
  <c r="C137" i="3"/>
  <c r="D137" i="3"/>
  <c r="E137" i="3"/>
  <c r="C138" i="3"/>
  <c r="D138" i="3"/>
  <c r="E138" i="3"/>
  <c r="C19" i="3"/>
  <c r="F19" i="3" s="1"/>
  <c r="D19" i="3"/>
  <c r="G139" i="3"/>
  <c r="H139" i="3"/>
  <c r="I139" i="3"/>
  <c r="J20" i="3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9" i="3"/>
  <c r="G20" i="3"/>
  <c r="H20" i="3"/>
  <c r="I20" i="3" s="1"/>
  <c r="G21" i="3"/>
  <c r="I21" i="3" s="1"/>
  <c r="H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H26" i="3"/>
  <c r="I26" i="3" s="1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 s="1"/>
  <c r="G33" i="3"/>
  <c r="I33" i="3" s="1"/>
  <c r="H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H38" i="3"/>
  <c r="I38" i="3" s="1"/>
  <c r="G39" i="3"/>
  <c r="H39" i="3"/>
  <c r="I39" i="3"/>
  <c r="G40" i="3"/>
  <c r="H40" i="3"/>
  <c r="I40" i="3"/>
  <c r="G41" i="3"/>
  <c r="H41" i="3"/>
  <c r="I41" i="3"/>
  <c r="G42" i="3"/>
  <c r="I42" i="3" s="1"/>
  <c r="H42" i="3"/>
  <c r="G43" i="3"/>
  <c r="H43" i="3"/>
  <c r="I43" i="3"/>
  <c r="G44" i="3"/>
  <c r="H44" i="3"/>
  <c r="I44" i="3" s="1"/>
  <c r="G45" i="3"/>
  <c r="H45" i="3"/>
  <c r="I45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 s="1"/>
  <c r="G51" i="3"/>
  <c r="H51" i="3"/>
  <c r="I51" i="3"/>
  <c r="G52" i="3"/>
  <c r="H52" i="3"/>
  <c r="I52" i="3"/>
  <c r="G53" i="3"/>
  <c r="H53" i="3"/>
  <c r="I53" i="3"/>
  <c r="G54" i="3"/>
  <c r="H54" i="3"/>
  <c r="I54" i="3"/>
  <c r="G55" i="3"/>
  <c r="H55" i="3"/>
  <c r="I55" i="3"/>
  <c r="G56" i="3"/>
  <c r="H56" i="3"/>
  <c r="I56" i="3" s="1"/>
  <c r="G57" i="3"/>
  <c r="H57" i="3"/>
  <c r="I57" i="3"/>
  <c r="G58" i="3"/>
  <c r="H58" i="3"/>
  <c r="I58" i="3"/>
  <c r="G59" i="3"/>
  <c r="H59" i="3"/>
  <c r="I59" i="3"/>
  <c r="G60" i="3"/>
  <c r="H60" i="3"/>
  <c r="I60" i="3"/>
  <c r="G61" i="3"/>
  <c r="H61" i="3"/>
  <c r="I61" i="3"/>
  <c r="G62" i="3"/>
  <c r="H62" i="3"/>
  <c r="I62" i="3" s="1"/>
  <c r="G63" i="3"/>
  <c r="I63" i="3" s="1"/>
  <c r="H63" i="3"/>
  <c r="G64" i="3"/>
  <c r="H64" i="3"/>
  <c r="I64" i="3"/>
  <c r="G65" i="3"/>
  <c r="H65" i="3"/>
  <c r="I65" i="3"/>
  <c r="G66" i="3"/>
  <c r="H66" i="3"/>
  <c r="I66" i="3" s="1"/>
  <c r="G67" i="3"/>
  <c r="H67" i="3"/>
  <c r="I67" i="3"/>
  <c r="G68" i="3"/>
  <c r="H68" i="3"/>
  <c r="I68" i="3" s="1"/>
  <c r="G69" i="3"/>
  <c r="I69" i="3" s="1"/>
  <c r="H69" i="3"/>
  <c r="G70" i="3"/>
  <c r="H70" i="3"/>
  <c r="I70" i="3"/>
  <c r="G71" i="3"/>
  <c r="H71" i="3"/>
  <c r="I71" i="3"/>
  <c r="G72" i="3"/>
  <c r="H72" i="3"/>
  <c r="I72" i="3"/>
  <c r="G73" i="3"/>
  <c r="H73" i="3"/>
  <c r="I73" i="3"/>
  <c r="G74" i="3"/>
  <c r="H74" i="3"/>
  <c r="I74" i="3" s="1"/>
  <c r="G75" i="3"/>
  <c r="I75" i="3" s="1"/>
  <c r="H75" i="3"/>
  <c r="G76" i="3"/>
  <c r="H76" i="3"/>
  <c r="I76" i="3"/>
  <c r="G77" i="3"/>
  <c r="H77" i="3"/>
  <c r="I77" i="3"/>
  <c r="G78" i="3"/>
  <c r="H78" i="3"/>
  <c r="I78" i="3"/>
  <c r="G79" i="3"/>
  <c r="H79" i="3"/>
  <c r="I79" i="3"/>
  <c r="G80" i="3"/>
  <c r="H80" i="3"/>
  <c r="I80" i="3" s="1"/>
  <c r="G81" i="3"/>
  <c r="I81" i="3" s="1"/>
  <c r="H81" i="3"/>
  <c r="G82" i="3"/>
  <c r="H82" i="3"/>
  <c r="I82" i="3"/>
  <c r="G83" i="3"/>
  <c r="H83" i="3"/>
  <c r="I83" i="3"/>
  <c r="G84" i="3"/>
  <c r="H84" i="3"/>
  <c r="I84" i="3"/>
  <c r="G85" i="3"/>
  <c r="H85" i="3"/>
  <c r="I85" i="3"/>
  <c r="G86" i="3"/>
  <c r="H86" i="3"/>
  <c r="I86" i="3" s="1"/>
  <c r="G87" i="3"/>
  <c r="I87" i="3" s="1"/>
  <c r="H87" i="3"/>
  <c r="G88" i="3"/>
  <c r="H88" i="3"/>
  <c r="I88" i="3"/>
  <c r="G89" i="3"/>
  <c r="H89" i="3"/>
  <c r="I89" i="3"/>
  <c r="G90" i="3"/>
  <c r="H90" i="3"/>
  <c r="I90" i="3"/>
  <c r="G91" i="3"/>
  <c r="H91" i="3"/>
  <c r="I91" i="3"/>
  <c r="G92" i="3"/>
  <c r="H92" i="3"/>
  <c r="I92" i="3" s="1"/>
  <c r="G93" i="3"/>
  <c r="I93" i="3" s="1"/>
  <c r="H93" i="3"/>
  <c r="G94" i="3"/>
  <c r="H94" i="3"/>
  <c r="I94" i="3"/>
  <c r="G95" i="3"/>
  <c r="H95" i="3"/>
  <c r="I95" i="3"/>
  <c r="G96" i="3"/>
  <c r="H96" i="3"/>
  <c r="I96" i="3"/>
  <c r="G97" i="3"/>
  <c r="H97" i="3"/>
  <c r="I97" i="3"/>
  <c r="G98" i="3"/>
  <c r="H98" i="3"/>
  <c r="I98" i="3" s="1"/>
  <c r="G99" i="3"/>
  <c r="I99" i="3" s="1"/>
  <c r="H99" i="3"/>
  <c r="G100" i="3"/>
  <c r="H100" i="3"/>
  <c r="I100" i="3"/>
  <c r="G101" i="3"/>
  <c r="H101" i="3"/>
  <c r="I101" i="3"/>
  <c r="G102" i="3"/>
  <c r="H102" i="3"/>
  <c r="I102" i="3"/>
  <c r="G103" i="3"/>
  <c r="H103" i="3"/>
  <c r="I103" i="3"/>
  <c r="G104" i="3"/>
  <c r="H104" i="3"/>
  <c r="I104" i="3" s="1"/>
  <c r="G105" i="3"/>
  <c r="I105" i="3" s="1"/>
  <c r="H105" i="3"/>
  <c r="G106" i="3"/>
  <c r="H106" i="3"/>
  <c r="I106" i="3"/>
  <c r="G107" i="3"/>
  <c r="H107" i="3"/>
  <c r="I107" i="3"/>
  <c r="G108" i="3"/>
  <c r="H108" i="3"/>
  <c r="I108" i="3"/>
  <c r="G109" i="3"/>
  <c r="H109" i="3"/>
  <c r="I109" i="3"/>
  <c r="G110" i="3"/>
  <c r="H110" i="3"/>
  <c r="I110" i="3" s="1"/>
  <c r="G111" i="3"/>
  <c r="I111" i="3" s="1"/>
  <c r="H111" i="3"/>
  <c r="G112" i="3"/>
  <c r="H112" i="3"/>
  <c r="I112" i="3"/>
  <c r="G113" i="3"/>
  <c r="H113" i="3"/>
  <c r="I113" i="3"/>
  <c r="G114" i="3"/>
  <c r="H114" i="3"/>
  <c r="I114" i="3"/>
  <c r="G115" i="3"/>
  <c r="H115" i="3"/>
  <c r="I115" i="3"/>
  <c r="G116" i="3"/>
  <c r="H116" i="3"/>
  <c r="I116" i="3" s="1"/>
  <c r="G117" i="3"/>
  <c r="I117" i="3" s="1"/>
  <c r="H117" i="3"/>
  <c r="G118" i="3"/>
  <c r="H118" i="3"/>
  <c r="I118" i="3"/>
  <c r="G119" i="3"/>
  <c r="H119" i="3"/>
  <c r="I119" i="3"/>
  <c r="G120" i="3"/>
  <c r="H120" i="3"/>
  <c r="I120" i="3"/>
  <c r="G121" i="3"/>
  <c r="H121" i="3"/>
  <c r="I121" i="3"/>
  <c r="G122" i="3"/>
  <c r="H122" i="3"/>
  <c r="I122" i="3" s="1"/>
  <c r="G123" i="3"/>
  <c r="I123" i="3" s="1"/>
  <c r="H123" i="3"/>
  <c r="G124" i="3"/>
  <c r="H124" i="3"/>
  <c r="I124" i="3"/>
  <c r="G125" i="3"/>
  <c r="H125" i="3"/>
  <c r="I125" i="3"/>
  <c r="G126" i="3"/>
  <c r="H126" i="3"/>
  <c r="I126" i="3"/>
  <c r="G127" i="3"/>
  <c r="H127" i="3"/>
  <c r="I127" i="3"/>
  <c r="G128" i="3"/>
  <c r="H128" i="3"/>
  <c r="I128" i="3" s="1"/>
  <c r="G129" i="3"/>
  <c r="I129" i="3" s="1"/>
  <c r="H129" i="3"/>
  <c r="G130" i="3"/>
  <c r="H130" i="3"/>
  <c r="I130" i="3"/>
  <c r="G131" i="3"/>
  <c r="H131" i="3"/>
  <c r="I131" i="3"/>
  <c r="G132" i="3"/>
  <c r="H132" i="3"/>
  <c r="I132" i="3"/>
  <c r="G133" i="3"/>
  <c r="H133" i="3"/>
  <c r="I133" i="3"/>
  <c r="G134" i="3"/>
  <c r="H134" i="3"/>
  <c r="I134" i="3" s="1"/>
  <c r="G135" i="3"/>
  <c r="I135" i="3" s="1"/>
  <c r="H135" i="3"/>
  <c r="G136" i="3"/>
  <c r="H136" i="3"/>
  <c r="I136" i="3"/>
  <c r="G137" i="3"/>
  <c r="H137" i="3"/>
  <c r="I137" i="3"/>
  <c r="G138" i="3"/>
  <c r="H138" i="3"/>
  <c r="I138" i="3"/>
  <c r="I19" i="3"/>
  <c r="H19" i="3"/>
  <c r="G19" i="3"/>
  <c r="H9" i="1"/>
  <c r="F23" i="10"/>
  <c r="E24" i="10"/>
  <c r="E23" i="10"/>
  <c r="E22" i="10" a="1"/>
  <c r="E22" i="10" s="1"/>
  <c r="C17" i="10"/>
  <c r="H8" i="10" s="1"/>
  <c r="D18" i="10"/>
  <c r="C18" i="10"/>
  <c r="D17" i="10"/>
  <c r="I8" i="10" s="1"/>
  <c r="D16" i="10"/>
  <c r="E16" i="10"/>
  <c r="E17" i="10" s="1"/>
  <c r="J8" i="10" s="1"/>
  <c r="E15" i="10"/>
  <c r="E14" i="10"/>
  <c r="E13" i="10"/>
  <c r="E12" i="10"/>
  <c r="C16" i="10"/>
  <c r="C14" i="10"/>
  <c r="C15" i="10"/>
  <c r="C13" i="10"/>
  <c r="C12" i="10"/>
  <c r="D11" i="10"/>
  <c r="E11" i="10"/>
  <c r="C11" i="10"/>
  <c r="D10" i="10"/>
  <c r="E10" i="10"/>
  <c r="E9" i="10"/>
  <c r="D9" i="10"/>
  <c r="C9" i="10"/>
  <c r="C10" i="10"/>
  <c r="G3" i="11"/>
  <c r="G2" i="11"/>
  <c r="G7" i="11"/>
  <c r="G8" i="11"/>
  <c r="G6" i="11"/>
  <c r="F3" i="9"/>
  <c r="F2" i="9"/>
  <c r="F7" i="9"/>
  <c r="F8" i="9"/>
  <c r="F6" i="9"/>
  <c r="N7" i="8"/>
  <c r="M7" i="8"/>
  <c r="M6" i="8"/>
  <c r="L9" i="8"/>
  <c r="F18" i="6"/>
  <c r="D13" i="6"/>
  <c r="F8" i="6"/>
  <c r="E18" i="10" l="1"/>
  <c r="N8" i="8"/>
  <c r="N6" i="8"/>
  <c r="N9" i="8" s="1"/>
  <c r="C139" i="3"/>
  <c r="E19" i="3"/>
  <c r="E139" i="3" s="1"/>
  <c r="I7" i="5"/>
  <c r="I7" i="4"/>
  <c r="I6" i="4"/>
  <c r="J7" i="3"/>
  <c r="I17" i="2"/>
  <c r="I8" i="2"/>
  <c r="H7" i="1"/>
  <c r="C22" i="10"/>
  <c r="H5" i="10"/>
  <c r="I5" i="10" s="1"/>
  <c r="J5" i="10" s="1"/>
  <c r="J3" i="10"/>
  <c r="I3" i="10"/>
  <c r="H3" i="10"/>
  <c r="G3" i="10"/>
  <c r="K3" i="10" s="1"/>
  <c r="H27" i="10" l="1"/>
  <c r="H28" i="10" s="1"/>
  <c r="H29" i="10" s="1"/>
  <c r="D19" i="10"/>
  <c r="E19" i="10"/>
  <c r="C19" i="10"/>
  <c r="D23" i="10" l="1"/>
  <c r="B30" i="10"/>
  <c r="I28" i="10" l="1"/>
  <c r="D24" i="10"/>
  <c r="B25" i="10" s="1"/>
  <c r="I3" i="3"/>
  <c r="J18" i="3" l="1"/>
  <c r="F1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<sst xmlns="http://schemas.openxmlformats.org/spreadsheetml/2006/main" count="157" uniqueCount="138">
  <si>
    <t>购买成本</t>
  </si>
  <si>
    <t>每月未回报</t>
    <phoneticPr fontId="4" type="noConversion"/>
  </si>
  <si>
    <t>投资回报率</t>
  </si>
  <si>
    <t>年金的现值</t>
  </si>
  <si>
    <r>
      <t>投资合算否</t>
    </r>
    <r>
      <rPr>
        <sz val="10"/>
        <rFont val="Times New Roman"/>
        <family val="1"/>
      </rPr>
      <t>?</t>
    </r>
    <phoneticPr fontId="4" type="noConversion"/>
  </si>
  <si>
    <t>初始存入</t>
    <phoneticPr fontId="4" type="noConversion"/>
  </si>
  <si>
    <t>年利率</t>
    <phoneticPr fontId="4" type="noConversion"/>
  </si>
  <si>
    <t>每月存入</t>
    <phoneticPr fontId="4" type="noConversion"/>
  </si>
  <si>
    <t>月份数</t>
    <phoneticPr fontId="4" type="noConversion"/>
  </si>
  <si>
    <t>一年后存款额</t>
    <phoneticPr fontId="4" type="noConversion"/>
  </si>
  <si>
    <t>公寓价值</t>
    <phoneticPr fontId="4" type="noConversion"/>
  </si>
  <si>
    <t>首付</t>
    <phoneticPr fontId="4" type="noConversion"/>
  </si>
  <si>
    <t>商业贷款</t>
    <phoneticPr fontId="4" type="noConversion"/>
  </si>
  <si>
    <t>贷款年限</t>
    <phoneticPr fontId="4" type="noConversion"/>
  </si>
  <si>
    <t>等本还款</t>
    <phoneticPr fontId="4" type="noConversion"/>
  </si>
  <si>
    <t>当前期数</t>
    <phoneticPr fontId="4" type="noConversion"/>
  </si>
  <si>
    <t>等额还款</t>
    <phoneticPr fontId="4" type="noConversion"/>
  </si>
  <si>
    <t>还款方式</t>
    <phoneticPr fontId="4" type="noConversion"/>
  </si>
  <si>
    <t>还款本金</t>
    <phoneticPr fontId="4" type="noConversion"/>
  </si>
  <si>
    <t>还款利息</t>
    <phoneticPr fontId="4" type="noConversion"/>
  </si>
  <si>
    <t>还款总额</t>
    <phoneticPr fontId="4" type="noConversion"/>
  </si>
  <si>
    <t>贷款余额</t>
    <phoneticPr fontId="4" type="noConversion"/>
  </si>
  <si>
    <t>还款表</t>
    <phoneticPr fontId="4" type="noConversion"/>
  </si>
  <si>
    <t>等本金还款</t>
    <phoneticPr fontId="4" type="noConversion"/>
  </si>
  <si>
    <t>等额还款</t>
    <phoneticPr fontId="4" type="noConversion"/>
  </si>
  <si>
    <t>期数</t>
    <phoneticPr fontId="4" type="noConversion"/>
  </si>
  <si>
    <t>还款本金</t>
    <phoneticPr fontId="4" type="noConversion"/>
  </si>
  <si>
    <t>还款利息</t>
    <phoneticPr fontId="4" type="noConversion"/>
  </si>
  <si>
    <t>还款总额</t>
    <phoneticPr fontId="4" type="noConversion"/>
  </si>
  <si>
    <t>还款总额</t>
    <phoneticPr fontId="4" type="noConversion"/>
  </si>
  <si>
    <t>贷款余额</t>
    <phoneticPr fontId="4" type="noConversion"/>
  </si>
  <si>
    <t>总计</t>
    <phoneticPr fontId="4" type="noConversion"/>
  </si>
  <si>
    <t>贷款额</t>
    <phoneticPr fontId="4" type="noConversion"/>
  </si>
  <si>
    <t>贷款年限</t>
    <phoneticPr fontId="4" type="noConversion"/>
  </si>
  <si>
    <t>月支付额</t>
  </si>
  <si>
    <t>月利率</t>
  </si>
  <si>
    <t>年利率</t>
    <phoneticPr fontId="4" type="noConversion"/>
  </si>
  <si>
    <t>贷款额</t>
    <phoneticPr fontId="4" type="noConversion"/>
  </si>
  <si>
    <t>月利率</t>
    <phoneticPr fontId="4" type="noConversion"/>
  </si>
  <si>
    <t>还款年限</t>
    <phoneticPr fontId="4" type="noConversion"/>
  </si>
  <si>
    <r>
      <t>初始投资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4" type="noConversion"/>
  </si>
  <si>
    <t>年限</t>
    <phoneticPr fontId="4" type="noConversion"/>
  </si>
  <si>
    <r>
      <t>年收益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4" type="noConversion"/>
  </si>
  <si>
    <t>(1)</t>
    <phoneticPr fontId="4" type="noConversion"/>
  </si>
  <si>
    <t>贴现率</t>
    <phoneticPr fontId="4" type="noConversion"/>
  </si>
  <si>
    <t>(2)</t>
    <phoneticPr fontId="4" type="noConversion"/>
  </si>
  <si>
    <r>
      <t>银行贷款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4" type="noConversion"/>
  </si>
  <si>
    <t>贷款利率</t>
  </si>
  <si>
    <t>贴现率</t>
  </si>
  <si>
    <t>投资成本</t>
  </si>
  <si>
    <r>
      <t>第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年收入</t>
    </r>
    <phoneticPr fontId="4" type="noConversion"/>
  </si>
  <si>
    <r>
      <t>第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年收入</t>
    </r>
  </si>
  <si>
    <r>
      <t>第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年收入</t>
    </r>
  </si>
  <si>
    <r>
      <t>第</t>
    </r>
    <r>
      <rPr>
        <sz val="10"/>
        <rFont val="Times New Roman"/>
        <family val="1"/>
      </rPr>
      <t>4</t>
    </r>
    <r>
      <rPr>
        <sz val="10"/>
        <rFont val="宋体"/>
        <family val="3"/>
        <charset val="134"/>
      </rPr>
      <t>年收入</t>
    </r>
  </si>
  <si>
    <r>
      <t>第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年收入</t>
    </r>
  </si>
  <si>
    <t>投资的净现值</t>
    <phoneticPr fontId="4" type="noConversion"/>
  </si>
  <si>
    <t>贷款投资数据</t>
    <phoneticPr fontId="4" type="noConversion"/>
  </si>
  <si>
    <t>净现金流入量</t>
  </si>
  <si>
    <r>
      <t>第</t>
    </r>
    <r>
      <rPr>
        <sz val="10"/>
        <rFont val="Arial"/>
        <family val="2"/>
      </rPr>
      <t>0</t>
    </r>
    <r>
      <rPr>
        <sz val="10"/>
        <rFont val="宋体"/>
        <family val="3"/>
        <charset val="134"/>
      </rPr>
      <t>年</t>
    </r>
  </si>
  <si>
    <r>
      <t>第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年</t>
    </r>
  </si>
  <si>
    <r>
      <t>第</t>
    </r>
    <r>
      <rPr>
        <sz val="10"/>
        <rFont val="Arial"/>
        <family val="2"/>
      </rPr>
      <t>2</t>
    </r>
    <r>
      <rPr>
        <sz val="10"/>
        <rFont val="宋体"/>
        <family val="3"/>
        <charset val="134"/>
      </rPr>
      <t>年</t>
    </r>
  </si>
  <si>
    <t>现金流量</t>
  </si>
  <si>
    <t>期初贷款余额</t>
  </si>
  <si>
    <t>回报</t>
  </si>
  <si>
    <t>贷款利息</t>
  </si>
  <si>
    <t>期末贷款余额</t>
  </si>
  <si>
    <t>项目内部报酬率</t>
    <phoneticPr fontId="4" type="noConversion"/>
  </si>
  <si>
    <r>
      <t>1</t>
    </r>
    <r>
      <rPr>
        <sz val="10"/>
        <rFont val="宋体"/>
        <family val="1"/>
        <charset val="134"/>
      </rPr>
      <t>、</t>
    </r>
    <r>
      <rPr>
        <sz val="10"/>
        <rFont val="Times New Roman"/>
        <family val="1"/>
      </rPr>
      <t>15</t>
    </r>
    <r>
      <rPr>
        <sz val="10"/>
        <rFont val="宋体"/>
        <family val="3"/>
        <charset val="134"/>
      </rPr>
      <t>年收益的现值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4" type="noConversion"/>
  </si>
  <si>
    <r>
      <t>2、年还款额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万元</t>
    </r>
    <r>
      <rPr>
        <sz val="10"/>
        <rFont val="Times New Roman"/>
        <family val="1"/>
      </rPr>
      <t>)</t>
    </r>
    <phoneticPr fontId="4" type="noConversion"/>
  </si>
  <si>
    <t>初始投资(万元)</t>
    <phoneticPr fontId="4" type="noConversion"/>
  </si>
  <si>
    <t>3、内部报酬率</t>
    <phoneticPr fontId="4" type="noConversion"/>
  </si>
  <si>
    <t>最大投资回报率</t>
    <phoneticPr fontId="4" type="noConversion"/>
  </si>
  <si>
    <t>实现该最大投资回报率的生产线</t>
    <phoneticPr fontId="4" type="noConversion"/>
  </si>
  <si>
    <t>第0年</t>
  </si>
  <si>
    <t>第1年</t>
  </si>
  <si>
    <t>第2年</t>
  </si>
  <si>
    <t>第3年</t>
  </si>
  <si>
    <t>投资回报率</t>
    <phoneticPr fontId="4" type="noConversion"/>
  </si>
  <si>
    <t>生产线A</t>
    <phoneticPr fontId="4" type="noConversion"/>
  </si>
  <si>
    <t>生产线B</t>
    <phoneticPr fontId="4" type="noConversion"/>
  </si>
  <si>
    <t>生产线C</t>
    <phoneticPr fontId="4" type="noConversion"/>
  </si>
  <si>
    <t>决策结论：</t>
    <phoneticPr fontId="4" type="noConversion"/>
  </si>
  <si>
    <t>最短投资回收期</t>
    <phoneticPr fontId="4" type="noConversion"/>
  </si>
  <si>
    <r>
      <rPr>
        <sz val="11"/>
        <rFont val="宋体"/>
        <family val="3"/>
        <charset val="134"/>
      </rPr>
      <t>实现该最小投资回收期的项目</t>
    </r>
    <phoneticPr fontId="4" type="noConversion"/>
  </si>
  <si>
    <r>
      <rPr>
        <sz val="11"/>
        <rFont val="宋体"/>
        <family val="3"/>
        <charset val="134"/>
      </rPr>
      <t>初始投资</t>
    </r>
    <phoneticPr fontId="4" type="noConversion"/>
  </si>
  <si>
    <r>
      <rPr>
        <sz val="11"/>
        <rFont val="宋体"/>
        <family val="3"/>
        <charset val="134"/>
      </rPr>
      <t>每年回报</t>
    </r>
    <phoneticPr fontId="4" type="noConversion"/>
  </si>
  <si>
    <r>
      <rPr>
        <sz val="11"/>
        <rFont val="宋体"/>
        <family val="3"/>
        <charset val="134"/>
      </rPr>
      <t>贴现率</t>
    </r>
    <phoneticPr fontId="4" type="noConversion"/>
  </si>
  <si>
    <r>
      <rPr>
        <sz val="11"/>
        <rFont val="宋体"/>
        <family val="3"/>
        <charset val="134"/>
      </rPr>
      <t>投资回收期</t>
    </r>
    <phoneticPr fontId="4" type="noConversion"/>
  </si>
  <si>
    <r>
      <rPr>
        <sz val="11"/>
        <rFont val="宋体"/>
        <family val="3"/>
        <charset val="134"/>
      </rPr>
      <t>项目</t>
    </r>
    <r>
      <rPr>
        <sz val="11"/>
        <rFont val="Times New Roman"/>
        <family val="1"/>
      </rPr>
      <t>A</t>
    </r>
    <phoneticPr fontId="4" type="noConversion"/>
  </si>
  <si>
    <r>
      <rPr>
        <sz val="11"/>
        <rFont val="宋体"/>
        <family val="3"/>
        <charset val="134"/>
      </rPr>
      <t>项目</t>
    </r>
    <r>
      <rPr>
        <sz val="11"/>
        <rFont val="Times New Roman"/>
        <family val="1"/>
      </rPr>
      <t>B</t>
    </r>
    <phoneticPr fontId="4" type="noConversion"/>
  </si>
  <si>
    <r>
      <rPr>
        <sz val="11"/>
        <rFont val="宋体"/>
        <family val="3"/>
        <charset val="134"/>
      </rPr>
      <t>项目</t>
    </r>
    <r>
      <rPr>
        <sz val="11"/>
        <rFont val="Times New Roman"/>
        <family val="1"/>
      </rPr>
      <t>C</t>
    </r>
    <phoneticPr fontId="4" type="noConversion"/>
  </si>
  <si>
    <r>
      <rPr>
        <sz val="11"/>
        <rFont val="宋体"/>
        <family val="3"/>
        <charset val="134"/>
      </rPr>
      <t>决策结论：</t>
    </r>
    <phoneticPr fontId="4" type="noConversion"/>
  </si>
  <si>
    <t>面值</t>
    <phoneticPr fontId="4" type="noConversion"/>
  </si>
  <si>
    <t>发行价格</t>
  </si>
  <si>
    <t>期 限</t>
    <phoneticPr fontId="4" type="noConversion"/>
  </si>
  <si>
    <t>计息方式</t>
  </si>
  <si>
    <t>第1年利率</t>
    <phoneticPr fontId="4" type="noConversion"/>
  </si>
  <si>
    <t>第2年利率</t>
    <phoneticPr fontId="4" type="noConversion"/>
  </si>
  <si>
    <t>第3年利率</t>
  </si>
  <si>
    <t>第4年利率</t>
  </si>
  <si>
    <t>第5年利率</t>
  </si>
  <si>
    <t>还本付息方式</t>
    <phoneticPr fontId="4" type="noConversion"/>
  </si>
  <si>
    <t>债券A</t>
    <phoneticPr fontId="4" type="noConversion"/>
  </si>
  <si>
    <t>5年</t>
    <phoneticPr fontId="4" type="noConversion"/>
  </si>
  <si>
    <t>固定利率</t>
  </si>
  <si>
    <t>一年付息一次最后还本</t>
    <phoneticPr fontId="4" type="noConversion"/>
  </si>
  <si>
    <t>债券B</t>
    <phoneticPr fontId="4" type="noConversion"/>
  </si>
  <si>
    <t>贴现利率</t>
  </si>
  <si>
    <t>到期按面值支付</t>
    <phoneticPr fontId="4" type="noConversion"/>
  </si>
  <si>
    <t>债券C</t>
    <phoneticPr fontId="4" type="noConversion"/>
  </si>
  <si>
    <t>5年</t>
  </si>
  <si>
    <t>变动利率</t>
    <phoneticPr fontId="4" type="noConversion"/>
  </si>
  <si>
    <t>初始投资金额</t>
    <phoneticPr fontId="4" type="noConversion"/>
  </si>
  <si>
    <t>每百元面值价格</t>
    <phoneticPr fontId="4" type="noConversion"/>
  </si>
  <si>
    <t>可购买的面值</t>
    <phoneticPr fontId="4" type="noConversion"/>
  </si>
  <si>
    <t>第0年</t>
    <phoneticPr fontId="4" type="noConversion"/>
  </si>
  <si>
    <t>第4年</t>
  </si>
  <si>
    <t>第5年</t>
  </si>
  <si>
    <t>净现值1</t>
    <phoneticPr fontId="4" type="noConversion"/>
  </si>
  <si>
    <t>内部报酬率</t>
    <phoneticPr fontId="4" type="noConversion"/>
  </si>
  <si>
    <t>净现值2</t>
    <phoneticPr fontId="4" type="noConversion"/>
  </si>
  <si>
    <t>贴现率1</t>
    <phoneticPr fontId="4" type="noConversion"/>
  </si>
  <si>
    <t>净现值交点</t>
    <phoneticPr fontId="4" type="noConversion"/>
  </si>
  <si>
    <t>贴现率2</t>
  </si>
  <si>
    <t>最大净现值1</t>
    <phoneticPr fontId="4" type="noConversion"/>
  </si>
  <si>
    <t>实现最大净现值的债券</t>
    <phoneticPr fontId="4" type="noConversion"/>
  </si>
  <si>
    <t>当前贴现率参考线</t>
    <phoneticPr fontId="4" type="noConversion"/>
  </si>
  <si>
    <t>XY散点图决策结论</t>
    <phoneticPr fontId="4" type="noConversion"/>
  </si>
  <si>
    <t>最大净现值2</t>
    <phoneticPr fontId="4" type="noConversion"/>
  </si>
  <si>
    <t>初始</t>
    <phoneticPr fontId="3" type="noConversion"/>
  </si>
  <si>
    <t>月存入</t>
    <phoneticPr fontId="3" type="noConversion"/>
  </si>
  <si>
    <t>年利率</t>
    <phoneticPr fontId="3" type="noConversion"/>
  </si>
  <si>
    <t>时间（年）</t>
    <phoneticPr fontId="3" type="noConversion"/>
  </si>
  <si>
    <t>到时的资金</t>
    <phoneticPr fontId="3" type="noConversion"/>
  </si>
  <si>
    <t>!!!</t>
    <phoneticPr fontId="3" type="noConversion"/>
  </si>
  <si>
    <t>!!!没听到这个题</t>
    <phoneticPr fontId="3" type="noConversion"/>
  </si>
  <si>
    <t xml:space="preserve"> </t>
    <phoneticPr fontId="3" type="noConversion"/>
  </si>
  <si>
    <t>注意PV要绝对值NPV不用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</si>
</sst>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¥&quot;#,##0.00;[Red]&quot;¥&quot;\-#,##0.00"/>
    <numFmt numFmtId="43" formatCode="_ * #,##0.00_ ;_ * \-#,##0.00_ ;_ * &quot;-&quot;??_ ;_ @_ "/>
    <numFmt numFmtId="176" formatCode="0.00_ "/>
    <numFmt numFmtId="177" formatCode="0.0"/>
    <numFmt numFmtId="178" formatCode="0.0%"/>
    <numFmt numFmtId="179" formatCode="0.00_);[Red]\(0.00\)"/>
    <numFmt numFmtId="180" formatCode="0_ "/>
    <numFmt numFmtId="181" formatCode="0_);[Red]\(0\)"/>
  </numFmts>
  <fonts count="1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Times New Roman"/>
      <family val="1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Arial Unicode MS"/>
      <family val="2"/>
    </font>
    <font>
      <sz val="10"/>
      <name val="Arial"/>
      <family val="2"/>
    </font>
    <font>
      <sz val="10"/>
      <name val="宋体"/>
      <family val="1"/>
      <charset val="134"/>
    </font>
    <font>
      <sz val="11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Times New Roman"/>
      <family val="1"/>
    </font>
    <font>
      <sz val="11"/>
      <color rgb="FFFF0000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0" fillId="2" borderId="0" xfId="0" applyFill="1" applyAlignment="1"/>
    <xf numFmtId="0" fontId="0" fillId="3" borderId="1" xfId="0" applyFill="1" applyBorder="1" applyAlignment="1"/>
    <xf numFmtId="0" fontId="0" fillId="4" borderId="1" xfId="0" applyFill="1" applyBorder="1" applyAlignment="1"/>
    <xf numFmtId="9" fontId="0" fillId="5" borderId="1" xfId="2" applyFont="1" applyFill="1" applyBorder="1" applyAlignment="1"/>
    <xf numFmtId="0" fontId="0" fillId="4" borderId="0" xfId="0" applyFill="1" applyAlignment="1"/>
    <xf numFmtId="176" fontId="0" fillId="4" borderId="0" xfId="0" applyNumberFormat="1" applyFill="1" applyAlignment="1"/>
    <xf numFmtId="0" fontId="0" fillId="3" borderId="0" xfId="0" applyFill="1" applyAlignment="1"/>
    <xf numFmtId="0" fontId="6" fillId="0" borderId="2" xfId="0" applyFont="1" applyBorder="1" applyAlignment="1">
      <alignment horizontal="center"/>
    </xf>
    <xf numFmtId="0" fontId="2" fillId="4" borderId="1" xfId="0" applyFont="1" applyFill="1" applyBorder="1" applyAlignment="1"/>
    <xf numFmtId="176" fontId="0" fillId="6" borderId="1" xfId="0" applyNumberFormat="1" applyFill="1" applyBorder="1" applyAlignment="1"/>
    <xf numFmtId="0" fontId="0" fillId="0" borderId="0" xfId="0" applyAlignment="1">
      <alignment horizontal="center"/>
    </xf>
    <xf numFmtId="2" fontId="0" fillId="7" borderId="1" xfId="1" applyNumberFormat="1" applyFont="1" applyFill="1" applyBorder="1" applyAlignment="1"/>
    <xf numFmtId="0" fontId="0" fillId="7" borderId="1" xfId="0" applyNumberFormat="1" applyFill="1" applyBorder="1" applyAlignment="1">
      <alignment horizontal="right"/>
    </xf>
    <xf numFmtId="9" fontId="0" fillId="7" borderId="1" xfId="0" applyNumberFormat="1" applyFill="1" applyBorder="1" applyAlignment="1"/>
    <xf numFmtId="0" fontId="0" fillId="3" borderId="1" xfId="0" applyFill="1" applyBorder="1" applyAlignment="1">
      <alignment horizontal="right"/>
    </xf>
    <xf numFmtId="0" fontId="0" fillId="0" borderId="1" xfId="0" applyBorder="1" applyAlignment="1"/>
    <xf numFmtId="2" fontId="0" fillId="6" borderId="1" xfId="0" applyNumberFormat="1" applyFill="1" applyBorder="1" applyAlignme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NumberFormat="1" applyBorder="1" applyAlignment="1"/>
    <xf numFmtId="2" fontId="0" fillId="7" borderId="1" xfId="0" applyNumberFormat="1" applyFill="1" applyBorder="1" applyAlignment="1"/>
    <xf numFmtId="2" fontId="0" fillId="0" borderId="1" xfId="0" applyNumberFormat="1" applyBorder="1" applyAlignment="1"/>
    <xf numFmtId="0" fontId="0" fillId="3" borderId="4" xfId="0" applyFill="1" applyBorder="1" applyAlignment="1">
      <alignment horizontal="center"/>
    </xf>
    <xf numFmtId="2" fontId="0" fillId="8" borderId="1" xfId="0" applyNumberFormat="1" applyFill="1" applyBorder="1" applyAlignment="1"/>
    <xf numFmtId="0" fontId="0" fillId="0" borderId="0" xfId="0" applyNumberFormat="1" applyAlignment="1"/>
    <xf numFmtId="0" fontId="0" fillId="5" borderId="1" xfId="0" applyFill="1" applyBorder="1" applyAlignment="1"/>
    <xf numFmtId="10" fontId="0" fillId="6" borderId="1" xfId="0" applyNumberFormat="1" applyFill="1" applyBorder="1" applyAlignment="1"/>
    <xf numFmtId="9" fontId="0" fillId="0" borderId="0" xfId="0" applyNumberFormat="1" applyAlignment="1"/>
    <xf numFmtId="10" fontId="0" fillId="6" borderId="1" xfId="2" applyNumberFormat="1" applyFont="1" applyFill="1" applyBorder="1" applyAlignment="1"/>
    <xf numFmtId="0" fontId="7" fillId="0" borderId="0" xfId="0" applyFont="1" applyAlignment="1"/>
    <xf numFmtId="0" fontId="2" fillId="2" borderId="0" xfId="0" quotePrefix="1" applyFont="1" applyFill="1" applyAlignment="1">
      <alignment horizontal="right" vertical="center"/>
    </xf>
    <xf numFmtId="9" fontId="2" fillId="5" borderId="1" xfId="2" applyNumberFormat="1" applyFont="1" applyFill="1" applyBorder="1" applyAlignment="1"/>
    <xf numFmtId="0" fontId="0" fillId="2" borderId="0" xfId="0" applyFill="1" applyAlignment="1">
      <alignment vertical="center"/>
    </xf>
    <xf numFmtId="0" fontId="2" fillId="3" borderId="1" xfId="0" applyFont="1" applyFill="1" applyBorder="1" applyAlignment="1"/>
    <xf numFmtId="0" fontId="0" fillId="2" borderId="0" xfId="0" quotePrefix="1" applyFill="1" applyAlignment="1">
      <alignment horizontal="center" vertical="center"/>
    </xf>
    <xf numFmtId="176" fontId="0" fillId="6" borderId="1" xfId="0" applyNumberFormat="1" applyFill="1" applyBorder="1" applyAlignment="1">
      <alignment horizontal="right"/>
    </xf>
    <xf numFmtId="176" fontId="0" fillId="4" borderId="1" xfId="0" applyNumberFormat="1" applyFill="1" applyBorder="1" applyAlignment="1"/>
    <xf numFmtId="176" fontId="0" fillId="2" borderId="0" xfId="2" applyNumberFormat="1" applyFont="1" applyFill="1" applyAlignment="1"/>
    <xf numFmtId="176" fontId="0" fillId="2" borderId="0" xfId="0" applyNumberFormat="1" applyFill="1" applyAlignment="1"/>
    <xf numFmtId="176" fontId="0" fillId="6" borderId="1" xfId="2" applyNumberFormat="1" applyFont="1" applyFill="1" applyBorder="1" applyAlignment="1"/>
    <xf numFmtId="0" fontId="0" fillId="0" borderId="0" xfId="0" applyBorder="1" applyAlignment="1"/>
    <xf numFmtId="0" fontId="0" fillId="0" borderId="0" xfId="0" applyFill="1" applyAlignment="1"/>
    <xf numFmtId="0" fontId="0" fillId="3" borderId="9" xfId="0" applyFill="1" applyBorder="1" applyAlignment="1"/>
    <xf numFmtId="0" fontId="0" fillId="5" borderId="10" xfId="0" applyFill="1" applyBorder="1" applyAlignment="1"/>
    <xf numFmtId="0" fontId="0" fillId="3" borderId="11" xfId="0" applyFill="1" applyBorder="1" applyAlignment="1"/>
    <xf numFmtId="176" fontId="0" fillId="0" borderId="8" xfId="0" applyNumberFormat="1" applyFill="1" applyBorder="1" applyAlignment="1"/>
    <xf numFmtId="177" fontId="0" fillId="4" borderId="8" xfId="0" applyNumberFormat="1" applyFill="1" applyBorder="1" applyAlignment="1"/>
    <xf numFmtId="0" fontId="0" fillId="3" borderId="5" xfId="0" applyFill="1" applyBorder="1" applyAlignment="1"/>
    <xf numFmtId="176" fontId="0" fillId="0" borderId="1" xfId="0" applyNumberFormat="1" applyFill="1" applyBorder="1" applyAlignment="1"/>
    <xf numFmtId="177" fontId="0" fillId="4" borderId="1" xfId="0" applyNumberFormat="1" applyFill="1" applyBorder="1" applyAlignment="1"/>
    <xf numFmtId="178" fontId="0" fillId="6" borderId="1" xfId="0" applyNumberFormat="1" applyFill="1" applyBorder="1" applyAlignment="1"/>
    <xf numFmtId="0" fontId="10" fillId="0" borderId="0" xfId="0" applyFont="1">
      <alignment vertical="center"/>
    </xf>
    <xf numFmtId="0" fontId="10" fillId="9" borderId="0" xfId="0" applyFont="1" applyFill="1">
      <alignment vertical="center"/>
    </xf>
    <xf numFmtId="179" fontId="10" fillId="9" borderId="0" xfId="0" applyNumberFormat="1" applyFont="1" applyFill="1">
      <alignment vertical="center"/>
    </xf>
    <xf numFmtId="9" fontId="10" fillId="9" borderId="1" xfId="2" applyFont="1" applyFill="1" applyBorder="1" applyAlignment="1">
      <alignment horizontal="center" vertical="center"/>
    </xf>
    <xf numFmtId="179" fontId="10" fillId="11" borderId="1" xfId="0" applyNumberFormat="1" applyFont="1" applyFill="1" applyBorder="1" applyAlignment="1">
      <alignment horizontal="center" vertical="center"/>
    </xf>
    <xf numFmtId="179" fontId="10" fillId="9" borderId="0" xfId="0" applyNumberFormat="1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79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>
      <alignment vertical="center"/>
    </xf>
    <xf numFmtId="0" fontId="10" fillId="12" borderId="1" xfId="0" applyFont="1" applyFill="1" applyBorder="1" applyAlignment="1">
      <alignment horizontal="center" vertical="center"/>
    </xf>
    <xf numFmtId="9" fontId="10" fillId="13" borderId="1" xfId="2" applyFont="1" applyFill="1" applyBorder="1" applyAlignment="1">
      <alignment horizontal="center" vertical="center"/>
    </xf>
    <xf numFmtId="0" fontId="10" fillId="14" borderId="5" xfId="0" applyFont="1" applyFill="1" applyBorder="1" applyAlignment="1">
      <alignment horizontal="center" vertical="center"/>
    </xf>
    <xf numFmtId="0" fontId="10" fillId="15" borderId="5" xfId="0" applyFont="1" applyFill="1" applyBorder="1">
      <alignment vertical="center"/>
    </xf>
    <xf numFmtId="0" fontId="10" fillId="15" borderId="7" xfId="0" applyFont="1" applyFill="1" applyBorder="1">
      <alignment vertical="center"/>
    </xf>
    <xf numFmtId="179" fontId="10" fillId="0" borderId="0" xfId="0" applyNumberFormat="1" applyFont="1">
      <alignment vertical="center"/>
    </xf>
    <xf numFmtId="0" fontId="2" fillId="9" borderId="0" xfId="0" applyFont="1" applyFill="1" applyAlignment="1"/>
    <xf numFmtId="179" fontId="2" fillId="9" borderId="0" xfId="0" applyNumberFormat="1" applyFont="1" applyFill="1" applyAlignment="1"/>
    <xf numFmtId="0" fontId="12" fillId="9" borderId="1" xfId="0" applyFont="1" applyFill="1" applyBorder="1" applyAlignment="1">
      <alignment horizontal="center"/>
    </xf>
    <xf numFmtId="179" fontId="12" fillId="11" borderId="1" xfId="0" applyNumberFormat="1" applyFont="1" applyFill="1" applyBorder="1" applyAlignment="1">
      <alignment horizontal="center"/>
    </xf>
    <xf numFmtId="0" fontId="12" fillId="9" borderId="0" xfId="0" applyFont="1" applyFill="1" applyAlignment="1"/>
    <xf numFmtId="179" fontId="12" fillId="9" borderId="0" xfId="0" applyNumberFormat="1" applyFont="1" applyFill="1" applyAlignment="1">
      <alignment horizontal="center"/>
    </xf>
    <xf numFmtId="0" fontId="12" fillId="10" borderId="1" xfId="0" applyFont="1" applyFill="1" applyBorder="1" applyAlignment="1">
      <alignment horizontal="center"/>
    </xf>
    <xf numFmtId="179" fontId="12" fillId="10" borderId="1" xfId="0" applyNumberFormat="1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9" fontId="12" fillId="12" borderId="1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79" fontId="2" fillId="0" borderId="0" xfId="0" applyNumberFormat="1" applyFont="1" applyAlignment="1"/>
    <xf numFmtId="0" fontId="12" fillId="14" borderId="1" xfId="0" applyFont="1" applyFill="1" applyBorder="1" applyAlignment="1">
      <alignment horizontal="center"/>
    </xf>
    <xf numFmtId="0" fontId="12" fillId="16" borderId="5" xfId="0" applyFont="1" applyFill="1" applyBorder="1" applyAlignment="1"/>
    <xf numFmtId="0" fontId="12" fillId="16" borderId="7" xfId="0" applyFont="1" applyFill="1" applyBorder="1" applyAlignment="1"/>
    <xf numFmtId="0" fontId="10" fillId="9" borderId="0" xfId="0" applyFont="1" applyFill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10" fontId="10" fillId="12" borderId="1" xfId="0" applyNumberFormat="1" applyFont="1" applyFill="1" applyBorder="1" applyAlignment="1">
      <alignment horizontal="center" vertical="center"/>
    </xf>
    <xf numFmtId="10" fontId="10" fillId="9" borderId="1" xfId="0" applyNumberFormat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9" borderId="1" xfId="0" applyFont="1" applyFill="1" applyBorder="1">
      <alignment vertical="center"/>
    </xf>
    <xf numFmtId="180" fontId="10" fillId="17" borderId="1" xfId="0" applyNumberFormat="1" applyFont="1" applyFill="1" applyBorder="1">
      <alignment vertical="center"/>
    </xf>
    <xf numFmtId="178" fontId="10" fillId="18" borderId="1" xfId="0" applyNumberFormat="1" applyFont="1" applyFill="1" applyBorder="1" applyAlignment="1">
      <alignment horizontal="center" vertical="center"/>
    </xf>
    <xf numFmtId="1" fontId="10" fillId="12" borderId="1" xfId="0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" fontId="10" fillId="11" borderId="1" xfId="0" applyNumberFormat="1" applyFont="1" applyFill="1" applyBorder="1" applyAlignment="1">
      <alignment horizontal="center" vertical="center"/>
    </xf>
    <xf numFmtId="180" fontId="10" fillId="13" borderId="1" xfId="0" applyNumberFormat="1" applyFont="1" applyFill="1" applyBorder="1" applyAlignment="1">
      <alignment horizontal="center" vertical="center"/>
    </xf>
    <xf numFmtId="10" fontId="10" fillId="13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9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8" fontId="10" fillId="9" borderId="1" xfId="0" applyNumberFormat="1" applyFont="1" applyFill="1" applyBorder="1" applyAlignment="1">
      <alignment horizontal="center" vertical="center"/>
    </xf>
    <xf numFmtId="10" fontId="10" fillId="19" borderId="1" xfId="0" applyNumberFormat="1" applyFont="1" applyFill="1" applyBorder="1" applyAlignment="1">
      <alignment horizontal="center" vertical="center"/>
    </xf>
    <xf numFmtId="181" fontId="10" fillId="19" borderId="1" xfId="0" applyNumberFormat="1" applyFont="1" applyFill="1" applyBorder="1" applyAlignment="1">
      <alignment horizontal="center" vertical="center"/>
    </xf>
    <xf numFmtId="180" fontId="10" fillId="13" borderId="5" xfId="0" applyNumberFormat="1" applyFont="1" applyFill="1" applyBorder="1" applyAlignment="1">
      <alignment horizontal="center" vertical="center"/>
    </xf>
    <xf numFmtId="10" fontId="10" fillId="17" borderId="1" xfId="0" applyNumberFormat="1" applyFont="1" applyFill="1" applyBorder="1" applyAlignment="1">
      <alignment horizontal="center" vertical="center"/>
    </xf>
    <xf numFmtId="181" fontId="10" fillId="17" borderId="1" xfId="0" applyNumberFormat="1" applyFont="1" applyFill="1" applyBorder="1" applyAlignment="1">
      <alignment horizontal="center" vertical="center"/>
    </xf>
    <xf numFmtId="178" fontId="10" fillId="15" borderId="1" xfId="0" applyNumberFormat="1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10" fontId="10" fillId="20" borderId="1" xfId="0" applyNumberFormat="1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180" fontId="10" fillId="15" borderId="1" xfId="0" applyNumberFormat="1" applyFont="1" applyFill="1" applyBorder="1" applyAlignment="1">
      <alignment horizontal="center" vertical="center"/>
    </xf>
    <xf numFmtId="1" fontId="10" fillId="20" borderId="1" xfId="0" applyNumberFormat="1" applyFont="1" applyFill="1" applyBorder="1" applyAlignment="1">
      <alignment horizontal="center" vertical="center"/>
    </xf>
    <xf numFmtId="8" fontId="0" fillId="0" borderId="0" xfId="0" applyNumberFormat="1" applyAlignment="1"/>
    <xf numFmtId="180" fontId="0" fillId="0" borderId="0" xfId="2" applyNumberFormat="1" applyFont="1" applyAlignment="1"/>
    <xf numFmtId="0" fontId="13" fillId="9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0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0" fontId="10" fillId="16" borderId="12" xfId="0" applyFont="1" applyFill="1" applyBorder="1" applyAlignment="1">
      <alignment horizontal="left" vertical="center"/>
    </xf>
    <xf numFmtId="0" fontId="10" fillId="16" borderId="13" xfId="0" applyFont="1" applyFill="1" applyBorder="1" applyAlignment="1">
      <alignment horizontal="left" vertical="center"/>
    </xf>
    <xf numFmtId="0" fontId="10" fillId="10" borderId="1" xfId="0" applyFont="1" applyFill="1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债券A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第11题!$G$9:$G$24</c:f>
              <c:numCache>
                <c:formatCode>0.0%</c:formatCode>
                <c:ptCount val="16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3.1E-2</c:v>
                </c:pt>
                <c:pt idx="7">
                  <c:v>3.2000000000000001E-2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3.6999999999999998E-2</c:v>
                </c:pt>
                <c:pt idx="13">
                  <c:v>3.7999999999999999E-2</c:v>
                </c:pt>
                <c:pt idx="14">
                  <c:v>3.9E-2</c:v>
                </c:pt>
                <c:pt idx="15">
                  <c:v>0.04</c:v>
                </c:pt>
              </c:numCache>
            </c:numRef>
          </c:xVal>
          <c:yVal>
            <c:numRef>
              <c:f>第11题!$H$9:$H$24</c:f>
              <c:numCache>
                <c:formatCode>0</c:formatCode>
                <c:ptCount val="16"/>
                <c:pt idx="0">
                  <c:v>7665.6170177719032</c:v>
                </c:pt>
                <c:pt idx="1">
                  <c:v>7180.3515360962047</c:v>
                </c:pt>
                <c:pt idx="2">
                  <c:v>6697.8418286834785</c:v>
                </c:pt>
                <c:pt idx="3">
                  <c:v>6218.0694158626575</c:v>
                </c:pt>
                <c:pt idx="4">
                  <c:v>5741.0159602017957</c:v>
                </c:pt>
                <c:pt idx="5">
                  <c:v>5266.6632652737026</c:v>
                </c:pt>
                <c:pt idx="6">
                  <c:v>4794.9932744345278</c:v>
                </c:pt>
                <c:pt idx="7">
                  <c:v>4325.9880696132022</c:v>
                </c:pt>
                <c:pt idx="8">
                  <c:v>3859.6298701135092</c:v>
                </c:pt>
                <c:pt idx="9">
                  <c:v>3395.9010314265906</c:v>
                </c:pt>
                <c:pt idx="10">
                  <c:v>2934.7840440560103</c:v>
                </c:pt>
                <c:pt idx="11">
                  <c:v>2476.2615323529171</c:v>
                </c:pt>
                <c:pt idx="12">
                  <c:v>2020.3162533635186</c:v>
                </c:pt>
                <c:pt idx="13">
                  <c:v>1566.9310956863919</c:v>
                </c:pt>
                <c:pt idx="14">
                  <c:v>1116.0890783421928</c:v>
                </c:pt>
                <c:pt idx="15">
                  <c:v>667.77334965240152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F7-40F1-8486-3BBA03FBA7A3}"/>
            </c:ext>
          </c:extLst>
        </c:ser>
        <c:ser>
          <c:idx val="1"/>
          <c:order val="1"/>
          <c:tx>
            <c:v>债券B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第11题!$G$9:$G$24</c:f>
              <c:numCache>
                <c:formatCode>0.0%</c:formatCode>
                <c:ptCount val="16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3.1E-2</c:v>
                </c:pt>
                <c:pt idx="7">
                  <c:v>3.2000000000000001E-2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3.6999999999999998E-2</c:v>
                </c:pt>
                <c:pt idx="13">
                  <c:v>3.7999999999999999E-2</c:v>
                </c:pt>
                <c:pt idx="14">
                  <c:v>3.9E-2</c:v>
                </c:pt>
                <c:pt idx="15">
                  <c:v>0.04</c:v>
                </c:pt>
              </c:numCache>
            </c:numRef>
          </c:xVal>
          <c:yVal>
            <c:numRef>
              <c:f>第11题!$I$9:$I$24</c:f>
              <c:numCache>
                <c:formatCode>0</c:formatCode>
                <c:ptCount val="16"/>
                <c:pt idx="0">
                  <c:v>7787.1082450630784</c:v>
                </c:pt>
                <c:pt idx="1">
                  <c:v>7262.8528765930823</c:v>
                </c:pt>
                <c:pt idx="2">
                  <c:v>6741.6543839821534</c:v>
                </c:pt>
                <c:pt idx="3">
                  <c:v>6223.491992397976</c:v>
                </c:pt>
                <c:pt idx="4">
                  <c:v>5708.3450882096222</c:v>
                </c:pt>
                <c:pt idx="5">
                  <c:v>5196.1932175809488</c:v>
                </c:pt>
                <c:pt idx="6">
                  <c:v>4687.0160850790853</c:v>
                </c:pt>
                <c:pt idx="7">
                  <c:v>4180.7935522949556</c:v>
                </c:pt>
                <c:pt idx="8">
                  <c:v>3677.5056364786433</c:v>
                </c:pt>
                <c:pt idx="9">
                  <c:v>3177.1325091863109</c:v>
                </c:pt>
                <c:pt idx="10">
                  <c:v>2679.6544949419767</c:v>
                </c:pt>
                <c:pt idx="11">
                  <c:v>2185.0520699100889</c:v>
                </c:pt>
                <c:pt idx="12">
                  <c:v>1693.3058605830884</c:v>
                </c:pt>
                <c:pt idx="13">
                  <c:v>1204.3966424795653</c:v>
                </c:pt>
                <c:pt idx="14">
                  <c:v>718.30533885663317</c:v>
                </c:pt>
                <c:pt idx="15">
                  <c:v>235.0130194331141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F7-40F1-8486-3BBA03FBA7A3}"/>
            </c:ext>
          </c:extLst>
        </c:ser>
        <c:ser>
          <c:idx val="2"/>
          <c:order val="2"/>
          <c:tx>
            <c:v>债券C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第11题!$G$9:$G$24</c:f>
              <c:numCache>
                <c:formatCode>0.0%</c:formatCode>
                <c:ptCount val="16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2.9000000000000001E-2</c:v>
                </c:pt>
                <c:pt idx="5">
                  <c:v>0.03</c:v>
                </c:pt>
                <c:pt idx="6">
                  <c:v>3.1E-2</c:v>
                </c:pt>
                <c:pt idx="7">
                  <c:v>3.2000000000000001E-2</c:v>
                </c:pt>
                <c:pt idx="8">
                  <c:v>3.3000000000000002E-2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3.6999999999999998E-2</c:v>
                </c:pt>
                <c:pt idx="13">
                  <c:v>3.7999999999999999E-2</c:v>
                </c:pt>
                <c:pt idx="14">
                  <c:v>3.9E-2</c:v>
                </c:pt>
                <c:pt idx="15">
                  <c:v>0.04</c:v>
                </c:pt>
              </c:numCache>
            </c:numRef>
          </c:xVal>
          <c:yVal>
            <c:numRef>
              <c:f>第11题!$J$9:$J$24</c:f>
              <c:numCache>
                <c:formatCode>0</c:formatCode>
                <c:ptCount val="16"/>
                <c:pt idx="0">
                  <c:v>7427.4921201671532</c:v>
                </c:pt>
                <c:pt idx="1">
                  <c:v>6960.9648657679063</c:v>
                </c:pt>
                <c:pt idx="2">
                  <c:v>6497.0680606180831</c:v>
                </c:pt>
                <c:pt idx="3">
                  <c:v>6035.7840947815857</c:v>
                </c:pt>
                <c:pt idx="4">
                  <c:v>5577.0954938418436</c:v>
                </c:pt>
                <c:pt idx="5">
                  <c:v>5120.9849177250435</c:v>
                </c:pt>
                <c:pt idx="6">
                  <c:v>4667.4351595366024</c:v>
                </c:pt>
                <c:pt idx="7">
                  <c:v>4216.4291444069968</c:v>
                </c:pt>
                <c:pt idx="8">
                  <c:v>3767.9499283504992</c:v>
                </c:pt>
                <c:pt idx="9">
                  <c:v>3321.9806971332728</c:v>
                </c:pt>
                <c:pt idx="10">
                  <c:v>2878.5047651538916</c:v>
                </c:pt>
                <c:pt idx="11">
                  <c:v>2437.5055743328849</c:v>
                </c:pt>
                <c:pt idx="12">
                  <c:v>1998.9666930148669</c:v>
                </c:pt>
                <c:pt idx="13">
                  <c:v>1562.8718148791959</c:v>
                </c:pt>
                <c:pt idx="14">
                  <c:v>1129.2047578629572</c:v>
                </c:pt>
                <c:pt idx="15">
                  <c:v>697.94946309246006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F7-40F1-8486-3BBA03FBA7A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第11题!$E$22:$E$24</c:f>
              <c:numCache>
                <c:formatCode>0.00%</c:formatCode>
                <c:ptCount val="3"/>
                <c:pt idx="0">
                  <c:v>2.8141876839666624E-2</c:v>
                </c:pt>
                <c:pt idx="1">
                  <c:v>2.8141876839666624E-2</c:v>
                </c:pt>
                <c:pt idx="2">
                  <c:v>2.8141876839666624E-2</c:v>
                </c:pt>
              </c:numCache>
            </c:numRef>
          </c:xVal>
          <c:yVal>
            <c:numRef>
              <c:f>第11题!$F$22:$F$24</c:f>
              <c:numCache>
                <c:formatCode>0_);[Red]\(0\)</c:formatCode>
                <c:ptCount val="3"/>
                <c:pt idx="0">
                  <c:v>8000</c:v>
                </c:pt>
                <c:pt idx="1">
                  <c:v>6150.2214888186718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F7-40F1-8486-3BBA03FBA7A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第11题!$H$27:$H$29</c:f>
              <c:numCache>
                <c:formatCode>0.0%</c:formatCode>
                <c:ptCount val="3"/>
                <c:pt idx="0">
                  <c:v>3.2000000000000001E-2</c:v>
                </c:pt>
                <c:pt idx="1">
                  <c:v>3.2000000000000001E-2</c:v>
                </c:pt>
                <c:pt idx="2">
                  <c:v>3.2000000000000001E-2</c:v>
                </c:pt>
              </c:numCache>
            </c:numRef>
          </c:xVal>
          <c:yVal>
            <c:numRef>
              <c:f>第11题!$I$27:$I$29</c:f>
              <c:numCache>
                <c:formatCode>0_ </c:formatCode>
                <c:ptCount val="3"/>
                <c:pt idx="0" formatCode="General">
                  <c:v>8000</c:v>
                </c:pt>
                <c:pt idx="1">
                  <c:v>4325.9880696132022</c:v>
                </c:pt>
                <c:pt idx="2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F7-40F1-8486-3BBA03FBA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4400"/>
        <c:axId val="117829360"/>
      </c:scatterChart>
      <c:valAx>
        <c:axId val="117804400"/>
        <c:scaling>
          <c:orientation val="minMax"/>
          <c:max val="4.0000000000000008E-2"/>
          <c:min val="2.5000000000000005E-2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829360"/>
        <c:crosses val="autoZero"/>
        <c:crossBetween val="midCat"/>
        <c:majorUnit val="1.0000000000000002E-3"/>
      </c:valAx>
      <c:valAx>
        <c:axId val="117829360"/>
        <c:scaling>
          <c:orientation val="minMax"/>
          <c:max val="80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804400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796897167351661"/>
          <c:y val="0.12983973551893035"/>
          <c:w val="0.18260607701414447"/>
          <c:h val="0.234690883688438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6" fmlaLink="$I$7" max="120" min="1" page="10"/>
</file>

<file path=xl/ctrlProps/ctrlProp2.xml><?xml version="1.0" encoding="utf-8"?>
<formControlPr xmlns="http://schemas.microsoft.com/office/spreadsheetml/2009/9/main" objectType="Drop" dropStyle="combo" dx="16" fmlaLink="$I$8" fmlaRange="$F$7:$F$8" sel="0" val="0"/>
</file>

<file path=xl/ctrlProps/ctrlProp3.xml><?xml version="1.0" encoding="utf-8"?>
<formControlPr xmlns="http://schemas.microsoft.com/office/spreadsheetml/2009/9/main" objectType="Spin" dx="22" fmlaLink="$D$22" max="40" min="25" page="10" val="3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2.tmp"/><Relationship Id="rId1" Type="http://schemas.openxmlformats.org/officeDocument/2006/relationships/image" Target="../media/image11.tmp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123825</xdr:rowOff>
    </xdr:from>
    <xdr:to>
      <xdr:col>4</xdr:col>
      <xdr:colOff>76200</xdr:colOff>
      <xdr:row>7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33350" y="123825"/>
          <a:ext cx="3028950" cy="1076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返回投资的现值。现值为一系列未来款当前值的累积和。例如，借入方的借入款即为贷出方贷款的现值。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语法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PV(rate,nper,pmt,fv,type)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15</xdr:col>
      <xdr:colOff>581025</xdr:colOff>
      <xdr:row>5</xdr:row>
      <xdr:rowOff>38100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7239000" y="180975"/>
          <a:ext cx="3324225" cy="762000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-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】假设要购买一项保险年金，该保险可以在今后二十年内于每月未回报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$500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。此项年金的购买成本为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$60,000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，假定投资回报率为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8%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，现在可以通过函数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PV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计算一下这笔投资是否值得。</a:t>
          </a:r>
        </a:p>
        <a:p>
          <a:pPr algn="l" rtl="0">
            <a:lnSpc>
              <a:spcPts val="1400"/>
            </a:lnSpc>
            <a:defRPr sz="1000"/>
          </a:pPr>
          <a:endParaRPr lang="zh-CN" altLang="en-US"/>
        </a:p>
      </xdr:txBody>
    </xdr:sp>
    <xdr:clientData/>
  </xdr:twoCellAnchor>
  <xdr:twoCellAnchor editAs="oneCell">
    <xdr:from>
      <xdr:col>9</xdr:col>
      <xdr:colOff>171958</xdr:colOff>
      <xdr:row>8</xdr:row>
      <xdr:rowOff>116159</xdr:rowOff>
    </xdr:from>
    <xdr:to>
      <xdr:col>16</xdr:col>
      <xdr:colOff>327187</xdr:colOff>
      <xdr:row>46</xdr:row>
      <xdr:rowOff>87857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1714" y="1548781"/>
          <a:ext cx="4979680" cy="67631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656814</xdr:colOff>
      <xdr:row>84</xdr:row>
      <xdr:rowOff>118540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9756" y="8758354"/>
          <a:ext cx="8238095" cy="6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0</xdr:rowOff>
    </xdr:from>
    <xdr:to>
      <xdr:col>4</xdr:col>
      <xdr:colOff>504825</xdr:colOff>
      <xdr:row>8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52425" y="152400"/>
          <a:ext cx="2990850" cy="1162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基于固定利率及等额分期付款方式，返回某项投资的未来值。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语法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FV(rate,nper,pmt,pv,type)</a:t>
          </a: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581025</xdr:colOff>
      <xdr:row>6</xdr:row>
      <xdr:rowOff>28575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7124700" y="361950"/>
          <a:ext cx="3324225" cy="752475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-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02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】假设需要为一年后的某个项目预筹资金，现在将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$1000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以年利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6%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，按月计息（月利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6%/12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或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0.5%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）存入储蓄存款帐户中，并在以后十二个月的每个月末存入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$100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，则一年后该帐户的存款额等于多少？</a:t>
          </a:r>
        </a:p>
        <a:p>
          <a:pPr algn="l" rtl="0">
            <a:lnSpc>
              <a:spcPts val="1400"/>
            </a:lnSpc>
            <a:defRPr sz="1000"/>
          </a:pPr>
          <a:endParaRPr lang="zh-CN" altLang="en-US"/>
        </a:p>
      </xdr:txBody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12</xdr:col>
      <xdr:colOff>262925</xdr:colOff>
      <xdr:row>58</xdr:row>
      <xdr:rowOff>155459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837" y="3673929"/>
          <a:ext cx="7390476" cy="66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565150</xdr:colOff>
          <xdr:row>5</xdr:row>
          <xdr:rowOff>69850</xdr:rowOff>
        </xdr:from>
        <xdr:to>
          <xdr:col>7</xdr:col>
          <xdr:colOff>12700</xdr:colOff>
          <xdr:row>6</xdr:row>
          <xdr:rowOff>165100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7</xdr:row>
          <xdr:rowOff>0</xdr:rowOff>
        </xdr:from>
        <xdr:to>
          <xdr:col>7</xdr:col>
          <xdr:colOff>31750</xdr:colOff>
          <xdr:row>8</xdr:row>
          <xdr:rowOff>12700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104775</xdr:colOff>
      <xdr:row>0</xdr:row>
      <xdr:rowOff>95251</xdr:rowOff>
    </xdr:from>
    <xdr:to>
      <xdr:col>4</xdr:col>
      <xdr:colOff>609600</xdr:colOff>
      <xdr:row>12</xdr:row>
      <xdr:rowOff>142876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04775" y="95251"/>
          <a:ext cx="4476750" cy="2019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、基于固定利率及等额分期付款方式，返回投资或贷款的每期付款额。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语法</a:t>
          </a:r>
        </a:p>
        <a:p>
          <a:pPr algn="l" rtl="0">
            <a:lnSpc>
              <a:spcPts val="8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PMT(rate,nper,pv,fv,type)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、基于固定利率及等额分期付款方式，返回投资或贷款在某一给定期次内的本金偿还额。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语法</a:t>
          </a:r>
        </a:p>
        <a:p>
          <a:pPr algn="l" rtl="0">
            <a:lnSpc>
              <a:spcPts val="8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PPMT(rate,per,nper,pv,fv,type)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、基于固定利率及等额分期付款方式，返回投资或贷款在某一给定期次内的利息偿还额。有关函数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IPMT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的参数和年金函数的详细信息，请参阅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PV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语法</a:t>
          </a:r>
        </a:p>
        <a:p>
          <a:pPr algn="l" rtl="0">
            <a:lnSpc>
              <a:spcPts val="8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IPMT(rate,per,nper,pv,fv,type)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、计算特定投资期内要支付的利息。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语法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ISPMT(rate,per,nper,pv)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18</xdr:col>
      <xdr:colOff>171450</xdr:colOff>
      <xdr:row>4</xdr:row>
      <xdr:rowOff>133350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9648825" y="180975"/>
          <a:ext cx="4286250" cy="676275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-03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】某客户欲购买一套价值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万元的公寓，首付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3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万元，余下金额向银行申请商业贷款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万元，贷款年限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年，年利率为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5%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，试制作按月还款表及查询月还款数据的模型。</a:t>
          </a: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 editAs="oneCell">
    <xdr:from>
      <xdr:col>11</xdr:col>
      <xdr:colOff>347738</xdr:colOff>
      <xdr:row>4</xdr:row>
      <xdr:rowOff>60963</xdr:rowOff>
    </xdr:from>
    <xdr:to>
      <xdr:col>21</xdr:col>
      <xdr:colOff>128456</xdr:colOff>
      <xdr:row>165</xdr:row>
      <xdr:rowOff>152139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0059" y="786677"/>
          <a:ext cx="6659885" cy="82327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76200</xdr:rowOff>
    </xdr:from>
    <xdr:to>
      <xdr:col>4</xdr:col>
      <xdr:colOff>657225</xdr:colOff>
      <xdr:row>9</xdr:row>
      <xdr:rowOff>66675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42875" y="76200"/>
          <a:ext cx="3333750" cy="1362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返回年金的各期利率。函数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RATE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通过迭代法计算得出，并且可能无解或有多个解。如果在进行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20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次迭代计算后，函数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RATE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的相邻两次结果没有收敛于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0.0000001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，函数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RATE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返回错误值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#NUM!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。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语法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RATE(nper,pmt,pv,fv,type,guess)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11</xdr:col>
      <xdr:colOff>0</xdr:colOff>
      <xdr:row>2</xdr:row>
      <xdr:rowOff>0</xdr:rowOff>
    </xdr:from>
    <xdr:to>
      <xdr:col>15</xdr:col>
      <xdr:colOff>581025</xdr:colOff>
      <xdr:row>4</xdr:row>
      <xdr:rowOff>66675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7096125" y="361950"/>
          <a:ext cx="3324225" cy="428625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7-04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】金额为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$8000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的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4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年期贷款，月支付额为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$200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，该笔贷款的月利率和年利率为多少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?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 editAs="oneCell">
    <xdr:from>
      <xdr:col>0</xdr:col>
      <xdr:colOff>105210</xdr:colOff>
      <xdr:row>10</xdr:row>
      <xdr:rowOff>73269</xdr:rowOff>
    </xdr:from>
    <xdr:to>
      <xdr:col>8</xdr:col>
      <xdr:colOff>650251</xdr:colOff>
      <xdr:row>32</xdr:row>
      <xdr:rowOff>12982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10" y="1831731"/>
          <a:ext cx="6084195" cy="38083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104775</xdr:rowOff>
    </xdr:from>
    <xdr:to>
      <xdr:col>5</xdr:col>
      <xdr:colOff>200025</xdr:colOff>
      <xdr:row>7</xdr:row>
      <xdr:rowOff>76200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57175" y="104775"/>
          <a:ext cx="3133725" cy="1038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基于固定利率及等额分期付款方式，返回某项投资（或贷款）的总期数。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语法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NPER(rate, pmt, pv, fv, type)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15</xdr:col>
      <xdr:colOff>581025</xdr:colOff>
      <xdr:row>3</xdr:row>
      <xdr:rowOff>66675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6562725" y="180975"/>
          <a:ext cx="3324225" cy="428625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-05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】金额为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$8000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的期贷款，月支付额为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$200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月利率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1%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该笔贷款多少年还清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?</a:t>
          </a:r>
          <a:endParaRPr lang="zh-CN" altLang="en-US"/>
        </a:p>
      </xdr:txBody>
    </xdr:sp>
    <xdr:clientData/>
  </xdr:twoCellAnchor>
  <xdr:twoCellAnchor editAs="oneCell">
    <xdr:from>
      <xdr:col>0</xdr:col>
      <xdr:colOff>131884</xdr:colOff>
      <xdr:row>10</xdr:row>
      <xdr:rowOff>21491</xdr:rowOff>
    </xdr:from>
    <xdr:to>
      <xdr:col>7</xdr:col>
      <xdr:colOff>551009</xdr:colOff>
      <xdr:row>28</xdr:row>
      <xdr:rowOff>165410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884" y="1779953"/>
          <a:ext cx="4727356" cy="33091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14</xdr:col>
      <xdr:colOff>0</xdr:colOff>
      <xdr:row>7</xdr:row>
      <xdr:rowOff>9525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5314950" y="180975"/>
          <a:ext cx="3429000" cy="1095375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-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06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】某公司准备投资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万元建设一座桥梁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,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当年投资，当年建成，该桥今后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年内预计每年收益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万元。请问：</a:t>
          </a: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（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）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若年贴现率为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8%,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今后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年内预计收益相当于现值多少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?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（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2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）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若银行贷款利率为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5%,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贷款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900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万元，按计划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年等额还清，每年还款额是多少？</a:t>
          </a:r>
          <a:endParaRPr lang="en-US" altLang="zh-CN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marL="0" marR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（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3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）</a:t>
          </a:r>
          <a:r>
            <a:rPr lang="zh-CN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考虑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15</a:t>
          </a:r>
          <a:r>
            <a:rPr lang="zh-CN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年的回报期，则该项目的内部报酬率是多少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?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+mn-cs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/>
        </a:p>
      </xdr:txBody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15</xdr:col>
      <xdr:colOff>425447</xdr:colOff>
      <xdr:row>55</xdr:row>
      <xdr:rowOff>57098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679" y="3866696"/>
          <a:ext cx="7285714" cy="5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4</xdr:col>
      <xdr:colOff>352425</xdr:colOff>
      <xdr:row>9</xdr:row>
      <xdr:rowOff>123825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95250" y="66675"/>
          <a:ext cx="3028950" cy="147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基于一系列现金流和固定的各期贴现率，返回一项投资的净现值。投资的净现值是指未来各期支出（负值）和收入（正值）的当前值的总和。</a:t>
          </a:r>
        </a:p>
        <a:p>
          <a:pPr algn="l" rtl="0">
            <a:lnSpc>
              <a:spcPts val="10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语法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:NPV(rate,value1,value2, ...)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ea typeface="宋体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Rate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为各期贴现率，是一固定值。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Value1, value2, ...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代表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1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到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29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笔支出及收入的参数值。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ea typeface="宋体"/>
            <a:cs typeface="Times New Roman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/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15</xdr:col>
      <xdr:colOff>314325</xdr:colOff>
      <xdr:row>4</xdr:row>
      <xdr:rowOff>19050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6562725" y="180975"/>
          <a:ext cx="3743325" cy="561975"/>
        </a:xfrm>
        <a:prstGeom prst="rect">
          <a:avLst/>
        </a:prstGeom>
        <a:solidFill>
          <a:srgbClr val="CCEC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【例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7-09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】假如要购买一家鞋店，投资成本为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$40,000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，并且希望前五年的营业收入如下：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$8,000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$9,200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$10,000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，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$12,000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和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$14,500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。每年的贴现率为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8%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。计算出鞋店设资的净现值。</a:t>
          </a:r>
        </a:p>
        <a:p>
          <a:pPr algn="l" rtl="0">
            <a:lnSpc>
              <a:spcPts val="1100"/>
            </a:lnSpc>
            <a:defRPr sz="1000"/>
          </a:pPr>
          <a:endParaRPr lang="zh-CN" altLang="en-US"/>
        </a:p>
      </xdr:txBody>
    </xdr:sp>
    <xdr:clientData/>
  </xdr:twoCellAnchor>
  <xdr:twoCellAnchor editAs="oneCell">
    <xdr:from>
      <xdr:col>0</xdr:col>
      <xdr:colOff>0</xdr:colOff>
      <xdr:row>13</xdr:row>
      <xdr:rowOff>126999</xdr:rowOff>
    </xdr:from>
    <xdr:to>
      <xdr:col>7</xdr:col>
      <xdr:colOff>641320</xdr:colOff>
      <xdr:row>55</xdr:row>
      <xdr:rowOff>157697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2999"/>
          <a:ext cx="5291474" cy="74162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152400</xdr:rowOff>
    </xdr:from>
    <xdr:to>
      <xdr:col>5</xdr:col>
      <xdr:colOff>581025</xdr:colOff>
      <xdr:row>10</xdr:row>
      <xdr:rowOff>9525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228600" y="152400"/>
          <a:ext cx="2743200" cy="147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返回由数值代表的一组现金流的内部收益率。这些现金流不一定必须为均衡的，但作为年金，它们必须按固定的间隔发生，如按月或按年。内部收益率为投资的回收利率，其中包含定期支付（负值）和收入（正值）。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语法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IRR(values,guess)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15</xdr:col>
      <xdr:colOff>496207</xdr:colOff>
      <xdr:row>10</xdr:row>
      <xdr:rowOff>28120</xdr:rowOff>
    </xdr:to>
    <xdr:sp macro="" textlink="">
      <xdr:nvSpPr>
        <xdr:cNvPr id="2" name="Text Box 102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6858000" y="361950"/>
          <a:ext cx="3925207" cy="1475920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9-3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】某工厂投资建设生产线，现有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与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三条生产线可供选择：假设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三条生产线的初期投资分别为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20000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25000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18000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万元。在今后三年（第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1~3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年）中，生产线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A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的预期回报分别为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13000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9000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5000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万元；生产线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的预期回报分别为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12000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10000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8000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万元；生产线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C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的预期回报分别为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10000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万元、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6000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万元和</a:t>
          </a:r>
          <a:r>
            <a:rPr lang="en-US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3000</a:t>
          </a:r>
          <a:r>
            <a:rPr lang="zh-CN" altLang="zh-C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万元。公司希望有一个投资决策模型能给出每条生产线的投资回报率，以便选出最优的投资生产线方案。</a:t>
          </a:r>
        </a:p>
      </xdr:txBody>
    </xdr:sp>
    <xdr:clientData/>
  </xdr:twoCellAnchor>
  <xdr:twoCellAnchor editAs="oneCell">
    <xdr:from>
      <xdr:col>2</xdr:col>
      <xdr:colOff>219075</xdr:colOff>
      <xdr:row>15</xdr:row>
      <xdr:rowOff>9525</xdr:rowOff>
    </xdr:from>
    <xdr:to>
      <xdr:col>5</xdr:col>
      <xdr:colOff>228600</xdr:colOff>
      <xdr:row>16</xdr:row>
      <xdr:rowOff>19050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2724150"/>
          <a:ext cx="20669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5</xdr:col>
      <xdr:colOff>323850</xdr:colOff>
      <xdr:row>13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171700"/>
          <a:ext cx="2209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341586</xdr:colOff>
      <xdr:row>3</xdr:row>
      <xdr:rowOff>0</xdr:rowOff>
    </xdr:from>
    <xdr:to>
      <xdr:col>16</xdr:col>
      <xdr:colOff>193582</xdr:colOff>
      <xdr:row>7</xdr:row>
      <xdr:rowOff>174648</xdr:rowOff>
    </xdr:to>
    <xdr:sp macro="" textlink="">
      <xdr:nvSpPr>
        <xdr:cNvPr id="4" name="Text Box 102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5071241" y="545224"/>
          <a:ext cx="3123341" cy="936648"/>
        </a:xfrm>
        <a:prstGeom prst="rect">
          <a:avLst/>
        </a:prstGeom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9-4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】某公司用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万元投资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三个项目，项目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的贴现率是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8%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，每年回报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18000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元；项目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的贴现率是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，每年回报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元；项目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的贴现率是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10%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，每年回报</a:t>
          </a:r>
          <a:r>
            <a:rPr lang="en-US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15000</a:t>
          </a:r>
          <a:r>
            <a:rPr lang="zh-CN" altLang="zh-C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元，该公司希望尽快收回资金，需要建立一个投资决策模型，分析哪个投资项目回收期最短。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  <a:cs typeface="Times New Roman"/>
          </a:endParaRPr>
        </a:p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zh-CN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76200</xdr:colOff>
      <xdr:row>10</xdr:row>
      <xdr:rowOff>19051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8267700" y="180975"/>
          <a:ext cx="4410075" cy="163830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t" upright="1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9-5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某投资者现有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万元准备进行债券投资，有三种债券可供选择。债券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元，售出价格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元，期限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年，按固定利率计息，年利率为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4.15%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每年付息一次，最后按面值还本；债券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元，低于面值出售，售出价格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元，期限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年不付息，最后按面值还本；债券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面值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元，售出价格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元，期限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年，按变动利率每年付息，各年的利率分别是：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，最后按面值还本。建立一个投资决策分析模型，分析贴现率在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1%-5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％范围内，三种债券中最优的投资品种，帮助投资者进行决策选择。</a:t>
          </a:r>
          <a:endParaRPr lang="zh-CN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476250</xdr:colOff>
      <xdr:row>11</xdr:row>
      <xdr:rowOff>38100</xdr:rowOff>
    </xdr:from>
    <xdr:to>
      <xdr:col>22</xdr:col>
      <xdr:colOff>178436</xdr:colOff>
      <xdr:row>29</xdr:row>
      <xdr:rowOff>151130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5" y="2009775"/>
          <a:ext cx="5274310" cy="319913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22</xdr:col>
      <xdr:colOff>321310</xdr:colOff>
      <xdr:row>49</xdr:row>
      <xdr:rowOff>130810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5572125"/>
          <a:ext cx="5274310" cy="3197860"/>
        </a:xfrm>
        <a:prstGeom prst="rect">
          <a:avLst/>
        </a:prstGeom>
      </xdr:spPr>
    </xdr:pic>
    <xdr:clientData/>
  </xdr:twoCellAnchor>
  <xdr:twoCellAnchor>
    <xdr:from>
      <xdr:col>3</xdr:col>
      <xdr:colOff>351692</xdr:colOff>
      <xdr:row>33</xdr:row>
      <xdr:rowOff>10048</xdr:rowOff>
    </xdr:from>
    <xdr:to>
      <xdr:col>11</xdr:col>
      <xdr:colOff>701292</xdr:colOff>
      <xdr:row>50</xdr:row>
      <xdr:rowOff>62801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533400</xdr:colOff>
          <xdr:row>28</xdr:row>
          <xdr:rowOff>152400</xdr:rowOff>
        </xdr:from>
        <xdr:to>
          <xdr:col>11</xdr:col>
          <xdr:colOff>990600</xdr:colOff>
          <xdr:row>30</xdr:row>
          <xdr:rowOff>152400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A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55</xdr:row>
      <xdr:rowOff>0</xdr:rowOff>
    </xdr:from>
    <xdr:to>
      <xdr:col>20</xdr:col>
      <xdr:colOff>596092</xdr:colOff>
      <xdr:row>112</xdr:row>
      <xdr:rowOff>34220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9828" y="9707471"/>
          <a:ext cx="8800000" cy="100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19</xdr:col>
      <xdr:colOff>152053</xdr:colOff>
      <xdr:row>136</xdr:row>
      <xdr:rowOff>85320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9828" y="19867471"/>
          <a:ext cx="7742857" cy="4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opLeftCell="A58" zoomScale="119" zoomScaleNormal="100" workbookViewId="0">
      <selection activeCell="H7" sqref="H7"/>
    </sheetView>
  </sheetViews>
  <sheetFormatPr defaultColWidth="9" defaultRowHeight="14"/>
  <cols>
    <col min="1" max="1" width="9" style="2"/>
    <col min="2" max="2" width="12.25" style="2" customWidth="1"/>
    <col min="3" max="3" width="12.25" style="2" bestFit="1" customWidth="1"/>
    <col min="4" max="5" width="9" style="2"/>
    <col min="6" max="6" width="12" style="2" customWidth="1"/>
    <col min="7" max="7" width="9.83203125" style="2" customWidth="1"/>
    <col min="8" max="8" width="11.75" style="2" customWidth="1"/>
    <col min="9" max="9" width="2" style="2" customWidth="1"/>
    <col min="10" max="16384" width="9" style="2"/>
  </cols>
  <sheetData>
    <row r="1" spans="1:9">
      <c r="A1" s="1"/>
    </row>
    <row r="2" spans="1:9">
      <c r="F2" s="3"/>
      <c r="G2" s="3"/>
      <c r="H2" s="3"/>
      <c r="I2" s="3"/>
    </row>
    <row r="3" spans="1:9">
      <c r="F3" s="3"/>
      <c r="G3" s="4" t="s">
        <v>0</v>
      </c>
      <c r="H3" s="5">
        <v>60000</v>
      </c>
      <c r="I3" s="3"/>
    </row>
    <row r="4" spans="1:9">
      <c r="F4" s="3"/>
      <c r="G4" s="4" t="s">
        <v>1</v>
      </c>
      <c r="H4" s="5">
        <v>500</v>
      </c>
      <c r="I4" s="3"/>
    </row>
    <row r="5" spans="1:9">
      <c r="F5" s="3"/>
      <c r="G5" s="4" t="s">
        <v>2</v>
      </c>
      <c r="H5" s="6">
        <v>0.08</v>
      </c>
      <c r="I5" s="3"/>
    </row>
    <row r="6" spans="1:9">
      <c r="F6" s="3"/>
      <c r="G6" s="3"/>
      <c r="H6" s="3"/>
      <c r="I6" s="3"/>
    </row>
    <row r="7" spans="1:9">
      <c r="F7" s="3"/>
      <c r="G7" s="7" t="s">
        <v>3</v>
      </c>
      <c r="H7" s="8">
        <f>PV(H5/12,20*12,H4)</f>
        <v>-59777.145851187823</v>
      </c>
      <c r="I7" s="3"/>
    </row>
    <row r="8" spans="1:9" ht="14.5" thickBot="1">
      <c r="F8" s="3"/>
      <c r="G8" s="3"/>
      <c r="H8" s="3"/>
      <c r="I8" s="3"/>
    </row>
    <row r="9" spans="1:9" ht="15" thickTop="1" thickBot="1">
      <c r="F9" s="3"/>
      <c r="G9" s="9" t="s">
        <v>4</v>
      </c>
      <c r="H9" s="10" t="str">
        <f>IF(ABS(H7)&lt;H3,"不合算","合算")</f>
        <v>不合算</v>
      </c>
      <c r="I9" s="3"/>
    </row>
    <row r="10" spans="1:9" ht="14.5" thickTop="1">
      <c r="F10" s="3"/>
      <c r="G10" s="3"/>
      <c r="H10" s="3"/>
      <c r="I10" s="3"/>
    </row>
    <row r="14" spans="1:9">
      <c r="C14" s="2">
        <v>1</v>
      </c>
      <c r="D14" s="2">
        <v>500</v>
      </c>
      <c r="F14" s="115">
        <f>NPV(H5/12,D14:D253)</f>
        <v>59777.145851188419</v>
      </c>
    </row>
    <row r="15" spans="1:9">
      <c r="C15" s="2">
        <v>2</v>
      </c>
      <c r="D15" s="2">
        <v>500</v>
      </c>
    </row>
    <row r="16" spans="1:9">
      <c r="C16" s="2">
        <v>3</v>
      </c>
      <c r="D16" s="2">
        <v>500</v>
      </c>
    </row>
    <row r="17" spans="3:4">
      <c r="C17" s="2">
        <v>4</v>
      </c>
      <c r="D17" s="2">
        <v>500</v>
      </c>
    </row>
    <row r="18" spans="3:4">
      <c r="C18" s="2">
        <v>5</v>
      </c>
      <c r="D18" s="2">
        <v>500</v>
      </c>
    </row>
    <row r="19" spans="3:4">
      <c r="C19" s="2">
        <v>6</v>
      </c>
      <c r="D19" s="2">
        <v>500</v>
      </c>
    </row>
    <row r="20" spans="3:4">
      <c r="C20" s="2">
        <v>7</v>
      </c>
      <c r="D20" s="2">
        <v>500</v>
      </c>
    </row>
    <row r="21" spans="3:4">
      <c r="C21" s="2">
        <v>8</v>
      </c>
      <c r="D21" s="2">
        <v>500</v>
      </c>
    </row>
    <row r="22" spans="3:4">
      <c r="C22" s="2">
        <v>9</v>
      </c>
      <c r="D22" s="2">
        <v>500</v>
      </c>
    </row>
    <row r="23" spans="3:4">
      <c r="C23" s="2">
        <v>10</v>
      </c>
      <c r="D23" s="2">
        <v>500</v>
      </c>
    </row>
    <row r="24" spans="3:4">
      <c r="C24" s="2">
        <v>11</v>
      </c>
      <c r="D24" s="2">
        <v>500</v>
      </c>
    </row>
    <row r="25" spans="3:4">
      <c r="C25" s="2">
        <v>12</v>
      </c>
      <c r="D25" s="2">
        <v>500</v>
      </c>
    </row>
    <row r="26" spans="3:4">
      <c r="C26" s="2">
        <v>13</v>
      </c>
      <c r="D26" s="2">
        <v>500</v>
      </c>
    </row>
    <row r="27" spans="3:4">
      <c r="C27" s="2">
        <v>14</v>
      </c>
      <c r="D27" s="2">
        <v>500</v>
      </c>
    </row>
    <row r="28" spans="3:4">
      <c r="C28" s="2">
        <v>15</v>
      </c>
      <c r="D28" s="2">
        <v>500</v>
      </c>
    </row>
    <row r="29" spans="3:4">
      <c r="C29" s="2">
        <v>16</v>
      </c>
      <c r="D29" s="2">
        <v>500</v>
      </c>
    </row>
    <row r="30" spans="3:4">
      <c r="C30" s="2">
        <v>17</v>
      </c>
      <c r="D30" s="2">
        <v>500</v>
      </c>
    </row>
    <row r="31" spans="3:4">
      <c r="C31" s="2">
        <v>18</v>
      </c>
      <c r="D31" s="2">
        <v>500</v>
      </c>
    </row>
    <row r="32" spans="3:4">
      <c r="C32" s="2">
        <v>19</v>
      </c>
      <c r="D32" s="2">
        <v>500</v>
      </c>
    </row>
    <row r="33" spans="3:4">
      <c r="C33" s="2">
        <v>20</v>
      </c>
      <c r="D33" s="2">
        <v>500</v>
      </c>
    </row>
    <row r="34" spans="3:4">
      <c r="C34" s="2">
        <v>21</v>
      </c>
      <c r="D34" s="2">
        <v>500</v>
      </c>
    </row>
    <row r="35" spans="3:4">
      <c r="C35" s="2">
        <v>22</v>
      </c>
      <c r="D35" s="2">
        <v>500</v>
      </c>
    </row>
    <row r="36" spans="3:4">
      <c r="C36" s="2">
        <v>23</v>
      </c>
      <c r="D36" s="2">
        <v>500</v>
      </c>
    </row>
    <row r="37" spans="3:4">
      <c r="C37" s="2">
        <v>24</v>
      </c>
      <c r="D37" s="2">
        <v>500</v>
      </c>
    </row>
    <row r="38" spans="3:4">
      <c r="C38" s="2">
        <v>25</v>
      </c>
      <c r="D38" s="2">
        <v>500</v>
      </c>
    </row>
    <row r="39" spans="3:4">
      <c r="C39" s="2">
        <v>26</v>
      </c>
      <c r="D39" s="2">
        <v>500</v>
      </c>
    </row>
    <row r="40" spans="3:4">
      <c r="C40" s="2">
        <v>27</v>
      </c>
      <c r="D40" s="2">
        <v>500</v>
      </c>
    </row>
    <row r="41" spans="3:4">
      <c r="C41" s="2">
        <v>28</v>
      </c>
      <c r="D41" s="2">
        <v>500</v>
      </c>
    </row>
    <row r="42" spans="3:4">
      <c r="C42" s="2">
        <v>29</v>
      </c>
      <c r="D42" s="2">
        <v>500</v>
      </c>
    </row>
    <row r="43" spans="3:4">
      <c r="C43" s="2">
        <v>30</v>
      </c>
      <c r="D43" s="2">
        <v>500</v>
      </c>
    </row>
    <row r="44" spans="3:4">
      <c r="C44" s="2">
        <v>31</v>
      </c>
      <c r="D44" s="2">
        <v>500</v>
      </c>
    </row>
    <row r="45" spans="3:4">
      <c r="C45" s="2">
        <v>32</v>
      </c>
      <c r="D45" s="2">
        <v>500</v>
      </c>
    </row>
    <row r="46" spans="3:4">
      <c r="C46" s="2">
        <v>33</v>
      </c>
      <c r="D46" s="2">
        <v>500</v>
      </c>
    </row>
    <row r="47" spans="3:4">
      <c r="C47" s="2">
        <v>34</v>
      </c>
      <c r="D47" s="2">
        <v>500</v>
      </c>
    </row>
    <row r="48" spans="3:4">
      <c r="C48" s="2">
        <v>35</v>
      </c>
      <c r="D48" s="2">
        <v>500</v>
      </c>
    </row>
    <row r="49" spans="3:4">
      <c r="C49" s="2">
        <v>36</v>
      </c>
      <c r="D49" s="2">
        <v>500</v>
      </c>
    </row>
    <row r="50" spans="3:4">
      <c r="C50" s="2">
        <v>37</v>
      </c>
      <c r="D50" s="2">
        <v>500</v>
      </c>
    </row>
    <row r="51" spans="3:4">
      <c r="C51" s="2">
        <v>38</v>
      </c>
      <c r="D51" s="2">
        <v>500</v>
      </c>
    </row>
    <row r="52" spans="3:4">
      <c r="C52" s="2">
        <v>39</v>
      </c>
      <c r="D52" s="2">
        <v>500</v>
      </c>
    </row>
    <row r="53" spans="3:4">
      <c r="C53" s="2">
        <v>40</v>
      </c>
      <c r="D53" s="2">
        <v>500</v>
      </c>
    </row>
    <row r="54" spans="3:4">
      <c r="C54" s="2">
        <v>41</v>
      </c>
      <c r="D54" s="2">
        <v>500</v>
      </c>
    </row>
    <row r="55" spans="3:4">
      <c r="C55" s="2">
        <v>42</v>
      </c>
      <c r="D55" s="2">
        <v>500</v>
      </c>
    </row>
    <row r="56" spans="3:4">
      <c r="C56" s="2">
        <v>43</v>
      </c>
      <c r="D56" s="2">
        <v>500</v>
      </c>
    </row>
    <row r="57" spans="3:4">
      <c r="C57" s="2">
        <v>44</v>
      </c>
      <c r="D57" s="2">
        <v>500</v>
      </c>
    </row>
    <row r="58" spans="3:4">
      <c r="C58" s="2">
        <v>45</v>
      </c>
      <c r="D58" s="2">
        <v>500</v>
      </c>
    </row>
    <row r="59" spans="3:4">
      <c r="C59" s="2">
        <v>46</v>
      </c>
      <c r="D59" s="2">
        <v>500</v>
      </c>
    </row>
    <row r="60" spans="3:4">
      <c r="C60" s="2">
        <v>47</v>
      </c>
      <c r="D60" s="2">
        <v>500</v>
      </c>
    </row>
    <row r="61" spans="3:4">
      <c r="C61" s="2">
        <v>48</v>
      </c>
      <c r="D61" s="2">
        <v>500</v>
      </c>
    </row>
    <row r="62" spans="3:4">
      <c r="C62" s="2">
        <v>49</v>
      </c>
      <c r="D62" s="2">
        <v>500</v>
      </c>
    </row>
    <row r="63" spans="3:4">
      <c r="C63" s="2">
        <v>50</v>
      </c>
      <c r="D63" s="2">
        <v>500</v>
      </c>
    </row>
    <row r="64" spans="3:4">
      <c r="C64" s="2">
        <v>51</v>
      </c>
      <c r="D64" s="2">
        <v>500</v>
      </c>
    </row>
    <row r="65" spans="3:4">
      <c r="C65" s="2">
        <v>52</v>
      </c>
      <c r="D65" s="2">
        <v>500</v>
      </c>
    </row>
    <row r="66" spans="3:4">
      <c r="C66" s="2">
        <v>53</v>
      </c>
      <c r="D66" s="2">
        <v>500</v>
      </c>
    </row>
    <row r="67" spans="3:4">
      <c r="C67" s="2">
        <v>54</v>
      </c>
      <c r="D67" s="2">
        <v>500</v>
      </c>
    </row>
    <row r="68" spans="3:4">
      <c r="C68" s="2">
        <v>55</v>
      </c>
      <c r="D68" s="2">
        <v>500</v>
      </c>
    </row>
    <row r="69" spans="3:4">
      <c r="C69" s="2">
        <v>56</v>
      </c>
      <c r="D69" s="2">
        <v>500</v>
      </c>
    </row>
    <row r="70" spans="3:4">
      <c r="C70" s="2">
        <v>57</v>
      </c>
      <c r="D70" s="2">
        <v>500</v>
      </c>
    </row>
    <row r="71" spans="3:4">
      <c r="C71" s="2">
        <v>58</v>
      </c>
      <c r="D71" s="2">
        <v>500</v>
      </c>
    </row>
    <row r="72" spans="3:4">
      <c r="C72" s="2">
        <v>59</v>
      </c>
      <c r="D72" s="2">
        <v>500</v>
      </c>
    </row>
    <row r="73" spans="3:4">
      <c r="C73" s="2">
        <v>60</v>
      </c>
      <c r="D73" s="2">
        <v>500</v>
      </c>
    </row>
    <row r="74" spans="3:4">
      <c r="C74" s="2">
        <v>61</v>
      </c>
      <c r="D74" s="2">
        <v>500</v>
      </c>
    </row>
    <row r="75" spans="3:4">
      <c r="C75" s="2">
        <v>62</v>
      </c>
      <c r="D75" s="2">
        <v>500</v>
      </c>
    </row>
    <row r="76" spans="3:4">
      <c r="C76" s="2">
        <v>63</v>
      </c>
      <c r="D76" s="2">
        <v>500</v>
      </c>
    </row>
    <row r="77" spans="3:4">
      <c r="C77" s="2">
        <v>64</v>
      </c>
      <c r="D77" s="2">
        <v>500</v>
      </c>
    </row>
    <row r="78" spans="3:4">
      <c r="C78" s="2">
        <v>65</v>
      </c>
      <c r="D78" s="2">
        <v>500</v>
      </c>
    </row>
    <row r="79" spans="3:4">
      <c r="C79" s="2">
        <v>66</v>
      </c>
      <c r="D79" s="2">
        <v>500</v>
      </c>
    </row>
    <row r="80" spans="3:4">
      <c r="C80" s="2">
        <v>67</v>
      </c>
      <c r="D80" s="2">
        <v>500</v>
      </c>
    </row>
    <row r="81" spans="3:4">
      <c r="C81" s="2">
        <v>68</v>
      </c>
      <c r="D81" s="2">
        <v>500</v>
      </c>
    </row>
    <row r="82" spans="3:4">
      <c r="C82" s="2">
        <v>69</v>
      </c>
      <c r="D82" s="2">
        <v>500</v>
      </c>
    </row>
    <row r="83" spans="3:4">
      <c r="C83" s="2">
        <v>70</v>
      </c>
      <c r="D83" s="2">
        <v>500</v>
      </c>
    </row>
    <row r="84" spans="3:4">
      <c r="C84" s="2">
        <v>71</v>
      </c>
      <c r="D84" s="2">
        <v>500</v>
      </c>
    </row>
    <row r="85" spans="3:4">
      <c r="C85" s="2">
        <v>72</v>
      </c>
      <c r="D85" s="2">
        <v>500</v>
      </c>
    </row>
    <row r="86" spans="3:4">
      <c r="C86" s="2">
        <v>73</v>
      </c>
      <c r="D86" s="2">
        <v>500</v>
      </c>
    </row>
    <row r="87" spans="3:4">
      <c r="C87" s="2">
        <v>74</v>
      </c>
      <c r="D87" s="2">
        <v>500</v>
      </c>
    </row>
    <row r="88" spans="3:4">
      <c r="C88" s="2">
        <v>75</v>
      </c>
      <c r="D88" s="2">
        <v>500</v>
      </c>
    </row>
    <row r="89" spans="3:4">
      <c r="C89" s="2">
        <v>76</v>
      </c>
      <c r="D89" s="2">
        <v>500</v>
      </c>
    </row>
    <row r="90" spans="3:4">
      <c r="C90" s="2">
        <v>77</v>
      </c>
      <c r="D90" s="2">
        <v>500</v>
      </c>
    </row>
    <row r="91" spans="3:4">
      <c r="C91" s="2">
        <v>78</v>
      </c>
      <c r="D91" s="2">
        <v>500</v>
      </c>
    </row>
    <row r="92" spans="3:4">
      <c r="C92" s="2">
        <v>79</v>
      </c>
      <c r="D92" s="2">
        <v>500</v>
      </c>
    </row>
    <row r="93" spans="3:4">
      <c r="C93" s="2">
        <v>80</v>
      </c>
      <c r="D93" s="2">
        <v>500</v>
      </c>
    </row>
    <row r="94" spans="3:4">
      <c r="C94" s="2">
        <v>81</v>
      </c>
      <c r="D94" s="2">
        <v>500</v>
      </c>
    </row>
    <row r="95" spans="3:4">
      <c r="C95" s="2">
        <v>82</v>
      </c>
      <c r="D95" s="2">
        <v>500</v>
      </c>
    </row>
    <row r="96" spans="3:4">
      <c r="C96" s="2">
        <v>83</v>
      </c>
      <c r="D96" s="2">
        <v>500</v>
      </c>
    </row>
    <row r="97" spans="3:4">
      <c r="C97" s="2">
        <v>84</v>
      </c>
      <c r="D97" s="2">
        <v>500</v>
      </c>
    </row>
    <row r="98" spans="3:4">
      <c r="C98" s="2">
        <v>85</v>
      </c>
      <c r="D98" s="2">
        <v>500</v>
      </c>
    </row>
    <row r="99" spans="3:4">
      <c r="C99" s="2">
        <v>86</v>
      </c>
      <c r="D99" s="2">
        <v>500</v>
      </c>
    </row>
    <row r="100" spans="3:4">
      <c r="C100" s="2">
        <v>87</v>
      </c>
      <c r="D100" s="2">
        <v>500</v>
      </c>
    </row>
    <row r="101" spans="3:4">
      <c r="C101" s="2">
        <v>88</v>
      </c>
      <c r="D101" s="2">
        <v>500</v>
      </c>
    </row>
    <row r="102" spans="3:4">
      <c r="C102" s="2">
        <v>89</v>
      </c>
      <c r="D102" s="2">
        <v>500</v>
      </c>
    </row>
    <row r="103" spans="3:4">
      <c r="C103" s="2">
        <v>90</v>
      </c>
      <c r="D103" s="2">
        <v>500</v>
      </c>
    </row>
    <row r="104" spans="3:4">
      <c r="C104" s="2">
        <v>91</v>
      </c>
      <c r="D104" s="2">
        <v>500</v>
      </c>
    </row>
    <row r="105" spans="3:4">
      <c r="C105" s="2">
        <v>92</v>
      </c>
      <c r="D105" s="2">
        <v>500</v>
      </c>
    </row>
    <row r="106" spans="3:4">
      <c r="C106" s="2">
        <v>93</v>
      </c>
      <c r="D106" s="2">
        <v>500</v>
      </c>
    </row>
    <row r="107" spans="3:4">
      <c r="C107" s="2">
        <v>94</v>
      </c>
      <c r="D107" s="2">
        <v>500</v>
      </c>
    </row>
    <row r="108" spans="3:4">
      <c r="C108" s="2">
        <v>95</v>
      </c>
      <c r="D108" s="2">
        <v>500</v>
      </c>
    </row>
    <row r="109" spans="3:4">
      <c r="C109" s="2">
        <v>96</v>
      </c>
      <c r="D109" s="2">
        <v>500</v>
      </c>
    </row>
    <row r="110" spans="3:4">
      <c r="C110" s="2">
        <v>97</v>
      </c>
      <c r="D110" s="2">
        <v>500</v>
      </c>
    </row>
    <row r="111" spans="3:4">
      <c r="C111" s="2">
        <v>98</v>
      </c>
      <c r="D111" s="2">
        <v>500</v>
      </c>
    </row>
    <row r="112" spans="3:4">
      <c r="C112" s="2">
        <v>99</v>
      </c>
      <c r="D112" s="2">
        <v>500</v>
      </c>
    </row>
    <row r="113" spans="3:4">
      <c r="C113" s="2">
        <v>100</v>
      </c>
      <c r="D113" s="2">
        <v>500</v>
      </c>
    </row>
    <row r="114" spans="3:4">
      <c r="C114" s="2">
        <v>101</v>
      </c>
      <c r="D114" s="2">
        <v>500</v>
      </c>
    </row>
    <row r="115" spans="3:4">
      <c r="C115" s="2">
        <v>102</v>
      </c>
      <c r="D115" s="2">
        <v>500</v>
      </c>
    </row>
    <row r="116" spans="3:4">
      <c r="C116" s="2">
        <v>103</v>
      </c>
      <c r="D116" s="2">
        <v>500</v>
      </c>
    </row>
    <row r="117" spans="3:4">
      <c r="C117" s="2">
        <v>104</v>
      </c>
      <c r="D117" s="2">
        <v>500</v>
      </c>
    </row>
    <row r="118" spans="3:4">
      <c r="C118" s="2">
        <v>105</v>
      </c>
      <c r="D118" s="2">
        <v>500</v>
      </c>
    </row>
    <row r="119" spans="3:4">
      <c r="C119" s="2">
        <v>106</v>
      </c>
      <c r="D119" s="2">
        <v>500</v>
      </c>
    </row>
    <row r="120" spans="3:4">
      <c r="C120" s="2">
        <v>107</v>
      </c>
      <c r="D120" s="2">
        <v>500</v>
      </c>
    </row>
    <row r="121" spans="3:4">
      <c r="C121" s="2">
        <v>108</v>
      </c>
      <c r="D121" s="2">
        <v>500</v>
      </c>
    </row>
    <row r="122" spans="3:4">
      <c r="C122" s="2">
        <v>109</v>
      </c>
      <c r="D122" s="2">
        <v>500</v>
      </c>
    </row>
    <row r="123" spans="3:4">
      <c r="C123" s="2">
        <v>110</v>
      </c>
      <c r="D123" s="2">
        <v>500</v>
      </c>
    </row>
    <row r="124" spans="3:4">
      <c r="C124" s="2">
        <v>111</v>
      </c>
      <c r="D124" s="2">
        <v>500</v>
      </c>
    </row>
    <row r="125" spans="3:4">
      <c r="C125" s="2">
        <v>112</v>
      </c>
      <c r="D125" s="2">
        <v>500</v>
      </c>
    </row>
    <row r="126" spans="3:4">
      <c r="C126" s="2">
        <v>113</v>
      </c>
      <c r="D126" s="2">
        <v>500</v>
      </c>
    </row>
    <row r="127" spans="3:4">
      <c r="C127" s="2">
        <v>114</v>
      </c>
      <c r="D127" s="2">
        <v>500</v>
      </c>
    </row>
    <row r="128" spans="3:4">
      <c r="C128" s="2">
        <v>115</v>
      </c>
      <c r="D128" s="2">
        <v>500</v>
      </c>
    </row>
    <row r="129" spans="3:4">
      <c r="C129" s="2">
        <v>116</v>
      </c>
      <c r="D129" s="2">
        <v>500</v>
      </c>
    </row>
    <row r="130" spans="3:4">
      <c r="C130" s="2">
        <v>117</v>
      </c>
      <c r="D130" s="2">
        <v>500</v>
      </c>
    </row>
    <row r="131" spans="3:4">
      <c r="C131" s="2">
        <v>118</v>
      </c>
      <c r="D131" s="2">
        <v>500</v>
      </c>
    </row>
    <row r="132" spans="3:4">
      <c r="C132" s="2">
        <v>119</v>
      </c>
      <c r="D132" s="2">
        <v>500</v>
      </c>
    </row>
    <row r="133" spans="3:4">
      <c r="C133" s="2">
        <v>120</v>
      </c>
      <c r="D133" s="2">
        <v>500</v>
      </c>
    </row>
    <row r="134" spans="3:4">
      <c r="C134" s="2">
        <v>121</v>
      </c>
      <c r="D134" s="2">
        <v>500</v>
      </c>
    </row>
    <row r="135" spans="3:4">
      <c r="C135" s="2">
        <v>122</v>
      </c>
      <c r="D135" s="2">
        <v>500</v>
      </c>
    </row>
    <row r="136" spans="3:4">
      <c r="C136" s="2">
        <v>123</v>
      </c>
      <c r="D136" s="2">
        <v>500</v>
      </c>
    </row>
    <row r="137" spans="3:4">
      <c r="C137" s="2">
        <v>124</v>
      </c>
      <c r="D137" s="2">
        <v>500</v>
      </c>
    </row>
    <row r="138" spans="3:4">
      <c r="C138" s="2">
        <v>125</v>
      </c>
      <c r="D138" s="2">
        <v>500</v>
      </c>
    </row>
    <row r="139" spans="3:4">
      <c r="C139" s="2">
        <v>126</v>
      </c>
      <c r="D139" s="2">
        <v>500</v>
      </c>
    </row>
    <row r="140" spans="3:4">
      <c r="C140" s="2">
        <v>127</v>
      </c>
      <c r="D140" s="2">
        <v>500</v>
      </c>
    </row>
    <row r="141" spans="3:4">
      <c r="C141" s="2">
        <v>128</v>
      </c>
      <c r="D141" s="2">
        <v>500</v>
      </c>
    </row>
    <row r="142" spans="3:4">
      <c r="C142" s="2">
        <v>129</v>
      </c>
      <c r="D142" s="2">
        <v>500</v>
      </c>
    </row>
    <row r="143" spans="3:4">
      <c r="C143" s="2">
        <v>130</v>
      </c>
      <c r="D143" s="2">
        <v>500</v>
      </c>
    </row>
    <row r="144" spans="3:4">
      <c r="C144" s="2">
        <v>131</v>
      </c>
      <c r="D144" s="2">
        <v>500</v>
      </c>
    </row>
    <row r="145" spans="3:4">
      <c r="C145" s="2">
        <v>132</v>
      </c>
      <c r="D145" s="2">
        <v>500</v>
      </c>
    </row>
    <row r="146" spans="3:4">
      <c r="C146" s="2">
        <v>133</v>
      </c>
      <c r="D146" s="2">
        <v>500</v>
      </c>
    </row>
    <row r="147" spans="3:4">
      <c r="C147" s="2">
        <v>134</v>
      </c>
      <c r="D147" s="2">
        <v>500</v>
      </c>
    </row>
    <row r="148" spans="3:4">
      <c r="C148" s="2">
        <v>135</v>
      </c>
      <c r="D148" s="2">
        <v>500</v>
      </c>
    </row>
    <row r="149" spans="3:4">
      <c r="C149" s="2">
        <v>136</v>
      </c>
      <c r="D149" s="2">
        <v>500</v>
      </c>
    </row>
    <row r="150" spans="3:4">
      <c r="C150" s="2">
        <v>137</v>
      </c>
      <c r="D150" s="2">
        <v>500</v>
      </c>
    </row>
    <row r="151" spans="3:4">
      <c r="C151" s="2">
        <v>138</v>
      </c>
      <c r="D151" s="2">
        <v>500</v>
      </c>
    </row>
    <row r="152" spans="3:4">
      <c r="C152" s="2">
        <v>139</v>
      </c>
      <c r="D152" s="2">
        <v>500</v>
      </c>
    </row>
    <row r="153" spans="3:4">
      <c r="C153" s="2">
        <v>140</v>
      </c>
      <c r="D153" s="2">
        <v>500</v>
      </c>
    </row>
    <row r="154" spans="3:4">
      <c r="C154" s="2">
        <v>141</v>
      </c>
      <c r="D154" s="2">
        <v>500</v>
      </c>
    </row>
    <row r="155" spans="3:4">
      <c r="C155" s="2">
        <v>142</v>
      </c>
      <c r="D155" s="2">
        <v>500</v>
      </c>
    </row>
    <row r="156" spans="3:4">
      <c r="C156" s="2">
        <v>143</v>
      </c>
      <c r="D156" s="2">
        <v>500</v>
      </c>
    </row>
    <row r="157" spans="3:4">
      <c r="C157" s="2">
        <v>144</v>
      </c>
      <c r="D157" s="2">
        <v>500</v>
      </c>
    </row>
    <row r="158" spans="3:4">
      <c r="C158" s="2">
        <v>145</v>
      </c>
      <c r="D158" s="2">
        <v>500</v>
      </c>
    </row>
    <row r="159" spans="3:4">
      <c r="C159" s="2">
        <v>146</v>
      </c>
      <c r="D159" s="2">
        <v>500</v>
      </c>
    </row>
    <row r="160" spans="3:4">
      <c r="C160" s="2">
        <v>147</v>
      </c>
      <c r="D160" s="2">
        <v>500</v>
      </c>
    </row>
    <row r="161" spans="3:4">
      <c r="C161" s="2">
        <v>148</v>
      </c>
      <c r="D161" s="2">
        <v>500</v>
      </c>
    </row>
    <row r="162" spans="3:4">
      <c r="C162" s="2">
        <v>149</v>
      </c>
      <c r="D162" s="2">
        <v>500</v>
      </c>
    </row>
    <row r="163" spans="3:4">
      <c r="C163" s="2">
        <v>150</v>
      </c>
      <c r="D163" s="2">
        <v>500</v>
      </c>
    </row>
    <row r="164" spans="3:4">
      <c r="C164" s="2">
        <v>151</v>
      </c>
      <c r="D164" s="2">
        <v>500</v>
      </c>
    </row>
    <row r="165" spans="3:4">
      <c r="C165" s="2">
        <v>152</v>
      </c>
      <c r="D165" s="2">
        <v>500</v>
      </c>
    </row>
    <row r="166" spans="3:4">
      <c r="C166" s="2">
        <v>153</v>
      </c>
      <c r="D166" s="2">
        <v>500</v>
      </c>
    </row>
    <row r="167" spans="3:4">
      <c r="C167" s="2">
        <v>154</v>
      </c>
      <c r="D167" s="2">
        <v>500</v>
      </c>
    </row>
    <row r="168" spans="3:4">
      <c r="C168" s="2">
        <v>155</v>
      </c>
      <c r="D168" s="2">
        <v>500</v>
      </c>
    </row>
    <row r="169" spans="3:4">
      <c r="C169" s="2">
        <v>156</v>
      </c>
      <c r="D169" s="2">
        <v>500</v>
      </c>
    </row>
    <row r="170" spans="3:4">
      <c r="C170" s="2">
        <v>157</v>
      </c>
      <c r="D170" s="2">
        <v>500</v>
      </c>
    </row>
    <row r="171" spans="3:4">
      <c r="C171" s="2">
        <v>158</v>
      </c>
      <c r="D171" s="2">
        <v>500</v>
      </c>
    </row>
    <row r="172" spans="3:4">
      <c r="C172" s="2">
        <v>159</v>
      </c>
      <c r="D172" s="2">
        <v>500</v>
      </c>
    </row>
    <row r="173" spans="3:4">
      <c r="C173" s="2">
        <v>160</v>
      </c>
      <c r="D173" s="2">
        <v>500</v>
      </c>
    </row>
    <row r="174" spans="3:4">
      <c r="C174" s="2">
        <v>161</v>
      </c>
      <c r="D174" s="2">
        <v>500</v>
      </c>
    </row>
    <row r="175" spans="3:4">
      <c r="C175" s="2">
        <v>162</v>
      </c>
      <c r="D175" s="2">
        <v>500</v>
      </c>
    </row>
    <row r="176" spans="3:4">
      <c r="C176" s="2">
        <v>163</v>
      </c>
      <c r="D176" s="2">
        <v>500</v>
      </c>
    </row>
    <row r="177" spans="3:4">
      <c r="C177" s="2">
        <v>164</v>
      </c>
      <c r="D177" s="2">
        <v>500</v>
      </c>
    </row>
    <row r="178" spans="3:4">
      <c r="C178" s="2">
        <v>165</v>
      </c>
      <c r="D178" s="2">
        <v>500</v>
      </c>
    </row>
    <row r="179" spans="3:4">
      <c r="C179" s="2">
        <v>166</v>
      </c>
      <c r="D179" s="2">
        <v>500</v>
      </c>
    </row>
    <row r="180" spans="3:4">
      <c r="C180" s="2">
        <v>167</v>
      </c>
      <c r="D180" s="2">
        <v>500</v>
      </c>
    </row>
    <row r="181" spans="3:4">
      <c r="C181" s="2">
        <v>168</v>
      </c>
      <c r="D181" s="2">
        <v>500</v>
      </c>
    </row>
    <row r="182" spans="3:4">
      <c r="C182" s="2">
        <v>169</v>
      </c>
      <c r="D182" s="2">
        <v>500</v>
      </c>
    </row>
    <row r="183" spans="3:4">
      <c r="C183" s="2">
        <v>170</v>
      </c>
      <c r="D183" s="2">
        <v>500</v>
      </c>
    </row>
    <row r="184" spans="3:4">
      <c r="C184" s="2">
        <v>171</v>
      </c>
      <c r="D184" s="2">
        <v>500</v>
      </c>
    </row>
    <row r="185" spans="3:4">
      <c r="C185" s="2">
        <v>172</v>
      </c>
      <c r="D185" s="2">
        <v>500</v>
      </c>
    </row>
    <row r="186" spans="3:4">
      <c r="C186" s="2">
        <v>173</v>
      </c>
      <c r="D186" s="2">
        <v>500</v>
      </c>
    </row>
    <row r="187" spans="3:4">
      <c r="C187" s="2">
        <v>174</v>
      </c>
      <c r="D187" s="2">
        <v>500</v>
      </c>
    </row>
    <row r="188" spans="3:4">
      <c r="C188" s="2">
        <v>175</v>
      </c>
      <c r="D188" s="2">
        <v>500</v>
      </c>
    </row>
    <row r="189" spans="3:4">
      <c r="C189" s="2">
        <v>176</v>
      </c>
      <c r="D189" s="2">
        <v>500</v>
      </c>
    </row>
    <row r="190" spans="3:4">
      <c r="C190" s="2">
        <v>177</v>
      </c>
      <c r="D190" s="2">
        <v>500</v>
      </c>
    </row>
    <row r="191" spans="3:4">
      <c r="C191" s="2">
        <v>178</v>
      </c>
      <c r="D191" s="2">
        <v>500</v>
      </c>
    </row>
    <row r="192" spans="3:4">
      <c r="C192" s="2">
        <v>179</v>
      </c>
      <c r="D192" s="2">
        <v>500</v>
      </c>
    </row>
    <row r="193" spans="3:4">
      <c r="C193" s="2">
        <v>180</v>
      </c>
      <c r="D193" s="2">
        <v>500</v>
      </c>
    </row>
    <row r="194" spans="3:4">
      <c r="C194" s="2">
        <v>181</v>
      </c>
      <c r="D194" s="2">
        <v>500</v>
      </c>
    </row>
    <row r="195" spans="3:4">
      <c r="C195" s="2">
        <v>182</v>
      </c>
      <c r="D195" s="2">
        <v>500</v>
      </c>
    </row>
    <row r="196" spans="3:4">
      <c r="C196" s="2">
        <v>183</v>
      </c>
      <c r="D196" s="2">
        <v>500</v>
      </c>
    </row>
    <row r="197" spans="3:4">
      <c r="C197" s="2">
        <v>184</v>
      </c>
      <c r="D197" s="2">
        <v>500</v>
      </c>
    </row>
    <row r="198" spans="3:4">
      <c r="C198" s="2">
        <v>185</v>
      </c>
      <c r="D198" s="2">
        <v>500</v>
      </c>
    </row>
    <row r="199" spans="3:4">
      <c r="C199" s="2">
        <v>186</v>
      </c>
      <c r="D199" s="2">
        <v>500</v>
      </c>
    </row>
    <row r="200" spans="3:4">
      <c r="C200" s="2">
        <v>187</v>
      </c>
      <c r="D200" s="2">
        <v>500</v>
      </c>
    </row>
    <row r="201" spans="3:4">
      <c r="C201" s="2">
        <v>188</v>
      </c>
      <c r="D201" s="2">
        <v>500</v>
      </c>
    </row>
    <row r="202" spans="3:4">
      <c r="C202" s="2">
        <v>189</v>
      </c>
      <c r="D202" s="2">
        <v>500</v>
      </c>
    </row>
    <row r="203" spans="3:4">
      <c r="C203" s="2">
        <v>190</v>
      </c>
      <c r="D203" s="2">
        <v>500</v>
      </c>
    </row>
    <row r="204" spans="3:4">
      <c r="C204" s="2">
        <v>191</v>
      </c>
      <c r="D204" s="2">
        <v>500</v>
      </c>
    </row>
    <row r="205" spans="3:4">
      <c r="C205" s="2">
        <v>192</v>
      </c>
      <c r="D205" s="2">
        <v>500</v>
      </c>
    </row>
    <row r="206" spans="3:4">
      <c r="C206" s="2">
        <v>193</v>
      </c>
      <c r="D206" s="2">
        <v>500</v>
      </c>
    </row>
    <row r="207" spans="3:4">
      <c r="C207" s="2">
        <v>194</v>
      </c>
      <c r="D207" s="2">
        <v>500</v>
      </c>
    </row>
    <row r="208" spans="3:4">
      <c r="C208" s="2">
        <v>195</v>
      </c>
      <c r="D208" s="2">
        <v>500</v>
      </c>
    </row>
    <row r="209" spans="3:4">
      <c r="C209" s="2">
        <v>196</v>
      </c>
      <c r="D209" s="2">
        <v>500</v>
      </c>
    </row>
    <row r="210" spans="3:4">
      <c r="C210" s="2">
        <v>197</v>
      </c>
      <c r="D210" s="2">
        <v>500</v>
      </c>
    </row>
    <row r="211" spans="3:4">
      <c r="C211" s="2">
        <v>198</v>
      </c>
      <c r="D211" s="2">
        <v>500</v>
      </c>
    </row>
    <row r="212" spans="3:4">
      <c r="C212" s="2">
        <v>199</v>
      </c>
      <c r="D212" s="2">
        <v>500</v>
      </c>
    </row>
    <row r="213" spans="3:4">
      <c r="C213" s="2">
        <v>200</v>
      </c>
      <c r="D213" s="2">
        <v>500</v>
      </c>
    </row>
    <row r="214" spans="3:4">
      <c r="C214" s="2">
        <v>201</v>
      </c>
      <c r="D214" s="2">
        <v>500</v>
      </c>
    </row>
    <row r="215" spans="3:4">
      <c r="C215" s="2">
        <v>202</v>
      </c>
      <c r="D215" s="2">
        <v>500</v>
      </c>
    </row>
    <row r="216" spans="3:4">
      <c r="C216" s="2">
        <v>203</v>
      </c>
      <c r="D216" s="2">
        <v>500</v>
      </c>
    </row>
    <row r="217" spans="3:4">
      <c r="C217" s="2">
        <v>204</v>
      </c>
      <c r="D217" s="2">
        <v>500</v>
      </c>
    </row>
    <row r="218" spans="3:4">
      <c r="C218" s="2">
        <v>205</v>
      </c>
      <c r="D218" s="2">
        <v>500</v>
      </c>
    </row>
    <row r="219" spans="3:4">
      <c r="C219" s="2">
        <v>206</v>
      </c>
      <c r="D219" s="2">
        <v>500</v>
      </c>
    </row>
    <row r="220" spans="3:4">
      <c r="C220" s="2">
        <v>207</v>
      </c>
      <c r="D220" s="2">
        <v>500</v>
      </c>
    </row>
    <row r="221" spans="3:4">
      <c r="C221" s="2">
        <v>208</v>
      </c>
      <c r="D221" s="2">
        <v>500</v>
      </c>
    </row>
    <row r="222" spans="3:4">
      <c r="C222" s="2">
        <v>209</v>
      </c>
      <c r="D222" s="2">
        <v>500</v>
      </c>
    </row>
    <row r="223" spans="3:4">
      <c r="C223" s="2">
        <v>210</v>
      </c>
      <c r="D223" s="2">
        <v>500</v>
      </c>
    </row>
    <row r="224" spans="3:4">
      <c r="C224" s="2">
        <v>211</v>
      </c>
      <c r="D224" s="2">
        <v>500</v>
      </c>
    </row>
    <row r="225" spans="3:4">
      <c r="C225" s="2">
        <v>212</v>
      </c>
      <c r="D225" s="2">
        <v>500</v>
      </c>
    </row>
    <row r="226" spans="3:4">
      <c r="C226" s="2">
        <v>213</v>
      </c>
      <c r="D226" s="2">
        <v>500</v>
      </c>
    </row>
    <row r="227" spans="3:4">
      <c r="C227" s="2">
        <v>214</v>
      </c>
      <c r="D227" s="2">
        <v>500</v>
      </c>
    </row>
    <row r="228" spans="3:4">
      <c r="C228" s="2">
        <v>215</v>
      </c>
      <c r="D228" s="2">
        <v>500</v>
      </c>
    </row>
    <row r="229" spans="3:4">
      <c r="C229" s="2">
        <v>216</v>
      </c>
      <c r="D229" s="2">
        <v>500</v>
      </c>
    </row>
    <row r="230" spans="3:4">
      <c r="C230" s="2">
        <v>217</v>
      </c>
      <c r="D230" s="2">
        <v>500</v>
      </c>
    </row>
    <row r="231" spans="3:4">
      <c r="C231" s="2">
        <v>218</v>
      </c>
      <c r="D231" s="2">
        <v>500</v>
      </c>
    </row>
    <row r="232" spans="3:4">
      <c r="C232" s="2">
        <v>219</v>
      </c>
      <c r="D232" s="2">
        <v>500</v>
      </c>
    </row>
    <row r="233" spans="3:4">
      <c r="C233" s="2">
        <v>220</v>
      </c>
      <c r="D233" s="2">
        <v>500</v>
      </c>
    </row>
    <row r="234" spans="3:4">
      <c r="C234" s="2">
        <v>221</v>
      </c>
      <c r="D234" s="2">
        <v>500</v>
      </c>
    </row>
    <row r="235" spans="3:4">
      <c r="C235" s="2">
        <v>222</v>
      </c>
      <c r="D235" s="2">
        <v>500</v>
      </c>
    </row>
    <row r="236" spans="3:4">
      <c r="C236" s="2">
        <v>223</v>
      </c>
      <c r="D236" s="2">
        <v>500</v>
      </c>
    </row>
    <row r="237" spans="3:4">
      <c r="C237" s="2">
        <v>224</v>
      </c>
      <c r="D237" s="2">
        <v>500</v>
      </c>
    </row>
    <row r="238" spans="3:4">
      <c r="C238" s="2">
        <v>225</v>
      </c>
      <c r="D238" s="2">
        <v>500</v>
      </c>
    </row>
    <row r="239" spans="3:4">
      <c r="C239" s="2">
        <v>226</v>
      </c>
      <c r="D239" s="2">
        <v>500</v>
      </c>
    </row>
    <row r="240" spans="3:4">
      <c r="C240" s="2">
        <v>227</v>
      </c>
      <c r="D240" s="2">
        <v>500</v>
      </c>
    </row>
    <row r="241" spans="3:4">
      <c r="C241" s="2">
        <v>228</v>
      </c>
      <c r="D241" s="2">
        <v>500</v>
      </c>
    </row>
    <row r="242" spans="3:4">
      <c r="C242" s="2">
        <v>229</v>
      </c>
      <c r="D242" s="2">
        <v>500</v>
      </c>
    </row>
    <row r="243" spans="3:4">
      <c r="C243" s="2">
        <v>230</v>
      </c>
      <c r="D243" s="2">
        <v>500</v>
      </c>
    </row>
    <row r="244" spans="3:4">
      <c r="C244" s="2">
        <v>231</v>
      </c>
      <c r="D244" s="2">
        <v>500</v>
      </c>
    </row>
    <row r="245" spans="3:4">
      <c r="C245" s="2">
        <v>232</v>
      </c>
      <c r="D245" s="2">
        <v>500</v>
      </c>
    </row>
    <row r="246" spans="3:4">
      <c r="C246" s="2">
        <v>233</v>
      </c>
      <c r="D246" s="2">
        <v>500</v>
      </c>
    </row>
    <row r="247" spans="3:4">
      <c r="C247" s="2">
        <v>234</v>
      </c>
      <c r="D247" s="2">
        <v>500</v>
      </c>
    </row>
    <row r="248" spans="3:4">
      <c r="C248" s="2">
        <v>235</v>
      </c>
      <c r="D248" s="2">
        <v>500</v>
      </c>
    </row>
    <row r="249" spans="3:4">
      <c r="C249" s="2">
        <v>236</v>
      </c>
      <c r="D249" s="2">
        <v>500</v>
      </c>
    </row>
    <row r="250" spans="3:4">
      <c r="C250" s="2">
        <v>237</v>
      </c>
      <c r="D250" s="2">
        <v>500</v>
      </c>
    </row>
    <row r="251" spans="3:4">
      <c r="C251" s="2">
        <v>238</v>
      </c>
      <c r="D251" s="2">
        <v>500</v>
      </c>
    </row>
    <row r="252" spans="3:4">
      <c r="C252" s="2">
        <v>239</v>
      </c>
      <c r="D252" s="2">
        <v>500</v>
      </c>
    </row>
    <row r="253" spans="3:4">
      <c r="C253" s="2">
        <v>240</v>
      </c>
      <c r="D253" s="2">
        <v>500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2:M17"/>
  <sheetViews>
    <sheetView zoomScale="98" zoomScaleNormal="112" workbookViewId="0">
      <selection activeCell="I17" sqref="I17"/>
    </sheetView>
  </sheetViews>
  <sheetFormatPr defaultColWidth="9" defaultRowHeight="14"/>
  <cols>
    <col min="1" max="1" width="9" style="2"/>
    <col min="2" max="2" width="11" style="2" customWidth="1"/>
    <col min="3" max="3" width="10.25" style="2" bestFit="1" customWidth="1"/>
    <col min="4" max="6" width="9" style="2"/>
    <col min="7" max="7" width="2.08203125" style="2" customWidth="1"/>
    <col min="8" max="8" width="11.75" style="2" customWidth="1"/>
    <col min="9" max="9" width="11.25" style="2" customWidth="1"/>
    <col min="10" max="10" width="2.08203125" style="2" customWidth="1"/>
    <col min="11" max="16384" width="9" style="2"/>
  </cols>
  <sheetData>
    <row r="2" spans="7:10">
      <c r="G2" s="3"/>
      <c r="H2" s="3"/>
      <c r="I2" s="3"/>
      <c r="J2" s="3"/>
    </row>
    <row r="3" spans="7:10">
      <c r="G3" s="3"/>
      <c r="H3" s="4" t="s">
        <v>5</v>
      </c>
      <c r="I3" s="5">
        <v>1000</v>
      </c>
      <c r="J3" s="3"/>
    </row>
    <row r="4" spans="7:10">
      <c r="G4" s="3"/>
      <c r="H4" s="4" t="s">
        <v>6</v>
      </c>
      <c r="I4" s="6">
        <v>0.06</v>
      </c>
      <c r="J4" s="3"/>
    </row>
    <row r="5" spans="7:10">
      <c r="G5" s="3"/>
      <c r="H5" s="4" t="s">
        <v>7</v>
      </c>
      <c r="I5" s="11">
        <v>100</v>
      </c>
      <c r="J5" s="3"/>
    </row>
    <row r="6" spans="7:10">
      <c r="G6" s="3"/>
      <c r="H6" s="4" t="s">
        <v>8</v>
      </c>
      <c r="I6" s="11">
        <v>12</v>
      </c>
      <c r="J6" s="3"/>
    </row>
    <row r="7" spans="7:10">
      <c r="G7" s="3"/>
      <c r="H7" s="3"/>
      <c r="I7" s="3"/>
      <c r="J7" s="3"/>
    </row>
    <row r="8" spans="7:10">
      <c r="G8" s="3"/>
      <c r="H8" s="4" t="s">
        <v>9</v>
      </c>
      <c r="I8" s="12">
        <f>FV(I4/12,I6,-I5,-I3)</f>
        <v>2295.2340491544501</v>
      </c>
      <c r="J8" s="3"/>
    </row>
    <row r="9" spans="7:10">
      <c r="G9" s="3"/>
      <c r="H9" s="3"/>
      <c r="I9" s="3"/>
      <c r="J9" s="3"/>
    </row>
    <row r="12" spans="7:10">
      <c r="H12" s="2" t="s">
        <v>129</v>
      </c>
      <c r="I12" s="2">
        <v>100000</v>
      </c>
    </row>
    <row r="13" spans="7:10">
      <c r="H13" s="2" t="s">
        <v>130</v>
      </c>
      <c r="I13" s="2">
        <v>2000</v>
      </c>
    </row>
    <row r="14" spans="7:10">
      <c r="H14" s="2" t="s">
        <v>131</v>
      </c>
      <c r="I14" s="2">
        <v>0.05</v>
      </c>
    </row>
    <row r="15" spans="7:10">
      <c r="H15" s="2" t="s">
        <v>132</v>
      </c>
      <c r="I15" s="2">
        <v>10</v>
      </c>
    </row>
    <row r="17" spans="8:13">
      <c r="H17" s="2" t="s">
        <v>133</v>
      </c>
      <c r="I17" s="115">
        <f>FV(I14/12,12*I15,-I13,-I12)</f>
        <v>475265.50866036594</v>
      </c>
      <c r="M17" s="2" t="s">
        <v>136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46"/>
  <sheetViews>
    <sheetView zoomScale="84" workbookViewId="0">
      <selection activeCell="H21" sqref="H21"/>
    </sheetView>
  </sheetViews>
  <sheetFormatPr defaultColWidth="9" defaultRowHeight="14"/>
  <cols>
    <col min="1" max="1" width="25.5" style="2" customWidth="1"/>
    <col min="2" max="2" width="5.5" style="13" bestFit="1" customWidth="1"/>
    <col min="3" max="3" width="11" style="2" bestFit="1" customWidth="1"/>
    <col min="4" max="4" width="10.58203125" style="2" customWidth="1"/>
    <col min="5" max="5" width="10.5" style="2" customWidth="1"/>
    <col min="6" max="6" width="10.5" style="2" bestFit="1" customWidth="1"/>
    <col min="7" max="7" width="10.08203125" style="2" customWidth="1"/>
    <col min="8" max="8" width="16.58203125" style="2" customWidth="1"/>
    <col min="9" max="9" width="11.33203125" style="2" customWidth="1"/>
    <col min="10" max="10" width="10.5" style="2" customWidth="1"/>
    <col min="11" max="11" width="2.58203125" style="2" customWidth="1"/>
    <col min="12" max="16384" width="9" style="2"/>
  </cols>
  <sheetData>
    <row r="1" spans="2:10">
      <c r="H1" s="4" t="s">
        <v>10</v>
      </c>
      <c r="I1" s="14">
        <v>1000000</v>
      </c>
    </row>
    <row r="2" spans="2:10">
      <c r="H2" s="4" t="s">
        <v>11</v>
      </c>
      <c r="I2" s="14">
        <v>300000</v>
      </c>
    </row>
    <row r="3" spans="2:10">
      <c r="H3" s="4" t="s">
        <v>12</v>
      </c>
      <c r="I3" s="14">
        <f>I1-I2</f>
        <v>700000</v>
      </c>
    </row>
    <row r="4" spans="2:10">
      <c r="H4" s="4" t="s">
        <v>13</v>
      </c>
      <c r="I4" s="15">
        <v>10</v>
      </c>
    </row>
    <row r="5" spans="2:10">
      <c r="H5" s="4" t="s">
        <v>6</v>
      </c>
      <c r="I5" s="16">
        <v>0.05</v>
      </c>
    </row>
    <row r="6" spans="2:10" ht="7.5" customHeight="1"/>
    <row r="7" spans="2:10">
      <c r="F7" s="2" t="s">
        <v>14</v>
      </c>
      <c r="H7" s="17" t="s">
        <v>15</v>
      </c>
      <c r="I7" s="18">
        <v>1</v>
      </c>
      <c r="J7" s="115">
        <f>PMT(I5/12,I4*12,I3)</f>
        <v>-7424.5860667352663</v>
      </c>
    </row>
    <row r="8" spans="2:10">
      <c r="F8" s="2" t="s">
        <v>16</v>
      </c>
      <c r="H8" s="17" t="s">
        <v>17</v>
      </c>
      <c r="I8" s="18"/>
    </row>
    <row r="9" spans="2:10" ht="5.25" customHeight="1"/>
    <row r="10" spans="2:10">
      <c r="H10" s="4" t="s">
        <v>18</v>
      </c>
      <c r="I10" s="19"/>
    </row>
    <row r="11" spans="2:10">
      <c r="H11" s="4" t="s">
        <v>19</v>
      </c>
      <c r="I11" s="19"/>
    </row>
    <row r="12" spans="2:10">
      <c r="H12" s="4" t="s">
        <v>20</v>
      </c>
      <c r="I12" s="19"/>
    </row>
    <row r="13" spans="2:10">
      <c r="H13" s="4" t="s">
        <v>21</v>
      </c>
      <c r="I13" s="19"/>
    </row>
    <row r="15" spans="2:10">
      <c r="B15" s="118" t="s">
        <v>22</v>
      </c>
      <c r="C15" s="118"/>
      <c r="D15" s="118"/>
      <c r="E15" s="118"/>
      <c r="F15" s="118"/>
      <c r="G15" s="118"/>
      <c r="H15" s="118"/>
      <c r="I15" s="118"/>
      <c r="J15" s="118"/>
    </row>
    <row r="16" spans="2:10">
      <c r="B16" s="20"/>
      <c r="C16" s="118" t="s">
        <v>23</v>
      </c>
      <c r="D16" s="118"/>
      <c r="E16" s="118"/>
      <c r="F16" s="118"/>
      <c r="G16" s="118" t="s">
        <v>24</v>
      </c>
      <c r="H16" s="118"/>
      <c r="I16" s="118"/>
      <c r="J16" s="118"/>
    </row>
    <row r="17" spans="2:10">
      <c r="B17" s="21" t="s">
        <v>25</v>
      </c>
      <c r="C17" s="21" t="s">
        <v>26</v>
      </c>
      <c r="D17" s="21" t="s">
        <v>27</v>
      </c>
      <c r="E17" s="21" t="s">
        <v>28</v>
      </c>
      <c r="F17" s="21" t="s">
        <v>21</v>
      </c>
      <c r="G17" s="21" t="s">
        <v>18</v>
      </c>
      <c r="H17" s="21" t="s">
        <v>27</v>
      </c>
      <c r="I17" s="21" t="s">
        <v>29</v>
      </c>
      <c r="J17" s="21" t="s">
        <v>30</v>
      </c>
    </row>
    <row r="18" spans="2:10">
      <c r="B18" s="22">
        <v>0</v>
      </c>
      <c r="C18" s="23"/>
      <c r="D18" s="23"/>
      <c r="E18" s="23"/>
      <c r="F18" s="24">
        <f>I3</f>
        <v>700000</v>
      </c>
      <c r="G18" s="25"/>
      <c r="H18" s="25"/>
      <c r="I18" s="25"/>
      <c r="J18" s="24">
        <f>I3</f>
        <v>700000</v>
      </c>
    </row>
    <row r="19" spans="2:10">
      <c r="B19" s="26">
        <v>1</v>
      </c>
      <c r="C19" s="27">
        <f>-$F$18/120</f>
        <v>-5833.333333333333</v>
      </c>
      <c r="D19" s="27">
        <f>ISPMT($I$5/12,B19,120,$F$18)</f>
        <v>-2892.3611111111109</v>
      </c>
      <c r="E19" s="27">
        <f>D19+C19</f>
        <v>-8725.6944444444434</v>
      </c>
      <c r="F19" s="27">
        <f>F18+C19</f>
        <v>694166.66666666663</v>
      </c>
      <c r="G19" s="27">
        <f>PPMT($I$5/12,B19,120,$J$18)</f>
        <v>-4507.9194000685993</v>
      </c>
      <c r="H19" s="27">
        <f>IPMT($I$5/12,B19,120,$J$18)</f>
        <v>-2916.6666666666665</v>
      </c>
      <c r="I19" s="27">
        <f>H19+G19</f>
        <v>-7424.5860667352663</v>
      </c>
      <c r="J19" s="27">
        <f>J18+G19</f>
        <v>695492.08059993142</v>
      </c>
    </row>
    <row r="20" spans="2:10">
      <c r="B20" s="26">
        <v>2</v>
      </c>
      <c r="C20" s="27">
        <f t="shared" ref="C20:C83" si="0">-$F$18/120</f>
        <v>-5833.333333333333</v>
      </c>
      <c r="D20" s="27">
        <f t="shared" ref="D20:D83" si="1">ISPMT($I$5/12,B20,120,$F$18)</f>
        <v>-2868.0555555555557</v>
      </c>
      <c r="E20" s="27">
        <f t="shared" ref="E20:E83" si="2">D20+C20</f>
        <v>-8701.3888888888887</v>
      </c>
      <c r="F20" s="27">
        <f t="shared" ref="F20:F83" si="3">F19+C20</f>
        <v>688333.33333333326</v>
      </c>
      <c r="G20" s="27">
        <f t="shared" ref="G20:G83" si="4">PPMT($I$5/12,B20,120,$J$18)</f>
        <v>-4526.7023975688853</v>
      </c>
      <c r="H20" s="27">
        <f t="shared" ref="H20:H83" si="5">IPMT($I$5/12,B20,120,$J$18)</f>
        <v>-2897.8836691663805</v>
      </c>
      <c r="I20" s="27">
        <f t="shared" ref="I20:I83" si="6">H20+G20</f>
        <v>-7424.5860667352663</v>
      </c>
      <c r="J20" s="27">
        <f t="shared" ref="J20:J83" si="7">J19+G20</f>
        <v>690965.37820236257</v>
      </c>
    </row>
    <row r="21" spans="2:10">
      <c r="B21" s="26">
        <v>3</v>
      </c>
      <c r="C21" s="27">
        <f t="shared" si="0"/>
        <v>-5833.333333333333</v>
      </c>
      <c r="D21" s="27">
        <f t="shared" si="1"/>
        <v>-2843.75</v>
      </c>
      <c r="E21" s="27">
        <f t="shared" si="2"/>
        <v>-8677.0833333333321</v>
      </c>
      <c r="F21" s="27">
        <f t="shared" si="3"/>
        <v>682499.99999999988</v>
      </c>
      <c r="G21" s="27">
        <f t="shared" si="4"/>
        <v>-4545.5636575587559</v>
      </c>
      <c r="H21" s="27">
        <f t="shared" si="5"/>
        <v>-2879.0224091765094</v>
      </c>
      <c r="I21" s="27">
        <f t="shared" si="6"/>
        <v>-7424.5860667352654</v>
      </c>
      <c r="J21" s="27">
        <f t="shared" si="7"/>
        <v>686419.81454480381</v>
      </c>
    </row>
    <row r="22" spans="2:10" hidden="1">
      <c r="B22" s="26">
        <v>4</v>
      </c>
      <c r="C22" s="27">
        <f t="shared" si="0"/>
        <v>-5833.333333333333</v>
      </c>
      <c r="D22" s="27">
        <f t="shared" si="1"/>
        <v>-2819.4444444444443</v>
      </c>
      <c r="E22" s="27">
        <f t="shared" si="2"/>
        <v>-8652.7777777777774</v>
      </c>
      <c r="F22" s="27">
        <f t="shared" si="3"/>
        <v>676666.66666666651</v>
      </c>
      <c r="G22" s="27">
        <f t="shared" si="4"/>
        <v>-4564.5035061319177</v>
      </c>
      <c r="H22" s="27">
        <f t="shared" si="5"/>
        <v>-2860.0825606033482</v>
      </c>
      <c r="I22" s="27">
        <f t="shared" si="6"/>
        <v>-7424.5860667352663</v>
      </c>
      <c r="J22" s="27">
        <f t="shared" si="7"/>
        <v>681855.31103867188</v>
      </c>
    </row>
    <row r="23" spans="2:10" hidden="1">
      <c r="B23" s="26">
        <v>5</v>
      </c>
      <c r="C23" s="27">
        <f t="shared" si="0"/>
        <v>-5833.333333333333</v>
      </c>
      <c r="D23" s="27">
        <f t="shared" si="1"/>
        <v>-2795.1388888888891</v>
      </c>
      <c r="E23" s="27">
        <f t="shared" si="2"/>
        <v>-8628.4722222222226</v>
      </c>
      <c r="F23" s="27">
        <f t="shared" si="3"/>
        <v>670833.33333333314</v>
      </c>
      <c r="G23" s="27">
        <f t="shared" si="4"/>
        <v>-4583.5222707408002</v>
      </c>
      <c r="H23" s="27">
        <f t="shared" si="5"/>
        <v>-2841.0637959944656</v>
      </c>
      <c r="I23" s="27">
        <f t="shared" si="6"/>
        <v>-7424.5860667352663</v>
      </c>
      <c r="J23" s="27">
        <f t="shared" si="7"/>
        <v>677271.78876793105</v>
      </c>
    </row>
    <row r="24" spans="2:10" hidden="1">
      <c r="B24" s="26">
        <v>6</v>
      </c>
      <c r="C24" s="27">
        <f t="shared" si="0"/>
        <v>-5833.333333333333</v>
      </c>
      <c r="D24" s="27">
        <f t="shared" si="1"/>
        <v>-2770.8333333333335</v>
      </c>
      <c r="E24" s="27">
        <f t="shared" si="2"/>
        <v>-8604.1666666666661</v>
      </c>
      <c r="F24" s="27">
        <f t="shared" si="3"/>
        <v>664999.99999999977</v>
      </c>
      <c r="G24" s="27">
        <f t="shared" si="4"/>
        <v>-4602.6202802022199</v>
      </c>
      <c r="H24" s="27">
        <f t="shared" si="5"/>
        <v>-2821.9657865330455</v>
      </c>
      <c r="I24" s="27">
        <f t="shared" si="6"/>
        <v>-7424.5860667352654</v>
      </c>
      <c r="J24" s="27">
        <f t="shared" si="7"/>
        <v>672669.16848772881</v>
      </c>
    </row>
    <row r="25" spans="2:10" hidden="1">
      <c r="B25" s="26">
        <v>7</v>
      </c>
      <c r="C25" s="27">
        <f t="shared" si="0"/>
        <v>-5833.333333333333</v>
      </c>
      <c r="D25" s="27">
        <f t="shared" si="1"/>
        <v>-2746.5277777777778</v>
      </c>
      <c r="E25" s="27">
        <f t="shared" si="2"/>
        <v>-8579.8611111111113</v>
      </c>
      <c r="F25" s="27">
        <f t="shared" si="3"/>
        <v>659166.6666666664</v>
      </c>
      <c r="G25" s="27">
        <f t="shared" si="4"/>
        <v>-4621.7978647030632</v>
      </c>
      <c r="H25" s="27">
        <f t="shared" si="5"/>
        <v>-2802.7882020322027</v>
      </c>
      <c r="I25" s="27">
        <f t="shared" si="6"/>
        <v>-7424.5860667352663</v>
      </c>
      <c r="J25" s="27">
        <f t="shared" si="7"/>
        <v>668047.37062302569</v>
      </c>
    </row>
    <row r="26" spans="2:10" hidden="1">
      <c r="B26" s="26">
        <v>8</v>
      </c>
      <c r="C26" s="27">
        <f t="shared" si="0"/>
        <v>-5833.333333333333</v>
      </c>
      <c r="D26" s="27">
        <f t="shared" si="1"/>
        <v>-2722.2222222222222</v>
      </c>
      <c r="E26" s="27">
        <f t="shared" si="2"/>
        <v>-8555.5555555555547</v>
      </c>
      <c r="F26" s="27">
        <f t="shared" si="3"/>
        <v>653333.33333333302</v>
      </c>
      <c r="G26" s="27">
        <f t="shared" si="4"/>
        <v>-4641.0553558059928</v>
      </c>
      <c r="H26" s="27">
        <f t="shared" si="5"/>
        <v>-2783.530710929273</v>
      </c>
      <c r="I26" s="27">
        <f t="shared" si="6"/>
        <v>-7424.5860667352663</v>
      </c>
      <c r="J26" s="27">
        <f t="shared" si="7"/>
        <v>663406.31526721967</v>
      </c>
    </row>
    <row r="27" spans="2:10" hidden="1">
      <c r="B27" s="26">
        <v>9</v>
      </c>
      <c r="C27" s="27">
        <f t="shared" si="0"/>
        <v>-5833.333333333333</v>
      </c>
      <c r="D27" s="27">
        <f t="shared" si="1"/>
        <v>-2697.9166666666665</v>
      </c>
      <c r="E27" s="27">
        <f t="shared" si="2"/>
        <v>-8531.25</v>
      </c>
      <c r="F27" s="27">
        <f t="shared" si="3"/>
        <v>647499.99999999965</v>
      </c>
      <c r="G27" s="27">
        <f t="shared" si="4"/>
        <v>-4660.3930864551839</v>
      </c>
      <c r="H27" s="27">
        <f t="shared" si="5"/>
        <v>-2764.1929802800819</v>
      </c>
      <c r="I27" s="27">
        <f t="shared" si="6"/>
        <v>-7424.5860667352663</v>
      </c>
      <c r="J27" s="27">
        <f t="shared" si="7"/>
        <v>658745.92218076449</v>
      </c>
    </row>
    <row r="28" spans="2:10" hidden="1">
      <c r="B28" s="26">
        <v>10</v>
      </c>
      <c r="C28" s="27">
        <f t="shared" si="0"/>
        <v>-5833.333333333333</v>
      </c>
      <c r="D28" s="27">
        <f t="shared" si="1"/>
        <v>-2673.6111111111109</v>
      </c>
      <c r="E28" s="27">
        <f t="shared" si="2"/>
        <v>-8506.9444444444434</v>
      </c>
      <c r="F28" s="27">
        <f t="shared" si="3"/>
        <v>641666.66666666628</v>
      </c>
      <c r="G28" s="27">
        <f t="shared" si="4"/>
        <v>-4679.8113909820813</v>
      </c>
      <c r="H28" s="27">
        <f t="shared" si="5"/>
        <v>-2744.7746757531854</v>
      </c>
      <c r="I28" s="27">
        <f t="shared" si="6"/>
        <v>-7424.5860667352663</v>
      </c>
      <c r="J28" s="27">
        <f t="shared" si="7"/>
        <v>654066.11078978237</v>
      </c>
    </row>
    <row r="29" spans="2:10" hidden="1">
      <c r="B29" s="26">
        <v>11</v>
      </c>
      <c r="C29" s="27">
        <f t="shared" si="0"/>
        <v>-5833.333333333333</v>
      </c>
      <c r="D29" s="27">
        <f t="shared" si="1"/>
        <v>-2649.3055555555557</v>
      </c>
      <c r="E29" s="27">
        <f t="shared" si="2"/>
        <v>-8482.6388888888887</v>
      </c>
      <c r="F29" s="27">
        <f t="shared" si="3"/>
        <v>635833.33333333291</v>
      </c>
      <c r="G29" s="27">
        <f t="shared" si="4"/>
        <v>-4699.3106051111727</v>
      </c>
      <c r="H29" s="27">
        <f t="shared" si="5"/>
        <v>-2725.2754616240932</v>
      </c>
      <c r="I29" s="27">
        <f t="shared" si="6"/>
        <v>-7424.5860667352663</v>
      </c>
      <c r="J29" s="27">
        <f t="shared" si="7"/>
        <v>649366.80018467118</v>
      </c>
    </row>
    <row r="30" spans="2:10" hidden="1">
      <c r="B30" s="26">
        <v>12</v>
      </c>
      <c r="C30" s="27">
        <f t="shared" si="0"/>
        <v>-5833.333333333333</v>
      </c>
      <c r="D30" s="27">
        <f t="shared" si="1"/>
        <v>-2625</v>
      </c>
      <c r="E30" s="27">
        <f t="shared" si="2"/>
        <v>-8458.3333333333321</v>
      </c>
      <c r="F30" s="27">
        <f t="shared" si="3"/>
        <v>629999.99999999953</v>
      </c>
      <c r="G30" s="27">
        <f t="shared" si="4"/>
        <v>-4718.8910659658031</v>
      </c>
      <c r="H30" s="27">
        <f t="shared" si="5"/>
        <v>-2705.6950007694631</v>
      </c>
      <c r="I30" s="27">
        <f t="shared" si="6"/>
        <v>-7424.5860667352663</v>
      </c>
      <c r="J30" s="27">
        <f t="shared" si="7"/>
        <v>644647.90911870543</v>
      </c>
    </row>
    <row r="31" spans="2:10" hidden="1">
      <c r="B31" s="26">
        <v>13</v>
      </c>
      <c r="C31" s="27">
        <f t="shared" si="0"/>
        <v>-5833.333333333333</v>
      </c>
      <c r="D31" s="27">
        <f t="shared" si="1"/>
        <v>-2600.6944444444443</v>
      </c>
      <c r="E31" s="27">
        <f t="shared" si="2"/>
        <v>-8434.0277777777774</v>
      </c>
      <c r="F31" s="27">
        <f t="shared" si="3"/>
        <v>624166.66666666616</v>
      </c>
      <c r="G31" s="27">
        <f t="shared" si="4"/>
        <v>-4738.5531120739934</v>
      </c>
      <c r="H31" s="27">
        <f t="shared" si="5"/>
        <v>-2686.032954661272</v>
      </c>
      <c r="I31" s="27">
        <f t="shared" si="6"/>
        <v>-7424.5860667352654</v>
      </c>
      <c r="J31" s="27">
        <f t="shared" si="7"/>
        <v>639909.35600663139</v>
      </c>
    </row>
    <row r="32" spans="2:10" hidden="1">
      <c r="B32" s="26">
        <v>14</v>
      </c>
      <c r="C32" s="27">
        <f t="shared" si="0"/>
        <v>-5833.333333333333</v>
      </c>
      <c r="D32" s="27">
        <f t="shared" si="1"/>
        <v>-2576.3888888888891</v>
      </c>
      <c r="E32" s="27">
        <f t="shared" si="2"/>
        <v>-8409.7222222222226</v>
      </c>
      <c r="F32" s="27">
        <f t="shared" si="3"/>
        <v>618333.33333333279</v>
      </c>
      <c r="G32" s="27">
        <f t="shared" si="4"/>
        <v>-4758.297083374302</v>
      </c>
      <c r="H32" s="27">
        <f t="shared" si="5"/>
        <v>-2666.2889833609647</v>
      </c>
      <c r="I32" s="27">
        <f t="shared" si="6"/>
        <v>-7424.5860667352663</v>
      </c>
      <c r="J32" s="27">
        <f t="shared" si="7"/>
        <v>635151.05892325705</v>
      </c>
    </row>
    <row r="33" spans="2:10" hidden="1">
      <c r="B33" s="26">
        <v>15</v>
      </c>
      <c r="C33" s="27">
        <f t="shared" si="0"/>
        <v>-5833.333333333333</v>
      </c>
      <c r="D33" s="27">
        <f t="shared" si="1"/>
        <v>-2552.0833333333335</v>
      </c>
      <c r="E33" s="27">
        <f t="shared" si="2"/>
        <v>-8385.4166666666661</v>
      </c>
      <c r="F33" s="27">
        <f t="shared" si="3"/>
        <v>612499.99999999942</v>
      </c>
      <c r="G33" s="27">
        <f t="shared" si="4"/>
        <v>-4778.1233212216948</v>
      </c>
      <c r="H33" s="27">
        <f t="shared" si="5"/>
        <v>-2646.4627455135715</v>
      </c>
      <c r="I33" s="27">
        <f t="shared" si="6"/>
        <v>-7424.5860667352663</v>
      </c>
      <c r="J33" s="27">
        <f t="shared" si="7"/>
        <v>630372.93560203537</v>
      </c>
    </row>
    <row r="34" spans="2:10" hidden="1">
      <c r="B34" s="26">
        <v>16</v>
      </c>
      <c r="C34" s="27">
        <f t="shared" si="0"/>
        <v>-5833.333333333333</v>
      </c>
      <c r="D34" s="27">
        <f t="shared" si="1"/>
        <v>-2527.7777777777778</v>
      </c>
      <c r="E34" s="27">
        <f t="shared" si="2"/>
        <v>-8361.1111111111113</v>
      </c>
      <c r="F34" s="27">
        <f t="shared" si="3"/>
        <v>606666.66666666605</v>
      </c>
      <c r="G34" s="27">
        <f t="shared" si="4"/>
        <v>-4798.0321683934517</v>
      </c>
      <c r="H34" s="27">
        <f t="shared" si="5"/>
        <v>-2626.5538983418141</v>
      </c>
      <c r="I34" s="27">
        <f t="shared" si="6"/>
        <v>-7424.5860667352663</v>
      </c>
      <c r="J34" s="27">
        <f t="shared" si="7"/>
        <v>625574.90343364188</v>
      </c>
    </row>
    <row r="35" spans="2:10" hidden="1">
      <c r="B35" s="26">
        <v>17</v>
      </c>
      <c r="C35" s="27">
        <f t="shared" si="0"/>
        <v>-5833.333333333333</v>
      </c>
      <c r="D35" s="27">
        <f t="shared" si="1"/>
        <v>-2503.4722222222222</v>
      </c>
      <c r="E35" s="27">
        <f t="shared" si="2"/>
        <v>-8336.8055555555547</v>
      </c>
      <c r="F35" s="27">
        <f t="shared" si="3"/>
        <v>600833.33333333267</v>
      </c>
      <c r="G35" s="27">
        <f t="shared" si="4"/>
        <v>-4818.0239690950903</v>
      </c>
      <c r="H35" s="27">
        <f t="shared" si="5"/>
        <v>-2606.5620976401747</v>
      </c>
      <c r="I35" s="27">
        <f t="shared" si="6"/>
        <v>-7424.5860667352645</v>
      </c>
      <c r="J35" s="27">
        <f t="shared" si="7"/>
        <v>620756.8794645468</v>
      </c>
    </row>
    <row r="36" spans="2:10" hidden="1">
      <c r="B36" s="26">
        <v>18</v>
      </c>
      <c r="C36" s="27">
        <f t="shared" si="0"/>
        <v>-5833.333333333333</v>
      </c>
      <c r="D36" s="27">
        <f t="shared" si="1"/>
        <v>-2479.1666666666665</v>
      </c>
      <c r="E36" s="27">
        <f t="shared" si="2"/>
        <v>-8312.5</v>
      </c>
      <c r="F36" s="27">
        <f t="shared" si="3"/>
        <v>594999.9999999993</v>
      </c>
      <c r="G36" s="27">
        <f t="shared" si="4"/>
        <v>-4838.0990689663204</v>
      </c>
      <c r="H36" s="27">
        <f t="shared" si="5"/>
        <v>-2586.4869977689455</v>
      </c>
      <c r="I36" s="27">
        <f t="shared" si="6"/>
        <v>-7424.5860667352663</v>
      </c>
      <c r="J36" s="27">
        <f t="shared" si="7"/>
        <v>615918.78039558046</v>
      </c>
    </row>
    <row r="37" spans="2:10" hidden="1">
      <c r="B37" s="26">
        <v>19</v>
      </c>
      <c r="C37" s="27">
        <f t="shared" si="0"/>
        <v>-5833.333333333333</v>
      </c>
      <c r="D37" s="27">
        <f t="shared" si="1"/>
        <v>-2454.8611111111109</v>
      </c>
      <c r="E37" s="27">
        <f t="shared" si="2"/>
        <v>-8288.1944444444434</v>
      </c>
      <c r="F37" s="27">
        <f t="shared" si="3"/>
        <v>589166.66666666593</v>
      </c>
      <c r="G37" s="27">
        <f t="shared" si="4"/>
        <v>-4858.257815087014</v>
      </c>
      <c r="H37" s="27">
        <f t="shared" si="5"/>
        <v>-2566.3282516482523</v>
      </c>
      <c r="I37" s="27">
        <f t="shared" si="6"/>
        <v>-7424.5860667352663</v>
      </c>
      <c r="J37" s="27">
        <f t="shared" si="7"/>
        <v>611060.52258049347</v>
      </c>
    </row>
    <row r="38" spans="2:10" hidden="1">
      <c r="B38" s="26">
        <v>20</v>
      </c>
      <c r="C38" s="27">
        <f t="shared" si="0"/>
        <v>-5833.333333333333</v>
      </c>
      <c r="D38" s="27">
        <f t="shared" si="1"/>
        <v>-2430.5555555555557</v>
      </c>
      <c r="E38" s="27">
        <f t="shared" si="2"/>
        <v>-8263.8888888888887</v>
      </c>
      <c r="F38" s="27">
        <f t="shared" si="3"/>
        <v>583333.33333333256</v>
      </c>
      <c r="G38" s="27">
        <f t="shared" si="4"/>
        <v>-4878.5005559832089</v>
      </c>
      <c r="H38" s="27">
        <f t="shared" si="5"/>
        <v>-2546.0855107520561</v>
      </c>
      <c r="I38" s="27">
        <f t="shared" si="6"/>
        <v>-7424.5860667352645</v>
      </c>
      <c r="J38" s="27">
        <f t="shared" si="7"/>
        <v>606182.02202451031</v>
      </c>
    </row>
    <row r="39" spans="2:10" hidden="1">
      <c r="B39" s="26">
        <v>21</v>
      </c>
      <c r="C39" s="27">
        <f t="shared" si="0"/>
        <v>-5833.333333333333</v>
      </c>
      <c r="D39" s="27">
        <f t="shared" si="1"/>
        <v>-2406.25</v>
      </c>
      <c r="E39" s="27">
        <f t="shared" si="2"/>
        <v>-8239.5833333333321</v>
      </c>
      <c r="F39" s="27">
        <f t="shared" si="3"/>
        <v>577499.99999999919</v>
      </c>
      <c r="G39" s="27">
        <f t="shared" si="4"/>
        <v>-4898.82764163314</v>
      </c>
      <c r="H39" s="27">
        <f t="shared" si="5"/>
        <v>-2525.7584251021262</v>
      </c>
      <c r="I39" s="27">
        <f t="shared" si="6"/>
        <v>-7424.5860667352663</v>
      </c>
      <c r="J39" s="27">
        <f t="shared" si="7"/>
        <v>601283.19438287721</v>
      </c>
    </row>
    <row r="40" spans="2:10" hidden="1">
      <c r="B40" s="26">
        <v>22</v>
      </c>
      <c r="C40" s="27">
        <f t="shared" si="0"/>
        <v>-5833.333333333333</v>
      </c>
      <c r="D40" s="27">
        <f t="shared" si="1"/>
        <v>-2381.9444444444443</v>
      </c>
      <c r="E40" s="27">
        <f t="shared" si="2"/>
        <v>-8215.2777777777774</v>
      </c>
      <c r="F40" s="27">
        <f t="shared" si="3"/>
        <v>571666.66666666581</v>
      </c>
      <c r="G40" s="27">
        <f t="shared" si="4"/>
        <v>-4919.2394234732774</v>
      </c>
      <c r="H40" s="27">
        <f t="shared" si="5"/>
        <v>-2505.346643261988</v>
      </c>
      <c r="I40" s="27">
        <f t="shared" si="6"/>
        <v>-7424.5860667352654</v>
      </c>
      <c r="J40" s="27">
        <f t="shared" si="7"/>
        <v>596363.95495940396</v>
      </c>
    </row>
    <row r="41" spans="2:10" hidden="1">
      <c r="B41" s="26">
        <v>23</v>
      </c>
      <c r="C41" s="27">
        <f t="shared" si="0"/>
        <v>-5833.333333333333</v>
      </c>
      <c r="D41" s="27">
        <f t="shared" si="1"/>
        <v>-2357.6388888888891</v>
      </c>
      <c r="E41" s="27">
        <f t="shared" si="2"/>
        <v>-8190.9722222222226</v>
      </c>
      <c r="F41" s="27">
        <f t="shared" si="3"/>
        <v>565833.33333333244</v>
      </c>
      <c r="G41" s="27">
        <f t="shared" si="4"/>
        <v>-4939.7362544044163</v>
      </c>
      <c r="H41" s="27">
        <f t="shared" si="5"/>
        <v>-2484.8498123308491</v>
      </c>
      <c r="I41" s="27">
        <f t="shared" si="6"/>
        <v>-7424.5860667352654</v>
      </c>
      <c r="J41" s="27">
        <f t="shared" si="7"/>
        <v>591424.21870499954</v>
      </c>
    </row>
    <row r="42" spans="2:10" hidden="1">
      <c r="B42" s="26">
        <v>24</v>
      </c>
      <c r="C42" s="27">
        <f t="shared" si="0"/>
        <v>-5833.333333333333</v>
      </c>
      <c r="D42" s="27">
        <f t="shared" si="1"/>
        <v>-2333.3333333333335</v>
      </c>
      <c r="E42" s="27">
        <f t="shared" si="2"/>
        <v>-8166.6666666666661</v>
      </c>
      <c r="F42" s="27">
        <f t="shared" si="3"/>
        <v>559999.99999999907</v>
      </c>
      <c r="G42" s="27">
        <f t="shared" si="4"/>
        <v>-4960.3184887977686</v>
      </c>
      <c r="H42" s="27">
        <f t="shared" si="5"/>
        <v>-2464.2675779374981</v>
      </c>
      <c r="I42" s="27">
        <f t="shared" si="6"/>
        <v>-7424.5860667352663</v>
      </c>
      <c r="J42" s="27">
        <f t="shared" si="7"/>
        <v>586463.90021620179</v>
      </c>
    </row>
    <row r="43" spans="2:10" hidden="1">
      <c r="B43" s="26">
        <v>25</v>
      </c>
      <c r="C43" s="27">
        <f t="shared" si="0"/>
        <v>-5833.333333333333</v>
      </c>
      <c r="D43" s="27">
        <f t="shared" si="1"/>
        <v>-2309.0277777777778</v>
      </c>
      <c r="E43" s="27">
        <f t="shared" si="2"/>
        <v>-8142.3611111111113</v>
      </c>
      <c r="F43" s="27">
        <f t="shared" si="3"/>
        <v>554166.6666666657</v>
      </c>
      <c r="G43" s="27">
        <f t="shared" si="4"/>
        <v>-4980.9864825010918</v>
      </c>
      <c r="H43" s="27">
        <f t="shared" si="5"/>
        <v>-2443.599584234174</v>
      </c>
      <c r="I43" s="27">
        <f t="shared" si="6"/>
        <v>-7424.5860667352663</v>
      </c>
      <c r="J43" s="27">
        <f t="shared" si="7"/>
        <v>581482.91373370064</v>
      </c>
    </row>
    <row r="44" spans="2:10" hidden="1">
      <c r="B44" s="26">
        <v>26</v>
      </c>
      <c r="C44" s="27">
        <f t="shared" si="0"/>
        <v>-5833.333333333333</v>
      </c>
      <c r="D44" s="27">
        <f t="shared" si="1"/>
        <v>-2284.7222222222222</v>
      </c>
      <c r="E44" s="27">
        <f t="shared" si="2"/>
        <v>-8118.0555555555547</v>
      </c>
      <c r="F44" s="27">
        <f t="shared" si="3"/>
        <v>548333.33333333232</v>
      </c>
      <c r="G44" s="27">
        <f t="shared" si="4"/>
        <v>-5001.740592844847</v>
      </c>
      <c r="H44" s="27">
        <f t="shared" si="5"/>
        <v>-2422.8454738904193</v>
      </c>
      <c r="I44" s="27">
        <f t="shared" si="6"/>
        <v>-7424.5860667352663</v>
      </c>
      <c r="J44" s="27">
        <f t="shared" si="7"/>
        <v>576481.17314085574</v>
      </c>
    </row>
    <row r="45" spans="2:10" hidden="1">
      <c r="B45" s="26">
        <v>27</v>
      </c>
      <c r="C45" s="27">
        <f t="shared" si="0"/>
        <v>-5833.333333333333</v>
      </c>
      <c r="D45" s="27">
        <f t="shared" si="1"/>
        <v>-2260.4166666666665</v>
      </c>
      <c r="E45" s="27">
        <f t="shared" si="2"/>
        <v>-8093.75</v>
      </c>
      <c r="F45" s="27">
        <f t="shared" si="3"/>
        <v>542499.99999999895</v>
      </c>
      <c r="G45" s="27">
        <f t="shared" si="4"/>
        <v>-5022.5811786483673</v>
      </c>
      <c r="H45" s="27">
        <f t="shared" si="5"/>
        <v>-2402.0048880868994</v>
      </c>
      <c r="I45" s="27">
        <f t="shared" si="6"/>
        <v>-7424.5860667352663</v>
      </c>
      <c r="J45" s="27">
        <f t="shared" si="7"/>
        <v>571458.59196220734</v>
      </c>
    </row>
    <row r="46" spans="2:10" hidden="1">
      <c r="B46" s="26">
        <v>28</v>
      </c>
      <c r="C46" s="27">
        <f t="shared" si="0"/>
        <v>-5833.333333333333</v>
      </c>
      <c r="D46" s="27">
        <f t="shared" si="1"/>
        <v>-2236.1111111111109</v>
      </c>
      <c r="E46" s="27">
        <f t="shared" si="2"/>
        <v>-8069.4444444444434</v>
      </c>
      <c r="F46" s="27">
        <f t="shared" si="3"/>
        <v>536666.66666666558</v>
      </c>
      <c r="G46" s="27">
        <f t="shared" si="4"/>
        <v>-5043.5086002260678</v>
      </c>
      <c r="H46" s="27">
        <f t="shared" si="5"/>
        <v>-2381.0774665091976</v>
      </c>
      <c r="I46" s="27">
        <f t="shared" si="6"/>
        <v>-7424.5860667352654</v>
      </c>
      <c r="J46" s="27">
        <f t="shared" si="7"/>
        <v>566415.08336198132</v>
      </c>
    </row>
    <row r="47" spans="2:10" hidden="1">
      <c r="B47" s="26">
        <v>29</v>
      </c>
      <c r="C47" s="27">
        <f t="shared" si="0"/>
        <v>-5833.333333333333</v>
      </c>
      <c r="D47" s="27">
        <f t="shared" si="1"/>
        <v>-2211.8055555555557</v>
      </c>
      <c r="E47" s="27">
        <f t="shared" si="2"/>
        <v>-8045.1388888888887</v>
      </c>
      <c r="F47" s="27">
        <f t="shared" si="3"/>
        <v>530833.33333333221</v>
      </c>
      <c r="G47" s="27">
        <f t="shared" si="4"/>
        <v>-5064.5232193936772</v>
      </c>
      <c r="H47" s="27">
        <f t="shared" si="5"/>
        <v>-2360.0628473415886</v>
      </c>
      <c r="I47" s="27">
        <f t="shared" si="6"/>
        <v>-7424.5860667352663</v>
      </c>
      <c r="J47" s="27">
        <f t="shared" si="7"/>
        <v>561350.56014258764</v>
      </c>
    </row>
    <row r="48" spans="2:10" hidden="1">
      <c r="B48" s="26">
        <v>30</v>
      </c>
      <c r="C48" s="27">
        <f t="shared" si="0"/>
        <v>-5833.333333333333</v>
      </c>
      <c r="D48" s="27">
        <f t="shared" si="1"/>
        <v>-2187.5</v>
      </c>
      <c r="E48" s="27">
        <f t="shared" si="2"/>
        <v>-8020.833333333333</v>
      </c>
      <c r="F48" s="27">
        <f t="shared" si="3"/>
        <v>524999.99999999884</v>
      </c>
      <c r="G48" s="27">
        <f t="shared" si="4"/>
        <v>-5085.6253994744839</v>
      </c>
      <c r="H48" s="27">
        <f t="shared" si="5"/>
        <v>-2338.9606672607824</v>
      </c>
      <c r="I48" s="27">
        <f t="shared" si="6"/>
        <v>-7424.5860667352663</v>
      </c>
      <c r="J48" s="27">
        <f t="shared" si="7"/>
        <v>556264.93474311312</v>
      </c>
    </row>
    <row r="49" spans="2:10" hidden="1">
      <c r="B49" s="26">
        <v>31</v>
      </c>
      <c r="C49" s="27">
        <f t="shared" si="0"/>
        <v>-5833.333333333333</v>
      </c>
      <c r="D49" s="27">
        <f t="shared" si="1"/>
        <v>-2163.1944444444443</v>
      </c>
      <c r="E49" s="27">
        <f t="shared" si="2"/>
        <v>-7996.5277777777774</v>
      </c>
      <c r="F49" s="27">
        <f t="shared" si="3"/>
        <v>519166.66666666552</v>
      </c>
      <c r="G49" s="27">
        <f t="shared" si="4"/>
        <v>-5106.8155053056271</v>
      </c>
      <c r="H49" s="27">
        <f t="shared" si="5"/>
        <v>-2317.7705614296383</v>
      </c>
      <c r="I49" s="27">
        <f t="shared" si="6"/>
        <v>-7424.5860667352654</v>
      </c>
      <c r="J49" s="27">
        <f t="shared" si="7"/>
        <v>551158.11923780746</v>
      </c>
    </row>
    <row r="50" spans="2:10" hidden="1">
      <c r="B50" s="26">
        <v>32</v>
      </c>
      <c r="C50" s="27">
        <f t="shared" si="0"/>
        <v>-5833.333333333333</v>
      </c>
      <c r="D50" s="27">
        <f t="shared" si="1"/>
        <v>-2138.8888888888887</v>
      </c>
      <c r="E50" s="27">
        <f t="shared" si="2"/>
        <v>-7972.2222222222217</v>
      </c>
      <c r="F50" s="27">
        <f t="shared" si="3"/>
        <v>513333.33333333221</v>
      </c>
      <c r="G50" s="27">
        <f t="shared" si="4"/>
        <v>-5128.0939032444012</v>
      </c>
      <c r="H50" s="27">
        <f t="shared" si="5"/>
        <v>-2296.4921634908651</v>
      </c>
      <c r="I50" s="27">
        <f t="shared" si="6"/>
        <v>-7424.5860667352663</v>
      </c>
      <c r="J50" s="27">
        <f t="shared" si="7"/>
        <v>546030.02533456311</v>
      </c>
    </row>
    <row r="51" spans="2:10" hidden="1">
      <c r="B51" s="26">
        <v>33</v>
      </c>
      <c r="C51" s="27">
        <f t="shared" si="0"/>
        <v>-5833.333333333333</v>
      </c>
      <c r="D51" s="27">
        <f t="shared" si="1"/>
        <v>-2114.5833333333335</v>
      </c>
      <c r="E51" s="27">
        <f t="shared" si="2"/>
        <v>-7947.9166666666661</v>
      </c>
      <c r="F51" s="27">
        <f t="shared" si="3"/>
        <v>507499.99999999889</v>
      </c>
      <c r="G51" s="27">
        <f t="shared" si="4"/>
        <v>-5149.4609611745855</v>
      </c>
      <c r="H51" s="27">
        <f t="shared" si="5"/>
        <v>-2275.1251055606795</v>
      </c>
      <c r="I51" s="27">
        <f t="shared" si="6"/>
        <v>-7424.5860667352645</v>
      </c>
      <c r="J51" s="27">
        <f t="shared" si="7"/>
        <v>540880.56437338854</v>
      </c>
    </row>
    <row r="52" spans="2:10" hidden="1">
      <c r="B52" s="26">
        <v>34</v>
      </c>
      <c r="C52" s="27">
        <f t="shared" si="0"/>
        <v>-5833.333333333333</v>
      </c>
      <c r="D52" s="27">
        <f t="shared" si="1"/>
        <v>-2090.2777777777778</v>
      </c>
      <c r="E52" s="27">
        <f t="shared" si="2"/>
        <v>-7923.6111111111113</v>
      </c>
      <c r="F52" s="27">
        <f t="shared" si="3"/>
        <v>501666.66666666558</v>
      </c>
      <c r="G52" s="27">
        <f t="shared" si="4"/>
        <v>-5170.9170485128134</v>
      </c>
      <c r="H52" s="27">
        <f t="shared" si="5"/>
        <v>-2253.669018222452</v>
      </c>
      <c r="I52" s="27">
        <f t="shared" si="6"/>
        <v>-7424.5860667352654</v>
      </c>
      <c r="J52" s="27">
        <f t="shared" si="7"/>
        <v>535709.6473248757</v>
      </c>
    </row>
    <row r="53" spans="2:10" hidden="1">
      <c r="B53" s="26">
        <v>35</v>
      </c>
      <c r="C53" s="27">
        <f t="shared" si="0"/>
        <v>-5833.333333333333</v>
      </c>
      <c r="D53" s="27">
        <f t="shared" si="1"/>
        <v>-2065.9722222222222</v>
      </c>
      <c r="E53" s="27">
        <f t="shared" si="2"/>
        <v>-7899.3055555555547</v>
      </c>
      <c r="F53" s="27">
        <f t="shared" si="3"/>
        <v>495833.33333333227</v>
      </c>
      <c r="G53" s="27">
        <f t="shared" si="4"/>
        <v>-5192.4625362149509</v>
      </c>
      <c r="H53" s="27">
        <f t="shared" si="5"/>
        <v>-2232.1235305203154</v>
      </c>
      <c r="I53" s="27">
        <f t="shared" si="6"/>
        <v>-7424.5860667352663</v>
      </c>
      <c r="J53" s="27">
        <f t="shared" si="7"/>
        <v>530517.18478866073</v>
      </c>
    </row>
    <row r="54" spans="2:10" hidden="1">
      <c r="B54" s="26">
        <v>36</v>
      </c>
      <c r="C54" s="27">
        <f t="shared" si="0"/>
        <v>-5833.333333333333</v>
      </c>
      <c r="D54" s="27">
        <f t="shared" si="1"/>
        <v>-2041.6666666666667</v>
      </c>
      <c r="E54" s="27">
        <f t="shared" si="2"/>
        <v>-7875</v>
      </c>
      <c r="F54" s="27">
        <f t="shared" si="3"/>
        <v>489999.99999999895</v>
      </c>
      <c r="G54" s="27">
        <f t="shared" si="4"/>
        <v>-5214.0977967825129</v>
      </c>
      <c r="H54" s="27">
        <f t="shared" si="5"/>
        <v>-2210.4882699527534</v>
      </c>
      <c r="I54" s="27">
        <f t="shared" si="6"/>
        <v>-7424.5860667352663</v>
      </c>
      <c r="J54" s="27">
        <f t="shared" si="7"/>
        <v>525303.08699187823</v>
      </c>
    </row>
    <row r="55" spans="2:10" hidden="1">
      <c r="B55" s="26">
        <v>37</v>
      </c>
      <c r="C55" s="27">
        <f t="shared" si="0"/>
        <v>-5833.333333333333</v>
      </c>
      <c r="D55" s="27">
        <f t="shared" si="1"/>
        <v>-2017.3611111111111</v>
      </c>
      <c r="E55" s="27">
        <f t="shared" si="2"/>
        <v>-7850.6944444444443</v>
      </c>
      <c r="F55" s="27">
        <f t="shared" si="3"/>
        <v>484166.66666666564</v>
      </c>
      <c r="G55" s="27">
        <f t="shared" si="4"/>
        <v>-5235.8232042691061</v>
      </c>
      <c r="H55" s="27">
        <f t="shared" si="5"/>
        <v>-2188.7628624661597</v>
      </c>
      <c r="I55" s="27">
        <f t="shared" si="6"/>
        <v>-7424.5860667352663</v>
      </c>
      <c r="J55" s="27">
        <f t="shared" si="7"/>
        <v>520067.26378760912</v>
      </c>
    </row>
    <row r="56" spans="2:10" hidden="1">
      <c r="B56" s="26">
        <v>38</v>
      </c>
      <c r="C56" s="27">
        <f t="shared" si="0"/>
        <v>-5833.333333333333</v>
      </c>
      <c r="D56" s="27">
        <f t="shared" si="1"/>
        <v>-1993.0555555555554</v>
      </c>
      <c r="E56" s="27">
        <f t="shared" si="2"/>
        <v>-7826.3888888888887</v>
      </c>
      <c r="F56" s="27">
        <f t="shared" si="3"/>
        <v>478333.33333333232</v>
      </c>
      <c r="G56" s="27">
        <f t="shared" si="4"/>
        <v>-5257.6391342868947</v>
      </c>
      <c r="H56" s="27">
        <f t="shared" si="5"/>
        <v>-2166.9469324483716</v>
      </c>
      <c r="I56" s="27">
        <f t="shared" si="6"/>
        <v>-7424.5860667352663</v>
      </c>
      <c r="J56" s="27">
        <f t="shared" si="7"/>
        <v>514809.62465332221</v>
      </c>
    </row>
    <row r="57" spans="2:10" hidden="1">
      <c r="B57" s="26">
        <v>39</v>
      </c>
      <c r="C57" s="27">
        <f t="shared" si="0"/>
        <v>-5833.333333333333</v>
      </c>
      <c r="D57" s="27">
        <f t="shared" si="1"/>
        <v>-1968.75</v>
      </c>
      <c r="E57" s="27">
        <f t="shared" si="2"/>
        <v>-7802.083333333333</v>
      </c>
      <c r="F57" s="27">
        <f t="shared" si="3"/>
        <v>472499.99999999901</v>
      </c>
      <c r="G57" s="27">
        <f t="shared" si="4"/>
        <v>-5279.5459640130894</v>
      </c>
      <c r="H57" s="27">
        <f t="shared" si="5"/>
        <v>-2145.040102722176</v>
      </c>
      <c r="I57" s="27">
        <f t="shared" si="6"/>
        <v>-7424.5860667352654</v>
      </c>
      <c r="J57" s="27">
        <f t="shared" si="7"/>
        <v>509530.07868930913</v>
      </c>
    </row>
    <row r="58" spans="2:10" hidden="1">
      <c r="B58" s="26">
        <v>40</v>
      </c>
      <c r="C58" s="27">
        <f t="shared" si="0"/>
        <v>-5833.333333333333</v>
      </c>
      <c r="D58" s="27">
        <f t="shared" si="1"/>
        <v>-1944.4444444444446</v>
      </c>
      <c r="E58" s="27">
        <f t="shared" si="2"/>
        <v>-7777.7777777777774</v>
      </c>
      <c r="F58" s="27">
        <f t="shared" si="3"/>
        <v>466666.6666666657</v>
      </c>
      <c r="G58" s="27">
        <f t="shared" si="4"/>
        <v>-5301.5440721964769</v>
      </c>
      <c r="H58" s="27">
        <f t="shared" si="5"/>
        <v>-2123.0419945387885</v>
      </c>
      <c r="I58" s="27">
        <f t="shared" si="6"/>
        <v>-7424.5860667352654</v>
      </c>
      <c r="J58" s="27">
        <f t="shared" si="7"/>
        <v>504228.53461711266</v>
      </c>
    </row>
    <row r="59" spans="2:10" hidden="1">
      <c r="B59" s="26">
        <v>41</v>
      </c>
      <c r="C59" s="27">
        <f t="shared" si="0"/>
        <v>-5833.333333333333</v>
      </c>
      <c r="D59" s="27">
        <f t="shared" si="1"/>
        <v>-1920.1388888888889</v>
      </c>
      <c r="E59" s="27">
        <f t="shared" si="2"/>
        <v>-7753.4722222222217</v>
      </c>
      <c r="F59" s="27">
        <f t="shared" si="3"/>
        <v>460833.33333333238</v>
      </c>
      <c r="G59" s="27">
        <f t="shared" si="4"/>
        <v>-5323.6338391639629</v>
      </c>
      <c r="H59" s="27">
        <f t="shared" si="5"/>
        <v>-2100.952227571303</v>
      </c>
      <c r="I59" s="27">
        <f t="shared" si="6"/>
        <v>-7424.5860667352663</v>
      </c>
      <c r="J59" s="27">
        <f t="shared" si="7"/>
        <v>498904.90077794867</v>
      </c>
    </row>
    <row r="60" spans="2:10" hidden="1">
      <c r="B60" s="26">
        <v>42</v>
      </c>
      <c r="C60" s="27">
        <f t="shared" si="0"/>
        <v>-5833.333333333333</v>
      </c>
      <c r="D60" s="27">
        <f t="shared" si="1"/>
        <v>-1895.8333333333333</v>
      </c>
      <c r="E60" s="27">
        <f t="shared" si="2"/>
        <v>-7729.1666666666661</v>
      </c>
      <c r="F60" s="27">
        <f t="shared" si="3"/>
        <v>454999.99999999907</v>
      </c>
      <c r="G60" s="27">
        <f t="shared" si="4"/>
        <v>-5345.8156468271463</v>
      </c>
      <c r="H60" s="27">
        <f t="shared" si="5"/>
        <v>-2078.7704199081199</v>
      </c>
      <c r="I60" s="27">
        <f t="shared" si="6"/>
        <v>-7424.5860667352663</v>
      </c>
      <c r="J60" s="27">
        <f t="shared" si="7"/>
        <v>493559.08513112151</v>
      </c>
    </row>
    <row r="61" spans="2:10" hidden="1">
      <c r="B61" s="26">
        <v>43</v>
      </c>
      <c r="C61" s="27">
        <f t="shared" si="0"/>
        <v>-5833.333333333333</v>
      </c>
      <c r="D61" s="27">
        <f t="shared" si="1"/>
        <v>-1871.5277777777778</v>
      </c>
      <c r="E61" s="27">
        <f t="shared" si="2"/>
        <v>-7704.8611111111113</v>
      </c>
      <c r="F61" s="27">
        <f t="shared" si="3"/>
        <v>449166.66666666575</v>
      </c>
      <c r="G61" s="27">
        <f t="shared" si="4"/>
        <v>-5368.0898786889256</v>
      </c>
      <c r="H61" s="27">
        <f t="shared" si="5"/>
        <v>-2056.4961880463402</v>
      </c>
      <c r="I61" s="27">
        <f t="shared" si="6"/>
        <v>-7424.5860667352663</v>
      </c>
      <c r="J61" s="27">
        <f t="shared" si="7"/>
        <v>488190.99525243259</v>
      </c>
    </row>
    <row r="62" spans="2:10" hidden="1">
      <c r="B62" s="26">
        <v>44</v>
      </c>
      <c r="C62" s="27">
        <f t="shared" si="0"/>
        <v>-5833.333333333333</v>
      </c>
      <c r="D62" s="27">
        <f t="shared" si="1"/>
        <v>-1847.2222222222222</v>
      </c>
      <c r="E62" s="27">
        <f t="shared" si="2"/>
        <v>-7680.5555555555547</v>
      </c>
      <c r="F62" s="27">
        <f t="shared" si="3"/>
        <v>443333.33333333244</v>
      </c>
      <c r="G62" s="27">
        <f t="shared" si="4"/>
        <v>-5390.4569198501295</v>
      </c>
      <c r="H62" s="27">
        <f t="shared" si="5"/>
        <v>-2034.1291468851368</v>
      </c>
      <c r="I62" s="27">
        <f t="shared" si="6"/>
        <v>-7424.5860667352663</v>
      </c>
      <c r="J62" s="27">
        <f t="shared" si="7"/>
        <v>482800.53833258245</v>
      </c>
    </row>
    <row r="63" spans="2:10" hidden="1">
      <c r="B63" s="26">
        <v>45</v>
      </c>
      <c r="C63" s="27">
        <f t="shared" si="0"/>
        <v>-5833.333333333333</v>
      </c>
      <c r="D63" s="27">
        <f t="shared" si="1"/>
        <v>-1822.9166666666667</v>
      </c>
      <c r="E63" s="27">
        <f t="shared" si="2"/>
        <v>-7656.25</v>
      </c>
      <c r="F63" s="27">
        <f t="shared" si="3"/>
        <v>437499.99999999913</v>
      </c>
      <c r="G63" s="27">
        <f t="shared" si="4"/>
        <v>-5412.9171570161716</v>
      </c>
      <c r="H63" s="27">
        <f t="shared" si="5"/>
        <v>-2011.6689097190942</v>
      </c>
      <c r="I63" s="27">
        <f t="shared" si="6"/>
        <v>-7424.5860667352663</v>
      </c>
      <c r="J63" s="27">
        <f t="shared" si="7"/>
        <v>477387.62117556628</v>
      </c>
    </row>
    <row r="64" spans="2:10" hidden="1">
      <c r="B64" s="26">
        <v>46</v>
      </c>
      <c r="C64" s="27">
        <f t="shared" si="0"/>
        <v>-5833.333333333333</v>
      </c>
      <c r="D64" s="27">
        <f t="shared" si="1"/>
        <v>-1798.6111111111111</v>
      </c>
      <c r="E64" s="27">
        <f t="shared" si="2"/>
        <v>-7631.9444444444443</v>
      </c>
      <c r="F64" s="27">
        <f t="shared" si="3"/>
        <v>431666.66666666581</v>
      </c>
      <c r="G64" s="27">
        <f t="shared" si="4"/>
        <v>-5435.4709785037394</v>
      </c>
      <c r="H64" s="27">
        <f t="shared" si="5"/>
        <v>-1989.1150882315267</v>
      </c>
      <c r="I64" s="27">
        <f t="shared" si="6"/>
        <v>-7424.5860667352663</v>
      </c>
      <c r="J64" s="27">
        <f t="shared" si="7"/>
        <v>471952.15019706252</v>
      </c>
    </row>
    <row r="65" spans="2:10" hidden="1">
      <c r="B65" s="26">
        <v>47</v>
      </c>
      <c r="C65" s="27">
        <f t="shared" si="0"/>
        <v>-5833.333333333333</v>
      </c>
      <c r="D65" s="27">
        <f t="shared" si="1"/>
        <v>-1774.3055555555554</v>
      </c>
      <c r="E65" s="27">
        <f t="shared" si="2"/>
        <v>-7607.6388888888887</v>
      </c>
      <c r="F65" s="27">
        <f t="shared" si="3"/>
        <v>425833.3333333325</v>
      </c>
      <c r="G65" s="27">
        <f t="shared" si="4"/>
        <v>-5458.1187742475049</v>
      </c>
      <c r="H65" s="27">
        <f t="shared" si="5"/>
        <v>-1966.4672924877614</v>
      </c>
      <c r="I65" s="27">
        <f t="shared" si="6"/>
        <v>-7424.5860667352663</v>
      </c>
      <c r="J65" s="27">
        <f t="shared" si="7"/>
        <v>466494.03142281499</v>
      </c>
    </row>
    <row r="66" spans="2:10" hidden="1">
      <c r="B66" s="26">
        <v>48</v>
      </c>
      <c r="C66" s="27">
        <f t="shared" si="0"/>
        <v>-5833.333333333333</v>
      </c>
      <c r="D66" s="27">
        <f t="shared" si="1"/>
        <v>-1750</v>
      </c>
      <c r="E66" s="27">
        <f t="shared" si="2"/>
        <v>-7583.333333333333</v>
      </c>
      <c r="F66" s="27">
        <f t="shared" si="3"/>
        <v>419999.99999999919</v>
      </c>
      <c r="G66" s="27">
        <f t="shared" si="4"/>
        <v>-5480.8609358068697</v>
      </c>
      <c r="H66" s="27">
        <f t="shared" si="5"/>
        <v>-1943.7251309283965</v>
      </c>
      <c r="I66" s="27">
        <f t="shared" si="6"/>
        <v>-7424.5860667352663</v>
      </c>
      <c r="J66" s="27">
        <f t="shared" si="7"/>
        <v>461013.17048700812</v>
      </c>
    </row>
    <row r="67" spans="2:10" hidden="1">
      <c r="B67" s="26">
        <v>49</v>
      </c>
      <c r="C67" s="27">
        <f t="shared" si="0"/>
        <v>-5833.333333333333</v>
      </c>
      <c r="D67" s="27">
        <f t="shared" si="1"/>
        <v>-1725.6944444444446</v>
      </c>
      <c r="E67" s="27">
        <f t="shared" si="2"/>
        <v>-7559.0277777777774</v>
      </c>
      <c r="F67" s="27">
        <f t="shared" si="3"/>
        <v>414166.66666666587</v>
      </c>
      <c r="G67" s="27">
        <f t="shared" si="4"/>
        <v>-5503.6978563727316</v>
      </c>
      <c r="H67" s="27">
        <f t="shared" si="5"/>
        <v>-1920.8882103625344</v>
      </c>
      <c r="I67" s="27">
        <f t="shared" si="6"/>
        <v>-7424.5860667352663</v>
      </c>
      <c r="J67" s="27">
        <f t="shared" si="7"/>
        <v>455509.47263063537</v>
      </c>
    </row>
    <row r="68" spans="2:10" hidden="1">
      <c r="B68" s="26">
        <v>50</v>
      </c>
      <c r="C68" s="27">
        <f t="shared" si="0"/>
        <v>-5833.333333333333</v>
      </c>
      <c r="D68" s="27">
        <f t="shared" si="1"/>
        <v>-1701.3888888888889</v>
      </c>
      <c r="E68" s="27">
        <f t="shared" si="2"/>
        <v>-7534.7222222222217</v>
      </c>
      <c r="F68" s="27">
        <f t="shared" si="3"/>
        <v>408333.33333333256</v>
      </c>
      <c r="G68" s="27">
        <f t="shared" si="4"/>
        <v>-5526.6299307742847</v>
      </c>
      <c r="H68" s="27">
        <f t="shared" si="5"/>
        <v>-1897.9561359609816</v>
      </c>
      <c r="I68" s="27">
        <f t="shared" si="6"/>
        <v>-7424.5860667352663</v>
      </c>
      <c r="J68" s="27">
        <f t="shared" si="7"/>
        <v>449982.8426998611</v>
      </c>
    </row>
    <row r="69" spans="2:10" hidden="1">
      <c r="B69" s="26">
        <v>51</v>
      </c>
      <c r="C69" s="27">
        <f t="shared" si="0"/>
        <v>-5833.333333333333</v>
      </c>
      <c r="D69" s="27">
        <f t="shared" si="1"/>
        <v>-1677.0833333333333</v>
      </c>
      <c r="E69" s="27">
        <f t="shared" si="2"/>
        <v>-7510.4166666666661</v>
      </c>
      <c r="F69" s="27">
        <f t="shared" si="3"/>
        <v>402499.99999999924</v>
      </c>
      <c r="G69" s="27">
        <f t="shared" si="4"/>
        <v>-5549.6575554858446</v>
      </c>
      <c r="H69" s="27">
        <f t="shared" si="5"/>
        <v>-1874.9285112494224</v>
      </c>
      <c r="I69" s="27">
        <f t="shared" si="6"/>
        <v>-7424.5860667352672</v>
      </c>
      <c r="J69" s="27">
        <f t="shared" si="7"/>
        <v>444433.18514437525</v>
      </c>
    </row>
    <row r="70" spans="2:10" hidden="1">
      <c r="B70" s="26">
        <v>52</v>
      </c>
      <c r="C70" s="27">
        <f t="shared" si="0"/>
        <v>-5833.333333333333</v>
      </c>
      <c r="D70" s="27">
        <f t="shared" si="1"/>
        <v>-1652.7777777777778</v>
      </c>
      <c r="E70" s="27">
        <f t="shared" si="2"/>
        <v>-7486.1111111111113</v>
      </c>
      <c r="F70" s="27">
        <f t="shared" si="3"/>
        <v>396666.66666666593</v>
      </c>
      <c r="G70" s="27">
        <f t="shared" si="4"/>
        <v>-5572.781128633701</v>
      </c>
      <c r="H70" s="27">
        <f t="shared" si="5"/>
        <v>-1851.8049381015644</v>
      </c>
      <c r="I70" s="27">
        <f t="shared" si="6"/>
        <v>-7424.5860667352654</v>
      </c>
      <c r="J70" s="27">
        <f t="shared" si="7"/>
        <v>438860.40401574154</v>
      </c>
    </row>
    <row r="71" spans="2:10" hidden="1">
      <c r="B71" s="26">
        <v>53</v>
      </c>
      <c r="C71" s="27">
        <f t="shared" si="0"/>
        <v>-5833.333333333333</v>
      </c>
      <c r="D71" s="27">
        <f t="shared" si="1"/>
        <v>-1628.4722222222222</v>
      </c>
      <c r="E71" s="27">
        <f t="shared" si="2"/>
        <v>-7461.8055555555547</v>
      </c>
      <c r="F71" s="27">
        <f t="shared" si="3"/>
        <v>390833.33333333262</v>
      </c>
      <c r="G71" s="27">
        <f t="shared" si="4"/>
        <v>-5596.0010500030085</v>
      </c>
      <c r="H71" s="27">
        <f t="shared" si="5"/>
        <v>-1828.5850167322571</v>
      </c>
      <c r="I71" s="27">
        <f t="shared" si="6"/>
        <v>-7424.5860667352654</v>
      </c>
      <c r="J71" s="27">
        <f t="shared" si="7"/>
        <v>433264.40296573855</v>
      </c>
    </row>
    <row r="72" spans="2:10" hidden="1">
      <c r="B72" s="26">
        <v>54</v>
      </c>
      <c r="C72" s="27">
        <f t="shared" si="0"/>
        <v>-5833.333333333333</v>
      </c>
      <c r="D72" s="27">
        <f t="shared" si="1"/>
        <v>-1604.1666666666667</v>
      </c>
      <c r="E72" s="27">
        <f t="shared" si="2"/>
        <v>-7437.5</v>
      </c>
      <c r="F72" s="27">
        <f t="shared" si="3"/>
        <v>384999.9999999993</v>
      </c>
      <c r="G72" s="27">
        <f t="shared" si="4"/>
        <v>-5619.3177210446884</v>
      </c>
      <c r="H72" s="27">
        <f t="shared" si="5"/>
        <v>-1805.2683456905777</v>
      </c>
      <c r="I72" s="27">
        <f t="shared" si="6"/>
        <v>-7424.5860667352663</v>
      </c>
      <c r="J72" s="27">
        <f t="shared" si="7"/>
        <v>427645.08524469385</v>
      </c>
    </row>
    <row r="73" spans="2:10" hidden="1">
      <c r="B73" s="26">
        <v>55</v>
      </c>
      <c r="C73" s="27">
        <f t="shared" si="0"/>
        <v>-5833.333333333333</v>
      </c>
      <c r="D73" s="27">
        <f t="shared" si="1"/>
        <v>-1579.8611111111111</v>
      </c>
      <c r="E73" s="27">
        <f t="shared" si="2"/>
        <v>-7413.1944444444443</v>
      </c>
      <c r="F73" s="27">
        <f t="shared" si="3"/>
        <v>379166.66666666599</v>
      </c>
      <c r="G73" s="27">
        <f t="shared" si="4"/>
        <v>-5642.7315448823747</v>
      </c>
      <c r="H73" s="27">
        <f t="shared" si="5"/>
        <v>-1781.8545218528916</v>
      </c>
      <c r="I73" s="27">
        <f t="shared" si="6"/>
        <v>-7424.5860667352663</v>
      </c>
      <c r="J73" s="27">
        <f t="shared" si="7"/>
        <v>422002.3536998115</v>
      </c>
    </row>
    <row r="74" spans="2:10" hidden="1">
      <c r="B74" s="26">
        <v>56</v>
      </c>
      <c r="C74" s="27">
        <f t="shared" si="0"/>
        <v>-5833.333333333333</v>
      </c>
      <c r="D74" s="27">
        <f t="shared" si="1"/>
        <v>-1555.5555555555554</v>
      </c>
      <c r="E74" s="27">
        <f t="shared" si="2"/>
        <v>-7388.8888888888887</v>
      </c>
      <c r="F74" s="27">
        <f t="shared" si="3"/>
        <v>373333.33333333267</v>
      </c>
      <c r="G74" s="27">
        <f t="shared" si="4"/>
        <v>-5666.2429263193835</v>
      </c>
      <c r="H74" s="27">
        <f t="shared" si="5"/>
        <v>-1758.3431404158816</v>
      </c>
      <c r="I74" s="27">
        <f t="shared" si="6"/>
        <v>-7424.5860667352654</v>
      </c>
      <c r="J74" s="27">
        <f t="shared" si="7"/>
        <v>416336.11077349214</v>
      </c>
    </row>
    <row r="75" spans="2:10" hidden="1">
      <c r="B75" s="26">
        <v>57</v>
      </c>
      <c r="C75" s="27">
        <f t="shared" si="0"/>
        <v>-5833.333333333333</v>
      </c>
      <c r="D75" s="27">
        <f t="shared" si="1"/>
        <v>-1531.25</v>
      </c>
      <c r="E75" s="27">
        <f t="shared" si="2"/>
        <v>-7364.583333333333</v>
      </c>
      <c r="F75" s="27">
        <f t="shared" si="3"/>
        <v>367499.99999999936</v>
      </c>
      <c r="G75" s="27">
        <f t="shared" si="4"/>
        <v>-5689.8522718457143</v>
      </c>
      <c r="H75" s="27">
        <f t="shared" si="5"/>
        <v>-1734.7337948895513</v>
      </c>
      <c r="I75" s="27">
        <f t="shared" si="6"/>
        <v>-7424.5860667352654</v>
      </c>
      <c r="J75" s="27">
        <f t="shared" si="7"/>
        <v>410646.2585016464</v>
      </c>
    </row>
    <row r="76" spans="2:10" hidden="1">
      <c r="B76" s="26">
        <v>58</v>
      </c>
      <c r="C76" s="27">
        <f t="shared" si="0"/>
        <v>-5833.333333333333</v>
      </c>
      <c r="D76" s="27">
        <f t="shared" si="1"/>
        <v>-1506.9444444444446</v>
      </c>
      <c r="E76" s="27">
        <f t="shared" si="2"/>
        <v>-7340.2777777777774</v>
      </c>
      <c r="F76" s="27">
        <f t="shared" si="3"/>
        <v>361666.66666666605</v>
      </c>
      <c r="G76" s="27">
        <f t="shared" si="4"/>
        <v>-5713.5599896450722</v>
      </c>
      <c r="H76" s="27">
        <f t="shared" si="5"/>
        <v>-1711.0260770901943</v>
      </c>
      <c r="I76" s="27">
        <f t="shared" si="6"/>
        <v>-7424.5860667352663</v>
      </c>
      <c r="J76" s="27">
        <f t="shared" si="7"/>
        <v>404932.69851200131</v>
      </c>
    </row>
    <row r="77" spans="2:10" hidden="1">
      <c r="B77" s="26">
        <v>59</v>
      </c>
      <c r="C77" s="27">
        <f t="shared" si="0"/>
        <v>-5833.333333333333</v>
      </c>
      <c r="D77" s="27">
        <f t="shared" si="1"/>
        <v>-1482.6388888888889</v>
      </c>
      <c r="E77" s="27">
        <f t="shared" si="2"/>
        <v>-7315.9722222222217</v>
      </c>
      <c r="F77" s="27">
        <f t="shared" si="3"/>
        <v>355833.33333333273</v>
      </c>
      <c r="G77" s="27">
        <f t="shared" si="4"/>
        <v>-5737.3664896019254</v>
      </c>
      <c r="H77" s="27">
        <f t="shared" si="5"/>
        <v>-1687.2195771333397</v>
      </c>
      <c r="I77" s="27">
        <f t="shared" si="6"/>
        <v>-7424.5860667352654</v>
      </c>
      <c r="J77" s="27">
        <f t="shared" si="7"/>
        <v>399195.33202239941</v>
      </c>
    </row>
    <row r="78" spans="2:10" hidden="1">
      <c r="B78" s="26">
        <v>60</v>
      </c>
      <c r="C78" s="27">
        <f t="shared" si="0"/>
        <v>-5833.333333333333</v>
      </c>
      <c r="D78" s="27">
        <f t="shared" si="1"/>
        <v>-1458.3333333333333</v>
      </c>
      <c r="E78" s="27">
        <f t="shared" si="2"/>
        <v>-7291.6666666666661</v>
      </c>
      <c r="F78" s="27">
        <f t="shared" si="3"/>
        <v>349999.99999999942</v>
      </c>
      <c r="G78" s="27">
        <f t="shared" si="4"/>
        <v>-5761.2721833086007</v>
      </c>
      <c r="H78" s="27">
        <f t="shared" si="5"/>
        <v>-1663.3138834266651</v>
      </c>
      <c r="I78" s="27">
        <f t="shared" si="6"/>
        <v>-7424.5860667352663</v>
      </c>
      <c r="J78" s="27">
        <f t="shared" si="7"/>
        <v>393434.0598390908</v>
      </c>
    </row>
    <row r="79" spans="2:10" hidden="1">
      <c r="B79" s="26">
        <v>61</v>
      </c>
      <c r="C79" s="27">
        <f t="shared" si="0"/>
        <v>-5833.333333333333</v>
      </c>
      <c r="D79" s="27">
        <f t="shared" si="1"/>
        <v>-1434.0277777777778</v>
      </c>
      <c r="E79" s="27">
        <f t="shared" si="2"/>
        <v>-7267.3611111111113</v>
      </c>
      <c r="F79" s="27">
        <f t="shared" si="3"/>
        <v>344166.6666666661</v>
      </c>
      <c r="G79" s="27">
        <f t="shared" si="4"/>
        <v>-5785.2774840723869</v>
      </c>
      <c r="H79" s="27">
        <f t="shared" si="5"/>
        <v>-1639.3085826628792</v>
      </c>
      <c r="I79" s="27">
        <f t="shared" si="6"/>
        <v>-7424.5860667352663</v>
      </c>
      <c r="J79" s="27">
        <f t="shared" si="7"/>
        <v>387648.78235501843</v>
      </c>
    </row>
    <row r="80" spans="2:10" hidden="1">
      <c r="B80" s="26">
        <v>62</v>
      </c>
      <c r="C80" s="27">
        <f t="shared" si="0"/>
        <v>-5833.333333333333</v>
      </c>
      <c r="D80" s="27">
        <f t="shared" si="1"/>
        <v>-1409.7222222222222</v>
      </c>
      <c r="E80" s="27">
        <f t="shared" si="2"/>
        <v>-7243.0555555555547</v>
      </c>
      <c r="F80" s="27">
        <f t="shared" si="3"/>
        <v>338333.33333333279</v>
      </c>
      <c r="G80" s="27">
        <f t="shared" si="4"/>
        <v>-5809.3828069226884</v>
      </c>
      <c r="H80" s="27">
        <f t="shared" si="5"/>
        <v>-1615.2032598125775</v>
      </c>
      <c r="I80" s="27">
        <f t="shared" si="6"/>
        <v>-7424.5860667352663</v>
      </c>
      <c r="J80" s="27">
        <f t="shared" si="7"/>
        <v>381839.39954809571</v>
      </c>
    </row>
    <row r="81" spans="2:10" hidden="1">
      <c r="B81" s="26">
        <v>63</v>
      </c>
      <c r="C81" s="27">
        <f t="shared" si="0"/>
        <v>-5833.333333333333</v>
      </c>
      <c r="D81" s="27">
        <f t="shared" si="1"/>
        <v>-1385.4166666666667</v>
      </c>
      <c r="E81" s="27">
        <f t="shared" si="2"/>
        <v>-7218.75</v>
      </c>
      <c r="F81" s="27">
        <f t="shared" si="3"/>
        <v>332499.99999999948</v>
      </c>
      <c r="G81" s="27">
        <f t="shared" si="4"/>
        <v>-5833.5885686182</v>
      </c>
      <c r="H81" s="27">
        <f t="shared" si="5"/>
        <v>-1590.9974981170667</v>
      </c>
      <c r="I81" s="27">
        <f t="shared" si="6"/>
        <v>-7424.5860667352663</v>
      </c>
      <c r="J81" s="27">
        <f t="shared" si="7"/>
        <v>376005.81097947754</v>
      </c>
    </row>
    <row r="82" spans="2:10" hidden="1">
      <c r="B82" s="26">
        <v>64</v>
      </c>
      <c r="C82" s="27">
        <f t="shared" si="0"/>
        <v>-5833.333333333333</v>
      </c>
      <c r="D82" s="27">
        <f t="shared" si="1"/>
        <v>-1361.1111111111111</v>
      </c>
      <c r="E82" s="27">
        <f t="shared" si="2"/>
        <v>-7194.4444444444443</v>
      </c>
      <c r="F82" s="27">
        <f t="shared" si="3"/>
        <v>326666.66666666616</v>
      </c>
      <c r="G82" s="27">
        <f t="shared" si="4"/>
        <v>-5857.8951876541087</v>
      </c>
      <c r="H82" s="27">
        <f t="shared" si="5"/>
        <v>-1566.6908790811572</v>
      </c>
      <c r="I82" s="27">
        <f t="shared" si="6"/>
        <v>-7424.5860667352663</v>
      </c>
      <c r="J82" s="27">
        <f t="shared" si="7"/>
        <v>370147.91579182341</v>
      </c>
    </row>
    <row r="83" spans="2:10" hidden="1">
      <c r="B83" s="26">
        <v>65</v>
      </c>
      <c r="C83" s="27">
        <f t="shared" si="0"/>
        <v>-5833.333333333333</v>
      </c>
      <c r="D83" s="27">
        <f t="shared" si="1"/>
        <v>-1336.8055555555554</v>
      </c>
      <c r="E83" s="27">
        <f t="shared" si="2"/>
        <v>-7170.1388888888887</v>
      </c>
      <c r="F83" s="27">
        <f t="shared" si="3"/>
        <v>320833.33333333285</v>
      </c>
      <c r="G83" s="27">
        <f t="shared" si="4"/>
        <v>-5882.3030842693352</v>
      </c>
      <c r="H83" s="27">
        <f t="shared" si="5"/>
        <v>-1542.282982465932</v>
      </c>
      <c r="I83" s="27">
        <f t="shared" si="6"/>
        <v>-7424.5860667352672</v>
      </c>
      <c r="J83" s="27">
        <f t="shared" si="7"/>
        <v>364265.61270755407</v>
      </c>
    </row>
    <row r="84" spans="2:10" hidden="1">
      <c r="B84" s="26">
        <v>66</v>
      </c>
      <c r="C84" s="27">
        <f t="shared" ref="C84:C138" si="8">-$F$18/120</f>
        <v>-5833.333333333333</v>
      </c>
      <c r="D84" s="27">
        <f t="shared" ref="D84:D138" si="9">ISPMT($I$5/12,B84,120,$F$18)</f>
        <v>-1312.5</v>
      </c>
      <c r="E84" s="27">
        <f t="shared" ref="E84:E138" si="10">D84+C84</f>
        <v>-7145.833333333333</v>
      </c>
      <c r="F84" s="27">
        <f t="shared" ref="F84:F138" si="11">F83+C84</f>
        <v>314999.99999999953</v>
      </c>
      <c r="G84" s="27">
        <f t="shared" ref="G84:G138" si="12">PPMT($I$5/12,B84,120,$J$18)</f>
        <v>-5906.8126804537897</v>
      </c>
      <c r="H84" s="27">
        <f t="shared" ref="H84:H138" si="13">IPMT($I$5/12,B84,120,$J$18)</f>
        <v>-1517.773386281476</v>
      </c>
      <c r="I84" s="27">
        <f t="shared" ref="I84:I138" si="14">H84+G84</f>
        <v>-7424.5860667352654</v>
      </c>
      <c r="J84" s="27">
        <f t="shared" ref="J84:J138" si="15">J83+G84</f>
        <v>358358.80002710025</v>
      </c>
    </row>
    <row r="85" spans="2:10" hidden="1">
      <c r="B85" s="26">
        <v>67</v>
      </c>
      <c r="C85" s="27">
        <f t="shared" si="8"/>
        <v>-5833.333333333333</v>
      </c>
      <c r="D85" s="27">
        <f t="shared" si="9"/>
        <v>-1288.1944444444446</v>
      </c>
      <c r="E85" s="27">
        <f t="shared" si="10"/>
        <v>-7121.5277777777774</v>
      </c>
      <c r="F85" s="27">
        <f t="shared" si="11"/>
        <v>309166.66666666622</v>
      </c>
      <c r="G85" s="27">
        <f t="shared" si="12"/>
        <v>-5931.4243999556802</v>
      </c>
      <c r="H85" s="27">
        <f t="shared" si="13"/>
        <v>-1493.1616667795854</v>
      </c>
      <c r="I85" s="27">
        <f t="shared" si="14"/>
        <v>-7424.5860667352654</v>
      </c>
      <c r="J85" s="27">
        <f t="shared" si="15"/>
        <v>352427.37562714459</v>
      </c>
    </row>
    <row r="86" spans="2:10" hidden="1">
      <c r="B86" s="26">
        <v>68</v>
      </c>
      <c r="C86" s="27">
        <f t="shared" si="8"/>
        <v>-5833.333333333333</v>
      </c>
      <c r="D86" s="27">
        <f t="shared" si="9"/>
        <v>-1263.8888888888889</v>
      </c>
      <c r="E86" s="27">
        <f t="shared" si="10"/>
        <v>-7097.2222222222217</v>
      </c>
      <c r="F86" s="27">
        <f t="shared" si="11"/>
        <v>303333.33333333291</v>
      </c>
      <c r="G86" s="27">
        <f t="shared" si="12"/>
        <v>-5956.1386682888287</v>
      </c>
      <c r="H86" s="27">
        <f t="shared" si="13"/>
        <v>-1468.4473984464366</v>
      </c>
      <c r="I86" s="27">
        <f t="shared" si="14"/>
        <v>-7424.5860667352654</v>
      </c>
      <c r="J86" s="27">
        <f t="shared" si="15"/>
        <v>346471.23695885576</v>
      </c>
    </row>
    <row r="87" spans="2:10" hidden="1">
      <c r="B87" s="26">
        <v>69</v>
      </c>
      <c r="C87" s="27">
        <f t="shared" si="8"/>
        <v>-5833.333333333333</v>
      </c>
      <c r="D87" s="27">
        <f t="shared" si="9"/>
        <v>-1239.5833333333333</v>
      </c>
      <c r="E87" s="27">
        <f t="shared" si="10"/>
        <v>-7072.9166666666661</v>
      </c>
      <c r="F87" s="27">
        <f t="shared" si="11"/>
        <v>297499.99999999959</v>
      </c>
      <c r="G87" s="27">
        <f t="shared" si="12"/>
        <v>-5980.9559127400325</v>
      </c>
      <c r="H87" s="27">
        <f t="shared" si="13"/>
        <v>-1443.6301539952333</v>
      </c>
      <c r="I87" s="27">
        <f t="shared" si="14"/>
        <v>-7424.5860667352663</v>
      </c>
      <c r="J87" s="27">
        <f t="shared" si="15"/>
        <v>340490.28104611574</v>
      </c>
    </row>
    <row r="88" spans="2:10" hidden="1">
      <c r="B88" s="26">
        <v>70</v>
      </c>
      <c r="C88" s="27">
        <f t="shared" si="8"/>
        <v>-5833.333333333333</v>
      </c>
      <c r="D88" s="27">
        <f t="shared" si="9"/>
        <v>-1215.2777777777778</v>
      </c>
      <c r="E88" s="27">
        <f t="shared" si="10"/>
        <v>-7048.6111111111113</v>
      </c>
      <c r="F88" s="27">
        <f t="shared" si="11"/>
        <v>291666.66666666628</v>
      </c>
      <c r="G88" s="27">
        <f t="shared" si="12"/>
        <v>-6005.8765623764502</v>
      </c>
      <c r="H88" s="27">
        <f t="shared" si="13"/>
        <v>-1418.7095043588163</v>
      </c>
      <c r="I88" s="27">
        <f t="shared" si="14"/>
        <v>-7424.5860667352663</v>
      </c>
      <c r="J88" s="27">
        <f t="shared" si="15"/>
        <v>334484.40448373929</v>
      </c>
    </row>
    <row r="89" spans="2:10" hidden="1">
      <c r="B89" s="26">
        <v>71</v>
      </c>
      <c r="C89" s="27">
        <f t="shared" si="8"/>
        <v>-5833.333333333333</v>
      </c>
      <c r="D89" s="27">
        <f t="shared" si="9"/>
        <v>-1190.9722222222222</v>
      </c>
      <c r="E89" s="27">
        <f t="shared" si="10"/>
        <v>-7024.3055555555547</v>
      </c>
      <c r="F89" s="27">
        <f t="shared" si="11"/>
        <v>285833.33333333296</v>
      </c>
      <c r="G89" s="27">
        <f t="shared" si="12"/>
        <v>-6030.9010480530178</v>
      </c>
      <c r="H89" s="27">
        <f t="shared" si="13"/>
        <v>-1393.6850186822483</v>
      </c>
      <c r="I89" s="27">
        <f t="shared" si="14"/>
        <v>-7424.5860667352663</v>
      </c>
      <c r="J89" s="27">
        <f t="shared" si="15"/>
        <v>328453.50343568629</v>
      </c>
    </row>
    <row r="90" spans="2:10" hidden="1">
      <c r="B90" s="26">
        <v>72</v>
      </c>
      <c r="C90" s="27">
        <f t="shared" si="8"/>
        <v>-5833.333333333333</v>
      </c>
      <c r="D90" s="27">
        <f t="shared" si="9"/>
        <v>-1166.6666666666667</v>
      </c>
      <c r="E90" s="27">
        <f t="shared" si="10"/>
        <v>-7000</v>
      </c>
      <c r="F90" s="27">
        <f t="shared" si="11"/>
        <v>279999.99999999965</v>
      </c>
      <c r="G90" s="27">
        <f t="shared" si="12"/>
        <v>-6056.0298024199055</v>
      </c>
      <c r="H90" s="27">
        <f t="shared" si="13"/>
        <v>-1368.5562643153603</v>
      </c>
      <c r="I90" s="27">
        <f t="shared" si="14"/>
        <v>-7424.5860667352663</v>
      </c>
      <c r="J90" s="27">
        <f t="shared" si="15"/>
        <v>322397.4736332664</v>
      </c>
    </row>
    <row r="91" spans="2:10" hidden="1">
      <c r="B91" s="26">
        <v>73</v>
      </c>
      <c r="C91" s="27">
        <f t="shared" si="8"/>
        <v>-5833.333333333333</v>
      </c>
      <c r="D91" s="27">
        <f t="shared" si="9"/>
        <v>-1142.3611111111111</v>
      </c>
      <c r="E91" s="27">
        <f t="shared" si="10"/>
        <v>-6975.6944444444443</v>
      </c>
      <c r="F91" s="27">
        <f t="shared" si="11"/>
        <v>274166.66666666634</v>
      </c>
      <c r="G91" s="27">
        <f t="shared" si="12"/>
        <v>-6081.2632599299886</v>
      </c>
      <c r="H91" s="27">
        <f t="shared" si="13"/>
        <v>-1343.3228068052774</v>
      </c>
      <c r="I91" s="27">
        <f t="shared" si="14"/>
        <v>-7424.5860667352663</v>
      </c>
      <c r="J91" s="27">
        <f t="shared" si="15"/>
        <v>316316.21037333639</v>
      </c>
    </row>
    <row r="92" spans="2:10" hidden="1">
      <c r="B92" s="26">
        <v>74</v>
      </c>
      <c r="C92" s="27">
        <f t="shared" si="8"/>
        <v>-5833.333333333333</v>
      </c>
      <c r="D92" s="27">
        <f t="shared" si="9"/>
        <v>-1118.0555555555554</v>
      </c>
      <c r="E92" s="27">
        <f t="shared" si="10"/>
        <v>-6951.3888888888887</v>
      </c>
      <c r="F92" s="27">
        <f t="shared" si="11"/>
        <v>268333.33333333302</v>
      </c>
      <c r="G92" s="27">
        <f t="shared" si="12"/>
        <v>-6106.6018568463633</v>
      </c>
      <c r="H92" s="27">
        <f t="shared" si="13"/>
        <v>-1317.9842098889026</v>
      </c>
      <c r="I92" s="27">
        <f t="shared" si="14"/>
        <v>-7424.5860667352663</v>
      </c>
      <c r="J92" s="27">
        <f t="shared" si="15"/>
        <v>310209.60851649003</v>
      </c>
    </row>
    <row r="93" spans="2:10" hidden="1">
      <c r="B93" s="26">
        <v>75</v>
      </c>
      <c r="C93" s="27">
        <f t="shared" si="8"/>
        <v>-5833.333333333333</v>
      </c>
      <c r="D93" s="27">
        <f t="shared" si="9"/>
        <v>-1093.75</v>
      </c>
      <c r="E93" s="27">
        <f t="shared" si="10"/>
        <v>-6927.083333333333</v>
      </c>
      <c r="F93" s="27">
        <f t="shared" si="11"/>
        <v>262499.99999999971</v>
      </c>
      <c r="G93" s="27">
        <f t="shared" si="12"/>
        <v>-6132.0460312498908</v>
      </c>
      <c r="H93" s="27">
        <f t="shared" si="13"/>
        <v>-1292.5400354853762</v>
      </c>
      <c r="I93" s="27">
        <f t="shared" si="14"/>
        <v>-7424.5860667352672</v>
      </c>
      <c r="J93" s="27">
        <f t="shared" si="15"/>
        <v>304077.56248524017</v>
      </c>
    </row>
    <row r="94" spans="2:10" hidden="1">
      <c r="B94" s="26">
        <v>76</v>
      </c>
      <c r="C94" s="27">
        <f t="shared" si="8"/>
        <v>-5833.333333333333</v>
      </c>
      <c r="D94" s="27">
        <f t="shared" si="9"/>
        <v>-1069.4444444444443</v>
      </c>
      <c r="E94" s="27">
        <f t="shared" si="10"/>
        <v>-6902.7777777777774</v>
      </c>
      <c r="F94" s="27">
        <f t="shared" si="11"/>
        <v>256666.66666666637</v>
      </c>
      <c r="G94" s="27">
        <f t="shared" si="12"/>
        <v>-6157.5962230467649</v>
      </c>
      <c r="H94" s="27">
        <f t="shared" si="13"/>
        <v>-1266.9898436885014</v>
      </c>
      <c r="I94" s="27">
        <f t="shared" si="14"/>
        <v>-7424.5860667352663</v>
      </c>
      <c r="J94" s="27">
        <f t="shared" si="15"/>
        <v>297919.9662621934</v>
      </c>
    </row>
    <row r="95" spans="2:10" hidden="1">
      <c r="B95" s="26">
        <v>77</v>
      </c>
      <c r="C95" s="27">
        <f t="shared" si="8"/>
        <v>-5833.333333333333</v>
      </c>
      <c r="D95" s="27">
        <f t="shared" si="9"/>
        <v>-1045.1388888888889</v>
      </c>
      <c r="E95" s="27">
        <f t="shared" si="10"/>
        <v>-6878.4722222222217</v>
      </c>
      <c r="F95" s="27">
        <f t="shared" si="11"/>
        <v>250833.33333333302</v>
      </c>
      <c r="G95" s="27">
        <f t="shared" si="12"/>
        <v>-6183.2528739761256</v>
      </c>
      <c r="H95" s="27">
        <f t="shared" si="13"/>
        <v>-1241.3331927591398</v>
      </c>
      <c r="I95" s="27">
        <f t="shared" si="14"/>
        <v>-7424.5860667352654</v>
      </c>
      <c r="J95" s="27">
        <f t="shared" si="15"/>
        <v>291736.71338821726</v>
      </c>
    </row>
    <row r="96" spans="2:10" hidden="1">
      <c r="B96" s="26">
        <v>78</v>
      </c>
      <c r="C96" s="27">
        <f t="shared" si="8"/>
        <v>-5833.333333333333</v>
      </c>
      <c r="D96" s="27">
        <f t="shared" si="9"/>
        <v>-1020.8333333333334</v>
      </c>
      <c r="E96" s="27">
        <f t="shared" si="10"/>
        <v>-6854.1666666666661</v>
      </c>
      <c r="F96" s="27">
        <f t="shared" si="11"/>
        <v>244999.99999999968</v>
      </c>
      <c r="G96" s="27">
        <f t="shared" si="12"/>
        <v>-6209.0164276176938</v>
      </c>
      <c r="H96" s="27">
        <f t="shared" si="13"/>
        <v>-1215.5696391175729</v>
      </c>
      <c r="I96" s="27">
        <f t="shared" si="14"/>
        <v>-7424.5860667352663</v>
      </c>
      <c r="J96" s="27">
        <f t="shared" si="15"/>
        <v>285527.69696059957</v>
      </c>
    </row>
    <row r="97" spans="2:10" hidden="1">
      <c r="B97" s="26">
        <v>79</v>
      </c>
      <c r="C97" s="27">
        <f t="shared" si="8"/>
        <v>-5833.333333333333</v>
      </c>
      <c r="D97" s="27">
        <f t="shared" si="9"/>
        <v>-996.52777777777771</v>
      </c>
      <c r="E97" s="27">
        <f t="shared" si="10"/>
        <v>-6829.8611111111104</v>
      </c>
      <c r="F97" s="27">
        <f t="shared" si="11"/>
        <v>239166.66666666634</v>
      </c>
      <c r="G97" s="27">
        <f t="shared" si="12"/>
        <v>-6234.8873293994347</v>
      </c>
      <c r="H97" s="27">
        <f t="shared" si="13"/>
        <v>-1189.6987373358324</v>
      </c>
      <c r="I97" s="27">
        <f t="shared" si="14"/>
        <v>-7424.5860667352672</v>
      </c>
      <c r="J97" s="27">
        <f t="shared" si="15"/>
        <v>279292.80963120016</v>
      </c>
    </row>
    <row r="98" spans="2:10" hidden="1">
      <c r="B98" s="26">
        <v>80</v>
      </c>
      <c r="C98" s="27">
        <f t="shared" si="8"/>
        <v>-5833.333333333333</v>
      </c>
      <c r="D98" s="27">
        <f t="shared" si="9"/>
        <v>-972.22222222222229</v>
      </c>
      <c r="E98" s="27">
        <f t="shared" si="10"/>
        <v>-6805.5555555555557</v>
      </c>
      <c r="F98" s="27">
        <f t="shared" si="11"/>
        <v>233333.33333333299</v>
      </c>
      <c r="G98" s="27">
        <f t="shared" si="12"/>
        <v>-6260.8660266052648</v>
      </c>
      <c r="H98" s="27">
        <f t="shared" si="13"/>
        <v>-1163.7200401300015</v>
      </c>
      <c r="I98" s="27">
        <f t="shared" si="14"/>
        <v>-7424.5860667352663</v>
      </c>
      <c r="J98" s="27">
        <f t="shared" si="15"/>
        <v>273031.94360459491</v>
      </c>
    </row>
    <row r="99" spans="2:10" hidden="1">
      <c r="B99" s="26">
        <v>81</v>
      </c>
      <c r="C99" s="27">
        <f t="shared" si="8"/>
        <v>-5833.333333333333</v>
      </c>
      <c r="D99" s="27">
        <f t="shared" si="9"/>
        <v>-947.91666666666663</v>
      </c>
      <c r="E99" s="27">
        <f t="shared" si="10"/>
        <v>-6781.25</v>
      </c>
      <c r="F99" s="27">
        <f t="shared" si="11"/>
        <v>227499.99999999965</v>
      </c>
      <c r="G99" s="27">
        <f t="shared" si="12"/>
        <v>-6286.9529683827859</v>
      </c>
      <c r="H99" s="27">
        <f t="shared" si="13"/>
        <v>-1137.6330983524792</v>
      </c>
      <c r="I99" s="27">
        <f t="shared" si="14"/>
        <v>-7424.5860667352654</v>
      </c>
      <c r="J99" s="27">
        <f t="shared" si="15"/>
        <v>266744.99063621211</v>
      </c>
    </row>
    <row r="100" spans="2:10" hidden="1">
      <c r="B100" s="26">
        <v>82</v>
      </c>
      <c r="C100" s="27">
        <f t="shared" si="8"/>
        <v>-5833.333333333333</v>
      </c>
      <c r="D100" s="27">
        <f t="shared" si="9"/>
        <v>-923.61111111111109</v>
      </c>
      <c r="E100" s="27">
        <f t="shared" si="10"/>
        <v>-6756.9444444444443</v>
      </c>
      <c r="F100" s="27">
        <f t="shared" si="11"/>
        <v>221666.66666666631</v>
      </c>
      <c r="G100" s="27">
        <f t="shared" si="12"/>
        <v>-6313.1486057510483</v>
      </c>
      <c r="H100" s="27">
        <f t="shared" si="13"/>
        <v>-1111.4374609842178</v>
      </c>
      <c r="I100" s="27">
        <f t="shared" si="14"/>
        <v>-7424.5860667352663</v>
      </c>
      <c r="J100" s="27">
        <f t="shared" si="15"/>
        <v>260431.84203046106</v>
      </c>
    </row>
    <row r="101" spans="2:10" hidden="1">
      <c r="B101" s="26">
        <v>83</v>
      </c>
      <c r="C101" s="27">
        <f t="shared" si="8"/>
        <v>-5833.333333333333</v>
      </c>
      <c r="D101" s="27">
        <f t="shared" si="9"/>
        <v>-899.30555555555554</v>
      </c>
      <c r="E101" s="27">
        <f t="shared" si="10"/>
        <v>-6732.6388888888887</v>
      </c>
      <c r="F101" s="27">
        <f t="shared" si="11"/>
        <v>215833.33333333296</v>
      </c>
      <c r="G101" s="27">
        <f t="shared" si="12"/>
        <v>-6339.4533916083446</v>
      </c>
      <c r="H101" s="27">
        <f t="shared" si="13"/>
        <v>-1085.1326751269219</v>
      </c>
      <c r="I101" s="27">
        <f t="shared" si="14"/>
        <v>-7424.5860667352663</v>
      </c>
      <c r="J101" s="27">
        <f t="shared" si="15"/>
        <v>254092.38863885272</v>
      </c>
    </row>
    <row r="102" spans="2:10" hidden="1">
      <c r="B102" s="26">
        <v>84</v>
      </c>
      <c r="C102" s="27">
        <f t="shared" si="8"/>
        <v>-5833.333333333333</v>
      </c>
      <c r="D102" s="27">
        <f t="shared" si="9"/>
        <v>-875</v>
      </c>
      <c r="E102" s="27">
        <f t="shared" si="10"/>
        <v>-6708.333333333333</v>
      </c>
      <c r="F102" s="27">
        <f t="shared" si="11"/>
        <v>209999.99999999962</v>
      </c>
      <c r="G102" s="27">
        <f t="shared" si="12"/>
        <v>-6365.8677807400445</v>
      </c>
      <c r="H102" s="27">
        <f t="shared" si="13"/>
        <v>-1058.7182859952204</v>
      </c>
      <c r="I102" s="27">
        <f t="shared" si="14"/>
        <v>-7424.5860667352645</v>
      </c>
      <c r="J102" s="27">
        <f t="shared" si="15"/>
        <v>247726.52085811266</v>
      </c>
    </row>
    <row r="103" spans="2:10" hidden="1">
      <c r="B103" s="26">
        <v>85</v>
      </c>
      <c r="C103" s="27">
        <f t="shared" si="8"/>
        <v>-5833.333333333333</v>
      </c>
      <c r="D103" s="27">
        <f t="shared" si="9"/>
        <v>-850.69444444444446</v>
      </c>
      <c r="E103" s="27">
        <f t="shared" si="10"/>
        <v>-6684.0277777777774</v>
      </c>
      <c r="F103" s="27">
        <f t="shared" si="11"/>
        <v>204166.66666666628</v>
      </c>
      <c r="G103" s="27">
        <f t="shared" si="12"/>
        <v>-6392.3922298264624</v>
      </c>
      <c r="H103" s="27">
        <f t="shared" si="13"/>
        <v>-1032.1938369088034</v>
      </c>
      <c r="I103" s="27">
        <f t="shared" si="14"/>
        <v>-7424.5860667352663</v>
      </c>
      <c r="J103" s="27">
        <f t="shared" si="15"/>
        <v>241334.12862828621</v>
      </c>
    </row>
    <row r="104" spans="2:10" hidden="1">
      <c r="B104" s="26">
        <v>86</v>
      </c>
      <c r="C104" s="27">
        <f t="shared" si="8"/>
        <v>-5833.333333333333</v>
      </c>
      <c r="D104" s="27">
        <f t="shared" si="9"/>
        <v>-826.38888888888891</v>
      </c>
      <c r="E104" s="27">
        <f t="shared" si="10"/>
        <v>-6659.7222222222217</v>
      </c>
      <c r="F104" s="27">
        <f t="shared" si="11"/>
        <v>198333.33333333294</v>
      </c>
      <c r="G104" s="27">
        <f t="shared" si="12"/>
        <v>-6419.0271974507386</v>
      </c>
      <c r="H104" s="27">
        <f t="shared" si="13"/>
        <v>-1005.5588692845266</v>
      </c>
      <c r="I104" s="27">
        <f t="shared" si="14"/>
        <v>-7424.5860667352654</v>
      </c>
      <c r="J104" s="27">
        <f t="shared" si="15"/>
        <v>234915.10143083546</v>
      </c>
    </row>
    <row r="105" spans="2:10" hidden="1">
      <c r="B105" s="26">
        <v>87</v>
      </c>
      <c r="C105" s="27">
        <f t="shared" si="8"/>
        <v>-5833.333333333333</v>
      </c>
      <c r="D105" s="27">
        <f t="shared" si="9"/>
        <v>-802.08333333333337</v>
      </c>
      <c r="E105" s="27">
        <f t="shared" si="10"/>
        <v>-6635.4166666666661</v>
      </c>
      <c r="F105" s="27">
        <f t="shared" si="11"/>
        <v>192499.99999999959</v>
      </c>
      <c r="G105" s="27">
        <f t="shared" si="12"/>
        <v>-6445.7731441067845</v>
      </c>
      <c r="H105" s="27">
        <f t="shared" si="13"/>
        <v>-978.81292262848206</v>
      </c>
      <c r="I105" s="27">
        <f t="shared" si="14"/>
        <v>-7424.5860667352663</v>
      </c>
      <c r="J105" s="27">
        <f t="shared" si="15"/>
        <v>228469.32828672868</v>
      </c>
    </row>
    <row r="106" spans="2:10" hidden="1">
      <c r="B106" s="26">
        <v>88</v>
      </c>
      <c r="C106" s="27">
        <f t="shared" si="8"/>
        <v>-5833.333333333333</v>
      </c>
      <c r="D106" s="27">
        <f t="shared" si="9"/>
        <v>-777.77777777777771</v>
      </c>
      <c r="E106" s="27">
        <f t="shared" si="10"/>
        <v>-6611.1111111111104</v>
      </c>
      <c r="F106" s="27">
        <f t="shared" si="11"/>
        <v>186666.66666666625</v>
      </c>
      <c r="G106" s="27">
        <f t="shared" si="12"/>
        <v>-6472.6305322072294</v>
      </c>
      <c r="H106" s="27">
        <f t="shared" si="13"/>
        <v>-951.95553452803688</v>
      </c>
      <c r="I106" s="27">
        <f t="shared" si="14"/>
        <v>-7424.5860667352663</v>
      </c>
      <c r="J106" s="27">
        <f t="shared" si="15"/>
        <v>221996.69775452145</v>
      </c>
    </row>
    <row r="107" spans="2:10" hidden="1">
      <c r="B107" s="26">
        <v>89</v>
      </c>
      <c r="C107" s="27">
        <f t="shared" si="8"/>
        <v>-5833.333333333333</v>
      </c>
      <c r="D107" s="27">
        <f t="shared" si="9"/>
        <v>-753.47222222222229</v>
      </c>
      <c r="E107" s="27">
        <f t="shared" si="10"/>
        <v>-6586.8055555555557</v>
      </c>
      <c r="F107" s="27">
        <f t="shared" si="11"/>
        <v>180833.33333333291</v>
      </c>
      <c r="G107" s="27">
        <f t="shared" si="12"/>
        <v>-6499.5998260914257</v>
      </c>
      <c r="H107" s="27">
        <f t="shared" si="13"/>
        <v>-924.98624064384023</v>
      </c>
      <c r="I107" s="27">
        <f t="shared" si="14"/>
        <v>-7424.5860667352663</v>
      </c>
      <c r="J107" s="27">
        <f t="shared" si="15"/>
        <v>215497.09792843001</v>
      </c>
    </row>
    <row r="108" spans="2:10" hidden="1">
      <c r="B108" s="26">
        <v>90</v>
      </c>
      <c r="C108" s="27">
        <f t="shared" si="8"/>
        <v>-5833.333333333333</v>
      </c>
      <c r="D108" s="27">
        <f t="shared" si="9"/>
        <v>-729.16666666666663</v>
      </c>
      <c r="E108" s="27">
        <f t="shared" si="10"/>
        <v>-6562.5</v>
      </c>
      <c r="F108" s="27">
        <f t="shared" si="11"/>
        <v>174999.99999999956</v>
      </c>
      <c r="G108" s="27">
        <f t="shared" si="12"/>
        <v>-6526.6814920334737</v>
      </c>
      <c r="H108" s="27">
        <f t="shared" si="13"/>
        <v>-897.90457470179274</v>
      </c>
      <c r="I108" s="27">
        <f t="shared" si="14"/>
        <v>-7424.5860667352663</v>
      </c>
      <c r="J108" s="27">
        <f t="shared" si="15"/>
        <v>208970.41643639654</v>
      </c>
    </row>
    <row r="109" spans="2:10" hidden="1">
      <c r="B109" s="26">
        <v>91</v>
      </c>
      <c r="C109" s="27">
        <f t="shared" si="8"/>
        <v>-5833.333333333333</v>
      </c>
      <c r="D109" s="27">
        <f t="shared" si="9"/>
        <v>-704.86111111111109</v>
      </c>
      <c r="E109" s="27">
        <f t="shared" si="10"/>
        <v>-6538.1944444444443</v>
      </c>
      <c r="F109" s="27">
        <f t="shared" si="11"/>
        <v>169166.66666666622</v>
      </c>
      <c r="G109" s="27">
        <f t="shared" si="12"/>
        <v>-6553.8759982502797</v>
      </c>
      <c r="H109" s="27">
        <f t="shared" si="13"/>
        <v>-870.71006848498644</v>
      </c>
      <c r="I109" s="27">
        <f t="shared" si="14"/>
        <v>-7424.5860667352663</v>
      </c>
      <c r="J109" s="27">
        <f t="shared" si="15"/>
        <v>202416.54043814627</v>
      </c>
    </row>
    <row r="110" spans="2:10" hidden="1">
      <c r="B110" s="26">
        <v>92</v>
      </c>
      <c r="C110" s="27">
        <f t="shared" si="8"/>
        <v>-5833.333333333333</v>
      </c>
      <c r="D110" s="27">
        <f t="shared" si="9"/>
        <v>-680.55555555555554</v>
      </c>
      <c r="E110" s="27">
        <f t="shared" si="10"/>
        <v>-6513.8888888888887</v>
      </c>
      <c r="F110" s="27">
        <f t="shared" si="11"/>
        <v>163333.33333333288</v>
      </c>
      <c r="G110" s="27">
        <f t="shared" si="12"/>
        <v>-6581.1838149096566</v>
      </c>
      <c r="H110" s="27">
        <f t="shared" si="13"/>
        <v>-843.40225182561028</v>
      </c>
      <c r="I110" s="27">
        <f t="shared" si="14"/>
        <v>-7424.5860667352672</v>
      </c>
      <c r="J110" s="27">
        <f t="shared" si="15"/>
        <v>195835.35662323661</v>
      </c>
    </row>
    <row r="111" spans="2:10" hidden="1">
      <c r="B111" s="26">
        <v>93</v>
      </c>
      <c r="C111" s="27">
        <f t="shared" si="8"/>
        <v>-5833.333333333333</v>
      </c>
      <c r="D111" s="27">
        <f t="shared" si="9"/>
        <v>-656.25</v>
      </c>
      <c r="E111" s="27">
        <f t="shared" si="10"/>
        <v>-6489.583333333333</v>
      </c>
      <c r="F111" s="27">
        <f t="shared" si="11"/>
        <v>157499.99999999953</v>
      </c>
      <c r="G111" s="27">
        <f t="shared" si="12"/>
        <v>-6608.6054141384457</v>
      </c>
      <c r="H111" s="27">
        <f t="shared" si="13"/>
        <v>-815.98065259682016</v>
      </c>
      <c r="I111" s="27">
        <f t="shared" si="14"/>
        <v>-7424.5860667352663</v>
      </c>
      <c r="J111" s="27">
        <f t="shared" si="15"/>
        <v>189226.75120909818</v>
      </c>
    </row>
    <row r="112" spans="2:10" hidden="1">
      <c r="B112" s="26">
        <v>94</v>
      </c>
      <c r="C112" s="27">
        <f t="shared" si="8"/>
        <v>-5833.333333333333</v>
      </c>
      <c r="D112" s="27">
        <f t="shared" si="9"/>
        <v>-631.94444444444446</v>
      </c>
      <c r="E112" s="27">
        <f t="shared" si="10"/>
        <v>-6465.2777777777774</v>
      </c>
      <c r="F112" s="27">
        <f t="shared" si="11"/>
        <v>151666.66666666619</v>
      </c>
      <c r="G112" s="27">
        <f t="shared" si="12"/>
        <v>-6636.1412700306892</v>
      </c>
      <c r="H112" s="27">
        <f t="shared" si="13"/>
        <v>-788.44479670457656</v>
      </c>
      <c r="I112" s="27">
        <f t="shared" si="14"/>
        <v>-7424.5860667352654</v>
      </c>
      <c r="J112" s="27">
        <f t="shared" si="15"/>
        <v>182590.60993906748</v>
      </c>
    </row>
    <row r="113" spans="2:10" hidden="1">
      <c r="B113" s="26">
        <v>95</v>
      </c>
      <c r="C113" s="27">
        <f t="shared" si="8"/>
        <v>-5833.333333333333</v>
      </c>
      <c r="D113" s="27">
        <f t="shared" si="9"/>
        <v>-607.63888888888891</v>
      </c>
      <c r="E113" s="27">
        <f t="shared" si="10"/>
        <v>-6440.9722222222217</v>
      </c>
      <c r="F113" s="27">
        <f t="shared" si="11"/>
        <v>145833.33333333285</v>
      </c>
      <c r="G113" s="27">
        <f t="shared" si="12"/>
        <v>-6663.791858655818</v>
      </c>
      <c r="H113" s="27">
        <f t="shared" si="13"/>
        <v>-760.79420807944859</v>
      </c>
      <c r="I113" s="27">
        <f t="shared" si="14"/>
        <v>-7424.5860667352663</v>
      </c>
      <c r="J113" s="27">
        <f t="shared" si="15"/>
        <v>175926.81808041167</v>
      </c>
    </row>
    <row r="114" spans="2:10" hidden="1">
      <c r="B114" s="26">
        <v>96</v>
      </c>
      <c r="C114" s="27">
        <f t="shared" si="8"/>
        <v>-5833.333333333333</v>
      </c>
      <c r="D114" s="27">
        <f t="shared" si="9"/>
        <v>-583.33333333333337</v>
      </c>
      <c r="E114" s="27">
        <f t="shared" si="10"/>
        <v>-6416.6666666666661</v>
      </c>
      <c r="F114" s="27">
        <f t="shared" si="11"/>
        <v>139999.99999999951</v>
      </c>
      <c r="G114" s="27">
        <f t="shared" si="12"/>
        <v>-6691.557658066884</v>
      </c>
      <c r="H114" s="27">
        <f t="shared" si="13"/>
        <v>-733.02840866838289</v>
      </c>
      <c r="I114" s="27">
        <f t="shared" si="14"/>
        <v>-7424.5860667352672</v>
      </c>
      <c r="J114" s="27">
        <f t="shared" si="15"/>
        <v>169235.26042234479</v>
      </c>
    </row>
    <row r="115" spans="2:10" hidden="1">
      <c r="B115" s="26">
        <v>97</v>
      </c>
      <c r="C115" s="27">
        <f t="shared" si="8"/>
        <v>-5833.333333333333</v>
      </c>
      <c r="D115" s="27">
        <f t="shared" si="9"/>
        <v>-559.02777777777771</v>
      </c>
      <c r="E115" s="27">
        <f t="shared" si="10"/>
        <v>-6392.3611111111104</v>
      </c>
      <c r="F115" s="27">
        <f t="shared" si="11"/>
        <v>134166.66666666616</v>
      </c>
      <c r="G115" s="27">
        <f t="shared" si="12"/>
        <v>-6719.4391483088293</v>
      </c>
      <c r="H115" s="27">
        <f t="shared" si="13"/>
        <v>-705.14691842643742</v>
      </c>
      <c r="I115" s="27">
        <f t="shared" si="14"/>
        <v>-7424.5860667352663</v>
      </c>
      <c r="J115" s="27">
        <f t="shared" si="15"/>
        <v>162515.82127403596</v>
      </c>
    </row>
    <row r="116" spans="2:10" hidden="1">
      <c r="B116" s="26">
        <v>98</v>
      </c>
      <c r="C116" s="27">
        <f t="shared" si="8"/>
        <v>-5833.333333333333</v>
      </c>
      <c r="D116" s="27">
        <f t="shared" si="9"/>
        <v>-534.72222222222217</v>
      </c>
      <c r="E116" s="27">
        <f t="shared" si="10"/>
        <v>-6368.0555555555547</v>
      </c>
      <c r="F116" s="27">
        <f t="shared" si="11"/>
        <v>128333.33333333283</v>
      </c>
      <c r="G116" s="27">
        <f t="shared" si="12"/>
        <v>-6747.4368114267818</v>
      </c>
      <c r="H116" s="27">
        <f t="shared" si="13"/>
        <v>-677.14925530848404</v>
      </c>
      <c r="I116" s="27">
        <f t="shared" si="14"/>
        <v>-7424.5860667352663</v>
      </c>
      <c r="J116" s="27">
        <f t="shared" si="15"/>
        <v>155768.38446260919</v>
      </c>
    </row>
    <row r="117" spans="2:10" hidden="1">
      <c r="B117" s="26">
        <v>99</v>
      </c>
      <c r="C117" s="27">
        <f t="shared" si="8"/>
        <v>-5833.333333333333</v>
      </c>
      <c r="D117" s="27">
        <f t="shared" si="9"/>
        <v>-510.41666666666669</v>
      </c>
      <c r="E117" s="27">
        <f t="shared" si="10"/>
        <v>-6343.75</v>
      </c>
      <c r="F117" s="27">
        <f t="shared" si="11"/>
        <v>122499.99999999951</v>
      </c>
      <c r="G117" s="27">
        <f t="shared" si="12"/>
        <v>-6775.5511314743935</v>
      </c>
      <c r="H117" s="27">
        <f t="shared" si="13"/>
        <v>-649.03493526087243</v>
      </c>
      <c r="I117" s="27">
        <f t="shared" si="14"/>
        <v>-7424.5860667352663</v>
      </c>
      <c r="J117" s="27">
        <f t="shared" si="15"/>
        <v>148992.83333113478</v>
      </c>
    </row>
    <row r="118" spans="2:10" hidden="1">
      <c r="B118" s="26">
        <v>100</v>
      </c>
      <c r="C118" s="27">
        <f t="shared" si="8"/>
        <v>-5833.333333333333</v>
      </c>
      <c r="D118" s="27">
        <f t="shared" si="9"/>
        <v>-486.11111111111114</v>
      </c>
      <c r="E118" s="27">
        <f t="shared" si="10"/>
        <v>-6319.4444444444443</v>
      </c>
      <c r="F118" s="27">
        <f t="shared" si="11"/>
        <v>116666.66666666618</v>
      </c>
      <c r="G118" s="27">
        <f t="shared" si="12"/>
        <v>-6803.782594522203</v>
      </c>
      <c r="H118" s="27">
        <f t="shared" si="13"/>
        <v>-620.80347221306238</v>
      </c>
      <c r="I118" s="27">
        <f t="shared" si="14"/>
        <v>-7424.5860667352654</v>
      </c>
      <c r="J118" s="27">
        <f t="shared" si="15"/>
        <v>142189.05073661258</v>
      </c>
    </row>
    <row r="119" spans="2:10" hidden="1">
      <c r="B119" s="26">
        <v>101</v>
      </c>
      <c r="C119" s="27">
        <f t="shared" si="8"/>
        <v>-5833.333333333333</v>
      </c>
      <c r="D119" s="27">
        <f t="shared" si="9"/>
        <v>-461.80555555555554</v>
      </c>
      <c r="E119" s="27">
        <f t="shared" si="10"/>
        <v>-6295.1388888888887</v>
      </c>
      <c r="F119" s="27">
        <f t="shared" si="11"/>
        <v>110833.33333333285</v>
      </c>
      <c r="G119" s="27">
        <f t="shared" si="12"/>
        <v>-6832.1316886660461</v>
      </c>
      <c r="H119" s="27">
        <f t="shared" si="13"/>
        <v>-592.45437806921996</v>
      </c>
      <c r="I119" s="27">
        <f t="shared" si="14"/>
        <v>-7424.5860667352663</v>
      </c>
      <c r="J119" s="27">
        <f t="shared" si="15"/>
        <v>135356.91904794655</v>
      </c>
    </row>
    <row r="120" spans="2:10" hidden="1">
      <c r="B120" s="26">
        <v>102</v>
      </c>
      <c r="C120" s="27">
        <f t="shared" si="8"/>
        <v>-5833.333333333333</v>
      </c>
      <c r="D120" s="27">
        <f t="shared" si="9"/>
        <v>-437.5</v>
      </c>
      <c r="E120" s="27">
        <f t="shared" si="10"/>
        <v>-6270.833333333333</v>
      </c>
      <c r="F120" s="27">
        <f t="shared" si="11"/>
        <v>104999.99999999952</v>
      </c>
      <c r="G120" s="27">
        <f t="shared" si="12"/>
        <v>-6860.5989040354889</v>
      </c>
      <c r="H120" s="27">
        <f t="shared" si="13"/>
        <v>-563.98716269977808</v>
      </c>
      <c r="I120" s="27">
        <f t="shared" si="14"/>
        <v>-7424.5860667352672</v>
      </c>
      <c r="J120" s="27">
        <f t="shared" si="15"/>
        <v>128496.32014391106</v>
      </c>
    </row>
    <row r="121" spans="2:10" hidden="1">
      <c r="B121" s="26">
        <v>103</v>
      </c>
      <c r="C121" s="27">
        <f t="shared" si="8"/>
        <v>-5833.333333333333</v>
      </c>
      <c r="D121" s="27">
        <f t="shared" si="9"/>
        <v>-413.19444444444446</v>
      </c>
      <c r="E121" s="27">
        <f t="shared" si="10"/>
        <v>-6246.5277777777774</v>
      </c>
      <c r="F121" s="27">
        <f t="shared" si="11"/>
        <v>99166.666666666191</v>
      </c>
      <c r="G121" s="27">
        <f t="shared" si="12"/>
        <v>-6889.1847328023023</v>
      </c>
      <c r="H121" s="27">
        <f t="shared" si="13"/>
        <v>-535.40133393296355</v>
      </c>
      <c r="I121" s="27">
        <f t="shared" si="14"/>
        <v>-7424.5860667352663</v>
      </c>
      <c r="J121" s="27">
        <f t="shared" si="15"/>
        <v>121607.13541110876</v>
      </c>
    </row>
    <row r="122" spans="2:10" hidden="1">
      <c r="B122" s="26">
        <v>104</v>
      </c>
      <c r="C122" s="27">
        <f t="shared" si="8"/>
        <v>-5833.333333333333</v>
      </c>
      <c r="D122" s="27">
        <f t="shared" si="9"/>
        <v>-388.88888888888886</v>
      </c>
      <c r="E122" s="27">
        <f t="shared" si="10"/>
        <v>-6222.2222222222217</v>
      </c>
      <c r="F122" s="27">
        <f t="shared" si="11"/>
        <v>93333.333333332863</v>
      </c>
      <c r="G122" s="27">
        <f t="shared" si="12"/>
        <v>-6917.8896691889795</v>
      </c>
      <c r="H122" s="27">
        <f t="shared" si="13"/>
        <v>-506.6963975462873</v>
      </c>
      <c r="I122" s="27">
        <f t="shared" si="14"/>
        <v>-7424.5860667352672</v>
      </c>
      <c r="J122" s="27">
        <f t="shared" si="15"/>
        <v>114689.24574191977</v>
      </c>
    </row>
    <row r="123" spans="2:10" hidden="1">
      <c r="B123" s="26">
        <v>105</v>
      </c>
      <c r="C123" s="27">
        <f t="shared" si="8"/>
        <v>-5833.333333333333</v>
      </c>
      <c r="D123" s="27">
        <f t="shared" si="9"/>
        <v>-364.58333333333331</v>
      </c>
      <c r="E123" s="27">
        <f t="shared" si="10"/>
        <v>-6197.9166666666661</v>
      </c>
      <c r="F123" s="27">
        <f t="shared" si="11"/>
        <v>87499.999999999534</v>
      </c>
      <c r="G123" s="27">
        <f t="shared" si="12"/>
        <v>-6946.7142094772653</v>
      </c>
      <c r="H123" s="27">
        <f t="shared" si="13"/>
        <v>-477.87185725799992</v>
      </c>
      <c r="I123" s="27">
        <f t="shared" si="14"/>
        <v>-7424.5860667352654</v>
      </c>
      <c r="J123" s="27">
        <f t="shared" si="15"/>
        <v>107742.5315324425</v>
      </c>
    </row>
    <row r="124" spans="2:10" hidden="1">
      <c r="B124" s="26">
        <v>106</v>
      </c>
      <c r="C124" s="27">
        <f t="shared" si="8"/>
        <v>-5833.333333333333</v>
      </c>
      <c r="D124" s="27">
        <f t="shared" si="9"/>
        <v>-340.27777777777777</v>
      </c>
      <c r="E124" s="27">
        <f t="shared" si="10"/>
        <v>-6173.6111111111104</v>
      </c>
      <c r="F124" s="27">
        <f t="shared" si="11"/>
        <v>81666.666666666206</v>
      </c>
      <c r="G124" s="27">
        <f t="shared" si="12"/>
        <v>-6975.6588520167552</v>
      </c>
      <c r="H124" s="27">
        <f t="shared" si="13"/>
        <v>-448.92721471851127</v>
      </c>
      <c r="I124" s="27">
        <f t="shared" si="14"/>
        <v>-7424.5860667352663</v>
      </c>
      <c r="J124" s="27">
        <f t="shared" si="15"/>
        <v>100766.87268042575</v>
      </c>
    </row>
    <row r="125" spans="2:10" hidden="1">
      <c r="B125" s="26">
        <v>107</v>
      </c>
      <c r="C125" s="27">
        <f t="shared" si="8"/>
        <v>-5833.333333333333</v>
      </c>
      <c r="D125" s="27">
        <f t="shared" si="9"/>
        <v>-315.97222222222223</v>
      </c>
      <c r="E125" s="27">
        <f t="shared" si="10"/>
        <v>-6149.3055555555557</v>
      </c>
      <c r="F125" s="27">
        <f t="shared" si="11"/>
        <v>75833.333333332877</v>
      </c>
      <c r="G125" s="27">
        <f t="shared" si="12"/>
        <v>-7004.7240972334912</v>
      </c>
      <c r="H125" s="27">
        <f t="shared" si="13"/>
        <v>-419.86196950177487</v>
      </c>
      <c r="I125" s="27">
        <f t="shared" si="14"/>
        <v>-7424.5860667352663</v>
      </c>
      <c r="J125" s="27">
        <f t="shared" si="15"/>
        <v>93762.148583192262</v>
      </c>
    </row>
    <row r="126" spans="2:10" hidden="1">
      <c r="B126" s="26">
        <v>108</v>
      </c>
      <c r="C126" s="27">
        <f t="shared" si="8"/>
        <v>-5833.333333333333</v>
      </c>
      <c r="D126" s="27">
        <f t="shared" si="9"/>
        <v>-291.66666666666669</v>
      </c>
      <c r="E126" s="27">
        <f t="shared" si="10"/>
        <v>-6125</v>
      </c>
      <c r="F126" s="27">
        <f t="shared" si="11"/>
        <v>69999.999999999549</v>
      </c>
      <c r="G126" s="27">
        <f t="shared" si="12"/>
        <v>-7033.910447638631</v>
      </c>
      <c r="H126" s="27">
        <f t="shared" si="13"/>
        <v>-390.67561909663527</v>
      </c>
      <c r="I126" s="27">
        <f t="shared" si="14"/>
        <v>-7424.5860667352663</v>
      </c>
      <c r="J126" s="27">
        <f t="shared" si="15"/>
        <v>86728.238135553634</v>
      </c>
    </row>
    <row r="127" spans="2:10" hidden="1">
      <c r="B127" s="26">
        <v>109</v>
      </c>
      <c r="C127" s="27">
        <f t="shared" si="8"/>
        <v>-5833.333333333333</v>
      </c>
      <c r="D127" s="27">
        <f t="shared" si="9"/>
        <v>-267.36111111111109</v>
      </c>
      <c r="E127" s="27">
        <f t="shared" si="10"/>
        <v>-6100.6944444444443</v>
      </c>
      <c r="F127" s="27">
        <f t="shared" si="11"/>
        <v>64166.666666666213</v>
      </c>
      <c r="G127" s="27">
        <f t="shared" si="12"/>
        <v>-7063.2184078371247</v>
      </c>
      <c r="H127" s="27">
        <f t="shared" si="13"/>
        <v>-361.36765889814097</v>
      </c>
      <c r="I127" s="27">
        <f t="shared" si="14"/>
        <v>-7424.5860667352654</v>
      </c>
      <c r="J127" s="27">
        <f t="shared" si="15"/>
        <v>79665.019727716513</v>
      </c>
    </row>
    <row r="128" spans="2:10" hidden="1">
      <c r="B128" s="26">
        <v>110</v>
      </c>
      <c r="C128" s="27">
        <f t="shared" si="8"/>
        <v>-5833.333333333333</v>
      </c>
      <c r="D128" s="27">
        <f t="shared" si="9"/>
        <v>-243.05555555555557</v>
      </c>
      <c r="E128" s="27">
        <f t="shared" si="10"/>
        <v>-6076.3888888888887</v>
      </c>
      <c r="F128" s="27">
        <f t="shared" si="11"/>
        <v>58333.333333332877</v>
      </c>
      <c r="G128" s="27">
        <f t="shared" si="12"/>
        <v>-7092.6484845364466</v>
      </c>
      <c r="H128" s="27">
        <f t="shared" si="13"/>
        <v>-331.93758219881971</v>
      </c>
      <c r="I128" s="27">
        <f t="shared" si="14"/>
        <v>-7424.5860667352663</v>
      </c>
      <c r="J128" s="27">
        <f t="shared" si="15"/>
        <v>72572.371243180067</v>
      </c>
    </row>
    <row r="129" spans="2:10" hidden="1">
      <c r="B129" s="26">
        <v>111</v>
      </c>
      <c r="C129" s="27">
        <f t="shared" si="8"/>
        <v>-5833.333333333333</v>
      </c>
      <c r="D129" s="27">
        <f t="shared" si="9"/>
        <v>-218.75</v>
      </c>
      <c r="E129" s="27">
        <f t="shared" si="10"/>
        <v>-6052.083333333333</v>
      </c>
      <c r="F129" s="27">
        <f t="shared" si="11"/>
        <v>52499.999999999542</v>
      </c>
      <c r="G129" s="27">
        <f t="shared" si="12"/>
        <v>-7122.2011865553486</v>
      </c>
      <c r="H129" s="27">
        <f t="shared" si="13"/>
        <v>-302.38488017991779</v>
      </c>
      <c r="I129" s="27">
        <f t="shared" si="14"/>
        <v>-7424.5860667352663</v>
      </c>
      <c r="J129" s="27">
        <f t="shared" si="15"/>
        <v>65450.170056624716</v>
      </c>
    </row>
    <row r="130" spans="2:10" hidden="1">
      <c r="B130" s="26">
        <v>112</v>
      </c>
      <c r="C130" s="27">
        <f t="shared" si="8"/>
        <v>-5833.333333333333</v>
      </c>
      <c r="D130" s="27">
        <f t="shared" si="9"/>
        <v>-194.44444444444443</v>
      </c>
      <c r="E130" s="27">
        <f t="shared" si="10"/>
        <v>-6027.7777777777774</v>
      </c>
      <c r="F130" s="27">
        <f t="shared" si="11"/>
        <v>46666.666666666206</v>
      </c>
      <c r="G130" s="27">
        <f t="shared" si="12"/>
        <v>-7151.8770248326618</v>
      </c>
      <c r="H130" s="27">
        <f t="shared" si="13"/>
        <v>-272.70904190260387</v>
      </c>
      <c r="I130" s="27">
        <f t="shared" si="14"/>
        <v>-7424.5860667352654</v>
      </c>
      <c r="J130" s="27">
        <f t="shared" si="15"/>
        <v>58298.293031792055</v>
      </c>
    </row>
    <row r="131" spans="2:10" hidden="1">
      <c r="B131" s="26">
        <v>113</v>
      </c>
      <c r="C131" s="27">
        <f t="shared" si="8"/>
        <v>-5833.333333333333</v>
      </c>
      <c r="D131" s="27">
        <f t="shared" si="9"/>
        <v>-170.13888888888889</v>
      </c>
      <c r="E131" s="27">
        <f t="shared" si="10"/>
        <v>-6003.4722222222217</v>
      </c>
      <c r="F131" s="27">
        <f t="shared" si="11"/>
        <v>40833.33333333287</v>
      </c>
      <c r="G131" s="27">
        <f t="shared" si="12"/>
        <v>-7181.6765124361309</v>
      </c>
      <c r="H131" s="27">
        <f t="shared" si="13"/>
        <v>-242.90955429913444</v>
      </c>
      <c r="I131" s="27">
        <f t="shared" si="14"/>
        <v>-7424.5860667352654</v>
      </c>
      <c r="J131" s="27">
        <f t="shared" si="15"/>
        <v>51116.616519355921</v>
      </c>
    </row>
    <row r="132" spans="2:10" hidden="1">
      <c r="B132" s="26">
        <v>114</v>
      </c>
      <c r="C132" s="27">
        <f t="shared" si="8"/>
        <v>-5833.333333333333</v>
      </c>
      <c r="D132" s="27">
        <f t="shared" si="9"/>
        <v>-145.83333333333334</v>
      </c>
      <c r="E132" s="27">
        <f t="shared" si="10"/>
        <v>-5979.1666666666661</v>
      </c>
      <c r="F132" s="27">
        <f t="shared" si="11"/>
        <v>34999.999999999534</v>
      </c>
      <c r="G132" s="27">
        <f t="shared" si="12"/>
        <v>-7211.6001645712822</v>
      </c>
      <c r="H132" s="27">
        <f t="shared" si="13"/>
        <v>-212.98590216398392</v>
      </c>
      <c r="I132" s="27">
        <f t="shared" si="14"/>
        <v>-7424.5860667352663</v>
      </c>
      <c r="J132" s="27">
        <f t="shared" si="15"/>
        <v>43905.016354784639</v>
      </c>
    </row>
    <row r="133" spans="2:10" hidden="1">
      <c r="B133" s="26">
        <v>115</v>
      </c>
      <c r="C133" s="27">
        <f t="shared" si="8"/>
        <v>-5833.333333333333</v>
      </c>
      <c r="D133" s="27">
        <f t="shared" si="9"/>
        <v>-121.52777777777779</v>
      </c>
      <c r="E133" s="27">
        <f t="shared" si="10"/>
        <v>-5954.8611111111104</v>
      </c>
      <c r="F133" s="27">
        <f t="shared" si="11"/>
        <v>29166.666666666202</v>
      </c>
      <c r="G133" s="27">
        <f t="shared" si="12"/>
        <v>-7241.6484985903289</v>
      </c>
      <c r="H133" s="27">
        <f t="shared" si="13"/>
        <v>-182.9375681449369</v>
      </c>
      <c r="I133" s="27">
        <f t="shared" si="14"/>
        <v>-7424.5860667352663</v>
      </c>
      <c r="J133" s="27">
        <f t="shared" si="15"/>
        <v>36663.367856194309</v>
      </c>
    </row>
    <row r="134" spans="2:10" hidden="1">
      <c r="B134" s="26">
        <v>116</v>
      </c>
      <c r="C134" s="27">
        <f t="shared" si="8"/>
        <v>-5833.333333333333</v>
      </c>
      <c r="D134" s="27">
        <f t="shared" si="9"/>
        <v>-97.222222222222214</v>
      </c>
      <c r="E134" s="27">
        <f t="shared" si="10"/>
        <v>-5930.5555555555557</v>
      </c>
      <c r="F134" s="27">
        <f t="shared" si="11"/>
        <v>23333.33333333287</v>
      </c>
      <c r="G134" s="27">
        <f t="shared" si="12"/>
        <v>-7271.8220340011221</v>
      </c>
      <c r="H134" s="27">
        <f t="shared" si="13"/>
        <v>-152.76403273414383</v>
      </c>
      <c r="I134" s="27">
        <f t="shared" si="14"/>
        <v>-7424.5860667352663</v>
      </c>
      <c r="J134" s="27">
        <f t="shared" si="15"/>
        <v>29391.545822193188</v>
      </c>
    </row>
    <row r="135" spans="2:10" hidden="1">
      <c r="B135" s="26">
        <v>117</v>
      </c>
      <c r="C135" s="27">
        <f t="shared" si="8"/>
        <v>-5833.333333333333</v>
      </c>
      <c r="D135" s="27">
        <f t="shared" si="9"/>
        <v>-72.916666666666671</v>
      </c>
      <c r="E135" s="27">
        <f t="shared" si="10"/>
        <v>-5906.25</v>
      </c>
      <c r="F135" s="27">
        <f t="shared" si="11"/>
        <v>17499.999999999538</v>
      </c>
      <c r="G135" s="27">
        <f t="shared" si="12"/>
        <v>-7302.1212924761267</v>
      </c>
      <c r="H135" s="27">
        <f t="shared" si="13"/>
        <v>-122.46477425913918</v>
      </c>
      <c r="I135" s="27">
        <f t="shared" si="14"/>
        <v>-7424.5860667352663</v>
      </c>
      <c r="J135" s="27">
        <f t="shared" si="15"/>
        <v>22089.42452971706</v>
      </c>
    </row>
    <row r="136" spans="2:10" hidden="1">
      <c r="B136" s="26">
        <v>118</v>
      </c>
      <c r="C136" s="27">
        <f t="shared" si="8"/>
        <v>-5833.333333333333</v>
      </c>
      <c r="D136" s="27">
        <f t="shared" si="9"/>
        <v>-48.611111111111107</v>
      </c>
      <c r="E136" s="27">
        <f t="shared" si="10"/>
        <v>-5881.9444444444443</v>
      </c>
      <c r="F136" s="27">
        <f t="shared" si="11"/>
        <v>11666.666666666206</v>
      </c>
      <c r="G136" s="27">
        <f t="shared" si="12"/>
        <v>-7332.5467978614442</v>
      </c>
      <c r="H136" s="27">
        <f t="shared" si="13"/>
        <v>-92.039268873821996</v>
      </c>
      <c r="I136" s="27">
        <f t="shared" si="14"/>
        <v>-7424.5860667352663</v>
      </c>
      <c r="J136" s="27">
        <f t="shared" si="15"/>
        <v>14756.877731855617</v>
      </c>
    </row>
    <row r="137" spans="2:10">
      <c r="B137" s="26">
        <v>119</v>
      </c>
      <c r="C137" s="27">
        <f t="shared" si="8"/>
        <v>-5833.333333333333</v>
      </c>
      <c r="D137" s="27">
        <f t="shared" si="9"/>
        <v>-24.305555555555554</v>
      </c>
      <c r="E137" s="27">
        <f t="shared" si="10"/>
        <v>-5857.6388888888887</v>
      </c>
      <c r="F137" s="27">
        <f t="shared" si="11"/>
        <v>5833.3333333328728</v>
      </c>
      <c r="G137" s="27">
        <f t="shared" si="12"/>
        <v>-7363.0990761858675</v>
      </c>
      <c r="H137" s="27">
        <f t="shared" si="13"/>
        <v>-61.48699054939933</v>
      </c>
      <c r="I137" s="27">
        <f t="shared" si="14"/>
        <v>-7424.5860667352672</v>
      </c>
      <c r="J137" s="27">
        <f t="shared" si="15"/>
        <v>7393.7786556697492</v>
      </c>
    </row>
    <row r="138" spans="2:10">
      <c r="B138" s="26">
        <v>120</v>
      </c>
      <c r="C138" s="27">
        <f t="shared" si="8"/>
        <v>-5833.333333333333</v>
      </c>
      <c r="D138" s="27">
        <f t="shared" si="9"/>
        <v>0</v>
      </c>
      <c r="E138" s="27">
        <f t="shared" si="10"/>
        <v>-5833.333333333333</v>
      </c>
      <c r="F138" s="27">
        <f t="shared" si="11"/>
        <v>-4.6020431909710169E-10</v>
      </c>
      <c r="G138" s="27">
        <f t="shared" si="12"/>
        <v>-7393.7786556699748</v>
      </c>
      <c r="H138" s="27">
        <f t="shared" si="13"/>
        <v>-30.807411065291554</v>
      </c>
      <c r="I138" s="27">
        <f t="shared" si="14"/>
        <v>-7424.5860667352663</v>
      </c>
      <c r="J138" s="27">
        <f t="shared" si="15"/>
        <v>-2.255546860396862E-10</v>
      </c>
    </row>
    <row r="139" spans="2:10">
      <c r="B139" s="21" t="s">
        <v>31</v>
      </c>
      <c r="C139" s="19">
        <f>SUM(C19:C138)</f>
        <v>-700000.00000000047</v>
      </c>
      <c r="D139" s="19">
        <f t="shared" ref="D139:E139" si="16">SUM(D19:D138)</f>
        <v>-173541.66666666669</v>
      </c>
      <c r="E139" s="19">
        <f t="shared" si="16"/>
        <v>-873541.66666666674</v>
      </c>
      <c r="F139" s="19"/>
      <c r="G139" s="19">
        <f t="shared" ref="G139" si="17">SUM(G19:G138)</f>
        <v>-700000</v>
      </c>
      <c r="H139" s="19">
        <f t="shared" ref="H139:I139" si="18">SUM(H19:H138)</f>
        <v>-190950.32800823191</v>
      </c>
      <c r="I139" s="19">
        <f t="shared" si="18"/>
        <v>-890950.32800822926</v>
      </c>
      <c r="J139" s="23"/>
    </row>
    <row r="140" spans="2:10">
      <c r="C140" s="28"/>
      <c r="D140" s="28"/>
      <c r="E140" s="28"/>
      <c r="F140" s="28"/>
      <c r="G140" s="28"/>
      <c r="H140" s="28"/>
      <c r="I140" s="28"/>
      <c r="J140" s="28"/>
    </row>
    <row r="141" spans="2:10">
      <c r="C141" s="28"/>
      <c r="D141" s="28"/>
      <c r="E141" s="28"/>
      <c r="F141" s="28"/>
      <c r="G141" s="28"/>
      <c r="H141" s="28"/>
      <c r="I141" s="28"/>
      <c r="J141" s="28"/>
    </row>
    <row r="142" spans="2:10">
      <c r="C142" s="28"/>
      <c r="D142" s="28"/>
      <c r="E142" s="28"/>
      <c r="F142" s="28"/>
      <c r="G142" s="28"/>
      <c r="H142" s="28"/>
      <c r="I142" s="28"/>
      <c r="J142" s="28"/>
    </row>
    <row r="143" spans="2:10">
      <c r="C143" s="28"/>
      <c r="D143" s="28"/>
      <c r="E143" s="28"/>
      <c r="F143" s="28"/>
      <c r="G143" s="28"/>
      <c r="H143" s="28"/>
      <c r="I143" s="28"/>
      <c r="J143" s="28"/>
    </row>
    <row r="144" spans="2:10">
      <c r="C144" s="28"/>
      <c r="D144" s="28"/>
      <c r="E144" s="28"/>
      <c r="F144" s="28"/>
      <c r="G144" s="28"/>
      <c r="H144" s="28"/>
      <c r="I144" s="28"/>
      <c r="J144" s="28"/>
    </row>
    <row r="145" spans="3:10">
      <c r="C145" s="28"/>
      <c r="D145" s="28"/>
      <c r="E145" s="28"/>
      <c r="F145" s="28"/>
      <c r="G145" s="28"/>
      <c r="H145" s="28"/>
      <c r="I145" s="28"/>
      <c r="J145" s="28"/>
    </row>
    <row r="146" spans="3:10">
      <c r="C146" s="28"/>
      <c r="D146" s="28"/>
      <c r="E146" s="28"/>
      <c r="F146" s="28"/>
      <c r="G146" s="28"/>
      <c r="H146" s="28"/>
      <c r="I146" s="28"/>
      <c r="J146" s="28"/>
    </row>
  </sheetData>
  <mergeCells count="3">
    <mergeCell ref="B15:J15"/>
    <mergeCell ref="C16:F16"/>
    <mergeCell ref="G16:J16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6</xdr:col>
                    <xdr:colOff>565150</xdr:colOff>
                    <xdr:row>5</xdr:row>
                    <xdr:rowOff>69850</xdr:rowOff>
                  </from>
                  <to>
                    <xdr:col>7</xdr:col>
                    <xdr:colOff>12700</xdr:colOff>
                    <xdr:row>6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6</xdr:col>
                    <xdr:colOff>107950</xdr:colOff>
                    <xdr:row>7</xdr:row>
                    <xdr:rowOff>0</xdr:rowOff>
                  </from>
                  <to>
                    <xdr:col>7</xdr:col>
                    <xdr:colOff>31750</xdr:colOff>
                    <xdr:row>8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J12"/>
  <sheetViews>
    <sheetView zoomScale="130" zoomScaleNormal="130" workbookViewId="0">
      <selection activeCell="I6" sqref="I6"/>
    </sheetView>
  </sheetViews>
  <sheetFormatPr defaultColWidth="9" defaultRowHeight="14"/>
  <cols>
    <col min="1" max="1" width="9" style="2"/>
    <col min="2" max="2" width="13" style="2" customWidth="1"/>
    <col min="3" max="4" width="9" style="2"/>
    <col min="5" max="5" width="12.5" style="2" customWidth="1"/>
    <col min="6" max="6" width="9" style="2"/>
    <col min="7" max="7" width="2.33203125" style="2" customWidth="1"/>
    <col min="8" max="9" width="9" style="2"/>
    <col min="10" max="10" width="2.25" style="2" customWidth="1"/>
    <col min="11" max="16384" width="9" style="2"/>
  </cols>
  <sheetData>
    <row r="1" spans="3:10">
      <c r="G1" s="3"/>
      <c r="H1" s="3"/>
      <c r="I1" s="3"/>
      <c r="J1" s="3"/>
    </row>
    <row r="2" spans="3:10">
      <c r="G2" s="3"/>
      <c r="H2" s="4" t="s">
        <v>32</v>
      </c>
      <c r="I2" s="29">
        <v>8000</v>
      </c>
      <c r="J2" s="3"/>
    </row>
    <row r="3" spans="3:10">
      <c r="G3" s="3"/>
      <c r="H3" s="4" t="s">
        <v>33</v>
      </c>
      <c r="I3" s="29">
        <v>4</v>
      </c>
      <c r="J3" s="3"/>
    </row>
    <row r="4" spans="3:10">
      <c r="G4" s="3"/>
      <c r="H4" s="4" t="s">
        <v>34</v>
      </c>
      <c r="I4" s="29">
        <v>200</v>
      </c>
      <c r="J4" s="3"/>
    </row>
    <row r="5" spans="3:10">
      <c r="G5" s="3"/>
      <c r="H5" s="3"/>
      <c r="I5" s="3"/>
      <c r="J5" s="3"/>
    </row>
    <row r="6" spans="3:10">
      <c r="G6" s="3"/>
      <c r="H6" s="4" t="s">
        <v>35</v>
      </c>
      <c r="I6" s="30">
        <f>RATE(I3*12,-I4,I2)</f>
        <v>7.7014724882013682E-3</v>
      </c>
      <c r="J6" s="3"/>
    </row>
    <row r="7" spans="3:10">
      <c r="D7" s="31"/>
      <c r="G7" s="3"/>
      <c r="H7" s="4" t="s">
        <v>36</v>
      </c>
      <c r="I7" s="32">
        <f>I6*12</f>
        <v>9.2417669858416415E-2</v>
      </c>
      <c r="J7" s="3"/>
    </row>
    <row r="8" spans="3:10">
      <c r="G8" s="3"/>
      <c r="H8" s="3"/>
      <c r="I8" s="3"/>
      <c r="J8" s="3"/>
    </row>
    <row r="11" spans="3:10">
      <c r="C11" s="31"/>
      <c r="D11" s="31"/>
    </row>
    <row r="12" spans="3:10">
      <c r="C12" s="31"/>
      <c r="D12" s="31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J8"/>
  <sheetViews>
    <sheetView zoomScale="130" zoomScaleNormal="130" workbookViewId="0">
      <selection activeCell="I7" sqref="I7"/>
    </sheetView>
  </sheetViews>
  <sheetFormatPr defaultColWidth="9" defaultRowHeight="14"/>
  <cols>
    <col min="1" max="2" width="9" style="2"/>
    <col min="3" max="3" width="9.83203125" style="2" customWidth="1"/>
    <col min="4" max="6" width="9" style="2"/>
    <col min="7" max="7" width="1.83203125" style="2" customWidth="1"/>
    <col min="8" max="9" width="9" style="2"/>
    <col min="10" max="10" width="2.33203125" style="2" customWidth="1"/>
    <col min="11" max="16384" width="9" style="2"/>
  </cols>
  <sheetData>
    <row r="2" spans="3:10">
      <c r="G2" s="3"/>
      <c r="H2" s="3"/>
      <c r="I2" s="3"/>
      <c r="J2" s="3"/>
    </row>
    <row r="3" spans="3:10">
      <c r="G3" s="3"/>
      <c r="H3" s="4" t="s">
        <v>37</v>
      </c>
      <c r="I3" s="5">
        <v>8000</v>
      </c>
      <c r="J3" s="3"/>
    </row>
    <row r="4" spans="3:10">
      <c r="G4" s="3"/>
      <c r="H4" s="4" t="s">
        <v>38</v>
      </c>
      <c r="I4" s="6">
        <v>0.01</v>
      </c>
      <c r="J4" s="3"/>
    </row>
    <row r="5" spans="3:10">
      <c r="G5" s="3"/>
      <c r="H5" s="4" t="s">
        <v>34</v>
      </c>
      <c r="I5" s="5">
        <v>200</v>
      </c>
      <c r="J5" s="3"/>
    </row>
    <row r="6" spans="3:10">
      <c r="G6" s="3"/>
      <c r="H6" s="3"/>
      <c r="I6" s="3"/>
      <c r="J6" s="3"/>
    </row>
    <row r="7" spans="3:10">
      <c r="G7" s="3"/>
      <c r="H7" s="4" t="s">
        <v>39</v>
      </c>
      <c r="I7" s="12">
        <f>NPER(I4,-I5,I3)/12</f>
        <v>4.2781293012931041</v>
      </c>
      <c r="J7" s="3"/>
    </row>
    <row r="8" spans="3:10">
      <c r="C8" s="33"/>
      <c r="G8" s="3"/>
      <c r="H8" s="3"/>
      <c r="I8" s="3"/>
      <c r="J8" s="3"/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9"/>
  <sheetViews>
    <sheetView zoomScale="68" zoomScaleNormal="55" workbookViewId="0">
      <selection activeCell="D8" sqref="D8"/>
    </sheetView>
  </sheetViews>
  <sheetFormatPr defaultColWidth="9" defaultRowHeight="14"/>
  <cols>
    <col min="1" max="1" width="2.75" style="2" customWidth="1"/>
    <col min="2" max="2" width="2.58203125" style="2" customWidth="1"/>
    <col min="3" max="3" width="16.75" style="2" customWidth="1"/>
    <col min="4" max="4" width="9.25" style="2" bestFit="1" customWidth="1"/>
    <col min="5" max="5" width="2.33203125" style="2" customWidth="1"/>
    <col min="6" max="16384" width="9" style="2"/>
  </cols>
  <sheetData>
    <row r="2" spans="2:9">
      <c r="B2" s="3"/>
      <c r="C2" s="3"/>
      <c r="D2" s="3"/>
      <c r="E2" s="3"/>
      <c r="G2" s="2">
        <v>0</v>
      </c>
      <c r="H2" s="2">
        <v>-1000</v>
      </c>
    </row>
    <row r="3" spans="2:9">
      <c r="B3" s="3"/>
      <c r="C3" s="4" t="s">
        <v>40</v>
      </c>
      <c r="D3" s="5">
        <v>1000</v>
      </c>
      <c r="E3" s="3"/>
      <c r="G3" s="2">
        <v>1</v>
      </c>
      <c r="H3" s="116">
        <v>100</v>
      </c>
    </row>
    <row r="4" spans="2:9">
      <c r="B4" s="3"/>
      <c r="C4" s="4" t="s">
        <v>41</v>
      </c>
      <c r="D4" s="5">
        <v>15</v>
      </c>
      <c r="E4" s="3"/>
      <c r="G4" s="2">
        <v>2</v>
      </c>
      <c r="H4" s="116">
        <v>100</v>
      </c>
    </row>
    <row r="5" spans="2:9">
      <c r="B5" s="3"/>
      <c r="C5" s="4" t="s">
        <v>42</v>
      </c>
      <c r="D5" s="5">
        <v>100</v>
      </c>
      <c r="E5" s="3"/>
      <c r="G5" s="2">
        <v>3</v>
      </c>
      <c r="H5" s="116">
        <v>100</v>
      </c>
    </row>
    <row r="6" spans="2:9">
      <c r="B6" s="3"/>
      <c r="C6" s="3"/>
      <c r="D6" s="3"/>
      <c r="E6" s="3"/>
      <c r="G6" s="2">
        <v>4</v>
      </c>
      <c r="H6" s="116">
        <v>100</v>
      </c>
    </row>
    <row r="7" spans="2:9">
      <c r="B7" s="34" t="s">
        <v>43</v>
      </c>
      <c r="C7" s="4" t="s">
        <v>44</v>
      </c>
      <c r="D7" s="35">
        <v>0.08</v>
      </c>
      <c r="E7" s="3"/>
      <c r="G7" s="2">
        <v>5</v>
      </c>
      <c r="H7" s="116">
        <v>100</v>
      </c>
    </row>
    <row r="8" spans="2:9">
      <c r="B8" s="36"/>
      <c r="C8" s="37" t="s">
        <v>67</v>
      </c>
      <c r="D8" s="12">
        <f>PV(D7,D4,D5)</f>
        <v>-855.94786879263756</v>
      </c>
      <c r="E8" s="3"/>
      <c r="F8" s="115">
        <f>NPV(D7,H3:H17)</f>
        <v>855.947868792637</v>
      </c>
      <c r="G8" s="2">
        <v>6</v>
      </c>
      <c r="H8" s="116">
        <v>100</v>
      </c>
    </row>
    <row r="9" spans="2:9">
      <c r="B9" s="36"/>
      <c r="C9" s="3"/>
      <c r="D9" s="3"/>
      <c r="E9" s="3"/>
      <c r="G9" s="2">
        <v>7</v>
      </c>
      <c r="H9" s="116">
        <v>100</v>
      </c>
    </row>
    <row r="10" spans="2:9">
      <c r="B10" s="38" t="s">
        <v>45</v>
      </c>
      <c r="C10" s="4" t="s">
        <v>46</v>
      </c>
      <c r="D10" s="5">
        <v>900</v>
      </c>
      <c r="E10" s="3"/>
      <c r="G10" s="2">
        <v>8</v>
      </c>
      <c r="H10" s="116">
        <v>100</v>
      </c>
    </row>
    <row r="11" spans="2:9">
      <c r="B11" s="36"/>
      <c r="C11" s="4" t="s">
        <v>47</v>
      </c>
      <c r="D11" s="35">
        <v>0.05</v>
      </c>
      <c r="E11" s="3"/>
      <c r="G11" s="2">
        <v>9</v>
      </c>
      <c r="H11" s="116">
        <v>100</v>
      </c>
      <c r="I11" s="2" t="s">
        <v>137</v>
      </c>
    </row>
    <row r="12" spans="2:9">
      <c r="B12" s="36"/>
      <c r="C12" s="4" t="s">
        <v>39</v>
      </c>
      <c r="D12" s="5">
        <v>15</v>
      </c>
      <c r="E12" s="3"/>
      <c r="G12" s="2">
        <v>10</v>
      </c>
      <c r="H12" s="116">
        <v>100</v>
      </c>
    </row>
    <row r="13" spans="2:9">
      <c r="B13" s="36"/>
      <c r="C13" s="4" t="s">
        <v>68</v>
      </c>
      <c r="D13" s="39">
        <f>PMT(D11,D12,D10)</f>
        <v>-86.708058848319936</v>
      </c>
      <c r="E13" s="3"/>
      <c r="G13" s="2">
        <v>11</v>
      </c>
      <c r="H13" s="116">
        <v>100</v>
      </c>
    </row>
    <row r="14" spans="2:9">
      <c r="B14" s="36"/>
      <c r="C14" s="3"/>
      <c r="D14" s="3"/>
      <c r="E14" s="3"/>
      <c r="G14" s="2">
        <v>12</v>
      </c>
      <c r="H14" s="116">
        <v>100</v>
      </c>
    </row>
    <row r="15" spans="2:9">
      <c r="B15" s="36"/>
      <c r="C15" s="4" t="s">
        <v>69</v>
      </c>
      <c r="D15" s="5">
        <v>1000</v>
      </c>
      <c r="E15" s="3"/>
      <c r="G15" s="2">
        <v>13</v>
      </c>
      <c r="H15" s="116">
        <v>100</v>
      </c>
    </row>
    <row r="16" spans="2:9">
      <c r="B16" s="36"/>
      <c r="C16" s="4" t="s">
        <v>41</v>
      </c>
      <c r="D16" s="5">
        <v>15</v>
      </c>
      <c r="E16" s="3"/>
      <c r="G16" s="2">
        <v>14</v>
      </c>
      <c r="H16" s="116">
        <v>100</v>
      </c>
    </row>
    <row r="17" spans="2:8">
      <c r="B17" s="36"/>
      <c r="C17" s="4" t="s">
        <v>42</v>
      </c>
      <c r="D17" s="5">
        <v>100</v>
      </c>
      <c r="E17" s="3"/>
      <c r="G17" s="2">
        <v>15</v>
      </c>
      <c r="H17" s="116">
        <v>100</v>
      </c>
    </row>
    <row r="18" spans="2:8">
      <c r="B18" s="36"/>
      <c r="C18" s="4" t="s">
        <v>70</v>
      </c>
      <c r="D18" s="39">
        <f>RATE(D16,D17,-D15)</f>
        <v>5.5564974703630726E-2</v>
      </c>
      <c r="E18" s="3"/>
      <c r="F18" s="31">
        <f>IRR(H2:H17)</f>
        <v>5.5564974703630643E-2</v>
      </c>
    </row>
    <row r="19" spans="2:8">
      <c r="B19" s="36"/>
      <c r="C19" s="3"/>
      <c r="D19" s="3"/>
      <c r="E19" s="3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2:I14"/>
  <sheetViews>
    <sheetView topLeftCell="A22" zoomScale="130" zoomScaleNormal="130" workbookViewId="0">
      <selection activeCell="H11" sqref="H11"/>
    </sheetView>
  </sheetViews>
  <sheetFormatPr defaultColWidth="9" defaultRowHeight="14"/>
  <cols>
    <col min="1" max="1" width="9" style="2"/>
    <col min="2" max="2" width="9.75" style="2" customWidth="1"/>
    <col min="3" max="3" width="10.58203125" style="2" customWidth="1"/>
    <col min="4" max="5" width="9" style="2"/>
    <col min="6" max="6" width="2.33203125" style="2" customWidth="1"/>
    <col min="7" max="7" width="11.5" style="2" customWidth="1"/>
    <col min="8" max="8" width="13.33203125" style="2" customWidth="1"/>
    <col min="9" max="9" width="2.5" style="2" customWidth="1"/>
    <col min="10" max="16384" width="9" style="2"/>
  </cols>
  <sheetData>
    <row r="2" spans="6:9">
      <c r="F2" s="3"/>
      <c r="G2" s="3"/>
      <c r="H2" s="3"/>
      <c r="I2" s="3"/>
    </row>
    <row r="3" spans="6:9">
      <c r="F3" s="3"/>
      <c r="G3" s="4" t="s">
        <v>48</v>
      </c>
      <c r="H3" s="6">
        <v>0.08</v>
      </c>
      <c r="I3" s="3"/>
    </row>
    <row r="4" spans="6:9">
      <c r="F4" s="3"/>
      <c r="G4" s="4" t="s">
        <v>49</v>
      </c>
      <c r="H4" s="40">
        <v>-40000</v>
      </c>
      <c r="I4" s="3"/>
    </row>
    <row r="5" spans="6:9">
      <c r="F5" s="3"/>
      <c r="G5" s="4" t="s">
        <v>50</v>
      </c>
      <c r="H5" s="40">
        <v>8000</v>
      </c>
      <c r="I5" s="3"/>
    </row>
    <row r="6" spans="6:9">
      <c r="F6" s="3"/>
      <c r="G6" s="4" t="s">
        <v>51</v>
      </c>
      <c r="H6" s="40">
        <v>9200</v>
      </c>
      <c r="I6" s="3"/>
    </row>
    <row r="7" spans="6:9">
      <c r="F7" s="3"/>
      <c r="G7" s="4" t="s">
        <v>52</v>
      </c>
      <c r="H7" s="40">
        <v>10000</v>
      </c>
      <c r="I7" s="3"/>
    </row>
    <row r="8" spans="6:9">
      <c r="F8" s="3"/>
      <c r="G8" s="4" t="s">
        <v>53</v>
      </c>
      <c r="H8" s="40">
        <v>12000</v>
      </c>
      <c r="I8" s="3"/>
    </row>
    <row r="9" spans="6:9">
      <c r="F9" s="3"/>
      <c r="G9" s="4" t="s">
        <v>54</v>
      </c>
      <c r="H9" s="40">
        <v>14500</v>
      </c>
      <c r="I9" s="3"/>
    </row>
    <row r="10" spans="6:9">
      <c r="F10" s="3"/>
      <c r="G10" s="41"/>
      <c r="H10" s="42"/>
      <c r="I10" s="3"/>
    </row>
    <row r="11" spans="6:9">
      <c r="F11" s="3"/>
      <c r="G11" s="4" t="s">
        <v>55</v>
      </c>
      <c r="H11" s="43">
        <f>NPV(H3,H5:H9)+H4</f>
        <v>1922.0615549323702</v>
      </c>
      <c r="I11" s="3"/>
    </row>
    <row r="12" spans="6:9">
      <c r="F12" s="3"/>
      <c r="G12" s="3"/>
      <c r="H12" s="3"/>
      <c r="I12" s="3"/>
    </row>
    <row r="14" spans="6:9">
      <c r="H14" s="2" t="s">
        <v>135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"/>
  <sheetViews>
    <sheetView zoomScaleNormal="100" workbookViewId="0">
      <selection activeCell="N8" sqref="N8"/>
    </sheetView>
  </sheetViews>
  <sheetFormatPr defaultColWidth="9" defaultRowHeight="13.15" customHeight="1"/>
  <cols>
    <col min="1" max="1" width="1.08203125" style="2" customWidth="1"/>
    <col min="2" max="2" width="1.83203125" style="2" customWidth="1"/>
    <col min="3" max="3" width="11.83203125" style="2" bestFit="1" customWidth="1"/>
    <col min="4" max="6" width="8.25" style="2" customWidth="1"/>
    <col min="7" max="7" width="1.83203125" style="2" customWidth="1"/>
    <col min="8" max="8" width="1.08203125" style="2" customWidth="1"/>
    <col min="9" max="9" width="9" style="2"/>
    <col min="10" max="10" width="2" style="2" customWidth="1"/>
    <col min="11" max="11" width="12.08203125" style="2" customWidth="1"/>
    <col min="12" max="14" width="9" style="2"/>
    <col min="15" max="15" width="2.08203125" style="2" customWidth="1"/>
    <col min="16" max="16384" width="9" style="2"/>
  </cols>
  <sheetData>
    <row r="1" spans="1:15" ht="14">
      <c r="A1" s="44"/>
      <c r="H1" s="44"/>
    </row>
    <row r="2" spans="1:15" ht="14">
      <c r="A2" s="44"/>
      <c r="B2" s="45"/>
      <c r="G2" s="45"/>
      <c r="H2" s="44"/>
      <c r="J2" s="3"/>
      <c r="K2" s="3"/>
      <c r="L2" s="3"/>
      <c r="M2" s="3"/>
      <c r="N2" s="3"/>
      <c r="O2" s="3"/>
    </row>
    <row r="3" spans="1:15" ht="14">
      <c r="A3" s="44"/>
      <c r="B3" s="45"/>
      <c r="G3" s="45"/>
      <c r="H3" s="44"/>
      <c r="J3" s="3"/>
      <c r="K3" s="119" t="s">
        <v>56</v>
      </c>
      <c r="L3" s="121" t="s">
        <v>57</v>
      </c>
      <c r="M3" s="122"/>
      <c r="N3" s="123"/>
      <c r="O3" s="3"/>
    </row>
    <row r="4" spans="1:15" ht="13.15" customHeight="1">
      <c r="A4" s="44"/>
      <c r="B4" s="45"/>
      <c r="G4" s="45"/>
      <c r="H4" s="44"/>
      <c r="J4" s="3"/>
      <c r="K4" s="120"/>
      <c r="L4" s="21" t="s">
        <v>58</v>
      </c>
      <c r="M4" s="21" t="s">
        <v>59</v>
      </c>
      <c r="N4" s="21" t="s">
        <v>60</v>
      </c>
      <c r="O4" s="3"/>
    </row>
    <row r="5" spans="1:15" ht="13.15" customHeight="1" thickBot="1">
      <c r="A5" s="44"/>
      <c r="B5" s="45"/>
      <c r="G5" s="45"/>
      <c r="H5" s="44"/>
      <c r="J5" s="3"/>
      <c r="K5" s="46" t="s">
        <v>61</v>
      </c>
      <c r="L5" s="47">
        <v>-21000</v>
      </c>
      <c r="M5" s="47">
        <v>-27000</v>
      </c>
      <c r="N5" s="47">
        <v>78000</v>
      </c>
      <c r="O5" s="3"/>
    </row>
    <row r="6" spans="1:15" ht="14.5" thickTop="1">
      <c r="A6" s="44"/>
      <c r="B6" s="45"/>
      <c r="G6" s="45"/>
      <c r="H6" s="44"/>
      <c r="J6" s="3"/>
      <c r="K6" s="48" t="s">
        <v>62</v>
      </c>
      <c r="L6" s="49"/>
      <c r="M6" s="50">
        <f>L9</f>
        <v>-21000</v>
      </c>
      <c r="N6" s="50">
        <f>M9</f>
        <v>-56164.38795998368</v>
      </c>
      <c r="O6" s="3"/>
    </row>
    <row r="7" spans="1:15" ht="14">
      <c r="B7" s="45"/>
      <c r="G7" s="45"/>
      <c r="J7" s="3"/>
      <c r="K7" s="51" t="s">
        <v>63</v>
      </c>
      <c r="L7" s="52"/>
      <c r="M7" s="53">
        <f>M5</f>
        <v>-27000</v>
      </c>
      <c r="N7" s="53">
        <f>N5</f>
        <v>78000</v>
      </c>
      <c r="O7" s="3"/>
    </row>
    <row r="8" spans="1:15" ht="14">
      <c r="B8" s="45"/>
      <c r="G8" s="45"/>
      <c r="J8" s="3"/>
      <c r="K8" s="51" t="s">
        <v>64</v>
      </c>
      <c r="L8" s="52"/>
      <c r="M8" s="53">
        <f>L9*N11</f>
        <v>-8164.3879599836782</v>
      </c>
      <c r="N8" s="53">
        <f>M9*N11</f>
        <v>-21835.612040016335</v>
      </c>
      <c r="O8" s="3"/>
    </row>
    <row r="9" spans="1:15" ht="14">
      <c r="B9" s="45"/>
      <c r="G9" s="45"/>
      <c r="J9" s="3"/>
      <c r="K9" s="48" t="s">
        <v>65</v>
      </c>
      <c r="L9" s="53">
        <f>L5</f>
        <v>-21000</v>
      </c>
      <c r="M9" s="53">
        <f>M6+M7+M8</f>
        <v>-56164.38795998368</v>
      </c>
      <c r="N9" s="53">
        <f>N6+N7+N8</f>
        <v>0</v>
      </c>
      <c r="O9" s="3"/>
    </row>
    <row r="10" spans="1:15" ht="14">
      <c r="B10" s="45"/>
      <c r="G10" s="45"/>
      <c r="J10" s="3"/>
      <c r="K10" s="3"/>
      <c r="L10" s="3"/>
      <c r="M10" s="3"/>
      <c r="N10" s="3"/>
      <c r="O10" s="3"/>
    </row>
    <row r="11" spans="1:15" ht="14">
      <c r="B11" s="45"/>
      <c r="G11" s="45"/>
      <c r="J11" s="3"/>
      <c r="K11" s="4" t="s">
        <v>66</v>
      </c>
      <c r="L11" s="3"/>
      <c r="M11" s="3"/>
      <c r="N11" s="54">
        <f>IRR(L5:N5)</f>
        <v>0.38878037904684182</v>
      </c>
      <c r="O11" s="3"/>
    </row>
    <row r="12" spans="1:15" ht="14">
      <c r="B12" s="45"/>
      <c r="C12" s="45"/>
      <c r="D12" s="45"/>
      <c r="E12" s="45"/>
      <c r="F12" s="45"/>
      <c r="G12" s="45"/>
      <c r="J12" s="3"/>
      <c r="K12" s="3"/>
      <c r="L12" s="3"/>
      <c r="M12" s="3"/>
      <c r="N12" s="3"/>
      <c r="O12" s="3"/>
    </row>
    <row r="13" spans="1:15" ht="14">
      <c r="B13" s="45"/>
      <c r="C13" s="45"/>
      <c r="D13" s="45"/>
      <c r="E13" s="45"/>
      <c r="F13" s="45"/>
      <c r="G13" s="45"/>
    </row>
    <row r="18" spans="6:6" ht="13.15" customHeight="1">
      <c r="F18" s="2" t="s">
        <v>136</v>
      </c>
    </row>
  </sheetData>
  <mergeCells count="2">
    <mergeCell ref="K3:K4"/>
    <mergeCell ref="L3:N3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C65C-8C6F-48C7-94B7-88FC302B7920}">
  <dimension ref="A1:I17"/>
  <sheetViews>
    <sheetView zoomScale="89" workbookViewId="0">
      <selection activeCell="G8" sqref="G8"/>
    </sheetView>
  </sheetViews>
  <sheetFormatPr defaultRowHeight="14"/>
  <sheetData>
    <row r="1" spans="1:9">
      <c r="A1" s="55"/>
      <c r="B1" s="56"/>
      <c r="C1" s="56"/>
      <c r="D1" s="56"/>
      <c r="E1" s="56"/>
      <c r="F1" s="56"/>
      <c r="G1" s="57"/>
      <c r="H1" s="56"/>
      <c r="I1" s="55"/>
    </row>
    <row r="2" spans="1:9">
      <c r="A2" s="55"/>
      <c r="B2" s="124" t="s">
        <v>71</v>
      </c>
      <c r="C2" s="124"/>
      <c r="D2" s="124"/>
      <c r="E2" s="124"/>
      <c r="F2" s="124"/>
      <c r="G2" s="58">
        <f>MAX(G6:G8)</f>
        <v>0.199133239998319</v>
      </c>
      <c r="H2" s="56"/>
      <c r="I2" s="55"/>
    </row>
    <row r="3" spans="1:9">
      <c r="A3" s="55"/>
      <c r="B3" s="124" t="s">
        <v>72</v>
      </c>
      <c r="C3" s="124"/>
      <c r="D3" s="124"/>
      <c r="E3" s="124"/>
      <c r="F3" s="124"/>
      <c r="G3" s="59" t="str">
        <f>INDEX(B6:B8,MATCH(G2,G6:G8,0))</f>
        <v>生产线A</v>
      </c>
      <c r="H3" s="56"/>
      <c r="I3" s="55"/>
    </row>
    <row r="4" spans="1:9">
      <c r="A4" s="55"/>
      <c r="B4" s="56"/>
      <c r="C4" s="56"/>
      <c r="D4" s="56"/>
      <c r="E4" s="56"/>
      <c r="F4" s="56"/>
      <c r="G4" s="60"/>
      <c r="H4" s="56"/>
      <c r="I4" s="55"/>
    </row>
    <row r="5" spans="1:9">
      <c r="A5" s="55"/>
      <c r="B5" s="61"/>
      <c r="C5" s="62" t="s">
        <v>73</v>
      </c>
      <c r="D5" s="62" t="s">
        <v>74</v>
      </c>
      <c r="E5" s="62" t="s">
        <v>75</v>
      </c>
      <c r="F5" s="62" t="s">
        <v>76</v>
      </c>
      <c r="G5" s="63" t="s">
        <v>77</v>
      </c>
      <c r="H5" s="56"/>
      <c r="I5" s="55"/>
    </row>
    <row r="6" spans="1:9">
      <c r="A6" s="55"/>
      <c r="B6" s="64" t="s">
        <v>78</v>
      </c>
      <c r="C6" s="65">
        <v>-20000</v>
      </c>
      <c r="D6" s="65">
        <v>13000</v>
      </c>
      <c r="E6" s="65">
        <v>9000</v>
      </c>
      <c r="F6" s="65">
        <v>5000</v>
      </c>
      <c r="G6" s="66">
        <f>IRR(C6:F6)</f>
        <v>0.199133239998319</v>
      </c>
      <c r="H6" s="56"/>
      <c r="I6" s="55"/>
    </row>
    <row r="7" spans="1:9">
      <c r="A7" s="55"/>
      <c r="B7" s="64" t="s">
        <v>79</v>
      </c>
      <c r="C7" s="65">
        <v>-25000</v>
      </c>
      <c r="D7" s="65">
        <v>12000</v>
      </c>
      <c r="E7" s="65">
        <v>10000</v>
      </c>
      <c r="F7" s="65">
        <v>8000</v>
      </c>
      <c r="G7" s="66">
        <f t="shared" ref="G7:G8" si="0">IRR(C7:F7)</f>
        <v>0.10448172395776645</v>
      </c>
      <c r="H7" s="56"/>
      <c r="I7" s="55"/>
    </row>
    <row r="8" spans="1:9">
      <c r="A8" s="55"/>
      <c r="B8" s="64" t="s">
        <v>80</v>
      </c>
      <c r="C8" s="65">
        <v>-18000</v>
      </c>
      <c r="D8" s="65">
        <v>10000</v>
      </c>
      <c r="E8" s="65">
        <v>6000</v>
      </c>
      <c r="F8" s="65">
        <v>3000</v>
      </c>
      <c r="G8" s="66">
        <f t="shared" si="0"/>
        <v>3.3884973604133561E-2</v>
      </c>
      <c r="H8" s="56"/>
      <c r="I8" s="55"/>
    </row>
    <row r="9" spans="1:9">
      <c r="A9" s="55"/>
      <c r="B9" s="56"/>
      <c r="C9" s="56"/>
      <c r="D9" s="56"/>
      <c r="E9" s="56"/>
      <c r="F9" s="56"/>
      <c r="G9" s="57"/>
      <c r="H9" s="56"/>
      <c r="I9" s="55"/>
    </row>
    <row r="10" spans="1:9">
      <c r="A10" s="55"/>
      <c r="B10" s="67" t="s">
        <v>81</v>
      </c>
      <c r="C10" s="68"/>
      <c r="D10" s="69"/>
      <c r="E10" s="69"/>
      <c r="F10" s="55"/>
      <c r="G10" s="55"/>
      <c r="H10" s="56"/>
      <c r="I10" s="55"/>
    </row>
    <row r="11" spans="1:9">
      <c r="A11" s="55"/>
      <c r="B11" s="55"/>
      <c r="C11" s="55"/>
      <c r="D11" s="55"/>
      <c r="E11" s="55"/>
      <c r="F11" s="55"/>
      <c r="G11" s="70"/>
      <c r="H11" s="55"/>
      <c r="I11" s="55"/>
    </row>
    <row r="12" spans="1:9">
      <c r="A12" s="55"/>
      <c r="B12" s="55"/>
      <c r="C12" s="55"/>
      <c r="D12" s="55"/>
      <c r="E12" s="55"/>
      <c r="F12" s="55"/>
      <c r="G12" s="70"/>
      <c r="H12" s="55"/>
      <c r="I12" s="55"/>
    </row>
    <row r="17" spans="8:8">
      <c r="H17" t="s">
        <v>134</v>
      </c>
    </row>
  </sheetData>
  <mergeCells count="2">
    <mergeCell ref="B2:F2"/>
    <mergeCell ref="B3:F3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F1BC-7D36-4760-B97E-3B838A1330F4}">
  <dimension ref="A1:I11"/>
  <sheetViews>
    <sheetView zoomScale="113" zoomScaleNormal="145" workbookViewId="0">
      <selection activeCell="F6" sqref="F6"/>
    </sheetView>
  </sheetViews>
  <sheetFormatPr defaultColWidth="7.75" defaultRowHeight="13"/>
  <cols>
    <col min="1" max="1" width="2.33203125" style="1" customWidth="1"/>
    <col min="2" max="2" width="11.08203125" style="1" bestFit="1" customWidth="1"/>
    <col min="3" max="4" width="8.83203125" style="1" bestFit="1" customWidth="1"/>
    <col min="5" max="5" width="7" style="1" bestFit="1" customWidth="1"/>
    <col min="6" max="6" width="11" style="82" bestFit="1" customWidth="1"/>
    <col min="7" max="7" width="2.08203125" style="1" customWidth="1"/>
    <col min="8" max="8" width="4.5" style="1" customWidth="1"/>
    <col min="9" max="9" width="6" style="1" hidden="1" customWidth="1"/>
    <col min="10" max="10" width="6.08203125" style="1" customWidth="1"/>
    <col min="11" max="11" width="4.5" style="1" customWidth="1"/>
    <col min="12" max="12" width="7.33203125" style="1" customWidth="1"/>
    <col min="13" max="16384" width="7.75" style="1"/>
  </cols>
  <sheetData>
    <row r="1" spans="1:8">
      <c r="A1" s="71"/>
      <c r="B1" s="71"/>
      <c r="C1" s="71"/>
      <c r="D1" s="71"/>
      <c r="E1" s="71"/>
      <c r="F1" s="72"/>
      <c r="G1" s="71"/>
      <c r="H1" s="71"/>
    </row>
    <row r="2" spans="1:8" ht="14.5">
      <c r="A2" s="71"/>
      <c r="B2" s="125" t="s">
        <v>82</v>
      </c>
      <c r="C2" s="126"/>
      <c r="D2" s="126"/>
      <c r="E2" s="126"/>
      <c r="F2" s="73">
        <f>MIN(F6:F8)</f>
        <v>7.6374572930015887</v>
      </c>
      <c r="G2" s="71"/>
      <c r="H2" s="71"/>
    </row>
    <row r="3" spans="1:8" ht="14.5">
      <c r="A3" s="71"/>
      <c r="B3" s="126" t="s">
        <v>83</v>
      </c>
      <c r="C3" s="126"/>
      <c r="D3" s="126"/>
      <c r="E3" s="126"/>
      <c r="F3" s="74" t="str">
        <f>INDEX(B6:B8,MATCH(F2,F6:F8,0))</f>
        <v>项目A</v>
      </c>
      <c r="G3" s="71"/>
      <c r="H3" s="71"/>
    </row>
    <row r="4" spans="1:8" ht="14">
      <c r="A4" s="71"/>
      <c r="B4" s="75"/>
      <c r="C4" s="75"/>
      <c r="D4" s="75"/>
      <c r="E4" s="75"/>
      <c r="F4" s="76"/>
      <c r="G4" s="71"/>
      <c r="H4" s="71"/>
    </row>
    <row r="5" spans="1:8" ht="14.5">
      <c r="A5" s="71"/>
      <c r="B5" s="73"/>
      <c r="C5" s="77" t="s">
        <v>84</v>
      </c>
      <c r="D5" s="77" t="s">
        <v>85</v>
      </c>
      <c r="E5" s="77" t="s">
        <v>86</v>
      </c>
      <c r="F5" s="78" t="s">
        <v>87</v>
      </c>
      <c r="G5" s="71"/>
      <c r="H5" s="71"/>
    </row>
    <row r="6" spans="1:8" ht="14.5">
      <c r="A6" s="71"/>
      <c r="B6" s="77" t="s">
        <v>88</v>
      </c>
      <c r="C6" s="79">
        <v>100000</v>
      </c>
      <c r="D6" s="79">
        <v>18000</v>
      </c>
      <c r="E6" s="80">
        <v>0.08</v>
      </c>
      <c r="F6" s="81">
        <f>NPER(E6,D6,-C6)</f>
        <v>7.6374572930015887</v>
      </c>
      <c r="G6" s="71"/>
      <c r="H6" s="71"/>
    </row>
    <row r="7" spans="1:8" ht="14.5">
      <c r="A7" s="71"/>
      <c r="B7" s="77" t="s">
        <v>89</v>
      </c>
      <c r="C7" s="79">
        <v>100000</v>
      </c>
      <c r="D7" s="79">
        <v>10000</v>
      </c>
      <c r="E7" s="80">
        <v>0.06</v>
      </c>
      <c r="F7" s="81">
        <f t="shared" ref="F7:F8" si="0">NPER(E7,D7,-C7)</f>
        <v>15.725208543887753</v>
      </c>
      <c r="G7" s="71"/>
      <c r="H7" s="71"/>
    </row>
    <row r="8" spans="1:8" ht="14.5">
      <c r="A8" s="71"/>
      <c r="B8" s="77" t="s">
        <v>90</v>
      </c>
      <c r="C8" s="79">
        <v>100000</v>
      </c>
      <c r="D8" s="79">
        <v>15000</v>
      </c>
      <c r="E8" s="80">
        <v>0.1</v>
      </c>
      <c r="F8" s="81">
        <f t="shared" si="0"/>
        <v>11.526704607247604</v>
      </c>
      <c r="G8" s="71"/>
      <c r="H8" s="71"/>
    </row>
    <row r="10" spans="1:8" ht="14.5">
      <c r="A10" s="71"/>
      <c r="B10" s="83" t="s">
        <v>91</v>
      </c>
      <c r="C10" s="84"/>
      <c r="D10" s="85"/>
      <c r="E10" s="82"/>
      <c r="G10" s="71"/>
      <c r="H10" s="71"/>
    </row>
    <row r="11" spans="1:8">
      <c r="A11" s="71"/>
      <c r="B11" s="71"/>
      <c r="C11" s="71"/>
      <c r="D11" s="71"/>
      <c r="E11" s="71"/>
      <c r="F11" s="72"/>
      <c r="G11" s="71"/>
      <c r="H11" s="71"/>
    </row>
  </sheetData>
  <mergeCells count="2">
    <mergeCell ref="B2:E2"/>
    <mergeCell ref="B3:E3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BBB7-1C05-47AA-BE17-F4E5BE36B9C2}">
  <dimension ref="A1:L33"/>
  <sheetViews>
    <sheetView tabSelected="1" topLeftCell="B28" zoomScale="87" zoomScaleNormal="100" workbookViewId="0">
      <selection activeCell="E33" sqref="E33"/>
    </sheetView>
  </sheetViews>
  <sheetFormatPr defaultColWidth="8" defaultRowHeight="14"/>
  <cols>
    <col min="1" max="1" width="2.58203125" style="55" customWidth="1"/>
    <col min="2" max="2" width="12.5" style="55" customWidth="1"/>
    <col min="3" max="4" width="8.5" style="100" customWidth="1"/>
    <col min="5" max="5" width="11.33203125" style="100" customWidth="1"/>
    <col min="6" max="6" width="7.08203125" style="100" customWidth="1"/>
    <col min="7" max="7" width="5.5" style="100" customWidth="1"/>
    <col min="8" max="8" width="7" style="100" customWidth="1"/>
    <col min="9" max="10" width="6.33203125" style="100" customWidth="1"/>
    <col min="11" max="11" width="5.33203125" style="100" customWidth="1"/>
    <col min="12" max="12" width="18.33203125" style="100" customWidth="1"/>
    <col min="13" max="23" width="8.08203125" style="55" customWidth="1"/>
    <col min="24" max="24" width="0.75" style="55" customWidth="1"/>
    <col min="25" max="25" width="6.75" style="55" customWidth="1"/>
    <col min="26" max="26" width="18.25" style="55" customWidth="1"/>
    <col min="27" max="16384" width="8" style="55"/>
  </cols>
  <sheetData>
    <row r="1" spans="1:12">
      <c r="A1" s="56"/>
      <c r="B1" s="5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28">
      <c r="A2" s="56"/>
      <c r="B2" s="56"/>
      <c r="C2" s="62" t="s">
        <v>92</v>
      </c>
      <c r="D2" s="62" t="s">
        <v>93</v>
      </c>
      <c r="E2" s="62" t="s">
        <v>94</v>
      </c>
      <c r="F2" s="87" t="s">
        <v>95</v>
      </c>
      <c r="G2" s="87" t="s">
        <v>96</v>
      </c>
      <c r="H2" s="87" t="s">
        <v>97</v>
      </c>
      <c r="I2" s="87" t="s">
        <v>98</v>
      </c>
      <c r="J2" s="87" t="s">
        <v>99</v>
      </c>
      <c r="K2" s="87" t="s">
        <v>100</v>
      </c>
      <c r="L2" s="62" t="s">
        <v>101</v>
      </c>
    </row>
    <row r="3" spans="1:12" ht="14.15" customHeight="1">
      <c r="A3" s="56"/>
      <c r="B3" s="64" t="s">
        <v>102</v>
      </c>
      <c r="C3" s="65">
        <v>100</v>
      </c>
      <c r="D3" s="65">
        <v>100</v>
      </c>
      <c r="E3" s="65" t="s">
        <v>103</v>
      </c>
      <c r="F3" s="88" t="s">
        <v>104</v>
      </c>
      <c r="G3" s="89">
        <f>4.15/100</f>
        <v>4.1500000000000002E-2</v>
      </c>
      <c r="H3" s="89">
        <f>$G$3</f>
        <v>4.1500000000000002E-2</v>
      </c>
      <c r="I3" s="89">
        <f>$G$3</f>
        <v>4.1500000000000002E-2</v>
      </c>
      <c r="J3" s="89">
        <f>$G$3</f>
        <v>4.1500000000000002E-2</v>
      </c>
      <c r="K3" s="89">
        <f>$G$3</f>
        <v>4.1500000000000002E-2</v>
      </c>
      <c r="L3" s="88" t="s">
        <v>105</v>
      </c>
    </row>
    <row r="4" spans="1:12" ht="14.15" customHeight="1">
      <c r="A4" s="56"/>
      <c r="B4" s="64" t="s">
        <v>106</v>
      </c>
      <c r="C4" s="65">
        <v>100</v>
      </c>
      <c r="D4" s="65">
        <v>82</v>
      </c>
      <c r="E4" s="65" t="s">
        <v>103</v>
      </c>
      <c r="F4" s="88" t="s">
        <v>107</v>
      </c>
      <c r="G4" s="61"/>
      <c r="H4" s="90"/>
      <c r="I4" s="90"/>
      <c r="J4" s="90"/>
      <c r="K4" s="90"/>
      <c r="L4" s="88" t="s">
        <v>108</v>
      </c>
    </row>
    <row r="5" spans="1:12" ht="14.15" customHeight="1">
      <c r="A5" s="56"/>
      <c r="B5" s="64" t="s">
        <v>109</v>
      </c>
      <c r="C5" s="65">
        <v>100</v>
      </c>
      <c r="D5" s="65">
        <v>100</v>
      </c>
      <c r="E5" s="65" t="s">
        <v>110</v>
      </c>
      <c r="F5" s="88" t="s">
        <v>111</v>
      </c>
      <c r="G5" s="89">
        <v>0.08</v>
      </c>
      <c r="H5" s="89">
        <f>G5-0.02</f>
        <v>0.06</v>
      </c>
      <c r="I5" s="89">
        <f>H5-0.02</f>
        <v>3.9999999999999994E-2</v>
      </c>
      <c r="J5" s="89">
        <f>I5-0.02</f>
        <v>1.9999999999999993E-2</v>
      </c>
      <c r="K5" s="89">
        <f>J5-0.02</f>
        <v>0</v>
      </c>
      <c r="L5" s="88" t="s">
        <v>105</v>
      </c>
    </row>
    <row r="6" spans="1:12" ht="5.15" customHeight="1">
      <c r="A6" s="56"/>
      <c r="B6" s="56"/>
      <c r="C6" s="86"/>
      <c r="D6" s="86"/>
      <c r="E6" s="86"/>
      <c r="F6" s="86"/>
      <c r="G6" s="86"/>
      <c r="H6" s="86"/>
      <c r="I6" s="86"/>
      <c r="J6" s="86"/>
      <c r="K6" s="86"/>
      <c r="L6" s="86"/>
    </row>
    <row r="7" spans="1:12" ht="14.15" customHeight="1">
      <c r="A7" s="56"/>
      <c r="B7" s="56"/>
      <c r="C7" s="91" t="s">
        <v>102</v>
      </c>
      <c r="D7" s="91" t="s">
        <v>106</v>
      </c>
      <c r="E7" s="91" t="s">
        <v>109</v>
      </c>
      <c r="F7" s="86"/>
      <c r="G7" s="86"/>
      <c r="H7" s="86"/>
      <c r="I7" s="86"/>
      <c r="J7" s="86"/>
      <c r="K7" s="86"/>
      <c r="L7" s="86"/>
    </row>
    <row r="8" spans="1:12" ht="14.15" customHeight="1">
      <c r="A8" s="56"/>
      <c r="B8" s="64" t="s">
        <v>112</v>
      </c>
      <c r="C8" s="65">
        <v>100000</v>
      </c>
      <c r="D8" s="65">
        <v>100000</v>
      </c>
      <c r="E8" s="65">
        <v>100000</v>
      </c>
      <c r="F8" s="86"/>
      <c r="G8" s="92"/>
      <c r="H8" s="93">
        <f>C17</f>
        <v>10133.937943284036</v>
      </c>
      <c r="I8" s="93">
        <f>D17</f>
        <v>10454.976808526335</v>
      </c>
      <c r="J8" s="93">
        <f>E17</f>
        <v>9800.2111155626626</v>
      </c>
      <c r="K8" s="86"/>
      <c r="L8" s="86"/>
    </row>
    <row r="9" spans="1:12" ht="14.15" customHeight="1">
      <c r="A9" s="56"/>
      <c r="B9" s="64" t="s">
        <v>113</v>
      </c>
      <c r="C9" s="88">
        <f>D3</f>
        <v>100</v>
      </c>
      <c r="D9" s="88">
        <f>D4</f>
        <v>82</v>
      </c>
      <c r="E9" s="88">
        <f>D5</f>
        <v>100</v>
      </c>
      <c r="F9" s="86"/>
      <c r="G9" s="94">
        <v>2.5000000000000001E-2</v>
      </c>
      <c r="H9" s="95">
        <f t="dataTable" ref="H9:J24" dt2D="0" dtr="0" r1="C21"/>
        <v>7665.6170177719032</v>
      </c>
      <c r="I9" s="95">
        <v>7787.1082450630784</v>
      </c>
      <c r="J9" s="95">
        <v>7427.4921201671532</v>
      </c>
      <c r="K9" s="96"/>
      <c r="L9" s="86"/>
    </row>
    <row r="10" spans="1:12" ht="14.15" customHeight="1">
      <c r="A10" s="56"/>
      <c r="B10" s="64" t="s">
        <v>114</v>
      </c>
      <c r="C10" s="88">
        <f>C8/C9*100</f>
        <v>100000</v>
      </c>
      <c r="D10" s="88">
        <f t="shared" ref="D10:E10" si="0">D8/D9*100</f>
        <v>121951.21951219512</v>
      </c>
      <c r="E10" s="88">
        <f t="shared" si="0"/>
        <v>100000</v>
      </c>
      <c r="F10" s="86"/>
      <c r="G10" s="94">
        <v>2.5999999999999999E-2</v>
      </c>
      <c r="H10" s="95">
        <v>7180.3515360962047</v>
      </c>
      <c r="I10" s="95">
        <v>7262.8528765930823</v>
      </c>
      <c r="J10" s="95">
        <v>6960.9648657679063</v>
      </c>
      <c r="K10" s="86"/>
      <c r="L10" s="86"/>
    </row>
    <row r="11" spans="1:12" ht="14.15" customHeight="1">
      <c r="A11" s="56"/>
      <c r="B11" s="64" t="s">
        <v>115</v>
      </c>
      <c r="C11" s="88">
        <f>-C8</f>
        <v>-100000</v>
      </c>
      <c r="D11" s="88">
        <f t="shared" ref="D11:E11" si="1">-D8</f>
        <v>-100000</v>
      </c>
      <c r="E11" s="88">
        <f t="shared" si="1"/>
        <v>-100000</v>
      </c>
      <c r="F11" s="86"/>
      <c r="G11" s="94">
        <v>2.7E-2</v>
      </c>
      <c r="H11" s="95">
        <v>6697.8418286834785</v>
      </c>
      <c r="I11" s="95">
        <v>6741.6543839821534</v>
      </c>
      <c r="J11" s="95">
        <v>6497.0680606180831</v>
      </c>
      <c r="K11" s="86"/>
      <c r="L11" s="86"/>
    </row>
    <row r="12" spans="1:12" ht="14.15" customHeight="1">
      <c r="A12" s="56"/>
      <c r="B12" s="64" t="s">
        <v>74</v>
      </c>
      <c r="C12" s="88">
        <f>G3*C10</f>
        <v>4150</v>
      </c>
      <c r="D12" s="88">
        <v>0</v>
      </c>
      <c r="E12" s="88">
        <f>G5*E10</f>
        <v>8000</v>
      </c>
      <c r="F12" s="86"/>
      <c r="G12" s="94">
        <v>2.8000000000000001E-2</v>
      </c>
      <c r="H12" s="95">
        <v>6218.0694158626575</v>
      </c>
      <c r="I12" s="95">
        <v>6223.491992397976</v>
      </c>
      <c r="J12" s="95">
        <v>6035.7840947815857</v>
      </c>
      <c r="K12" s="86"/>
      <c r="L12" s="86"/>
    </row>
    <row r="13" spans="1:12" ht="14.15" customHeight="1">
      <c r="A13" s="56"/>
      <c r="B13" s="64" t="s">
        <v>75</v>
      </c>
      <c r="C13" s="88">
        <f>$C$12</f>
        <v>4150</v>
      </c>
      <c r="D13" s="88">
        <v>0</v>
      </c>
      <c r="E13" s="88">
        <f>H5*E10</f>
        <v>6000</v>
      </c>
      <c r="F13" s="86"/>
      <c r="G13" s="94">
        <v>2.9000000000000001E-2</v>
      </c>
      <c r="H13" s="95">
        <v>5741.0159602017957</v>
      </c>
      <c r="I13" s="95">
        <v>5708.3450882096222</v>
      </c>
      <c r="J13" s="95">
        <v>5577.0954938418436</v>
      </c>
      <c r="K13" s="86"/>
      <c r="L13" s="86"/>
    </row>
    <row r="14" spans="1:12" ht="14.15" customHeight="1">
      <c r="A14" s="56"/>
      <c r="B14" s="64" t="s">
        <v>76</v>
      </c>
      <c r="C14" s="88">
        <f t="shared" ref="C14:C15" si="2">$C$12</f>
        <v>4150</v>
      </c>
      <c r="D14" s="88">
        <v>0</v>
      </c>
      <c r="E14" s="88">
        <f>I5*E10</f>
        <v>3999.9999999999995</v>
      </c>
      <c r="F14" s="86"/>
      <c r="G14" s="94">
        <v>0.03</v>
      </c>
      <c r="H14" s="95">
        <v>5266.6632652737026</v>
      </c>
      <c r="I14" s="95">
        <v>5196.1932175809488</v>
      </c>
      <c r="J14" s="95">
        <v>5120.9849177250435</v>
      </c>
      <c r="K14" s="86"/>
      <c r="L14" s="86"/>
    </row>
    <row r="15" spans="1:12" ht="14.15" customHeight="1">
      <c r="A15" s="56"/>
      <c r="B15" s="64" t="s">
        <v>116</v>
      </c>
      <c r="C15" s="88">
        <f t="shared" si="2"/>
        <v>4150</v>
      </c>
      <c r="D15" s="88">
        <v>0</v>
      </c>
      <c r="E15" s="88">
        <f>J5*E10</f>
        <v>1999.9999999999993</v>
      </c>
      <c r="F15" s="86"/>
      <c r="G15" s="94">
        <v>3.1E-2</v>
      </c>
      <c r="H15" s="95">
        <v>4794.9932744345278</v>
      </c>
      <c r="I15" s="95">
        <v>4687.0160850790853</v>
      </c>
      <c r="J15" s="95">
        <v>4667.4351595366024</v>
      </c>
      <c r="K15" s="86"/>
      <c r="L15" s="86"/>
    </row>
    <row r="16" spans="1:12" ht="14.15" customHeight="1">
      <c r="A16" s="56"/>
      <c r="B16" s="64" t="s">
        <v>117</v>
      </c>
      <c r="C16" s="88">
        <f>C12+C8</f>
        <v>104150</v>
      </c>
      <c r="D16" s="97">
        <f>D10</f>
        <v>121951.21951219512</v>
      </c>
      <c r="E16" s="88">
        <f>K5*E10+E8</f>
        <v>100000</v>
      </c>
      <c r="F16" s="86"/>
      <c r="G16" s="94">
        <v>3.2000000000000001E-2</v>
      </c>
      <c r="H16" s="95">
        <v>4325.9880696132022</v>
      </c>
      <c r="I16" s="95">
        <v>4180.7935522949556</v>
      </c>
      <c r="J16" s="95">
        <v>4216.4291444069968</v>
      </c>
      <c r="K16" s="86"/>
      <c r="L16" s="86"/>
    </row>
    <row r="17" spans="1:12" ht="14.15" customHeight="1">
      <c r="A17" s="56"/>
      <c r="B17" s="64" t="s">
        <v>118</v>
      </c>
      <c r="C17" s="98">
        <f>C11+NPV($C$21,C12:C16)</f>
        <v>10133.937943284036</v>
      </c>
      <c r="D17" s="98">
        <f t="shared" ref="D17:E17" si="3">D11+NPV($C$21,D12:D16)</f>
        <v>10454.976808526335</v>
      </c>
      <c r="E17" s="98">
        <f t="shared" si="3"/>
        <v>9800.2111155626626</v>
      </c>
      <c r="F17" s="86"/>
      <c r="G17" s="94">
        <v>3.3000000000000002E-2</v>
      </c>
      <c r="H17" s="95">
        <v>3859.6298701135092</v>
      </c>
      <c r="I17" s="95">
        <v>3677.5056364786433</v>
      </c>
      <c r="J17" s="95">
        <v>3767.9499283504992</v>
      </c>
      <c r="K17" s="86"/>
      <c r="L17" s="86"/>
    </row>
    <row r="18" spans="1:12" ht="14.15" customHeight="1">
      <c r="A18" s="56"/>
      <c r="B18" s="64" t="s">
        <v>119</v>
      </c>
      <c r="C18" s="99">
        <f>IRR(C11:C16)</f>
        <v>4.1500000000157522E-2</v>
      </c>
      <c r="D18" s="99">
        <f>IRR(D11:D16)</f>
        <v>4.0488368204407488E-2</v>
      </c>
      <c r="E18" s="99">
        <f>IRR(E11:E16)</f>
        <v>4.1630308657967019E-2</v>
      </c>
      <c r="F18" s="86"/>
      <c r="G18" s="94">
        <v>3.4000000000000002E-2</v>
      </c>
      <c r="H18" s="95">
        <v>3395.9010314265906</v>
      </c>
      <c r="I18" s="95">
        <v>3177.1325091863109</v>
      </c>
      <c r="J18" s="95">
        <v>3321.9806971332728</v>
      </c>
      <c r="K18" s="86"/>
      <c r="L18" s="86"/>
    </row>
    <row r="19" spans="1:12" ht="14.15" customHeight="1">
      <c r="A19" s="56"/>
      <c r="B19" s="64" t="s">
        <v>120</v>
      </c>
      <c r="C19" s="98">
        <f>C11+NPV($C$22,C12:C16)</f>
        <v>4325.9880696132022</v>
      </c>
      <c r="D19" s="98">
        <f t="shared" ref="D19:E19" si="4">D11+NPV($C$22,D12:D16)</f>
        <v>4180.7935522949556</v>
      </c>
      <c r="E19" s="98">
        <f t="shared" si="4"/>
        <v>4216.4291444069968</v>
      </c>
      <c r="F19" s="86"/>
      <c r="G19" s="94">
        <v>3.5000000000000003E-2</v>
      </c>
      <c r="H19" s="95">
        <v>2934.7840440560103</v>
      </c>
      <c r="I19" s="95">
        <v>2679.6544949419767</v>
      </c>
      <c r="J19" s="95">
        <v>2878.5047651538916</v>
      </c>
      <c r="K19" s="86"/>
      <c r="L19" s="86"/>
    </row>
    <row r="20" spans="1:12" ht="14.15" customHeight="1">
      <c r="A20" s="56"/>
      <c r="B20" s="56"/>
      <c r="C20" s="86"/>
      <c r="D20" s="86"/>
      <c r="E20" s="86"/>
      <c r="G20" s="94">
        <v>3.5999999999999997E-2</v>
      </c>
      <c r="H20" s="95">
        <v>2476.2615323529171</v>
      </c>
      <c r="I20" s="95">
        <v>2185.0520699100889</v>
      </c>
      <c r="J20" s="95">
        <v>2437.5055743328849</v>
      </c>
      <c r="K20" s="86"/>
      <c r="L20" s="86"/>
    </row>
    <row r="21" spans="1:12" ht="14.15" customHeight="1">
      <c r="A21" s="56"/>
      <c r="B21" s="64" t="s">
        <v>121</v>
      </c>
      <c r="C21" s="101">
        <f>D21/100</f>
        <v>0.02</v>
      </c>
      <c r="D21" s="117">
        <v>2</v>
      </c>
      <c r="E21" s="102" t="s">
        <v>122</v>
      </c>
      <c r="G21" s="94">
        <v>3.6999999999999998E-2</v>
      </c>
      <c r="H21" s="95">
        <v>2020.3162533635186</v>
      </c>
      <c r="I21" s="95">
        <v>1693.3058605830884</v>
      </c>
      <c r="J21" s="95">
        <v>1998.9666930148669</v>
      </c>
      <c r="K21" s="86"/>
      <c r="L21" s="86"/>
    </row>
    <row r="22" spans="1:12" ht="14.15" customHeight="1">
      <c r="A22" s="56"/>
      <c r="B22" s="64" t="s">
        <v>123</v>
      </c>
      <c r="C22" s="103">
        <f>D22/1000</f>
        <v>3.2000000000000001E-2</v>
      </c>
      <c r="D22" s="117">
        <v>32</v>
      </c>
      <c r="E22" s="104" cm="1">
        <f t="array" ref="E22">IRR(C11:C16-D11:D16)</f>
        <v>2.8141876839666624E-2</v>
      </c>
      <c r="F22" s="105">
        <v>8000</v>
      </c>
      <c r="G22" s="94">
        <v>3.7999999999999999E-2</v>
      </c>
      <c r="H22" s="95">
        <v>1566.9310956863919</v>
      </c>
      <c r="I22" s="95">
        <v>1204.3966424795653</v>
      </c>
      <c r="J22" s="95">
        <v>1562.8718148791959</v>
      </c>
      <c r="K22" s="86"/>
      <c r="L22" s="86" t="s">
        <v>136</v>
      </c>
    </row>
    <row r="23" spans="1:12" ht="14.15" customHeight="1">
      <c r="A23" s="56"/>
      <c r="B23" s="129" t="s">
        <v>124</v>
      </c>
      <c r="C23" s="129"/>
      <c r="D23" s="106">
        <f>MAX(C19:E19)</f>
        <v>4325.9880696132022</v>
      </c>
      <c r="E23" s="104">
        <f>$E$22</f>
        <v>2.8141876839666624E-2</v>
      </c>
      <c r="F23" s="105">
        <f>C11+NPV(E23,C12:C16)</f>
        <v>6150.2214888186718</v>
      </c>
      <c r="G23" s="94">
        <v>3.9E-2</v>
      </c>
      <c r="H23" s="95">
        <v>1116.0890783421928</v>
      </c>
      <c r="I23" s="95">
        <v>718.30533885663317</v>
      </c>
      <c r="J23" s="95">
        <v>1129.2047578629572</v>
      </c>
      <c r="K23" s="86"/>
      <c r="L23" s="86"/>
    </row>
    <row r="24" spans="1:12" ht="14.15" customHeight="1">
      <c r="A24" s="56"/>
      <c r="B24" s="129" t="s">
        <v>125</v>
      </c>
      <c r="C24" s="129"/>
      <c r="D24" s="88" t="str">
        <f>INDEX(C7:E7,MATCH(D23,C19:E19,0))</f>
        <v>债券A</v>
      </c>
      <c r="E24" s="104">
        <f>$E$22</f>
        <v>2.8141876839666624E-2</v>
      </c>
      <c r="F24" s="105">
        <v>0</v>
      </c>
      <c r="G24" s="94">
        <v>0.04</v>
      </c>
      <c r="H24" s="95">
        <v>667.77334965240152</v>
      </c>
      <c r="I24" s="95">
        <v>235.0130194331141</v>
      </c>
      <c r="J24" s="95">
        <v>697.94946309246006</v>
      </c>
      <c r="K24" s="86"/>
      <c r="L24" s="86"/>
    </row>
    <row r="25" spans="1:12" ht="14.15" customHeight="1">
      <c r="A25" s="56"/>
      <c r="B25" s="127" t="str">
        <f>IF(D23&gt;0,"最优投资品种是" &amp; D24,"三种债券均不可取")</f>
        <v>最优投资品种是债券A</v>
      </c>
      <c r="C25" s="128"/>
      <c r="D25" s="86"/>
      <c r="E25" s="107"/>
      <c r="F25" s="108"/>
      <c r="K25" s="86"/>
      <c r="L25" s="86"/>
    </row>
    <row r="26" spans="1:12" ht="14.15" customHeight="1">
      <c r="D26" s="86"/>
      <c r="E26" s="107"/>
      <c r="F26" s="108"/>
      <c r="H26" s="102" t="s">
        <v>126</v>
      </c>
      <c r="J26" s="86"/>
      <c r="K26" s="86"/>
    </row>
    <row r="27" spans="1:12" ht="14.15" customHeight="1">
      <c r="B27" s="55" t="s">
        <v>127</v>
      </c>
      <c r="C27" s="86"/>
      <c r="D27" s="86"/>
      <c r="E27" s="107"/>
      <c r="F27" s="108"/>
      <c r="H27" s="109">
        <f>C22</f>
        <v>3.2000000000000001E-2</v>
      </c>
      <c r="I27" s="110">
        <v>8000</v>
      </c>
      <c r="J27" s="86"/>
      <c r="K27" s="86"/>
    </row>
    <row r="28" spans="1:12" ht="14.15" customHeight="1">
      <c r="B28" s="129" t="s">
        <v>128</v>
      </c>
      <c r="C28" s="129"/>
      <c r="D28" s="106"/>
      <c r="E28" s="111"/>
      <c r="F28" s="112"/>
      <c r="H28" s="109">
        <f>H27</f>
        <v>3.2000000000000001E-2</v>
      </c>
      <c r="I28" s="113">
        <f>D23</f>
        <v>4325.9880696132022</v>
      </c>
      <c r="J28" s="86"/>
      <c r="K28" s="86"/>
    </row>
    <row r="29" spans="1:12" ht="14.15" customHeight="1">
      <c r="B29" s="129" t="s">
        <v>125</v>
      </c>
      <c r="C29" s="129"/>
      <c r="D29" s="88"/>
      <c r="E29" s="111"/>
      <c r="F29" s="114"/>
      <c r="H29" s="109">
        <f>H28</f>
        <v>3.2000000000000001E-2</v>
      </c>
      <c r="I29" s="110">
        <v>0</v>
      </c>
      <c r="J29" s="86"/>
      <c r="K29" s="86"/>
    </row>
    <row r="30" spans="1:12" ht="14.15" customHeight="1">
      <c r="B30" s="127" t="str">
        <f>IF(D28&gt;0,"最优投资品种是" &amp; D29,"三种债券均不可取")</f>
        <v>三种债券均不可取</v>
      </c>
      <c r="C30" s="128"/>
      <c r="D30" s="86"/>
      <c r="E30" s="111"/>
      <c r="F30" s="112"/>
      <c r="H30" s="86"/>
      <c r="I30" s="86"/>
      <c r="J30" s="86"/>
      <c r="K30" s="86"/>
    </row>
    <row r="31" spans="1:12" ht="14.15" customHeight="1">
      <c r="H31" s="86"/>
      <c r="I31" s="86"/>
      <c r="J31" s="86"/>
      <c r="K31" s="86"/>
    </row>
    <row r="32" spans="1:12" ht="14.15" customHeight="1">
      <c r="H32" s="86"/>
      <c r="I32" s="86"/>
      <c r="J32" s="86"/>
      <c r="K32" s="86"/>
    </row>
    <row r="33" spans="8:9" ht="14.15" customHeight="1">
      <c r="H33" s="86"/>
      <c r="I33" s="86"/>
    </row>
  </sheetData>
  <mergeCells count="6">
    <mergeCell ref="B30:C30"/>
    <mergeCell ref="B23:C23"/>
    <mergeCell ref="B24:C24"/>
    <mergeCell ref="B25:C25"/>
    <mergeCell ref="B28:C28"/>
    <mergeCell ref="B29:C29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pinner 1">
              <controlPr defaultSize="0" autoPict="0">
                <anchor moveWithCells="1" sizeWithCells="1">
                  <from>
                    <xdr:col>11</xdr:col>
                    <xdr:colOff>533400</xdr:colOff>
                    <xdr:row>28</xdr:row>
                    <xdr:rowOff>152400</xdr:rowOff>
                  </from>
                  <to>
                    <xdr:col>11</xdr:col>
                    <xdr:colOff>990600</xdr:colOff>
                    <xdr:row>30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  <vt:lpstr>第9题</vt:lpstr>
      <vt:lpstr>第10题</vt:lpstr>
      <vt:lpstr>第11题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bin jiao</cp:lastModifiedBy>
  <dcterms:created xsi:type="dcterms:W3CDTF">2021-12-02T23:49:08Z</dcterms:created>
  <dcterms:modified xsi:type="dcterms:W3CDTF">2025-12-29T04:58:16Z</dcterms:modified>
</cp:coreProperties>
</file>