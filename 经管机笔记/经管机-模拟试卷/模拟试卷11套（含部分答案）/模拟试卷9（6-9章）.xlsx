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5" yWindow="4050" windowWidth="15330" windowHeight="4110"/>
  </bookViews>
  <sheets>
    <sheet name="考试须知" sheetId="7" r:id="rId1"/>
    <sheet name="第1题" sheetId="8" r:id="rId2"/>
    <sheet name="第2题" sheetId="9" r:id="rId3"/>
    <sheet name="第3题" sheetId="10" r:id="rId4"/>
    <sheet name="第4题" sheetId="11" r:id="rId5"/>
    <sheet name="第5题" sheetId="12" r:id="rId6"/>
    <sheet name="第6题" sheetId="13" r:id="rId7"/>
    <sheet name="第7题" sheetId="14" r:id="rId8"/>
    <sheet name="第8题" sheetId="15"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__jin01">#REF!</definedName>
    <definedName name="____sj1">[9]第1套!$A$1:$C$73</definedName>
    <definedName name="____sj2">[10]第2题解答!$A$1:$D$251</definedName>
    <definedName name="___jin01">#REF!</definedName>
    <definedName name="___sj1">[9]第1套!$A$1:$C$73</definedName>
    <definedName name="___sj2">[10]第2题解答!$A$1:$D$251</definedName>
    <definedName name="___sj3">[11]第2题!$A$1:$D$198</definedName>
    <definedName name="___sj5">[12]第1套!$A$1:$C$73</definedName>
    <definedName name="__jin01">#REF!</definedName>
    <definedName name="__sj1">[9]第1套!$A$1:$C$73</definedName>
    <definedName name="__sj2">[10]第2题解答!$A$1:$D$251</definedName>
    <definedName name="__sj3">[11]第2题!$A$1:$D$198</definedName>
    <definedName name="__sj5">[12]第1套!$A$1:$C$73</definedName>
    <definedName name="_jin01">#REF!</definedName>
    <definedName name="_sj1">[5]第1套!$A$1:$C$73</definedName>
    <definedName name="_sj2">[5]第2套!$A$1:$D$251</definedName>
    <definedName name="_sj3">[11]第2题!$A$1:$D$198</definedName>
    <definedName name="_sj5">[12]第1套!$A$1:$C$73</definedName>
    <definedName name="aaa">OFFSET([3]第4题!XFC1,0,-1,3,1)</definedName>
    <definedName name="AAAAA">OFFSET([3]第4题!#REF!,0,-1,3,1)</definedName>
    <definedName name="aaaaaaaaaa">#REF!</definedName>
    <definedName name="ahzixingche" localSheetId="8">#REF!</definedName>
    <definedName name="ahzixingche">#REF!</definedName>
    <definedName name="Average">'[7]Simulation (2)'!$K$3:$N$3</definedName>
    <definedName name="bbb">OFFSET([3]第4题!#REF!,0,-1,3,1)</definedName>
    <definedName name="Biao1" localSheetId="8">#REF!</definedName>
    <definedName name="Biao1">#REF!</definedName>
    <definedName name="Biao2" localSheetId="8">#REF!</definedName>
    <definedName name="Biao2">#REF!</definedName>
    <definedName name="Biao3" localSheetId="8">#REF!</definedName>
    <definedName name="Biao3">#REF!</definedName>
    <definedName name="Biao4" localSheetId="8">#REF!</definedName>
    <definedName name="Biao4">#REF!</definedName>
    <definedName name="BudgetTab" localSheetId="8">#REF!</definedName>
    <definedName name="BudgetTab">#REF!</definedName>
    <definedName name="dasd">#REF!</definedName>
    <definedName name="dd" localSheetId="2">#REF!</definedName>
    <definedName name="dd" localSheetId="6">#REF!</definedName>
    <definedName name="dd" localSheetId="8">#REF!</definedName>
    <definedName name="dd">#REF!</definedName>
    <definedName name="_jin01" localSheetId="8">#REF!</definedName>
    <definedName name="_____jin01">#REF!</definedName>
    <definedName name="kk" localSheetId="2">#REF!</definedName>
    <definedName name="kk" localSheetId="6">#REF!</definedName>
    <definedName name="kk" localSheetId="8">#REF!</definedName>
    <definedName name="kk">#REF!</definedName>
    <definedName name="MaintTable" localSheetId="2">[1]第3题!#REF!</definedName>
    <definedName name="MaintTable" localSheetId="6">[22]第3题!#REF!</definedName>
    <definedName name="MaintTable" localSheetId="8">[24]第3题!#REF!</definedName>
    <definedName name="MaintTable">[1]第3题!#REF!</definedName>
    <definedName name="OrderQuantity">'[7]Simulation (2)'!$D$3</definedName>
    <definedName name="sj" localSheetId="2">#REF!</definedName>
    <definedName name="sj" localSheetId="6">#REF!</definedName>
    <definedName name="sj">[8]第7题解答!$A$1:$E$65536</definedName>
    <definedName name="_sj1" localSheetId="2">[5]第1套!$A$1:$C$73</definedName>
    <definedName name="_sj1" localSheetId="6">[20]第1套!$A$1:$C$73</definedName>
    <definedName name="_sj1" localSheetId="8">[5]第1套!$A$1:$C$73</definedName>
    <definedName name="_____sj1">[9]第1套!$A$1:$C$73</definedName>
    <definedName name="_sj2" localSheetId="2">[5]第2套!$A$1:$D$251</definedName>
    <definedName name="_sj2" localSheetId="6">#REF!</definedName>
    <definedName name="_sj2" localSheetId="8">[5]第2套!$A$1:$D$251</definedName>
    <definedName name="_____sj2">[10]第2题解答!$A$1:$D$251</definedName>
    <definedName name="_sj3" localSheetId="2">[18]第2题!$A$1:$D$198</definedName>
    <definedName name="_sj3" localSheetId="6">[21]第2题!$A$1:$D$198</definedName>
    <definedName name="_sj3" localSheetId="8">[21]第2题!$A$1:$D$198</definedName>
    <definedName name="____sj3">[11]第2题!$A$1:$D$198</definedName>
    <definedName name="____sj5">[12]第1套!$A$1:$C$73</definedName>
    <definedName name="solver_cvg" localSheetId="5" hidden="1">0.0001</definedName>
    <definedName name="solver_drv" localSheetId="5" hidden="1">1</definedName>
    <definedName name="solver_est" localSheetId="5" hidden="1">1</definedName>
    <definedName name="solver_itr" localSheetId="5" hidden="1">100</definedName>
    <definedName name="solver_lhs1" localSheetId="5" hidden="1">第5题!$C$12:$E$12</definedName>
    <definedName name="solver_lhs2" localSheetId="5" hidden="1">第5题!$C$12:$E$12</definedName>
    <definedName name="solver_lhs3" localSheetId="5" hidden="1">第5题!$F$9:$F$10</definedName>
    <definedName name="solver_lhs4" localSheetId="5" hidden="1">第5题!$E$12</definedName>
    <definedName name="solver_lin" localSheetId="5" hidden="1">2</definedName>
    <definedName name="solver_neg" localSheetId="5" hidden="1">2</definedName>
    <definedName name="solver_num" localSheetId="5" hidden="1">0</definedName>
    <definedName name="solver_nwt" localSheetId="5" hidden="1">1</definedName>
    <definedName name="solver_pre" localSheetId="5" hidden="1">0.000001</definedName>
    <definedName name="solver_rel1" localSheetId="5" hidden="1">3</definedName>
    <definedName name="solver_rel2" localSheetId="5" hidden="1">4</definedName>
    <definedName name="solver_rel3" localSheetId="5" hidden="1">1</definedName>
    <definedName name="solver_rel4" localSheetId="5" hidden="1">3</definedName>
    <definedName name="solver_rhs1" localSheetId="5" hidden="1">0</definedName>
    <definedName name="solver_rhs2" localSheetId="5" hidden="1">整数</definedName>
    <definedName name="solver_rhs3" localSheetId="5" hidden="1">第5题!$G$9:$G$10</definedName>
    <definedName name="solver_rhs4" localSheetId="5" hidden="1">300</definedName>
    <definedName name="solver_scl" localSheetId="5" hidden="1">2</definedName>
    <definedName name="solver_sho" localSheetId="5" hidden="1">2</definedName>
    <definedName name="solver_tim" localSheetId="5" hidden="1">100</definedName>
    <definedName name="solver_tol" localSheetId="5" hidden="1">0.05</definedName>
    <definedName name="solver_typ" localSheetId="5" hidden="1">1</definedName>
    <definedName name="solver_val" localSheetId="5" hidden="1">0</definedName>
    <definedName name="Table" localSheetId="2">'[17]经济订货量-折扣模型'!$K$3:$L$21</definedName>
    <definedName name="Table" localSheetId="6">'[19]经济订货量-折扣模型'!$K$3:$L$21</definedName>
    <definedName name="Table" localSheetId="8">[25]第6题!$K$2:$L$26</definedName>
    <definedName name="Table">[8]第8题解答!$K$3:$L$21</definedName>
    <definedName name="yssj">[13]D函数2!$A$1:$D$671</definedName>
    <definedName name="查询数据" localSheetId="8">[2]第2题!#REF!</definedName>
    <definedName name="查询数据">[2]第2题!#REF!</definedName>
    <definedName name="陈元忠">[14]第1题!$D$3:$D$11</definedName>
    <definedName name="第1季度不规则值">[15]季节指数计算模型!$E$2,[15]季节指数计算模型!$E$7,[15]季节指数计算模型!$E$12,[15]季节指数计算模型!$E$17</definedName>
    <definedName name="第2季度不规则值">[15]季节指数计算模型!$E$3,[15]季节指数计算模型!$E$8,[15]季节指数计算模型!$E$13,[15]季节指数计算模型!$E$18</definedName>
    <definedName name="第3季度不规则值">[15]季节指数计算模型!$E$5,[15]季节指数计算模型!$E$10,[15]季节指数计算模型!$E$15</definedName>
    <definedName name="第4季度不规则值">[15]季节指数计算模型!$E$6,[15]季节指数计算模型!$E$11,[15]季节指数计算模型!$E$16,[15]季节指数计算模型!$E$21</definedName>
    <definedName name="基行" localSheetId="6">#REF!</definedName>
    <definedName name="基行" localSheetId="8">#REF!</definedName>
    <definedName name="基行">#REF!</definedName>
    <definedName name="蒋传海">[14]第1题!$C$3:$C$11</definedName>
    <definedName name="原始数据" localSheetId="8">#REF!</definedName>
    <definedName name="原始数据">#REF!</definedName>
    <definedName name="张雪凤">[14]第1题!$F$3:$F$11</definedName>
    <definedName name="周新燕">[14]第1题!$E$3:$E$11</definedName>
  </definedNames>
  <calcPr calcId="145621" fullCalcOnLoad="1" iterate="1" iterateCount="1000" calcOnSave="0"/>
</workbook>
</file>

<file path=xl/calcChain.xml><?xml version="1.0" encoding="utf-8"?>
<calcChain xmlns="http://schemas.openxmlformats.org/spreadsheetml/2006/main">
  <c r="C10" i="14" l="1"/>
  <c r="C3" i="9"/>
  <c r="C4" i="9" s="1"/>
  <c r="C8" i="9"/>
  <c r="C9" i="9" s="1"/>
  <c r="J15" i="7"/>
  <c r="C10" i="9" l="1"/>
</calcChain>
</file>

<file path=xl/sharedStrings.xml><?xml version="1.0" encoding="utf-8"?>
<sst xmlns="http://schemas.openxmlformats.org/spreadsheetml/2006/main" count="109" uniqueCount="98">
  <si>
    <t>姓名</t>
    <phoneticPr fontId="2" type="noConversion"/>
  </si>
  <si>
    <t>未考</t>
    <phoneticPr fontId="2" type="noConversion"/>
  </si>
  <si>
    <t>学号</t>
    <phoneticPr fontId="2" type="noConversion"/>
  </si>
  <si>
    <t>第2题</t>
  </si>
  <si>
    <t>第3题</t>
  </si>
  <si>
    <t>第4题</t>
  </si>
  <si>
    <t>题目</t>
    <phoneticPr fontId="2" type="noConversion"/>
  </si>
  <si>
    <t>总分</t>
    <phoneticPr fontId="2" type="noConversion"/>
  </si>
  <si>
    <t>第5题</t>
  </si>
  <si>
    <t>第6题</t>
  </si>
  <si>
    <t>第7题</t>
  </si>
  <si>
    <t>分值</t>
    <phoneticPr fontId="2" type="noConversion"/>
  </si>
  <si>
    <t>第8题</t>
  </si>
  <si>
    <t>第1题</t>
    <phoneticPr fontId="2" type="noConversion"/>
  </si>
  <si>
    <t>年需求量</t>
    <phoneticPr fontId="2" type="noConversion"/>
  </si>
  <si>
    <t>日需求量</t>
    <phoneticPr fontId="2" type="noConversion"/>
  </si>
  <si>
    <t>订货量</t>
    <phoneticPr fontId="2" type="noConversion"/>
  </si>
  <si>
    <t>已过去订货周期数</t>
    <phoneticPr fontId="2" type="noConversion"/>
  </si>
  <si>
    <t>本周期已过去天数</t>
    <phoneticPr fontId="2" type="noConversion"/>
  </si>
  <si>
    <t>库存量</t>
    <phoneticPr fontId="2" type="noConversion"/>
  </si>
  <si>
    <t>结论文字</t>
    <phoneticPr fontId="2" type="noConversion"/>
  </si>
  <si>
    <t>订货周期</t>
    <phoneticPr fontId="2" type="noConversion"/>
  </si>
  <si>
    <t>初始库存量</t>
    <phoneticPr fontId="2" type="noConversion"/>
  </si>
  <si>
    <t>时间（天）</t>
    <phoneticPr fontId="2" type="noConversion"/>
  </si>
  <si>
    <t>年需求量</t>
  </si>
  <si>
    <t>一次订货的订货成本</t>
  </si>
  <si>
    <t>年单位储存成本</t>
  </si>
  <si>
    <t>订货量</t>
  </si>
  <si>
    <t>散货每吨运费</t>
    <phoneticPr fontId="33"/>
  </si>
  <si>
    <t>整车每吨运费</t>
    <phoneticPr fontId="33"/>
  </si>
  <si>
    <t>整车运输起点吨位</t>
    <phoneticPr fontId="33"/>
  </si>
  <si>
    <t>每吨实际运费</t>
    <phoneticPr fontId="33"/>
  </si>
  <si>
    <t>任意订货量</t>
    <phoneticPr fontId="33"/>
  </si>
  <si>
    <t>年订货成本</t>
    <phoneticPr fontId="33"/>
  </si>
  <si>
    <t>年储存成本</t>
    <phoneticPr fontId="33"/>
  </si>
  <si>
    <t>年运输成本</t>
    <phoneticPr fontId="33"/>
  </si>
  <si>
    <t>年总成本</t>
    <phoneticPr fontId="33"/>
  </si>
  <si>
    <t>经济订货量</t>
    <phoneticPr fontId="33"/>
  </si>
  <si>
    <t>经济订货量</t>
    <phoneticPr fontId="2" type="noConversion"/>
  </si>
  <si>
    <t>结论文字：</t>
    <phoneticPr fontId="2" type="noConversion"/>
  </si>
  <si>
    <t>珠江</t>
    <phoneticPr fontId="2" type="noConversion"/>
  </si>
  <si>
    <t>松花江</t>
    <phoneticPr fontId="2" type="noConversion"/>
  </si>
  <si>
    <t>黄河</t>
    <phoneticPr fontId="2" type="noConversion"/>
  </si>
  <si>
    <t>每月可供量</t>
    <phoneticPr fontId="2" type="noConversion"/>
  </si>
  <si>
    <t>钢材（吨）</t>
    <phoneticPr fontId="2" type="noConversion"/>
  </si>
  <si>
    <t>劳动力（小时）</t>
    <phoneticPr fontId="2" type="noConversion"/>
  </si>
  <si>
    <t>利润（元）</t>
    <phoneticPr fontId="2" type="noConversion"/>
  </si>
  <si>
    <t>每月需用量</t>
    <phoneticPr fontId="2" type="noConversion"/>
  </si>
  <si>
    <t>生产数量</t>
    <phoneticPr fontId="2" type="noConversion"/>
  </si>
  <si>
    <t>总利润：</t>
    <phoneticPr fontId="2" type="noConversion"/>
  </si>
  <si>
    <t>金额单位：万元</t>
    <phoneticPr fontId="2" type="noConversion"/>
  </si>
  <si>
    <t>期数</t>
    <phoneticPr fontId="2" type="noConversion"/>
  </si>
  <si>
    <t>期初欠款余额</t>
    <phoneticPr fontId="2" type="noConversion"/>
  </si>
  <si>
    <t>本月还款总额</t>
    <phoneticPr fontId="2" type="noConversion"/>
  </si>
  <si>
    <t>本月还款本金</t>
    <phoneticPr fontId="2" type="noConversion"/>
  </si>
  <si>
    <t>本月还款利息</t>
    <phoneticPr fontId="2" type="noConversion"/>
  </si>
  <si>
    <t>期末欠款余额</t>
    <phoneticPr fontId="2" type="noConversion"/>
  </si>
  <si>
    <t>买入价</t>
  </si>
  <si>
    <t>现金交付(首付）</t>
    <phoneticPr fontId="2" type="noConversion"/>
  </si>
  <si>
    <t>银行贷款</t>
  </si>
  <si>
    <t>贷款年利率</t>
    <phoneticPr fontId="2" type="noConversion"/>
  </si>
  <si>
    <t>2001年5月开始的每月等额还款额</t>
    <phoneticPr fontId="2" type="noConversion"/>
  </si>
  <si>
    <t>2002年5月开始的每月等额还款额</t>
    <phoneticPr fontId="2" type="noConversion"/>
  </si>
  <si>
    <t>2003年5月开始的每月等额还款额</t>
    <phoneticPr fontId="2" type="noConversion"/>
  </si>
  <si>
    <t>2004年5月开始的每月等额还款额</t>
    <phoneticPr fontId="2" type="noConversion"/>
  </si>
  <si>
    <t>2005年5月开始的每月等额还款额</t>
    <phoneticPr fontId="2" type="noConversion"/>
  </si>
  <si>
    <t>计算净现值</t>
    <phoneticPr fontId="2" type="noConversion"/>
  </si>
  <si>
    <t>计算年内部报酬率</t>
    <phoneticPr fontId="2" type="noConversion"/>
  </si>
  <si>
    <t>贴现率</t>
    <phoneticPr fontId="2" type="noConversion"/>
  </si>
  <si>
    <t>月份</t>
    <phoneticPr fontId="2" type="noConversion"/>
  </si>
  <si>
    <t>投资期限</t>
    <phoneticPr fontId="2" type="noConversion"/>
  </si>
  <si>
    <t>项目</t>
    <phoneticPr fontId="2" type="noConversion"/>
  </si>
  <si>
    <t>2006年4月末还贷后售房后现金收入</t>
    <phoneticPr fontId="2" type="noConversion"/>
  </si>
  <si>
    <t>概率</t>
    <phoneticPr fontId="2" type="noConversion"/>
  </si>
  <si>
    <t>单价均值</t>
    <phoneticPr fontId="2" type="noConversion"/>
  </si>
  <si>
    <t>单价标准差</t>
    <phoneticPr fontId="2" type="noConversion"/>
  </si>
  <si>
    <t>月销售收入最大值</t>
    <phoneticPr fontId="2" type="noConversion"/>
  </si>
  <si>
    <t>月销售收入最小值</t>
    <phoneticPr fontId="2" type="noConversion"/>
  </si>
  <si>
    <t>月销售收入标准差</t>
    <phoneticPr fontId="2" type="noConversion"/>
  </si>
  <si>
    <r>
      <t>销量</t>
    </r>
    <r>
      <rPr>
        <b/>
        <sz val="11"/>
        <rFont val="Arial"/>
        <family val="2"/>
      </rPr>
      <t>(</t>
    </r>
    <r>
      <rPr>
        <b/>
        <sz val="11"/>
        <rFont val="宋体"/>
        <family val="3"/>
        <charset val="134"/>
      </rPr>
      <t>件</t>
    </r>
    <r>
      <rPr>
        <b/>
        <sz val="11"/>
        <color indexed="8"/>
        <rFont val="Arial"/>
        <family val="2"/>
      </rPr>
      <t>)</t>
    </r>
    <phoneticPr fontId="2" type="noConversion"/>
  </si>
  <si>
    <r>
      <t>月销售收入超过</t>
    </r>
    <r>
      <rPr>
        <b/>
        <sz val="11"/>
        <rFont val="Arial"/>
        <family val="2"/>
      </rPr>
      <t>4</t>
    </r>
    <r>
      <rPr>
        <b/>
        <sz val="11"/>
        <color indexed="8"/>
        <rFont val="Arial"/>
        <family val="2"/>
      </rPr>
      <t>5000</t>
    </r>
    <r>
      <rPr>
        <b/>
        <sz val="11"/>
        <color indexed="8"/>
        <rFont val="宋体"/>
        <family val="3"/>
        <charset val="134"/>
      </rPr>
      <t>元</t>
    </r>
    <r>
      <rPr>
        <b/>
        <sz val="11"/>
        <rFont val="宋体"/>
        <family val="3"/>
        <charset val="134"/>
      </rPr>
      <t>的可能性（</t>
    </r>
    <r>
      <rPr>
        <b/>
        <sz val="11"/>
        <rFont val="Arial"/>
        <family val="2"/>
      </rPr>
      <t>%</t>
    </r>
    <r>
      <rPr>
        <b/>
        <sz val="11"/>
        <rFont val="宋体"/>
        <family val="3"/>
        <charset val="134"/>
      </rPr>
      <t>）</t>
    </r>
    <phoneticPr fontId="2" type="noConversion"/>
  </si>
  <si>
    <r>
      <t>销量</t>
    </r>
    <r>
      <rPr>
        <b/>
        <sz val="11"/>
        <rFont val="Arial"/>
        <family val="2"/>
      </rPr>
      <t>(Q)</t>
    </r>
    <phoneticPr fontId="2" type="noConversion"/>
  </si>
  <si>
    <r>
      <t xml:space="preserve"> </t>
    </r>
    <r>
      <rPr>
        <b/>
        <sz val="11"/>
        <rFont val="宋体"/>
        <family val="3"/>
        <charset val="134"/>
      </rPr>
      <t>单位：元</t>
    </r>
    <phoneticPr fontId="2" type="noConversion"/>
  </si>
  <si>
    <r>
      <t>平均每双销售价格</t>
    </r>
    <r>
      <rPr>
        <b/>
        <sz val="11"/>
        <rFont val="Arial"/>
        <family val="2"/>
      </rPr>
      <t>(p)</t>
    </r>
    <phoneticPr fontId="2" type="noConversion"/>
  </si>
  <si>
    <r>
      <t>每双可变成本</t>
    </r>
    <r>
      <rPr>
        <b/>
        <sz val="11"/>
        <rFont val="Arial"/>
        <family val="2"/>
      </rPr>
      <t>(v)</t>
    </r>
    <r>
      <rPr>
        <b/>
        <sz val="11"/>
        <rFont val="宋体"/>
        <family val="3"/>
        <charset val="134"/>
      </rPr>
      <t>：</t>
    </r>
    <phoneticPr fontId="2" type="noConversion"/>
  </si>
  <si>
    <r>
      <t>固定成本</t>
    </r>
    <r>
      <rPr>
        <b/>
        <sz val="11"/>
        <rFont val="Arial"/>
        <family val="2"/>
      </rPr>
      <t>(F)</t>
    </r>
    <r>
      <rPr>
        <b/>
        <sz val="11"/>
        <rFont val="宋体"/>
        <family val="3"/>
        <charset val="134"/>
      </rPr>
      <t>：</t>
    </r>
    <phoneticPr fontId="2" type="noConversion"/>
  </si>
  <si>
    <t>单位边际贡献</t>
    <phoneticPr fontId="2" type="noConversion"/>
  </si>
  <si>
    <t>边际贡献率</t>
    <phoneticPr fontId="2" type="noConversion"/>
  </si>
  <si>
    <r>
      <t>销售收益</t>
    </r>
    <r>
      <rPr>
        <b/>
        <sz val="11"/>
        <rFont val="Arial"/>
        <family val="2"/>
      </rPr>
      <t>(R)</t>
    </r>
    <phoneticPr fontId="2" type="noConversion"/>
  </si>
  <si>
    <r>
      <t>总成本</t>
    </r>
    <r>
      <rPr>
        <b/>
        <sz val="11"/>
        <rFont val="Arial"/>
        <family val="2"/>
      </rPr>
      <t>(C)</t>
    </r>
    <phoneticPr fontId="2" type="noConversion"/>
  </si>
  <si>
    <r>
      <t>利润</t>
    </r>
    <r>
      <rPr>
        <b/>
        <sz val="11"/>
        <rFont val="Arial"/>
        <family val="2"/>
      </rPr>
      <t>(π)</t>
    </r>
    <phoneticPr fontId="2" type="noConversion"/>
  </si>
  <si>
    <r>
      <t>盈亏平衡销量</t>
    </r>
    <r>
      <rPr>
        <b/>
        <sz val="11"/>
        <rFont val="Arial"/>
        <family val="2"/>
      </rPr>
      <t>(Q</t>
    </r>
    <r>
      <rPr>
        <b/>
        <vertAlign val="subscript"/>
        <sz val="11"/>
        <rFont val="Arial"/>
        <family val="2"/>
      </rPr>
      <t>0</t>
    </r>
    <r>
      <rPr>
        <b/>
        <sz val="11"/>
        <rFont val="Arial"/>
        <family val="2"/>
      </rPr>
      <t>)</t>
    </r>
    <phoneticPr fontId="2" type="noConversion"/>
  </si>
  <si>
    <r>
      <t>盈亏平衡销售收益</t>
    </r>
    <r>
      <rPr>
        <b/>
        <sz val="11"/>
        <rFont val="Arial"/>
        <family val="2"/>
      </rPr>
      <t>(R</t>
    </r>
    <r>
      <rPr>
        <b/>
        <vertAlign val="subscript"/>
        <sz val="11"/>
        <rFont val="Arial"/>
        <family val="2"/>
      </rPr>
      <t>0</t>
    </r>
    <r>
      <rPr>
        <b/>
        <sz val="11"/>
        <rFont val="Arial"/>
        <family val="2"/>
      </rPr>
      <t>)</t>
    </r>
    <phoneticPr fontId="2" type="noConversion"/>
  </si>
  <si>
    <r>
      <t>目标利润</t>
    </r>
    <r>
      <rPr>
        <sz val="10"/>
        <rFont val="Times New Roman"/>
        <family val="1"/>
      </rPr>
      <t/>
    </r>
    <phoneticPr fontId="2" type="noConversion"/>
  </si>
  <si>
    <t>目标销量</t>
    <phoneticPr fontId="2" type="noConversion"/>
  </si>
  <si>
    <r>
      <t>安全边际</t>
    </r>
    <r>
      <rPr>
        <b/>
        <sz val="11"/>
        <rFont val="Arial"/>
        <family val="2"/>
      </rPr>
      <t>(S)</t>
    </r>
    <phoneticPr fontId="2" type="noConversion"/>
  </si>
  <si>
    <r>
      <t>安全边际率</t>
    </r>
    <r>
      <rPr>
        <b/>
        <sz val="11"/>
        <rFont val="Arial"/>
        <family val="2"/>
      </rPr>
      <t>(s)</t>
    </r>
    <phoneticPr fontId="38" type="noConversion"/>
  </si>
  <si>
    <t>2002年至2005年每年4月底还贷后公积金冲贷额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</si>
</sst>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6" formatCode="0.0"/>
    <numFmt numFmtId="177" formatCode="0_ "/>
    <numFmt numFmtId="178" formatCode="0.0_ "/>
    <numFmt numFmtId="179" formatCode="0.00000_ "/>
    <numFmt numFmtId="180" formatCode="0.000%"/>
    <numFmt numFmtId="181" formatCode="#,##0.00000_ ;[Red]\-#,##0.00000\ "/>
  </numFmts>
  <fonts count="39">
    <font>
      <sz val="12"/>
      <name val="宋体"/>
      <charset val="134"/>
    </font>
    <font>
      <sz val="12"/>
      <name val="宋体"/>
      <charset val="134"/>
    </font>
    <font>
      <sz val="9"/>
      <name val="宋体"/>
      <family val="3"/>
      <charset val="134"/>
    </font>
    <font>
      <sz val="12"/>
      <name val="黑体"/>
      <family val="3"/>
      <charset val="134"/>
    </font>
    <font>
      <b/>
      <sz val="12"/>
      <name val="Arial"/>
      <family val="2"/>
    </font>
    <font>
      <b/>
      <sz val="12"/>
      <name val="黑体"/>
      <family val="3"/>
      <charset val="134"/>
    </font>
    <font>
      <b/>
      <sz val="12"/>
      <color indexed="10"/>
      <name val="黑体"/>
      <family val="3"/>
      <charset val="134"/>
    </font>
    <font>
      <sz val="12"/>
      <color indexed="10"/>
      <name val="黑体"/>
      <family val="3"/>
      <charset val="134"/>
    </font>
    <font>
      <sz val="12"/>
      <name val="宋体"/>
      <family val="3"/>
      <charset val="134"/>
    </font>
    <font>
      <b/>
      <sz val="12"/>
      <name val="宋体"/>
      <family val="3"/>
      <charset val="134"/>
    </font>
    <font>
      <sz val="11"/>
      <color indexed="8"/>
      <name val="宋体"/>
      <family val="3"/>
      <charset val="134"/>
    </font>
    <font>
      <sz val="11"/>
      <color indexed="9"/>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b/>
      <sz val="20"/>
      <color indexed="10"/>
      <name val="黑体"/>
      <family val="3"/>
      <charset val="134"/>
    </font>
    <font>
      <sz val="10"/>
      <name val="Arial"/>
      <family val="2"/>
    </font>
    <font>
      <b/>
      <sz val="11"/>
      <name val="Arial"/>
      <family val="2"/>
    </font>
    <font>
      <b/>
      <sz val="11"/>
      <name val="宋体"/>
      <family val="3"/>
      <charset val="134"/>
    </font>
    <font>
      <b/>
      <sz val="11"/>
      <color indexed="19"/>
      <name val="Arial"/>
      <family val="2"/>
    </font>
    <font>
      <b/>
      <sz val="11"/>
      <color indexed="10"/>
      <name val="Arial"/>
      <family val="2"/>
    </font>
    <font>
      <sz val="6"/>
      <name val="ＭＳ Ｐゴシック"/>
      <family val="3"/>
      <charset val="134"/>
    </font>
    <font>
      <b/>
      <sz val="11"/>
      <color indexed="8"/>
      <name val="Arial"/>
      <family val="2"/>
    </font>
    <font>
      <sz val="8"/>
      <name val="Arial"/>
      <family val="2"/>
    </font>
    <font>
      <b/>
      <vertAlign val="subscript"/>
      <sz val="11"/>
      <name val="Arial"/>
      <family val="2"/>
    </font>
    <font>
      <sz val="10"/>
      <name val="Times New Roman"/>
      <family val="1"/>
    </font>
    <font>
      <b/>
      <i/>
      <sz val="12"/>
      <name val="Arial"/>
      <family val="2"/>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indexed="19"/>
        <bgColor indexed="64"/>
      </patternFill>
    </fill>
    <fill>
      <patternFill patternType="solid">
        <fgColor indexed="42"/>
        <bgColor indexed="64"/>
      </patternFill>
    </fill>
    <fill>
      <patternFill patternType="solid">
        <fgColor indexed="9"/>
        <bgColor indexed="64"/>
      </patternFill>
    </fill>
    <fill>
      <patternFill patternType="solid">
        <fgColor indexed="47"/>
        <bgColor indexed="64"/>
      </patternFill>
    </fill>
    <fill>
      <patternFill patternType="solid">
        <fgColor indexed="15"/>
        <bgColor indexed="64"/>
      </patternFill>
    </fill>
  </fills>
  <borders count="18">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56">
    <xf numFmtId="0" fontId="0" fillId="0" borderId="0"/>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35" fillId="0" borderId="0"/>
    <xf numFmtId="9" fontId="1" fillId="0" borderId="0" applyFont="0" applyFill="0" applyBorder="0" applyAlignment="0" applyProtection="0"/>
    <xf numFmtId="9" fontId="8"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1"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3"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10" fillId="0" borderId="0">
      <alignment vertical="center"/>
    </xf>
    <xf numFmtId="0" fontId="8" fillId="0" borderId="0">
      <alignment vertical="center"/>
    </xf>
    <xf numFmtId="0" fontId="8" fillId="0" borderId="0">
      <alignment vertical="center"/>
    </xf>
    <xf numFmtId="0" fontId="28" fillId="0" borderId="0"/>
    <xf numFmtId="0" fontId="8" fillId="0" borderId="0">
      <alignment vertical="center"/>
    </xf>
    <xf numFmtId="0" fontId="28" fillId="0" borderId="0"/>
    <xf numFmtId="0" fontId="8" fillId="0" borderId="0">
      <alignment vertical="center"/>
    </xf>
    <xf numFmtId="0" fontId="8" fillId="0" borderId="0"/>
    <xf numFmtId="0" fontId="17" fillId="4" borderId="0" applyNumberFormat="0" applyBorder="0" applyAlignment="0" applyProtection="0">
      <alignment vertical="center"/>
    </xf>
    <xf numFmtId="0" fontId="18" fillId="0" borderId="4" applyNumberFormat="0" applyFill="0" applyAlignment="0" applyProtection="0">
      <alignment vertical="center"/>
    </xf>
    <xf numFmtId="0" fontId="19" fillId="16" borderId="5" applyNumberFormat="0" applyAlignment="0" applyProtection="0">
      <alignment vertical="center"/>
    </xf>
    <xf numFmtId="0" fontId="20" fillId="17" borderId="6" applyNumberForma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7" applyNumberFormat="0" applyFill="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21" borderId="0" applyNumberFormat="0" applyBorder="0" applyAlignment="0" applyProtection="0">
      <alignment vertical="center"/>
    </xf>
    <xf numFmtId="0" fontId="24" fillId="22" borderId="0" applyNumberFormat="0" applyBorder="0" applyAlignment="0" applyProtection="0">
      <alignment vertical="center"/>
    </xf>
    <xf numFmtId="0" fontId="25" fillId="16" borderId="8" applyNumberFormat="0" applyAlignment="0" applyProtection="0">
      <alignment vertical="center"/>
    </xf>
    <xf numFmtId="0" fontId="26" fillId="7" borderId="5" applyNumberFormat="0" applyAlignment="0" applyProtection="0">
      <alignment vertical="center"/>
    </xf>
    <xf numFmtId="0" fontId="10" fillId="23" borderId="9" applyNumberFormat="0" applyFont="0" applyAlignment="0" applyProtection="0">
      <alignment vertical="center"/>
    </xf>
  </cellStyleXfs>
  <cellXfs count="99">
    <xf numFmtId="0" fontId="0" fillId="0" borderId="0" xfId="0"/>
    <xf numFmtId="0" fontId="3" fillId="0" borderId="0" xfId="0" applyFont="1" applyProtection="1">
      <protection hidden="1"/>
    </xf>
    <xf numFmtId="49" fontId="4" fillId="24" borderId="10" xfId="0" applyNumberFormat="1" applyFont="1" applyFill="1" applyBorder="1" applyProtection="1">
      <protection hidden="1"/>
    </xf>
    <xf numFmtId="0" fontId="0" fillId="0" borderId="0" xfId="0" applyProtection="1">
      <protection hidden="1"/>
    </xf>
    <xf numFmtId="49" fontId="5" fillId="24" borderId="10" xfId="0" applyNumberFormat="1" applyFont="1" applyFill="1" applyBorder="1" applyProtection="1">
      <protection hidden="1"/>
    </xf>
    <xf numFmtId="0" fontId="6" fillId="0" borderId="0" xfId="0" applyFont="1" applyProtection="1">
      <protection hidden="1"/>
    </xf>
    <xf numFmtId="0" fontId="7" fillId="0" borderId="0" xfId="0" applyFont="1" applyProtection="1">
      <protection hidden="1"/>
    </xf>
    <xf numFmtId="0" fontId="0" fillId="0" borderId="10" xfId="0" applyBorder="1" applyProtection="1">
      <protection hidden="1"/>
    </xf>
    <xf numFmtId="0" fontId="0" fillId="0" borderId="10" xfId="0" applyBorder="1" applyAlignment="1" applyProtection="1">
      <alignment horizontal="center"/>
      <protection hidden="1"/>
    </xf>
    <xf numFmtId="0" fontId="4" fillId="0" borderId="10" xfId="0" applyFont="1" applyBorder="1" applyProtection="1">
      <protection hidden="1"/>
    </xf>
    <xf numFmtId="0" fontId="9" fillId="0" borderId="0" xfId="0" applyFont="1" applyProtection="1">
      <protection hidden="1"/>
    </xf>
    <xf numFmtId="0" fontId="9" fillId="25" borderId="10" xfId="0" applyFont="1" applyFill="1" applyBorder="1" applyProtection="1">
      <protection hidden="1"/>
    </xf>
    <xf numFmtId="0" fontId="27" fillId="0" borderId="0" xfId="0" applyFont="1" applyProtection="1">
      <protection hidden="1"/>
    </xf>
    <xf numFmtId="0" fontId="4" fillId="24" borderId="10" xfId="0" applyFont="1" applyFill="1" applyBorder="1" applyProtection="1">
      <protection hidden="1"/>
    </xf>
    <xf numFmtId="0" fontId="29" fillId="0" borderId="0" xfId="38" applyFont="1" applyFill="1"/>
    <xf numFmtId="0" fontId="29" fillId="0" borderId="0" xfId="38" applyFont="1" applyFill="1" applyBorder="1"/>
    <xf numFmtId="1" fontId="29" fillId="0" borderId="0" xfId="38" applyNumberFormat="1" applyFont="1" applyFill="1" applyBorder="1"/>
    <xf numFmtId="0" fontId="31" fillId="0" borderId="0" xfId="38" applyFont="1" applyFill="1"/>
    <xf numFmtId="0" fontId="30" fillId="0" borderId="0" xfId="38" applyFont="1" applyFill="1" applyBorder="1"/>
    <xf numFmtId="2" fontId="29" fillId="0" borderId="0" xfId="38" applyNumberFormat="1" applyFont="1" applyFill="1" applyBorder="1" applyAlignment="1">
      <alignment horizontal="right"/>
    </xf>
    <xf numFmtId="0" fontId="29" fillId="0" borderId="0" xfId="38" applyFont="1" applyFill="1" applyBorder="1" applyAlignment="1">
      <alignment horizontal="right"/>
    </xf>
    <xf numFmtId="0" fontId="30" fillId="25" borderId="10" xfId="33" applyFont="1" applyFill="1" applyBorder="1">
      <alignment vertical="center"/>
    </xf>
    <xf numFmtId="0" fontId="29" fillId="26" borderId="10" xfId="33" applyFont="1" applyFill="1" applyBorder="1">
      <alignment vertical="center"/>
    </xf>
    <xf numFmtId="0" fontId="29" fillId="0" borderId="0" xfId="33" applyFont="1">
      <alignment vertical="center"/>
    </xf>
    <xf numFmtId="0" fontId="29" fillId="0" borderId="0" xfId="33" applyFont="1" applyBorder="1">
      <alignment vertical="center"/>
    </xf>
    <xf numFmtId="176" fontId="29" fillId="0" borderId="0" xfId="33" applyNumberFormat="1" applyFont="1" applyBorder="1">
      <alignment vertical="center"/>
    </xf>
    <xf numFmtId="0" fontId="29" fillId="0" borderId="0" xfId="33" applyFont="1" applyBorder="1" applyAlignment="1">
      <alignment horizontal="center" vertical="center"/>
    </xf>
    <xf numFmtId="0" fontId="29" fillId="27" borderId="10" xfId="33" applyFont="1" applyFill="1" applyBorder="1">
      <alignment vertical="center"/>
    </xf>
    <xf numFmtId="0" fontId="29" fillId="28" borderId="0" xfId="0" applyFont="1" applyFill="1"/>
    <xf numFmtId="0" fontId="29" fillId="0" borderId="0" xfId="0" applyFont="1"/>
    <xf numFmtId="0" fontId="30" fillId="25" borderId="11" xfId="0" applyFont="1" applyFill="1" applyBorder="1" applyAlignment="1">
      <alignment vertical="center"/>
    </xf>
    <xf numFmtId="0" fontId="29" fillId="26" borderId="10" xfId="0" applyNumberFormat="1" applyFont="1" applyFill="1" applyBorder="1" applyAlignment="1">
      <alignment vertical="center"/>
    </xf>
    <xf numFmtId="0" fontId="30" fillId="25" borderId="12" xfId="0" applyFont="1" applyFill="1" applyBorder="1" applyAlignment="1">
      <alignment vertical="center"/>
    </xf>
    <xf numFmtId="178" fontId="29" fillId="26" borderId="10" xfId="0" applyNumberFormat="1" applyFont="1" applyFill="1" applyBorder="1" applyAlignment="1">
      <alignment vertical="center"/>
    </xf>
    <xf numFmtId="0" fontId="31" fillId="28" borderId="0" xfId="0" applyFont="1" applyFill="1"/>
    <xf numFmtId="0" fontId="30" fillId="25" borderId="12" xfId="0" applyFont="1" applyFill="1" applyBorder="1"/>
    <xf numFmtId="176" fontId="29" fillId="29" borderId="13" xfId="0" applyNumberFormat="1" applyFont="1" applyFill="1" applyBorder="1"/>
    <xf numFmtId="0" fontId="30" fillId="25" borderId="11" xfId="0" applyFont="1" applyFill="1" applyBorder="1"/>
    <xf numFmtId="1" fontId="29" fillId="30" borderId="10" xfId="0" applyNumberFormat="1" applyFont="1" applyFill="1" applyBorder="1"/>
    <xf numFmtId="1" fontId="29" fillId="29" borderId="13" xfId="0" applyNumberFormat="1" applyFont="1" applyFill="1" applyBorder="1"/>
    <xf numFmtId="0" fontId="30" fillId="28" borderId="0" xfId="0" applyFont="1" applyFill="1"/>
    <xf numFmtId="0" fontId="29" fillId="28" borderId="0" xfId="0" applyNumberFormat="1" applyFont="1" applyFill="1"/>
    <xf numFmtId="0" fontId="29" fillId="31" borderId="10" xfId="0" applyFont="1" applyFill="1" applyBorder="1"/>
    <xf numFmtId="0" fontId="29" fillId="0" borderId="0" xfId="37" applyFont="1">
      <alignment vertical="center"/>
    </xf>
    <xf numFmtId="0" fontId="18" fillId="0" borderId="10" xfId="31" applyFont="1" applyBorder="1" applyAlignment="1">
      <alignment horizontal="center" vertical="center"/>
    </xf>
    <xf numFmtId="0" fontId="18" fillId="0" borderId="10" xfId="31" applyFont="1" applyBorder="1">
      <alignment vertical="center"/>
    </xf>
    <xf numFmtId="0" fontId="18" fillId="0" borderId="10" xfId="31" applyFont="1" applyFill="1" applyBorder="1">
      <alignment vertical="center"/>
    </xf>
    <xf numFmtId="0" fontId="18" fillId="0" borderId="0" xfId="31" applyFont="1">
      <alignment vertical="center"/>
    </xf>
    <xf numFmtId="0" fontId="34" fillId="24" borderId="10" xfId="31" applyFont="1" applyFill="1" applyBorder="1">
      <alignment vertical="center"/>
    </xf>
    <xf numFmtId="0" fontId="34" fillId="0" borderId="10" xfId="31" applyFont="1" applyBorder="1">
      <alignment vertical="center"/>
    </xf>
    <xf numFmtId="0" fontId="34" fillId="0" borderId="0" xfId="31" applyFont="1">
      <alignment vertical="center"/>
    </xf>
    <xf numFmtId="178" fontId="34" fillId="0" borderId="10" xfId="31" applyNumberFormat="1" applyFont="1" applyBorder="1">
      <alignment vertical="center"/>
    </xf>
    <xf numFmtId="0" fontId="34" fillId="0" borderId="14" xfId="31" applyFont="1" applyBorder="1">
      <alignment vertical="center"/>
    </xf>
    <xf numFmtId="0" fontId="34" fillId="0" borderId="11" xfId="31" applyFont="1" applyBorder="1">
      <alignment vertical="center"/>
    </xf>
    <xf numFmtId="0" fontId="34" fillId="0" borderId="15" xfId="31" applyFont="1" applyBorder="1">
      <alignment vertical="center"/>
    </xf>
    <xf numFmtId="0" fontId="34" fillId="0" borderId="16" xfId="31" applyFont="1" applyBorder="1">
      <alignment vertical="center"/>
    </xf>
    <xf numFmtId="0" fontId="34" fillId="0" borderId="0" xfId="31" applyFont="1" applyBorder="1">
      <alignment vertical="center"/>
    </xf>
    <xf numFmtId="0" fontId="29" fillId="0" borderId="0" xfId="34" applyFont="1"/>
    <xf numFmtId="0" fontId="29" fillId="0" borderId="0" xfId="36" applyFont="1"/>
    <xf numFmtId="0" fontId="30" fillId="0" borderId="0" xfId="36" applyFont="1"/>
    <xf numFmtId="0" fontId="30" fillId="25" borderId="10" xfId="35" applyFont="1" applyFill="1" applyBorder="1">
      <alignment vertical="center"/>
    </xf>
    <xf numFmtId="180" fontId="29" fillId="0" borderId="10" xfId="35" applyNumberFormat="1" applyFont="1" applyFill="1" applyBorder="1">
      <alignment vertical="center"/>
    </xf>
    <xf numFmtId="0" fontId="30" fillId="32" borderId="10" xfId="36" applyFont="1" applyFill="1" applyBorder="1" applyAlignment="1">
      <alignment horizontal="center"/>
    </xf>
    <xf numFmtId="0" fontId="30" fillId="0" borderId="10" xfId="36" applyFont="1" applyBorder="1" applyAlignment="1">
      <alignment horizontal="center"/>
    </xf>
    <xf numFmtId="0" fontId="30" fillId="0" borderId="10" xfId="36" applyFont="1" applyBorder="1"/>
    <xf numFmtId="177" fontId="29" fillId="0" borderId="10" xfId="35" applyNumberFormat="1" applyFont="1" applyFill="1" applyBorder="1">
      <alignment vertical="center"/>
    </xf>
    <xf numFmtId="57" fontId="29" fillId="32" borderId="10" xfId="36" quotePrefix="1" applyNumberFormat="1" applyFont="1" applyFill="1" applyBorder="1"/>
    <xf numFmtId="0" fontId="29" fillId="0" borderId="10" xfId="36" applyFont="1" applyBorder="1"/>
    <xf numFmtId="179" fontId="29" fillId="26" borderId="10" xfId="36" applyNumberFormat="1" applyFont="1" applyFill="1" applyBorder="1"/>
    <xf numFmtId="0" fontId="29" fillId="0" borderId="0" xfId="35" applyFont="1" applyFill="1" applyBorder="1">
      <alignment vertical="center"/>
    </xf>
    <xf numFmtId="177" fontId="29" fillId="0" borderId="0" xfId="35" applyNumberFormat="1" applyFont="1" applyFill="1" applyBorder="1">
      <alignment vertical="center"/>
    </xf>
    <xf numFmtId="0" fontId="29" fillId="0" borderId="10" xfId="0" applyFont="1" applyBorder="1"/>
    <xf numFmtId="0" fontId="30" fillId="0" borderId="10" xfId="0" applyFont="1" applyBorder="1"/>
    <xf numFmtId="0" fontId="29" fillId="0" borderId="10" xfId="35" applyFont="1" applyFill="1" applyBorder="1">
      <alignment vertical="center"/>
    </xf>
    <xf numFmtId="179" fontId="29" fillId="29" borderId="10" xfId="0" applyNumberFormat="1" applyFont="1" applyFill="1" applyBorder="1"/>
    <xf numFmtId="0" fontId="30" fillId="25" borderId="10" xfId="30" applyFont="1" applyFill="1" applyBorder="1">
      <alignment vertical="center"/>
    </xf>
    <xf numFmtId="181" fontId="29" fillId="29" borderId="10" xfId="0" applyNumberFormat="1" applyFont="1" applyFill="1" applyBorder="1"/>
    <xf numFmtId="180" fontId="29" fillId="29" borderId="10" xfId="35" applyNumberFormat="1" applyFont="1" applyFill="1" applyBorder="1">
      <alignment vertical="center"/>
    </xf>
    <xf numFmtId="0" fontId="30" fillId="25" borderId="10" xfId="32" applyFont="1" applyFill="1" applyBorder="1" applyAlignment="1">
      <alignment horizontal="center" vertical="center"/>
    </xf>
    <xf numFmtId="0" fontId="29" fillId="0" borderId="0" xfId="28" applyFont="1"/>
    <xf numFmtId="0" fontId="29" fillId="26" borderId="10" xfId="32" applyFont="1" applyFill="1" applyBorder="1" applyAlignment="1">
      <alignment horizontal="center" vertical="center"/>
    </xf>
    <xf numFmtId="9" fontId="29" fillId="26" borderId="10" xfId="32" applyNumberFormat="1" applyFont="1" applyFill="1" applyBorder="1" applyAlignment="1">
      <alignment horizontal="center" vertical="center"/>
    </xf>
    <xf numFmtId="0" fontId="29" fillId="0" borderId="0" xfId="32" applyFont="1">
      <alignment vertical="center"/>
    </xf>
    <xf numFmtId="0" fontId="30" fillId="25" borderId="10" xfId="32" applyFont="1" applyFill="1" applyBorder="1">
      <alignment vertical="center"/>
    </xf>
    <xf numFmtId="0" fontId="29" fillId="29" borderId="10" xfId="32" applyFont="1" applyFill="1" applyBorder="1" applyAlignment="1">
      <alignment horizontal="right" vertical="center"/>
    </xf>
    <xf numFmtId="10" fontId="29" fillId="29" borderId="10" xfId="20" applyNumberFormat="1" applyFont="1" applyFill="1" applyBorder="1" applyAlignment="1">
      <alignment horizontal="right" vertical="center"/>
    </xf>
    <xf numFmtId="1" fontId="29" fillId="0" borderId="10" xfId="38" applyNumberFormat="1" applyFont="1" applyFill="1" applyBorder="1"/>
    <xf numFmtId="0" fontId="29" fillId="0" borderId="17" xfId="38" applyFont="1" applyFill="1" applyBorder="1"/>
    <xf numFmtId="0" fontId="29" fillId="0" borderId="10" xfId="38" applyFont="1" applyFill="1" applyBorder="1" applyAlignment="1">
      <alignment horizontal="center"/>
    </xf>
    <xf numFmtId="2" fontId="29" fillId="0" borderId="10" xfId="38" applyNumberFormat="1" applyFont="1" applyFill="1" applyBorder="1"/>
    <xf numFmtId="2" fontId="29" fillId="0" borderId="14" xfId="38" applyNumberFormat="1" applyFont="1" applyFill="1" applyBorder="1"/>
    <xf numFmtId="9" fontId="29" fillId="0" borderId="10" xfId="20" applyFont="1" applyFill="1" applyBorder="1"/>
    <xf numFmtId="0" fontId="29" fillId="0" borderId="10" xfId="38" applyFont="1" applyFill="1" applyBorder="1"/>
    <xf numFmtId="0" fontId="30" fillId="25" borderId="10" xfId="38" applyFont="1" applyFill="1" applyBorder="1" applyAlignment="1">
      <alignment horizontal="left"/>
    </xf>
    <xf numFmtId="0" fontId="30" fillId="25" borderId="13" xfId="38" applyFont="1" applyFill="1" applyBorder="1"/>
    <xf numFmtId="0" fontId="30" fillId="25" borderId="14" xfId="38" applyFont="1" applyFill="1" applyBorder="1"/>
    <xf numFmtId="0" fontId="30" fillId="25" borderId="10" xfId="38" applyFont="1" applyFill="1" applyBorder="1"/>
    <xf numFmtId="10" fontId="29" fillId="0" borderId="10" xfId="35" applyNumberFormat="1" applyFont="1" applyFill="1" applyBorder="1">
      <alignment vertical="center"/>
    </xf>
    <xf numFmtId="0" fontId="32" fillId="0" borderId="0" xfId="38" applyFont="1" applyFill="1" applyBorder="1" applyAlignment="1">
      <alignment horizontal="left"/>
    </xf>
  </cellXfs>
  <cellStyles count="56">
    <cellStyle name="20% - 强调文字颜色 1" xfId="1" builtinId="30" customBuiltin="1"/>
    <cellStyle name="20% - 强调文字颜色 2" xfId="2" builtinId="34" customBuiltin="1"/>
    <cellStyle name="20% - 强调文字颜色 3" xfId="3" builtinId="38" customBuiltin="1"/>
    <cellStyle name="20% - 强调文字颜色 4" xfId="4" builtinId="42" customBuiltin="1"/>
    <cellStyle name="20% - 强调文字颜色 5" xfId="5" builtinId="46" customBuiltin="1"/>
    <cellStyle name="20% - 强调文字颜色 6" xfId="6" builtinId="50" customBuiltin="1"/>
    <cellStyle name="40% - 强调文字颜色 1" xfId="7" builtinId="31" customBuiltin="1"/>
    <cellStyle name="40% - 强调文字颜色 2" xfId="8" builtinId="35" customBuiltin="1"/>
    <cellStyle name="40% - 强调文字颜色 3" xfId="9" builtinId="39" customBuiltin="1"/>
    <cellStyle name="40% - 强调文字颜色 4" xfId="10" builtinId="43" customBuiltin="1"/>
    <cellStyle name="40% - 强调文字颜色 5" xfId="11" builtinId="47" customBuiltin="1"/>
    <cellStyle name="40% - 强调文字颜色 6" xfId="12" builtinId="51" customBuiltin="1"/>
    <cellStyle name="60% - 强调文字颜色 1" xfId="13" builtinId="32" customBuiltin="1"/>
    <cellStyle name="60% - 强调文字颜色 2" xfId="14" builtinId="36" customBuiltin="1"/>
    <cellStyle name="60% - 强调文字颜色 3" xfId="15" builtinId="40" customBuiltin="1"/>
    <cellStyle name="60% - 强调文字颜色 4" xfId="16" builtinId="44" customBuiltin="1"/>
    <cellStyle name="60% - 强调文字颜色 5" xfId="17" builtinId="48" customBuiltin="1"/>
    <cellStyle name="60% - 强调文字颜色 6" xfId="18" builtinId="52" customBuiltin="1"/>
    <cellStyle name="Normal_Calculation (3)" xfId="19"/>
    <cellStyle name="百分比" xfId="20" builtinId="5"/>
    <cellStyle name="百分比 2" xfId="21"/>
    <cellStyle name="标题" xfId="22" builtinId="15" customBuiltin="1"/>
    <cellStyle name="标题 1" xfId="23" builtinId="16" customBuiltin="1"/>
    <cellStyle name="标题 2" xfId="24" builtinId="17" customBuiltin="1"/>
    <cellStyle name="标题 3" xfId="25" builtinId="18" customBuiltin="1"/>
    <cellStyle name="标题 4" xfId="26" builtinId="19" customBuiltin="1"/>
    <cellStyle name="差" xfId="27" builtinId="27" customBuiltin="1"/>
    <cellStyle name="常规" xfId="0" builtinId="0"/>
    <cellStyle name="常规 2" xfId="28"/>
    <cellStyle name="常规 3" xfId="29"/>
    <cellStyle name="常规_2006_2007第一学期第8题ABCD考题 经过改造" xfId="30"/>
    <cellStyle name="常规_2010-2011_S_第5题" xfId="31"/>
    <cellStyle name="常规_Book1" xfId="32"/>
    <cellStyle name="常规_第6章-经济订货量补考答案2" xfId="33"/>
    <cellStyle name="常规_第8章财务函数出题-201106" xfId="34"/>
    <cellStyle name="常规_第8章投资评价出题-200712" xfId="35"/>
    <cellStyle name="常规_第8章投资评价模型-200606" xfId="36"/>
    <cellStyle name="常规_规划求解-期末试题" xfId="37"/>
    <cellStyle name="常规_例6-02 安全边际与目标销量分析模型" xfId="38"/>
    <cellStyle name="好" xfId="39" builtinId="26" customBuiltin="1"/>
    <cellStyle name="汇总" xfId="40" builtinId="25" customBuiltin="1"/>
    <cellStyle name="计算" xfId="41" builtinId="22" customBuiltin="1"/>
    <cellStyle name="检查单元格" xfId="42" builtinId="23" customBuiltin="1"/>
    <cellStyle name="解释性文本" xfId="43" builtinId="53" customBuiltin="1"/>
    <cellStyle name="警告文本" xfId="44" builtinId="11" customBuiltin="1"/>
    <cellStyle name="链接单元格" xfId="45" builtinId="24" customBuiltin="1"/>
    <cellStyle name="强调文字颜色 1" xfId="46" builtinId="29" customBuiltin="1"/>
    <cellStyle name="强调文字颜色 2" xfId="47" builtinId="33" customBuiltin="1"/>
    <cellStyle name="强调文字颜色 3" xfId="48" builtinId="37" customBuiltin="1"/>
    <cellStyle name="强调文字颜色 4" xfId="49" builtinId="41" customBuiltin="1"/>
    <cellStyle name="强调文字颜色 5" xfId="50" builtinId="45" customBuiltin="1"/>
    <cellStyle name="强调文字颜色 6" xfId="51" builtinId="49" customBuiltin="1"/>
    <cellStyle name="适中" xfId="52" builtinId="28" customBuiltin="1"/>
    <cellStyle name="输出" xfId="53" builtinId="21" customBuiltin="1"/>
    <cellStyle name="输入" xfId="54" builtinId="20" customBuiltin="1"/>
    <cellStyle name="注释" xfId="5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180975</xdr:colOff>
      <xdr:row>4</xdr:row>
      <xdr:rowOff>152400</xdr:rowOff>
    </xdr:from>
    <xdr:to>
      <xdr:col>7</xdr:col>
      <xdr:colOff>371475</xdr:colOff>
      <xdr:row>19</xdr:row>
      <xdr:rowOff>171450</xdr:rowOff>
    </xdr:to>
    <xdr:sp macro="" textlink="">
      <xdr:nvSpPr>
        <xdr:cNvPr id="7169" name="Text Box 1"/>
        <xdr:cNvSpPr txBox="1">
          <a:spLocks noChangeArrowheads="1"/>
        </xdr:cNvSpPr>
      </xdr:nvSpPr>
      <xdr:spPr bwMode="auto">
        <a:xfrm>
          <a:off x="180975" y="1038225"/>
          <a:ext cx="5972175" cy="2905125"/>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lnSpc>
              <a:spcPts val="1500"/>
            </a:lnSpc>
            <a:defRPr sz="1000"/>
          </a:pPr>
          <a:r>
            <a:rPr lang="zh-CN" altLang="en-US" sz="1200" b="1" i="0" u="none" strike="noStrike" baseline="0">
              <a:solidFill>
                <a:srgbClr val="0000FF"/>
              </a:solidFill>
              <a:latin typeface="宋体"/>
              <a:ea typeface="宋体"/>
            </a:rPr>
            <a:t>考试注意事项：</a:t>
          </a:r>
          <a:endParaRPr lang="zh-CN" altLang="en-US" sz="1200" b="0" i="0" u="none" strike="noStrike" baseline="0">
            <a:solidFill>
              <a:srgbClr val="000000"/>
            </a:solidFill>
            <a:latin typeface="宋体"/>
            <a:ea typeface="宋体"/>
          </a:endParaRPr>
        </a:p>
        <a:p>
          <a:pPr algn="l" rtl="0">
            <a:lnSpc>
              <a:spcPts val="1500"/>
            </a:lnSpc>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a:t>
          </a:r>
          <a:r>
            <a:rPr lang="zh-CN" altLang="en-US" sz="1200" b="0" i="0" u="none" strike="noStrike" baseline="0">
              <a:solidFill>
                <a:srgbClr val="000000"/>
              </a:solidFill>
              <a:latin typeface="Arial"/>
              <a:ea typeface="宋体"/>
              <a:cs typeface="Arial"/>
            </a:rPr>
            <a:t> </a:t>
          </a:r>
          <a:r>
            <a:rPr lang="zh-CN" altLang="en-US" sz="1200" b="0" i="0" u="none" strike="noStrike" baseline="0">
              <a:solidFill>
                <a:srgbClr val="000000"/>
              </a:solidFill>
              <a:latin typeface="宋体"/>
              <a:ea typeface="宋体"/>
              <a:cs typeface="Arial"/>
            </a:rPr>
            <a:t>严格遵守考试纪律，一旦发现任何违犯考试纪律的情况立即取消考生考试资格。</a:t>
          </a:r>
          <a:endParaRPr lang="zh-CN" altLang="en-US" sz="1200" b="0" i="0" u="none" strike="noStrike" baseline="0">
            <a:solidFill>
              <a:srgbClr val="000000"/>
            </a:solidFill>
            <a:latin typeface="Arial"/>
            <a:ea typeface="宋体"/>
            <a:cs typeface="Arial"/>
          </a:endParaRPr>
        </a:p>
        <a:p>
          <a:pPr algn="l" rtl="0">
            <a:lnSpc>
              <a:spcPts val="1500"/>
            </a:lnSpc>
            <a:defRPr sz="1000"/>
          </a:pPr>
          <a:r>
            <a:rPr lang="zh-CN" altLang="en-US" sz="1200" b="0" i="0" u="none" strike="noStrike" baseline="0">
              <a:solidFill>
                <a:srgbClr val="000000"/>
              </a:solidFill>
              <a:latin typeface="Arial"/>
              <a:ea typeface="宋体"/>
              <a:cs typeface="Arial"/>
            </a:rPr>
            <a:t>2</a:t>
          </a:r>
          <a:r>
            <a:rPr lang="zh-CN" altLang="en-US" sz="1200" b="0" i="0" u="none" strike="noStrike" baseline="0">
              <a:solidFill>
                <a:srgbClr val="000000"/>
              </a:solidFill>
              <a:latin typeface="宋体"/>
              <a:ea typeface="宋体"/>
              <a:cs typeface="Arial"/>
            </a:rPr>
            <a:t>、每位同学完成操作后必须存盘，提交作业时必须先将此文件关闭，才能正确提交。</a:t>
          </a:r>
        </a:p>
        <a:p>
          <a:pPr algn="l" rtl="0">
            <a:lnSpc>
              <a:spcPts val="1500"/>
            </a:lnSpc>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、切记</a:t>
          </a:r>
          <a:r>
            <a:rPr lang="zh-CN" altLang="en-US" sz="1200" b="1" i="0" u="none" strike="noStrike" baseline="0">
              <a:solidFill>
                <a:srgbClr val="FF0000"/>
              </a:solidFill>
              <a:latin typeface="宋体"/>
              <a:ea typeface="宋体"/>
              <a:cs typeface="Arial"/>
            </a:rPr>
            <a:t>经常存盘</a:t>
          </a:r>
          <a:r>
            <a:rPr lang="zh-CN" altLang="en-US" sz="1200" b="0" i="0" u="none" strike="noStrike" baseline="0">
              <a:solidFill>
                <a:srgbClr val="000000"/>
              </a:solidFill>
              <a:latin typeface="宋体"/>
              <a:ea typeface="宋体"/>
              <a:cs typeface="Arial"/>
            </a:rPr>
            <a:t>。由于没有经常存盘而发生在死机时丢失答题结果的情况时后果由考生自负。</a:t>
          </a:r>
        </a:p>
        <a:p>
          <a:pPr algn="l" rtl="0">
            <a:lnSpc>
              <a:spcPts val="1500"/>
            </a:lnSpc>
            <a:defRPr sz="1000"/>
          </a:pPr>
          <a:r>
            <a:rPr lang="zh-CN" altLang="en-US" sz="1200" b="0" i="0" u="none" strike="noStrike" baseline="0">
              <a:solidFill>
                <a:srgbClr val="000000"/>
              </a:solidFill>
              <a:latin typeface="Arial"/>
              <a:cs typeface="Arial"/>
            </a:rPr>
            <a:t>4</a:t>
          </a:r>
          <a:r>
            <a:rPr lang="zh-CN" altLang="en-US" sz="1200" b="0" i="0" u="none" strike="noStrike" baseline="0">
              <a:solidFill>
                <a:srgbClr val="000000"/>
              </a:solidFill>
              <a:latin typeface="宋体"/>
              <a:ea typeface="宋体"/>
              <a:cs typeface="Arial"/>
            </a:rPr>
            <a:t>、可以将考题文件拷贝到硬盘（</a:t>
          </a:r>
          <a:r>
            <a:rPr lang="zh-CN" altLang="en-US" sz="1200" b="0" i="0" u="none" strike="noStrike" baseline="0">
              <a:solidFill>
                <a:srgbClr val="000000"/>
              </a:solidFill>
              <a:latin typeface="Arial"/>
              <a:ea typeface="宋体"/>
              <a:cs typeface="Arial"/>
            </a:rPr>
            <a:t>D</a:t>
          </a:r>
          <a:r>
            <a:rPr lang="zh-CN" altLang="en-US" sz="1200" b="0" i="0" u="none" strike="noStrike" baseline="0">
              <a:solidFill>
                <a:srgbClr val="000000"/>
              </a:solidFill>
              <a:latin typeface="宋体"/>
              <a:ea typeface="宋体"/>
              <a:cs typeface="Arial"/>
            </a:rPr>
            <a:t>盘或</a:t>
          </a:r>
          <a:r>
            <a:rPr lang="zh-CN" altLang="en-US" sz="1200" b="0" i="0" u="none" strike="noStrike" baseline="0">
              <a:solidFill>
                <a:srgbClr val="000000"/>
              </a:solidFill>
              <a:latin typeface="Arial"/>
              <a:ea typeface="宋体"/>
              <a:cs typeface="Arial"/>
            </a:rPr>
            <a:t>E</a:t>
          </a:r>
          <a:r>
            <a:rPr lang="zh-CN" altLang="en-US" sz="1200" b="0" i="0" u="none" strike="noStrike" baseline="0">
              <a:solidFill>
                <a:srgbClr val="000000"/>
              </a:solidFill>
              <a:latin typeface="宋体"/>
              <a:ea typeface="宋体"/>
              <a:cs typeface="Arial"/>
            </a:rPr>
            <a:t>盘）上去做，但这样做时一定要注意以下两点：</a:t>
          </a:r>
        </a:p>
        <a:p>
          <a:pPr algn="l" rtl="0">
            <a:lnSpc>
              <a:spcPts val="1500"/>
            </a:lnSpc>
            <a:defRPr sz="1000"/>
          </a:pPr>
          <a:r>
            <a:rPr lang="zh-CN" altLang="en-US" sz="1200" b="0" i="0" u="none" strike="noStrike" baseline="0">
              <a:solidFill>
                <a:srgbClr val="000000"/>
              </a:solidFill>
              <a:latin typeface="Arial"/>
              <a:cs typeface="Arial"/>
            </a:rPr>
            <a:t>      </a:t>
          </a:r>
          <a:r>
            <a:rPr lang="zh-CN" altLang="en-US" sz="1200" b="0" i="0" u="none" strike="noStrike" baseline="0">
              <a:solidFill>
                <a:srgbClr val="000000"/>
              </a:solidFill>
              <a:latin typeface="宋体"/>
              <a:ea typeface="宋体"/>
              <a:cs typeface="Arial"/>
            </a:rPr>
            <a:t>第一，由于每场考试之后机房工作人员要将计算机的硬盘加以清理，所以事后再想找回自己保存在硬盘上的文件是不可能的，因此在考试结束前务提交，否则零分。</a:t>
          </a:r>
        </a:p>
        <a:p>
          <a:pPr algn="l" rtl="0">
            <a:lnSpc>
              <a:spcPts val="1400"/>
            </a:lnSpc>
            <a:defRPr sz="1000"/>
          </a:pPr>
          <a:r>
            <a:rPr lang="zh-CN" altLang="en-US" sz="1200" b="0" i="0" u="none" strike="noStrike" baseline="0">
              <a:solidFill>
                <a:srgbClr val="000000"/>
              </a:solidFill>
              <a:latin typeface="Arial"/>
              <a:cs typeface="Arial"/>
            </a:rPr>
            <a:t>      </a:t>
          </a:r>
          <a:r>
            <a:rPr lang="zh-CN" altLang="en-US" sz="1200" b="0" i="0" u="none" strike="noStrike" baseline="0">
              <a:solidFill>
                <a:srgbClr val="000000"/>
              </a:solidFill>
              <a:latin typeface="宋体"/>
              <a:ea typeface="宋体"/>
              <a:cs typeface="Arial"/>
            </a:rPr>
            <a:t>第二，随时查看在硬盘上保存的文件的体积是否变得太大，如果太大了那一定是自己操作上发生了问题，应立即设法加以解决，不要等到最后交卷时才发现此类问题。</a:t>
          </a:r>
        </a:p>
        <a:p>
          <a:pPr algn="l" rtl="0">
            <a:lnSpc>
              <a:spcPts val="1500"/>
            </a:lnSpc>
            <a:defRPr sz="1000"/>
          </a:pPr>
          <a:r>
            <a:rPr lang="zh-CN" altLang="en-US" sz="1200" b="0" i="0" u="none" strike="noStrike" baseline="0">
              <a:solidFill>
                <a:srgbClr val="000000"/>
              </a:solidFill>
              <a:latin typeface="Arial"/>
              <a:cs typeface="Arial"/>
            </a:rPr>
            <a:t>5</a:t>
          </a:r>
          <a:r>
            <a:rPr lang="zh-CN" altLang="en-US" sz="1200" b="0" i="0" u="none" strike="noStrike" baseline="0">
              <a:solidFill>
                <a:srgbClr val="000000"/>
              </a:solidFill>
              <a:latin typeface="宋体"/>
              <a:ea typeface="宋体"/>
              <a:cs typeface="Arial"/>
            </a:rPr>
            <a:t>、每个工作表中的题目文字框如果妨碍做题，可以将它移开。</a:t>
          </a:r>
        </a:p>
        <a:p>
          <a:pPr algn="l" rtl="0">
            <a:lnSpc>
              <a:spcPts val="1400"/>
            </a:lnSpc>
            <a:defRPr sz="1000"/>
          </a:pPr>
          <a:r>
            <a:rPr lang="zh-CN" altLang="en-US" sz="1200" b="0" i="0" u="none" strike="noStrike" baseline="0">
              <a:solidFill>
                <a:srgbClr val="000000"/>
              </a:solidFill>
              <a:latin typeface="Arial"/>
              <a:cs typeface="Arial"/>
            </a:rPr>
            <a:t>6</a:t>
          </a:r>
          <a:r>
            <a:rPr lang="zh-CN" altLang="en-US" sz="1200" b="0" i="0" u="none" strike="noStrike" baseline="0">
              <a:solidFill>
                <a:srgbClr val="000000"/>
              </a:solidFill>
              <a:latin typeface="宋体"/>
              <a:ea typeface="宋体"/>
              <a:cs typeface="Arial"/>
            </a:rPr>
            <a:t>、绘制图形以实现功能为主，字体、大小和颜色等不同不扣分。</a:t>
          </a:r>
        </a:p>
        <a:p>
          <a:pPr algn="l" rtl="0">
            <a:lnSpc>
              <a:spcPts val="1500"/>
            </a:lnSpc>
            <a:defRPr sz="1000"/>
          </a:pPr>
          <a:r>
            <a:rPr lang="zh-CN" altLang="en-US" sz="1200" b="0" i="0" u="none" strike="noStrike" baseline="0">
              <a:solidFill>
                <a:srgbClr val="000000"/>
              </a:solidFill>
              <a:latin typeface="Arial"/>
              <a:cs typeface="Arial"/>
            </a:rPr>
            <a:t>7</a:t>
          </a:r>
          <a:r>
            <a:rPr lang="zh-CN" altLang="en-US" sz="1200" b="0" i="0" u="none" strike="noStrike" baseline="0">
              <a:solidFill>
                <a:srgbClr val="000000"/>
              </a:solidFill>
              <a:latin typeface="宋体"/>
              <a:ea typeface="宋体"/>
              <a:cs typeface="Arial"/>
            </a:rPr>
            <a:t>、若删除此工作表按零分计。</a:t>
          </a:r>
        </a:p>
        <a:p>
          <a:pPr algn="l" rtl="0">
            <a:lnSpc>
              <a:spcPts val="1400"/>
            </a:lnSpc>
            <a:defRPr sz="1000"/>
          </a:pPr>
          <a:endParaRPr lang="zh-CN" altLang="en-US" sz="1200" b="0" i="0" u="none" strike="noStrike" baseline="0">
            <a:solidFill>
              <a:srgbClr val="000000"/>
            </a:solidFill>
            <a:latin typeface="宋体"/>
            <a:ea typeface="宋体"/>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161925</xdr:colOff>
      <xdr:row>3</xdr:row>
      <xdr:rowOff>47625</xdr:rowOff>
    </xdr:from>
    <xdr:to>
      <xdr:col>12</xdr:col>
      <xdr:colOff>28575</xdr:colOff>
      <xdr:row>11</xdr:row>
      <xdr:rowOff>152400</xdr:rowOff>
    </xdr:to>
    <xdr:sp macro="" textlink="">
      <xdr:nvSpPr>
        <xdr:cNvPr id="35841" name="Text Box 1"/>
        <xdr:cNvSpPr txBox="1">
          <a:spLocks noChangeArrowheads="1"/>
        </xdr:cNvSpPr>
      </xdr:nvSpPr>
      <xdr:spPr bwMode="auto">
        <a:xfrm>
          <a:off x="3629025" y="581025"/>
          <a:ext cx="6038850" cy="1628775"/>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1</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10</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Arial"/>
              <a:ea typeface="宋体"/>
              <a:cs typeface="Arial"/>
            </a:rPr>
            <a:t>A</a:t>
          </a:r>
          <a:r>
            <a:rPr lang="zh-CN" altLang="en-US" sz="1100" b="0" i="0" u="none" strike="noStrike" baseline="0">
              <a:solidFill>
                <a:srgbClr val="000000"/>
              </a:solidFill>
              <a:latin typeface="宋体"/>
              <a:ea typeface="宋体"/>
              <a:cs typeface="Arial"/>
            </a:rPr>
            <a:t>公司制造一种高档皮包。公司最大生产能力为</a:t>
          </a:r>
          <a:r>
            <a:rPr lang="zh-CN" altLang="en-US" sz="1100" b="0" i="0" u="none" strike="noStrike" baseline="0">
              <a:solidFill>
                <a:srgbClr val="000000"/>
              </a:solidFill>
              <a:latin typeface="Arial"/>
              <a:ea typeface="宋体"/>
              <a:cs typeface="Arial"/>
            </a:rPr>
            <a:t>1500</a:t>
          </a:r>
          <a:r>
            <a:rPr lang="zh-CN" altLang="en-US" sz="1100" b="0" i="0" u="none" strike="noStrike" baseline="0">
              <a:solidFill>
                <a:srgbClr val="000000"/>
              </a:solidFill>
              <a:latin typeface="宋体"/>
              <a:ea typeface="宋体"/>
              <a:cs typeface="Arial"/>
            </a:rPr>
            <a:t>，固定成本为</a:t>
          </a:r>
          <a:r>
            <a:rPr lang="zh-CN" altLang="en-US" sz="1100" b="0" i="0" u="none" strike="noStrike" baseline="0">
              <a:solidFill>
                <a:srgbClr val="000000"/>
              </a:solidFill>
              <a:latin typeface="Arial"/>
              <a:ea typeface="宋体"/>
              <a:cs typeface="Arial"/>
            </a:rPr>
            <a:t>30000</a:t>
          </a:r>
          <a:r>
            <a:rPr lang="zh-CN" altLang="en-US" sz="1100" b="0" i="0" u="none" strike="noStrike" baseline="0">
              <a:solidFill>
                <a:srgbClr val="000000"/>
              </a:solidFill>
              <a:latin typeface="宋体"/>
              <a:ea typeface="宋体"/>
              <a:cs typeface="Arial"/>
            </a:rPr>
            <a:t>元，每双可变成本为</a:t>
          </a:r>
          <a:r>
            <a:rPr lang="zh-CN" altLang="en-US" sz="1100" b="0" i="0" u="none" strike="noStrike" baseline="0">
              <a:solidFill>
                <a:srgbClr val="000000"/>
              </a:solidFill>
              <a:latin typeface="Arial"/>
              <a:ea typeface="宋体"/>
              <a:cs typeface="Arial"/>
            </a:rPr>
            <a:t>54</a:t>
          </a:r>
          <a:r>
            <a:rPr lang="zh-CN" altLang="en-US" sz="1100" b="0" i="0" u="none" strike="noStrike" baseline="0">
              <a:solidFill>
                <a:srgbClr val="000000"/>
              </a:solidFill>
              <a:latin typeface="宋体"/>
              <a:ea typeface="宋体"/>
              <a:cs typeface="Arial"/>
            </a:rPr>
            <a:t>元，当前的销量为</a:t>
          </a:r>
          <a:r>
            <a:rPr lang="zh-CN" altLang="en-US" sz="1100" b="0" i="0" u="none" strike="noStrike" baseline="0">
              <a:solidFill>
                <a:srgbClr val="000000"/>
              </a:solidFill>
              <a:latin typeface="Arial"/>
              <a:ea typeface="宋体"/>
              <a:cs typeface="Arial"/>
            </a:rPr>
            <a:t>900</a:t>
          </a:r>
          <a:r>
            <a:rPr lang="zh-CN" altLang="en-US" sz="1100" b="0" i="0" u="none" strike="noStrike" baseline="0">
              <a:solidFill>
                <a:srgbClr val="000000"/>
              </a:solidFill>
              <a:latin typeface="宋体"/>
              <a:ea typeface="宋体"/>
              <a:cs typeface="Arial"/>
            </a:rPr>
            <a:t>，平均销售价格为</a:t>
          </a:r>
          <a:r>
            <a:rPr lang="zh-CN" altLang="en-US" sz="1100" b="0" i="0" u="none" strike="noStrike" baseline="0">
              <a:solidFill>
                <a:srgbClr val="000000"/>
              </a:solidFill>
              <a:latin typeface="Arial"/>
              <a:ea typeface="宋体"/>
              <a:cs typeface="Arial"/>
            </a:rPr>
            <a:t>120</a:t>
          </a:r>
          <a:r>
            <a:rPr lang="zh-CN" altLang="en-US" sz="1100" b="0" i="0" u="none" strike="noStrike" baseline="0">
              <a:solidFill>
                <a:srgbClr val="000000"/>
              </a:solidFill>
              <a:latin typeface="宋体"/>
              <a:ea typeface="宋体"/>
              <a:cs typeface="Arial"/>
            </a:rPr>
            <a:t>元，公司管理层需要建立一个决策模型用于盈亏平衡分析，在本工作表中建立模型应包含以下功能：</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计算单位边际贡献及边际贡献率；</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计算销售收益、总成本及利润；</a:t>
          </a:r>
        </a:p>
        <a:p>
          <a:pPr algn="l" rtl="0">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计算盈亏平衡销量及盈亏平衡销售收益；</a:t>
          </a:r>
        </a:p>
        <a:p>
          <a:pPr algn="l" rtl="0">
            <a:lnSpc>
              <a:spcPts val="1300"/>
            </a:lnSpc>
            <a:defRPr sz="1000"/>
          </a:pPr>
          <a:r>
            <a:rPr lang="zh-CN" altLang="en-US" sz="1100" b="0" i="0" u="none" strike="noStrike" baseline="0">
              <a:solidFill>
                <a:srgbClr val="000000"/>
              </a:solidFill>
              <a:latin typeface="Arial"/>
              <a:cs typeface="Arial"/>
            </a:rPr>
            <a:t>4</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假定公司希望获得</a:t>
          </a:r>
          <a:r>
            <a:rPr lang="zh-CN" altLang="en-US" sz="1100" b="0" i="0" u="none" strike="noStrike" baseline="0">
              <a:solidFill>
                <a:srgbClr val="000000"/>
              </a:solidFill>
              <a:latin typeface="Arial"/>
              <a:ea typeface="宋体"/>
              <a:cs typeface="Arial"/>
            </a:rPr>
            <a:t>30000</a:t>
          </a:r>
          <a:r>
            <a:rPr lang="zh-CN" altLang="en-US" sz="1100" b="0" i="0" u="none" strike="noStrike" baseline="0">
              <a:solidFill>
                <a:srgbClr val="000000"/>
              </a:solidFill>
              <a:latin typeface="宋体"/>
              <a:ea typeface="宋体"/>
              <a:cs typeface="Arial"/>
            </a:rPr>
            <a:t>元利润，计算为达到利润目标所需要的销量及销售收益；</a:t>
          </a:r>
        </a:p>
        <a:p>
          <a:pPr algn="l" rtl="0">
            <a:lnSpc>
              <a:spcPts val="1300"/>
            </a:lnSpc>
            <a:defRPr sz="1000"/>
          </a:pPr>
          <a:r>
            <a:rPr lang="zh-CN" altLang="en-US" sz="1100" b="0" i="0" u="none" strike="noStrike" baseline="0">
              <a:solidFill>
                <a:srgbClr val="000000"/>
              </a:solidFill>
              <a:latin typeface="宋体"/>
              <a:ea typeface="宋体"/>
              <a:cs typeface="Arial"/>
            </a:rPr>
            <a:t>并计算此时的安全边际和安全边际率。</a:t>
          </a:r>
          <a:endParaRPr lang="zh-CN" altLang="en-US" sz="1100" b="0" i="0" u="none" strike="noStrike" baseline="0">
            <a:solidFill>
              <a:srgbClr val="000000"/>
            </a:solidFill>
            <a:latin typeface="宋体"/>
            <a:ea typeface="宋体"/>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428625</xdr:colOff>
      <xdr:row>1</xdr:row>
      <xdr:rowOff>57150</xdr:rowOff>
    </xdr:from>
    <xdr:to>
      <xdr:col>11</xdr:col>
      <xdr:colOff>247650</xdr:colOff>
      <xdr:row>22</xdr:row>
      <xdr:rowOff>123825</xdr:rowOff>
    </xdr:to>
    <xdr:grpSp>
      <xdr:nvGrpSpPr>
        <xdr:cNvPr id="36868" name="Group 4"/>
        <xdr:cNvGrpSpPr>
          <a:grpSpLocks/>
        </xdr:cNvGrpSpPr>
      </xdr:nvGrpSpPr>
      <xdr:grpSpPr bwMode="auto">
        <a:xfrm>
          <a:off x="2790825" y="247650"/>
          <a:ext cx="4581525" cy="4067175"/>
          <a:chOff x="293" y="26"/>
          <a:chExt cx="481" cy="427"/>
        </a:xfrm>
      </xdr:grpSpPr>
      <xdr:sp macro="" textlink="">
        <xdr:nvSpPr>
          <xdr:cNvPr id="36866" name="Text Box 2"/>
          <xdr:cNvSpPr txBox="1">
            <a:spLocks noChangeArrowheads="1"/>
          </xdr:cNvSpPr>
        </xdr:nvSpPr>
        <xdr:spPr bwMode="auto">
          <a:xfrm>
            <a:off x="293" y="26"/>
            <a:ext cx="481" cy="427"/>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第2题（10分）</a:t>
            </a:r>
            <a:r>
              <a:rPr lang="zh-CN" altLang="en-US" sz="1100" b="0" i="0" u="none" strike="noStrike" baseline="0">
                <a:solidFill>
                  <a:srgbClr val="000000"/>
                </a:solidFill>
                <a:latin typeface="宋体"/>
                <a:ea typeface="宋体"/>
              </a:rPr>
              <a:t> 假设年需求量为9000,订货周期为15天，初始库存量为0，一年按360天计算。在每天固定需求的情况下，利用Excel中已经建立模型，模拟在满足经济订货量的前提下60天内产品库存随时间（天数）的变化情况。</a:t>
            </a:r>
          </a:p>
          <a:p>
            <a:pPr algn="l" rtl="0">
              <a:defRPr sz="1000"/>
            </a:pPr>
            <a:r>
              <a:rPr lang="zh-CN" altLang="en-US" sz="1100" b="0" i="0" u="none" strike="noStrike" baseline="0">
                <a:solidFill>
                  <a:srgbClr val="000000"/>
                </a:solidFill>
                <a:latin typeface="宋体"/>
                <a:ea typeface="宋体"/>
              </a:rPr>
              <a:t>1、根据模型框架中已计算出的数据绘制如下的产品库存量随时间（天数）的变化图形。</a:t>
            </a:r>
          </a:p>
          <a:p>
            <a:pPr algn="l" rtl="0">
              <a:lnSpc>
                <a:spcPts val="1300"/>
              </a:lnSpc>
              <a:defRPr sz="1000"/>
            </a:pPr>
            <a:r>
              <a:rPr lang="zh-CN" altLang="en-US" sz="1100" b="0" i="0" u="none" strike="noStrike" baseline="0">
                <a:solidFill>
                  <a:srgbClr val="000000"/>
                </a:solidFill>
                <a:latin typeface="宋体"/>
                <a:ea typeface="宋体"/>
              </a:rPr>
              <a:t>2、在图中可以用控件控制当前时间（天数），并不同的颜色显示当前时间（天数）的库存量，并显示库存量数值。</a:t>
            </a: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36867" name="Picture 3" descr="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 y="219"/>
            <a:ext cx="433" cy="220"/>
          </a:xfrm>
          <a:prstGeom prst="rect">
            <a:avLst/>
          </a:prstGeom>
          <a:solidFill>
            <a:srgbClr val="FFCCFF"/>
          </a:solidFill>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266700</xdr:colOff>
      <xdr:row>2</xdr:row>
      <xdr:rowOff>142875</xdr:rowOff>
    </xdr:from>
    <xdr:to>
      <xdr:col>15</xdr:col>
      <xdr:colOff>409575</xdr:colOff>
      <xdr:row>37</xdr:row>
      <xdr:rowOff>28575</xdr:rowOff>
    </xdr:to>
    <xdr:grpSp>
      <xdr:nvGrpSpPr>
        <xdr:cNvPr id="37889" name="Group 1"/>
        <xdr:cNvGrpSpPr>
          <a:grpSpLocks/>
        </xdr:cNvGrpSpPr>
      </xdr:nvGrpSpPr>
      <xdr:grpSpPr bwMode="auto">
        <a:xfrm>
          <a:off x="3562350" y="523875"/>
          <a:ext cx="5286375" cy="6553200"/>
          <a:chOff x="849" y="153"/>
          <a:chExt cx="484" cy="570"/>
        </a:xfrm>
      </xdr:grpSpPr>
      <xdr:sp macro="" textlink="">
        <xdr:nvSpPr>
          <xdr:cNvPr id="37890" name="Text Box 2"/>
          <xdr:cNvSpPr txBox="1">
            <a:spLocks noChangeArrowheads="1"/>
          </xdr:cNvSpPr>
        </xdr:nvSpPr>
        <xdr:spPr bwMode="auto">
          <a:xfrm>
            <a:off x="849" y="153"/>
            <a:ext cx="484" cy="570"/>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3</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15</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宋体"/>
                <a:ea typeface="宋体"/>
                <a:cs typeface="Arial"/>
              </a:rPr>
              <a:t>某工厂每年需要</a:t>
            </a:r>
            <a:r>
              <a:rPr lang="zh-CN" altLang="en-US" sz="1100" b="0" i="0" u="none" strike="noStrike" baseline="0">
                <a:solidFill>
                  <a:srgbClr val="000000"/>
                </a:solidFill>
                <a:latin typeface="Arial"/>
                <a:ea typeface="宋体"/>
                <a:cs typeface="Arial"/>
              </a:rPr>
              <a:t>5000</a:t>
            </a:r>
            <a:r>
              <a:rPr lang="zh-CN" altLang="en-US" sz="1100" b="0" i="0" u="none" strike="noStrike" baseline="0">
                <a:solidFill>
                  <a:srgbClr val="000000"/>
                </a:solidFill>
                <a:latin typeface="宋体"/>
                <a:ea typeface="宋体"/>
                <a:cs typeface="Arial"/>
              </a:rPr>
              <a:t>吨原料，每吨原料的年储存费用为</a:t>
            </a:r>
            <a:r>
              <a:rPr lang="zh-CN" altLang="en-US" sz="1100" b="0" i="0" u="none" strike="noStrike" baseline="0">
                <a:solidFill>
                  <a:srgbClr val="000000"/>
                </a:solidFill>
                <a:latin typeface="Arial"/>
                <a:ea typeface="宋体"/>
                <a:cs typeface="Arial"/>
              </a:rPr>
              <a:t>180</a:t>
            </a:r>
            <a:r>
              <a:rPr lang="zh-CN" altLang="en-US" sz="1100" b="0" i="0" u="none" strike="noStrike" baseline="0">
                <a:solidFill>
                  <a:srgbClr val="000000"/>
                </a:solidFill>
                <a:latin typeface="宋体"/>
                <a:ea typeface="宋体"/>
                <a:cs typeface="Arial"/>
              </a:rPr>
              <a:t>元，每次订货成本为</a:t>
            </a:r>
            <a:r>
              <a:rPr lang="zh-CN" altLang="en-US" sz="1100" b="0" i="0" u="none" strike="noStrike" baseline="0">
                <a:solidFill>
                  <a:srgbClr val="000000"/>
                </a:solidFill>
                <a:latin typeface="Arial"/>
                <a:ea typeface="宋体"/>
                <a:cs typeface="Arial"/>
              </a:rPr>
              <a:t>120</a:t>
            </a:r>
            <a:r>
              <a:rPr lang="zh-CN" altLang="en-US" sz="1100" b="0" i="0" u="none" strike="noStrike" baseline="0">
                <a:solidFill>
                  <a:srgbClr val="000000"/>
                </a:solidFill>
                <a:latin typeface="宋体"/>
                <a:ea typeface="宋体"/>
                <a:cs typeface="Arial"/>
              </a:rPr>
              <a:t>元。原料要通过火车从原产地运到工厂，作为散货运输，运输费为每吨</a:t>
            </a:r>
            <a:r>
              <a:rPr lang="zh-CN" altLang="en-US" sz="1100" b="0" i="0" u="none" strike="noStrike" baseline="0">
                <a:solidFill>
                  <a:srgbClr val="000000"/>
                </a:solidFill>
                <a:latin typeface="Arial"/>
                <a:ea typeface="宋体"/>
                <a:cs typeface="Arial"/>
              </a:rPr>
              <a:t>25</a:t>
            </a:r>
            <a:r>
              <a:rPr lang="zh-CN" altLang="en-US" sz="1100" b="0" i="0" u="none" strike="noStrike" baseline="0">
                <a:solidFill>
                  <a:srgbClr val="000000"/>
                </a:solidFill>
                <a:latin typeface="宋体"/>
                <a:ea typeface="宋体"/>
                <a:cs typeface="Arial"/>
              </a:rPr>
              <a:t>元；如果每次运货量大于或等于</a:t>
            </a:r>
            <a:r>
              <a:rPr lang="zh-CN" altLang="en-US" sz="1100" b="0" i="0" u="none" strike="noStrike" baseline="0">
                <a:solidFill>
                  <a:srgbClr val="000000"/>
                </a:solidFill>
                <a:latin typeface="Arial"/>
                <a:ea typeface="宋体"/>
                <a:cs typeface="Arial"/>
              </a:rPr>
              <a:t>200</a:t>
            </a:r>
            <a:r>
              <a:rPr lang="zh-CN" altLang="en-US" sz="1100" b="0" i="0" u="none" strike="noStrike" baseline="0">
                <a:solidFill>
                  <a:srgbClr val="000000"/>
                </a:solidFill>
                <a:latin typeface="宋体"/>
                <a:ea typeface="宋体"/>
                <a:cs typeface="Arial"/>
              </a:rPr>
              <a:t>吨，则作为整车运输，运输费可降到每吨</a:t>
            </a:r>
            <a:r>
              <a:rPr lang="zh-CN" altLang="en-US" sz="1100" b="0" i="0" u="none" strike="noStrike" baseline="0">
                <a:solidFill>
                  <a:srgbClr val="000000"/>
                </a:solidFill>
                <a:latin typeface="Arial"/>
                <a:ea typeface="宋体"/>
                <a:cs typeface="Arial"/>
              </a:rPr>
              <a:t>24</a:t>
            </a:r>
            <a:r>
              <a:rPr lang="zh-CN" altLang="en-US" sz="1100" b="0" i="0" u="none" strike="noStrike" baseline="0">
                <a:solidFill>
                  <a:srgbClr val="000000"/>
                </a:solidFill>
                <a:latin typeface="宋体"/>
                <a:ea typeface="宋体"/>
                <a:cs typeface="Arial"/>
              </a:rPr>
              <a:t>元。要求：</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建立一个决策模型，计算在任意指定的订货量、经济订货量情况下的年订货成本、年储存成本、年运输成本和年总成本；</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绘制整车每吨运费起价分别为</a:t>
            </a:r>
            <a:r>
              <a:rPr lang="zh-CN" altLang="en-US" sz="1100" b="0" i="0" u="none" strike="noStrike" baseline="0">
                <a:solidFill>
                  <a:srgbClr val="000000"/>
                </a:solidFill>
                <a:latin typeface="Arial"/>
                <a:ea typeface="宋体"/>
                <a:cs typeface="Arial"/>
              </a:rPr>
              <a:t>22</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22.5</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23</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23.5</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24</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24.5</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25</a:t>
            </a:r>
            <a:r>
              <a:rPr lang="zh-CN" altLang="en-US" sz="1100" b="0" i="0" u="none" strike="noStrike" baseline="0">
                <a:solidFill>
                  <a:srgbClr val="000000"/>
                </a:solidFill>
                <a:latin typeface="宋体"/>
                <a:ea typeface="宋体"/>
                <a:cs typeface="Arial"/>
              </a:rPr>
              <a:t>时年总成本随订货量变化的一簇曲线图形，绘制可移动的当前年总成本红色粗线；</a:t>
            </a:r>
          </a:p>
          <a:p>
            <a:pPr algn="l" rtl="0">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在图形上反映七根线的年总成本的蓝色圆点；</a:t>
            </a:r>
          </a:p>
          <a:p>
            <a:pPr algn="l" rtl="0">
              <a:lnSpc>
                <a:spcPts val="1300"/>
              </a:lnSpc>
              <a:defRPr sz="1000"/>
            </a:pPr>
            <a:r>
              <a:rPr lang="zh-CN" altLang="en-US" sz="1100" b="0" i="0" u="none" strike="noStrike" baseline="0">
                <a:solidFill>
                  <a:srgbClr val="000000"/>
                </a:solidFill>
                <a:latin typeface="Arial"/>
                <a:cs typeface="Arial"/>
              </a:rPr>
              <a:t>4</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添加一个微调器，对整车每吨运费进行调整，调整的范围为</a:t>
            </a:r>
            <a:r>
              <a:rPr lang="zh-CN" altLang="en-US" sz="1100" b="0" i="0" u="none" strike="noStrike" baseline="0">
                <a:solidFill>
                  <a:srgbClr val="000000"/>
                </a:solidFill>
                <a:latin typeface="Arial"/>
                <a:ea typeface="宋体"/>
                <a:cs typeface="Arial"/>
              </a:rPr>
              <a:t>22.00</a:t>
            </a:r>
            <a:r>
              <a:rPr lang="zh-CN" altLang="en-US" sz="1100" b="0" i="0" u="none" strike="noStrike" baseline="0">
                <a:solidFill>
                  <a:srgbClr val="000000"/>
                </a:solidFill>
                <a:latin typeface="宋体"/>
                <a:ea typeface="宋体"/>
                <a:cs typeface="Arial"/>
              </a:rPr>
              <a:t>元至</a:t>
            </a:r>
            <a:r>
              <a:rPr lang="zh-CN" altLang="en-US" sz="1100" b="0" i="0" u="none" strike="noStrike" baseline="0">
                <a:solidFill>
                  <a:srgbClr val="000000"/>
                </a:solidFill>
                <a:latin typeface="Arial"/>
                <a:ea typeface="宋体"/>
                <a:cs typeface="Arial"/>
              </a:rPr>
              <a:t>25.00</a:t>
            </a:r>
            <a:r>
              <a:rPr lang="zh-CN" altLang="en-US" sz="1100" b="0" i="0" u="none" strike="noStrike" baseline="0">
                <a:solidFill>
                  <a:srgbClr val="000000"/>
                </a:solidFill>
                <a:latin typeface="宋体"/>
                <a:ea typeface="宋体"/>
                <a:cs typeface="Arial"/>
              </a:rPr>
              <a:t>元，增量为</a:t>
            </a:r>
            <a:r>
              <a:rPr lang="zh-CN" altLang="en-US" sz="1100" b="0" i="0" u="none" strike="noStrike" baseline="0">
                <a:solidFill>
                  <a:srgbClr val="000000"/>
                </a:solidFill>
                <a:latin typeface="Arial"/>
                <a:ea typeface="宋体"/>
                <a:cs typeface="Arial"/>
              </a:rPr>
              <a:t>0.5</a:t>
            </a:r>
            <a:r>
              <a:rPr lang="zh-CN" altLang="en-US" sz="1100" b="0" i="0" u="none" strike="noStrike" baseline="0">
                <a:solidFill>
                  <a:srgbClr val="000000"/>
                </a:solidFill>
                <a:latin typeface="宋体"/>
                <a:ea typeface="宋体"/>
                <a:cs typeface="Arial"/>
              </a:rPr>
              <a:t>元；</a:t>
            </a:r>
          </a:p>
          <a:p>
            <a:pPr algn="l" rtl="0">
              <a:defRPr sz="1000"/>
            </a:pPr>
            <a:r>
              <a:rPr lang="zh-CN" altLang="en-US" sz="1100" b="0" i="0" u="none" strike="noStrike" baseline="0">
                <a:solidFill>
                  <a:srgbClr val="000000"/>
                </a:solidFill>
                <a:latin typeface="Arial"/>
                <a:cs typeface="Arial"/>
              </a:rPr>
              <a:t>5</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用一个绿色实心点子反映最小的年总成本的位置。</a:t>
            </a: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37891"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 y="399"/>
            <a:ext cx="437" cy="304"/>
          </a:xfrm>
          <a:prstGeom prst="rect">
            <a:avLst/>
          </a:prstGeom>
          <a:solidFill>
            <a:srgbClr val="FFCCFF"/>
          </a:solidFill>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2</xdr:row>
      <xdr:rowOff>9525</xdr:rowOff>
    </xdr:from>
    <xdr:to>
      <xdr:col>9</xdr:col>
      <xdr:colOff>647700</xdr:colOff>
      <xdr:row>17</xdr:row>
      <xdr:rowOff>0</xdr:rowOff>
    </xdr:to>
    <xdr:grpSp>
      <xdr:nvGrpSpPr>
        <xdr:cNvPr id="38916" name="Group 4"/>
        <xdr:cNvGrpSpPr>
          <a:grpSpLocks/>
        </xdr:cNvGrpSpPr>
      </xdr:nvGrpSpPr>
      <xdr:grpSpPr bwMode="auto">
        <a:xfrm>
          <a:off x="1628775" y="390525"/>
          <a:ext cx="5191125" cy="2847975"/>
          <a:chOff x="148" y="40"/>
          <a:chExt cx="545" cy="299"/>
        </a:xfrm>
      </xdr:grpSpPr>
      <xdr:sp macro="" textlink="">
        <xdr:nvSpPr>
          <xdr:cNvPr id="38914" name="Text Box 2"/>
          <xdr:cNvSpPr txBox="1">
            <a:spLocks noChangeArrowheads="1"/>
          </xdr:cNvSpPr>
        </xdr:nvSpPr>
        <xdr:spPr bwMode="auto">
          <a:xfrm>
            <a:off x="148" y="40"/>
            <a:ext cx="545" cy="299"/>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zh-CN" altLang="en-US" sz="1100" b="1" i="0" u="none" strike="noStrike" baseline="0">
                <a:solidFill>
                  <a:srgbClr val="000000"/>
                </a:solidFill>
                <a:latin typeface="Times New Roman"/>
                <a:cs typeface="Times New Roman"/>
              </a:rPr>
              <a:t> </a:t>
            </a:r>
            <a:r>
              <a:rPr lang="zh-CN" altLang="en-US" sz="1100" b="1" i="0" u="none" strike="noStrike" baseline="0">
                <a:solidFill>
                  <a:srgbClr val="000000"/>
                </a:solidFill>
                <a:latin typeface="宋体"/>
                <a:ea typeface="宋体"/>
                <a:cs typeface="Times New Roman"/>
              </a:rPr>
              <a:t>第</a:t>
            </a:r>
            <a:r>
              <a:rPr lang="zh-CN" altLang="en-US" sz="1100" b="1" i="0" u="none" strike="noStrike" baseline="0">
                <a:solidFill>
                  <a:srgbClr val="000000"/>
                </a:solidFill>
                <a:latin typeface="Times New Roman"/>
                <a:ea typeface="宋体"/>
                <a:cs typeface="Times New Roman"/>
              </a:rPr>
              <a:t>4</a:t>
            </a:r>
            <a:r>
              <a:rPr lang="zh-CN" altLang="en-US" sz="1100" b="1" i="0" u="none" strike="noStrike" baseline="0">
                <a:solidFill>
                  <a:srgbClr val="000000"/>
                </a:solidFill>
                <a:latin typeface="宋体"/>
                <a:ea typeface="宋体"/>
                <a:cs typeface="Times New Roman"/>
              </a:rPr>
              <a:t>题（</a:t>
            </a:r>
            <a:r>
              <a:rPr lang="zh-CN" altLang="en-US" sz="1100" b="1" i="0" u="none" strike="noStrike" baseline="0">
                <a:solidFill>
                  <a:srgbClr val="000000"/>
                </a:solidFill>
                <a:latin typeface="Times New Roman"/>
                <a:ea typeface="宋体"/>
                <a:cs typeface="Times New Roman"/>
              </a:rPr>
              <a:t>10</a:t>
            </a:r>
            <a:r>
              <a:rPr lang="zh-CN" altLang="en-US" sz="1100" b="1" i="0" u="none" strike="noStrike" baseline="0">
                <a:solidFill>
                  <a:srgbClr val="000000"/>
                </a:solidFill>
                <a:latin typeface="宋体"/>
                <a:ea typeface="宋体"/>
                <a:cs typeface="Times New Roman"/>
              </a:rPr>
              <a:t>分）</a:t>
            </a:r>
            <a:r>
              <a:rPr lang="zh-CN" altLang="en-US" sz="1100" b="0" i="0" u="none" strike="noStrike" baseline="0">
                <a:solidFill>
                  <a:srgbClr val="000000"/>
                </a:solidFill>
                <a:latin typeface="宋体"/>
                <a:ea typeface="宋体"/>
                <a:cs typeface="Times New Roman"/>
              </a:rPr>
              <a:t>某会计师事务所承担了三家企业的审计任务，要将三位审计员分别派去三家企业。由于这三位审计员的经验与专长不同，他们对这三家企业进行审计时所需要的天数各不相同，具体数据如下表所示：</a:t>
            </a:r>
          </a:p>
          <a:p>
            <a:pPr algn="l" rtl="0">
              <a:defRPr sz="1000"/>
            </a:pPr>
            <a:endParaRPr lang="zh-CN" altLang="en-US" sz="1100" b="0" i="0" u="none" strike="noStrike" baseline="0">
              <a:solidFill>
                <a:srgbClr val="000000"/>
              </a:solidFill>
              <a:latin typeface="宋体"/>
              <a:ea typeface="宋体"/>
              <a:cs typeface="Times New Roman"/>
            </a:endParaRPr>
          </a:p>
          <a:p>
            <a:pPr algn="l" rtl="0">
              <a:defRPr sz="1000"/>
            </a:pPr>
            <a:endParaRPr lang="zh-CN" altLang="en-US" sz="1100" b="0" i="0" u="none" strike="noStrike" baseline="0">
              <a:solidFill>
                <a:srgbClr val="000000"/>
              </a:solidFill>
              <a:latin typeface="宋体"/>
              <a:ea typeface="宋体"/>
              <a:cs typeface="Times New Roman"/>
            </a:endParaRPr>
          </a:p>
          <a:p>
            <a:pPr algn="l" rtl="0">
              <a:defRPr sz="1000"/>
            </a:pPr>
            <a:endParaRPr lang="zh-CN" altLang="en-US" sz="1100" b="0" i="0" u="none" strike="noStrike" baseline="0">
              <a:solidFill>
                <a:srgbClr val="000000"/>
              </a:solidFill>
              <a:latin typeface="宋体"/>
              <a:ea typeface="宋体"/>
              <a:cs typeface="Times New Roman"/>
            </a:endParaRPr>
          </a:p>
          <a:p>
            <a:pPr algn="l" rtl="0">
              <a:lnSpc>
                <a:spcPts val="1300"/>
              </a:lnSpc>
              <a:defRPr sz="1000"/>
            </a:pPr>
            <a:endParaRPr lang="zh-CN" altLang="en-US" sz="1100" b="0" i="0" u="none" strike="noStrike" baseline="0">
              <a:solidFill>
                <a:srgbClr val="000000"/>
              </a:solidFill>
              <a:latin typeface="宋体"/>
              <a:ea typeface="宋体"/>
              <a:cs typeface="Times New Roman"/>
            </a:endParaRPr>
          </a:p>
          <a:p>
            <a:pPr algn="l" rtl="0">
              <a:lnSpc>
                <a:spcPts val="1300"/>
              </a:lnSpc>
              <a:defRPr sz="1000"/>
            </a:pPr>
            <a:endParaRPr lang="zh-CN" altLang="en-US" sz="1100" b="0" i="0" u="none" strike="noStrike" baseline="0">
              <a:solidFill>
                <a:srgbClr val="000000"/>
              </a:solidFill>
              <a:latin typeface="宋体"/>
              <a:ea typeface="宋体"/>
              <a:cs typeface="Times New Roman"/>
            </a:endParaRPr>
          </a:p>
          <a:p>
            <a:pPr algn="l" rtl="0">
              <a:defRPr sz="1000"/>
            </a:pPr>
            <a:endParaRPr lang="zh-CN" altLang="en-US" sz="1100" b="0" i="0" u="none" strike="noStrike" baseline="0">
              <a:solidFill>
                <a:srgbClr val="000000"/>
              </a:solidFill>
              <a:latin typeface="宋体"/>
              <a:ea typeface="宋体"/>
              <a:cs typeface="Times New Roman"/>
            </a:endParaRPr>
          </a:p>
          <a:p>
            <a:pPr algn="l" rtl="0">
              <a:lnSpc>
                <a:spcPts val="1300"/>
              </a:lnSpc>
              <a:defRPr sz="1000"/>
            </a:pPr>
            <a:endParaRPr lang="zh-CN" altLang="en-US" sz="1100" b="0" i="0" u="none" strike="noStrike" baseline="0">
              <a:solidFill>
                <a:srgbClr val="000000"/>
              </a:solidFill>
              <a:latin typeface="宋体"/>
              <a:ea typeface="宋体"/>
              <a:cs typeface="Times New Roman"/>
            </a:endParaRPr>
          </a:p>
          <a:p>
            <a:pPr algn="l" rtl="0">
              <a:defRPr sz="1000"/>
            </a:pPr>
            <a:r>
              <a:rPr lang="zh-CN" altLang="en-US" sz="1100" b="0" i="0" u="none" strike="noStrike" baseline="0">
                <a:solidFill>
                  <a:srgbClr val="000000"/>
                </a:solidFill>
                <a:latin typeface="宋体"/>
                <a:ea typeface="宋体"/>
                <a:cs typeface="Times New Roman"/>
              </a:rPr>
              <a:t>要求：</a:t>
            </a:r>
          </a:p>
          <a:p>
            <a:pPr algn="l" rtl="0">
              <a:lnSpc>
                <a:spcPts val="1300"/>
              </a:lnSpc>
              <a:defRPr sz="1000"/>
            </a:pPr>
            <a:r>
              <a:rPr lang="zh-CN" altLang="en-US" sz="1100" b="0" i="0" u="none" strike="noStrike" baseline="0">
                <a:solidFill>
                  <a:srgbClr val="000000"/>
                </a:solidFill>
                <a:latin typeface="Times New Roman"/>
                <a:cs typeface="Times New Roman"/>
              </a:rPr>
              <a:t>1</a:t>
            </a:r>
            <a:r>
              <a:rPr lang="zh-CN" altLang="en-US" sz="1100" b="0" i="0" u="none" strike="noStrike" baseline="0">
                <a:solidFill>
                  <a:srgbClr val="000000"/>
                </a:solidFill>
                <a:latin typeface="宋体"/>
                <a:ea typeface="宋体"/>
                <a:cs typeface="Times New Roman"/>
              </a:rPr>
              <a:t>、在本工作表中构造一个规划模型，找到最佳的人员派出方案，使得所需要的审计总天数达到最少。</a:t>
            </a:r>
          </a:p>
          <a:p>
            <a:pPr algn="l" rtl="0">
              <a:defRPr sz="1000"/>
            </a:pPr>
            <a:r>
              <a:rPr lang="zh-CN" altLang="en-US" sz="1100" b="0" i="0" u="none" strike="noStrike" baseline="0">
                <a:solidFill>
                  <a:srgbClr val="000000"/>
                </a:solidFill>
                <a:latin typeface="Times New Roman"/>
                <a:cs typeface="Times New Roman"/>
              </a:rPr>
              <a:t>2</a:t>
            </a:r>
            <a:r>
              <a:rPr lang="zh-CN" altLang="en-US" sz="1100" b="0" i="0" u="none" strike="noStrike" baseline="0">
                <a:solidFill>
                  <a:srgbClr val="000000"/>
                </a:solidFill>
                <a:latin typeface="宋体"/>
                <a:ea typeface="宋体"/>
                <a:cs typeface="Times New Roman"/>
              </a:rPr>
              <a:t>、将规划求解的模型设置保存在从</a:t>
            </a:r>
            <a:r>
              <a:rPr lang="zh-CN" altLang="en-US" sz="1100" b="0" i="0" u="none" strike="noStrike" baseline="0">
                <a:solidFill>
                  <a:srgbClr val="000000"/>
                </a:solidFill>
                <a:latin typeface="Times New Roman"/>
                <a:ea typeface="宋体"/>
                <a:cs typeface="Times New Roman"/>
              </a:rPr>
              <a:t>A1</a:t>
            </a:r>
            <a:r>
              <a:rPr lang="zh-CN" altLang="en-US" sz="1100" b="0" i="0" u="none" strike="noStrike" baseline="0">
                <a:solidFill>
                  <a:srgbClr val="000000"/>
                </a:solidFill>
                <a:latin typeface="宋体"/>
                <a:ea typeface="宋体"/>
                <a:cs typeface="Times New Roman"/>
              </a:rPr>
              <a:t>开始的单元内。</a:t>
            </a:r>
          </a:p>
          <a:p>
            <a:pPr algn="l" rtl="0">
              <a:lnSpc>
                <a:spcPts val="1200"/>
              </a:lnSpc>
              <a:defRPr sz="1000"/>
            </a:pPr>
            <a:endParaRPr lang="zh-CN" altLang="en-US" sz="1100" b="0" i="0" u="none" strike="noStrike" baseline="0">
              <a:solidFill>
                <a:srgbClr val="000000"/>
              </a:solidFill>
              <a:latin typeface="宋体"/>
              <a:ea typeface="宋体"/>
            </a:endParaRPr>
          </a:p>
        </xdr:txBody>
      </xdr:sp>
      <xdr:pic>
        <xdr:nvPicPr>
          <xdr:cNvPr id="38915"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 y="113"/>
            <a:ext cx="302" cy="109"/>
          </a:xfrm>
          <a:prstGeom prst="rect">
            <a:avLst/>
          </a:prstGeom>
          <a:solidFill>
            <a:srgbClr val="FFCCFF"/>
          </a:solidFill>
          <a:ln>
            <a:noFill/>
          </a:ln>
          <a:effectLst/>
          <a:extLs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285750</xdr:colOff>
      <xdr:row>1</xdr:row>
      <xdr:rowOff>28575</xdr:rowOff>
    </xdr:from>
    <xdr:to>
      <xdr:col>12</xdr:col>
      <xdr:colOff>590550</xdr:colOff>
      <xdr:row>9</xdr:row>
      <xdr:rowOff>142875</xdr:rowOff>
    </xdr:to>
    <xdr:sp macro="" textlink="">
      <xdr:nvSpPr>
        <xdr:cNvPr id="39937" name="TextBox 2"/>
        <xdr:cNvSpPr txBox="1">
          <a:spLocks noChangeArrowheads="1"/>
        </xdr:cNvSpPr>
      </xdr:nvSpPr>
      <xdr:spPr bwMode="auto">
        <a:xfrm>
          <a:off x="5286375" y="219075"/>
          <a:ext cx="3733800" cy="1638300"/>
        </a:xfrm>
        <a:prstGeom prst="rect">
          <a:avLst/>
        </a:prstGeom>
        <a:solidFill>
          <a:srgbClr val="FFCCFF"/>
        </a:solidFill>
        <a:ln w="9525">
          <a:solidFill>
            <a:srgbClr val="000000"/>
          </a:solidFill>
          <a:miter lim="800000"/>
          <a:headEnd/>
          <a:tailEnd/>
        </a:ln>
      </xdr:spPr>
      <xdr:txBody>
        <a:bodyPr vertOverflow="clip" wrap="square" lIns="36576" tIns="18288" rIns="0" bIns="0" anchor="t"/>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Calibri"/>
              <a:ea typeface="宋体"/>
            </a:rPr>
            <a:t>5</a:t>
          </a:r>
          <a:r>
            <a:rPr lang="zh-CN" altLang="en-US" sz="1100" b="1" i="0" u="none" strike="noStrike" baseline="0">
              <a:solidFill>
                <a:srgbClr val="000000"/>
              </a:solidFill>
              <a:latin typeface="宋体"/>
              <a:ea typeface="宋体"/>
            </a:rPr>
            <a:t>题（</a:t>
          </a:r>
          <a:r>
            <a:rPr lang="zh-CN" altLang="en-US" sz="1100" b="1" i="0" u="none" strike="noStrike" baseline="0">
              <a:solidFill>
                <a:srgbClr val="000000"/>
              </a:solidFill>
              <a:latin typeface="Calibri"/>
              <a:ea typeface="宋体"/>
            </a:rPr>
            <a:t>15</a:t>
          </a:r>
          <a:r>
            <a:rPr lang="zh-CN" altLang="en-US" sz="1100" b="1" i="0" u="none" strike="noStrike" baseline="0">
              <a:solidFill>
                <a:srgbClr val="000000"/>
              </a:solidFill>
              <a:latin typeface="宋体"/>
              <a:ea typeface="宋体"/>
            </a:rPr>
            <a:t>分）</a:t>
          </a:r>
          <a:r>
            <a:rPr lang="zh-CN" altLang="en-US" sz="1100" b="0" i="0" u="none" strike="noStrike" baseline="0">
              <a:solidFill>
                <a:srgbClr val="000000"/>
              </a:solidFill>
              <a:latin typeface="宋体"/>
              <a:ea typeface="宋体"/>
            </a:rPr>
            <a:t>华光汽车制造厂生产珠江、松花江、黄河三种品牌的汽车。已知各生产一辆品牌车的钢材、劳动力的消耗和利润值，以及每月可提供的钢材和劳动力小时数如表所示。假如在黄河牌汽车的月产量不能低于</a:t>
          </a:r>
          <a:r>
            <a:rPr lang="zh-CN" altLang="en-US" sz="1100" b="0" i="0" u="none" strike="noStrike" baseline="0">
              <a:solidFill>
                <a:srgbClr val="000000"/>
              </a:solidFill>
              <a:latin typeface="Calibri"/>
              <a:ea typeface="宋体"/>
            </a:rPr>
            <a:t>300</a:t>
          </a:r>
          <a:r>
            <a:rPr lang="zh-CN" altLang="en-US" sz="1100" b="0" i="0" u="none" strike="noStrike" baseline="0">
              <a:solidFill>
                <a:srgbClr val="000000"/>
              </a:solidFill>
              <a:latin typeface="宋体"/>
              <a:ea typeface="宋体"/>
            </a:rPr>
            <a:t>辆的情况下，试用规划求解工具为该厂找出一个使月总利润最大的生产计划，并将规划求解模型保存在单元格</a:t>
          </a:r>
          <a:r>
            <a:rPr lang="zh-CN" altLang="en-US" sz="1100" b="0" i="0" u="none" strike="noStrike" baseline="0">
              <a:solidFill>
                <a:srgbClr val="000000"/>
              </a:solidFill>
              <a:latin typeface="Calibri"/>
              <a:ea typeface="宋体"/>
            </a:rPr>
            <a:t>B17 </a:t>
          </a:r>
          <a:r>
            <a:rPr lang="zh-CN" altLang="en-US" sz="1100" b="0" i="0" u="none" strike="noStrike" baseline="0">
              <a:solidFill>
                <a:srgbClr val="000000"/>
              </a:solidFill>
              <a:latin typeface="宋体"/>
              <a:ea typeface="宋体"/>
            </a:rPr>
            <a:t>开始的区域中。</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219075</xdr:colOff>
      <xdr:row>2</xdr:row>
      <xdr:rowOff>114300</xdr:rowOff>
    </xdr:from>
    <xdr:to>
      <xdr:col>9</xdr:col>
      <xdr:colOff>257175</xdr:colOff>
      <xdr:row>9</xdr:row>
      <xdr:rowOff>76200</xdr:rowOff>
    </xdr:to>
    <xdr:sp macro="" textlink="">
      <xdr:nvSpPr>
        <xdr:cNvPr id="40961" name="Text Box 1"/>
        <xdr:cNvSpPr txBox="1">
          <a:spLocks noChangeArrowheads="1"/>
        </xdr:cNvSpPr>
      </xdr:nvSpPr>
      <xdr:spPr bwMode="auto">
        <a:xfrm>
          <a:off x="828675" y="495300"/>
          <a:ext cx="4914900" cy="1295400"/>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6</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10</a:t>
          </a:r>
          <a:r>
            <a:rPr lang="zh-CN" altLang="en-US" sz="1100" b="1" i="0" u="none" strike="noStrike" baseline="0">
              <a:solidFill>
                <a:srgbClr val="000000"/>
              </a:solidFill>
              <a:latin typeface="宋体"/>
              <a:ea typeface="宋体"/>
              <a:cs typeface="Arial"/>
            </a:rPr>
            <a:t>分）</a:t>
          </a:r>
          <a:r>
            <a:rPr lang="zh-CN" altLang="en-US" sz="1100" b="1" i="0" u="none" strike="noStrike" baseline="0">
              <a:solidFill>
                <a:srgbClr val="000000"/>
              </a:solidFill>
              <a:latin typeface="Arial"/>
              <a:ea typeface="宋体"/>
              <a:cs typeface="Arial"/>
            </a:rPr>
            <a:t> </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企业某项目的初始投资额为</a:t>
          </a:r>
          <a:r>
            <a:rPr lang="zh-CN" altLang="en-US" sz="1100" b="0" i="0" u="none" strike="noStrike" baseline="0">
              <a:solidFill>
                <a:srgbClr val="000000"/>
              </a:solidFill>
              <a:latin typeface="Arial"/>
              <a:ea typeface="宋体"/>
              <a:cs typeface="Arial"/>
            </a:rPr>
            <a:t>40000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1</a:t>
          </a:r>
          <a:r>
            <a:rPr lang="zh-CN" altLang="en-US" sz="1100" b="0" i="0" u="none" strike="noStrike" baseline="0">
              <a:solidFill>
                <a:srgbClr val="000000"/>
              </a:solidFill>
              <a:latin typeface="宋体"/>
              <a:ea typeface="宋体"/>
              <a:cs typeface="Arial"/>
            </a:rPr>
            <a:t>年可获得</a:t>
          </a:r>
          <a:r>
            <a:rPr lang="zh-CN" altLang="en-US" sz="1100" b="0" i="0" u="none" strike="noStrike" baseline="0">
              <a:solidFill>
                <a:srgbClr val="000000"/>
              </a:solidFill>
              <a:latin typeface="Arial"/>
              <a:ea typeface="宋体"/>
              <a:cs typeface="Arial"/>
            </a:rPr>
            <a:t>5000</a:t>
          </a:r>
          <a:r>
            <a:rPr lang="zh-CN" altLang="en-US" sz="1100" b="0" i="0" u="none" strike="noStrike" baseline="0">
              <a:solidFill>
                <a:srgbClr val="000000"/>
              </a:solidFill>
              <a:latin typeface="宋体"/>
              <a:ea typeface="宋体"/>
              <a:cs typeface="Arial"/>
            </a:rPr>
            <a:t>元的回报但还要再投入</a:t>
          </a:r>
          <a:r>
            <a:rPr lang="zh-CN" altLang="en-US" sz="1100" b="0" i="0" u="none" strike="noStrike" baseline="0">
              <a:solidFill>
                <a:srgbClr val="000000"/>
              </a:solidFill>
              <a:latin typeface="Arial"/>
              <a:ea typeface="宋体"/>
              <a:cs typeface="Arial"/>
            </a:rPr>
            <a:t>20000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2</a:t>
          </a:r>
          <a:r>
            <a:rPr lang="zh-CN" altLang="en-US" sz="1100" b="0" i="0" u="none" strike="noStrike" baseline="0">
              <a:solidFill>
                <a:srgbClr val="000000"/>
              </a:solidFill>
              <a:latin typeface="宋体"/>
              <a:ea typeface="宋体"/>
              <a:cs typeface="Arial"/>
            </a:rPr>
            <a:t>年可获得</a:t>
          </a:r>
          <a:r>
            <a:rPr lang="zh-CN" altLang="en-US" sz="1100" b="0" i="0" u="none" strike="noStrike" baseline="0">
              <a:solidFill>
                <a:srgbClr val="000000"/>
              </a:solidFill>
              <a:latin typeface="Arial"/>
              <a:ea typeface="宋体"/>
              <a:cs typeface="Arial"/>
            </a:rPr>
            <a:t>15000</a:t>
          </a:r>
          <a:r>
            <a:rPr lang="zh-CN" altLang="en-US" sz="1100" b="0" i="0" u="none" strike="noStrike" baseline="0">
              <a:solidFill>
                <a:srgbClr val="000000"/>
              </a:solidFill>
              <a:latin typeface="宋体"/>
              <a:ea typeface="宋体"/>
              <a:cs typeface="Arial"/>
            </a:rPr>
            <a:t>元的回报但还要再投入</a:t>
          </a:r>
          <a:r>
            <a:rPr lang="zh-CN" altLang="en-US" sz="1100" b="0" i="0" u="none" strike="noStrike" baseline="0">
              <a:solidFill>
                <a:srgbClr val="000000"/>
              </a:solidFill>
              <a:latin typeface="Arial"/>
              <a:ea typeface="宋体"/>
              <a:cs typeface="Arial"/>
            </a:rPr>
            <a:t>10000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3</a:t>
          </a:r>
          <a:r>
            <a:rPr lang="zh-CN" altLang="en-US" sz="1100" b="0" i="0" u="none" strike="noStrike" baseline="0">
              <a:solidFill>
                <a:srgbClr val="000000"/>
              </a:solidFill>
              <a:latin typeface="宋体"/>
              <a:ea typeface="宋体"/>
              <a:cs typeface="Arial"/>
            </a:rPr>
            <a:t>年起可不必再投入，该年的回报为</a:t>
          </a:r>
          <a:r>
            <a:rPr lang="zh-CN" altLang="en-US" sz="1100" b="0" i="0" u="none" strike="noStrike" baseline="0">
              <a:solidFill>
                <a:srgbClr val="000000"/>
              </a:solidFill>
              <a:latin typeface="Arial"/>
              <a:ea typeface="宋体"/>
              <a:cs typeface="Arial"/>
            </a:rPr>
            <a:t>20000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年的回报为</a:t>
          </a:r>
          <a:r>
            <a:rPr lang="zh-CN" altLang="en-US" sz="1100" b="0" i="0" u="none" strike="noStrike" baseline="0">
              <a:solidFill>
                <a:srgbClr val="000000"/>
              </a:solidFill>
              <a:latin typeface="Arial"/>
              <a:ea typeface="宋体"/>
              <a:cs typeface="Arial"/>
            </a:rPr>
            <a:t>30000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年获得</a:t>
          </a:r>
          <a:r>
            <a:rPr lang="zh-CN" altLang="en-US" sz="1100" b="0" i="0" u="none" strike="noStrike" baseline="0">
              <a:solidFill>
                <a:srgbClr val="000000"/>
              </a:solidFill>
              <a:latin typeface="Arial"/>
              <a:ea typeface="宋体"/>
              <a:cs typeface="Arial"/>
            </a:rPr>
            <a:t>20000</a:t>
          </a:r>
          <a:r>
            <a:rPr lang="zh-CN" altLang="en-US" sz="1100" b="0" i="0" u="none" strike="noStrike" baseline="0">
              <a:solidFill>
                <a:srgbClr val="000000"/>
              </a:solidFill>
              <a:latin typeface="宋体"/>
              <a:ea typeface="宋体"/>
              <a:cs typeface="Arial"/>
            </a:rPr>
            <a:t>元的回报后，该项目便不再有回报。要求：</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、计算该投资项目的净现值。</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、计算该项目的内部报酬率。</a:t>
          </a: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133350</xdr:colOff>
      <xdr:row>4</xdr:row>
      <xdr:rowOff>66675</xdr:rowOff>
    </xdr:from>
    <xdr:to>
      <xdr:col>9</xdr:col>
      <xdr:colOff>638175</xdr:colOff>
      <xdr:row>15</xdr:row>
      <xdr:rowOff>123825</xdr:rowOff>
    </xdr:to>
    <xdr:sp macro="" textlink="">
      <xdr:nvSpPr>
        <xdr:cNvPr id="41985" name="Text Box 1"/>
        <xdr:cNvSpPr txBox="1">
          <a:spLocks noChangeArrowheads="1"/>
        </xdr:cNvSpPr>
      </xdr:nvSpPr>
      <xdr:spPr bwMode="auto">
        <a:xfrm>
          <a:off x="5038725" y="828675"/>
          <a:ext cx="6191250" cy="2152650"/>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7</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 (15</a:t>
          </a:r>
          <a:r>
            <a:rPr lang="zh-CN" altLang="en-US" sz="1100" b="1" i="0" u="none" strike="noStrike" baseline="0">
              <a:solidFill>
                <a:srgbClr val="000000"/>
              </a:solidFill>
              <a:latin typeface="宋体"/>
              <a:ea typeface="宋体"/>
              <a:cs typeface="Arial"/>
            </a:rPr>
            <a:t>分</a:t>
          </a:r>
          <a:r>
            <a:rPr lang="zh-CN" altLang="en-US" sz="1100" b="1" i="0" u="none" strike="noStrike" baseline="0">
              <a:solidFill>
                <a:srgbClr val="000000"/>
              </a:solidFill>
              <a:latin typeface="Arial"/>
              <a:ea typeface="宋体"/>
              <a:cs typeface="Arial"/>
            </a:rPr>
            <a:t>)</a:t>
          </a:r>
          <a:r>
            <a:rPr lang="zh-CN" altLang="en-US" sz="1100" b="1" i="0" u="none" strike="noStrike" baseline="0">
              <a:solidFill>
                <a:srgbClr val="000000"/>
              </a:solidFill>
              <a:latin typeface="宋体"/>
              <a:ea typeface="宋体"/>
              <a:cs typeface="Arial"/>
            </a:rPr>
            <a:t>：</a:t>
          </a:r>
          <a:r>
            <a:rPr lang="zh-CN" altLang="en-US" sz="1100" b="0" i="0" u="none" strike="noStrike" baseline="0">
              <a:solidFill>
                <a:srgbClr val="000000"/>
              </a:solidFill>
              <a:latin typeface="宋体"/>
              <a:ea typeface="宋体"/>
              <a:cs typeface="Arial"/>
            </a:rPr>
            <a:t>某投资者在</a:t>
          </a:r>
          <a:r>
            <a:rPr lang="zh-CN" altLang="en-US" sz="1100" b="0" i="0" u="none" strike="noStrike" baseline="0">
              <a:solidFill>
                <a:srgbClr val="000000"/>
              </a:solidFill>
              <a:latin typeface="Arial"/>
              <a:ea typeface="宋体"/>
              <a:cs typeface="Arial"/>
            </a:rPr>
            <a:t>2001</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月末以</a:t>
          </a:r>
          <a:r>
            <a:rPr lang="zh-CN" altLang="en-US" sz="1100" b="0" i="0" u="none" strike="noStrike" baseline="0">
              <a:solidFill>
                <a:srgbClr val="000000"/>
              </a:solidFill>
              <a:latin typeface="Arial"/>
              <a:ea typeface="宋体"/>
              <a:cs typeface="Arial"/>
            </a:rPr>
            <a:t>200</a:t>
          </a:r>
          <a:r>
            <a:rPr lang="zh-CN" altLang="en-US" sz="1100" b="0" i="0" u="none" strike="noStrike" baseline="0">
              <a:solidFill>
                <a:srgbClr val="000000"/>
              </a:solidFill>
              <a:latin typeface="宋体"/>
              <a:ea typeface="宋体"/>
              <a:cs typeface="Arial"/>
            </a:rPr>
            <a:t>万的总价购买了一处房产，首付</a:t>
          </a:r>
          <a:r>
            <a:rPr lang="zh-CN" altLang="en-US" sz="1100" b="0" i="0" u="none" strike="noStrike" baseline="0">
              <a:solidFill>
                <a:srgbClr val="000000"/>
              </a:solidFill>
              <a:latin typeface="Arial"/>
              <a:ea typeface="宋体"/>
              <a:cs typeface="Arial"/>
            </a:rPr>
            <a:t>80</a:t>
          </a:r>
          <a:r>
            <a:rPr lang="zh-CN" altLang="en-US" sz="1100" b="0" i="0" u="none" strike="noStrike" baseline="0">
              <a:solidFill>
                <a:srgbClr val="000000"/>
              </a:solidFill>
              <a:latin typeface="宋体"/>
              <a:ea typeface="宋体"/>
              <a:cs typeface="Arial"/>
            </a:rPr>
            <a:t>万现金，贷款</a:t>
          </a:r>
          <a:r>
            <a:rPr lang="zh-CN" altLang="en-US" sz="1100" b="0" i="0" u="none" strike="noStrike" baseline="0">
              <a:solidFill>
                <a:srgbClr val="000000"/>
              </a:solidFill>
              <a:latin typeface="Arial"/>
              <a:ea typeface="宋体"/>
              <a:cs typeface="Arial"/>
            </a:rPr>
            <a:t>120</a:t>
          </a:r>
          <a:r>
            <a:rPr lang="zh-CN" altLang="en-US" sz="1100" b="0" i="0" u="none" strike="noStrike" baseline="0">
              <a:solidFill>
                <a:srgbClr val="000000"/>
              </a:solidFill>
              <a:latin typeface="宋体"/>
              <a:ea typeface="宋体"/>
              <a:cs typeface="Arial"/>
            </a:rPr>
            <a:t>万元，贷款年限</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年（至</a:t>
          </a:r>
          <a:r>
            <a:rPr lang="zh-CN" altLang="en-US" sz="1100" b="0" i="0" u="none" strike="noStrike" baseline="0">
              <a:solidFill>
                <a:srgbClr val="000000"/>
              </a:solidFill>
              <a:latin typeface="Arial"/>
              <a:ea typeface="宋体"/>
              <a:cs typeface="Arial"/>
            </a:rPr>
            <a:t>2006</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月末还款后结清</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），按月等额还款，年贷款利率为</a:t>
          </a:r>
          <a:r>
            <a:rPr lang="zh-CN" altLang="en-US" sz="1100" b="0" i="0" u="none" strike="noStrike" baseline="0">
              <a:solidFill>
                <a:srgbClr val="000000"/>
              </a:solidFill>
              <a:latin typeface="Arial"/>
              <a:ea typeface="宋体"/>
              <a:cs typeface="Arial"/>
            </a:rPr>
            <a:t>4.96%</a:t>
          </a:r>
          <a:r>
            <a:rPr lang="zh-CN" altLang="en-US" sz="1100" b="0" i="0" u="none" strike="noStrike" baseline="0">
              <a:solidFill>
                <a:srgbClr val="000000"/>
              </a:solidFill>
              <a:latin typeface="宋体"/>
              <a:ea typeface="宋体"/>
              <a:cs typeface="Arial"/>
            </a:rPr>
            <a:t>。要求：</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、从</a:t>
          </a:r>
          <a:r>
            <a:rPr lang="zh-CN" altLang="en-US" sz="1100" b="0" i="0" u="none" strike="noStrike" baseline="0">
              <a:solidFill>
                <a:srgbClr val="000000"/>
              </a:solidFill>
              <a:latin typeface="Arial"/>
              <a:ea typeface="宋体"/>
              <a:cs typeface="Arial"/>
            </a:rPr>
            <a:t>2001</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月开始等额还款额，计算出每月的等额还款额。</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、若从</a:t>
          </a:r>
          <a:r>
            <a:rPr lang="zh-CN" altLang="en-US" sz="1100" b="0" i="0" u="none" strike="noStrike" baseline="0">
              <a:solidFill>
                <a:srgbClr val="000000"/>
              </a:solidFill>
              <a:latin typeface="Arial"/>
              <a:ea typeface="宋体"/>
              <a:cs typeface="Arial"/>
            </a:rPr>
            <a:t>2002</a:t>
          </a:r>
          <a:r>
            <a:rPr lang="zh-CN" altLang="en-US" sz="1100" b="0" i="0" u="none" strike="noStrike" baseline="0">
              <a:solidFill>
                <a:srgbClr val="000000"/>
              </a:solidFill>
              <a:latin typeface="宋体"/>
              <a:ea typeface="宋体"/>
              <a:cs typeface="Arial"/>
            </a:rPr>
            <a:t>年至</a:t>
          </a:r>
          <a:r>
            <a:rPr lang="zh-CN" altLang="en-US" sz="1100" b="0" i="0" u="none" strike="noStrike" baseline="0">
              <a:solidFill>
                <a:srgbClr val="000000"/>
              </a:solidFill>
              <a:latin typeface="Arial"/>
              <a:ea typeface="宋体"/>
              <a:cs typeface="Arial"/>
            </a:rPr>
            <a:t>2005</a:t>
          </a:r>
          <a:r>
            <a:rPr lang="zh-CN" altLang="en-US" sz="1100" b="0" i="0" u="none" strike="noStrike" baseline="0">
              <a:solidFill>
                <a:srgbClr val="000000"/>
              </a:solidFill>
              <a:latin typeface="宋体"/>
              <a:ea typeface="宋体"/>
              <a:cs typeface="Arial"/>
            </a:rPr>
            <a:t>年四年中每年的</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月末采用公积金冲贷，即用当时还贷后的的余额再减去公积金冲贷额</a:t>
          </a:r>
          <a:r>
            <a:rPr lang="zh-CN" altLang="en-US" sz="1100" b="0" i="0" u="none" strike="noStrike" baseline="0">
              <a:solidFill>
                <a:srgbClr val="000000"/>
              </a:solidFill>
              <a:latin typeface="Arial"/>
              <a:ea typeface="宋体"/>
              <a:cs typeface="Arial"/>
            </a:rPr>
            <a:t>2</a:t>
          </a:r>
          <a:r>
            <a:rPr lang="zh-CN" altLang="en-US" sz="1100" b="0" i="0" u="none" strike="noStrike" baseline="0">
              <a:solidFill>
                <a:srgbClr val="000000"/>
              </a:solidFill>
              <a:latin typeface="宋体"/>
              <a:ea typeface="宋体"/>
              <a:cs typeface="Arial"/>
            </a:rPr>
            <a:t>万元。根据合约规定，必须根据冲款后余额和余下的贷款期数重新计算每月等额贷款额。请在</a:t>
          </a:r>
          <a:r>
            <a:rPr lang="zh-CN" altLang="en-US" sz="1100" b="0" i="0" u="none" strike="noStrike" baseline="0">
              <a:solidFill>
                <a:srgbClr val="000000"/>
              </a:solidFill>
              <a:latin typeface="Arial"/>
              <a:ea typeface="宋体"/>
              <a:cs typeface="Arial"/>
            </a:rPr>
            <a:t>G4:K63</a:t>
          </a:r>
          <a:r>
            <a:rPr lang="zh-CN" altLang="en-US" sz="1100" b="0" i="0" u="none" strike="noStrike" baseline="0">
              <a:solidFill>
                <a:srgbClr val="000000"/>
              </a:solidFill>
              <a:latin typeface="宋体"/>
              <a:ea typeface="宋体"/>
              <a:cs typeface="Arial"/>
            </a:rPr>
            <a:t>区域中逐笔计算出每月的余额及新的每月等额还款额。编制</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60</a:t>
          </a:r>
          <a:r>
            <a:rPr lang="zh-CN" altLang="en-US" sz="1100" b="0" i="0" u="none" strike="noStrike" baseline="0">
              <a:solidFill>
                <a:srgbClr val="000000"/>
              </a:solidFill>
              <a:latin typeface="宋体"/>
              <a:ea typeface="宋体"/>
              <a:cs typeface="Arial"/>
            </a:rPr>
            <a:t>期）每月还款的明细报表。</a:t>
          </a:r>
        </a:p>
        <a:p>
          <a:pPr algn="l" rtl="0">
            <a:defRPr sz="1000"/>
          </a:pPr>
          <a:r>
            <a:rPr lang="zh-CN" altLang="en-US" sz="1100" b="0" i="0" u="none" strike="noStrike" baseline="0">
              <a:solidFill>
                <a:srgbClr val="000000"/>
              </a:solidFill>
              <a:latin typeface="Arial"/>
              <a:cs typeface="Arial"/>
            </a:rPr>
            <a:t>4</a:t>
          </a:r>
          <a:r>
            <a:rPr lang="zh-CN" altLang="en-US" sz="1100" b="0" i="0" u="none" strike="noStrike" baseline="0">
              <a:solidFill>
                <a:srgbClr val="000000"/>
              </a:solidFill>
              <a:latin typeface="宋体"/>
              <a:ea typeface="宋体"/>
              <a:cs typeface="Arial"/>
            </a:rPr>
            <a:t>、如果</a:t>
          </a:r>
          <a:r>
            <a:rPr lang="zh-CN" altLang="en-US" sz="1100" b="0" i="0" u="none" strike="noStrike" baseline="0">
              <a:solidFill>
                <a:srgbClr val="000000"/>
              </a:solidFill>
              <a:latin typeface="Arial"/>
              <a:ea typeface="宋体"/>
              <a:cs typeface="Arial"/>
            </a:rPr>
            <a:t>2006</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月末贷款结清后售房现金收入</a:t>
          </a:r>
          <a:r>
            <a:rPr lang="zh-CN" altLang="en-US" sz="1100" b="0" i="0" u="none" strike="noStrike" baseline="0">
              <a:solidFill>
                <a:srgbClr val="000000"/>
              </a:solidFill>
              <a:latin typeface="Arial"/>
              <a:ea typeface="宋体"/>
              <a:cs typeface="Arial"/>
            </a:rPr>
            <a:t>300</a:t>
          </a:r>
          <a:r>
            <a:rPr lang="zh-CN" altLang="en-US" sz="1100" b="0" i="0" u="none" strike="noStrike" baseline="0">
              <a:solidFill>
                <a:srgbClr val="000000"/>
              </a:solidFill>
              <a:latin typeface="宋体"/>
              <a:ea typeface="宋体"/>
              <a:cs typeface="Arial"/>
            </a:rPr>
            <a:t>万，假定贴现率为</a:t>
          </a:r>
          <a:r>
            <a:rPr lang="zh-CN" altLang="en-US" sz="1100" b="0" i="0" u="none" strike="noStrike" baseline="0">
              <a:solidFill>
                <a:srgbClr val="000000"/>
              </a:solidFill>
              <a:latin typeface="Arial"/>
              <a:ea typeface="宋体"/>
              <a:cs typeface="Arial"/>
            </a:rPr>
            <a:t>7%</a:t>
          </a:r>
          <a:r>
            <a:rPr lang="zh-CN" altLang="en-US" sz="1100" b="0" i="0" u="none" strike="noStrike" baseline="0">
              <a:solidFill>
                <a:srgbClr val="000000"/>
              </a:solidFill>
              <a:latin typeface="宋体"/>
              <a:ea typeface="宋体"/>
              <a:cs typeface="Arial"/>
            </a:rPr>
            <a:t>，使用净现金流量表及相应的函数计算出此投资项目的净现值和内部报酬率。</a:t>
          </a:r>
        </a:p>
        <a:p>
          <a:pPr algn="l" rtl="0">
            <a:lnSpc>
              <a:spcPts val="1300"/>
            </a:lnSpc>
            <a:defRPr sz="1000"/>
          </a:pPr>
          <a:r>
            <a:rPr lang="zh-CN" altLang="en-US" sz="1100" b="0" i="0" u="none" strike="noStrike" baseline="0">
              <a:solidFill>
                <a:srgbClr val="000000"/>
              </a:solidFill>
              <a:latin typeface="宋体"/>
              <a:ea typeface="宋体"/>
              <a:cs typeface="Arial"/>
            </a:rPr>
            <a:t>说明：金额的单位为万元，保留小数位</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位，百分比格式保留小数位</a:t>
          </a:r>
          <a:r>
            <a:rPr lang="zh-CN" altLang="en-US" sz="1100" b="0" i="0" u="none" strike="noStrike" baseline="0">
              <a:solidFill>
                <a:srgbClr val="000000"/>
              </a:solidFill>
              <a:latin typeface="Arial"/>
              <a:ea typeface="宋体"/>
              <a:cs typeface="Arial"/>
            </a:rPr>
            <a:t>3</a:t>
          </a:r>
          <a:r>
            <a:rPr lang="zh-CN" altLang="en-US" sz="1100" b="0" i="0" u="none" strike="noStrike" baseline="0">
              <a:solidFill>
                <a:srgbClr val="000000"/>
              </a:solidFill>
              <a:latin typeface="宋体"/>
              <a:ea typeface="宋体"/>
              <a:cs typeface="Arial"/>
            </a:rPr>
            <a:t>位。</a:t>
          </a:r>
          <a:endParaRPr lang="zh-CN" altLang="en-US" sz="1100" b="1" i="0" u="none" strike="noStrike" baseline="0">
            <a:solidFill>
              <a:srgbClr val="000000"/>
            </a:solidFill>
            <a:latin typeface="宋体"/>
            <a:ea typeface="宋体"/>
            <a:cs typeface="Arial"/>
          </a:endParaRPr>
        </a:p>
        <a:p>
          <a:pPr algn="l" rtl="0">
            <a:lnSpc>
              <a:spcPts val="1300"/>
            </a:lnSpc>
            <a:defRPr sz="1000"/>
          </a:pPr>
          <a:endParaRPr lang="zh-CN" altLang="en-US" sz="1100" b="1" i="0" u="none" strike="noStrike" baseline="0">
            <a:solidFill>
              <a:srgbClr val="000000"/>
            </a:solidFill>
            <a:latin typeface="宋体"/>
            <a:ea typeface="宋体"/>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161925</xdr:colOff>
      <xdr:row>1</xdr:row>
      <xdr:rowOff>47625</xdr:rowOff>
    </xdr:from>
    <xdr:to>
      <xdr:col>12</xdr:col>
      <xdr:colOff>638175</xdr:colOff>
      <xdr:row>14</xdr:row>
      <xdr:rowOff>133350</xdr:rowOff>
    </xdr:to>
    <xdr:grpSp>
      <xdr:nvGrpSpPr>
        <xdr:cNvPr id="43009" name="Group 1"/>
        <xdr:cNvGrpSpPr>
          <a:grpSpLocks/>
        </xdr:cNvGrpSpPr>
      </xdr:nvGrpSpPr>
      <xdr:grpSpPr bwMode="auto">
        <a:xfrm>
          <a:off x="3943350" y="238125"/>
          <a:ext cx="6057900" cy="2562225"/>
          <a:chOff x="825" y="142"/>
          <a:chExt cx="565" cy="255"/>
        </a:xfrm>
      </xdr:grpSpPr>
      <xdr:sp macro="" textlink="">
        <xdr:nvSpPr>
          <xdr:cNvPr id="43010" name="Text Box 2"/>
          <xdr:cNvSpPr txBox="1">
            <a:spLocks noChangeArrowheads="1"/>
          </xdr:cNvSpPr>
        </xdr:nvSpPr>
        <xdr:spPr bwMode="auto">
          <a:xfrm>
            <a:off x="825" y="142"/>
            <a:ext cx="565" cy="255"/>
          </a:xfrm>
          <a:prstGeom prst="rect">
            <a:avLst/>
          </a:prstGeom>
          <a:solidFill>
            <a:srgbClr val="FFCCFF"/>
          </a:solidFill>
          <a:ln w="9525">
            <a:solidFill>
              <a:srgbClr val="000000"/>
            </a:solidFill>
            <a:miter lim="800000"/>
            <a:headEnd/>
            <a:tailEnd/>
          </a:ln>
        </xdr:spPr>
        <xdr:txBody>
          <a:bodyPr vertOverflow="clip" wrap="square" lIns="36576" tIns="27432" rIns="0" bIns="0" anchor="t"/>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8</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15</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宋体"/>
                <a:ea typeface="宋体"/>
                <a:cs typeface="Arial"/>
              </a:rPr>
              <a:t>某商店现准备销售一种新商品，该商品的单价是一个服从均值为</a:t>
            </a:r>
            <a:r>
              <a:rPr lang="zh-CN" altLang="en-US" sz="1100" b="0" i="0" u="none" strike="noStrike" baseline="0">
                <a:solidFill>
                  <a:srgbClr val="000000"/>
                </a:solidFill>
                <a:latin typeface="Arial"/>
                <a:ea typeface="宋体"/>
                <a:cs typeface="Arial"/>
              </a:rPr>
              <a:t>40</a:t>
            </a:r>
            <a:r>
              <a:rPr lang="zh-CN" altLang="en-US" sz="1100" b="0" i="0" u="none" strike="noStrike" baseline="0">
                <a:solidFill>
                  <a:srgbClr val="000000"/>
                </a:solidFill>
                <a:latin typeface="宋体"/>
                <a:ea typeface="宋体"/>
                <a:cs typeface="Arial"/>
              </a:rPr>
              <a:t>元、而标准差为</a:t>
            </a:r>
            <a:r>
              <a:rPr lang="zh-CN" altLang="en-US" sz="1100" b="0" i="0" u="none" strike="noStrike" baseline="0">
                <a:solidFill>
                  <a:srgbClr val="000000"/>
                </a:solidFill>
                <a:latin typeface="Arial"/>
                <a:ea typeface="宋体"/>
                <a:cs typeface="Arial"/>
              </a:rPr>
              <a:t>10</a:t>
            </a:r>
            <a:r>
              <a:rPr lang="zh-CN" altLang="en-US" sz="1100" b="0" i="0" u="none" strike="noStrike" baseline="0">
                <a:solidFill>
                  <a:srgbClr val="000000"/>
                </a:solidFill>
                <a:latin typeface="宋体"/>
                <a:ea typeface="宋体"/>
                <a:cs typeface="Arial"/>
              </a:rPr>
              <a:t>元的正态分布的随机数，该商品每天的销量服从如下的概率分布：</a:t>
            </a: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r>
              <a:rPr lang="zh-CN" altLang="en-US" sz="1100" b="0" i="0" u="none" strike="noStrike" baseline="0">
                <a:solidFill>
                  <a:srgbClr val="000000"/>
                </a:solidFill>
                <a:latin typeface="宋体"/>
                <a:ea typeface="宋体"/>
                <a:cs typeface="Arial"/>
              </a:rPr>
              <a:t>试在本工作表完成如下操作：</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、计算该商品一个月（</a:t>
            </a:r>
            <a:r>
              <a:rPr lang="zh-CN" altLang="en-US" sz="1100" b="0" i="0" u="none" strike="noStrike" baseline="0">
                <a:solidFill>
                  <a:srgbClr val="000000"/>
                </a:solidFill>
                <a:latin typeface="Arial"/>
                <a:ea typeface="宋体"/>
                <a:cs typeface="Arial"/>
              </a:rPr>
              <a:t>30</a:t>
            </a:r>
            <a:r>
              <a:rPr lang="zh-CN" altLang="en-US" sz="1100" b="0" i="0" u="none" strike="noStrike" baseline="0">
                <a:solidFill>
                  <a:srgbClr val="000000"/>
                </a:solidFill>
                <a:latin typeface="宋体"/>
                <a:ea typeface="宋体"/>
                <a:cs typeface="Arial"/>
              </a:rPr>
              <a:t>天）的销售收入，并对其模拟</a:t>
            </a:r>
            <a:r>
              <a:rPr lang="zh-CN" altLang="en-US" sz="1100" b="0" i="0" u="none" strike="noStrike" baseline="0">
                <a:solidFill>
                  <a:srgbClr val="000000"/>
                </a:solidFill>
                <a:latin typeface="Arial"/>
                <a:ea typeface="宋体"/>
                <a:cs typeface="Arial"/>
              </a:rPr>
              <a:t>45</a:t>
            </a:r>
            <a:r>
              <a:rPr lang="zh-CN" altLang="en-US" sz="1100" b="0" i="0" u="none" strike="noStrike" baseline="0">
                <a:solidFill>
                  <a:srgbClr val="000000"/>
                </a:solidFill>
                <a:latin typeface="宋体"/>
                <a:ea typeface="宋体"/>
                <a:cs typeface="Arial"/>
              </a:rPr>
              <a:t>次；</a:t>
            </a:r>
          </a:p>
          <a:p>
            <a:pPr algn="l" rtl="0">
              <a:lnSpc>
                <a:spcPts val="1300"/>
              </a:lnSpc>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、计算该商品月销售收入的最大值、最小值和标准差；</a:t>
            </a:r>
          </a:p>
          <a:p>
            <a:pPr algn="l" rtl="0">
              <a:lnSpc>
                <a:spcPts val="1300"/>
              </a:lnSpc>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、分析该商品月销售收入超过</a:t>
            </a:r>
            <a:r>
              <a:rPr lang="zh-CN" altLang="en-US" sz="1100" b="0" i="0" u="none" strike="noStrike" baseline="0">
                <a:solidFill>
                  <a:srgbClr val="000000"/>
                </a:solidFill>
                <a:latin typeface="Arial"/>
                <a:ea typeface="宋体"/>
                <a:cs typeface="Arial"/>
              </a:rPr>
              <a:t>45000</a:t>
            </a:r>
            <a:r>
              <a:rPr lang="zh-CN" altLang="en-US" sz="1100" b="0" i="0" u="none" strike="noStrike" baseline="0">
                <a:solidFill>
                  <a:srgbClr val="000000"/>
                </a:solidFill>
                <a:latin typeface="宋体"/>
                <a:ea typeface="宋体"/>
                <a:cs typeface="Arial"/>
              </a:rPr>
              <a:t>元的可能性。</a:t>
            </a: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43011"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 y="192"/>
            <a:ext cx="171" cy="115"/>
          </a:xfrm>
          <a:prstGeom prst="rect">
            <a:avLst/>
          </a:prstGeom>
          <a:solidFill>
            <a:srgbClr val="FFCCFF"/>
          </a:solidFill>
          <a:ln>
            <a:noFill/>
          </a:ln>
          <a:extLs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gl/yy2/&#32771;&#39064;/2002-01&#32771;&#39064;/Teaching/2001Fall/&#36741;&#20462;/&#35797;&#39064;&#31572;&#2669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gl/yy2/&#32771;&#39064;/2001-07&#32771;&#39064;/Exam1/Exam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5838;&#31243;/&#35745;&#31639;&#26426;&#24212;&#29992;/&#32771;&#39064;/2003-1/2002&#31179;&#35745;&#31639;&#26426;&#32771;&#35797;(C)&#31572;&#2669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F/Lesson/ComputerApplication/&#25945;&#23398;&#21442;&#32771;&#36164;&#26009;/&#22797;&#20064;&#36164;&#26009;/&#27169;&#25311;&#35797;&#21367;&#21442;&#32771;&#31572;&#26696;/&#27169;&#25311;&#35797;&#21367;01-&#21442;&#32771;&#31572;&#266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200502/D&#20989;&#25968;&#32771;&#3906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5GBackup/&#21382;&#23626;&#35797;&#39064;&#21450;&#32771;&#35797;&#36719;&#20214;(&#25130;&#27490;20100607)/2010-2011-2/2010-2011-2(&#31532;4_5&#31456;&#27979;&#39564;&#39064;)/&#31532;2&#27425;&#27979;&#39564;&#35797;&#39064;/&#31532;2&#27425;&#31532;1&#22330;&#27979;&#39564;&#35797;&#21367;/&#31532;2&#27425;&#31532;1&#22330;/No_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0wang/Quantitative%20method/Simulation/Simulation%20example%20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F/Lesson/ComputerApplication/&#25945;&#23398;&#21442;&#32771;&#36164;&#26009;/&#22797;&#20064;&#36164;&#26009;/&#32508;&#21512;&#32451;&#20064;a_j&#21442;&#32771;&#35299;&#31572;/&#32508;&#21512;&#32451;&#20064;D&#21442;&#32771;&#35299;&#3157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31532;3&#3145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27169;&#25311;&#35797;&#21367;11-&#21442;&#32771;&#31572;&#266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Set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awdata/&#31532;3&#3145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003_2004_2&#32771;&#35797;&#35797;&#39064;&#31532;2&#31295;/2003-2004&#31532;2&#23398;&#26399;&#36130;&#22823;&#35745;&#31639;&#26426;&#24212;&#29992;&#35797;&#39064;/2004-06&#36879;&#35270;&#34920;&#19982;D&#20989;&#25968;&#32771;&#3906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5745;&#31639;&#26426;&#24212;&#29992;/01-02(1)/2001&#31179;&#35745;&#31639;&#26426;&#24212;&#29992;&#35838;&#31243;&#32771;&#35797;&#39064;A&#31572;&#26696;&#24102;&#35780;&#20998;&#32454;&#2101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5GBackup/&#21382;&#23626;&#35797;&#39064;&#21450;&#32771;&#35797;&#36719;&#20214;(&#25130;&#27490;20100607)/2010-2011-2/2010-2011-2(&#31532;2_3&#31456;&#27979;&#39564;&#39064;)/&#31532;1&#27425;&#27979;&#39564;&#39064;&#31532;2&#22330;/&#31532;2&#22330;/No_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004-2005&#31532;1&#23398;&#26399;&#25945;&#23398;&#36164;&#26009;&#36213;&#40857;&#24378;/2004_2005_1&#25945;&#23398;&#36164;&#26009;/&#35745;&#31639;&#26426;&#24212;&#29992;&#26032;&#29256;_&#21016;&#20848;&#23071;&#29256;/&#35745;&#31639;&#26426;&#24212;&#29992;&#21382;&#24180;&#35797;&#39064;/2004&#26149;&#35745;&#31639;&#26426;&#32771;&#39064;&#19982;&#35299;&#31572;/2004&#26149;&#35745;&#31639;&#26426;&#24212;&#29992;&#39064;&#30446;&#19982;&#35299;&#31572;/&#32463;&#27982;&#35746;&#36135;&#37327;&#32771;&#3906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laffei/AppData/Local/Temp/Rar$DI46.8176/Set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0%20&#35745;&#31639;&#26426;&#24212;&#29992;/2004&#26149;/&#26399;&#26411;&#32771;&#21367;/2004&#26149;&#35745;&#31639;&#26426;&#24212;&#29992;&#39064;&#30446;&#19982;&#35299;&#31572;/&#32463;&#27982;&#35746;&#36135;&#37327;&#32771;&#3906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32771;&#35797;&#25104;&#32489;/20050622-0397/&#31572;&#26696;/&#31532;3&#3145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32771;&#35797;&#25104;&#32489;/20050622-0397/&#31572;&#26696;/Set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eaching/2001Fall/&#36741;&#20462;/&#35797;&#39064;&#31572;&#2669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2791;&#20221;D&#30424;/&#35745;&#31639;&#26426;&#24212;&#29992;/2007-2008&#23398;&#24180;/&#37325;&#20462;&#29677;&#32771;&#35797;&#39064;&#30446;/&#35745;&#31639;&#26426;&#24212;&#29992;&#32771;&#35797;&#39064;&#30446;2007-20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J:\Teaching\2001Fall\&#36741;&#20462;\&#35797;&#39064;&#31572;&#2669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2791;&#20221;D&#30424;/&#35745;&#31639;&#26426;&#24212;&#29992;/2007-2008&#23398;&#24180;/&#37325;&#20462;&#29677;&#32771;&#35797;&#39064;&#30446;/&#35745;&#31639;&#26426;&#24212;&#29992;&#31572;&#26696;2007-200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答案"/>
      <sheetName val="第2题 答案"/>
      <sheetName val="第3题 答案"/>
      <sheetName val="第4题 答案"/>
      <sheetName val="第5题 答案"/>
      <sheetName val="第6题 答案"/>
      <sheetName val="第7题 答案"/>
      <sheetName val="第8题 答案"/>
      <sheetName val="第9题 答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 val="第6题"/>
      <sheetName val="第7题"/>
      <sheetName val="第8题"/>
      <sheetName val="第9题"/>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 val="第6题"/>
      <sheetName val="第7题"/>
      <sheetName val="第8题"/>
      <sheetName val="第9题"/>
    </sheetNames>
    <sheetDataSet>
      <sheetData sheetId="0"/>
      <sheetData sheetId="1"/>
      <sheetData sheetId="2"/>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经济订货量-折扣模型问题"/>
      <sheetName val="经济订货量-折扣模型"/>
      <sheetName val="经济订货量-年需求量变化模型问题"/>
      <sheetName val="经济订货量-年需求量变化模型"/>
      <sheetName val="经济订货量-年需求量变化模型图形"/>
      <sheetName val="随机问题1 确定公交车最佳发车间隔问题"/>
      <sheetName val="随机问题1 确定公交车最佳发车间隔"/>
      <sheetName val="随机问题2 估计公交车的收入问题"/>
      <sheetName val="随机问题2 估计公交车的收入"/>
    </sheetNames>
    <sheetDataSet>
      <sheetData sheetId="0" refreshError="1"/>
      <sheetData sheetId="1">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经济订货量-折扣模型问题"/>
      <sheetName val="经济订货量-折扣模型"/>
      <sheetName val="经济订货量-年需求量变化模型问题"/>
      <sheetName val="经济订货量-年需求量变化模型"/>
      <sheetName val="经济订货量-年需求量变化模型图形"/>
      <sheetName val="随机问题1 确定公交车最佳发车间隔问题"/>
      <sheetName val="随机问题1 确定公交车最佳发车间隔"/>
      <sheetName val="随机问题2 估计公交车的收入问题"/>
      <sheetName val="随机问题2 估计公交车的收入"/>
    </sheetNames>
    <sheetDataSet>
      <sheetData sheetId="0" refreshError="1"/>
      <sheetData sheetId="1">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efreshError="1">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 val="第6题"/>
      <sheetName val="第7题"/>
      <sheetName val="第8题"/>
      <sheetName val="第9题"/>
    </sheetNames>
    <sheetDataSet>
      <sheetData sheetId="0"/>
      <sheetData sheetId="1"/>
      <sheetData sheetId="2"/>
      <sheetData sheetId="3"/>
      <sheetData sheetId="4"/>
      <sheetData sheetId="5"/>
      <sheetData sheetId="6"/>
      <sheetData sheetId="7"/>
      <sheetData sheetId="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 val="第6题"/>
      <sheetName val="第6题 (2)"/>
      <sheetName val="第7题"/>
      <sheetName val="第8题"/>
      <sheetName val="第9题"/>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5"/>
  <sheetViews>
    <sheetView showGridLines="0" tabSelected="1" workbookViewId="0">
      <selection activeCell="C27" sqref="C27"/>
    </sheetView>
  </sheetViews>
  <sheetFormatPr defaultRowHeight="14.25"/>
  <cols>
    <col min="1" max="1" width="9" style="3"/>
    <col min="2" max="2" width="15.125" style="3" customWidth="1"/>
    <col min="3" max="4" width="9" style="3"/>
    <col min="5" max="5" width="15.75" style="3" customWidth="1"/>
    <col min="6" max="16384" width="9" style="3"/>
  </cols>
  <sheetData>
    <row r="1" spans="1:256" ht="15.75">
      <c r="A1" s="1" t="s">
        <v>2</v>
      </c>
      <c r="B1" s="2"/>
      <c r="D1" s="1" t="s">
        <v>0</v>
      </c>
      <c r="E1" s="4"/>
      <c r="G1" s="5"/>
      <c r="IV1" s="6" t="s">
        <v>1</v>
      </c>
    </row>
    <row r="2" spans="1:256">
      <c r="F2" s="10"/>
    </row>
    <row r="4" spans="1:256" ht="25.5">
      <c r="A4" s="12"/>
    </row>
    <row r="6" spans="1:256">
      <c r="I6" s="8" t="s">
        <v>6</v>
      </c>
      <c r="J6" s="8" t="s">
        <v>11</v>
      </c>
    </row>
    <row r="7" spans="1:256" ht="15.75">
      <c r="I7" s="11" t="s">
        <v>13</v>
      </c>
      <c r="J7" s="13">
        <v>10</v>
      </c>
    </row>
    <row r="8" spans="1:256" ht="15.75">
      <c r="I8" s="11" t="s">
        <v>3</v>
      </c>
      <c r="J8" s="13">
        <v>10</v>
      </c>
    </row>
    <row r="9" spans="1:256" ht="15.75">
      <c r="I9" s="11" t="s">
        <v>4</v>
      </c>
      <c r="J9" s="13">
        <v>15</v>
      </c>
    </row>
    <row r="10" spans="1:256" ht="15.75">
      <c r="I10" s="11" t="s">
        <v>5</v>
      </c>
      <c r="J10" s="13">
        <v>10</v>
      </c>
    </row>
    <row r="11" spans="1:256" ht="15.75">
      <c r="I11" s="11" t="s">
        <v>8</v>
      </c>
      <c r="J11" s="13">
        <v>15</v>
      </c>
    </row>
    <row r="12" spans="1:256" ht="15.75">
      <c r="I12" s="11" t="s">
        <v>9</v>
      </c>
      <c r="J12" s="13">
        <v>10</v>
      </c>
    </row>
    <row r="13" spans="1:256" ht="15.75">
      <c r="I13" s="11" t="s">
        <v>10</v>
      </c>
      <c r="J13" s="13">
        <v>15</v>
      </c>
    </row>
    <row r="14" spans="1:256" ht="15.75">
      <c r="I14" s="11" t="s">
        <v>12</v>
      </c>
      <c r="J14" s="13">
        <v>15</v>
      </c>
    </row>
    <row r="15" spans="1:256" ht="15.75">
      <c r="I15" s="7" t="s">
        <v>7</v>
      </c>
      <c r="J15" s="9">
        <f>SUM(J7:J14)</f>
        <v>100</v>
      </c>
    </row>
  </sheetData>
  <phoneticPr fontId="2" type="noConversion"/>
  <pageMargins left="0.75" right="0.75" top="1" bottom="1" header="0.5" footer="0.5"/>
  <pageSetup paperSize="9"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workbookViewId="0">
      <selection activeCell="F14" sqref="F14"/>
    </sheetView>
  </sheetViews>
  <sheetFormatPr defaultColWidth="10.125" defaultRowHeight="15"/>
  <cols>
    <col min="1" max="1" width="3.125" style="14" customWidth="1"/>
    <col min="2" max="2" width="22.25" style="14" bestFit="1" customWidth="1"/>
    <col min="3" max="3" width="10" style="14" bestFit="1" customWidth="1"/>
    <col min="4" max="5" width="10.125" style="14" customWidth="1"/>
    <col min="6" max="7" width="10.125" style="15" customWidth="1"/>
    <col min="8" max="16384" width="10.125" style="14"/>
  </cols>
  <sheetData>
    <row r="1" spans="1:7" ht="12" customHeight="1">
      <c r="B1" s="15"/>
      <c r="C1" s="15"/>
    </row>
    <row r="2" spans="1:7">
      <c r="B2" s="93" t="s">
        <v>81</v>
      </c>
      <c r="C2" s="86"/>
      <c r="D2" s="17"/>
      <c r="F2" s="18"/>
      <c r="G2" s="18"/>
    </row>
    <row r="3" spans="1:7">
      <c r="D3" s="17"/>
      <c r="G3" s="19"/>
    </row>
    <row r="4" spans="1:7">
      <c r="B4" s="87"/>
      <c r="C4" s="88" t="s">
        <v>82</v>
      </c>
      <c r="D4" s="17"/>
      <c r="F4" s="20"/>
    </row>
    <row r="5" spans="1:7">
      <c r="B5" s="94" t="s">
        <v>83</v>
      </c>
      <c r="C5" s="89"/>
      <c r="D5" s="17"/>
      <c r="F5" s="20"/>
    </row>
    <row r="6" spans="1:7">
      <c r="B6" s="95" t="s">
        <v>84</v>
      </c>
      <c r="C6" s="90"/>
    </row>
    <row r="7" spans="1:7">
      <c r="A7" s="15"/>
      <c r="B7" s="93" t="s">
        <v>85</v>
      </c>
      <c r="C7" s="89"/>
      <c r="D7" s="15"/>
      <c r="F7" s="18"/>
    </row>
    <row r="8" spans="1:7">
      <c r="G8" s="20"/>
    </row>
    <row r="9" spans="1:7">
      <c r="B9" s="93" t="s">
        <v>86</v>
      </c>
      <c r="C9" s="89"/>
    </row>
    <row r="10" spans="1:7">
      <c r="B10" s="96" t="s">
        <v>87</v>
      </c>
      <c r="C10" s="91"/>
      <c r="F10" s="18"/>
    </row>
    <row r="11" spans="1:7">
      <c r="B11" s="93" t="s">
        <v>88</v>
      </c>
      <c r="C11" s="89"/>
    </row>
    <row r="12" spans="1:7">
      <c r="B12" s="93" t="s">
        <v>89</v>
      </c>
      <c r="C12" s="89"/>
    </row>
    <row r="13" spans="1:7">
      <c r="B13" s="93" t="s">
        <v>90</v>
      </c>
      <c r="C13" s="89"/>
    </row>
    <row r="15" spans="1:7" ht="16.5">
      <c r="B15" s="93" t="s">
        <v>91</v>
      </c>
      <c r="C15" s="86"/>
      <c r="F15" s="18"/>
    </row>
    <row r="16" spans="1:7" ht="16.5">
      <c r="B16" s="93" t="s">
        <v>92</v>
      </c>
      <c r="C16" s="86"/>
    </row>
    <row r="18" spans="2:6">
      <c r="B18" s="93" t="s">
        <v>93</v>
      </c>
      <c r="C18" s="92"/>
    </row>
    <row r="19" spans="2:6">
      <c r="B19" s="93" t="s">
        <v>94</v>
      </c>
      <c r="C19" s="89"/>
    </row>
    <row r="20" spans="2:6">
      <c r="B20" s="93" t="s">
        <v>95</v>
      </c>
      <c r="C20" s="89"/>
      <c r="F20" s="18"/>
    </row>
    <row r="21" spans="2:6">
      <c r="B21" s="93" t="s">
        <v>96</v>
      </c>
      <c r="C21" s="89"/>
      <c r="F21" s="16"/>
    </row>
    <row r="22" spans="2:6">
      <c r="B22" s="15"/>
      <c r="C22" s="15"/>
    </row>
    <row r="23" spans="2:6">
      <c r="B23" s="15"/>
      <c r="C23" s="15"/>
    </row>
    <row r="24" spans="2:6">
      <c r="B24" s="98"/>
      <c r="C24" s="98"/>
    </row>
  </sheetData>
  <mergeCells count="1">
    <mergeCell ref="B24:C24"/>
  </mergeCells>
  <phoneticPr fontId="2" type="noConversion"/>
  <printOptions headings="1"/>
  <pageMargins left="0.75" right="0.75" top="1" bottom="1" header="0.5" footer="0.5"/>
  <pageSetup paperSize="9" orientation="portrait" horizontalDpi="4294967293" verticalDpi="4294967293"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95"/>
  <sheetViews>
    <sheetView showGridLines="0" workbookViewId="0">
      <selection activeCell="C10" sqref="C10"/>
    </sheetView>
  </sheetViews>
  <sheetFormatPr defaultRowHeight="15"/>
  <cols>
    <col min="1" max="1" width="2.25" style="23" customWidth="1"/>
    <col min="2" max="2" width="18.75" style="23" bestFit="1" customWidth="1"/>
    <col min="3" max="3" width="7.625" style="23" customWidth="1"/>
    <col min="4" max="4" width="2.375" style="23" customWidth="1"/>
    <col min="5" max="6" width="8.75" style="23" customWidth="1"/>
    <col min="7" max="16384" width="9" style="23"/>
  </cols>
  <sheetData>
    <row r="2" spans="2:7">
      <c r="B2" s="21" t="s">
        <v>14</v>
      </c>
      <c r="C2" s="22">
        <v>9000</v>
      </c>
      <c r="E2" s="24"/>
      <c r="F2" s="25"/>
      <c r="G2" s="24"/>
    </row>
    <row r="3" spans="2:7">
      <c r="B3" s="21" t="s">
        <v>15</v>
      </c>
      <c r="C3" s="22">
        <f>C2/360</f>
        <v>25</v>
      </c>
      <c r="E3" s="26"/>
      <c r="F3" s="26"/>
      <c r="G3" s="24"/>
    </row>
    <row r="4" spans="2:7">
      <c r="B4" s="21" t="s">
        <v>16</v>
      </c>
      <c r="C4" s="22">
        <f>C3*C5</f>
        <v>375</v>
      </c>
      <c r="E4" s="26"/>
      <c r="F4" s="26"/>
      <c r="G4" s="24"/>
    </row>
    <row r="5" spans="2:7">
      <c r="B5" s="21" t="s">
        <v>21</v>
      </c>
      <c r="C5" s="22">
        <v>15</v>
      </c>
      <c r="E5" s="26"/>
      <c r="F5" s="26"/>
      <c r="G5" s="24"/>
    </row>
    <row r="6" spans="2:7">
      <c r="B6" s="21" t="s">
        <v>22</v>
      </c>
      <c r="C6" s="22">
        <v>0</v>
      </c>
      <c r="E6" s="26"/>
      <c r="F6" s="26"/>
      <c r="G6" s="24"/>
    </row>
    <row r="7" spans="2:7">
      <c r="B7" s="21" t="s">
        <v>23</v>
      </c>
      <c r="C7" s="22">
        <v>20</v>
      </c>
      <c r="E7" s="26"/>
      <c r="F7" s="26"/>
      <c r="G7" s="24"/>
    </row>
    <row r="8" spans="2:7">
      <c r="B8" s="21" t="s">
        <v>17</v>
      </c>
      <c r="C8" s="22">
        <f>INT(C7/C5)</f>
        <v>1</v>
      </c>
      <c r="E8" s="26"/>
      <c r="F8" s="26"/>
      <c r="G8" s="24"/>
    </row>
    <row r="9" spans="2:7">
      <c r="B9" s="21" t="s">
        <v>18</v>
      </c>
      <c r="C9" s="22">
        <f>C7-C8*C5</f>
        <v>5</v>
      </c>
      <c r="E9" s="26"/>
      <c r="F9" s="26"/>
      <c r="G9" s="24"/>
    </row>
    <row r="10" spans="2:7">
      <c r="B10" s="21" t="s">
        <v>19</v>
      </c>
      <c r="C10" s="22">
        <f>C4-C9*C3</f>
        <v>250</v>
      </c>
      <c r="E10" s="26"/>
      <c r="F10" s="26"/>
      <c r="G10" s="24"/>
    </row>
    <row r="11" spans="2:7">
      <c r="E11" s="26"/>
      <c r="F11" s="26"/>
      <c r="G11" s="24"/>
    </row>
    <row r="12" spans="2:7">
      <c r="B12" s="21" t="s">
        <v>20</v>
      </c>
      <c r="E12" s="26"/>
      <c r="F12" s="26"/>
      <c r="G12" s="24"/>
    </row>
    <row r="13" spans="2:7">
      <c r="B13" s="27"/>
      <c r="E13" s="26"/>
      <c r="F13" s="26"/>
      <c r="G13" s="24"/>
    </row>
    <row r="14" spans="2:7">
      <c r="E14" s="26"/>
      <c r="F14" s="26"/>
      <c r="G14" s="24"/>
    </row>
    <row r="15" spans="2:7">
      <c r="E15" s="26"/>
      <c r="F15" s="26"/>
      <c r="G15" s="24"/>
    </row>
    <row r="16" spans="2:7">
      <c r="E16" s="26"/>
      <c r="F16" s="26"/>
      <c r="G16" s="24"/>
    </row>
    <row r="17" spans="5:7">
      <c r="E17" s="26"/>
      <c r="F17" s="26"/>
      <c r="G17" s="24"/>
    </row>
    <row r="18" spans="5:7">
      <c r="E18" s="26"/>
      <c r="F18" s="26"/>
      <c r="G18" s="24"/>
    </row>
    <row r="19" spans="5:7">
      <c r="E19" s="26"/>
      <c r="F19" s="26"/>
      <c r="G19" s="24"/>
    </row>
    <row r="20" spans="5:7">
      <c r="E20" s="26"/>
      <c r="F20" s="26"/>
      <c r="G20" s="24"/>
    </row>
    <row r="21" spans="5:7">
      <c r="E21" s="26"/>
      <c r="F21" s="26"/>
      <c r="G21" s="24"/>
    </row>
    <row r="22" spans="5:7">
      <c r="E22" s="26"/>
      <c r="F22" s="26"/>
      <c r="G22" s="24"/>
    </row>
    <row r="23" spans="5:7">
      <c r="E23" s="26"/>
      <c r="F23" s="26"/>
      <c r="G23" s="24"/>
    </row>
    <row r="24" spans="5:7">
      <c r="E24" s="26"/>
      <c r="F24" s="26"/>
      <c r="G24" s="24"/>
    </row>
    <row r="25" spans="5:7">
      <c r="E25" s="26"/>
      <c r="F25" s="26"/>
      <c r="G25" s="24"/>
    </row>
    <row r="26" spans="5:7">
      <c r="E26" s="26"/>
      <c r="F26" s="26"/>
      <c r="G26" s="24"/>
    </row>
    <row r="27" spans="5:7">
      <c r="E27" s="26"/>
      <c r="F27" s="26"/>
      <c r="G27" s="24"/>
    </row>
    <row r="28" spans="5:7">
      <c r="E28" s="26"/>
      <c r="F28" s="26"/>
      <c r="G28" s="24"/>
    </row>
    <row r="29" spans="5:7">
      <c r="E29" s="26"/>
      <c r="F29" s="26"/>
      <c r="G29" s="24"/>
    </row>
    <row r="30" spans="5:7">
      <c r="E30" s="26"/>
      <c r="F30" s="26"/>
      <c r="G30" s="24"/>
    </row>
    <row r="31" spans="5:7">
      <c r="E31" s="26"/>
      <c r="F31" s="26"/>
      <c r="G31" s="24"/>
    </row>
    <row r="32" spans="5:7">
      <c r="E32" s="26"/>
      <c r="F32" s="26"/>
      <c r="G32" s="24"/>
    </row>
    <row r="33" spans="5:7">
      <c r="E33" s="26"/>
      <c r="F33" s="26"/>
      <c r="G33" s="24"/>
    </row>
    <row r="34" spans="5:7">
      <c r="E34" s="26"/>
      <c r="F34" s="26"/>
      <c r="G34" s="24"/>
    </row>
    <row r="35" spans="5:7">
      <c r="E35" s="26"/>
      <c r="F35" s="26"/>
      <c r="G35" s="24"/>
    </row>
    <row r="36" spans="5:7">
      <c r="E36" s="26"/>
      <c r="F36" s="26"/>
      <c r="G36" s="24"/>
    </row>
    <row r="37" spans="5:7">
      <c r="E37" s="26"/>
      <c r="F37" s="26"/>
      <c r="G37" s="24"/>
    </row>
    <row r="38" spans="5:7">
      <c r="E38" s="26"/>
      <c r="F38" s="26"/>
      <c r="G38" s="24"/>
    </row>
    <row r="39" spans="5:7">
      <c r="E39" s="26"/>
      <c r="F39" s="26"/>
      <c r="G39" s="24"/>
    </row>
    <row r="40" spans="5:7">
      <c r="E40" s="26"/>
      <c r="F40" s="26"/>
      <c r="G40" s="24"/>
    </row>
    <row r="41" spans="5:7">
      <c r="E41" s="26"/>
      <c r="F41" s="26"/>
      <c r="G41" s="24"/>
    </row>
    <row r="42" spans="5:7">
      <c r="E42" s="26"/>
      <c r="F42" s="26"/>
      <c r="G42" s="24"/>
    </row>
    <row r="43" spans="5:7">
      <c r="E43" s="26"/>
      <c r="F43" s="26"/>
      <c r="G43" s="24"/>
    </row>
    <row r="44" spans="5:7">
      <c r="E44" s="26"/>
      <c r="F44" s="26"/>
      <c r="G44" s="24"/>
    </row>
    <row r="45" spans="5:7">
      <c r="E45" s="26"/>
      <c r="F45" s="26"/>
      <c r="G45" s="24"/>
    </row>
    <row r="46" spans="5:7">
      <c r="E46" s="26"/>
      <c r="F46" s="26"/>
      <c r="G46" s="24"/>
    </row>
    <row r="47" spans="5:7">
      <c r="E47" s="26"/>
      <c r="F47" s="26"/>
      <c r="G47" s="24"/>
    </row>
    <row r="48" spans="5:7">
      <c r="E48" s="26"/>
      <c r="F48" s="26"/>
      <c r="G48" s="24"/>
    </row>
    <row r="49" spans="5:7">
      <c r="E49" s="26"/>
      <c r="F49" s="26"/>
      <c r="G49" s="24"/>
    </row>
    <row r="50" spans="5:7">
      <c r="E50" s="26"/>
      <c r="F50" s="26"/>
      <c r="G50" s="24"/>
    </row>
    <row r="51" spans="5:7">
      <c r="E51" s="26"/>
      <c r="F51" s="26"/>
      <c r="G51" s="24"/>
    </row>
    <row r="52" spans="5:7">
      <c r="E52" s="26"/>
      <c r="F52" s="26"/>
      <c r="G52" s="24"/>
    </row>
    <row r="53" spans="5:7">
      <c r="E53" s="26"/>
      <c r="F53" s="24"/>
      <c r="G53" s="24"/>
    </row>
    <row r="54" spans="5:7">
      <c r="E54" s="26"/>
      <c r="F54" s="24"/>
      <c r="G54" s="24"/>
    </row>
    <row r="55" spans="5:7">
      <c r="E55" s="26"/>
      <c r="F55" s="24"/>
      <c r="G55" s="24"/>
    </row>
    <row r="56" spans="5:7">
      <c r="E56" s="26"/>
      <c r="F56" s="24"/>
      <c r="G56" s="24"/>
    </row>
    <row r="57" spans="5:7">
      <c r="E57" s="26"/>
      <c r="F57" s="24"/>
      <c r="G57" s="24"/>
    </row>
    <row r="58" spans="5:7">
      <c r="E58" s="26"/>
      <c r="F58" s="24"/>
      <c r="G58" s="24"/>
    </row>
    <row r="59" spans="5:7">
      <c r="E59" s="26"/>
      <c r="F59" s="24"/>
      <c r="G59" s="24"/>
    </row>
    <row r="60" spans="5:7">
      <c r="E60" s="26"/>
      <c r="F60" s="24"/>
      <c r="G60" s="24"/>
    </row>
    <row r="61" spans="5:7">
      <c r="E61" s="26"/>
      <c r="F61" s="24"/>
      <c r="G61" s="24"/>
    </row>
    <row r="62" spans="5:7">
      <c r="E62" s="26"/>
      <c r="F62" s="24"/>
      <c r="G62" s="24"/>
    </row>
    <row r="63" spans="5:7">
      <c r="E63" s="26"/>
      <c r="F63" s="24"/>
      <c r="G63" s="24"/>
    </row>
    <row r="64" spans="5:7">
      <c r="E64" s="26"/>
      <c r="F64" s="24"/>
      <c r="G64" s="24"/>
    </row>
    <row r="65" spans="5:7">
      <c r="E65" s="26"/>
      <c r="F65" s="24"/>
      <c r="G65" s="24"/>
    </row>
    <row r="66" spans="5:7">
      <c r="E66" s="26"/>
      <c r="F66" s="24"/>
      <c r="G66" s="24"/>
    </row>
    <row r="67" spans="5:7">
      <c r="E67" s="26"/>
      <c r="F67" s="24"/>
      <c r="G67" s="24"/>
    </row>
    <row r="68" spans="5:7">
      <c r="E68" s="26"/>
      <c r="F68" s="24"/>
      <c r="G68" s="24"/>
    </row>
    <row r="69" spans="5:7">
      <c r="E69" s="26"/>
      <c r="F69" s="24"/>
      <c r="G69" s="24"/>
    </row>
    <row r="70" spans="5:7">
      <c r="E70" s="26"/>
      <c r="F70" s="24"/>
      <c r="G70" s="24"/>
    </row>
    <row r="71" spans="5:7">
      <c r="E71" s="26"/>
      <c r="F71" s="24"/>
      <c r="G71" s="24"/>
    </row>
    <row r="72" spans="5:7">
      <c r="E72" s="26"/>
      <c r="F72" s="24"/>
      <c r="G72" s="24"/>
    </row>
    <row r="73" spans="5:7">
      <c r="E73" s="26"/>
      <c r="F73" s="24"/>
      <c r="G73" s="24"/>
    </row>
    <row r="74" spans="5:7">
      <c r="E74" s="26"/>
      <c r="F74" s="24"/>
      <c r="G74" s="24"/>
    </row>
    <row r="75" spans="5:7">
      <c r="E75" s="26"/>
      <c r="F75" s="24"/>
      <c r="G75" s="24"/>
    </row>
    <row r="76" spans="5:7">
      <c r="E76" s="26"/>
      <c r="F76" s="24"/>
      <c r="G76" s="24"/>
    </row>
    <row r="77" spans="5:7">
      <c r="E77" s="26"/>
      <c r="F77" s="24"/>
      <c r="G77" s="24"/>
    </row>
    <row r="78" spans="5:7">
      <c r="E78" s="26"/>
      <c r="F78" s="24"/>
      <c r="G78" s="24"/>
    </row>
    <row r="79" spans="5:7">
      <c r="E79" s="26"/>
      <c r="F79" s="24"/>
      <c r="G79" s="24"/>
    </row>
    <row r="80" spans="5:7">
      <c r="E80" s="26"/>
      <c r="F80" s="24"/>
      <c r="G80" s="24"/>
    </row>
    <row r="81" spans="5:7">
      <c r="E81" s="26"/>
      <c r="F81" s="24"/>
      <c r="G81" s="24"/>
    </row>
    <row r="82" spans="5:7">
      <c r="E82" s="26"/>
      <c r="F82" s="24"/>
      <c r="G82" s="24"/>
    </row>
    <row r="83" spans="5:7">
      <c r="E83" s="26"/>
      <c r="F83" s="24"/>
      <c r="G83" s="24"/>
    </row>
    <row r="84" spans="5:7">
      <c r="E84" s="26"/>
      <c r="F84" s="24"/>
      <c r="G84" s="24"/>
    </row>
    <row r="85" spans="5:7">
      <c r="E85" s="26"/>
      <c r="F85" s="24"/>
      <c r="G85" s="24"/>
    </row>
    <row r="86" spans="5:7">
      <c r="E86" s="26"/>
      <c r="F86" s="24"/>
      <c r="G86" s="24"/>
    </row>
    <row r="87" spans="5:7">
      <c r="E87" s="26"/>
      <c r="F87" s="24"/>
      <c r="G87" s="24"/>
    </row>
    <row r="88" spans="5:7">
      <c r="E88" s="26"/>
      <c r="F88" s="24"/>
      <c r="G88" s="24"/>
    </row>
    <row r="89" spans="5:7">
      <c r="E89" s="26"/>
      <c r="F89" s="24"/>
      <c r="G89" s="24"/>
    </row>
    <row r="90" spans="5:7">
      <c r="E90" s="26"/>
      <c r="F90" s="24"/>
      <c r="G90" s="24"/>
    </row>
    <row r="91" spans="5:7">
      <c r="E91" s="26"/>
      <c r="F91" s="24"/>
      <c r="G91" s="24"/>
    </row>
    <row r="92" spans="5:7">
      <c r="E92" s="26"/>
      <c r="F92" s="24"/>
      <c r="G92" s="24"/>
    </row>
    <row r="93" spans="5:7">
      <c r="E93" s="26"/>
      <c r="F93" s="24"/>
      <c r="G93" s="24"/>
    </row>
    <row r="94" spans="5:7">
      <c r="E94" s="24"/>
      <c r="F94" s="24"/>
      <c r="G94" s="24"/>
    </row>
    <row r="95" spans="5:7">
      <c r="E95" s="24"/>
      <c r="F95" s="24"/>
      <c r="G95" s="24"/>
    </row>
  </sheetData>
  <phoneticPr fontId="2" type="noConversion"/>
  <pageMargins left="0.75" right="0.75" top="1" bottom="1" header="0.5" footer="0.5"/>
  <pageSetup paperSize="9" orientation="portrait" horizontalDpi="4294967293" verticalDpi="4294967293"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4"/>
  <sheetViews>
    <sheetView showGridLines="0" workbookViewId="0">
      <selection activeCell="J2" sqref="J2"/>
    </sheetView>
  </sheetViews>
  <sheetFormatPr defaultRowHeight="15"/>
  <cols>
    <col min="1" max="1" width="2.5" style="29" customWidth="1"/>
    <col min="2" max="2" width="1.875" style="29" customWidth="1"/>
    <col min="3" max="3" width="20.75" style="29" bestFit="1" customWidth="1"/>
    <col min="4" max="4" width="11.875" style="29" bestFit="1" customWidth="1"/>
    <col min="5" max="5" width="2.5" style="29" customWidth="1"/>
    <col min="6" max="6" width="3.75" style="29" customWidth="1"/>
    <col min="7" max="18" width="7.5" style="29" bestFit="1" customWidth="1"/>
    <col min="19" max="16384" width="9" style="29"/>
  </cols>
  <sheetData>
    <row r="2" spans="2:5">
      <c r="B2" s="28"/>
      <c r="C2" s="28"/>
      <c r="D2" s="28"/>
      <c r="E2" s="28"/>
    </row>
    <row r="3" spans="2:5">
      <c r="B3" s="28"/>
      <c r="C3" s="30" t="s">
        <v>24</v>
      </c>
      <c r="D3" s="31">
        <v>5000</v>
      </c>
      <c r="E3" s="28"/>
    </row>
    <row r="4" spans="2:5">
      <c r="B4" s="28"/>
      <c r="C4" s="32" t="s">
        <v>25</v>
      </c>
      <c r="D4" s="31">
        <v>120</v>
      </c>
      <c r="E4" s="28"/>
    </row>
    <row r="5" spans="2:5">
      <c r="B5" s="28"/>
      <c r="C5" s="32" t="s">
        <v>26</v>
      </c>
      <c r="D5" s="31">
        <v>180</v>
      </c>
      <c r="E5" s="28"/>
    </row>
    <row r="6" spans="2:5">
      <c r="B6" s="28"/>
      <c r="C6" s="32" t="s">
        <v>28</v>
      </c>
      <c r="D6" s="33">
        <v>25</v>
      </c>
      <c r="E6" s="28"/>
    </row>
    <row r="7" spans="2:5">
      <c r="B7" s="28"/>
      <c r="C7" s="32" t="s">
        <v>29</v>
      </c>
      <c r="D7" s="33">
        <v>24</v>
      </c>
      <c r="E7" s="28"/>
    </row>
    <row r="8" spans="2:5">
      <c r="B8" s="28"/>
      <c r="C8" s="32" t="s">
        <v>30</v>
      </c>
      <c r="D8" s="31">
        <v>200</v>
      </c>
      <c r="E8" s="34"/>
    </row>
    <row r="9" spans="2:5">
      <c r="B9" s="28"/>
      <c r="C9" s="35" t="s">
        <v>31</v>
      </c>
      <c r="D9" s="36"/>
      <c r="E9" s="28"/>
    </row>
    <row r="10" spans="2:5">
      <c r="B10" s="28"/>
      <c r="C10" s="28"/>
      <c r="D10" s="37" t="s">
        <v>32</v>
      </c>
      <c r="E10" s="28"/>
    </row>
    <row r="11" spans="2:5">
      <c r="B11" s="28"/>
      <c r="C11" s="37" t="s">
        <v>27</v>
      </c>
      <c r="D11" s="38">
        <v>200</v>
      </c>
      <c r="E11" s="28"/>
    </row>
    <row r="12" spans="2:5">
      <c r="B12" s="28"/>
      <c r="C12" s="35" t="s">
        <v>33</v>
      </c>
      <c r="D12" s="39"/>
      <c r="E12" s="28"/>
    </row>
    <row r="13" spans="2:5">
      <c r="B13" s="28"/>
      <c r="C13" s="35" t="s">
        <v>34</v>
      </c>
      <c r="D13" s="39"/>
      <c r="E13" s="28"/>
    </row>
    <row r="14" spans="2:5">
      <c r="B14" s="28"/>
      <c r="C14" s="35" t="s">
        <v>35</v>
      </c>
      <c r="D14" s="39"/>
      <c r="E14" s="34">
        <v>240</v>
      </c>
    </row>
    <row r="15" spans="2:5">
      <c r="B15" s="28"/>
      <c r="C15" s="35" t="s">
        <v>36</v>
      </c>
      <c r="D15" s="39"/>
      <c r="E15" s="28"/>
    </row>
    <row r="16" spans="2:5">
      <c r="B16" s="28"/>
      <c r="C16" s="28"/>
      <c r="D16" s="37" t="s">
        <v>37</v>
      </c>
      <c r="E16" s="28"/>
    </row>
    <row r="17" spans="2:5">
      <c r="B17" s="28"/>
      <c r="C17" s="37" t="s">
        <v>38</v>
      </c>
      <c r="D17" s="39"/>
      <c r="E17" s="28"/>
    </row>
    <row r="18" spans="2:5">
      <c r="B18" s="28"/>
      <c r="C18" s="35" t="s">
        <v>33</v>
      </c>
      <c r="D18" s="39"/>
      <c r="E18" s="28"/>
    </row>
    <row r="19" spans="2:5">
      <c r="B19" s="28"/>
      <c r="C19" s="35" t="s">
        <v>34</v>
      </c>
      <c r="D19" s="39"/>
      <c r="E19" s="28"/>
    </row>
    <row r="20" spans="2:5">
      <c r="B20" s="28"/>
      <c r="C20" s="35" t="s">
        <v>35</v>
      </c>
      <c r="D20" s="39"/>
      <c r="E20" s="34">
        <v>241</v>
      </c>
    </row>
    <row r="21" spans="2:5">
      <c r="B21" s="28"/>
      <c r="C21" s="35" t="s">
        <v>36</v>
      </c>
      <c r="D21" s="39"/>
      <c r="E21" s="28"/>
    </row>
    <row r="22" spans="2:5">
      <c r="B22" s="28"/>
      <c r="C22" s="40" t="s">
        <v>39</v>
      </c>
      <c r="D22" s="41"/>
      <c r="E22" s="28"/>
    </row>
    <row r="23" spans="2:5">
      <c r="B23" s="28"/>
      <c r="C23" s="42"/>
      <c r="D23" s="41"/>
      <c r="E23" s="28"/>
    </row>
    <row r="24" spans="2:5">
      <c r="B24" s="28"/>
      <c r="C24" s="28"/>
      <c r="D24" s="41"/>
      <c r="E24" s="28"/>
    </row>
  </sheetData>
  <phoneticPr fontId="2"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L7" sqref="L7"/>
    </sheetView>
  </sheetViews>
  <sheetFormatPr defaultRowHeight="15"/>
  <cols>
    <col min="1" max="16384" width="9" style="43"/>
  </cols>
  <sheetData/>
  <phoneticPr fontId="2" type="noConversion"/>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4"/>
  <sheetViews>
    <sheetView showGridLines="0" workbookViewId="0">
      <selection activeCell="J17" sqref="J17"/>
    </sheetView>
  </sheetViews>
  <sheetFormatPr defaultRowHeight="15"/>
  <cols>
    <col min="1" max="1" width="3.875" style="50" customWidth="1"/>
    <col min="2" max="2" width="14.875" style="50" customWidth="1"/>
    <col min="3" max="3" width="7.25" style="50" customWidth="1"/>
    <col min="4" max="4" width="7.75" style="50" bestFit="1" customWidth="1"/>
    <col min="5" max="5" width="10.125" style="50" customWidth="1"/>
    <col min="6" max="6" width="11" style="50" bestFit="1" customWidth="1"/>
    <col min="7" max="7" width="10.75" style="50" customWidth="1"/>
    <col min="8" max="16384" width="9" style="50"/>
  </cols>
  <sheetData>
    <row r="2" spans="2:7">
      <c r="B2" s="49"/>
      <c r="C2" s="44" t="s">
        <v>40</v>
      </c>
      <c r="D2" s="44" t="s">
        <v>41</v>
      </c>
      <c r="E2" s="44" t="s">
        <v>42</v>
      </c>
      <c r="F2" s="44" t="s">
        <v>43</v>
      </c>
    </row>
    <row r="3" spans="2:7">
      <c r="B3" s="45" t="s">
        <v>44</v>
      </c>
      <c r="C3" s="51">
        <v>1.5</v>
      </c>
      <c r="D3" s="51">
        <v>3</v>
      </c>
      <c r="E3" s="51">
        <v>5</v>
      </c>
      <c r="F3" s="49">
        <v>6000</v>
      </c>
    </row>
    <row r="4" spans="2:7">
      <c r="B4" s="45" t="s">
        <v>45</v>
      </c>
      <c r="C4" s="49">
        <v>300</v>
      </c>
      <c r="D4" s="49">
        <v>250</v>
      </c>
      <c r="E4" s="49">
        <v>400</v>
      </c>
      <c r="F4" s="52">
        <v>600000</v>
      </c>
    </row>
    <row r="5" spans="2:7">
      <c r="B5" s="45" t="s">
        <v>46</v>
      </c>
      <c r="C5" s="49">
        <v>2000</v>
      </c>
      <c r="D5" s="49">
        <v>3000</v>
      </c>
      <c r="E5" s="53">
        <v>4000</v>
      </c>
      <c r="F5" s="54"/>
    </row>
    <row r="8" spans="2:7">
      <c r="B8" s="49"/>
      <c r="C8" s="44" t="s">
        <v>40</v>
      </c>
      <c r="D8" s="44" t="s">
        <v>41</v>
      </c>
      <c r="E8" s="44" t="s">
        <v>42</v>
      </c>
      <c r="F8" s="44" t="s">
        <v>47</v>
      </c>
      <c r="G8" s="44" t="s">
        <v>43</v>
      </c>
    </row>
    <row r="9" spans="2:7">
      <c r="B9" s="45" t="s">
        <v>44</v>
      </c>
      <c r="C9" s="51">
        <v>1.5</v>
      </c>
      <c r="D9" s="51">
        <v>3</v>
      </c>
      <c r="E9" s="51">
        <v>5</v>
      </c>
      <c r="F9" s="49"/>
      <c r="G9" s="49">
        <v>6000</v>
      </c>
    </row>
    <row r="10" spans="2:7">
      <c r="B10" s="45" t="s">
        <v>45</v>
      </c>
      <c r="C10" s="49">
        <v>300</v>
      </c>
      <c r="D10" s="49">
        <v>250</v>
      </c>
      <c r="E10" s="49">
        <v>400</v>
      </c>
      <c r="F10" s="52"/>
      <c r="G10" s="52">
        <v>600000</v>
      </c>
    </row>
    <row r="11" spans="2:7">
      <c r="B11" s="45" t="s">
        <v>46</v>
      </c>
      <c r="C11" s="49">
        <v>2000</v>
      </c>
      <c r="D11" s="49">
        <v>3000</v>
      </c>
      <c r="E11" s="49">
        <v>4000</v>
      </c>
      <c r="F11" s="55"/>
      <c r="G11" s="55"/>
    </row>
    <row r="12" spans="2:7">
      <c r="B12" s="46" t="s">
        <v>48</v>
      </c>
      <c r="C12" s="49"/>
      <c r="D12" s="49"/>
      <c r="E12" s="49"/>
      <c r="F12" s="56"/>
    </row>
    <row r="14" spans="2:7">
      <c r="E14" s="47" t="s">
        <v>49</v>
      </c>
      <c r="F14" s="48"/>
    </row>
  </sheetData>
  <phoneticPr fontId="2"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D12" sqref="D12"/>
    </sheetView>
  </sheetViews>
  <sheetFormatPr defaultColWidth="8" defaultRowHeight="15"/>
  <cols>
    <col min="1" max="16384" width="8" style="57"/>
  </cols>
  <sheetData/>
  <phoneticPr fontId="2" type="noConversion"/>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63"/>
  <sheetViews>
    <sheetView showGridLines="0" workbookViewId="0">
      <selection activeCell="B27" sqref="B27"/>
    </sheetView>
  </sheetViews>
  <sheetFormatPr defaultRowHeight="15"/>
  <cols>
    <col min="1" max="1" width="2.5" style="29" customWidth="1"/>
    <col min="2" max="2" width="44.5" style="29" bestFit="1" customWidth="1"/>
    <col min="3" max="3" width="17.375" style="29" bestFit="1" customWidth="1"/>
    <col min="4" max="4" width="10.625" style="29" bestFit="1" customWidth="1"/>
    <col min="5" max="5" width="13" style="29" bestFit="1" customWidth="1"/>
    <col min="6" max="6" width="6" style="29" bestFit="1" customWidth="1"/>
    <col min="7" max="11" width="15" style="29" bestFit="1" customWidth="1"/>
    <col min="12" max="12" width="8.75" style="29" customWidth="1"/>
    <col min="13" max="16384" width="9" style="29"/>
  </cols>
  <sheetData>
    <row r="2" spans="2:12">
      <c r="B2" s="58"/>
      <c r="C2" s="59" t="s">
        <v>50</v>
      </c>
      <c r="D2" s="58"/>
      <c r="E2" s="58"/>
      <c r="F2" s="58"/>
      <c r="G2" s="58"/>
      <c r="H2" s="58"/>
      <c r="I2" s="58"/>
      <c r="J2" s="58"/>
      <c r="K2" s="58"/>
      <c r="L2" s="58"/>
    </row>
    <row r="3" spans="2:12">
      <c r="B3" s="60" t="s">
        <v>68</v>
      </c>
      <c r="C3" s="61">
        <v>7.0000000000000007E-2</v>
      </c>
      <c r="D3" s="58"/>
      <c r="E3" s="62" t="s">
        <v>69</v>
      </c>
      <c r="F3" s="63" t="s">
        <v>51</v>
      </c>
      <c r="G3" s="63" t="s">
        <v>52</v>
      </c>
      <c r="H3" s="64" t="s">
        <v>53</v>
      </c>
      <c r="I3" s="64" t="s">
        <v>54</v>
      </c>
      <c r="J3" s="64" t="s">
        <v>55</v>
      </c>
      <c r="K3" s="63" t="s">
        <v>56</v>
      </c>
      <c r="L3" s="58"/>
    </row>
    <row r="4" spans="2:12">
      <c r="B4" s="60" t="s">
        <v>70</v>
      </c>
      <c r="C4" s="65">
        <v>5</v>
      </c>
      <c r="D4" s="58"/>
      <c r="E4" s="66">
        <v>37012</v>
      </c>
      <c r="F4" s="67">
        <v>1</v>
      </c>
      <c r="G4" s="68"/>
      <c r="H4" s="68"/>
      <c r="I4" s="68"/>
      <c r="J4" s="68"/>
      <c r="K4" s="68"/>
      <c r="L4" s="58"/>
    </row>
    <row r="5" spans="2:12">
      <c r="B5" s="60" t="s">
        <v>97</v>
      </c>
      <c r="C5" s="65">
        <v>2</v>
      </c>
      <c r="D5" s="58"/>
      <c r="E5" s="66">
        <v>37043</v>
      </c>
      <c r="F5" s="67">
        <v>2</v>
      </c>
      <c r="G5" s="68"/>
      <c r="H5" s="68"/>
      <c r="I5" s="68"/>
      <c r="J5" s="68"/>
      <c r="K5" s="68"/>
      <c r="L5" s="58"/>
    </row>
    <row r="6" spans="2:12">
      <c r="B6" s="69"/>
      <c r="C6" s="70"/>
      <c r="D6" s="58"/>
      <c r="E6" s="66">
        <v>37073</v>
      </c>
      <c r="F6" s="67">
        <v>3</v>
      </c>
      <c r="G6" s="68"/>
      <c r="H6" s="68"/>
      <c r="I6" s="68"/>
      <c r="J6" s="68"/>
      <c r="K6" s="68"/>
      <c r="L6" s="58"/>
    </row>
    <row r="7" spans="2:12">
      <c r="B7" s="71"/>
      <c r="C7" s="72" t="s">
        <v>71</v>
      </c>
      <c r="D7" s="58"/>
      <c r="E7" s="66">
        <v>37104</v>
      </c>
      <c r="F7" s="67">
        <v>4</v>
      </c>
      <c r="G7" s="68"/>
      <c r="H7" s="68"/>
      <c r="I7" s="68"/>
      <c r="J7" s="68"/>
      <c r="K7" s="68"/>
      <c r="L7" s="58"/>
    </row>
    <row r="8" spans="2:12">
      <c r="B8" s="60" t="s">
        <v>57</v>
      </c>
      <c r="C8" s="73">
        <v>200</v>
      </c>
      <c r="D8" s="58"/>
      <c r="E8" s="66">
        <v>37135</v>
      </c>
      <c r="F8" s="67">
        <v>5</v>
      </c>
      <c r="G8" s="68"/>
      <c r="H8" s="68"/>
      <c r="I8" s="68"/>
      <c r="J8" s="68"/>
      <c r="K8" s="68"/>
      <c r="L8" s="58"/>
    </row>
    <row r="9" spans="2:12">
      <c r="B9" s="60" t="s">
        <v>58</v>
      </c>
      <c r="C9" s="73">
        <v>80</v>
      </c>
      <c r="D9" s="58"/>
      <c r="E9" s="66">
        <v>37165</v>
      </c>
      <c r="F9" s="67">
        <v>6</v>
      </c>
      <c r="G9" s="68"/>
      <c r="H9" s="68"/>
      <c r="I9" s="68"/>
      <c r="J9" s="68"/>
      <c r="K9" s="68"/>
      <c r="L9" s="58"/>
    </row>
    <row r="10" spans="2:12">
      <c r="B10" s="60" t="s">
        <v>59</v>
      </c>
      <c r="C10" s="73">
        <f>C8-C9</f>
        <v>120</v>
      </c>
      <c r="D10" s="58"/>
      <c r="E10" s="66">
        <v>37196</v>
      </c>
      <c r="F10" s="67">
        <v>7</v>
      </c>
      <c r="G10" s="68"/>
      <c r="H10" s="68"/>
      <c r="I10" s="68"/>
      <c r="J10" s="68"/>
      <c r="K10" s="68"/>
      <c r="L10" s="58"/>
    </row>
    <row r="11" spans="2:12">
      <c r="B11" s="60" t="s">
        <v>60</v>
      </c>
      <c r="C11" s="97">
        <v>4.9599999999999998E-2</v>
      </c>
      <c r="E11" s="66">
        <v>37226</v>
      </c>
      <c r="F11" s="67">
        <v>8</v>
      </c>
      <c r="G11" s="68"/>
      <c r="H11" s="68"/>
      <c r="I11" s="68"/>
      <c r="J11" s="68"/>
      <c r="K11" s="68"/>
      <c r="L11" s="58"/>
    </row>
    <row r="12" spans="2:12">
      <c r="B12" s="60" t="s">
        <v>61</v>
      </c>
      <c r="C12" s="74"/>
      <c r="D12" s="58"/>
      <c r="E12" s="66">
        <v>37257</v>
      </c>
      <c r="F12" s="67">
        <v>9</v>
      </c>
      <c r="G12" s="68"/>
      <c r="H12" s="68"/>
      <c r="I12" s="68"/>
      <c r="J12" s="68"/>
      <c r="K12" s="68"/>
      <c r="L12" s="58"/>
    </row>
    <row r="13" spans="2:12">
      <c r="B13" s="60" t="s">
        <v>62</v>
      </c>
      <c r="C13" s="74"/>
      <c r="D13" s="58"/>
      <c r="E13" s="66">
        <v>37288</v>
      </c>
      <c r="F13" s="67">
        <v>10</v>
      </c>
      <c r="G13" s="68"/>
      <c r="H13" s="68"/>
      <c r="I13" s="68"/>
      <c r="J13" s="68"/>
      <c r="K13" s="68"/>
      <c r="L13" s="58"/>
    </row>
    <row r="14" spans="2:12">
      <c r="B14" s="60" t="s">
        <v>63</v>
      </c>
      <c r="C14" s="74"/>
      <c r="D14" s="58"/>
      <c r="E14" s="66">
        <v>37316</v>
      </c>
      <c r="F14" s="67">
        <v>11</v>
      </c>
      <c r="G14" s="68"/>
      <c r="H14" s="68"/>
      <c r="I14" s="68"/>
      <c r="J14" s="68"/>
      <c r="K14" s="68"/>
      <c r="L14" s="58"/>
    </row>
    <row r="15" spans="2:12">
      <c r="B15" s="60" t="s">
        <v>64</v>
      </c>
      <c r="C15" s="74"/>
      <c r="D15" s="58"/>
      <c r="E15" s="66">
        <v>37347</v>
      </c>
      <c r="F15" s="67">
        <v>12</v>
      </c>
      <c r="G15" s="68"/>
      <c r="H15" s="68"/>
      <c r="I15" s="68"/>
      <c r="J15" s="68"/>
      <c r="K15" s="68"/>
      <c r="L15" s="58"/>
    </row>
    <row r="16" spans="2:12">
      <c r="B16" s="60" t="s">
        <v>65</v>
      </c>
      <c r="C16" s="74"/>
      <c r="D16" s="58"/>
      <c r="E16" s="66">
        <v>37377</v>
      </c>
      <c r="F16" s="67">
        <v>13</v>
      </c>
      <c r="G16" s="68"/>
      <c r="H16" s="68"/>
      <c r="I16" s="68"/>
      <c r="J16" s="68"/>
      <c r="K16" s="68"/>
      <c r="L16" s="58"/>
    </row>
    <row r="17" spans="2:12">
      <c r="B17" s="60" t="s">
        <v>72</v>
      </c>
      <c r="C17" s="73">
        <v>300</v>
      </c>
      <c r="D17" s="58"/>
      <c r="E17" s="66">
        <v>37408</v>
      </c>
      <c r="F17" s="67">
        <v>14</v>
      </c>
      <c r="G17" s="68"/>
      <c r="H17" s="68"/>
      <c r="I17" s="68"/>
      <c r="J17" s="68"/>
      <c r="K17" s="68"/>
      <c r="L17" s="58"/>
    </row>
    <row r="18" spans="2:12">
      <c r="B18" s="75" t="s">
        <v>66</v>
      </c>
      <c r="C18" s="76"/>
      <c r="D18" s="58"/>
      <c r="E18" s="66">
        <v>37438</v>
      </c>
      <c r="F18" s="67">
        <v>15</v>
      </c>
      <c r="G18" s="68"/>
      <c r="H18" s="68"/>
      <c r="I18" s="68"/>
      <c r="J18" s="68"/>
      <c r="K18" s="68"/>
      <c r="L18" s="58"/>
    </row>
    <row r="19" spans="2:12">
      <c r="B19" s="75" t="s">
        <v>67</v>
      </c>
      <c r="C19" s="77"/>
      <c r="D19" s="58"/>
      <c r="E19" s="66">
        <v>37469</v>
      </c>
      <c r="F19" s="67">
        <v>16</v>
      </c>
      <c r="G19" s="68"/>
      <c r="H19" s="68"/>
      <c r="I19" s="68"/>
      <c r="J19" s="68"/>
      <c r="K19" s="68"/>
      <c r="L19" s="58"/>
    </row>
    <row r="20" spans="2:12">
      <c r="D20" s="58"/>
      <c r="E20" s="66">
        <v>37500</v>
      </c>
      <c r="F20" s="67">
        <v>17</v>
      </c>
      <c r="G20" s="68"/>
      <c r="H20" s="68"/>
      <c r="I20" s="68"/>
      <c r="J20" s="68"/>
      <c r="K20" s="68"/>
      <c r="L20" s="58"/>
    </row>
    <row r="21" spans="2:12">
      <c r="D21" s="58"/>
      <c r="E21" s="66">
        <v>37530</v>
      </c>
      <c r="F21" s="67">
        <v>18</v>
      </c>
      <c r="G21" s="68"/>
      <c r="H21" s="68"/>
      <c r="I21" s="68"/>
      <c r="J21" s="68"/>
      <c r="K21" s="68"/>
      <c r="L21" s="58"/>
    </row>
    <row r="22" spans="2:12">
      <c r="D22" s="58"/>
      <c r="E22" s="66">
        <v>37561</v>
      </c>
      <c r="F22" s="67">
        <v>19</v>
      </c>
      <c r="G22" s="68"/>
      <c r="H22" s="68"/>
      <c r="I22" s="68"/>
      <c r="J22" s="68"/>
      <c r="K22" s="68"/>
      <c r="L22" s="58"/>
    </row>
    <row r="23" spans="2:12">
      <c r="E23" s="66">
        <v>37591</v>
      </c>
      <c r="F23" s="67">
        <v>20</v>
      </c>
      <c r="G23" s="68"/>
      <c r="H23" s="68"/>
      <c r="I23" s="68"/>
      <c r="J23" s="68"/>
      <c r="K23" s="68"/>
    </row>
    <row r="24" spans="2:12">
      <c r="E24" s="66">
        <v>37622</v>
      </c>
      <c r="F24" s="67">
        <v>21</v>
      </c>
      <c r="G24" s="68"/>
      <c r="H24" s="68"/>
      <c r="I24" s="68"/>
      <c r="J24" s="68"/>
      <c r="K24" s="68"/>
    </row>
    <row r="25" spans="2:12">
      <c r="E25" s="66">
        <v>37653</v>
      </c>
      <c r="F25" s="67">
        <v>22</v>
      </c>
      <c r="G25" s="68"/>
      <c r="H25" s="68"/>
      <c r="I25" s="68"/>
      <c r="J25" s="68"/>
      <c r="K25" s="68"/>
    </row>
    <row r="26" spans="2:12">
      <c r="E26" s="66">
        <v>37681</v>
      </c>
      <c r="F26" s="67">
        <v>23</v>
      </c>
      <c r="G26" s="68"/>
      <c r="H26" s="68"/>
      <c r="I26" s="68"/>
      <c r="J26" s="68"/>
      <c r="K26" s="68"/>
    </row>
    <row r="27" spans="2:12">
      <c r="E27" s="66">
        <v>37712</v>
      </c>
      <c r="F27" s="67">
        <v>24</v>
      </c>
      <c r="G27" s="68"/>
      <c r="H27" s="68"/>
      <c r="I27" s="68"/>
      <c r="J27" s="68"/>
      <c r="K27" s="68"/>
    </row>
    <row r="28" spans="2:12">
      <c r="E28" s="66">
        <v>37742</v>
      </c>
      <c r="F28" s="67">
        <v>25</v>
      </c>
      <c r="G28" s="68"/>
      <c r="H28" s="68"/>
      <c r="I28" s="68"/>
      <c r="J28" s="68"/>
      <c r="K28" s="68"/>
    </row>
    <row r="29" spans="2:12">
      <c r="E29" s="66">
        <v>37773</v>
      </c>
      <c r="F29" s="67">
        <v>26</v>
      </c>
      <c r="G29" s="68"/>
      <c r="H29" s="68"/>
      <c r="I29" s="68"/>
      <c r="J29" s="68"/>
      <c r="K29" s="68"/>
    </row>
    <row r="30" spans="2:12">
      <c r="E30" s="66">
        <v>37803</v>
      </c>
      <c r="F30" s="67">
        <v>27</v>
      </c>
      <c r="G30" s="68"/>
      <c r="H30" s="68"/>
      <c r="I30" s="68"/>
      <c r="J30" s="68"/>
      <c r="K30" s="68"/>
    </row>
    <row r="31" spans="2:12">
      <c r="E31" s="66">
        <v>37834</v>
      </c>
      <c r="F31" s="67">
        <v>28</v>
      </c>
      <c r="G31" s="68"/>
      <c r="H31" s="68"/>
      <c r="I31" s="68"/>
      <c r="J31" s="68"/>
      <c r="K31" s="68"/>
    </row>
    <row r="32" spans="2:12">
      <c r="E32" s="66">
        <v>37865</v>
      </c>
      <c r="F32" s="67">
        <v>29</v>
      </c>
      <c r="G32" s="68"/>
      <c r="H32" s="68"/>
      <c r="I32" s="68"/>
      <c r="J32" s="68"/>
      <c r="K32" s="68"/>
    </row>
    <row r="33" spans="5:11">
      <c r="E33" s="66">
        <v>37895</v>
      </c>
      <c r="F33" s="67">
        <v>30</v>
      </c>
      <c r="G33" s="68"/>
      <c r="H33" s="68"/>
      <c r="I33" s="68"/>
      <c r="J33" s="68"/>
      <c r="K33" s="68"/>
    </row>
    <row r="34" spans="5:11">
      <c r="E34" s="66">
        <v>37926</v>
      </c>
      <c r="F34" s="67">
        <v>31</v>
      </c>
      <c r="G34" s="68"/>
      <c r="H34" s="68"/>
      <c r="I34" s="68"/>
      <c r="J34" s="68"/>
      <c r="K34" s="68"/>
    </row>
    <row r="35" spans="5:11">
      <c r="E35" s="66">
        <v>37956</v>
      </c>
      <c r="F35" s="67">
        <v>32</v>
      </c>
      <c r="G35" s="68"/>
      <c r="H35" s="68"/>
      <c r="I35" s="68"/>
      <c r="J35" s="68"/>
      <c r="K35" s="68"/>
    </row>
    <row r="36" spans="5:11">
      <c r="E36" s="66">
        <v>37987</v>
      </c>
      <c r="F36" s="67">
        <v>33</v>
      </c>
      <c r="G36" s="68"/>
      <c r="H36" s="68"/>
      <c r="I36" s="68"/>
      <c r="J36" s="68"/>
      <c r="K36" s="68"/>
    </row>
    <row r="37" spans="5:11">
      <c r="E37" s="66">
        <v>38018</v>
      </c>
      <c r="F37" s="67">
        <v>34</v>
      </c>
      <c r="G37" s="68"/>
      <c r="H37" s="68"/>
      <c r="I37" s="68"/>
      <c r="J37" s="68"/>
      <c r="K37" s="68"/>
    </row>
    <row r="38" spans="5:11">
      <c r="E38" s="66">
        <v>38047</v>
      </c>
      <c r="F38" s="67">
        <v>35</v>
      </c>
      <c r="G38" s="68"/>
      <c r="H38" s="68"/>
      <c r="I38" s="68"/>
      <c r="J38" s="68"/>
      <c r="K38" s="68"/>
    </row>
    <row r="39" spans="5:11">
      <c r="E39" s="66">
        <v>38078</v>
      </c>
      <c r="F39" s="67">
        <v>36</v>
      </c>
      <c r="G39" s="68"/>
      <c r="H39" s="68"/>
      <c r="I39" s="68"/>
      <c r="J39" s="68"/>
      <c r="K39" s="68"/>
    </row>
    <row r="40" spans="5:11">
      <c r="E40" s="66">
        <v>38108</v>
      </c>
      <c r="F40" s="67">
        <v>37</v>
      </c>
      <c r="G40" s="68"/>
      <c r="H40" s="68"/>
      <c r="I40" s="68"/>
      <c r="J40" s="68"/>
      <c r="K40" s="68"/>
    </row>
    <row r="41" spans="5:11">
      <c r="E41" s="66">
        <v>38139</v>
      </c>
      <c r="F41" s="67">
        <v>38</v>
      </c>
      <c r="G41" s="68"/>
      <c r="H41" s="68"/>
      <c r="I41" s="68"/>
      <c r="J41" s="68"/>
      <c r="K41" s="68"/>
    </row>
    <row r="42" spans="5:11">
      <c r="E42" s="66">
        <v>38169</v>
      </c>
      <c r="F42" s="67">
        <v>39</v>
      </c>
      <c r="G42" s="68"/>
      <c r="H42" s="68"/>
      <c r="I42" s="68"/>
      <c r="J42" s="68"/>
      <c r="K42" s="68"/>
    </row>
    <row r="43" spans="5:11">
      <c r="E43" s="66">
        <v>38200</v>
      </c>
      <c r="F43" s="67">
        <v>40</v>
      </c>
      <c r="G43" s="68"/>
      <c r="H43" s="68"/>
      <c r="I43" s="68"/>
      <c r="J43" s="68"/>
      <c r="K43" s="68"/>
    </row>
    <row r="44" spans="5:11">
      <c r="E44" s="66">
        <v>38231</v>
      </c>
      <c r="F44" s="67">
        <v>41</v>
      </c>
      <c r="G44" s="68"/>
      <c r="H44" s="68"/>
      <c r="I44" s="68"/>
      <c r="J44" s="68"/>
      <c r="K44" s="68"/>
    </row>
    <row r="45" spans="5:11">
      <c r="E45" s="66">
        <v>38261</v>
      </c>
      <c r="F45" s="67">
        <v>42</v>
      </c>
      <c r="G45" s="68"/>
      <c r="H45" s="68"/>
      <c r="I45" s="68"/>
      <c r="J45" s="68"/>
      <c r="K45" s="68"/>
    </row>
    <row r="46" spans="5:11">
      <c r="E46" s="66">
        <v>38292</v>
      </c>
      <c r="F46" s="67">
        <v>43</v>
      </c>
      <c r="G46" s="68"/>
      <c r="H46" s="68"/>
      <c r="I46" s="68"/>
      <c r="J46" s="68"/>
      <c r="K46" s="68"/>
    </row>
    <row r="47" spans="5:11">
      <c r="E47" s="66">
        <v>38322</v>
      </c>
      <c r="F47" s="67">
        <v>44</v>
      </c>
      <c r="G47" s="68"/>
      <c r="H47" s="68"/>
      <c r="I47" s="68"/>
      <c r="J47" s="68"/>
      <c r="K47" s="68"/>
    </row>
    <row r="48" spans="5:11">
      <c r="E48" s="66">
        <v>38353</v>
      </c>
      <c r="F48" s="67">
        <v>45</v>
      </c>
      <c r="G48" s="68"/>
      <c r="H48" s="68"/>
      <c r="I48" s="68"/>
      <c r="J48" s="68"/>
      <c r="K48" s="68"/>
    </row>
    <row r="49" spans="5:11">
      <c r="E49" s="66">
        <v>38384</v>
      </c>
      <c r="F49" s="67">
        <v>46</v>
      </c>
      <c r="G49" s="68"/>
      <c r="H49" s="68"/>
      <c r="I49" s="68"/>
      <c r="J49" s="68"/>
      <c r="K49" s="68"/>
    </row>
    <row r="50" spans="5:11">
      <c r="E50" s="66">
        <v>38412</v>
      </c>
      <c r="F50" s="67">
        <v>47</v>
      </c>
      <c r="G50" s="68"/>
      <c r="H50" s="68"/>
      <c r="I50" s="68"/>
      <c r="J50" s="68"/>
      <c r="K50" s="68"/>
    </row>
    <row r="51" spans="5:11">
      <c r="E51" s="66">
        <v>38443</v>
      </c>
      <c r="F51" s="67">
        <v>48</v>
      </c>
      <c r="G51" s="68"/>
      <c r="H51" s="68"/>
      <c r="I51" s="68"/>
      <c r="J51" s="68"/>
      <c r="K51" s="68"/>
    </row>
    <row r="52" spans="5:11">
      <c r="E52" s="66">
        <v>38473</v>
      </c>
      <c r="F52" s="67">
        <v>49</v>
      </c>
      <c r="G52" s="68"/>
      <c r="H52" s="68"/>
      <c r="I52" s="68"/>
      <c r="J52" s="68"/>
      <c r="K52" s="68"/>
    </row>
    <row r="53" spans="5:11">
      <c r="E53" s="66">
        <v>38504</v>
      </c>
      <c r="F53" s="67">
        <v>50</v>
      </c>
      <c r="G53" s="68"/>
      <c r="H53" s="68"/>
      <c r="I53" s="68"/>
      <c r="J53" s="68"/>
      <c r="K53" s="68"/>
    </row>
    <row r="54" spans="5:11">
      <c r="E54" s="66">
        <v>38534</v>
      </c>
      <c r="F54" s="67">
        <v>51</v>
      </c>
      <c r="G54" s="68"/>
      <c r="H54" s="68"/>
      <c r="I54" s="68"/>
      <c r="J54" s="68"/>
      <c r="K54" s="68"/>
    </row>
    <row r="55" spans="5:11">
      <c r="E55" s="66">
        <v>38565</v>
      </c>
      <c r="F55" s="67">
        <v>52</v>
      </c>
      <c r="G55" s="68"/>
      <c r="H55" s="68"/>
      <c r="I55" s="68"/>
      <c r="J55" s="68"/>
      <c r="K55" s="68"/>
    </row>
    <row r="56" spans="5:11">
      <c r="E56" s="66">
        <v>38596</v>
      </c>
      <c r="F56" s="67">
        <v>53</v>
      </c>
      <c r="G56" s="68"/>
      <c r="H56" s="68"/>
      <c r="I56" s="68"/>
      <c r="J56" s="68"/>
      <c r="K56" s="68"/>
    </row>
    <row r="57" spans="5:11">
      <c r="E57" s="66">
        <v>38626</v>
      </c>
      <c r="F57" s="67">
        <v>54</v>
      </c>
      <c r="G57" s="68"/>
      <c r="H57" s="68"/>
      <c r="I57" s="68"/>
      <c r="J57" s="68"/>
      <c r="K57" s="68"/>
    </row>
    <row r="58" spans="5:11">
      <c r="E58" s="66">
        <v>38657</v>
      </c>
      <c r="F58" s="67">
        <v>55</v>
      </c>
      <c r="G58" s="68"/>
      <c r="H58" s="68"/>
      <c r="I58" s="68"/>
      <c r="J58" s="68"/>
      <c r="K58" s="68"/>
    </row>
    <row r="59" spans="5:11">
      <c r="E59" s="66">
        <v>38687</v>
      </c>
      <c r="F59" s="67">
        <v>56</v>
      </c>
      <c r="G59" s="68"/>
      <c r="H59" s="68"/>
      <c r="I59" s="68"/>
      <c r="J59" s="68"/>
      <c r="K59" s="68"/>
    </row>
    <row r="60" spans="5:11">
      <c r="E60" s="66">
        <v>38718</v>
      </c>
      <c r="F60" s="67">
        <v>57</v>
      </c>
      <c r="G60" s="68"/>
      <c r="H60" s="68"/>
      <c r="I60" s="68"/>
      <c r="J60" s="68"/>
      <c r="K60" s="68"/>
    </row>
    <row r="61" spans="5:11">
      <c r="E61" s="66">
        <v>38749</v>
      </c>
      <c r="F61" s="67">
        <v>58</v>
      </c>
      <c r="G61" s="68"/>
      <c r="H61" s="68"/>
      <c r="I61" s="68"/>
      <c r="J61" s="68"/>
      <c r="K61" s="68"/>
    </row>
    <row r="62" spans="5:11">
      <c r="E62" s="66">
        <v>38777</v>
      </c>
      <c r="F62" s="67">
        <v>59</v>
      </c>
      <c r="G62" s="68"/>
      <c r="H62" s="68"/>
      <c r="I62" s="68"/>
      <c r="J62" s="68"/>
      <c r="K62" s="68"/>
    </row>
    <row r="63" spans="5:11">
      <c r="E63" s="66">
        <v>38808</v>
      </c>
      <c r="F63" s="67">
        <v>60</v>
      </c>
      <c r="G63" s="68"/>
      <c r="H63" s="68"/>
      <c r="I63" s="68"/>
      <c r="J63" s="68"/>
      <c r="K63" s="68"/>
    </row>
  </sheetData>
  <phoneticPr fontId="2" type="noConversion"/>
  <pageMargins left="0.75" right="0.75" top="1" bottom="1" header="0.5" footer="0.5"/>
  <pageSetup paperSize="9"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5"/>
  <sheetViews>
    <sheetView showGridLines="0" workbookViewId="0">
      <selection activeCell="G22" sqref="G22"/>
    </sheetView>
  </sheetViews>
  <sheetFormatPr defaultColWidth="8.875" defaultRowHeight="15"/>
  <cols>
    <col min="1" max="1" width="1.875" style="79" customWidth="1"/>
    <col min="2" max="2" width="38.875" style="79" customWidth="1"/>
    <col min="3" max="3" width="8.875" style="79" customWidth="1"/>
    <col min="4" max="4" width="2.25" style="79" customWidth="1"/>
    <col min="5" max="16384" width="8.875" style="79"/>
  </cols>
  <sheetData>
    <row r="2" spans="2:3">
      <c r="B2" s="78" t="s">
        <v>79</v>
      </c>
      <c r="C2" s="78" t="s">
        <v>73</v>
      </c>
    </row>
    <row r="3" spans="2:3">
      <c r="B3" s="80">
        <v>20</v>
      </c>
      <c r="C3" s="81">
        <v>0.05</v>
      </c>
    </row>
    <row r="4" spans="2:3">
      <c r="B4" s="80">
        <v>30</v>
      </c>
      <c r="C4" s="81">
        <v>0.2</v>
      </c>
    </row>
    <row r="5" spans="2:3">
      <c r="B5" s="80">
        <v>40</v>
      </c>
      <c r="C5" s="81">
        <v>0.5</v>
      </c>
    </row>
    <row r="6" spans="2:3">
      <c r="B6" s="80">
        <v>50</v>
      </c>
      <c r="C6" s="81">
        <v>0.2</v>
      </c>
    </row>
    <row r="7" spans="2:3">
      <c r="B7" s="80">
        <v>60</v>
      </c>
      <c r="C7" s="81">
        <v>0.05</v>
      </c>
    </row>
    <row r="8" spans="2:3">
      <c r="B8" s="82"/>
      <c r="C8" s="82"/>
    </row>
    <row r="9" spans="2:3">
      <c r="B9" s="83" t="s">
        <v>74</v>
      </c>
      <c r="C9" s="80">
        <v>40</v>
      </c>
    </row>
    <row r="10" spans="2:3">
      <c r="B10" s="83" t="s">
        <v>75</v>
      </c>
      <c r="C10" s="80">
        <v>10</v>
      </c>
    </row>
    <row r="11" spans="2:3">
      <c r="B11" s="82"/>
      <c r="C11" s="82"/>
    </row>
    <row r="12" spans="2:3">
      <c r="B12" s="83" t="s">
        <v>76</v>
      </c>
      <c r="C12" s="84"/>
    </row>
    <row r="13" spans="2:3">
      <c r="B13" s="83" t="s">
        <v>77</v>
      </c>
      <c r="C13" s="84"/>
    </row>
    <row r="14" spans="2:3">
      <c r="B14" s="83" t="s">
        <v>78</v>
      </c>
      <c r="C14" s="84"/>
    </row>
    <row r="15" spans="2:3">
      <c r="B15" s="83" t="s">
        <v>80</v>
      </c>
      <c r="C15" s="85"/>
    </row>
  </sheetData>
  <phoneticPr fontId="2" type="noConversion"/>
  <pageMargins left="0.75" right="0.75" top="1" bottom="1" header="0.5" footer="0.5"/>
  <pageSetup paperSize="9"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考试须知</vt:lpstr>
      <vt:lpstr>第1题</vt:lpstr>
      <vt:lpstr>第2题</vt:lpstr>
      <vt:lpstr>第3题</vt:lpstr>
      <vt:lpstr>第4题</vt:lpstr>
      <vt:lpstr>第5题</vt:lpstr>
      <vt:lpstr>第6题</vt:lpstr>
      <vt:lpstr>第7题</vt:lpstr>
      <vt:lpstr>第8题</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C02</dc:creator>
  <cp:lastModifiedBy>C02</cp:lastModifiedBy>
  <dcterms:created xsi:type="dcterms:W3CDTF">1996-12-17T01:32:42Z</dcterms:created>
  <dcterms:modified xsi:type="dcterms:W3CDTF">2018-06-10T07:39:52Z</dcterms:modified>
</cp:coreProperties>
</file>