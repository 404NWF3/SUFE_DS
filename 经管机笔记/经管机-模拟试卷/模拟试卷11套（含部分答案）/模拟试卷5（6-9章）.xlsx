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drawings/drawing6.xml" ContentType="application/vnd.openxmlformats-officedocument.drawing+xml"/>
  <Override PartName="/xl/ctrlProps/ctrlProp2.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5" yWindow="-15" windowWidth="7680" windowHeight="8565" tabRatio="311" firstSheet="2" activeTab="4"/>
  </bookViews>
  <sheets>
    <sheet name="考试须知" sheetId="17" r:id="rId1"/>
    <sheet name="考卷时间" sheetId="26" state="hidden" r:id="rId2"/>
    <sheet name="第1题" sheetId="18" r:id="rId3"/>
    <sheet name="第2题" sheetId="19" r:id="rId4"/>
    <sheet name="第3题" sheetId="20" r:id="rId5"/>
    <sheet name="第4题" sheetId="21" r:id="rId6"/>
    <sheet name="第4题 (2)" sheetId="27" r:id="rId7"/>
    <sheet name="第5题" sheetId="22" r:id="rId8"/>
    <sheet name="第6题" sheetId="23" r:id="rId9"/>
    <sheet name="第7题" sheetId="24" r:id="rId10"/>
    <sheet name="第8题" sheetId="25" r:id="rId11"/>
  </sheets>
  <definedNames>
    <definedName name="solver_eng" localSheetId="8" hidden="1">1</definedName>
    <definedName name="solver_neg" localSheetId="8" hidden="1">1</definedName>
    <definedName name="solver_num" localSheetId="8" hidden="1">0</definedName>
    <definedName name="solver_opt" localSheetId="8" hidden="1">第6题!$J$19</definedName>
    <definedName name="solver_typ" localSheetId="8" hidden="1">1</definedName>
    <definedName name="solver_val" localSheetId="8" hidden="1">0</definedName>
    <definedName name="solver_ver" localSheetId="8" hidden="1">3</definedName>
  </definedNames>
  <calcPr calcId="145621"/>
</workbook>
</file>

<file path=xl/calcChain.xml><?xml version="1.0" encoding="utf-8"?>
<calcChain xmlns="http://schemas.openxmlformats.org/spreadsheetml/2006/main">
  <c r="F4" i="27" l="1"/>
  <c r="F18" i="27"/>
  <c r="G18" i="27"/>
  <c r="E18" i="27"/>
  <c r="B18" i="27"/>
  <c r="C13" i="27"/>
  <c r="C10" i="27"/>
  <c r="C9" i="27"/>
  <c r="C18" i="27" s="1"/>
  <c r="F5" i="27" s="1"/>
  <c r="C8" i="27"/>
  <c r="D18" i="27" l="1"/>
  <c r="F6" i="27" s="1"/>
  <c r="J15" i="17"/>
</calcChain>
</file>

<file path=xl/connections.xml><?xml version="1.0" encoding="utf-8"?>
<connections xmlns="http://schemas.openxmlformats.org/spreadsheetml/2006/main">
  <connection id="1" name="连接1" type="1" refreshedVersion="0" savePassword="1" background="1" saveData="1">
    <dbPr connection="DBQ=F:\0 计算机应用 windows2000版\财经管理中的计算机应用 例题和幻灯片\数据库\Northwind97.mdb;DefaultDir=F:\0 计算机应用 windows2000版\财经管理中的计算机应用 例题和幻灯片\数据库;Driver={Microsoft Access Driver (*.mdb)};DriverId=281;FIL=MS Access;MaxBufferSize=2048;MaxScanRows=8;PageTimeout=5;SafeTransactions=0;Threads=3;UserCommitSync=Yes;" command="SELECT 客户.客户ID, 订单.订购日期, 订单明细.数量, 类别.类别名称, 订单明细.单价*数量*(1-折扣)_x000d__x000a_FROM 产品 产品, 订单 订单, 订单明细 订单明细, 客户 客户, 类别 类别_x000d__x000a_WHERE 订单.客户ID = 客户.客户ID AND 订单明细.订单ID = 订单.订单ID AND 产品.产品ID = 订单明细.产品ID AND 类别.类别ID = 产品.类别ID AND ((订单.订购日期&gt;={ts '1995-01-01 00:00:00'}) AND (订单.订购日期&lt;={ts '1995-12-31 00:00:00'}))"/>
  </connection>
</connections>
</file>

<file path=xl/sharedStrings.xml><?xml version="1.0" encoding="utf-8"?>
<sst xmlns="http://schemas.openxmlformats.org/spreadsheetml/2006/main" count="135" uniqueCount="105">
  <si>
    <t>学号</t>
    <phoneticPr fontId="9" type="noConversion"/>
  </si>
  <si>
    <t>姓名</t>
    <phoneticPr fontId="9" type="noConversion"/>
  </si>
  <si>
    <t>未考</t>
    <phoneticPr fontId="9" type="noConversion"/>
  </si>
  <si>
    <t>题目</t>
    <phoneticPr fontId="9" type="noConversion"/>
  </si>
  <si>
    <t>得分</t>
    <phoneticPr fontId="9" type="noConversion"/>
  </si>
  <si>
    <r>
      <t>第</t>
    </r>
    <r>
      <rPr>
        <sz val="12"/>
        <rFont val="Arial"/>
        <family val="2"/>
      </rPr>
      <t>1</t>
    </r>
    <r>
      <rPr>
        <sz val="12"/>
        <rFont val="宋体"/>
        <family val="3"/>
        <charset val="134"/>
      </rPr>
      <t>题</t>
    </r>
    <phoneticPr fontId="9" type="noConversion"/>
  </si>
  <si>
    <r>
      <t>第</t>
    </r>
    <r>
      <rPr>
        <sz val="12"/>
        <rFont val="Arial"/>
        <family val="2"/>
      </rPr>
      <t>2</t>
    </r>
    <r>
      <rPr>
        <sz val="12"/>
        <rFont val="宋体"/>
        <family val="3"/>
        <charset val="134"/>
      </rPr>
      <t>题</t>
    </r>
    <phoneticPr fontId="9" type="noConversion"/>
  </si>
  <si>
    <r>
      <t>第</t>
    </r>
    <r>
      <rPr>
        <sz val="12"/>
        <rFont val="Arial"/>
        <family val="2"/>
      </rPr>
      <t>3</t>
    </r>
    <r>
      <rPr>
        <sz val="12"/>
        <rFont val="宋体"/>
        <family val="3"/>
        <charset val="134"/>
      </rPr>
      <t>题</t>
    </r>
    <phoneticPr fontId="9" type="noConversion"/>
  </si>
  <si>
    <r>
      <t>第</t>
    </r>
    <r>
      <rPr>
        <sz val="12"/>
        <rFont val="Arial"/>
        <family val="2"/>
      </rPr>
      <t>4</t>
    </r>
    <r>
      <rPr>
        <sz val="12"/>
        <rFont val="宋体"/>
        <family val="3"/>
        <charset val="134"/>
      </rPr>
      <t>题</t>
    </r>
    <phoneticPr fontId="9" type="noConversion"/>
  </si>
  <si>
    <r>
      <t>第</t>
    </r>
    <r>
      <rPr>
        <sz val="12"/>
        <rFont val="Arial"/>
        <family val="2"/>
      </rPr>
      <t>5</t>
    </r>
    <r>
      <rPr>
        <sz val="12"/>
        <rFont val="宋体"/>
        <family val="3"/>
        <charset val="134"/>
      </rPr>
      <t>题</t>
    </r>
    <phoneticPr fontId="9" type="noConversion"/>
  </si>
  <si>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</si>
  <si>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</si>
  <si>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r>
      <t>第</t>
    </r>
    <r>
      <rPr>
        <sz val="12"/>
        <rFont val="Arial"/>
        <family val="2"/>
      </rPr>
      <t>8题</t>
    </r>
    <r>
      <rPr>
        <sz val="12"/>
        <rFont val="宋体"/>
        <family val="3"/>
        <charset val="134"/>
      </rPr>
      <t/>
    </r>
  </si>
  <si>
    <t>总分</t>
    <phoneticPr fontId="9" type="noConversion"/>
  </si>
  <si>
    <r>
      <t>销量</t>
    </r>
    <r>
      <rPr>
        <sz val="12"/>
        <rFont val="Arial"/>
        <family val="2"/>
      </rPr>
      <t>(Q)</t>
    </r>
  </si>
  <si>
    <r>
      <t xml:space="preserve"> </t>
    </r>
    <r>
      <rPr>
        <sz val="12"/>
        <rFont val="宋体"/>
        <family val="3"/>
        <charset val="134"/>
      </rPr>
      <t>单位：元</t>
    </r>
  </si>
  <si>
    <r>
      <t>单台销售价格</t>
    </r>
    <r>
      <rPr>
        <sz val="12"/>
        <rFont val="Arial"/>
        <family val="2"/>
      </rPr>
      <t>(p)</t>
    </r>
    <phoneticPr fontId="62" type="noConversion"/>
  </si>
  <si>
    <t>单台产品的销售税金及附加</t>
    <phoneticPr fontId="62" type="noConversion"/>
  </si>
  <si>
    <r>
      <t>单台可变成本</t>
    </r>
    <r>
      <rPr>
        <sz val="12"/>
        <rFont val="Arial"/>
        <family val="2"/>
      </rPr>
      <t>(v)</t>
    </r>
    <r>
      <rPr>
        <sz val="12"/>
        <rFont val="宋体"/>
        <family val="3"/>
        <charset val="134"/>
      </rPr>
      <t>：</t>
    </r>
    <phoneticPr fontId="62" type="noConversion"/>
  </si>
  <si>
    <r>
      <t>固定成本</t>
    </r>
    <r>
      <rPr>
        <sz val="12"/>
        <rFont val="Arial"/>
        <family val="2"/>
      </rPr>
      <t>(F)</t>
    </r>
    <r>
      <rPr>
        <sz val="12"/>
        <rFont val="宋体"/>
        <family val="3"/>
        <charset val="134"/>
      </rPr>
      <t>：</t>
    </r>
  </si>
  <si>
    <t>单位边际贡献</t>
    <phoneticPr fontId="21" type="noConversion"/>
  </si>
  <si>
    <t>边际贡献率</t>
    <phoneticPr fontId="21" type="noConversion"/>
  </si>
  <si>
    <r>
      <t>销售收益</t>
    </r>
    <r>
      <rPr>
        <sz val="12"/>
        <rFont val="Arial"/>
        <family val="2"/>
      </rPr>
      <t>(R)</t>
    </r>
  </si>
  <si>
    <r>
      <t>总成本</t>
    </r>
    <r>
      <rPr>
        <sz val="12"/>
        <rFont val="Arial"/>
        <family val="2"/>
      </rPr>
      <t>(C)</t>
    </r>
  </si>
  <si>
    <r>
      <t>利润</t>
    </r>
    <r>
      <rPr>
        <sz val="12"/>
        <rFont val="Arial"/>
        <family val="2"/>
      </rPr>
      <t>(π)</t>
    </r>
  </si>
  <si>
    <r>
      <t>盈亏平衡销量</t>
    </r>
    <r>
      <rPr>
        <sz val="12"/>
        <rFont val="Arial"/>
        <family val="2"/>
      </rPr>
      <t>(Q</t>
    </r>
    <r>
      <rPr>
        <vertAlign val="subscript"/>
        <sz val="12"/>
        <rFont val="Arial"/>
        <family val="2"/>
      </rPr>
      <t>0</t>
    </r>
    <r>
      <rPr>
        <sz val="12"/>
        <rFont val="Arial"/>
        <family val="2"/>
      </rPr>
      <t>)</t>
    </r>
  </si>
  <si>
    <r>
      <t>盈亏平衡销售收益</t>
    </r>
    <r>
      <rPr>
        <sz val="12"/>
        <rFont val="Arial"/>
        <family val="2"/>
      </rPr>
      <t>(R</t>
    </r>
    <r>
      <rPr>
        <vertAlign val="subscript"/>
        <sz val="12"/>
        <rFont val="Arial"/>
        <family val="2"/>
      </rPr>
      <t>0</t>
    </r>
    <r>
      <rPr>
        <sz val="12"/>
        <rFont val="Arial"/>
        <family val="2"/>
      </rPr>
      <t>)</t>
    </r>
  </si>
  <si>
    <t>销量</t>
    <phoneticPr fontId="62" type="noConversion"/>
  </si>
  <si>
    <t>销售单价</t>
  </si>
  <si>
    <t>自制方案</t>
    <phoneticPr fontId="62" type="noConversion"/>
  </si>
  <si>
    <t>外购方案</t>
    <phoneticPr fontId="62" type="noConversion"/>
  </si>
  <si>
    <t>固定成本</t>
    <phoneticPr fontId="62" type="noConversion"/>
  </si>
  <si>
    <t>单价</t>
    <phoneticPr fontId="62" type="noConversion"/>
  </si>
  <si>
    <t>单位可变成本</t>
  </si>
  <si>
    <t>外购方案的成本</t>
    <phoneticPr fontId="62" type="noConversion"/>
  </si>
  <si>
    <t>自制总成本</t>
    <phoneticPr fontId="62" type="noConversion"/>
  </si>
  <si>
    <t>外购方案的利润</t>
    <phoneticPr fontId="62" type="noConversion"/>
  </si>
  <si>
    <t>自制方案的利润</t>
    <phoneticPr fontId="62" type="noConversion"/>
  </si>
  <si>
    <t>相对盈亏平衡点</t>
  </si>
  <si>
    <t>相对盈亏平衡点处的利润</t>
    <phoneticPr fontId="62" type="noConversion"/>
  </si>
  <si>
    <t>决策结论</t>
    <phoneticPr fontId="62" type="noConversion"/>
  </si>
  <si>
    <t>采用折扣总成本扣减比例（OFF）</t>
    <phoneticPr fontId="9" type="noConversion"/>
  </si>
  <si>
    <t>折扣起点（每次补充供油量）</t>
    <phoneticPr fontId="9" type="noConversion"/>
  </si>
  <si>
    <t>年需求量（D）</t>
    <phoneticPr fontId="9" type="noConversion"/>
  </si>
  <si>
    <t>每次补充汽油固定供油成本（k)</t>
    <phoneticPr fontId="9" type="noConversion"/>
  </si>
  <si>
    <t>全年单位储存成本(h)</t>
    <phoneticPr fontId="9" type="noConversion"/>
  </si>
  <si>
    <t>每次补充供油量</t>
    <phoneticPr fontId="9" type="noConversion"/>
  </si>
  <si>
    <t>全年固定补充供油成本</t>
    <phoneticPr fontId="9" type="noConversion"/>
  </si>
  <si>
    <t>全年储存成本</t>
    <phoneticPr fontId="9" type="noConversion"/>
  </si>
  <si>
    <t>全年总成本</t>
    <phoneticPr fontId="9" type="noConversion"/>
  </si>
  <si>
    <t>最优补充供油量</t>
    <phoneticPr fontId="9" type="noConversion"/>
  </si>
  <si>
    <t>全年总成本极小值</t>
    <phoneticPr fontId="9" type="noConversion"/>
  </si>
  <si>
    <t>买公寓商业贷款</t>
    <phoneticPr fontId="9" type="noConversion"/>
  </si>
  <si>
    <r>
      <rPr>
        <sz val="11"/>
        <rFont val="宋体"/>
        <family val="3"/>
        <charset val="134"/>
      </rPr>
      <t>当前期数</t>
    </r>
    <phoneticPr fontId="9" type="noConversion"/>
  </si>
  <si>
    <r>
      <rPr>
        <sz val="11"/>
        <rFont val="宋体"/>
        <family val="3"/>
        <charset val="134"/>
      </rPr>
      <t>贷款年限</t>
    </r>
    <phoneticPr fontId="9" type="noConversion"/>
  </si>
  <si>
    <t>月还款本金</t>
    <phoneticPr fontId="9" type="noConversion"/>
  </si>
  <si>
    <r>
      <rPr>
        <sz val="11"/>
        <rFont val="宋体"/>
        <family val="3"/>
        <charset val="134"/>
      </rPr>
      <t>年利率</t>
    </r>
    <phoneticPr fontId="9" type="noConversion"/>
  </si>
  <si>
    <t>月还款利息</t>
    <phoneticPr fontId="9" type="noConversion"/>
  </si>
  <si>
    <t>月还款总额</t>
    <phoneticPr fontId="9" type="noConversion"/>
  </si>
  <si>
    <r>
      <rPr>
        <sz val="11"/>
        <rFont val="宋体"/>
        <family val="3"/>
        <charset val="134"/>
      </rPr>
      <t>按照</t>
    </r>
    <r>
      <rPr>
        <sz val="11"/>
        <rFont val="Arial"/>
        <family val="2"/>
      </rPr>
      <t>10</t>
    </r>
    <r>
      <rPr>
        <sz val="11"/>
        <rFont val="宋体"/>
        <family val="3"/>
        <charset val="134"/>
      </rPr>
      <t>年还贷</t>
    </r>
    <phoneticPr fontId="9" type="noConversion"/>
  </si>
  <si>
    <t>第5年末提前还款5万后剩余待归还本金</t>
    <phoneticPr fontId="9" type="noConversion"/>
  </si>
  <si>
    <t>剩余待还本金</t>
    <phoneticPr fontId="9" type="noConversion"/>
  </si>
  <si>
    <t>第1-5年还贷</t>
    <phoneticPr fontId="9" type="noConversion"/>
  </si>
  <si>
    <t>第6-10年还贷</t>
    <phoneticPr fontId="9" type="noConversion"/>
  </si>
  <si>
    <t>项目A</t>
    <phoneticPr fontId="9" type="noConversion"/>
  </si>
  <si>
    <t>项目B</t>
    <phoneticPr fontId="9" type="noConversion"/>
  </si>
  <si>
    <t>贴现率</t>
    <phoneticPr fontId="9" type="noConversion"/>
  </si>
  <si>
    <t>初始投入</t>
    <phoneticPr fontId="9" type="noConversion"/>
  </si>
  <si>
    <t>第1、2年投入</t>
    <phoneticPr fontId="9" type="noConversion"/>
  </si>
  <si>
    <t>第1年收入</t>
    <phoneticPr fontId="9" type="noConversion"/>
  </si>
  <si>
    <t>第2年收入</t>
    <phoneticPr fontId="9" type="noConversion"/>
  </si>
  <si>
    <t>第3至第5年收入</t>
    <phoneticPr fontId="9" type="noConversion"/>
  </si>
  <si>
    <t>净现值</t>
    <phoneticPr fontId="9" type="noConversion"/>
  </si>
  <si>
    <t>健身房1</t>
    <phoneticPr fontId="62" type="noConversion"/>
  </si>
  <si>
    <t>健身房2</t>
  </si>
  <si>
    <t>健身房3</t>
  </si>
  <si>
    <t>健身房4</t>
  </si>
  <si>
    <t>健身教练1</t>
    <phoneticPr fontId="62" type="noConversion"/>
  </si>
  <si>
    <t>健身教练2</t>
  </si>
  <si>
    <t>健身教练3</t>
  </si>
  <si>
    <t>健身教练4</t>
  </si>
  <si>
    <t>工人</t>
    <phoneticPr fontId="62" type="noConversion"/>
  </si>
  <si>
    <t>工种</t>
    <phoneticPr fontId="62" type="noConversion"/>
  </si>
  <si>
    <t>A</t>
    <phoneticPr fontId="62" type="noConversion"/>
  </si>
  <si>
    <t>B</t>
    <phoneticPr fontId="62" type="noConversion"/>
  </si>
  <si>
    <t>C</t>
    <phoneticPr fontId="62" type="noConversion"/>
  </si>
  <si>
    <t>D</t>
    <phoneticPr fontId="62" type="noConversion"/>
  </si>
  <si>
    <t>甲</t>
    <phoneticPr fontId="62" type="noConversion"/>
  </si>
  <si>
    <t>乙</t>
  </si>
  <si>
    <t>丙</t>
  </si>
  <si>
    <t>丁</t>
  </si>
  <si>
    <t>单位变动成本（元)</t>
    <phoneticPr fontId="9" type="noConversion"/>
  </si>
  <si>
    <t>概率</t>
    <phoneticPr fontId="9" type="noConversion"/>
  </si>
  <si>
    <t>周末咖啡的需求量的均值</t>
    <phoneticPr fontId="9" type="noConversion"/>
  </si>
  <si>
    <t>工作日咖啡需求量的均值</t>
    <phoneticPr fontId="9" type="noConversion"/>
  </si>
  <si>
    <t>工作日咖啡需求量的标准差</t>
    <phoneticPr fontId="9" type="noConversion"/>
  </si>
  <si>
    <t>咖啡的单价</t>
    <phoneticPr fontId="9" type="noConversion"/>
  </si>
  <si>
    <t>咖啡的缺货成本</t>
    <phoneticPr fontId="9" type="noConversion"/>
  </si>
  <si>
    <t>咖啡机的日折旧</t>
    <phoneticPr fontId="9" type="noConversion"/>
  </si>
  <si>
    <t>一个咖啡机制作的咖啡杯数</t>
    <phoneticPr fontId="9" type="noConversion"/>
  </si>
  <si>
    <t>咖啡机的数量</t>
    <phoneticPr fontId="9" type="noConversion"/>
  </si>
  <si>
    <t>咖啡生产量</t>
    <phoneticPr fontId="9" type="noConversion"/>
  </si>
  <si>
    <t>建议购买咖啡机的数量</t>
    <phoneticPr fontId="9" type="noConversion"/>
  </si>
  <si>
    <t>2017秋</t>
    <phoneticPr fontId="61" type="noConversion"/>
  </si>
  <si>
    <t>2017秋第4场</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</si>
</sst>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76" formatCode="_(* #,##0.00_);_(* \(#,##0.00\);_(* &quot;-&quot;??_);_(@_)"/>
    <numFmt numFmtId="177" formatCode="#,##0.00;\(#,##0.00\)"/>
    <numFmt numFmtId="178" formatCode="0_);\(0\)"/>
    <numFmt numFmtId="179" formatCode="_ * #,##0_ ;_ * \-#,##0_ ;_ * &quot;-&quot;??_ ;_ @_ "/>
    <numFmt numFmtId="180" formatCode="0.00_ "/>
    <numFmt numFmtId="181" formatCode="0.00_);[Red]\(0.00\)"/>
    <numFmt numFmtId="182" formatCode="0.0_ "/>
    <numFmt numFmtId="183" formatCode="_-&quot;¥&quot;* #,##0.00_-;\-&quot;¥&quot;* #,##0.00_-;_-&quot;¥&quot;* &quot;-&quot;??_-;_-@_-"/>
  </numFmts>
  <fonts count="73">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2"/>
      <name val="宋体"/>
      <family val="3"/>
      <charset val="134"/>
    </font>
    <font>
      <b/>
      <sz val="12"/>
      <name val="宋体"/>
      <family val="3"/>
      <charset val="134"/>
    </font>
    <font>
      <sz val="11"/>
      <name val="黑体"/>
      <family val="3"/>
      <charset val="134"/>
    </font>
    <font>
      <b/>
      <sz val="11"/>
      <name val="Arial"/>
      <family val="2"/>
    </font>
    <font>
      <sz val="11"/>
      <name val="宋体"/>
      <family val="3"/>
      <charset val="134"/>
    </font>
    <font>
      <b/>
      <sz val="11"/>
      <name val="黑体"/>
      <family val="3"/>
      <charset val="134"/>
    </font>
    <font>
      <b/>
      <sz val="11"/>
      <color indexed="10"/>
      <name val="黑体"/>
      <family val="3"/>
      <charset val="134"/>
    </font>
    <font>
      <sz val="11"/>
      <color indexed="10"/>
      <name val="黑体"/>
      <family val="3"/>
      <charset val="134"/>
    </font>
    <font>
      <b/>
      <sz val="18"/>
      <color indexed="12"/>
      <name val="楷体_GB2312"/>
      <family val="3"/>
      <charset val="134"/>
    </font>
    <font>
      <sz val="12"/>
      <name val="Arial"/>
      <family val="2"/>
    </font>
    <font>
      <b/>
      <sz val="11"/>
      <color indexed="8"/>
      <name val="宋体"/>
      <family val="3"/>
      <charset val="134"/>
    </font>
    <font>
      <sz val="11"/>
      <color indexed="8"/>
      <name val="宋体"/>
      <family val="3"/>
      <charset val="134"/>
    </font>
    <font>
      <sz val="10"/>
      <name val="Arial"/>
      <family val="2"/>
    </font>
    <font>
      <sz val="11"/>
      <color theme="1"/>
      <name val="宋体"/>
      <family val="2"/>
      <scheme val="minor"/>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56"/>
      <name val="宋体"/>
      <family val="3"/>
      <charset val="134"/>
    </font>
    <font>
      <sz val="11"/>
      <color indexed="10"/>
      <name val="宋体"/>
      <family val="3"/>
      <charset val="134"/>
    </font>
    <font>
      <sz val="11"/>
      <color theme="1"/>
      <name val="宋体"/>
      <family val="3"/>
      <charset val="134"/>
      <scheme val="minor"/>
    </font>
    <font>
      <sz val="11"/>
      <color indexed="8"/>
      <name val="Calibri"/>
      <family val="2"/>
    </font>
    <font>
      <sz val="11"/>
      <color indexed="9"/>
      <name val="Calibri"/>
      <family val="2"/>
    </font>
    <font>
      <sz val="10"/>
      <name val="宋体"/>
      <family val="3"/>
      <charset val="134"/>
    </font>
    <font>
      <b/>
      <sz val="11"/>
      <color indexed="8"/>
      <name val="Calibri"/>
      <family val="2"/>
    </font>
    <font>
      <sz val="9"/>
      <color indexed="8"/>
      <name val="Arial"/>
      <family val="2"/>
    </font>
    <font>
      <sz val="10"/>
      <color indexed="8"/>
      <name val="Arial"/>
      <family val="2"/>
    </font>
    <font>
      <b/>
      <i/>
      <sz val="11"/>
      <color indexed="8"/>
      <name val="Arial"/>
      <family val="2"/>
    </font>
    <font>
      <b/>
      <sz val="10"/>
      <color indexed="9"/>
      <name val="Arial"/>
      <family val="2"/>
    </font>
    <font>
      <b/>
      <sz val="11"/>
      <color indexed="16"/>
      <name val="Times New Roman"/>
      <family val="1"/>
    </font>
    <font>
      <b/>
      <sz val="22"/>
      <color indexed="8"/>
      <name val="Times New Roman"/>
      <family val="1"/>
    </font>
    <font>
      <b/>
      <sz val="11"/>
      <color indexed="63"/>
      <name val="Calibri"/>
      <family val="2"/>
    </font>
    <font>
      <b/>
      <sz val="18"/>
      <color indexed="62"/>
      <name val="Cambria"/>
      <family val="1"/>
    </font>
    <font>
      <i/>
      <sz val="12"/>
      <name val="Arial"/>
      <family val="2"/>
    </font>
    <font>
      <sz val="10"/>
      <color theme="1"/>
      <name val="Arial"/>
      <family val="2"/>
    </font>
    <font>
      <sz val="12"/>
      <color indexed="20"/>
      <name val="宋体"/>
      <family val="3"/>
      <charset val="134"/>
    </font>
    <font>
      <sz val="10"/>
      <color theme="1"/>
      <name val="Tahoma"/>
      <family val="2"/>
    </font>
    <font>
      <sz val="10"/>
      <color theme="1"/>
      <name val="Arial Unicode MS"/>
      <family val="2"/>
      <charset val="134"/>
    </font>
    <font>
      <sz val="11"/>
      <color theme="1"/>
      <name val="Arial"/>
      <family val="2"/>
    </font>
    <font>
      <sz val="12"/>
      <color indexed="17"/>
      <name val="宋体"/>
      <family val="3"/>
      <charset val="134"/>
    </font>
    <font>
      <sz val="10"/>
      <color indexed="8"/>
      <name val="Tahoma"/>
      <family val="2"/>
    </font>
    <font>
      <sz val="12"/>
      <color indexed="8"/>
      <name val="宋体"/>
      <family val="3"/>
      <charset val="134"/>
    </font>
    <font>
      <sz val="9"/>
      <name val="宋体"/>
      <family val="3"/>
      <charset val="134"/>
      <scheme val="minor"/>
    </font>
    <font>
      <sz val="9"/>
      <name val="宋体"/>
      <family val="2"/>
      <charset val="134"/>
      <scheme val="minor"/>
    </font>
    <font>
      <vertAlign val="subscript"/>
      <sz val="12"/>
      <name val="Arial"/>
      <family val="2"/>
    </font>
    <font>
      <sz val="9"/>
      <color theme="1"/>
      <name val="宋体"/>
      <family val="2"/>
      <charset val="134"/>
      <scheme val="minor"/>
    </font>
    <font>
      <sz val="9"/>
      <color theme="1"/>
      <name val="宋体"/>
      <family val="3"/>
      <charset val="134"/>
      <scheme val="minor"/>
    </font>
    <font>
      <b/>
      <sz val="11"/>
      <color theme="0"/>
      <name val="宋体"/>
      <family val="3"/>
      <charset val="134"/>
      <scheme val="minor"/>
    </font>
    <font>
      <sz val="11"/>
      <color theme="1"/>
      <name val="宋体"/>
      <family val="3"/>
      <charset val="134"/>
    </font>
    <font>
      <sz val="11"/>
      <name val="宋体"/>
      <family val="3"/>
      <charset val="134"/>
      <scheme val="minor"/>
    </font>
    <font>
      <sz val="11"/>
      <name val="Arial"/>
      <family val="2"/>
    </font>
    <font>
      <sz val="8"/>
      <name val="宋体"/>
      <family val="3"/>
      <charset val="134"/>
    </font>
    <font>
      <u/>
      <sz val="10"/>
      <color indexed="12"/>
      <name val="Arial"/>
      <family val="2"/>
    </font>
    <font>
      <u/>
      <sz val="10"/>
      <color indexed="36"/>
      <name val="Arial"/>
      <family val="2"/>
    </font>
  </fonts>
  <fills count="56">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31"/>
        <bgColor indexed="64"/>
      </patternFill>
    </fill>
    <fill>
      <patternFill patternType="solid">
        <fgColor indexed="44"/>
        <bgColor indexed="64"/>
      </patternFill>
    </fill>
    <fill>
      <patternFill patternType="solid">
        <fgColor indexed="54"/>
        <bgColor indexed="54"/>
      </patternFill>
    </fill>
    <fill>
      <patternFill patternType="solid">
        <fgColor indexed="26"/>
        <bgColor indexed="64"/>
      </patternFill>
    </fill>
    <fill>
      <patternFill patternType="solid">
        <fgColor indexed="55"/>
        <bgColor indexed="64"/>
      </patternFill>
    </fill>
    <fill>
      <patternFill patternType="solid">
        <fgColor indexed="25"/>
        <bgColor indexed="25"/>
      </patternFill>
    </fill>
    <fill>
      <patternFill patternType="solid">
        <fgColor indexed="55"/>
        <bgColor indexed="55"/>
      </patternFill>
    </fill>
    <fill>
      <patternFill patternType="solid">
        <fgColor indexed="27"/>
        <bgColor indexed="64"/>
      </patternFill>
    </fill>
    <fill>
      <patternFill patternType="solid">
        <fgColor indexed="49"/>
        <bgColor indexed="49"/>
      </patternFill>
    </fill>
    <fill>
      <patternFill patternType="solid">
        <fgColor indexed="47"/>
        <bgColor indexed="64"/>
      </patternFill>
    </fill>
    <fill>
      <patternFill patternType="solid">
        <fgColor indexed="52"/>
        <bgColor indexed="52"/>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bgColor indexed="64"/>
      </patternFill>
    </fill>
    <fill>
      <patternFill patternType="solid">
        <fgColor indexed="21"/>
        <bgColor indexed="64"/>
      </patternFill>
    </fill>
    <fill>
      <patternFill patternType="solid">
        <fgColor indexed="9"/>
        <bgColor indexed="9"/>
      </patternFill>
    </fill>
    <fill>
      <patternFill patternType="solid">
        <fgColor indexed="45"/>
        <bgColor indexed="64"/>
      </patternFill>
    </fill>
    <fill>
      <patternFill patternType="solid">
        <fgColor theme="0" tint="-0.14999847407452621"/>
        <bgColor indexed="64"/>
      </patternFill>
    </fill>
    <fill>
      <patternFill patternType="solid">
        <fgColor rgb="FFFFFFCC"/>
        <bgColor indexed="64"/>
      </patternFill>
    </fill>
    <fill>
      <patternFill patternType="solid">
        <fgColor rgb="FFCCFF99"/>
        <bgColor indexed="64"/>
      </patternFill>
    </fill>
    <fill>
      <patternFill patternType="solid">
        <fgColor rgb="FFFFFF99"/>
        <bgColor indexed="64"/>
      </patternFill>
    </fill>
    <fill>
      <patternFill patternType="solid">
        <fgColor rgb="FF0070C0"/>
        <bgColor indexed="64"/>
      </patternFill>
    </fill>
    <fill>
      <patternFill patternType="solid">
        <fgColor rgb="FF66FF66"/>
        <bgColor indexed="64"/>
      </patternFill>
    </fill>
    <fill>
      <patternFill patternType="solid">
        <fgColor indexed="43"/>
        <bgColor indexed="64"/>
      </patternFill>
    </fill>
    <fill>
      <patternFill patternType="solid">
        <fgColor theme="0"/>
        <bgColor indexed="64"/>
      </patternFill>
    </fill>
    <fill>
      <patternFill patternType="solid">
        <fgColor rgb="FFC8FFFF"/>
        <bgColor indexed="64"/>
      </patternFill>
    </fill>
    <fill>
      <patternFill patternType="solid">
        <fgColor indexed="46"/>
        <bgColor indexed="64"/>
      </patternFill>
    </fill>
    <fill>
      <patternFill patternType="solid">
        <fgColor indexed="4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76">
    <xf numFmtId="0" fontId="0" fillId="0" borderId="0">
      <alignment vertical="center"/>
    </xf>
    <xf numFmtId="9" fontId="10" fillId="0" borderId="0" applyFont="0" applyFill="0" applyBorder="0" applyAlignment="0" applyProtection="0">
      <alignment vertical="center"/>
    </xf>
    <xf numFmtId="0" fontId="10" fillId="0" borderId="0"/>
    <xf numFmtId="0" fontId="10" fillId="0" borderId="0">
      <alignment vertical="center"/>
    </xf>
    <xf numFmtId="0" fontId="10" fillId="0" borderId="0"/>
    <xf numFmtId="0" fontId="8" fillId="0" borderId="0">
      <alignment vertical="center"/>
    </xf>
    <xf numFmtId="0" fontId="10" fillId="0" borderId="0">
      <alignment vertical="center"/>
    </xf>
    <xf numFmtId="0" fontId="10" fillId="0" borderId="0"/>
    <xf numFmtId="0" fontId="23" fillId="0" borderId="0"/>
    <xf numFmtId="9" fontId="23" fillId="0" borderId="0" applyFont="0" applyFill="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8" borderId="0" applyNumberFormat="0" applyBorder="0" applyAlignment="0" applyProtection="0">
      <alignment vertical="center"/>
    </xf>
    <xf numFmtId="0" fontId="21" fillId="11" borderId="0" applyNumberFormat="0" applyBorder="0" applyAlignment="0" applyProtection="0">
      <alignment vertical="center"/>
    </xf>
    <xf numFmtId="0" fontId="21" fillId="14" borderId="0" applyNumberFormat="0" applyBorder="0" applyAlignment="0" applyProtection="0">
      <alignment vertical="center"/>
    </xf>
    <xf numFmtId="0" fontId="24" fillId="15"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22" borderId="0" applyNumberFormat="0" applyBorder="0" applyAlignment="0" applyProtection="0">
      <alignment vertical="center"/>
    </xf>
    <xf numFmtId="0" fontId="25" fillId="6" borderId="0" applyNumberFormat="0" applyBorder="0" applyAlignment="0" applyProtection="0">
      <alignment vertical="center"/>
    </xf>
    <xf numFmtId="0" fontId="26" fillId="23" borderId="2" applyNumberFormat="0" applyAlignment="0" applyProtection="0">
      <alignment vertical="center"/>
    </xf>
    <xf numFmtId="0" fontId="27" fillId="24" borderId="3" applyNumberFormat="0" applyAlignment="0" applyProtection="0">
      <alignment vertical="center"/>
    </xf>
    <xf numFmtId="0" fontId="28" fillId="0" borderId="0" applyNumberFormat="0" applyFill="0" applyBorder="0" applyAlignment="0" applyProtection="0">
      <alignment vertical="center"/>
    </xf>
    <xf numFmtId="0" fontId="29" fillId="7" borderId="0" applyNumberFormat="0" applyBorder="0" applyAlignment="0" applyProtection="0">
      <alignment vertical="center"/>
    </xf>
    <xf numFmtId="0" fontId="30" fillId="0" borderId="4" applyNumberFormat="0" applyFill="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2" fillId="0" borderId="0" applyNumberFormat="0" applyFill="0" applyBorder="0" applyAlignment="0" applyProtection="0">
      <alignment vertical="center"/>
    </xf>
    <xf numFmtId="0" fontId="33" fillId="10" borderId="2" applyNumberFormat="0" applyAlignment="0" applyProtection="0">
      <alignment vertical="center"/>
    </xf>
    <xf numFmtId="0" fontId="34" fillId="0" borderId="7" applyNumberFormat="0" applyFill="0" applyAlignment="0" applyProtection="0">
      <alignment vertical="center"/>
    </xf>
    <xf numFmtId="0" fontId="35" fillId="25" borderId="0" applyNumberFormat="0" applyBorder="0" applyAlignment="0" applyProtection="0">
      <alignment vertical="center"/>
    </xf>
    <xf numFmtId="0" fontId="21" fillId="26" borderId="8" applyNumberFormat="0" applyFont="0" applyAlignment="0" applyProtection="0">
      <alignment vertical="center"/>
    </xf>
    <xf numFmtId="0" fontId="36" fillId="23" borderId="9" applyNumberFormat="0" applyAlignment="0" applyProtection="0">
      <alignment vertical="center"/>
    </xf>
    <xf numFmtId="0" fontId="37" fillId="0" borderId="0" applyNumberFormat="0" applyFill="0" applyBorder="0" applyAlignment="0" applyProtection="0">
      <alignment vertical="center"/>
    </xf>
    <xf numFmtId="0" fontId="20" fillId="0" borderId="10" applyNumberFormat="0" applyFill="0" applyAlignment="0" applyProtection="0">
      <alignment vertical="center"/>
    </xf>
    <xf numFmtId="0" fontId="38" fillId="0" borderId="0" applyNumberFormat="0" applyFill="0" applyBorder="0" applyAlignment="0" applyProtection="0">
      <alignment vertical="center"/>
    </xf>
    <xf numFmtId="0" fontId="7" fillId="0" borderId="0">
      <alignment vertical="center"/>
    </xf>
    <xf numFmtId="0" fontId="6" fillId="0" borderId="0">
      <alignment vertical="center"/>
    </xf>
    <xf numFmtId="0" fontId="22" fillId="0" borderId="0"/>
    <xf numFmtId="9" fontId="22" fillId="0" borderId="0" applyFont="0" applyFill="0" applyBorder="0" applyAlignment="0" applyProtection="0"/>
    <xf numFmtId="0" fontId="5" fillId="0" borderId="0">
      <alignment vertical="center"/>
    </xf>
    <xf numFmtId="0" fontId="39" fillId="0" borderId="0">
      <alignment vertical="center"/>
    </xf>
    <xf numFmtId="0" fontId="4" fillId="0" borderId="0">
      <alignment vertical="center"/>
    </xf>
    <xf numFmtId="0" fontId="3" fillId="0" borderId="0">
      <alignment vertical="center"/>
    </xf>
    <xf numFmtId="0" fontId="10" fillId="0" borderId="0"/>
    <xf numFmtId="0" fontId="22" fillId="0" borderId="0"/>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11" borderId="0" applyNumberFormat="0" applyBorder="0" applyAlignment="0" applyProtection="0">
      <alignment vertical="center"/>
    </xf>
    <xf numFmtId="0" fontId="21" fillId="11"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4" fillId="15" borderId="0" applyNumberFormat="0" applyBorder="0" applyAlignment="0" applyProtection="0">
      <alignment vertical="center"/>
    </xf>
    <xf numFmtId="0" fontId="24" fillId="15"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8" borderId="0" applyNumberFormat="0" applyBorder="0" applyAlignment="0" applyProtection="0">
      <alignment vertical="center"/>
    </xf>
    <xf numFmtId="0" fontId="40" fillId="27" borderId="0" applyNumberFormat="0" applyBorder="0" applyAlignment="0" applyProtection="0"/>
    <xf numFmtId="0" fontId="40"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40" fillId="30" borderId="0" applyNumberFormat="0" applyBorder="0" applyAlignment="0" applyProtection="0"/>
    <xf numFmtId="0" fontId="40" fillId="3"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0" fillId="30" borderId="0" applyNumberFormat="0" applyBorder="0" applyAlignment="0" applyProtection="0"/>
    <xf numFmtId="0" fontId="40" fillId="4" borderId="0" applyNumberFormat="0" applyBorder="0" applyAlignment="0" applyProtection="0"/>
    <xf numFmtId="0" fontId="41" fillId="3" borderId="0" applyNumberFormat="0" applyBorder="0" applyAlignment="0" applyProtection="0"/>
    <xf numFmtId="0" fontId="41" fillId="33" borderId="0" applyNumberFormat="0" applyBorder="0" applyAlignment="0" applyProtection="0"/>
    <xf numFmtId="0" fontId="40" fillId="27" borderId="0" applyNumberFormat="0" applyBorder="0" applyAlignment="0" applyProtection="0"/>
    <xf numFmtId="0" fontId="40" fillId="3" borderId="0" applyNumberFormat="0" applyBorder="0" applyAlignment="0" applyProtection="0"/>
    <xf numFmtId="0" fontId="41" fillId="3" borderId="0" applyNumberFormat="0" applyBorder="0" applyAlignment="0" applyProtection="0"/>
    <xf numFmtId="0" fontId="41" fillId="29" borderId="0" applyNumberFormat="0" applyBorder="0" applyAlignment="0" applyProtection="0"/>
    <xf numFmtId="0" fontId="40" fillId="34" borderId="0" applyNumberFormat="0" applyBorder="0" applyAlignment="0" applyProtection="0"/>
    <xf numFmtId="0" fontId="40" fillId="27" borderId="0" applyNumberFormat="0" applyBorder="0" applyAlignment="0" applyProtection="0"/>
    <xf numFmtId="0" fontId="41" fillId="28" borderId="0" applyNumberFormat="0" applyBorder="0" applyAlignment="0" applyProtection="0"/>
    <xf numFmtId="0" fontId="41" fillId="35" borderId="0" applyNumberFormat="0" applyBorder="0" applyAlignment="0" applyProtection="0"/>
    <xf numFmtId="0" fontId="40" fillId="30" borderId="0" applyNumberFormat="0" applyBorder="0" applyAlignment="0" applyProtection="0"/>
    <xf numFmtId="0" fontId="40" fillId="36" borderId="0" applyNumberFormat="0" applyBorder="0" applyAlignment="0" applyProtection="0"/>
    <xf numFmtId="0" fontId="41" fillId="36" borderId="0" applyNumberFormat="0" applyBorder="0" applyAlignment="0" applyProtection="0"/>
    <xf numFmtId="0" fontId="41" fillId="37" borderId="0" applyNumberFormat="0" applyBorder="0" applyAlignment="0" applyProtection="0"/>
    <xf numFmtId="0" fontId="10" fillId="0" borderId="0"/>
    <xf numFmtId="176" fontId="42" fillId="0" borderId="0" applyFont="0" applyFill="0" applyBorder="0" applyAlignment="0" applyProtection="0">
      <alignment vertical="center"/>
    </xf>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177" fontId="44" fillId="0" borderId="0"/>
    <xf numFmtId="0" fontId="10" fillId="30" borderId="8" applyNumberFormat="0" applyFont="0" applyAlignment="0" applyProtection="0"/>
    <xf numFmtId="40" fontId="45" fillId="41" borderId="0">
      <alignment horizontal="right"/>
    </xf>
    <xf numFmtId="0" fontId="46" fillId="41" borderId="0">
      <alignment horizontal="right"/>
    </xf>
    <xf numFmtId="0" fontId="47" fillId="42" borderId="11"/>
    <xf numFmtId="0" fontId="48" fillId="0" borderId="0" applyBorder="0">
      <alignment horizontal="centerContinuous"/>
    </xf>
    <xf numFmtId="0" fontId="49" fillId="0" borderId="0" applyBorder="0">
      <alignment horizontal="centerContinuous"/>
    </xf>
    <xf numFmtId="0" fontId="50" fillId="43" borderId="9" applyNumberFormat="0" applyAlignment="0" applyProtection="0"/>
    <xf numFmtId="0" fontId="10" fillId="0" borderId="0"/>
    <xf numFmtId="0" fontId="51" fillId="0" borderId="0" applyNumberFormat="0" applyFill="0" applyBorder="0" applyAlignment="0" applyProtection="0"/>
    <xf numFmtId="0" fontId="52" fillId="0" borderId="0"/>
    <xf numFmtId="9" fontId="10" fillId="0" borderId="0" applyFont="0" applyFill="0" applyBorder="0" applyAlignment="0" applyProtection="0"/>
    <xf numFmtId="9" fontId="10" fillId="0" borderId="0" applyFont="0" applyFill="0" applyBorder="0" applyAlignment="0" applyProtection="0"/>
    <xf numFmtId="9" fontId="53" fillId="0" borderId="0" applyFont="0" applyFill="0" applyBorder="0" applyAlignment="0" applyProtection="0">
      <alignment vertical="center"/>
    </xf>
    <xf numFmtId="9" fontId="53" fillId="0" borderId="0" applyFont="0" applyFill="0" applyBorder="0" applyAlignment="0" applyProtection="0">
      <alignment vertical="center"/>
    </xf>
    <xf numFmtId="9" fontId="39" fillId="0" borderId="0" applyFont="0" applyFill="0" applyBorder="0" applyAlignment="0" applyProtection="0">
      <alignment vertical="center"/>
    </xf>
    <xf numFmtId="0" fontId="30" fillId="0" borderId="4" applyNumberFormat="0" applyFill="0" applyAlignment="0" applyProtection="0">
      <alignment vertical="center"/>
    </xf>
    <xf numFmtId="0" fontId="30" fillId="0" borderId="4" applyNumberFormat="0" applyFill="0" applyAlignment="0" applyProtection="0">
      <alignment vertical="center"/>
    </xf>
    <xf numFmtId="0" fontId="31" fillId="0" borderId="5" applyNumberFormat="0" applyFill="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2" fillId="0" borderId="6" applyNumberFormat="0" applyFill="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54" fillId="44"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54" fillId="6" borderId="0" applyNumberFormat="0" applyBorder="0" applyAlignment="0" applyProtection="0">
      <alignment vertical="center"/>
    </xf>
    <xf numFmtId="0" fontId="54" fillId="6" borderId="0" applyNumberFormat="0" applyBorder="0" applyAlignment="0" applyProtection="0">
      <alignment vertical="center"/>
    </xf>
    <xf numFmtId="0" fontId="54" fillId="44" borderId="0" applyNumberFormat="0" applyBorder="0" applyAlignment="0" applyProtection="0">
      <alignment vertical="center"/>
    </xf>
    <xf numFmtId="0" fontId="54" fillId="6" borderId="0" applyNumberFormat="0" applyBorder="0" applyAlignment="0" applyProtection="0">
      <alignment vertical="center"/>
    </xf>
    <xf numFmtId="0" fontId="54" fillId="6" borderId="0" applyNumberFormat="0" applyBorder="0" applyAlignment="0" applyProtection="0">
      <alignment vertical="center"/>
    </xf>
    <xf numFmtId="0" fontId="54" fillId="6" borderId="0" applyNumberFormat="0" applyBorder="0" applyAlignment="0" applyProtection="0">
      <alignment vertical="center"/>
    </xf>
    <xf numFmtId="0" fontId="54" fillId="6" borderId="0" applyNumberFormat="0" applyBorder="0" applyAlignment="0" applyProtection="0">
      <alignment vertical="center"/>
    </xf>
    <xf numFmtId="0" fontId="25" fillId="44" borderId="0" applyNumberFormat="0" applyBorder="0" applyAlignment="0" applyProtection="0">
      <alignment vertical="center"/>
    </xf>
    <xf numFmtId="0" fontId="54" fillId="6" borderId="0" applyNumberFormat="0" applyBorder="0" applyAlignment="0" applyProtection="0">
      <alignment vertical="center"/>
    </xf>
    <xf numFmtId="0" fontId="25" fillId="6" borderId="0" applyNumberFormat="0" applyBorder="0" applyAlignment="0" applyProtection="0">
      <alignment vertical="center"/>
    </xf>
    <xf numFmtId="0" fontId="25" fillId="8"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54"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44" borderId="0" applyNumberFormat="0" applyBorder="0" applyAlignment="0" applyProtection="0">
      <alignment vertical="center"/>
    </xf>
    <xf numFmtId="0" fontId="54" fillId="44" borderId="0" applyNumberFormat="0" applyBorder="0" applyAlignment="0" applyProtection="0">
      <alignment vertical="center"/>
    </xf>
    <xf numFmtId="0" fontId="25" fillId="44"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44" borderId="0" applyNumberFormat="0" applyBorder="0" applyAlignment="0" applyProtection="0">
      <alignment vertical="center"/>
    </xf>
    <xf numFmtId="0" fontId="25" fillId="6" borderId="0" applyNumberFormat="0" applyBorder="0" applyAlignment="0" applyProtection="0">
      <alignment vertical="center"/>
    </xf>
    <xf numFmtId="0" fontId="25" fillId="44" borderId="0" applyNumberFormat="0" applyBorder="0" applyAlignment="0" applyProtection="0">
      <alignment vertical="center"/>
    </xf>
    <xf numFmtId="0" fontId="54" fillId="6" borderId="0" applyNumberFormat="0" applyBorder="0" applyAlignment="0" applyProtection="0">
      <alignment vertical="center"/>
    </xf>
    <xf numFmtId="0" fontId="54" fillId="44" borderId="0" applyNumberFormat="0" applyBorder="0" applyAlignment="0" applyProtection="0">
      <alignment vertical="center"/>
    </xf>
    <xf numFmtId="0" fontId="25" fillId="6" borderId="0" applyNumberFormat="0" applyBorder="0" applyAlignment="0" applyProtection="0">
      <alignment vertical="center"/>
    </xf>
    <xf numFmtId="0" fontId="39" fillId="0" borderId="0">
      <alignment vertical="center"/>
    </xf>
    <xf numFmtId="0" fontId="55" fillId="0" borderId="0">
      <alignment vertical="center"/>
    </xf>
    <xf numFmtId="0" fontId="10" fillId="0" borderId="0">
      <protection locked="0"/>
    </xf>
    <xf numFmtId="0" fontId="10" fillId="0" borderId="0">
      <protection locked="0"/>
    </xf>
    <xf numFmtId="0" fontId="10" fillId="0" borderId="0">
      <protection locked="0"/>
    </xf>
    <xf numFmtId="0" fontId="10" fillId="0" borderId="0">
      <protection locked="0"/>
    </xf>
    <xf numFmtId="0" fontId="53" fillId="0" borderId="0">
      <alignment vertical="center"/>
    </xf>
    <xf numFmtId="0" fontId="39" fillId="0" borderId="0">
      <alignment vertical="center"/>
    </xf>
    <xf numFmtId="0" fontId="10" fillId="0" borderId="0">
      <protection locked="0"/>
    </xf>
    <xf numFmtId="0" fontId="10" fillId="0" borderId="0">
      <protection locked="0"/>
    </xf>
    <xf numFmtId="0" fontId="39" fillId="0" borderId="0">
      <alignment vertical="center"/>
    </xf>
    <xf numFmtId="0" fontId="39" fillId="0" borderId="0">
      <alignment vertical="center"/>
    </xf>
    <xf numFmtId="178" fontId="56" fillId="0" borderId="0">
      <alignment vertical="center"/>
    </xf>
    <xf numFmtId="0" fontId="56" fillId="0" borderId="0">
      <alignment vertical="center"/>
    </xf>
    <xf numFmtId="0" fontId="10" fillId="0" borderId="0">
      <protection locked="0"/>
    </xf>
    <xf numFmtId="0" fontId="10" fillId="0" borderId="0">
      <protection locked="0"/>
    </xf>
    <xf numFmtId="0" fontId="55" fillId="0" borderId="0">
      <alignment vertical="center"/>
    </xf>
    <xf numFmtId="0" fontId="57"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2" fillId="0" borderId="0">
      <alignment vertical="center"/>
    </xf>
    <xf numFmtId="0" fontId="39" fillId="0" borderId="0">
      <alignment vertical="center"/>
    </xf>
    <xf numFmtId="0" fontId="21"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39" fillId="0" borderId="0">
      <alignment vertical="center"/>
    </xf>
    <xf numFmtId="0" fontId="10" fillId="0" borderId="0">
      <alignment vertical="center"/>
    </xf>
    <xf numFmtId="0" fontId="10" fillId="0" borderId="0">
      <alignment vertical="center"/>
    </xf>
    <xf numFmtId="0" fontId="10" fillId="0" borderId="0"/>
    <xf numFmtId="0" fontId="10" fillId="0" borderId="0"/>
    <xf numFmtId="0" fontId="10" fillId="0" borderId="0">
      <alignment vertical="center"/>
    </xf>
    <xf numFmtId="0" fontId="10" fillId="0" borderId="0">
      <protection locked="0"/>
    </xf>
    <xf numFmtId="0" fontId="10" fillId="0" borderId="0"/>
    <xf numFmtId="0" fontId="10" fillId="0" borderId="0"/>
    <xf numFmtId="0" fontId="10" fillId="0" borderId="0">
      <protection locked="0"/>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58" fillId="4"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58" fillId="7" borderId="0" applyNumberFormat="0" applyBorder="0" applyAlignment="0" applyProtection="0">
      <alignment vertical="center"/>
    </xf>
    <xf numFmtId="0" fontId="58" fillId="7" borderId="0" applyNumberFormat="0" applyBorder="0" applyAlignment="0" applyProtection="0">
      <alignment vertical="center"/>
    </xf>
    <xf numFmtId="0" fontId="58" fillId="4" borderId="0" applyNumberFormat="0" applyBorder="0" applyAlignment="0" applyProtection="0">
      <alignment vertical="center"/>
    </xf>
    <xf numFmtId="0" fontId="58" fillId="7" borderId="0" applyNumberFormat="0" applyBorder="0" applyAlignment="0" applyProtection="0">
      <alignment vertical="center"/>
    </xf>
    <xf numFmtId="0" fontId="58" fillId="7" borderId="0" applyNumberFormat="0" applyBorder="0" applyAlignment="0" applyProtection="0">
      <alignment vertical="center"/>
    </xf>
    <xf numFmtId="0" fontId="58" fillId="7" borderId="0" applyNumberFormat="0" applyBorder="0" applyAlignment="0" applyProtection="0">
      <alignment vertical="center"/>
    </xf>
    <xf numFmtId="0" fontId="58" fillId="7" borderId="0" applyNumberFormat="0" applyBorder="0" applyAlignment="0" applyProtection="0">
      <alignment vertical="center"/>
    </xf>
    <xf numFmtId="0" fontId="29" fillId="4" borderId="0" applyNumberFormat="0" applyBorder="0" applyAlignment="0" applyProtection="0">
      <alignment vertical="center"/>
    </xf>
    <xf numFmtId="0" fontId="58" fillId="7" borderId="0" applyNumberFormat="0" applyBorder="0" applyAlignment="0" applyProtection="0">
      <alignment vertical="center"/>
    </xf>
    <xf numFmtId="0" fontId="29" fillId="7" borderId="0" applyNumberFormat="0" applyBorder="0" applyAlignment="0" applyProtection="0">
      <alignment vertical="center"/>
    </xf>
    <xf numFmtId="0" fontId="29" fillId="9"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58"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4" borderId="0" applyNumberFormat="0" applyBorder="0" applyAlignment="0" applyProtection="0">
      <alignment vertical="center"/>
    </xf>
    <xf numFmtId="0" fontId="58" fillId="4" borderId="0" applyNumberFormat="0" applyBorder="0" applyAlignment="0" applyProtection="0">
      <alignment vertical="center"/>
    </xf>
    <xf numFmtId="0" fontId="29" fillId="4"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4" borderId="0" applyNumberFormat="0" applyBorder="0" applyAlignment="0" applyProtection="0">
      <alignment vertical="center"/>
    </xf>
    <xf numFmtId="0" fontId="29" fillId="7" borderId="0" applyNumberFormat="0" applyBorder="0" applyAlignment="0" applyProtection="0">
      <alignment vertical="center"/>
    </xf>
    <xf numFmtId="0" fontId="29" fillId="4" borderId="0" applyNumberFormat="0" applyBorder="0" applyAlignment="0" applyProtection="0">
      <alignment vertical="center"/>
    </xf>
    <xf numFmtId="0" fontId="58" fillId="7" borderId="0" applyNumberFormat="0" applyBorder="0" applyAlignment="0" applyProtection="0">
      <alignment vertical="center"/>
    </xf>
    <xf numFmtId="0" fontId="58" fillId="4" borderId="0" applyNumberFormat="0" applyBorder="0" applyAlignment="0" applyProtection="0">
      <alignment vertical="center"/>
    </xf>
    <xf numFmtId="0" fontId="29" fillId="7" borderId="0" applyNumberFormat="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6" fillId="23" borderId="2" applyNumberFormat="0" applyAlignment="0" applyProtection="0">
      <alignment vertical="center"/>
    </xf>
    <xf numFmtId="0" fontId="26" fillId="23" borderId="2" applyNumberFormat="0" applyAlignment="0" applyProtection="0">
      <alignment vertical="center"/>
    </xf>
    <xf numFmtId="0" fontId="27" fillId="24" borderId="3" applyNumberFormat="0" applyAlignment="0" applyProtection="0">
      <alignment vertical="center"/>
    </xf>
    <xf numFmtId="0" fontId="27"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4" fillId="0" borderId="7" applyNumberFormat="0" applyFill="0" applyAlignment="0" applyProtection="0">
      <alignment vertical="center"/>
    </xf>
    <xf numFmtId="0" fontId="34" fillId="0" borderId="7" applyNumberFormat="0" applyFill="0" applyAlignment="0" applyProtection="0">
      <alignment vertical="center"/>
    </xf>
    <xf numFmtId="43" fontId="39" fillId="0" borderId="0" applyFont="0" applyFill="0" applyBorder="0" applyAlignment="0" applyProtection="0">
      <alignment vertical="center"/>
    </xf>
    <xf numFmtId="43" fontId="39" fillId="0" borderId="0" applyFont="0" applyFill="0" applyBorder="0" applyAlignment="0" applyProtection="0">
      <alignment vertical="center"/>
    </xf>
    <xf numFmtId="43" fontId="55" fillId="0" borderId="0" applyFont="0" applyFill="0" applyBorder="0" applyAlignment="0" applyProtection="0">
      <alignment vertical="center"/>
    </xf>
    <xf numFmtId="43" fontId="39"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42" fillId="0" borderId="0" applyFont="0" applyFill="0" applyBorder="0" applyAlignment="0" applyProtection="0"/>
    <xf numFmtId="43" fontId="39" fillId="0" borderId="0" applyFont="0" applyFill="0" applyBorder="0" applyAlignment="0" applyProtection="0">
      <alignment vertical="center"/>
    </xf>
    <xf numFmtId="43" fontId="39"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39" fillId="0" borderId="0" applyFont="0" applyFill="0" applyBorder="0" applyAlignment="0" applyProtection="0">
      <alignment vertical="center"/>
    </xf>
    <xf numFmtId="43" fontId="59" fillId="0" borderId="0" applyFont="0" applyFill="0" applyBorder="0" applyAlignment="0" applyProtection="0">
      <alignment vertical="center"/>
    </xf>
    <xf numFmtId="43" fontId="21" fillId="0" borderId="0" applyFont="0" applyFill="0" applyBorder="0" applyAlignment="0" applyProtection="0">
      <alignment vertical="center"/>
    </xf>
    <xf numFmtId="43" fontId="39" fillId="0" borderId="0" applyFont="0" applyFill="0" applyBorder="0" applyAlignment="0" applyProtection="0">
      <alignment vertical="center"/>
    </xf>
    <xf numFmtId="43" fontId="53" fillId="0" borderId="0" applyFont="0" applyFill="0" applyBorder="0" applyAlignment="0" applyProtection="0">
      <alignment vertical="center"/>
    </xf>
    <xf numFmtId="43" fontId="53" fillId="0" borderId="0" applyFont="0" applyFill="0" applyBorder="0" applyAlignment="0" applyProtection="0">
      <alignment vertical="center"/>
    </xf>
    <xf numFmtId="0" fontId="24" fillId="19"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16"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6" fillId="23" borderId="9" applyNumberFormat="0" applyAlignment="0" applyProtection="0">
      <alignment vertical="center"/>
    </xf>
    <xf numFmtId="0" fontId="36" fillId="23" borderId="9" applyNumberFormat="0" applyAlignment="0" applyProtection="0">
      <alignment vertical="center"/>
    </xf>
    <xf numFmtId="0" fontId="33" fillId="10" borderId="2" applyNumberFormat="0" applyAlignment="0" applyProtection="0">
      <alignment vertical="center"/>
    </xf>
    <xf numFmtId="0" fontId="33" fillId="10" borderId="2" applyNumberFormat="0" applyAlignment="0" applyProtection="0">
      <alignment vertical="center"/>
    </xf>
    <xf numFmtId="0" fontId="22" fillId="0" borderId="0"/>
    <xf numFmtId="0" fontId="10" fillId="26" borderId="8" applyNumberFormat="0" applyFont="0" applyAlignment="0" applyProtection="0">
      <alignment vertical="center"/>
    </xf>
    <xf numFmtId="0" fontId="10" fillId="26" borderId="8" applyNumberFormat="0" applyFont="0" applyAlignment="0" applyProtection="0">
      <alignment vertical="center"/>
    </xf>
    <xf numFmtId="0" fontId="39" fillId="0" borderId="0">
      <alignment vertical="center"/>
    </xf>
    <xf numFmtId="0" fontId="2" fillId="0" borderId="0">
      <alignment vertical="center"/>
    </xf>
    <xf numFmtId="0" fontId="10" fillId="0" borderId="0"/>
    <xf numFmtId="0" fontId="10" fillId="0" borderId="0"/>
    <xf numFmtId="0" fontId="21" fillId="0" borderId="0">
      <alignment vertical="center"/>
    </xf>
    <xf numFmtId="0" fontId="10" fillId="0" borderId="0"/>
    <xf numFmtId="9" fontId="1" fillId="0" borderId="0" applyFont="0" applyFill="0" applyBorder="0" applyAlignment="0" applyProtection="0">
      <alignment vertical="center"/>
    </xf>
    <xf numFmtId="9" fontId="10" fillId="0" borderId="0" applyFont="0" applyFill="0" applyBorder="0" applyAlignment="0" applyProtection="0"/>
    <xf numFmtId="0" fontId="1" fillId="0" borderId="0">
      <alignment vertical="center"/>
    </xf>
    <xf numFmtId="0" fontId="22" fillId="0" borderId="0"/>
    <xf numFmtId="43" fontId="10" fillId="0" borderId="0" applyFont="0" applyFill="0" applyBorder="0" applyAlignment="0" applyProtection="0">
      <alignment vertical="center"/>
    </xf>
    <xf numFmtId="0" fontId="10" fillId="0" borderId="0"/>
    <xf numFmtId="0" fontId="22" fillId="0" borderId="0"/>
    <xf numFmtId="0" fontId="10" fillId="0" borderId="0"/>
    <xf numFmtId="0" fontId="10" fillId="0" borderId="0"/>
    <xf numFmtId="9" fontId="1" fillId="0" borderId="0" applyFont="0" applyFill="0" applyBorder="0" applyAlignment="0" applyProtection="0">
      <alignment vertical="center"/>
    </xf>
    <xf numFmtId="9" fontId="10"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1"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183" fontId="10" fillId="0" borderId="0" applyFont="0" applyFill="0" applyBorder="0" applyAlignment="0" applyProtection="0">
      <alignment vertical="center"/>
    </xf>
    <xf numFmtId="183" fontId="10" fillId="0" borderId="0" applyFont="0" applyFill="0" applyBorder="0" applyAlignment="0" applyProtection="0">
      <alignment vertical="center"/>
    </xf>
  </cellStyleXfs>
  <cellXfs count="114">
    <xf numFmtId="0" fontId="0" fillId="0" borderId="0" xfId="0">
      <alignment vertical="center"/>
    </xf>
    <xf numFmtId="0" fontId="12" fillId="0" borderId="0" xfId="4" applyFont="1" applyProtection="1">
      <protection hidden="1"/>
    </xf>
    <xf numFmtId="49" fontId="13" fillId="2" borderId="1" xfId="4" applyNumberFormat="1" applyFont="1" applyFill="1" applyBorder="1" applyProtection="1">
      <protection hidden="1"/>
    </xf>
    <xf numFmtId="0" fontId="14" fillId="0" borderId="0" xfId="4" applyFont="1" applyProtection="1">
      <protection hidden="1"/>
    </xf>
    <xf numFmtId="49" fontId="15" fillId="2" borderId="1" xfId="4" applyNumberFormat="1" applyFont="1" applyFill="1" applyBorder="1" applyProtection="1">
      <protection hidden="1"/>
    </xf>
    <xf numFmtId="0" fontId="16" fillId="0" borderId="0" xfId="4" applyFont="1" applyProtection="1">
      <protection hidden="1"/>
    </xf>
    <xf numFmtId="0" fontId="17" fillId="0" borderId="0" xfId="4" applyFont="1" applyProtection="1">
      <protection hidden="1"/>
    </xf>
    <xf numFmtId="0" fontId="18" fillId="0" borderId="0" xfId="4" applyFont="1" applyProtection="1">
      <protection hidden="1"/>
    </xf>
    <xf numFmtId="0" fontId="11" fillId="3" borderId="1" xfId="4" applyFont="1" applyFill="1" applyBorder="1" applyAlignment="1" applyProtection="1">
      <alignment horizontal="center"/>
      <protection hidden="1"/>
    </xf>
    <xf numFmtId="0" fontId="10" fillId="4" borderId="1" xfId="4" applyFont="1" applyFill="1" applyBorder="1" applyAlignment="1" applyProtection="1">
      <alignment horizontal="center"/>
      <protection hidden="1"/>
    </xf>
    <xf numFmtId="0" fontId="19" fillId="4" borderId="1" xfId="4" applyFont="1" applyFill="1" applyBorder="1" applyAlignment="1" applyProtection="1">
      <alignment horizontal="center"/>
      <protection hidden="1"/>
    </xf>
    <xf numFmtId="0" fontId="60" fillId="0" borderId="0" xfId="353" applyFont="1">
      <alignment vertical="center"/>
    </xf>
    <xf numFmtId="0" fontId="11" fillId="0" borderId="0" xfId="6" applyFont="1">
      <alignment vertical="center"/>
    </xf>
    <xf numFmtId="0" fontId="10" fillId="45" borderId="1" xfId="354" applyFont="1" applyFill="1" applyBorder="1" applyAlignment="1">
      <alignment horizontal="left"/>
    </xf>
    <xf numFmtId="1" fontId="19" fillId="46" borderId="1" xfId="354" applyNumberFormat="1" applyFont="1" applyFill="1" applyBorder="1"/>
    <xf numFmtId="0" fontId="19" fillId="0" borderId="0" xfId="354" applyFont="1" applyFill="1"/>
    <xf numFmtId="0" fontId="19" fillId="0" borderId="12" xfId="354" applyFont="1" applyFill="1" applyBorder="1"/>
    <xf numFmtId="0" fontId="19" fillId="0" borderId="1" xfId="354" applyFont="1" applyFill="1" applyBorder="1" applyAlignment="1">
      <alignment horizontal="center"/>
    </xf>
    <xf numFmtId="0" fontId="10" fillId="45" borderId="13" xfId="354" applyFont="1" applyFill="1" applyBorder="1"/>
    <xf numFmtId="2" fontId="19" fillId="46" borderId="1" xfId="354" applyNumberFormat="1" applyFont="1" applyFill="1" applyBorder="1"/>
    <xf numFmtId="0" fontId="10" fillId="45" borderId="14" xfId="354" applyFont="1" applyFill="1" applyBorder="1"/>
    <xf numFmtId="9" fontId="19" fillId="46" borderId="14" xfId="355" applyFont="1" applyFill="1" applyBorder="1" applyAlignment="1"/>
    <xf numFmtId="2" fontId="19" fillId="46" borderId="14" xfId="354" applyNumberFormat="1" applyFont="1" applyFill="1" applyBorder="1"/>
    <xf numFmtId="2" fontId="19" fillId="47" borderId="1" xfId="354" applyNumberFormat="1" applyFont="1" applyFill="1" applyBorder="1"/>
    <xf numFmtId="0" fontId="10" fillId="45" borderId="1" xfId="354" applyFont="1" applyFill="1" applyBorder="1"/>
    <xf numFmtId="9" fontId="19" fillId="47" borderId="1" xfId="356" applyFont="1" applyFill="1" applyBorder="1"/>
    <xf numFmtId="1" fontId="19" fillId="47" borderId="1" xfId="354" applyNumberFormat="1" applyFont="1" applyFill="1" applyBorder="1"/>
    <xf numFmtId="0" fontId="10" fillId="0" borderId="0" xfId="6" applyFont="1">
      <alignment vertical="center"/>
    </xf>
    <xf numFmtId="0" fontId="1" fillId="0" borderId="0" xfId="357">
      <alignment vertical="center"/>
    </xf>
    <xf numFmtId="0" fontId="14" fillId="45" borderId="15" xfId="358" applyFont="1" applyFill="1" applyBorder="1" applyAlignment="1">
      <alignment horizontal="left" vertical="center"/>
    </xf>
    <xf numFmtId="0" fontId="39" fillId="48" borderId="1" xfId="357" applyFont="1" applyFill="1" applyBorder="1" applyAlignment="1">
      <alignment vertical="center"/>
    </xf>
    <xf numFmtId="0" fontId="1" fillId="0" borderId="0" xfId="357" applyFont="1" applyAlignment="1">
      <alignment vertical="center"/>
    </xf>
    <xf numFmtId="0" fontId="64" fillId="0" borderId="0" xfId="357" applyFont="1" applyAlignment="1">
      <alignment horizontal="center" vertical="center"/>
    </xf>
    <xf numFmtId="0" fontId="65" fillId="0" borderId="0" xfId="357" applyFont="1" applyAlignment="1">
      <alignment horizontal="center" vertical="center"/>
    </xf>
    <xf numFmtId="0" fontId="67" fillId="45" borderId="1" xfId="2" applyFont="1" applyFill="1" applyBorder="1" applyAlignment="1">
      <alignment horizontal="left" vertical="center"/>
    </xf>
    <xf numFmtId="1" fontId="39" fillId="50" borderId="1" xfId="357" applyNumberFormat="1" applyFont="1" applyFill="1" applyBorder="1" applyAlignment="1">
      <alignment vertical="center"/>
    </xf>
    <xf numFmtId="0" fontId="39" fillId="50" borderId="1" xfId="357" applyFont="1" applyFill="1" applyBorder="1" applyAlignment="1">
      <alignment vertical="center"/>
    </xf>
    <xf numFmtId="1" fontId="39" fillId="50" borderId="1" xfId="357" applyNumberFormat="1" applyFont="1" applyFill="1" applyBorder="1" applyAlignment="1">
      <alignment horizontal="center" vertical="center"/>
    </xf>
    <xf numFmtId="0" fontId="67" fillId="0" borderId="0" xfId="2" applyFont="1" applyFill="1" applyAlignment="1">
      <alignment vertical="center"/>
    </xf>
    <xf numFmtId="0" fontId="39" fillId="0" borderId="0" xfId="2" applyFont="1" applyFill="1" applyAlignment="1">
      <alignment vertical="center"/>
    </xf>
    <xf numFmtId="0" fontId="68" fillId="45" borderId="1" xfId="53" applyFont="1" applyFill="1" applyBorder="1"/>
    <xf numFmtId="0" fontId="68" fillId="51" borderId="1" xfId="53" applyFont="1" applyFill="1" applyBorder="1"/>
    <xf numFmtId="0" fontId="68" fillId="0" borderId="0" xfId="53" applyFont="1"/>
    <xf numFmtId="0" fontId="68" fillId="45" borderId="17" xfId="53" applyFont="1" applyFill="1" applyBorder="1"/>
    <xf numFmtId="0" fontId="68" fillId="51" borderId="17" xfId="53" applyFont="1" applyFill="1" applyBorder="1"/>
    <xf numFmtId="0" fontId="68" fillId="45" borderId="13" xfId="53" applyFont="1" applyFill="1" applyBorder="1"/>
    <xf numFmtId="1" fontId="68" fillId="4" borderId="1" xfId="53" applyNumberFormat="1" applyFont="1" applyFill="1" applyBorder="1"/>
    <xf numFmtId="2" fontId="68" fillId="4" borderId="1" xfId="53" applyNumberFormat="1" applyFont="1" applyFill="1" applyBorder="1"/>
    <xf numFmtId="2" fontId="68" fillId="0" borderId="0" xfId="53" applyNumberFormat="1" applyFont="1"/>
    <xf numFmtId="179" fontId="69" fillId="45" borderId="1" xfId="359" applyNumberFormat="1" applyFont="1" applyFill="1" applyBorder="1" applyAlignment="1"/>
    <xf numFmtId="179" fontId="69" fillId="48" borderId="1" xfId="359" applyNumberFormat="1" applyFont="1" applyFill="1" applyBorder="1" applyAlignment="1"/>
    <xf numFmtId="0" fontId="10" fillId="0" borderId="0" xfId="2"/>
    <xf numFmtId="179" fontId="69" fillId="52" borderId="1" xfId="359" applyNumberFormat="1" applyFont="1" applyFill="1" applyBorder="1" applyAlignment="1">
      <alignment horizontal="right"/>
    </xf>
    <xf numFmtId="179" fontId="69" fillId="0" borderId="1" xfId="359" applyNumberFormat="1" applyFont="1" applyBorder="1" applyAlignment="1"/>
    <xf numFmtId="179" fontId="69" fillId="48" borderId="1" xfId="359" applyNumberFormat="1" applyFont="1" applyFill="1" applyBorder="1" applyAlignment="1">
      <alignment horizontal="right"/>
    </xf>
    <xf numFmtId="179" fontId="14" fillId="52" borderId="1" xfId="359" applyNumberFormat="1" applyFont="1" applyFill="1" applyBorder="1" applyAlignment="1"/>
    <xf numFmtId="179" fontId="14" fillId="53" borderId="18" xfId="359" applyNumberFormat="1" applyFont="1" applyFill="1" applyBorder="1" applyAlignment="1">
      <alignment horizontal="center"/>
    </xf>
    <xf numFmtId="10" fontId="69" fillId="48" borderId="1" xfId="1" applyNumberFormat="1" applyFont="1" applyFill="1" applyBorder="1" applyAlignment="1"/>
    <xf numFmtId="179" fontId="69" fillId="52" borderId="19" xfId="359" applyNumberFormat="1" applyFont="1" applyFill="1" applyBorder="1" applyAlignment="1"/>
    <xf numFmtId="0" fontId="10" fillId="0" borderId="20" xfId="2" applyBorder="1"/>
    <xf numFmtId="179" fontId="14" fillId="45" borderId="15" xfId="359" applyNumberFormat="1" applyFont="1" applyFill="1" applyBorder="1" applyAlignment="1">
      <alignment horizontal="center"/>
    </xf>
    <xf numFmtId="179" fontId="14" fillId="53" borderId="1" xfId="359" applyNumberFormat="1" applyFont="1" applyFill="1" applyBorder="1" applyAlignment="1">
      <alignment horizontal="center"/>
    </xf>
    <xf numFmtId="179" fontId="14" fillId="52" borderId="15" xfId="359" applyNumberFormat="1" applyFont="1" applyFill="1" applyBorder="1" applyAlignment="1">
      <alignment horizontal="center"/>
    </xf>
    <xf numFmtId="179" fontId="14" fillId="0" borderId="18" xfId="359" applyNumberFormat="1" applyFont="1" applyFill="1" applyBorder="1" applyAlignment="1">
      <alignment horizontal="center"/>
    </xf>
    <xf numFmtId="179" fontId="14" fillId="0" borderId="21" xfId="359" applyNumberFormat="1" applyFont="1" applyFill="1" applyBorder="1" applyAlignment="1">
      <alignment horizontal="center"/>
    </xf>
    <xf numFmtId="179" fontId="14" fillId="0" borderId="22" xfId="359" applyNumberFormat="1" applyFont="1" applyFill="1" applyBorder="1" applyAlignment="1">
      <alignment horizontal="center"/>
    </xf>
    <xf numFmtId="43" fontId="69" fillId="53" borderId="23" xfId="359" applyNumberFormat="1" applyFont="1" applyFill="1" applyBorder="1" applyAlignment="1"/>
    <xf numFmtId="179" fontId="69" fillId="53" borderId="24" xfId="359" applyNumberFormat="1" applyFont="1" applyFill="1" applyBorder="1" applyAlignment="1"/>
    <xf numFmtId="179" fontId="69" fillId="53" borderId="25" xfId="359" applyNumberFormat="1" applyFont="1" applyFill="1" applyBorder="1" applyAlignment="1"/>
    <xf numFmtId="179" fontId="69" fillId="53" borderId="23" xfId="359" applyNumberFormat="1" applyFont="1" applyFill="1" applyBorder="1" applyAlignment="1"/>
    <xf numFmtId="0" fontId="42" fillId="0" borderId="0" xfId="360" applyFont="1"/>
    <xf numFmtId="0" fontId="68" fillId="3" borderId="1" xfId="361" applyFont="1" applyFill="1" applyBorder="1" applyProtection="1"/>
    <xf numFmtId="0" fontId="42" fillId="0" borderId="0" xfId="360" applyFont="1" applyFill="1"/>
    <xf numFmtId="0" fontId="69" fillId="51" borderId="1" xfId="362" applyFont="1" applyFill="1" applyBorder="1" applyAlignment="1">
      <alignment horizontal="center"/>
    </xf>
    <xf numFmtId="10" fontId="42" fillId="0" borderId="0" xfId="360" applyNumberFormat="1" applyFont="1" applyFill="1"/>
    <xf numFmtId="180" fontId="69" fillId="4" borderId="1" xfId="361" applyNumberFormat="1" applyFont="1" applyFill="1" applyBorder="1" applyProtection="1"/>
    <xf numFmtId="0" fontId="42" fillId="0" borderId="0" xfId="360" applyFont="1" applyFill="1" applyBorder="1"/>
    <xf numFmtId="181" fontId="42" fillId="0" borderId="0" xfId="360" applyNumberFormat="1" applyFont="1"/>
    <xf numFmtId="0" fontId="14" fillId="0" borderId="0" xfId="360" applyFont="1"/>
    <xf numFmtId="9" fontId="42" fillId="0" borderId="0" xfId="1" applyFont="1" applyFill="1" applyBorder="1" applyAlignment="1"/>
    <xf numFmtId="180" fontId="42" fillId="0" borderId="0" xfId="360" applyNumberFormat="1" applyFont="1" applyFill="1" applyBorder="1"/>
    <xf numFmtId="9" fontId="42" fillId="0" borderId="0" xfId="360" applyNumberFormat="1" applyFont="1"/>
    <xf numFmtId="0" fontId="1" fillId="0" borderId="1" xfId="357" applyBorder="1" applyAlignment="1">
      <alignment horizontal="center" vertical="center"/>
    </xf>
    <xf numFmtId="0" fontId="1" fillId="0" borderId="26" xfId="357" applyBorder="1">
      <alignment vertical="center"/>
    </xf>
    <xf numFmtId="0" fontId="1" fillId="0" borderId="30" xfId="357" applyBorder="1" applyAlignment="1">
      <alignment horizontal="center" vertical="center"/>
    </xf>
    <xf numFmtId="0" fontId="1" fillId="0" borderId="13" xfId="357" applyBorder="1" applyAlignment="1">
      <alignment horizontal="center" vertical="center"/>
    </xf>
    <xf numFmtId="0" fontId="1" fillId="0" borderId="31" xfId="357" applyBorder="1" applyAlignment="1">
      <alignment horizontal="center" vertical="center"/>
    </xf>
    <xf numFmtId="0" fontId="1" fillId="0" borderId="0" xfId="357" applyBorder="1">
      <alignment vertical="center"/>
    </xf>
    <xf numFmtId="0" fontId="1" fillId="0" borderId="15" xfId="357" applyBorder="1" applyAlignment="1">
      <alignment horizontal="center" vertical="center"/>
    </xf>
    <xf numFmtId="0" fontId="1" fillId="0" borderId="16" xfId="357" applyBorder="1" applyAlignment="1">
      <alignment horizontal="center" vertical="center"/>
    </xf>
    <xf numFmtId="0" fontId="1" fillId="0" borderId="0" xfId="357" applyFill="1" applyBorder="1" applyAlignment="1">
      <alignment horizontal="center" vertical="center"/>
    </xf>
    <xf numFmtId="0" fontId="1" fillId="0" borderId="32" xfId="357" applyBorder="1" applyAlignment="1">
      <alignment horizontal="center" vertical="center"/>
    </xf>
    <xf numFmtId="0" fontId="1" fillId="0" borderId="24" xfId="357" applyBorder="1" applyAlignment="1">
      <alignment horizontal="center" vertical="center"/>
    </xf>
    <xf numFmtId="0" fontId="1" fillId="0" borderId="33" xfId="357" applyBorder="1" applyAlignment="1">
      <alignment horizontal="center" vertical="center"/>
    </xf>
    <xf numFmtId="0" fontId="10" fillId="0" borderId="0" xfId="6">
      <alignment vertical="center"/>
    </xf>
    <xf numFmtId="0" fontId="10" fillId="51" borderId="1" xfId="6" applyFill="1" applyBorder="1">
      <alignment vertical="center"/>
    </xf>
    <xf numFmtId="0" fontId="70" fillId="0" borderId="0" xfId="6" applyFont="1">
      <alignment vertical="center"/>
    </xf>
    <xf numFmtId="9" fontId="10" fillId="51" borderId="1" xfId="6" applyNumberFormat="1" applyFill="1" applyBorder="1">
      <alignment vertical="center"/>
    </xf>
    <xf numFmtId="0" fontId="14" fillId="0" borderId="0" xfId="6" applyFont="1">
      <alignment vertical="center"/>
    </xf>
    <xf numFmtId="0" fontId="10" fillId="3" borderId="1" xfId="6" applyFill="1" applyBorder="1">
      <alignment vertical="center"/>
    </xf>
    <xf numFmtId="0" fontId="10" fillId="54" borderId="1" xfId="6" applyFill="1" applyBorder="1">
      <alignment vertical="center"/>
    </xf>
    <xf numFmtId="9" fontId="10" fillId="0" borderId="0" xfId="6" applyNumberFormat="1">
      <alignment vertical="center"/>
    </xf>
    <xf numFmtId="182" fontId="10" fillId="0" borderId="0" xfId="6" applyNumberFormat="1">
      <alignment vertical="center"/>
    </xf>
    <xf numFmtId="0" fontId="10" fillId="41" borderId="1" xfId="6" applyFill="1" applyBorder="1">
      <alignment vertical="center"/>
    </xf>
    <xf numFmtId="0" fontId="10" fillId="4" borderId="1" xfId="6" applyFill="1" applyBorder="1">
      <alignment vertical="center"/>
    </xf>
    <xf numFmtId="0" fontId="10" fillId="55" borderId="1" xfId="6" applyFill="1" applyBorder="1">
      <alignment vertical="center"/>
    </xf>
    <xf numFmtId="0" fontId="66" fillId="49" borderId="15" xfId="357" applyFont="1" applyFill="1" applyBorder="1" applyAlignment="1">
      <alignment horizontal="center" vertical="center"/>
    </xf>
    <xf numFmtId="0" fontId="66" fillId="49" borderId="16" xfId="357" applyFont="1" applyFill="1" applyBorder="1" applyAlignment="1">
      <alignment horizontal="center" vertical="center"/>
    </xf>
    <xf numFmtId="9" fontId="69" fillId="51" borderId="15" xfId="1" applyFont="1" applyFill="1" applyBorder="1" applyAlignment="1">
      <alignment horizontal="center"/>
    </xf>
    <xf numFmtId="9" fontId="69" fillId="51" borderId="16" xfId="1" applyFont="1" applyFill="1" applyBorder="1" applyAlignment="1">
      <alignment horizontal="center"/>
    </xf>
    <xf numFmtId="0" fontId="1" fillId="0" borderId="27" xfId="357" applyBorder="1" applyAlignment="1">
      <alignment horizontal="center" vertical="center"/>
    </xf>
    <xf numFmtId="0" fontId="1" fillId="0" borderId="30" xfId="357" applyBorder="1" applyAlignment="1">
      <alignment horizontal="center" vertical="center"/>
    </xf>
    <xf numFmtId="0" fontId="1" fillId="0" borderId="28" xfId="357" applyBorder="1" applyAlignment="1">
      <alignment horizontal="center" vertical="center"/>
    </xf>
    <xf numFmtId="0" fontId="1" fillId="0" borderId="29" xfId="357" applyBorder="1" applyAlignment="1">
      <alignment horizontal="center" vertical="center"/>
    </xf>
  </cellXfs>
  <cellStyles count="376">
    <cellStyle name="_x0004_" xfId="59"/>
    <cellStyle name="_x000a_mouse.drv=lm 10" xfId="351"/>
    <cellStyle name="?鹎%U龡&amp;H?_x0008__x001c__x001c_?_x0007__x0001__x0001_" xfId="352"/>
    <cellStyle name="_ET_STYLE_NoName_00_" xfId="60"/>
    <cellStyle name="20% - Accent1" xfId="10"/>
    <cellStyle name="20% - Accent2" xfId="11"/>
    <cellStyle name="20% - Accent3" xfId="12"/>
    <cellStyle name="20% - Accent4" xfId="13"/>
    <cellStyle name="20% - Accent5" xfId="14"/>
    <cellStyle name="20% - Accent6" xfId="15"/>
    <cellStyle name="20% - 强调文字颜色 1 2" xfId="61"/>
    <cellStyle name="20% - 强调文字颜色 1 3" xfId="62"/>
    <cellStyle name="20% - 强调文字颜色 2 2" xfId="63"/>
    <cellStyle name="20% - 强调文字颜色 2 3" xfId="64"/>
    <cellStyle name="20% - 强调文字颜色 3 2" xfId="65"/>
    <cellStyle name="20% - 强调文字颜色 3 3" xfId="66"/>
    <cellStyle name="20% - 强调文字颜色 4 2" xfId="67"/>
    <cellStyle name="20% - 强调文字颜色 4 3" xfId="68"/>
    <cellStyle name="20% - 强调文字颜色 5 2" xfId="69"/>
    <cellStyle name="20% - 强调文字颜色 5 3" xfId="70"/>
    <cellStyle name="20% - 强调文字颜色 6 2" xfId="71"/>
    <cellStyle name="20% - 强调文字颜色 6 3" xfId="72"/>
    <cellStyle name="40% - Accent1" xfId="16"/>
    <cellStyle name="40% - Accent2" xfId="17"/>
    <cellStyle name="40% - Accent3" xfId="18"/>
    <cellStyle name="40% - Accent4" xfId="19"/>
    <cellStyle name="40% - Accent5" xfId="20"/>
    <cellStyle name="40% - Accent6" xfId="21"/>
    <cellStyle name="40% - 强调文字颜色 1 2" xfId="73"/>
    <cellStyle name="40% - 强调文字颜色 1 3" xfId="74"/>
    <cellStyle name="40% - 强调文字颜色 2 2" xfId="75"/>
    <cellStyle name="40% - 强调文字颜色 2 3" xfId="76"/>
    <cellStyle name="40% - 强调文字颜色 3 2" xfId="77"/>
    <cellStyle name="40% - 强调文字颜色 3 3" xfId="78"/>
    <cellStyle name="40% - 强调文字颜色 4 2" xfId="79"/>
    <cellStyle name="40% - 强调文字颜色 4 3" xfId="80"/>
    <cellStyle name="40% - 强调文字颜色 5 2" xfId="81"/>
    <cellStyle name="40% - 强调文字颜色 5 3" xfId="82"/>
    <cellStyle name="40% - 强调文字颜色 6 2" xfId="83"/>
    <cellStyle name="40% - 强调文字颜色 6 3" xfId="84"/>
    <cellStyle name="60% - Accent1" xfId="22"/>
    <cellStyle name="60% - Accent2" xfId="23"/>
    <cellStyle name="60% - Accent3" xfId="24"/>
    <cellStyle name="60% - Accent4" xfId="25"/>
    <cellStyle name="60% - Accent5" xfId="26"/>
    <cellStyle name="60% - Accent6" xfId="27"/>
    <cellStyle name="60% - 强调文字颜色 1 2" xfId="85"/>
    <cellStyle name="60% - 强调文字颜色 1 3" xfId="86"/>
    <cellStyle name="60% - 强调文字颜色 2 2" xfId="87"/>
    <cellStyle name="60% - 强调文字颜色 2 3" xfId="88"/>
    <cellStyle name="60% - 强调文字颜色 3 2" xfId="89"/>
    <cellStyle name="60% - 强调文字颜色 3 3" xfId="90"/>
    <cellStyle name="60% - 强调文字颜色 4 2" xfId="91"/>
    <cellStyle name="60% - 强调文字颜色 4 3" xfId="92"/>
    <cellStyle name="60% - 强调文字颜色 5 2" xfId="93"/>
    <cellStyle name="60% - 强调文字颜色 5 3" xfId="94"/>
    <cellStyle name="60% - 强调文字颜色 6 2" xfId="95"/>
    <cellStyle name="60% - 强调文字颜色 6 3" xfId="96"/>
    <cellStyle name="Accent1" xfId="28"/>
    <cellStyle name="Accent1 - 20%" xfId="97"/>
    <cellStyle name="Accent1 - 40%" xfId="98"/>
    <cellStyle name="Accent1 - 60%" xfId="99"/>
    <cellStyle name="Accent1_2009工作计划及预算表-总经办" xfId="100"/>
    <cellStyle name="Accent2" xfId="29"/>
    <cellStyle name="Accent2 - 20%" xfId="101"/>
    <cellStyle name="Accent2 - 40%" xfId="102"/>
    <cellStyle name="Accent2 - 60%" xfId="103"/>
    <cellStyle name="Accent2_2009工作计划及预算表-总经办" xfId="104"/>
    <cellStyle name="Accent3" xfId="30"/>
    <cellStyle name="Accent3 - 20%" xfId="105"/>
    <cellStyle name="Accent3 - 40%" xfId="106"/>
    <cellStyle name="Accent3 - 60%" xfId="107"/>
    <cellStyle name="Accent3_2009工作计划及预算表-总经办" xfId="108"/>
    <cellStyle name="Accent4" xfId="31"/>
    <cellStyle name="Accent4 - 20%" xfId="109"/>
    <cellStyle name="Accent4 - 40%" xfId="110"/>
    <cellStyle name="Accent4 - 60%" xfId="111"/>
    <cellStyle name="Accent4_2009工作计划及预算表-总经办" xfId="112"/>
    <cellStyle name="Accent5" xfId="32"/>
    <cellStyle name="Accent5 - 20%" xfId="113"/>
    <cellStyle name="Accent5 - 40%" xfId="114"/>
    <cellStyle name="Accent5 - 60%" xfId="115"/>
    <cellStyle name="Accent5_2009工作计划及预算表-总经办" xfId="116"/>
    <cellStyle name="Accent6" xfId="33"/>
    <cellStyle name="Accent6 - 20%" xfId="117"/>
    <cellStyle name="Accent6 - 40%" xfId="118"/>
    <cellStyle name="Accent6 - 60%" xfId="119"/>
    <cellStyle name="Accent6_2009工作计划及预算表-总经办" xfId="120"/>
    <cellStyle name="AFE" xfId="121"/>
    <cellStyle name="Bad" xfId="34"/>
    <cellStyle name="Calculation" xfId="35"/>
    <cellStyle name="Check Cell" xfId="36"/>
    <cellStyle name="Comma_BJL4 - 2009 Budget" xfId="122"/>
    <cellStyle name="Emphasis 1" xfId="123"/>
    <cellStyle name="Emphasis 2" xfId="124"/>
    <cellStyle name="Emphasis 3" xfId="125"/>
    <cellStyle name="Explanatory Text" xfId="37"/>
    <cellStyle name="Good" xfId="38"/>
    <cellStyle name="Heading 1" xfId="39"/>
    <cellStyle name="Heading 2" xfId="40"/>
    <cellStyle name="Heading 3" xfId="41"/>
    <cellStyle name="Heading 4" xfId="42"/>
    <cellStyle name="Input" xfId="43"/>
    <cellStyle name="Linked Cell" xfId="44"/>
    <cellStyle name="Neutral" xfId="45"/>
    <cellStyle name="Normal 2" xfId="363"/>
    <cellStyle name="Normal_07BUD-CBS-BJL4-V3" xfId="126"/>
    <cellStyle name="Note" xfId="46"/>
    <cellStyle name="Note 2" xfId="127"/>
    <cellStyle name="Output" xfId="47"/>
    <cellStyle name="Output Amounts" xfId="128"/>
    <cellStyle name="Output Column Headings" xfId="129"/>
    <cellStyle name="Output Line Items" xfId="130"/>
    <cellStyle name="Output Report Heading" xfId="131"/>
    <cellStyle name="Output Report Title" xfId="132"/>
    <cellStyle name="Output_2009工作计划及预算表-总经办" xfId="133"/>
    <cellStyle name="s]_x000d__x000a_;load=C:\WINDOWS\VERINST.EXE APMAPP.EXE _x000d__x000a_run=_x000d__x000a_Beep=yes_x000d__x000a_NullPort=None_x000d__x000a_BorderWidth=3_x000d__x000a_CursorBlinkRate=780_x000d__x000a_Double" xfId="134"/>
    <cellStyle name="Sheet Title" xfId="135"/>
    <cellStyle name="style1" xfId="136"/>
    <cellStyle name="Title" xfId="48"/>
    <cellStyle name="Total" xfId="49"/>
    <cellStyle name="Warning Text" xfId="50"/>
    <cellStyle name="百分比 10" xfId="364"/>
    <cellStyle name="百分比 2" xfId="1"/>
    <cellStyle name="百分比 2 2" xfId="54"/>
    <cellStyle name="百分比 2 3" xfId="356"/>
    <cellStyle name="百分比 3" xfId="9"/>
    <cellStyle name="百分比 3 2" xfId="365"/>
    <cellStyle name="百分比 4" xfId="137"/>
    <cellStyle name="百分比 4 2" xfId="366"/>
    <cellStyle name="百分比 5" xfId="138"/>
    <cellStyle name="百分比 6" xfId="139"/>
    <cellStyle name="百分比 7" xfId="140"/>
    <cellStyle name="百分比 8" xfId="141"/>
    <cellStyle name="百分比 9" xfId="355"/>
    <cellStyle name="标题 1 2" xfId="142"/>
    <cellStyle name="标题 1 3" xfId="143"/>
    <cellStyle name="标题 2 2" xfId="144"/>
    <cellStyle name="标题 2 3" xfId="145"/>
    <cellStyle name="标题 3 2" xfId="146"/>
    <cellStyle name="标题 3 3" xfId="147"/>
    <cellStyle name="标题 4 2" xfId="148"/>
    <cellStyle name="标题 4 3" xfId="149"/>
    <cellStyle name="标题 5" xfId="150"/>
    <cellStyle name="标题 6" xfId="151"/>
    <cellStyle name="差 2" xfId="152"/>
    <cellStyle name="差 3" xfId="153"/>
    <cellStyle name="差_2009年度损益" xfId="154"/>
    <cellStyle name="差_2010年人工成本预算" xfId="155"/>
    <cellStyle name="差_2011年预算-结构（收益性预算）Final" xfId="156"/>
    <cellStyle name="差_Analysis for BS&amp;CFS v2" xfId="157"/>
    <cellStyle name="差_Beijing Line 4 - 2010 Budget (12Oct)" xfId="158"/>
    <cellStyle name="差_Beijing Line 4 - 2010 Budget (Operations Stage to GM-BJ&amp;TJ_11 Aug)" xfId="159"/>
    <cellStyle name="差_BJL4 2010 Budget &amp; 2011-2015 Forcast(19 Jun 09-Ver3.0 to MTRCL )Revised0729" xfId="160"/>
    <cellStyle name="差_BJL4 2010 Budget &amp; 2011-2015 Forcast(19 Jun 09-Ver3.0 to MTRCL )Revised0729_1" xfId="161"/>
    <cellStyle name="差_BJL4 2010 Budget &amp; 2011-2015 Forcast(19 Jun 09-Ver3.0 to MTRCL )Revised0729_各部门2010年预算报表" xfId="162"/>
    <cellStyle name="差_BJL4 2010 Budget &amp; 2011-2015 Forcast(19 Jun 09-Ver3.0 to MTRCL )Revised0729_京港地铁2010年预算及2011年-2015年预测利润表Revise2" xfId="163"/>
    <cellStyle name="差_CA客流五五分成版人工成本明细" xfId="164"/>
    <cellStyle name="差_FMS各部门实际数" xfId="165"/>
    <cellStyle name="差_报港铁第一版预算" xfId="166"/>
    <cellStyle name="差_待调整事项" xfId="167"/>
    <cellStyle name="差_附件二：预算科目指引" xfId="168"/>
    <cellStyle name="差_附件五：2011年预算模板（收益性预算）Final" xfId="169"/>
    <cellStyle name="差_附件五：2011年预算模板（资本性预算）" xfId="170"/>
    <cellStyle name="差_各部门2010年预算报表" xfId="171"/>
    <cellStyle name="差_各项费用清单-四号线2011年预算及2012-2015年预测 (3)" xfId="172"/>
    <cellStyle name="差_工务--新版2011预算(收益性）" xfId="173"/>
    <cellStyle name="差_结构--收益性" xfId="174"/>
    <cellStyle name="差_京港地铁2010年预算及2011年-2015年预测利润表Revise2" xfId="175"/>
    <cellStyle name="差_收入成本表" xfId="176"/>
    <cellStyle name="差_营运性开支及资本性开支预算模板2009年（车务工程-信号）" xfId="177"/>
    <cellStyle name="差_营运性开支及资本性开支预算模板2009年（车务工程-信号）_BJL4 2010 Budget &amp; 2011-2015 Forcast(19 Jun 09-Ver3.0 to MTRCL )Revised0729" xfId="178"/>
    <cellStyle name="差_营运性开支及资本性开支预算模板2009年（车务工程-信号）_报港铁第一版预算" xfId="179"/>
    <cellStyle name="差_营运性开支及资本性开支预算模板2009年（车务工程-信号）_各部门2010年预算报表" xfId="180"/>
    <cellStyle name="差_营运性开支及资本性开支预算模板2009年（车务工程-信号）_京港地铁2010年预算及2011年-2015年预测利润表Revise2" xfId="181"/>
    <cellStyle name="差_营运性开支及资本性开支预算模板2009年（车务工程-信号）_收入成本表" xfId="182"/>
    <cellStyle name="差_营运性开支及资本性开支预算模板2009年（车务工程-信号）_预算报告（建设运营合并）V13.0（一） to Margaret" xfId="183"/>
    <cellStyle name="差_营运性开支及资本性开支预算模板2009年（车务工程-信号）_预算比较0817" xfId="184"/>
    <cellStyle name="差_预算报告（建设运营合并）V13.0（一） to Margaret" xfId="185"/>
    <cellStyle name="差_预算比较0817" xfId="186"/>
    <cellStyle name="差_运营指标设置建议-汪" xfId="187"/>
    <cellStyle name="常规" xfId="0" builtinId="0"/>
    <cellStyle name="常规 10" xfId="188"/>
    <cellStyle name="常规 10 2" xfId="189"/>
    <cellStyle name="常规 11" xfId="190"/>
    <cellStyle name="常规 11 2" xfId="191"/>
    <cellStyle name="常规 12" xfId="192"/>
    <cellStyle name="常规 12 2" xfId="193"/>
    <cellStyle name="常规 13" xfId="194"/>
    <cellStyle name="常规 13 2" xfId="195"/>
    <cellStyle name="常规 14" xfId="196"/>
    <cellStyle name="常规 14 2" xfId="197"/>
    <cellStyle name="常规 15" xfId="198"/>
    <cellStyle name="常规 15 2" xfId="199"/>
    <cellStyle name="常规 16" xfId="200"/>
    <cellStyle name="常规 16 2" xfId="201"/>
    <cellStyle name="常规 17" xfId="202"/>
    <cellStyle name="常规 17 2" xfId="203"/>
    <cellStyle name="常规 18" xfId="204"/>
    <cellStyle name="常规 19" xfId="205"/>
    <cellStyle name="常规 2" xfId="2"/>
    <cellStyle name="常规 2 10" xfId="206"/>
    <cellStyle name="常规 2 11" xfId="207"/>
    <cellStyle name="常规 2 12" xfId="208"/>
    <cellStyle name="常规 2 13" xfId="209"/>
    <cellStyle name="常规 2 14" xfId="210"/>
    <cellStyle name="常规 2 15" xfId="211"/>
    <cellStyle name="常规 2 16" xfId="212"/>
    <cellStyle name="常规 2 17" xfId="213"/>
    <cellStyle name="常规 2 2" xfId="6"/>
    <cellStyle name="常规 2 2 10" xfId="214"/>
    <cellStyle name="常规 2 2 11" xfId="215"/>
    <cellStyle name="常规 2 2 12" xfId="216"/>
    <cellStyle name="常规 2 2 13" xfId="217"/>
    <cellStyle name="常规 2 2 14" xfId="218"/>
    <cellStyle name="常规 2 2 15" xfId="219"/>
    <cellStyle name="常规 2 2 16" xfId="220"/>
    <cellStyle name="常规 2 2 2" xfId="7"/>
    <cellStyle name="常规 2 2 3" xfId="221"/>
    <cellStyle name="常规 2 2 4" xfId="222"/>
    <cellStyle name="常规 2 2 5" xfId="223"/>
    <cellStyle name="常规 2 2 6" xfId="224"/>
    <cellStyle name="常规 2 2 7" xfId="225"/>
    <cellStyle name="常规 2 2 8" xfId="226"/>
    <cellStyle name="常规 2 2 9" xfId="227"/>
    <cellStyle name="常规 2 3" xfId="56"/>
    <cellStyle name="常规 2 3 2" xfId="228"/>
    <cellStyle name="常规 2 3 3" xfId="229"/>
    <cellStyle name="常规 2 3_2011年预算-结构（收益性预算）Final" xfId="230"/>
    <cellStyle name="常规 2 4" xfId="231"/>
    <cellStyle name="常规 2 5" xfId="232"/>
    <cellStyle name="常规 2 6" xfId="233"/>
    <cellStyle name="常规 2 7" xfId="234"/>
    <cellStyle name="常规 2 8" xfId="235"/>
    <cellStyle name="常规 2 9" xfId="236"/>
    <cellStyle name="常规 20" xfId="237"/>
    <cellStyle name="常规 21" xfId="357"/>
    <cellStyle name="常规 3" xfId="3"/>
    <cellStyle name="常规 3 2" xfId="238"/>
    <cellStyle name="常规 3 2 2" xfId="239"/>
    <cellStyle name="常规 3 3" xfId="240"/>
    <cellStyle name="常规 3_附件二：预算科目指引" xfId="241"/>
    <cellStyle name="常规 4" xfId="5"/>
    <cellStyle name="常规 4 2" xfId="8"/>
    <cellStyle name="常规 4 2 2" xfId="53"/>
    <cellStyle name="常规 4 3" xfId="349"/>
    <cellStyle name="常规 4 3 2" xfId="350"/>
    <cellStyle name="常规 5" xfId="51"/>
    <cellStyle name="常规 5 2" xfId="242"/>
    <cellStyle name="常规 5 3" xfId="367"/>
    <cellStyle name="常规 5 3 2" xfId="368"/>
    <cellStyle name="常规 5 4" xfId="369"/>
    <cellStyle name="常规 6" xfId="52"/>
    <cellStyle name="常规 6 2" xfId="243"/>
    <cellStyle name="常规 6 2 2" xfId="370"/>
    <cellStyle name="常规 7" xfId="55"/>
    <cellStyle name="常规 7 2" xfId="244"/>
    <cellStyle name="常规 8" xfId="57"/>
    <cellStyle name="常规 8 2" xfId="245"/>
    <cellStyle name="常规 8 3" xfId="371"/>
    <cellStyle name="常规 9" xfId="58"/>
    <cellStyle name="常规 9 2" xfId="246"/>
    <cellStyle name="常规_ks1" xfId="4"/>
    <cellStyle name="常规_Sheet1" xfId="353"/>
    <cellStyle name="常规_第8章投资评价出题-200705" xfId="360"/>
    <cellStyle name="常规_第五章试题" xfId="362"/>
    <cellStyle name="常规_回归1" xfId="361"/>
    <cellStyle name="常规_例6-02 安全边际与目标销量分析模型" xfId="354"/>
    <cellStyle name="常规_盈亏平衡第3题答案" xfId="358"/>
    <cellStyle name="超级链接_2002年6月期末考试A答案" xfId="372"/>
    <cellStyle name="好 2" xfId="247"/>
    <cellStyle name="好 3" xfId="248"/>
    <cellStyle name="好_2009年度损益" xfId="249"/>
    <cellStyle name="好_2010年人工成本预算" xfId="250"/>
    <cellStyle name="好_2011年预算-结构（收益性预算）Final" xfId="251"/>
    <cellStyle name="好_Analysis for BS&amp;CFS v2" xfId="252"/>
    <cellStyle name="好_Beijing Line 4 - 2010 Budget (12Oct)" xfId="253"/>
    <cellStyle name="好_Beijing Line 4 - 2010 Budget (Operations Stage to GM-BJ&amp;TJ_11 Aug)" xfId="254"/>
    <cellStyle name="好_BJL4 2010 Budget &amp; 2011-2015 Forcast(19 Jun 09-Ver3.0 to MTRCL )Revised0729" xfId="255"/>
    <cellStyle name="好_BJL4 2010 Budget &amp; 2011-2015 Forcast(19 Jun 09-Ver3.0 to MTRCL )Revised0729_1" xfId="256"/>
    <cellStyle name="好_BJL4 2010 Budget &amp; 2011-2015 Forcast(19 Jun 09-Ver3.0 to MTRCL )Revised0729_各部门2010年预算报表" xfId="257"/>
    <cellStyle name="好_BJL4 2010 Budget &amp; 2011-2015 Forcast(19 Jun 09-Ver3.0 to MTRCL )Revised0729_京港地铁2010年预算及2011年-2015年预测利润表Revise2" xfId="258"/>
    <cellStyle name="好_CA客流五五分成版人工成本明细" xfId="259"/>
    <cellStyle name="好_FMS各部门实际数" xfId="260"/>
    <cellStyle name="好_报港铁第一版预算" xfId="261"/>
    <cellStyle name="好_待调整事项" xfId="262"/>
    <cellStyle name="好_附件二：预算科目指引" xfId="263"/>
    <cellStyle name="好_附件五：2011年预算模板（收益性预算）Final" xfId="264"/>
    <cellStyle name="好_附件五：2011年预算模板（资本性预算）" xfId="265"/>
    <cellStyle name="好_各部门2010年预算报表" xfId="266"/>
    <cellStyle name="好_各项费用清单-四号线2011年预算及2012-2015年预测 (3)" xfId="267"/>
    <cellStyle name="好_工务--新版2011预算(收益性）" xfId="268"/>
    <cellStyle name="好_结构--收益性" xfId="269"/>
    <cellStyle name="好_京港地铁2010年预算及2011年-2015年预测利润表Revise2" xfId="270"/>
    <cellStyle name="好_收入成本表" xfId="271"/>
    <cellStyle name="好_营运性开支及资本性开支预算模板2009年（车务工程-信号）" xfId="272"/>
    <cellStyle name="好_营运性开支及资本性开支预算模板2009年（车务工程-信号）_BJL4 2010 Budget &amp; 2011-2015 Forcast(19 Jun 09-Ver3.0 to MTRCL )Revised0729" xfId="273"/>
    <cellStyle name="好_营运性开支及资本性开支预算模板2009年（车务工程-信号）_报港铁第一版预算" xfId="274"/>
    <cellStyle name="好_营运性开支及资本性开支预算模板2009年（车务工程-信号）_各部门2010年预算报表" xfId="275"/>
    <cellStyle name="好_营运性开支及资本性开支预算模板2009年（车务工程-信号）_京港地铁2010年预算及2011年-2015年预测利润表Revise2" xfId="276"/>
    <cellStyle name="好_营运性开支及资本性开支预算模板2009年（车务工程-信号）_收入成本表" xfId="277"/>
    <cellStyle name="好_营运性开支及资本性开支预算模板2009年（车务工程-信号）_预算报告（建设运营合并）V13.0（一） to Margaret" xfId="278"/>
    <cellStyle name="好_营运性开支及资本性开支预算模板2009年（车务工程-信号）_预算比较0817" xfId="279"/>
    <cellStyle name="好_预算报告（建设运营合并）V13.0（一） to Margaret" xfId="280"/>
    <cellStyle name="好_预算比较0817" xfId="281"/>
    <cellStyle name="好_运营指标设置建议-汪" xfId="282"/>
    <cellStyle name="后继超级链接_2002年6月期末考试A答案" xfId="373"/>
    <cellStyle name="汇总 2" xfId="283"/>
    <cellStyle name="汇总 3" xfId="284"/>
    <cellStyle name="货币 2" xfId="374"/>
    <cellStyle name="货币 3" xfId="375"/>
    <cellStyle name="计算 2" xfId="285"/>
    <cellStyle name="计算 3" xfId="286"/>
    <cellStyle name="检查单元格 2" xfId="287"/>
    <cellStyle name="检查单元格 3" xfId="288"/>
    <cellStyle name="解释性文本 2" xfId="289"/>
    <cellStyle name="解释性文本 3" xfId="290"/>
    <cellStyle name="警告文本 2" xfId="291"/>
    <cellStyle name="警告文本 3" xfId="292"/>
    <cellStyle name="链接单元格 2" xfId="293"/>
    <cellStyle name="链接单元格 3" xfId="294"/>
    <cellStyle name="千位分隔 10" xfId="295"/>
    <cellStyle name="千位分隔 11" xfId="296"/>
    <cellStyle name="千位分隔 12" xfId="297"/>
    <cellStyle name="千位分隔 13" xfId="298"/>
    <cellStyle name="千位分隔 2" xfId="299"/>
    <cellStyle name="千位分隔 2 10" xfId="300"/>
    <cellStyle name="千位分隔 2 11" xfId="301"/>
    <cellStyle name="千位分隔 2 12" xfId="302"/>
    <cellStyle name="千位分隔 2 13" xfId="303"/>
    <cellStyle name="千位分隔 2 14" xfId="304"/>
    <cellStyle name="千位分隔 2 15" xfId="305"/>
    <cellStyle name="千位分隔 2 16" xfId="359"/>
    <cellStyle name="千位分隔 2 2" xfId="306"/>
    <cellStyle name="千位分隔 2 3" xfId="307"/>
    <cellStyle name="千位分隔 2 4" xfId="308"/>
    <cellStyle name="千位分隔 2 5" xfId="309"/>
    <cellStyle name="千位分隔 2 6" xfId="310"/>
    <cellStyle name="千位分隔 2 7" xfId="311"/>
    <cellStyle name="千位分隔 2 8" xfId="312"/>
    <cellStyle name="千位分隔 2 9" xfId="313"/>
    <cellStyle name="千位分隔 3" xfId="314"/>
    <cellStyle name="千位分隔 3 2" xfId="315"/>
    <cellStyle name="千位分隔 3 3" xfId="316"/>
    <cellStyle name="千位分隔 4" xfId="317"/>
    <cellStyle name="千位分隔 4 2" xfId="318"/>
    <cellStyle name="千位分隔 4 3" xfId="319"/>
    <cellStyle name="千位分隔 4 4" xfId="320"/>
    <cellStyle name="千位分隔 4 5" xfId="321"/>
    <cellStyle name="千位分隔 5" xfId="322"/>
    <cellStyle name="千位分隔 5 2" xfId="323"/>
    <cellStyle name="千位分隔 6" xfId="324"/>
    <cellStyle name="千位分隔 7" xfId="325"/>
    <cellStyle name="千位分隔 8" xfId="326"/>
    <cellStyle name="千位分隔 9" xfId="327"/>
    <cellStyle name="强调文字颜色 1 2" xfId="328"/>
    <cellStyle name="强调文字颜色 1 3" xfId="329"/>
    <cellStyle name="强调文字颜色 2 2" xfId="330"/>
    <cellStyle name="强调文字颜色 2 3" xfId="331"/>
    <cellStyle name="强调文字颜色 3 2" xfId="332"/>
    <cellStyle name="强调文字颜色 3 3" xfId="333"/>
    <cellStyle name="强调文字颜色 4 2" xfId="334"/>
    <cellStyle name="强调文字颜色 4 3" xfId="335"/>
    <cellStyle name="强调文字颜色 5 2" xfId="336"/>
    <cellStyle name="强调文字颜色 5 3" xfId="337"/>
    <cellStyle name="强调文字颜色 6 2" xfId="338"/>
    <cellStyle name="强调文字颜色 6 3" xfId="339"/>
    <cellStyle name="适中 2" xfId="340"/>
    <cellStyle name="适中 3" xfId="341"/>
    <cellStyle name="输出 2" xfId="342"/>
    <cellStyle name="输出 3" xfId="343"/>
    <cellStyle name="输入 2" xfId="344"/>
    <cellStyle name="输入 3" xfId="345"/>
    <cellStyle name="样式 1" xfId="346"/>
    <cellStyle name="注释 2" xfId="347"/>
    <cellStyle name="注释 3" xfId="348"/>
  </cellStyles>
  <dxfs count="0"/>
  <tableStyles count="0" defaultTableStyle="TableStyleMedium9" defaultPivotStyle="PivotStyleLight16"/>
  <colors>
    <mruColors>
      <color rgb="FFFFFF99"/>
      <color rgb="FF33CC33"/>
      <color rgb="FF009900"/>
      <color rgb="FF99FF99"/>
      <color rgb="FF00FF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pin" dx="16" fmlaLink="$F$3" max="120" min="1" page="10"/>
</file>

<file path=xl/ctrlProps/ctrlProp2.xml><?xml version="1.0" encoding="utf-8"?>
<formControlPr xmlns="http://schemas.microsoft.com/office/spreadsheetml/2009/9/main" objectType="Spin" dx="16" fmlaLink="$F$3" max="120" min="1" page="10"/>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emf"/></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171450</xdr:colOff>
      <xdr:row>4</xdr:row>
      <xdr:rowOff>76201</xdr:rowOff>
    </xdr:from>
    <xdr:to>
      <xdr:col>7</xdr:col>
      <xdr:colOff>361950</xdr:colOff>
      <xdr:row>15</xdr:row>
      <xdr:rowOff>19051</xdr:rowOff>
    </xdr:to>
    <xdr:sp macro="" textlink="">
      <xdr:nvSpPr>
        <xdr:cNvPr id="15361" name="Text Box 1"/>
        <xdr:cNvSpPr txBox="1">
          <a:spLocks noChangeArrowheads="1"/>
        </xdr:cNvSpPr>
      </xdr:nvSpPr>
      <xdr:spPr bwMode="auto">
        <a:xfrm>
          <a:off x="171450" y="895351"/>
          <a:ext cx="6010275" cy="1962150"/>
        </a:xfrm>
        <a:prstGeom prst="rect">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36576" tIns="27432" rIns="0" bIns="0" anchor="t" upright="1"/>
        <a:lstStyle/>
        <a:p>
          <a:pPr algn="l" rtl="0">
            <a:lnSpc>
              <a:spcPts val="2000"/>
            </a:lnSpc>
            <a:defRPr sz="1000"/>
          </a:pPr>
          <a:r>
            <a:rPr lang="zh-CN" altLang="en-US" sz="1600" b="1" i="0" strike="noStrike">
              <a:solidFill>
                <a:srgbClr val="0000FF"/>
              </a:solidFill>
              <a:latin typeface="宋体"/>
              <a:ea typeface="宋体"/>
            </a:rPr>
            <a:t>考试注意事项：</a:t>
          </a:r>
          <a:endParaRPr lang="zh-CN" altLang="en-US" sz="1200" b="0" i="0" strike="noStrike">
            <a:solidFill>
              <a:srgbClr val="000000"/>
            </a:solidFill>
            <a:latin typeface="宋体"/>
            <a:ea typeface="宋体"/>
          </a:endParaRPr>
        </a:p>
        <a:p>
          <a:pPr algn="l" rtl="0">
            <a:lnSpc>
              <a:spcPts val="1500"/>
            </a:lnSpc>
            <a:defRPr sz="1000"/>
          </a:pPr>
          <a:r>
            <a:rPr lang="en-US" altLang="zh-CN" sz="1200" b="0" i="0" strike="noStrike">
              <a:solidFill>
                <a:srgbClr val="000000"/>
              </a:solidFill>
              <a:latin typeface="Arial"/>
              <a:cs typeface="Arial"/>
            </a:rPr>
            <a:t>1</a:t>
          </a:r>
          <a:r>
            <a:rPr lang="zh-CN" altLang="en-US" sz="1200" b="0" i="0" strike="noStrike">
              <a:solidFill>
                <a:srgbClr val="000000"/>
              </a:solidFill>
              <a:latin typeface="宋体"/>
              <a:ea typeface="宋体"/>
            </a:rPr>
            <a:t>、</a:t>
          </a:r>
          <a:r>
            <a:rPr lang="zh-CN" altLang="en-US" sz="1200" b="0" i="0" strike="noStrike">
              <a:solidFill>
                <a:srgbClr val="000000"/>
              </a:solidFill>
              <a:latin typeface="Arial"/>
              <a:cs typeface="Arial"/>
            </a:rPr>
            <a:t> </a:t>
          </a:r>
          <a:r>
            <a:rPr lang="zh-CN" altLang="en-US" sz="1200" b="0" i="0" strike="noStrike">
              <a:solidFill>
                <a:srgbClr val="000000"/>
              </a:solidFill>
              <a:latin typeface="宋体"/>
              <a:ea typeface="宋体"/>
            </a:rPr>
            <a:t>严格遵守考试纪律，一旦发现任何违犯考试纪律的情况立即取消考生考试资格。</a:t>
          </a:r>
          <a:endParaRPr lang="zh-CN" altLang="en-US" sz="1200" b="0" i="0" strike="noStrike">
            <a:solidFill>
              <a:srgbClr val="000000"/>
            </a:solidFill>
            <a:latin typeface="Arial"/>
            <a:cs typeface="Arial"/>
          </a:endParaRPr>
        </a:p>
        <a:p>
          <a:pPr algn="l" rtl="0">
            <a:lnSpc>
              <a:spcPts val="1500"/>
            </a:lnSpc>
            <a:defRPr sz="1000"/>
          </a:pPr>
          <a:r>
            <a:rPr lang="en-US" altLang="zh-CN" sz="1200" b="0" i="0" strike="noStrike">
              <a:solidFill>
                <a:srgbClr val="000000"/>
              </a:solidFill>
              <a:latin typeface="Arial"/>
              <a:cs typeface="Arial"/>
            </a:rPr>
            <a:t>2</a:t>
          </a:r>
          <a:r>
            <a:rPr lang="zh-CN" altLang="en-US" sz="1200" b="0" i="0" strike="noStrike">
              <a:solidFill>
                <a:srgbClr val="000000"/>
              </a:solidFill>
              <a:latin typeface="宋体"/>
              <a:ea typeface="宋体"/>
            </a:rPr>
            <a:t>、每位同学完成操作后必须存盘，提交作业时必须先将此文件关闭，才能正确提交。</a:t>
          </a:r>
        </a:p>
        <a:p>
          <a:pPr algn="l" rtl="0">
            <a:defRPr sz="1000"/>
          </a:pPr>
          <a:r>
            <a:rPr lang="en-US" altLang="zh-CN" sz="1200" b="0" i="0" strike="noStrike">
              <a:solidFill>
                <a:srgbClr val="000000"/>
              </a:solidFill>
              <a:latin typeface="Arial"/>
              <a:cs typeface="Arial"/>
            </a:rPr>
            <a:t>3</a:t>
          </a:r>
          <a:r>
            <a:rPr lang="zh-CN" altLang="en-US" sz="1200" b="0" i="0" strike="noStrike">
              <a:solidFill>
                <a:srgbClr val="000000"/>
              </a:solidFill>
              <a:latin typeface="宋体"/>
              <a:ea typeface="宋体"/>
            </a:rPr>
            <a:t>、切记</a:t>
          </a:r>
          <a:r>
            <a:rPr lang="zh-CN" altLang="en-US" sz="1600" b="1" i="0" strike="noStrike">
              <a:solidFill>
                <a:srgbClr val="FF0000"/>
              </a:solidFill>
              <a:latin typeface="宋体"/>
              <a:ea typeface="宋体"/>
            </a:rPr>
            <a:t>经常存盘</a:t>
          </a:r>
          <a:r>
            <a:rPr lang="zh-CN" altLang="en-US" sz="1200" b="0" i="0" strike="noStrike">
              <a:solidFill>
                <a:srgbClr val="000000"/>
              </a:solidFill>
              <a:latin typeface="宋体"/>
              <a:ea typeface="宋体"/>
            </a:rPr>
            <a:t>。由于没有经常存盘而发生在死机时丢失答题结果的情况时后果由考生自负。</a:t>
          </a:r>
        </a:p>
        <a:p>
          <a:pPr algn="l" rtl="0">
            <a:lnSpc>
              <a:spcPts val="1500"/>
            </a:lnSpc>
            <a:defRPr sz="1000"/>
          </a:pPr>
          <a:r>
            <a:rPr lang="en-US" altLang="zh-CN" sz="1200" b="0" i="0" strike="noStrike">
              <a:solidFill>
                <a:srgbClr val="000000"/>
              </a:solidFill>
              <a:latin typeface="Arial"/>
              <a:cs typeface="Arial"/>
            </a:rPr>
            <a:t>4</a:t>
          </a:r>
          <a:r>
            <a:rPr lang="zh-CN" altLang="en-US" sz="1200" b="0" i="0" strike="noStrike">
              <a:solidFill>
                <a:srgbClr val="000000"/>
              </a:solidFill>
              <a:latin typeface="宋体"/>
              <a:ea typeface="宋体"/>
            </a:rPr>
            <a:t>、随时查看在硬盘上保存的文件的体积是否变得太大，如果太大了那一定是自己操作上发生了问题，应立即设法加以解决，不要等到最后交卷时才发现此类问题。</a:t>
          </a:r>
        </a:p>
        <a:p>
          <a:pPr algn="l" rtl="0">
            <a:lnSpc>
              <a:spcPts val="1500"/>
            </a:lnSpc>
            <a:defRPr sz="1000"/>
          </a:pPr>
          <a:r>
            <a:rPr lang="en-US" altLang="zh-CN" sz="1200" b="0" i="0" strike="noStrike">
              <a:solidFill>
                <a:srgbClr val="000000"/>
              </a:solidFill>
              <a:latin typeface="Arial"/>
              <a:cs typeface="Arial"/>
            </a:rPr>
            <a:t>5</a:t>
          </a:r>
          <a:r>
            <a:rPr lang="zh-CN" altLang="en-US" sz="1200" b="0" i="0" strike="noStrike">
              <a:solidFill>
                <a:srgbClr val="000000"/>
              </a:solidFill>
              <a:latin typeface="宋体"/>
              <a:ea typeface="宋体"/>
            </a:rPr>
            <a:t>、每个工作表中的题目文字框如果妨碍做题，可以将它移开。</a:t>
          </a:r>
        </a:p>
        <a:p>
          <a:pPr algn="l" rtl="0">
            <a:lnSpc>
              <a:spcPts val="1400"/>
            </a:lnSpc>
            <a:defRPr sz="1000"/>
          </a:pPr>
          <a:r>
            <a:rPr lang="en-US" altLang="zh-CN" sz="1200" b="0" i="0" strike="noStrike">
              <a:solidFill>
                <a:srgbClr val="000000"/>
              </a:solidFill>
              <a:latin typeface="Arial"/>
              <a:cs typeface="Arial"/>
            </a:rPr>
            <a:t>6</a:t>
          </a:r>
          <a:r>
            <a:rPr lang="zh-CN" altLang="en-US" sz="1200" b="0" i="0" strike="noStrike">
              <a:solidFill>
                <a:srgbClr val="000000"/>
              </a:solidFill>
              <a:latin typeface="宋体"/>
              <a:ea typeface="宋体"/>
            </a:rPr>
            <a:t>、若删除此工作表按零分计。</a:t>
          </a:r>
        </a:p>
        <a:p>
          <a:pPr algn="l" rtl="0">
            <a:lnSpc>
              <a:spcPts val="1400"/>
            </a:lnSpc>
            <a:defRPr sz="1000"/>
          </a:pPr>
          <a:endParaRPr lang="zh-CN" altLang="en-US" sz="1200" b="0" i="0" strike="noStrike">
            <a:solidFill>
              <a:srgbClr val="000000"/>
            </a:solidFill>
            <a:latin typeface="宋体"/>
            <a:ea typeface="宋体"/>
          </a:endParaRPr>
        </a:p>
      </xdr:txBody>
    </xdr:sp>
    <xdr:clientData/>
  </xdr:twoCellAnchor>
  <xdr:twoCellAnchor>
    <xdr:from>
      <xdr:col>0</xdr:col>
      <xdr:colOff>352424</xdr:colOff>
      <xdr:row>15</xdr:row>
      <xdr:rowOff>123824</xdr:rowOff>
    </xdr:from>
    <xdr:to>
      <xdr:col>7</xdr:col>
      <xdr:colOff>28574</xdr:colOff>
      <xdr:row>20</xdr:row>
      <xdr:rowOff>95250</xdr:rowOff>
    </xdr:to>
    <xdr:sp macro="" textlink="">
      <xdr:nvSpPr>
        <xdr:cNvPr id="15362" name="Text Box 2"/>
        <xdr:cNvSpPr txBox="1">
          <a:spLocks noChangeArrowheads="1"/>
        </xdr:cNvSpPr>
      </xdr:nvSpPr>
      <xdr:spPr bwMode="auto">
        <a:xfrm>
          <a:off x="352424" y="2962274"/>
          <a:ext cx="5495925" cy="828676"/>
        </a:xfrm>
        <a:prstGeom prst="rect">
          <a:avLst/>
        </a:prstGeom>
        <a:ln>
          <a:headEnd/>
          <a:tailEnd/>
        </a:ln>
      </xdr:spPr>
      <xdr:style>
        <a:lnRef idx="1">
          <a:schemeClr val="accent2"/>
        </a:lnRef>
        <a:fillRef idx="2">
          <a:schemeClr val="accent2"/>
        </a:fillRef>
        <a:effectRef idx="1">
          <a:schemeClr val="accent2"/>
        </a:effectRef>
        <a:fontRef idx="minor">
          <a:schemeClr val="dk1"/>
        </a:fontRef>
      </xdr:style>
      <xdr:txBody>
        <a:bodyPr vertOverflow="clip" wrap="square" lIns="45720" tIns="32004" rIns="45720" bIns="32004" anchor="ctr" upright="1"/>
        <a:lstStyle/>
        <a:p>
          <a:pPr algn="ctr" rtl="1">
            <a:defRPr sz="1000"/>
          </a:pPr>
          <a:r>
            <a:rPr lang="zh-CN" altLang="en-US" sz="2000" b="1" i="0" strike="noStrike">
              <a:solidFill>
                <a:srgbClr val="FF0000"/>
              </a:solidFill>
              <a:latin typeface="黑体"/>
              <a:ea typeface="黑体"/>
            </a:rPr>
            <a:t>诚实考试吾心不虚 ，公平竞争方显实力，</a:t>
          </a:r>
        </a:p>
        <a:p>
          <a:pPr algn="ctr" rtl="1">
            <a:defRPr sz="1000"/>
          </a:pPr>
          <a:r>
            <a:rPr lang="zh-CN" altLang="en-US" sz="2000" b="1" i="0" strike="noStrike">
              <a:solidFill>
                <a:srgbClr val="FF0000"/>
              </a:solidFill>
              <a:latin typeface="黑体"/>
              <a:ea typeface="黑体"/>
            </a:rPr>
            <a:t>考试失败尚有机会 ，考试舞弊前功尽弃。</a:t>
          </a:r>
        </a:p>
        <a:p>
          <a:pPr algn="ctr" rtl="1">
            <a:defRPr sz="1000"/>
          </a:pPr>
          <a:endParaRPr lang="zh-CN" altLang="en-US" sz="2000" b="1" i="0" strike="noStrike">
            <a:solidFill>
              <a:srgbClr val="FF0000"/>
            </a:solidFill>
            <a:latin typeface="黑体"/>
            <a:ea typeface="黑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219076</xdr:colOff>
      <xdr:row>0</xdr:row>
      <xdr:rowOff>171449</xdr:rowOff>
    </xdr:from>
    <xdr:to>
      <xdr:col>12</xdr:col>
      <xdr:colOff>523876</xdr:colOff>
      <xdr:row>27</xdr:row>
      <xdr:rowOff>95250</xdr:rowOff>
    </xdr:to>
    <xdr:grpSp>
      <xdr:nvGrpSpPr>
        <xdr:cNvPr id="2" name="组合 1"/>
        <xdr:cNvGrpSpPr/>
      </xdr:nvGrpSpPr>
      <xdr:grpSpPr>
        <a:xfrm>
          <a:off x="3800476" y="171449"/>
          <a:ext cx="6477000" cy="5086351"/>
          <a:chOff x="3800476" y="171449"/>
          <a:chExt cx="6477000" cy="5086351"/>
        </a:xfrm>
      </xdr:grpSpPr>
      <xdr:grpSp>
        <xdr:nvGrpSpPr>
          <xdr:cNvPr id="3" name="组合 2"/>
          <xdr:cNvGrpSpPr/>
        </xdr:nvGrpSpPr>
        <xdr:grpSpPr>
          <a:xfrm>
            <a:off x="3800476" y="171449"/>
            <a:ext cx="6477000" cy="5086351"/>
            <a:chOff x="3800476" y="171449"/>
            <a:chExt cx="6477000" cy="5086351"/>
          </a:xfrm>
        </xdr:grpSpPr>
        <xdr:sp macro="" textlink="">
          <xdr:nvSpPr>
            <xdr:cNvPr id="5" name="Text Box 1"/>
            <xdr:cNvSpPr txBox="1">
              <a:spLocks noChangeArrowheads="1"/>
            </xdr:cNvSpPr>
          </xdr:nvSpPr>
          <xdr:spPr bwMode="auto">
            <a:xfrm>
              <a:off x="3800476" y="171449"/>
              <a:ext cx="6477000" cy="5086351"/>
            </a:xfrm>
            <a:prstGeom prst="rect">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72000" tIns="72000" rIns="72000" bIns="72000" anchor="t" upright="1"/>
            <a:lstStyle/>
            <a:p>
              <a:pPr algn="l" rtl="0">
                <a:lnSpc>
                  <a:spcPts val="14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1</a:t>
              </a:r>
              <a:r>
                <a:rPr lang="zh-CN" altLang="en-US" sz="1200" b="1" i="0" u="none" strike="noStrike" baseline="0">
                  <a:solidFill>
                    <a:srgbClr val="000000"/>
                  </a:solidFill>
                  <a:latin typeface="宋体"/>
                  <a:ea typeface="宋体"/>
                </a:rPr>
                <a:t>题（</a:t>
              </a:r>
              <a:r>
                <a:rPr lang="en-US" altLang="zh-CN" sz="1200" b="1" i="0" u="none" strike="noStrike" baseline="0">
                  <a:solidFill>
                    <a:srgbClr val="000000"/>
                  </a:solidFill>
                  <a:latin typeface="宋体"/>
                  <a:ea typeface="宋体"/>
                </a:rPr>
                <a:t>13</a:t>
              </a:r>
              <a:r>
                <a:rPr lang="zh-CN" altLang="en-US" sz="1200" b="1" i="0" u="none" strike="noStrike" baseline="0">
                  <a:solidFill>
                    <a:srgbClr val="000000"/>
                  </a:solidFill>
                  <a:latin typeface="宋体"/>
                  <a:ea typeface="宋体"/>
                </a:rPr>
                <a:t>分）</a:t>
              </a:r>
              <a:r>
                <a:rPr lang="zh-CN" altLang="en-US" sz="1200" b="0" i="0" u="none" strike="noStrike" baseline="0">
                  <a:solidFill>
                    <a:srgbClr val="000000"/>
                  </a:solidFill>
                  <a:latin typeface="宋体"/>
                  <a:ea typeface="宋体"/>
                  <a:cs typeface="+mn-cs"/>
                </a:rPr>
                <a:t>某建设项目年设计生产能力</a:t>
              </a:r>
              <a:r>
                <a:rPr lang="en-US" altLang="zh-CN" sz="1200" b="0" i="0" u="none" strike="noStrike" baseline="0">
                  <a:solidFill>
                    <a:srgbClr val="000000"/>
                  </a:solidFill>
                  <a:latin typeface="宋体"/>
                  <a:ea typeface="宋体"/>
                  <a:cs typeface="+mn-cs"/>
                </a:rPr>
                <a:t>8</a:t>
              </a:r>
              <a:r>
                <a:rPr lang="zh-CN" altLang="en-US" sz="1200" b="0" i="0" u="none" strike="noStrike" baseline="0">
                  <a:solidFill>
                    <a:srgbClr val="000000"/>
                  </a:solidFill>
                  <a:latin typeface="宋体"/>
                  <a:ea typeface="宋体"/>
                  <a:cs typeface="+mn-cs"/>
                </a:rPr>
                <a:t>万台，年固定成本</a:t>
              </a:r>
              <a:r>
                <a:rPr lang="en-US" altLang="zh-CN" sz="1200" b="0" i="0" u="none" strike="noStrike" baseline="0">
                  <a:solidFill>
                    <a:srgbClr val="000000"/>
                  </a:solidFill>
                  <a:latin typeface="宋体"/>
                  <a:ea typeface="宋体"/>
                  <a:cs typeface="+mn-cs"/>
                </a:rPr>
                <a:t>1000</a:t>
              </a:r>
              <a:r>
                <a:rPr lang="zh-CN" altLang="en-US" sz="1200" b="0" i="0" u="none" strike="noStrike" baseline="0">
                  <a:solidFill>
                    <a:srgbClr val="000000"/>
                  </a:solidFill>
                  <a:latin typeface="宋体"/>
                  <a:ea typeface="宋体"/>
                  <a:cs typeface="+mn-cs"/>
                </a:rPr>
                <a:t>万元，预计产品单台售价</a:t>
              </a:r>
              <a:r>
                <a:rPr lang="en-US" altLang="zh-CN" sz="1200" b="0" i="0" u="none" strike="noStrike" baseline="0">
                  <a:solidFill>
                    <a:srgbClr val="000000"/>
                  </a:solidFill>
                  <a:latin typeface="宋体"/>
                  <a:ea typeface="宋体"/>
                  <a:cs typeface="+mn-cs"/>
                </a:rPr>
                <a:t>500</a:t>
              </a:r>
              <a:r>
                <a:rPr lang="zh-CN" altLang="en-US" sz="1200" b="0" i="0" u="none" strike="noStrike" baseline="0">
                  <a:solidFill>
                    <a:srgbClr val="000000"/>
                  </a:solidFill>
                  <a:latin typeface="宋体"/>
                  <a:ea typeface="宋体"/>
                  <a:cs typeface="+mn-cs"/>
                </a:rPr>
                <a:t>元，单台产品可变成本</a:t>
              </a:r>
              <a:r>
                <a:rPr lang="en-US" altLang="zh-CN" sz="1200" b="0" i="0" u="none" strike="noStrike" baseline="0">
                  <a:solidFill>
                    <a:srgbClr val="000000"/>
                  </a:solidFill>
                  <a:latin typeface="宋体"/>
                  <a:ea typeface="宋体"/>
                  <a:cs typeface="+mn-cs"/>
                </a:rPr>
                <a:t>275</a:t>
              </a:r>
              <a:r>
                <a:rPr lang="zh-CN" altLang="en-US" sz="1200" b="0" i="0" u="none" strike="noStrike" baseline="0">
                  <a:solidFill>
                    <a:srgbClr val="000000"/>
                  </a:solidFill>
                  <a:latin typeface="宋体"/>
                  <a:ea typeface="宋体"/>
                  <a:cs typeface="+mn-cs"/>
                </a:rPr>
                <a:t>元，单台产品销售税金及附加为销售单价的</a:t>
              </a:r>
              <a:r>
                <a:rPr lang="en-US" altLang="zh-CN" sz="1200" b="0" i="0" u="none" strike="noStrike" baseline="0">
                  <a:solidFill>
                    <a:srgbClr val="000000"/>
                  </a:solidFill>
                  <a:latin typeface="宋体"/>
                  <a:ea typeface="宋体"/>
                  <a:cs typeface="+mn-cs"/>
                </a:rPr>
                <a:t>5%</a:t>
              </a:r>
              <a:r>
                <a:rPr lang="zh-CN" altLang="en-US" sz="1200" b="0" i="0" u="none" strike="noStrike" baseline="0">
                  <a:solidFill>
                    <a:srgbClr val="000000"/>
                  </a:solidFill>
                  <a:latin typeface="宋体"/>
                  <a:ea typeface="宋体"/>
                </a:rPr>
                <a:t>，公司管理层需要建立一个决策模型用于盈亏平衡分析，模型应包含以下功能：</a:t>
              </a:r>
            </a:p>
            <a:p>
              <a:pPr algn="l" rtl="0">
                <a:lnSpc>
                  <a:spcPts val="1500"/>
                </a:lnSpc>
                <a:defRPr sz="1000"/>
              </a:pP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、计算单位边际贡献及边际贡献率；</a:t>
              </a:r>
            </a:p>
            <a:p>
              <a:pPr algn="l" rtl="0">
                <a:lnSpc>
                  <a:spcPts val="1400"/>
                </a:lnSpc>
                <a:defRPr sz="1000"/>
              </a:pP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、计算销售收益、总成本及利润；</a:t>
              </a:r>
            </a:p>
            <a:p>
              <a:pPr algn="l" rtl="0">
                <a:lnSpc>
                  <a:spcPts val="1500"/>
                </a:lnSpc>
                <a:defRPr sz="1000"/>
              </a:pPr>
              <a:r>
                <a:rPr lang="en-US" altLang="zh-CN" sz="1200" b="0" i="0" u="none" strike="noStrike" baseline="0">
                  <a:solidFill>
                    <a:srgbClr val="000000"/>
                  </a:solidFill>
                  <a:latin typeface="宋体"/>
                  <a:ea typeface="宋体"/>
                </a:rPr>
                <a:t>3</a:t>
              </a:r>
              <a:r>
                <a:rPr lang="zh-CN" altLang="en-US" sz="1200" b="0" i="0" u="none" strike="noStrike" baseline="0">
                  <a:solidFill>
                    <a:srgbClr val="000000"/>
                  </a:solidFill>
                  <a:latin typeface="宋体"/>
                  <a:ea typeface="宋体"/>
                </a:rPr>
                <a:t>、计算盈亏平衡产量及盈亏平衡销售收益。</a:t>
              </a:r>
              <a:endParaRPr lang="en-US" altLang="zh-CN" sz="1200" b="0" i="0" u="none" strike="noStrike" baseline="0">
                <a:solidFill>
                  <a:srgbClr val="000000"/>
                </a:solidFill>
                <a:latin typeface="宋体"/>
                <a:ea typeface="宋体"/>
              </a:endParaRPr>
            </a:p>
            <a:p>
              <a:pPr algn="l" rtl="0">
                <a:lnSpc>
                  <a:spcPts val="1500"/>
                </a:lnSpc>
                <a:defRPr sz="1000"/>
              </a:pPr>
              <a:r>
                <a:rPr lang="en-US" altLang="zh-CN" sz="1200" b="0" i="0" u="none" strike="noStrike" baseline="0">
                  <a:solidFill>
                    <a:srgbClr val="000000"/>
                  </a:solidFill>
                  <a:latin typeface="宋体"/>
                  <a:ea typeface="宋体"/>
                </a:rPr>
                <a:t>4</a:t>
              </a:r>
              <a:r>
                <a:rPr lang="zh-CN" altLang="en-US" sz="1200" b="0" i="0" u="none" strike="noStrike" baseline="0">
                  <a:solidFill>
                    <a:srgbClr val="000000"/>
                  </a:solidFill>
                  <a:latin typeface="宋体"/>
                  <a:ea typeface="宋体"/>
                </a:rPr>
                <a:t>、画出如下图所示图形，其中数值调节钮的范围为</a:t>
              </a:r>
              <a:r>
                <a:rPr lang="en-US" altLang="zh-CN" sz="1200" b="0" i="0" u="none" strike="noStrike" baseline="0">
                  <a:solidFill>
                    <a:srgbClr val="000000"/>
                  </a:solidFill>
                  <a:latin typeface="宋体"/>
                  <a:ea typeface="宋体"/>
                </a:rPr>
                <a:t>10000-80000</a:t>
              </a:r>
              <a:r>
                <a:rPr lang="zh-CN" altLang="en-US" sz="1200" b="0" i="0" u="none" strike="noStrike" baseline="0">
                  <a:solidFill>
                    <a:srgbClr val="000000"/>
                  </a:solidFill>
                  <a:latin typeface="宋体"/>
                  <a:ea typeface="宋体"/>
                </a:rPr>
                <a:t>，步长为</a:t>
              </a:r>
              <a:r>
                <a:rPr lang="en-US" altLang="zh-CN" sz="1200" b="0" i="0" u="none" strike="noStrike" baseline="0">
                  <a:solidFill>
                    <a:srgbClr val="000000"/>
                  </a:solidFill>
                  <a:latin typeface="宋体"/>
                  <a:ea typeface="宋体"/>
                </a:rPr>
                <a:t>1000</a:t>
              </a:r>
              <a:r>
                <a:rPr lang="zh-CN" altLang="en-US" sz="1200" b="0" i="0" u="none" strike="noStrike" baseline="0">
                  <a:solidFill>
                    <a:srgbClr val="000000"/>
                  </a:solidFill>
                  <a:latin typeface="宋体"/>
                  <a:ea typeface="宋体"/>
                </a:rPr>
                <a:t>。</a:t>
              </a:r>
            </a:p>
          </xdr:txBody>
        </xdr:sp>
        <xdr:pic>
          <xdr:nvPicPr>
            <xdr:cNvPr id="6" name="图片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7625" y="1552575"/>
              <a:ext cx="6305550" cy="3495675"/>
            </a:xfrm>
            <a:prstGeom prst="rect">
              <a:avLst/>
            </a:prstGeom>
            <a:extLst/>
          </xdr:spPr>
          <xdr:style>
            <a:lnRef idx="1">
              <a:schemeClr val="accent6"/>
            </a:lnRef>
            <a:fillRef idx="2">
              <a:schemeClr val="accent6"/>
            </a:fillRef>
            <a:effectRef idx="1">
              <a:schemeClr val="accent6"/>
            </a:effectRef>
            <a:fontRef idx="minor">
              <a:schemeClr val="dk1"/>
            </a:fontRef>
          </xdr:style>
        </xdr:pic>
      </xdr:grpSp>
      <xdr:sp macro="" textlink="">
        <xdr:nvSpPr>
          <xdr:cNvPr id="4" name="TextBox 3"/>
          <xdr:cNvSpPr txBox="1"/>
        </xdr:nvSpPr>
        <xdr:spPr>
          <a:xfrm>
            <a:off x="9477375" y="4438650"/>
            <a:ext cx="552450" cy="28575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zh-CN" altLang="en-US" sz="1100"/>
              <a:t>销量</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25645</xdr:colOff>
      <xdr:row>10</xdr:row>
      <xdr:rowOff>9525</xdr:rowOff>
    </xdr:from>
    <xdr:to>
      <xdr:col>9</xdr:col>
      <xdr:colOff>295275</xdr:colOff>
      <xdr:row>16</xdr:row>
      <xdr:rowOff>209550</xdr:rowOff>
    </xdr:to>
    <xdr:sp macro="" textlink="">
      <xdr:nvSpPr>
        <xdr:cNvPr id="2" name="TextBox 1"/>
        <xdr:cNvSpPr txBox="1"/>
      </xdr:nvSpPr>
      <xdr:spPr>
        <a:xfrm>
          <a:off x="3768970" y="2390775"/>
          <a:ext cx="4613030" cy="162877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zh-CN" altLang="zh-CN" sz="1100" b="1">
              <a:solidFill>
                <a:schemeClr val="dk1"/>
              </a:solidFill>
              <a:effectLst/>
              <a:latin typeface="+mn-lt"/>
              <a:ea typeface="+mn-ea"/>
              <a:cs typeface="+mn-cs"/>
            </a:rPr>
            <a:t>第</a:t>
          </a:r>
          <a:r>
            <a:rPr lang="en-US" altLang="zh-CN" sz="1100" b="1">
              <a:solidFill>
                <a:schemeClr val="dk1"/>
              </a:solidFill>
              <a:effectLst/>
              <a:latin typeface="+mn-lt"/>
              <a:ea typeface="+mn-ea"/>
              <a:cs typeface="+mn-cs"/>
            </a:rPr>
            <a:t>2</a:t>
          </a:r>
          <a:r>
            <a:rPr lang="zh-CN" altLang="zh-CN" sz="1100" b="1">
              <a:solidFill>
                <a:schemeClr val="dk1"/>
              </a:solidFill>
              <a:effectLst/>
              <a:latin typeface="+mn-lt"/>
              <a:ea typeface="+mn-ea"/>
              <a:cs typeface="+mn-cs"/>
            </a:rPr>
            <a:t>题</a:t>
          </a:r>
          <a:r>
            <a:rPr lang="zh-CN" altLang="zh-CN" sz="1100" b="1">
              <a:solidFill>
                <a:srgbClr val="FF0000"/>
              </a:solidFill>
              <a:effectLst/>
              <a:latin typeface="+mn-lt"/>
              <a:ea typeface="+mn-ea"/>
              <a:cs typeface="+mn-cs"/>
            </a:rPr>
            <a:t>（</a:t>
          </a:r>
          <a:r>
            <a:rPr lang="en-US" altLang="zh-CN" sz="1100" b="1">
              <a:solidFill>
                <a:srgbClr val="FF0000"/>
              </a:solidFill>
              <a:effectLst/>
              <a:latin typeface="+mn-lt"/>
              <a:ea typeface="+mn-ea"/>
              <a:cs typeface="+mn-cs"/>
            </a:rPr>
            <a:t>8</a:t>
          </a:r>
          <a:r>
            <a:rPr lang="zh-CN" altLang="zh-CN" sz="1100" b="1">
              <a:solidFill>
                <a:srgbClr val="FF0000"/>
              </a:solidFill>
              <a:effectLst/>
              <a:latin typeface="+mn-lt"/>
              <a:ea typeface="+mn-ea"/>
              <a:cs typeface="+mn-cs"/>
            </a:rPr>
            <a:t>分）  </a:t>
          </a:r>
          <a:r>
            <a:rPr lang="zh-CN" altLang="zh-CN" sz="1100" b="0">
              <a:solidFill>
                <a:schemeClr val="dk1"/>
              </a:solidFill>
              <a:effectLst/>
              <a:latin typeface="+mn-lt"/>
              <a:ea typeface="+mn-ea"/>
              <a:cs typeface="+mn-cs"/>
            </a:rPr>
            <a:t>某公司需要一种</a:t>
          </a:r>
          <a:r>
            <a:rPr lang="zh-CN" altLang="en-US" sz="1100" b="0">
              <a:solidFill>
                <a:schemeClr val="dk1"/>
              </a:solidFill>
              <a:effectLst/>
              <a:latin typeface="+mn-lt"/>
              <a:ea typeface="+mn-ea"/>
              <a:cs typeface="+mn-cs"/>
            </a:rPr>
            <a:t>产品</a:t>
          </a:r>
          <a:r>
            <a:rPr lang="zh-CN" altLang="zh-CN" sz="1100" b="0">
              <a:solidFill>
                <a:schemeClr val="dk1"/>
              </a:solidFill>
              <a:effectLst/>
              <a:latin typeface="+mn-lt"/>
              <a:ea typeface="+mn-ea"/>
              <a:cs typeface="+mn-cs"/>
            </a:rPr>
            <a:t>，有自制和外购两种方案可供选择。自制</a:t>
          </a:r>
          <a:r>
            <a:rPr lang="zh-CN" altLang="zh-CN" sz="1100">
              <a:solidFill>
                <a:schemeClr val="dk1"/>
              </a:solidFill>
              <a:effectLst/>
              <a:latin typeface="+mn-lt"/>
              <a:ea typeface="+mn-ea"/>
              <a:cs typeface="+mn-cs"/>
            </a:rPr>
            <a:t>的固定成本和单位可变成本分别为</a:t>
          </a:r>
          <a:r>
            <a:rPr lang="en-US" altLang="zh-CN" sz="1100">
              <a:solidFill>
                <a:schemeClr val="dk1"/>
              </a:solidFill>
              <a:effectLst/>
              <a:latin typeface="+mn-lt"/>
              <a:ea typeface="+mn-ea"/>
              <a:cs typeface="+mn-cs"/>
            </a:rPr>
            <a:t>45000</a:t>
          </a:r>
          <a:r>
            <a:rPr lang="zh-CN" altLang="zh-CN" sz="1100">
              <a:solidFill>
                <a:schemeClr val="dk1"/>
              </a:solidFill>
              <a:effectLst/>
              <a:latin typeface="+mn-lt"/>
              <a:ea typeface="+mn-ea"/>
              <a:cs typeface="+mn-cs"/>
            </a:rPr>
            <a:t>元和</a:t>
          </a:r>
          <a:r>
            <a:rPr lang="en-US" altLang="zh-CN" sz="1100">
              <a:solidFill>
                <a:schemeClr val="dk1"/>
              </a:solidFill>
              <a:effectLst/>
              <a:latin typeface="+mn-lt"/>
              <a:ea typeface="+mn-ea"/>
              <a:cs typeface="+mn-cs"/>
            </a:rPr>
            <a:t>6</a:t>
          </a:r>
          <a:r>
            <a:rPr lang="zh-CN" altLang="zh-CN" sz="1100">
              <a:solidFill>
                <a:schemeClr val="dk1"/>
              </a:solidFill>
              <a:effectLst/>
              <a:latin typeface="+mn-lt"/>
              <a:ea typeface="+mn-ea"/>
              <a:cs typeface="+mn-cs"/>
            </a:rPr>
            <a:t>元</a:t>
          </a:r>
          <a:r>
            <a:rPr lang="zh-CN" altLang="en-US" sz="1100">
              <a:solidFill>
                <a:schemeClr val="dk1"/>
              </a:solidFill>
              <a:effectLst/>
              <a:latin typeface="+mn-lt"/>
              <a:ea typeface="+mn-ea"/>
              <a:cs typeface="+mn-cs"/>
            </a:rPr>
            <a:t>；</a:t>
          </a:r>
          <a:r>
            <a:rPr lang="zh-CN" altLang="zh-CN" sz="1100">
              <a:solidFill>
                <a:schemeClr val="dk1"/>
              </a:solidFill>
              <a:effectLst/>
              <a:latin typeface="+mn-lt"/>
              <a:ea typeface="+mn-ea"/>
              <a:cs typeface="+mn-cs"/>
            </a:rPr>
            <a:t>外购</a:t>
          </a:r>
          <a:r>
            <a:rPr lang="zh-CN" altLang="en-US" sz="1100">
              <a:solidFill>
                <a:schemeClr val="dk1"/>
              </a:solidFill>
              <a:effectLst/>
              <a:latin typeface="+mn-lt"/>
              <a:ea typeface="+mn-ea"/>
              <a:cs typeface="+mn-cs"/>
            </a:rPr>
            <a:t>时产品单</a:t>
          </a:r>
          <a:r>
            <a:rPr lang="zh-CN" altLang="zh-CN" sz="1100">
              <a:solidFill>
                <a:schemeClr val="dk1"/>
              </a:solidFill>
              <a:effectLst/>
              <a:latin typeface="+mn-lt"/>
              <a:ea typeface="+mn-ea"/>
              <a:cs typeface="+mn-cs"/>
            </a:rPr>
            <a:t>价为</a:t>
          </a:r>
          <a:r>
            <a:rPr lang="en-US" altLang="zh-CN" sz="1100">
              <a:solidFill>
                <a:schemeClr val="dk1"/>
              </a:solidFill>
              <a:effectLst/>
              <a:latin typeface="+mn-lt"/>
              <a:ea typeface="+mn-ea"/>
              <a:cs typeface="+mn-cs"/>
            </a:rPr>
            <a:t>8</a:t>
          </a:r>
          <a:r>
            <a:rPr lang="zh-CN" altLang="zh-CN" sz="1100">
              <a:solidFill>
                <a:schemeClr val="dk1"/>
              </a:solidFill>
              <a:effectLst/>
              <a:latin typeface="+mn-lt"/>
              <a:ea typeface="+mn-ea"/>
              <a:cs typeface="+mn-cs"/>
            </a:rPr>
            <a:t>元</a:t>
          </a:r>
          <a:r>
            <a:rPr lang="en-US" altLang="zh-CN" sz="1100">
              <a:solidFill>
                <a:schemeClr val="dk1"/>
              </a:solidFill>
              <a:effectLst/>
              <a:latin typeface="+mn-lt"/>
              <a:ea typeface="+mn-ea"/>
              <a:cs typeface="+mn-cs"/>
            </a:rPr>
            <a:t>/</a:t>
          </a:r>
          <a:r>
            <a:rPr lang="zh-CN" altLang="zh-CN" sz="1100">
              <a:solidFill>
                <a:schemeClr val="dk1"/>
              </a:solidFill>
              <a:effectLst/>
              <a:latin typeface="+mn-lt"/>
              <a:ea typeface="+mn-ea"/>
              <a:cs typeface="+mn-cs"/>
            </a:rPr>
            <a:t>件</a:t>
          </a:r>
          <a:r>
            <a:rPr lang="zh-CN" altLang="en-US" sz="1100">
              <a:solidFill>
                <a:schemeClr val="dk1"/>
              </a:solidFill>
              <a:effectLst/>
              <a:latin typeface="+mn-lt"/>
              <a:ea typeface="+mn-ea"/>
              <a:cs typeface="+mn-cs"/>
            </a:rPr>
            <a:t>。假设把该产品经过简单的加工之后再买出去，市场的销售单价为</a:t>
          </a:r>
          <a:r>
            <a:rPr lang="en-US" altLang="zh-CN" sz="1100">
              <a:solidFill>
                <a:schemeClr val="dk1"/>
              </a:solidFill>
              <a:effectLst/>
              <a:latin typeface="+mn-lt"/>
              <a:ea typeface="+mn-ea"/>
              <a:cs typeface="+mn-cs"/>
            </a:rPr>
            <a:t>20</a:t>
          </a:r>
          <a:r>
            <a:rPr lang="zh-CN" altLang="en-US" sz="1100">
              <a:solidFill>
                <a:schemeClr val="dk1"/>
              </a:solidFill>
              <a:effectLst/>
              <a:latin typeface="+mn-lt"/>
              <a:ea typeface="+mn-ea"/>
              <a:cs typeface="+mn-cs"/>
            </a:rPr>
            <a:t>元</a:t>
          </a:r>
          <a:r>
            <a:rPr lang="en-US" altLang="zh-CN" sz="1100">
              <a:solidFill>
                <a:schemeClr val="dk1"/>
              </a:solidFill>
              <a:effectLst/>
              <a:latin typeface="+mn-lt"/>
              <a:ea typeface="+mn-ea"/>
              <a:cs typeface="+mn-cs"/>
            </a:rPr>
            <a:t>/</a:t>
          </a:r>
          <a:r>
            <a:rPr lang="zh-CN" altLang="en-US" sz="1100">
              <a:solidFill>
                <a:schemeClr val="dk1"/>
              </a:solidFill>
              <a:effectLst/>
              <a:latin typeface="+mn-lt"/>
              <a:ea typeface="+mn-ea"/>
              <a:cs typeface="+mn-cs"/>
            </a:rPr>
            <a:t>件。在产品当前销量可以达到</a:t>
          </a:r>
          <a:r>
            <a:rPr lang="en-US" altLang="zh-CN" sz="1100">
              <a:solidFill>
                <a:schemeClr val="dk1"/>
              </a:solidFill>
              <a:effectLst/>
              <a:latin typeface="+mn-lt"/>
              <a:ea typeface="+mn-ea"/>
              <a:cs typeface="+mn-cs"/>
            </a:rPr>
            <a:t>50000</a:t>
          </a:r>
          <a:r>
            <a:rPr lang="zh-CN" altLang="en-US" sz="1100">
              <a:solidFill>
                <a:schemeClr val="dk1"/>
              </a:solidFill>
              <a:effectLst/>
              <a:latin typeface="+mn-lt"/>
              <a:ea typeface="+mn-ea"/>
              <a:cs typeface="+mn-cs"/>
            </a:rPr>
            <a:t>件的情况下，试在本工作表中完成如下操作</a:t>
          </a:r>
          <a:r>
            <a:rPr lang="zh-CN" altLang="zh-CN" sz="1100">
              <a:solidFill>
                <a:schemeClr val="dk1"/>
              </a:solidFill>
              <a:effectLst/>
              <a:latin typeface="+mn-lt"/>
              <a:ea typeface="+mn-ea"/>
              <a:cs typeface="+mn-cs"/>
            </a:rPr>
            <a:t>：</a:t>
          </a:r>
          <a:endParaRPr lang="zh-CN" altLang="zh-CN" sz="1100">
            <a:effectLst/>
          </a:endParaRPr>
        </a:p>
        <a:p>
          <a:r>
            <a:rPr lang="en-US" altLang="zh-CN" sz="1100">
              <a:solidFill>
                <a:schemeClr val="dk1"/>
              </a:solidFill>
              <a:effectLst/>
              <a:latin typeface="+mn-lt"/>
              <a:ea typeface="+mn-ea"/>
              <a:cs typeface="+mn-cs"/>
            </a:rPr>
            <a:t>1</a:t>
          </a:r>
          <a:r>
            <a:rPr lang="zh-CN" altLang="zh-CN" sz="1100">
              <a:solidFill>
                <a:schemeClr val="dk1"/>
              </a:solidFill>
              <a:effectLst/>
              <a:latin typeface="+mn-lt"/>
              <a:ea typeface="+mn-ea"/>
              <a:cs typeface="+mn-cs"/>
            </a:rPr>
            <a:t>、计算</a:t>
          </a:r>
          <a:r>
            <a:rPr lang="zh-CN" altLang="zh-CN" sz="1100" b="0">
              <a:solidFill>
                <a:schemeClr val="dk1"/>
              </a:solidFill>
              <a:effectLst/>
              <a:latin typeface="+mn-lt"/>
              <a:ea typeface="+mn-ea"/>
              <a:cs typeface="+mn-cs"/>
            </a:rPr>
            <a:t>自制和外购两种方案</a:t>
          </a:r>
          <a:r>
            <a:rPr lang="zh-CN" altLang="zh-CN" sz="1100">
              <a:solidFill>
                <a:schemeClr val="dk1"/>
              </a:solidFill>
              <a:effectLst/>
              <a:latin typeface="+mn-lt"/>
              <a:ea typeface="+mn-ea"/>
              <a:cs typeface="+mn-cs"/>
            </a:rPr>
            <a:t>的总成本和利润。</a:t>
          </a:r>
          <a:endParaRPr lang="zh-CN" altLang="zh-CN" sz="1100">
            <a:effectLst/>
          </a:endParaRPr>
        </a:p>
        <a:p>
          <a:r>
            <a:rPr lang="en-US" altLang="zh-CN" sz="1100">
              <a:solidFill>
                <a:schemeClr val="dk1"/>
              </a:solidFill>
              <a:effectLst/>
              <a:latin typeface="+mn-lt"/>
              <a:ea typeface="+mn-ea"/>
              <a:cs typeface="+mn-cs"/>
            </a:rPr>
            <a:t>2</a:t>
          </a:r>
          <a:r>
            <a:rPr lang="zh-CN" altLang="zh-CN" sz="1100">
              <a:solidFill>
                <a:schemeClr val="dk1"/>
              </a:solidFill>
              <a:effectLst/>
              <a:latin typeface="+mn-lt"/>
              <a:ea typeface="+mn-ea"/>
              <a:cs typeface="+mn-cs"/>
            </a:rPr>
            <a:t>、计算两</a:t>
          </a:r>
          <a:r>
            <a:rPr lang="zh-CN" altLang="en-US" sz="1100">
              <a:solidFill>
                <a:schemeClr val="dk1"/>
              </a:solidFill>
              <a:effectLst/>
              <a:latin typeface="+mn-lt"/>
              <a:ea typeface="+mn-ea"/>
              <a:cs typeface="+mn-cs"/>
            </a:rPr>
            <a:t>种方案</a:t>
          </a:r>
          <a:r>
            <a:rPr lang="zh-CN" altLang="zh-CN" sz="1100">
              <a:solidFill>
                <a:schemeClr val="dk1"/>
              </a:solidFill>
              <a:effectLst/>
              <a:latin typeface="+mn-lt"/>
              <a:ea typeface="+mn-ea"/>
              <a:cs typeface="+mn-cs"/>
            </a:rPr>
            <a:t>的相对盈亏平衡点和相对盈亏平衡点处的利润。</a:t>
          </a:r>
          <a:endParaRPr lang="zh-CN" altLang="zh-CN" sz="1100">
            <a:effectLst/>
          </a:endParaRPr>
        </a:p>
        <a:p>
          <a:pPr rtl="0"/>
          <a:r>
            <a:rPr lang="en-US" altLang="zh-CN" sz="1100">
              <a:solidFill>
                <a:schemeClr val="dk1"/>
              </a:solidFill>
              <a:effectLst/>
              <a:latin typeface="+mn-lt"/>
              <a:ea typeface="+mn-ea"/>
              <a:cs typeface="+mn-cs"/>
            </a:rPr>
            <a:t>3</a:t>
          </a:r>
          <a:r>
            <a:rPr lang="zh-CN" altLang="zh-CN" sz="1100">
              <a:solidFill>
                <a:schemeClr val="dk1"/>
              </a:solidFill>
              <a:effectLst/>
              <a:latin typeface="+mn-lt"/>
              <a:ea typeface="+mn-ea"/>
              <a:cs typeface="+mn-cs"/>
            </a:rPr>
            <a:t>、</a:t>
          </a:r>
          <a:r>
            <a:rPr lang="zh-CN" altLang="zh-CN" sz="1100" b="0" i="0" baseline="0">
              <a:solidFill>
                <a:schemeClr val="dk1"/>
              </a:solidFill>
              <a:effectLst/>
              <a:latin typeface="+mn-lt"/>
              <a:ea typeface="+mn-ea"/>
              <a:cs typeface="+mn-cs"/>
            </a:rPr>
            <a:t>给出决策结论：“最佳方案是自制”或“最佳方案是购买”。</a:t>
          </a:r>
          <a:endParaRPr lang="zh-CN" altLang="zh-CN">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504829</xdr:colOff>
      <xdr:row>1</xdr:row>
      <xdr:rowOff>66675</xdr:rowOff>
    </xdr:from>
    <xdr:to>
      <xdr:col>15</xdr:col>
      <xdr:colOff>247651</xdr:colOff>
      <xdr:row>52</xdr:row>
      <xdr:rowOff>161925</xdr:rowOff>
    </xdr:to>
    <xdr:grpSp>
      <xdr:nvGrpSpPr>
        <xdr:cNvPr id="2" name="组合 1"/>
        <xdr:cNvGrpSpPr/>
      </xdr:nvGrpSpPr>
      <xdr:grpSpPr>
        <a:xfrm>
          <a:off x="4019554" y="238125"/>
          <a:ext cx="6600822" cy="8858250"/>
          <a:chOff x="12468227" y="419100"/>
          <a:chExt cx="5484806" cy="8858250"/>
        </a:xfrm>
      </xdr:grpSpPr>
      <xdr:sp macro="" textlink="">
        <xdr:nvSpPr>
          <xdr:cNvPr id="3" name="Text Box 1"/>
          <xdr:cNvSpPr txBox="1">
            <a:spLocks noChangeArrowheads="1"/>
          </xdr:cNvSpPr>
        </xdr:nvSpPr>
        <xdr:spPr bwMode="auto">
          <a:xfrm>
            <a:off x="12468227" y="419100"/>
            <a:ext cx="5484806" cy="8858250"/>
          </a:xfrm>
          <a:prstGeom prst="rect">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82800" tIns="82800" rIns="90000" bIns="46800" anchor="t"/>
          <a:lstStyle/>
          <a:p>
            <a:pPr rtl="0"/>
            <a:r>
              <a:rPr lang="zh-CN" altLang="en-US" sz="1100" b="1" i="0" u="none" strike="noStrike" baseline="0">
                <a:solidFill>
                  <a:srgbClr val="000000"/>
                </a:solidFill>
                <a:latin typeface="+mn-ea"/>
                <a:ea typeface="+mn-ea"/>
              </a:rPr>
              <a:t>第</a:t>
            </a:r>
            <a:r>
              <a:rPr lang="en-US" altLang="zh-CN" sz="1100" b="1" i="0" u="none" strike="noStrike" baseline="0">
                <a:solidFill>
                  <a:srgbClr val="000000"/>
                </a:solidFill>
                <a:latin typeface="+mn-ea"/>
                <a:ea typeface="+mn-ea"/>
                <a:cs typeface="Arial"/>
              </a:rPr>
              <a:t>3</a:t>
            </a:r>
            <a:r>
              <a:rPr lang="zh-CN" altLang="en-US" sz="1100" b="1" i="0" u="none" strike="noStrike" baseline="0">
                <a:solidFill>
                  <a:srgbClr val="000000"/>
                </a:solidFill>
                <a:latin typeface="+mn-ea"/>
                <a:ea typeface="+mn-ea"/>
              </a:rPr>
              <a:t>题（</a:t>
            </a:r>
            <a:r>
              <a:rPr lang="en-US" altLang="zh-CN" sz="1100" b="1" i="0" u="none" strike="noStrike" baseline="0">
                <a:solidFill>
                  <a:srgbClr val="000000"/>
                </a:solidFill>
                <a:latin typeface="+mn-ea"/>
                <a:ea typeface="+mn-ea"/>
              </a:rPr>
              <a:t>1</a:t>
            </a:r>
            <a:r>
              <a:rPr lang="en-US" altLang="zh-CN" sz="1100" b="1" i="0" u="none" strike="noStrike" baseline="0">
                <a:solidFill>
                  <a:srgbClr val="000000"/>
                </a:solidFill>
                <a:latin typeface="+mn-ea"/>
                <a:ea typeface="+mn-ea"/>
                <a:cs typeface="Arial"/>
              </a:rPr>
              <a:t>5</a:t>
            </a:r>
            <a:r>
              <a:rPr lang="zh-CN" altLang="en-US" sz="1100" b="1" i="0" u="none" strike="noStrike" baseline="0">
                <a:solidFill>
                  <a:srgbClr val="000000"/>
                </a:solidFill>
                <a:latin typeface="+mn-ea"/>
                <a:ea typeface="+mn-ea"/>
              </a:rPr>
              <a:t>分）</a:t>
            </a:r>
            <a:r>
              <a:rPr lang="zh-CN" altLang="zh-CN" sz="1100" b="0" i="0" baseline="0">
                <a:solidFill>
                  <a:schemeClr val="dk1"/>
                </a:solidFill>
                <a:effectLst/>
                <a:latin typeface="+mn-ea"/>
                <a:ea typeface="+mn-ea"/>
                <a:cs typeface="+mn-cs"/>
              </a:rPr>
              <a:t>一个加油站每年售出</a:t>
            </a:r>
            <a:r>
              <a:rPr lang="en-US" altLang="zh-CN" sz="1100" b="0" i="0" baseline="0">
                <a:solidFill>
                  <a:schemeClr val="dk1"/>
                </a:solidFill>
                <a:effectLst/>
                <a:latin typeface="+mn-ea"/>
                <a:ea typeface="+mn-ea"/>
                <a:cs typeface="+mn-cs"/>
              </a:rPr>
              <a:t>46000</a:t>
            </a:r>
            <a:r>
              <a:rPr lang="zh-CN" altLang="zh-CN" sz="1100" b="0" i="0" baseline="0">
                <a:solidFill>
                  <a:schemeClr val="dk1"/>
                </a:solidFill>
                <a:effectLst/>
                <a:latin typeface="+mn-ea"/>
                <a:ea typeface="+mn-ea"/>
                <a:cs typeface="+mn-cs"/>
              </a:rPr>
              <a:t>加仑汽油，加油站在每次汽油售完时要求供油公司补充供应同一数量的汽油。每次供油公司来补充供油时加油站要支付</a:t>
            </a:r>
            <a:r>
              <a:rPr lang="en-US" altLang="zh-CN" sz="1100" b="0" i="0" baseline="0">
                <a:solidFill>
                  <a:schemeClr val="dk1"/>
                </a:solidFill>
                <a:effectLst/>
                <a:latin typeface="+mn-ea"/>
                <a:ea typeface="+mn-ea"/>
                <a:cs typeface="+mn-cs"/>
              </a:rPr>
              <a:t>25</a:t>
            </a:r>
            <a:r>
              <a:rPr lang="zh-CN" altLang="zh-CN" sz="1100" b="0" i="0" baseline="0">
                <a:solidFill>
                  <a:schemeClr val="dk1"/>
                </a:solidFill>
                <a:effectLst/>
                <a:latin typeface="+mn-ea"/>
                <a:ea typeface="+mn-ea"/>
                <a:cs typeface="+mn-cs"/>
              </a:rPr>
              <a:t>元固定供油成本，</a:t>
            </a:r>
            <a:r>
              <a:rPr lang="en-US" altLang="zh-CN" sz="1100" b="0" i="0" baseline="0">
                <a:solidFill>
                  <a:schemeClr val="dk1"/>
                </a:solidFill>
                <a:effectLst/>
                <a:latin typeface="+mn-ea"/>
                <a:ea typeface="+mn-ea"/>
                <a:cs typeface="+mn-cs"/>
              </a:rPr>
              <a:t>1</a:t>
            </a:r>
            <a:r>
              <a:rPr lang="zh-CN" altLang="zh-CN" sz="1100" b="0" i="0" baseline="0">
                <a:solidFill>
                  <a:schemeClr val="dk1"/>
                </a:solidFill>
                <a:effectLst/>
                <a:latin typeface="+mn-ea"/>
                <a:ea typeface="+mn-ea"/>
                <a:cs typeface="+mn-cs"/>
              </a:rPr>
              <a:t>加</a:t>
            </a:r>
            <a:r>
              <a:rPr lang="zh-CN" altLang="zh-CN" sz="1100" b="0" i="0" baseline="0">
                <a:solidFill>
                  <a:schemeClr val="dk1"/>
                </a:solidFill>
                <a:effectLst/>
                <a:latin typeface="+mn-lt"/>
                <a:ea typeface="+mn-ea"/>
                <a:cs typeface="+mn-cs"/>
              </a:rPr>
              <a:t>仑</a:t>
            </a:r>
            <a:r>
              <a:rPr lang="zh-CN" altLang="zh-CN" sz="1100" b="0" i="0" baseline="0">
                <a:solidFill>
                  <a:schemeClr val="dk1"/>
                </a:solidFill>
                <a:effectLst/>
                <a:latin typeface="+mn-ea"/>
                <a:ea typeface="+mn-ea"/>
                <a:cs typeface="+mn-cs"/>
              </a:rPr>
              <a:t>汽油的全年储存成本为</a:t>
            </a:r>
            <a:r>
              <a:rPr lang="en-US" altLang="zh-CN" sz="1100" b="0" i="0" baseline="0">
                <a:solidFill>
                  <a:schemeClr val="dk1"/>
                </a:solidFill>
                <a:effectLst/>
                <a:latin typeface="+mn-ea"/>
                <a:ea typeface="+mn-ea"/>
                <a:cs typeface="+mn-cs"/>
              </a:rPr>
              <a:t>0.5</a:t>
            </a:r>
            <a:r>
              <a:rPr lang="zh-CN" altLang="zh-CN" sz="1100" b="0" i="0" baseline="0">
                <a:solidFill>
                  <a:schemeClr val="dk1"/>
                </a:solidFill>
                <a:effectLst/>
                <a:latin typeface="+mn-ea"/>
                <a:ea typeface="+mn-ea"/>
                <a:cs typeface="+mn-cs"/>
              </a:rPr>
              <a:t>元。现有两种方案，方案一是采用最优补充供油量即不采用折扣</a:t>
            </a:r>
            <a:r>
              <a:rPr lang="zh-CN" altLang="en-US" sz="1100" b="0" i="0" baseline="0">
                <a:solidFill>
                  <a:schemeClr val="dk1"/>
                </a:solidFill>
                <a:effectLst/>
                <a:latin typeface="+mn-ea"/>
                <a:ea typeface="+mn-ea"/>
                <a:cs typeface="+mn-cs"/>
              </a:rPr>
              <a:t>优惠</a:t>
            </a:r>
            <a:r>
              <a:rPr lang="zh-CN" altLang="zh-CN" sz="1100" b="0" i="0" baseline="0">
                <a:solidFill>
                  <a:schemeClr val="dk1"/>
                </a:solidFill>
                <a:effectLst/>
                <a:latin typeface="+mn-ea"/>
                <a:ea typeface="+mn-ea"/>
                <a:cs typeface="+mn-cs"/>
              </a:rPr>
              <a:t>。方案二，当每次补充供油量大于等于折扣起点</a:t>
            </a:r>
            <a:r>
              <a:rPr lang="en-US" altLang="zh-CN" sz="1100" b="0" i="0" baseline="0">
                <a:solidFill>
                  <a:schemeClr val="dk1"/>
                </a:solidFill>
                <a:effectLst/>
                <a:latin typeface="+mn-ea"/>
                <a:ea typeface="+mn-ea"/>
                <a:cs typeface="+mn-cs"/>
              </a:rPr>
              <a:t>3100</a:t>
            </a:r>
            <a:r>
              <a:rPr lang="zh-CN" altLang="zh-CN" sz="1100" b="0" i="0" baseline="0">
                <a:solidFill>
                  <a:schemeClr val="dk1"/>
                </a:solidFill>
                <a:effectLst/>
                <a:latin typeface="+mn-ea"/>
                <a:ea typeface="+mn-ea"/>
                <a:cs typeface="+mn-cs"/>
              </a:rPr>
              <a:t>时，可从总成本中按</a:t>
            </a:r>
            <a:r>
              <a:rPr lang="en-US" altLang="zh-CN" sz="1100" b="0" i="0" baseline="0">
                <a:solidFill>
                  <a:schemeClr val="dk1"/>
                </a:solidFill>
                <a:effectLst/>
                <a:latin typeface="+mn-ea"/>
                <a:ea typeface="+mn-ea"/>
                <a:cs typeface="+mn-cs"/>
              </a:rPr>
              <a:t>15%</a:t>
            </a:r>
            <a:r>
              <a:rPr lang="zh-CN" altLang="zh-CN" sz="1100" b="0" i="0" baseline="0">
                <a:solidFill>
                  <a:schemeClr val="dk1"/>
                </a:solidFill>
                <a:effectLst/>
                <a:latin typeface="+mn-ea"/>
                <a:ea typeface="+mn-ea"/>
                <a:cs typeface="+mn-cs"/>
              </a:rPr>
              <a:t>的扣减比例扣减一定的金额。</a:t>
            </a:r>
            <a:endParaRPr lang="en-US" altLang="zh-CN" sz="1100" b="0" i="0" baseline="0">
              <a:solidFill>
                <a:schemeClr val="dk1"/>
              </a:solidFill>
              <a:effectLst/>
              <a:latin typeface="+mn-ea"/>
              <a:ea typeface="+mn-ea"/>
              <a:cs typeface="+mn-cs"/>
            </a:endParaRPr>
          </a:p>
          <a:p>
            <a:pPr rtl="0"/>
            <a:r>
              <a:rPr lang="zh-CN" altLang="zh-CN" sz="1100" b="0" i="0" baseline="0">
                <a:solidFill>
                  <a:schemeClr val="dk1"/>
                </a:solidFill>
                <a:effectLst/>
                <a:latin typeface="+mn-ea"/>
                <a:ea typeface="+mn-ea"/>
                <a:cs typeface="+mn-cs"/>
              </a:rPr>
              <a:t>要求：</a:t>
            </a:r>
            <a:endParaRPr lang="zh-CN" altLang="zh-CN">
              <a:effectLst/>
              <a:latin typeface="+mn-ea"/>
              <a:ea typeface="+mn-ea"/>
            </a:endParaRPr>
          </a:p>
          <a:p>
            <a:pPr rtl="0"/>
            <a:r>
              <a:rPr lang="en-US" altLang="zh-CN" sz="1100" b="0" i="0" baseline="0">
                <a:solidFill>
                  <a:schemeClr val="dk1"/>
                </a:solidFill>
                <a:effectLst/>
                <a:latin typeface="+mn-ea"/>
                <a:ea typeface="+mn-ea"/>
                <a:cs typeface="+mn-cs"/>
              </a:rPr>
              <a:t>1</a:t>
            </a:r>
            <a:r>
              <a:rPr lang="zh-CN" altLang="en-US" sz="1100" b="0" i="0" baseline="0">
                <a:solidFill>
                  <a:schemeClr val="dk1"/>
                </a:solidFill>
                <a:effectLst/>
                <a:latin typeface="+mn-ea"/>
                <a:ea typeface="+mn-ea"/>
                <a:cs typeface="+mn-cs"/>
              </a:rPr>
              <a:t>、建立</a:t>
            </a:r>
            <a:r>
              <a:rPr lang="zh-CN" altLang="zh-CN" sz="1100" b="0" i="0" baseline="0">
                <a:solidFill>
                  <a:schemeClr val="dk1"/>
                </a:solidFill>
                <a:effectLst/>
                <a:latin typeface="+mn-ea"/>
                <a:ea typeface="+mn-ea"/>
                <a:cs typeface="+mn-cs"/>
              </a:rPr>
              <a:t>模型</a:t>
            </a:r>
            <a:r>
              <a:rPr lang="zh-CN" altLang="en-US" sz="1100" b="0" i="0" baseline="0">
                <a:solidFill>
                  <a:schemeClr val="dk1"/>
                </a:solidFill>
                <a:effectLst/>
                <a:latin typeface="+mn-ea"/>
                <a:ea typeface="+mn-ea"/>
                <a:cs typeface="+mn-cs"/>
              </a:rPr>
              <a:t>计算</a:t>
            </a:r>
            <a:r>
              <a:rPr lang="zh-CN" altLang="zh-CN" sz="1100" b="0" i="0" baseline="0">
                <a:solidFill>
                  <a:schemeClr val="dk1"/>
                </a:solidFill>
                <a:effectLst/>
                <a:latin typeface="+mn-ea"/>
                <a:ea typeface="+mn-ea"/>
                <a:cs typeface="+mn-cs"/>
              </a:rPr>
              <a:t>当每次补充供油量等于</a:t>
            </a:r>
            <a:r>
              <a:rPr lang="en-US" altLang="zh-CN" sz="1100" b="0" i="0" baseline="0">
                <a:solidFill>
                  <a:schemeClr val="dk1"/>
                </a:solidFill>
                <a:effectLst/>
                <a:latin typeface="+mn-ea"/>
                <a:ea typeface="+mn-ea"/>
                <a:cs typeface="+mn-cs"/>
              </a:rPr>
              <a:t>3100</a:t>
            </a:r>
            <a:r>
              <a:rPr lang="zh-CN" altLang="zh-CN" sz="1100" b="0" i="0" baseline="0">
                <a:solidFill>
                  <a:schemeClr val="dk1"/>
                </a:solidFill>
                <a:effectLst/>
                <a:latin typeface="+mn-ea"/>
                <a:ea typeface="+mn-ea"/>
                <a:cs typeface="+mn-cs"/>
              </a:rPr>
              <a:t>加</a:t>
            </a:r>
            <a:r>
              <a:rPr lang="zh-CN" altLang="zh-CN" sz="1100" b="0" i="0" baseline="0">
                <a:solidFill>
                  <a:schemeClr val="dk1"/>
                </a:solidFill>
                <a:effectLst/>
                <a:latin typeface="+mn-lt"/>
                <a:ea typeface="+mn-ea"/>
                <a:cs typeface="+mn-cs"/>
              </a:rPr>
              <a:t>仑</a:t>
            </a:r>
            <a:r>
              <a:rPr lang="zh-CN" altLang="zh-CN" sz="1100" b="0" i="0" baseline="0">
                <a:solidFill>
                  <a:schemeClr val="dk1"/>
                </a:solidFill>
                <a:effectLst/>
                <a:latin typeface="+mn-ea"/>
                <a:ea typeface="+mn-ea"/>
                <a:cs typeface="+mn-cs"/>
              </a:rPr>
              <a:t>时的</a:t>
            </a:r>
            <a:r>
              <a:rPr lang="zh-CN" altLang="en-US" sz="1100" b="0" i="0" baseline="0">
                <a:solidFill>
                  <a:schemeClr val="dk1"/>
                </a:solidFill>
                <a:effectLst/>
                <a:latin typeface="+mn-ea"/>
                <a:ea typeface="+mn-ea"/>
                <a:cs typeface="+mn-cs"/>
              </a:rPr>
              <a:t>全年固定补充供油成本、全年储存成本、</a:t>
            </a:r>
            <a:r>
              <a:rPr lang="zh-CN" altLang="zh-CN" sz="1100" b="0" i="0" baseline="0">
                <a:solidFill>
                  <a:schemeClr val="dk1"/>
                </a:solidFill>
                <a:effectLst/>
                <a:latin typeface="+mn-ea"/>
                <a:ea typeface="+mn-ea"/>
                <a:cs typeface="+mn-cs"/>
              </a:rPr>
              <a:t>全年总成本。</a:t>
            </a:r>
            <a:endParaRPr lang="zh-CN" altLang="zh-CN">
              <a:effectLst/>
              <a:latin typeface="+mn-ea"/>
              <a:ea typeface="+mn-ea"/>
            </a:endParaRPr>
          </a:p>
          <a:p>
            <a:pPr rtl="0"/>
            <a:r>
              <a:rPr lang="en-US" altLang="zh-CN" sz="1100" b="0" i="0" baseline="0">
                <a:solidFill>
                  <a:schemeClr val="dk1"/>
                </a:solidFill>
                <a:effectLst/>
                <a:latin typeface="+mn-ea"/>
                <a:ea typeface="+mn-ea"/>
                <a:cs typeface="+mn-cs"/>
              </a:rPr>
              <a:t>2</a:t>
            </a:r>
            <a:r>
              <a:rPr lang="zh-CN" altLang="en-US" sz="1100" b="0" i="0" baseline="0">
                <a:solidFill>
                  <a:schemeClr val="dk1"/>
                </a:solidFill>
                <a:effectLst/>
                <a:latin typeface="+mn-ea"/>
                <a:ea typeface="+mn-ea"/>
                <a:cs typeface="+mn-cs"/>
              </a:rPr>
              <a:t>、</a:t>
            </a:r>
            <a:r>
              <a:rPr lang="zh-CN" altLang="zh-CN" sz="1100" b="0" i="0" baseline="0">
                <a:solidFill>
                  <a:schemeClr val="dk1"/>
                </a:solidFill>
                <a:effectLst/>
                <a:latin typeface="+mn-ea"/>
                <a:ea typeface="+mn-ea"/>
                <a:cs typeface="+mn-cs"/>
              </a:rPr>
              <a:t>计算出最优补充油量与该</a:t>
            </a:r>
            <a:r>
              <a:rPr lang="zh-CN" altLang="en-US" sz="1100" b="0" i="0" baseline="0">
                <a:solidFill>
                  <a:schemeClr val="dk1"/>
                </a:solidFill>
                <a:effectLst/>
                <a:latin typeface="+mn-ea"/>
                <a:ea typeface="+mn-ea"/>
                <a:cs typeface="+mn-cs"/>
              </a:rPr>
              <a:t>最优</a:t>
            </a:r>
            <a:r>
              <a:rPr lang="zh-CN" altLang="zh-CN" sz="1100" b="0" i="0" baseline="0">
                <a:solidFill>
                  <a:schemeClr val="dk1"/>
                </a:solidFill>
                <a:effectLst/>
                <a:latin typeface="+mn-ea"/>
                <a:ea typeface="+mn-ea"/>
                <a:cs typeface="+mn-cs"/>
              </a:rPr>
              <a:t>补充油量下实现的全年总成本极小值。</a:t>
            </a:r>
            <a:endParaRPr lang="zh-CN" altLang="zh-CN">
              <a:effectLst/>
              <a:latin typeface="+mn-ea"/>
              <a:ea typeface="+mn-ea"/>
            </a:endParaRPr>
          </a:p>
          <a:p>
            <a:pPr rtl="0"/>
            <a:r>
              <a:rPr lang="en-US" altLang="zh-CN" sz="1100" b="0" i="0" baseline="0">
                <a:solidFill>
                  <a:schemeClr val="dk1"/>
                </a:solidFill>
                <a:effectLst/>
                <a:latin typeface="+mn-ea"/>
                <a:ea typeface="+mn-ea"/>
                <a:cs typeface="+mn-cs"/>
              </a:rPr>
              <a:t>3</a:t>
            </a:r>
            <a:r>
              <a:rPr lang="zh-CN" altLang="en-US" sz="1100" b="0" i="0" baseline="0">
                <a:solidFill>
                  <a:schemeClr val="dk1"/>
                </a:solidFill>
                <a:effectLst/>
                <a:latin typeface="+mn-ea"/>
                <a:ea typeface="+mn-ea"/>
                <a:cs typeface="+mn-cs"/>
              </a:rPr>
              <a:t>、</a:t>
            </a:r>
            <a:r>
              <a:rPr lang="zh-CN" altLang="zh-CN" sz="1100" b="0" i="0" baseline="0">
                <a:solidFill>
                  <a:schemeClr val="dk1"/>
                </a:solidFill>
                <a:effectLst/>
                <a:latin typeface="+mn-ea"/>
                <a:ea typeface="+mn-ea"/>
                <a:cs typeface="+mn-cs"/>
              </a:rPr>
              <a:t>制作一个表示全年总成本随每次</a:t>
            </a:r>
            <a:r>
              <a:rPr lang="zh-CN" altLang="en-US" sz="1100" b="0" i="0" baseline="0">
                <a:solidFill>
                  <a:schemeClr val="dk1"/>
                </a:solidFill>
                <a:effectLst/>
                <a:latin typeface="+mn-ea"/>
                <a:ea typeface="+mn-ea"/>
                <a:cs typeface="+mn-cs"/>
              </a:rPr>
              <a:t>折扣的优惠率</a:t>
            </a:r>
            <a:r>
              <a:rPr lang="zh-CN" altLang="zh-CN" sz="1100" b="0" i="0" baseline="0">
                <a:solidFill>
                  <a:schemeClr val="dk1"/>
                </a:solidFill>
                <a:effectLst/>
                <a:latin typeface="+mn-ea"/>
                <a:ea typeface="+mn-ea"/>
                <a:cs typeface="+mn-cs"/>
              </a:rPr>
              <a:t>变化的</a:t>
            </a:r>
            <a:r>
              <a:rPr lang="zh-CN" altLang="en-US" sz="1100" b="0" i="0" baseline="0">
                <a:solidFill>
                  <a:schemeClr val="dk1"/>
                </a:solidFill>
                <a:effectLst/>
                <a:latin typeface="+mn-ea"/>
                <a:ea typeface="+mn-ea"/>
                <a:cs typeface="+mn-cs"/>
              </a:rPr>
              <a:t>柱形</a:t>
            </a:r>
            <a:r>
              <a:rPr lang="zh-CN" altLang="zh-CN" sz="1100" b="0" i="0" baseline="0">
                <a:solidFill>
                  <a:schemeClr val="dk1"/>
                </a:solidFill>
                <a:effectLst/>
                <a:latin typeface="+mn-ea"/>
                <a:ea typeface="+mn-ea"/>
                <a:cs typeface="+mn-cs"/>
              </a:rPr>
              <a:t>图形，并</a:t>
            </a:r>
            <a:r>
              <a:rPr lang="zh-CN" altLang="en-US" sz="1100" b="0" i="0" baseline="0">
                <a:solidFill>
                  <a:schemeClr val="dk1"/>
                </a:solidFill>
                <a:effectLst/>
                <a:latin typeface="+mn-ea"/>
                <a:ea typeface="+mn-ea"/>
                <a:cs typeface="+mn-cs"/>
              </a:rPr>
              <a:t>且</a:t>
            </a:r>
            <a:r>
              <a:rPr lang="zh-CN" altLang="zh-CN" sz="1100" b="0" i="0" baseline="0">
                <a:solidFill>
                  <a:schemeClr val="dk1"/>
                </a:solidFill>
                <a:effectLst/>
                <a:latin typeface="+mn-ea"/>
                <a:ea typeface="+mn-ea"/>
                <a:cs typeface="+mn-cs"/>
              </a:rPr>
              <a:t>按图表更改</a:t>
            </a:r>
            <a:r>
              <a:rPr lang="en-US" altLang="zh-CN" sz="1100" b="0" i="0" baseline="0">
                <a:solidFill>
                  <a:schemeClr val="dk1"/>
                </a:solidFill>
                <a:effectLst/>
                <a:latin typeface="+mn-ea"/>
                <a:ea typeface="+mn-ea"/>
                <a:cs typeface="+mn-cs"/>
              </a:rPr>
              <a:t>X</a:t>
            </a:r>
            <a:r>
              <a:rPr lang="zh-CN" altLang="zh-CN" sz="1100" b="0" i="0" baseline="0">
                <a:solidFill>
                  <a:schemeClr val="dk1"/>
                </a:solidFill>
                <a:effectLst/>
                <a:latin typeface="+mn-ea"/>
                <a:ea typeface="+mn-ea"/>
                <a:cs typeface="+mn-cs"/>
              </a:rPr>
              <a:t>轴和</a:t>
            </a:r>
            <a:r>
              <a:rPr lang="en-US" altLang="zh-CN" sz="1100" b="0" i="0" baseline="0">
                <a:solidFill>
                  <a:schemeClr val="dk1"/>
                </a:solidFill>
                <a:effectLst/>
                <a:latin typeface="+mn-ea"/>
                <a:ea typeface="+mn-ea"/>
                <a:cs typeface="+mn-cs"/>
              </a:rPr>
              <a:t>Y</a:t>
            </a:r>
            <a:r>
              <a:rPr lang="zh-CN" altLang="zh-CN" sz="1100" b="0" i="0" baseline="0">
                <a:solidFill>
                  <a:schemeClr val="dk1"/>
                </a:solidFill>
                <a:effectLst/>
                <a:latin typeface="+mn-ea"/>
                <a:ea typeface="+mn-ea"/>
                <a:cs typeface="+mn-cs"/>
              </a:rPr>
              <a:t>轴的刻度。</a:t>
            </a:r>
            <a:endParaRPr lang="zh-CN" altLang="zh-CN">
              <a:effectLst/>
              <a:latin typeface="+mn-ea"/>
              <a:ea typeface="+mn-ea"/>
            </a:endParaRPr>
          </a:p>
          <a:p>
            <a:pPr rtl="0"/>
            <a:r>
              <a:rPr lang="en-US" altLang="zh-CN" sz="1100" b="0" i="0" baseline="0">
                <a:solidFill>
                  <a:schemeClr val="dk1"/>
                </a:solidFill>
                <a:effectLst/>
                <a:latin typeface="+mn-ea"/>
                <a:ea typeface="+mn-ea"/>
                <a:cs typeface="+mn-cs"/>
              </a:rPr>
              <a:t>4</a:t>
            </a:r>
            <a:r>
              <a:rPr lang="zh-CN" altLang="en-US" sz="1100" b="0" i="0" baseline="0">
                <a:solidFill>
                  <a:schemeClr val="dk1"/>
                </a:solidFill>
                <a:effectLst/>
                <a:latin typeface="+mn-ea"/>
                <a:ea typeface="+mn-ea"/>
                <a:cs typeface="+mn-cs"/>
              </a:rPr>
              <a:t>、</a:t>
            </a:r>
            <a:r>
              <a:rPr lang="zh-CN" altLang="zh-CN" sz="1100" b="0" i="0" baseline="0">
                <a:solidFill>
                  <a:schemeClr val="dk1"/>
                </a:solidFill>
                <a:effectLst/>
                <a:latin typeface="+mn-ea"/>
                <a:ea typeface="+mn-ea"/>
                <a:cs typeface="+mn-cs"/>
              </a:rPr>
              <a:t>在图表上添加一个</a:t>
            </a:r>
            <a:r>
              <a:rPr lang="zh-CN" altLang="en-US" sz="1100" b="0" i="0" baseline="0">
                <a:solidFill>
                  <a:schemeClr val="dk1"/>
                </a:solidFill>
                <a:effectLst/>
                <a:latin typeface="+mn-ea"/>
                <a:ea typeface="+mn-ea"/>
                <a:cs typeface="+mn-cs"/>
              </a:rPr>
              <a:t>列表框控件来选择</a:t>
            </a:r>
            <a:r>
              <a:rPr lang="zh-CN" altLang="zh-CN" sz="1100" b="0" i="0" baseline="0">
                <a:solidFill>
                  <a:schemeClr val="dk1"/>
                </a:solidFill>
                <a:effectLst/>
                <a:latin typeface="+mn-ea"/>
                <a:ea typeface="+mn-ea"/>
                <a:cs typeface="+mn-cs"/>
              </a:rPr>
              <a:t>折扣总成本扣减比例</a:t>
            </a:r>
            <a:r>
              <a:rPr lang="zh-CN" altLang="en-US" sz="1100" b="0" i="0" baseline="0">
                <a:solidFill>
                  <a:schemeClr val="dk1"/>
                </a:solidFill>
                <a:effectLst/>
                <a:latin typeface="+mn-ea"/>
                <a:ea typeface="+mn-ea"/>
                <a:cs typeface="+mn-cs"/>
              </a:rPr>
              <a:t>取不同的值（</a:t>
            </a:r>
            <a:r>
              <a:rPr lang="en-US" altLang="zh-CN" sz="1100" b="0" i="0" baseline="0">
                <a:solidFill>
                  <a:schemeClr val="dk1"/>
                </a:solidFill>
                <a:effectLst/>
                <a:latin typeface="+mn-ea"/>
                <a:ea typeface="+mn-ea"/>
                <a:cs typeface="+mn-cs"/>
              </a:rPr>
              <a:t>0.01</a:t>
            </a:r>
            <a:r>
              <a:rPr lang="zh-CN" altLang="en-US" sz="1100" b="0" i="0" baseline="0">
                <a:solidFill>
                  <a:schemeClr val="dk1"/>
                </a:solidFill>
                <a:effectLst/>
                <a:latin typeface="+mn-ea"/>
                <a:ea typeface="+mn-ea"/>
                <a:cs typeface="+mn-cs"/>
              </a:rPr>
              <a:t>，</a:t>
            </a:r>
            <a:r>
              <a:rPr lang="en-US" altLang="zh-CN" sz="1100" b="0" i="0" baseline="0">
                <a:solidFill>
                  <a:schemeClr val="dk1"/>
                </a:solidFill>
                <a:effectLst/>
                <a:latin typeface="+mn-ea"/>
                <a:ea typeface="+mn-ea"/>
                <a:cs typeface="+mn-cs"/>
              </a:rPr>
              <a:t>0.03, 0.05, 0.07, 0.12, 0.15, 0.20)</a:t>
            </a:r>
            <a:r>
              <a:rPr lang="zh-CN" altLang="zh-CN" sz="1100" b="0" i="0" baseline="0">
                <a:solidFill>
                  <a:schemeClr val="dk1"/>
                </a:solidFill>
                <a:effectLst/>
                <a:latin typeface="+mn-ea"/>
                <a:ea typeface="+mn-ea"/>
                <a:cs typeface="+mn-cs"/>
              </a:rPr>
              <a:t>。</a:t>
            </a:r>
            <a:endParaRPr lang="zh-CN" altLang="zh-CN">
              <a:effectLst/>
              <a:latin typeface="+mn-ea"/>
              <a:ea typeface="+mn-ea"/>
            </a:endParaRPr>
          </a:p>
          <a:p>
            <a:pPr rtl="0"/>
            <a:r>
              <a:rPr lang="en-US" altLang="zh-CN" sz="1100" b="0" i="0" baseline="0">
                <a:solidFill>
                  <a:schemeClr val="dk1"/>
                </a:solidFill>
                <a:effectLst/>
                <a:latin typeface="+mn-ea"/>
                <a:ea typeface="+mn-ea"/>
                <a:cs typeface="+mn-cs"/>
              </a:rPr>
              <a:t>5</a:t>
            </a:r>
            <a:r>
              <a:rPr lang="zh-CN" altLang="en-US" sz="1100" b="0" i="0" baseline="0">
                <a:solidFill>
                  <a:schemeClr val="dk1"/>
                </a:solidFill>
                <a:effectLst/>
                <a:latin typeface="+mn-ea"/>
                <a:ea typeface="+mn-ea"/>
                <a:cs typeface="+mn-cs"/>
              </a:rPr>
              <a:t>、</a:t>
            </a:r>
            <a:r>
              <a:rPr lang="zh-CN" altLang="zh-CN" sz="1100" b="0" i="0" baseline="0">
                <a:solidFill>
                  <a:schemeClr val="dk1"/>
                </a:solidFill>
                <a:effectLst/>
                <a:latin typeface="+mn-ea"/>
                <a:ea typeface="+mn-ea"/>
                <a:cs typeface="+mn-cs"/>
              </a:rPr>
              <a:t>在图表上</a:t>
            </a:r>
            <a:r>
              <a:rPr lang="zh-CN" altLang="en-US" sz="1100" b="0" i="0" baseline="0">
                <a:solidFill>
                  <a:schemeClr val="dk1"/>
                </a:solidFill>
                <a:effectLst/>
                <a:latin typeface="+mn-ea"/>
                <a:ea typeface="+mn-ea"/>
                <a:cs typeface="+mn-cs"/>
              </a:rPr>
              <a:t>采用紫色折线（水平线）</a:t>
            </a:r>
            <a:r>
              <a:rPr lang="zh-CN" altLang="zh-CN" sz="1100" b="0" i="0" baseline="0">
                <a:solidFill>
                  <a:schemeClr val="dk1"/>
                </a:solidFill>
                <a:effectLst/>
                <a:latin typeface="+mn-ea"/>
                <a:ea typeface="+mn-ea"/>
                <a:cs typeface="+mn-cs"/>
              </a:rPr>
              <a:t>显示</a:t>
            </a:r>
            <a:r>
              <a:rPr lang="zh-CN" altLang="en-US" sz="1100" b="0" i="0" baseline="0">
                <a:solidFill>
                  <a:schemeClr val="dk1"/>
                </a:solidFill>
                <a:effectLst/>
                <a:latin typeface="+mn-ea"/>
                <a:ea typeface="+mn-ea"/>
                <a:cs typeface="+mn-cs"/>
              </a:rPr>
              <a:t>最优补充供油量时的总成本</a:t>
            </a:r>
            <a:r>
              <a:rPr lang="zh-CN" altLang="zh-CN" sz="1100" b="0" i="0" baseline="0">
                <a:solidFill>
                  <a:schemeClr val="dk1"/>
                </a:solidFill>
                <a:effectLst/>
                <a:latin typeface="+mn-ea"/>
                <a:ea typeface="+mn-ea"/>
                <a:cs typeface="+mn-cs"/>
              </a:rPr>
              <a:t>。</a:t>
            </a:r>
            <a:endParaRPr lang="zh-CN" altLang="zh-CN">
              <a:effectLst/>
              <a:latin typeface="+mn-ea"/>
              <a:ea typeface="+mn-ea"/>
            </a:endParaRPr>
          </a:p>
          <a:p>
            <a:pPr rtl="0"/>
            <a:r>
              <a:rPr lang="en-US" altLang="zh-CN" sz="1100">
                <a:effectLst/>
                <a:latin typeface="+mn-ea"/>
                <a:ea typeface="+mn-ea"/>
              </a:rPr>
              <a:t>6</a:t>
            </a:r>
            <a:r>
              <a:rPr lang="zh-CN" altLang="en-US" sz="1100">
                <a:effectLst/>
                <a:latin typeface="+mn-ea"/>
                <a:ea typeface="+mn-ea"/>
              </a:rPr>
              <a:t>、在图表上使用红色柱子或绿色柱子表达：当采用折扣时的总成本高于</a:t>
            </a:r>
            <a:r>
              <a:rPr lang="zh-CN" altLang="zh-CN" sz="1100" b="0" i="0" baseline="0">
                <a:solidFill>
                  <a:schemeClr val="dk1"/>
                </a:solidFill>
                <a:effectLst/>
                <a:latin typeface="+mn-lt"/>
                <a:ea typeface="+mn-ea"/>
                <a:cs typeface="+mn-cs"/>
              </a:rPr>
              <a:t>最优补充供油量</a:t>
            </a:r>
            <a:r>
              <a:rPr lang="zh-CN" altLang="en-US" sz="1100">
                <a:effectLst/>
                <a:latin typeface="+mn-ea"/>
                <a:ea typeface="+mn-ea"/>
              </a:rPr>
              <a:t>总成本时使用红色柱子表达；</a:t>
            </a:r>
            <a:r>
              <a:rPr lang="zh-CN" altLang="zh-CN" sz="1100">
                <a:solidFill>
                  <a:schemeClr val="dk1"/>
                </a:solidFill>
                <a:effectLst/>
                <a:latin typeface="+mn-lt"/>
                <a:ea typeface="+mn-ea"/>
                <a:cs typeface="+mn-cs"/>
              </a:rPr>
              <a:t>当采用折扣时的总成本</a:t>
            </a:r>
            <a:r>
              <a:rPr lang="zh-CN" altLang="en-US" sz="1100">
                <a:solidFill>
                  <a:schemeClr val="dk1"/>
                </a:solidFill>
                <a:effectLst/>
                <a:latin typeface="+mn-lt"/>
                <a:ea typeface="+mn-ea"/>
                <a:cs typeface="+mn-cs"/>
              </a:rPr>
              <a:t>低</a:t>
            </a:r>
            <a:r>
              <a:rPr lang="zh-CN" altLang="zh-CN" sz="1100">
                <a:solidFill>
                  <a:schemeClr val="dk1"/>
                </a:solidFill>
                <a:effectLst/>
                <a:latin typeface="+mn-lt"/>
                <a:ea typeface="+mn-ea"/>
                <a:cs typeface="+mn-cs"/>
              </a:rPr>
              <a:t>于</a:t>
            </a:r>
            <a:r>
              <a:rPr lang="zh-CN" altLang="zh-CN" sz="1100" b="0" i="0" baseline="0">
                <a:solidFill>
                  <a:schemeClr val="dk1"/>
                </a:solidFill>
                <a:effectLst/>
                <a:latin typeface="+mn-lt"/>
                <a:ea typeface="+mn-ea"/>
                <a:cs typeface="+mn-cs"/>
              </a:rPr>
              <a:t>最优补充供油量</a:t>
            </a:r>
            <a:r>
              <a:rPr lang="zh-CN" altLang="zh-CN" sz="1100">
                <a:solidFill>
                  <a:schemeClr val="dk1"/>
                </a:solidFill>
                <a:effectLst/>
                <a:latin typeface="+mn-lt"/>
                <a:ea typeface="+mn-ea"/>
                <a:cs typeface="+mn-cs"/>
              </a:rPr>
              <a:t>总成本时使用</a:t>
            </a:r>
            <a:r>
              <a:rPr lang="zh-CN" altLang="en-US" sz="1100">
                <a:solidFill>
                  <a:schemeClr val="dk1"/>
                </a:solidFill>
                <a:effectLst/>
                <a:latin typeface="+mn-lt"/>
                <a:ea typeface="+mn-ea"/>
                <a:cs typeface="+mn-cs"/>
              </a:rPr>
              <a:t>绿</a:t>
            </a:r>
            <a:r>
              <a:rPr lang="zh-CN" altLang="zh-CN" sz="1100">
                <a:solidFill>
                  <a:schemeClr val="dk1"/>
                </a:solidFill>
                <a:effectLst/>
                <a:latin typeface="+mn-lt"/>
                <a:ea typeface="+mn-ea"/>
                <a:cs typeface="+mn-cs"/>
              </a:rPr>
              <a:t>色柱子表达</a:t>
            </a:r>
            <a:r>
              <a:rPr lang="zh-CN" altLang="en-US" sz="1100">
                <a:effectLst/>
                <a:latin typeface="+mn-ea"/>
                <a:ea typeface="+mn-ea"/>
              </a:rPr>
              <a:t>。</a:t>
            </a:r>
            <a:endParaRPr lang="zh-CN" altLang="zh-CN" sz="1100">
              <a:effectLst/>
              <a:latin typeface="+mn-ea"/>
              <a:ea typeface="+mn-ea"/>
            </a:endParaRP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12523545" y="3257549"/>
            <a:ext cx="5279997" cy="2257425"/>
          </a:xfrm>
          <a:prstGeom prst="rect">
            <a:avLst/>
          </a:prstGeom>
        </xdr:spPr>
        <xdr:style>
          <a:lnRef idx="1">
            <a:schemeClr val="accent6"/>
          </a:lnRef>
          <a:fillRef idx="2">
            <a:schemeClr val="accent6"/>
          </a:fillRef>
          <a:effectRef idx="1">
            <a:schemeClr val="accent6"/>
          </a:effectRef>
          <a:fontRef idx="minor">
            <a:schemeClr val="dk1"/>
          </a:fontRef>
        </xdr:style>
      </xdr:pic>
      <xdr:pic>
        <xdr:nvPicPr>
          <xdr:cNvPr id="5" name="图片 4"/>
          <xdr:cNvPicPr>
            <a:picLocks noChangeAspect="1"/>
          </xdr:cNvPicPr>
        </xdr:nvPicPr>
        <xdr:blipFill>
          <a:blip xmlns:r="http://schemas.openxmlformats.org/officeDocument/2006/relationships" r:embed="rId2"/>
          <a:stretch>
            <a:fillRect/>
          </a:stretch>
        </xdr:blipFill>
        <xdr:spPr>
          <a:xfrm>
            <a:off x="12532230" y="5619749"/>
            <a:ext cx="5317914" cy="2599977"/>
          </a:xfrm>
          <a:prstGeom prst="rect">
            <a:avLst/>
          </a:prstGeom>
        </xdr:spPr>
        <xdr:style>
          <a:lnRef idx="1">
            <a:schemeClr val="accent6"/>
          </a:lnRef>
          <a:fillRef idx="2">
            <a:schemeClr val="accent6"/>
          </a:fillRef>
          <a:effectRef idx="1">
            <a:schemeClr val="accent6"/>
          </a:effectRef>
          <a:fontRef idx="minor">
            <a:schemeClr val="dk1"/>
          </a:fontRef>
        </xdr:style>
      </xdr:pic>
    </xdr:grp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19050</xdr:colOff>
          <xdr:row>2</xdr:row>
          <xdr:rowOff>0</xdr:rowOff>
        </xdr:from>
        <xdr:to>
          <xdr:col>6</xdr:col>
          <xdr:colOff>304800</xdr:colOff>
          <xdr:row>2</xdr:row>
          <xdr:rowOff>190500</xdr:rowOff>
        </xdr:to>
        <xdr:sp macro="" textlink="">
          <xdr:nvSpPr>
            <xdr:cNvPr id="5121" name="Spinner 1" hidden="1">
              <a:extLst>
                <a:ext uri="{63B3BB69-23CF-44E3-9099-C40C66FF867C}">
                  <a14:compatExt spid="_x0000_s5121"/>
                </a:ext>
              </a:extLst>
            </xdr:cNvPr>
            <xdr:cNvSpPr/>
          </xdr:nvSpPr>
          <xdr:spPr>
            <a:xfrm>
              <a:off x="0" y="0"/>
              <a:ext cx="0" cy="0"/>
            </a:xfrm>
            <a:prstGeom prst="rect">
              <a:avLst/>
            </a:prstGeom>
          </xdr:spPr>
        </xdr:sp>
        <xdr:clientData/>
      </xdr:twoCellAnchor>
    </mc:Choice>
    <mc:Fallback/>
  </mc:AlternateContent>
  <xdr:twoCellAnchor>
    <xdr:from>
      <xdr:col>7</xdr:col>
      <xdr:colOff>142874</xdr:colOff>
      <xdr:row>1</xdr:row>
      <xdr:rowOff>171450</xdr:rowOff>
    </xdr:from>
    <xdr:to>
      <xdr:col>14</xdr:col>
      <xdr:colOff>590549</xdr:colOff>
      <xdr:row>17</xdr:row>
      <xdr:rowOff>28575</xdr:rowOff>
    </xdr:to>
    <xdr:sp macro="" textlink="">
      <xdr:nvSpPr>
        <xdr:cNvPr id="3" name="TextBox 2"/>
        <xdr:cNvSpPr txBox="1"/>
      </xdr:nvSpPr>
      <xdr:spPr>
        <a:xfrm>
          <a:off x="6934199" y="352425"/>
          <a:ext cx="4829175" cy="282892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zh-CN" altLang="en-US" sz="1100" b="1"/>
            <a:t>第</a:t>
          </a:r>
          <a:r>
            <a:rPr lang="en-US" altLang="zh-CN" sz="1100" b="1"/>
            <a:t>4</a:t>
          </a:r>
          <a:r>
            <a:rPr lang="zh-CN" altLang="en-US" sz="1100" b="1"/>
            <a:t>题</a:t>
          </a:r>
          <a:r>
            <a:rPr lang="zh-CN" altLang="en-US" sz="1100" b="1">
              <a:solidFill>
                <a:srgbClr val="FF0000"/>
              </a:solidFill>
            </a:rPr>
            <a:t>（</a:t>
          </a:r>
          <a:r>
            <a:rPr lang="en-US" altLang="zh-CN" sz="1100" b="1">
              <a:solidFill>
                <a:srgbClr val="FF0000"/>
              </a:solidFill>
            </a:rPr>
            <a:t>10</a:t>
          </a:r>
          <a:r>
            <a:rPr lang="zh-CN" altLang="en-US" sz="1100" b="1">
              <a:solidFill>
                <a:srgbClr val="FF0000"/>
              </a:solidFill>
            </a:rPr>
            <a:t>分）</a:t>
          </a:r>
          <a:r>
            <a:rPr lang="zh-CN" altLang="en-US" sz="1100"/>
            <a:t>某投资者购买公寓商业贷款</a:t>
          </a:r>
          <a:r>
            <a:rPr lang="en-US" altLang="zh-CN" sz="1100"/>
            <a:t>100</a:t>
          </a:r>
          <a:r>
            <a:rPr lang="zh-CN" altLang="en-US" sz="1100"/>
            <a:t>万，计划按照</a:t>
          </a:r>
          <a:r>
            <a:rPr lang="en-US" altLang="zh-CN" sz="1100"/>
            <a:t>10</a:t>
          </a:r>
          <a:r>
            <a:rPr lang="zh-CN" altLang="en-US" sz="1100"/>
            <a:t>年还清，按照等本金还款，请建立还贷查询模型计算每个月的还款本金、利息和总额。要求：</a:t>
          </a:r>
          <a:endParaRPr lang="en-US" altLang="zh-CN" sz="1100"/>
        </a:p>
        <a:p>
          <a:r>
            <a:rPr lang="en-US" altLang="zh-CN" sz="1100"/>
            <a:t>1.</a:t>
          </a:r>
          <a:r>
            <a:rPr lang="zh-CN" altLang="en-US" sz="1100"/>
            <a:t> 利用</a:t>
          </a:r>
          <a:r>
            <a:rPr lang="en-US" altLang="zh-CN" sz="1100"/>
            <a:t>EXCEL</a:t>
          </a:r>
          <a:r>
            <a:rPr lang="zh-CN" altLang="en-US" sz="1100"/>
            <a:t>函数计算按</a:t>
          </a:r>
          <a:r>
            <a:rPr lang="en-US" altLang="zh-CN" sz="1100"/>
            <a:t>10</a:t>
          </a:r>
          <a:r>
            <a:rPr lang="zh-CN" altLang="en-US" sz="1100"/>
            <a:t>年还贷、等本金还款方式下的月还款本金</a:t>
          </a:r>
          <a:r>
            <a:rPr lang="zh-CN" altLang="zh-CN" sz="1100">
              <a:solidFill>
                <a:schemeClr val="dk1"/>
              </a:solidFill>
              <a:effectLst/>
              <a:latin typeface="+mn-lt"/>
              <a:ea typeface="+mn-ea"/>
              <a:cs typeface="+mn-cs"/>
            </a:rPr>
            <a:t>、利息和</a:t>
          </a:r>
          <a:r>
            <a:rPr lang="zh-CN" altLang="en-US" sz="1100">
              <a:solidFill>
                <a:schemeClr val="dk1"/>
              </a:solidFill>
              <a:effectLst/>
              <a:latin typeface="+mn-lt"/>
              <a:ea typeface="+mn-ea"/>
              <a:cs typeface="+mn-cs"/>
            </a:rPr>
            <a:t>还款</a:t>
          </a:r>
          <a:r>
            <a:rPr lang="zh-CN" altLang="zh-CN" sz="1100">
              <a:solidFill>
                <a:schemeClr val="dk1"/>
              </a:solidFill>
              <a:effectLst/>
              <a:latin typeface="+mn-lt"/>
              <a:ea typeface="+mn-ea"/>
              <a:cs typeface="+mn-cs"/>
            </a:rPr>
            <a:t>总额</a:t>
          </a:r>
          <a:r>
            <a:rPr lang="zh-CN" altLang="en-US" sz="1100">
              <a:solidFill>
                <a:schemeClr val="dk1"/>
              </a:solidFill>
              <a:effectLst/>
              <a:latin typeface="+mn-lt"/>
              <a:ea typeface="+mn-ea"/>
              <a:cs typeface="+mn-cs"/>
            </a:rPr>
            <a:t>。</a:t>
          </a:r>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en-US" altLang="zh-CN" sz="1100">
              <a:solidFill>
                <a:schemeClr val="dk1"/>
              </a:solidFill>
              <a:effectLst/>
              <a:latin typeface="+mn-lt"/>
              <a:ea typeface="+mn-ea"/>
              <a:cs typeface="+mn-cs"/>
            </a:rPr>
            <a:t>2. </a:t>
          </a:r>
          <a:r>
            <a:rPr lang="zh-CN" altLang="en-US" sz="1100">
              <a:solidFill>
                <a:schemeClr val="dk1"/>
              </a:solidFill>
              <a:effectLst/>
              <a:latin typeface="+mn-lt"/>
              <a:ea typeface="+mn-ea"/>
              <a:cs typeface="+mn-cs"/>
            </a:rPr>
            <a:t>该投资者预计</a:t>
          </a:r>
          <a:r>
            <a:rPr lang="en-US" altLang="zh-CN" sz="1100">
              <a:solidFill>
                <a:schemeClr val="dk1"/>
              </a:solidFill>
              <a:effectLst/>
              <a:latin typeface="+mn-lt"/>
              <a:ea typeface="+mn-ea"/>
              <a:cs typeface="+mn-cs"/>
            </a:rPr>
            <a:t>5</a:t>
          </a:r>
          <a:r>
            <a:rPr lang="zh-CN" altLang="en-US" sz="1100">
              <a:solidFill>
                <a:schemeClr val="dk1"/>
              </a:solidFill>
              <a:effectLst/>
              <a:latin typeface="+mn-lt"/>
              <a:ea typeface="+mn-ea"/>
              <a:cs typeface="+mn-cs"/>
            </a:rPr>
            <a:t>年末有债券到期本息和</a:t>
          </a:r>
          <a:r>
            <a:rPr lang="en-US" altLang="zh-CN" sz="1100">
              <a:solidFill>
                <a:schemeClr val="dk1"/>
              </a:solidFill>
              <a:effectLst/>
              <a:latin typeface="+mn-lt"/>
              <a:ea typeface="+mn-ea"/>
              <a:cs typeface="+mn-cs"/>
            </a:rPr>
            <a:t>5</a:t>
          </a:r>
          <a:r>
            <a:rPr lang="zh-CN" altLang="zh-CN" sz="1100">
              <a:solidFill>
                <a:schemeClr val="dk1"/>
              </a:solidFill>
              <a:effectLst/>
              <a:latin typeface="+mn-lt"/>
              <a:ea typeface="+mn-ea"/>
              <a:cs typeface="+mn-cs"/>
            </a:rPr>
            <a:t>万元</a:t>
          </a:r>
          <a:r>
            <a:rPr lang="zh-CN" altLang="en-US" sz="1100">
              <a:solidFill>
                <a:schemeClr val="dk1"/>
              </a:solidFill>
              <a:effectLst/>
              <a:latin typeface="+mn-lt"/>
              <a:ea typeface="+mn-ea"/>
              <a:cs typeface="+mn-cs"/>
            </a:rPr>
            <a:t>，可以用于提前冲还贷，请计算冲还贷以后，剩余待归还本金。</a:t>
          </a:r>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en-US" altLang="zh-CN" sz="1100">
              <a:solidFill>
                <a:schemeClr val="dk1"/>
              </a:solidFill>
              <a:effectLst/>
              <a:latin typeface="+mn-lt"/>
              <a:ea typeface="+mn-ea"/>
              <a:cs typeface="+mn-cs"/>
            </a:rPr>
            <a:t>3. </a:t>
          </a:r>
          <a:r>
            <a:rPr lang="zh-CN" altLang="en-US" sz="1100">
              <a:solidFill>
                <a:schemeClr val="dk1"/>
              </a:solidFill>
              <a:effectLst/>
              <a:latin typeface="+mn-lt"/>
              <a:ea typeface="+mn-ea"/>
              <a:cs typeface="+mn-cs"/>
            </a:rPr>
            <a:t>单元格</a:t>
          </a:r>
          <a:r>
            <a:rPr lang="en-US" altLang="zh-CN" sz="1100">
              <a:solidFill>
                <a:schemeClr val="tx1"/>
              </a:solidFill>
              <a:effectLst/>
              <a:latin typeface="+mn-lt"/>
              <a:ea typeface="+mn-ea"/>
              <a:cs typeface="+mn-cs"/>
            </a:rPr>
            <a:t>B18</a:t>
          </a:r>
          <a:r>
            <a:rPr lang="zh-CN" altLang="en-US" sz="1100">
              <a:solidFill>
                <a:schemeClr val="tx1"/>
              </a:solidFill>
              <a:effectLst/>
              <a:latin typeface="+mn-lt"/>
              <a:ea typeface="+mn-ea"/>
              <a:cs typeface="+mn-cs"/>
            </a:rPr>
            <a:t>：</a:t>
          </a:r>
          <a:r>
            <a:rPr lang="en-US" altLang="zh-CN" sz="1100">
              <a:solidFill>
                <a:schemeClr val="tx1"/>
              </a:solidFill>
              <a:effectLst/>
              <a:latin typeface="+mn-lt"/>
              <a:ea typeface="+mn-ea"/>
              <a:cs typeface="+mn-cs"/>
            </a:rPr>
            <a:t>G18</a:t>
          </a:r>
          <a:r>
            <a:rPr lang="zh-CN" altLang="en-US" sz="1100">
              <a:solidFill>
                <a:schemeClr val="tx1"/>
              </a:solidFill>
              <a:effectLst/>
              <a:latin typeface="+mn-lt"/>
              <a:ea typeface="+mn-ea"/>
              <a:cs typeface="+mn-cs"/>
            </a:rPr>
            <a:t>中分别计算</a:t>
          </a:r>
          <a:r>
            <a:rPr lang="en-US" altLang="zh-CN" sz="1100">
              <a:solidFill>
                <a:schemeClr val="tx1"/>
              </a:solidFill>
              <a:effectLst/>
              <a:latin typeface="+mn-lt"/>
              <a:ea typeface="+mn-ea"/>
              <a:cs typeface="+mn-cs"/>
            </a:rPr>
            <a:t>1-5</a:t>
          </a:r>
          <a:r>
            <a:rPr lang="zh-CN" altLang="en-US" sz="1100">
              <a:solidFill>
                <a:schemeClr val="tx1"/>
              </a:solidFill>
              <a:effectLst/>
              <a:latin typeface="+mn-lt"/>
              <a:ea typeface="+mn-ea"/>
              <a:cs typeface="+mn-cs"/>
            </a:rPr>
            <a:t>年和</a:t>
          </a:r>
          <a:r>
            <a:rPr lang="en-US" altLang="zh-CN" sz="1100">
              <a:solidFill>
                <a:schemeClr val="tx1"/>
              </a:solidFill>
              <a:effectLst/>
              <a:latin typeface="+mn-lt"/>
              <a:ea typeface="+mn-ea"/>
              <a:cs typeface="+mn-cs"/>
            </a:rPr>
            <a:t>6-10</a:t>
          </a:r>
          <a:r>
            <a:rPr lang="zh-CN" altLang="en-US" sz="1100">
              <a:solidFill>
                <a:schemeClr val="tx1"/>
              </a:solidFill>
              <a:effectLst/>
              <a:latin typeface="+mn-lt"/>
              <a:ea typeface="+mn-ea"/>
              <a:cs typeface="+mn-cs"/>
            </a:rPr>
            <a:t>年的月还款</a:t>
          </a:r>
          <a:r>
            <a:rPr lang="zh-CN" altLang="zh-CN" sz="1100">
              <a:solidFill>
                <a:schemeClr val="tx1"/>
              </a:solidFill>
              <a:effectLst/>
              <a:latin typeface="+mn-lt"/>
              <a:ea typeface="+mn-ea"/>
              <a:cs typeface="+mn-cs"/>
            </a:rPr>
            <a:t>本金、利息和还款总额</a:t>
          </a:r>
          <a:r>
            <a:rPr lang="zh-CN" altLang="en-US" sz="1100">
              <a:solidFill>
                <a:schemeClr val="tx1"/>
              </a:solidFill>
              <a:effectLst/>
              <a:latin typeface="+mn-lt"/>
              <a:ea typeface="+mn-ea"/>
              <a:cs typeface="+mn-cs"/>
            </a:rPr>
            <a:t>，当前期数请放在单元格</a:t>
          </a:r>
          <a:r>
            <a:rPr lang="en-US" altLang="zh-CN" sz="1100">
              <a:solidFill>
                <a:schemeClr val="tx1"/>
              </a:solidFill>
              <a:effectLst/>
              <a:latin typeface="+mn-lt"/>
              <a:ea typeface="+mn-ea"/>
              <a:cs typeface="+mn-cs"/>
            </a:rPr>
            <a:t>F3</a:t>
          </a:r>
          <a:r>
            <a:rPr lang="zh-CN" altLang="en-US" sz="1100">
              <a:solidFill>
                <a:schemeClr val="tx1"/>
              </a:solidFill>
              <a:effectLst/>
              <a:latin typeface="+mn-lt"/>
              <a:ea typeface="+mn-ea"/>
              <a:cs typeface="+mn-cs"/>
            </a:rPr>
            <a:t>中。</a:t>
          </a:r>
          <a:endParaRPr lang="en-US" altLang="zh-CN" sz="1100">
            <a:solidFill>
              <a:schemeClr val="tx1"/>
            </a:solidFill>
            <a:effectLst/>
            <a:latin typeface="+mn-lt"/>
            <a:ea typeface="+mn-ea"/>
            <a:cs typeface="+mn-cs"/>
          </a:endParaRPr>
        </a:p>
        <a:p>
          <a:endParaRPr lang="en-US" altLang="zh-CN" sz="1100">
            <a:solidFill>
              <a:schemeClr val="tx1"/>
            </a:solidFill>
            <a:effectLst/>
            <a:latin typeface="+mn-lt"/>
            <a:ea typeface="+mn-ea"/>
            <a:cs typeface="+mn-cs"/>
          </a:endParaRPr>
        </a:p>
        <a:p>
          <a:r>
            <a:rPr lang="en-US" altLang="zh-CN" sz="1100">
              <a:solidFill>
                <a:schemeClr val="tx1"/>
              </a:solidFill>
              <a:effectLst/>
              <a:latin typeface="+mn-lt"/>
              <a:ea typeface="+mn-ea"/>
              <a:cs typeface="+mn-cs"/>
            </a:rPr>
            <a:t>4.</a:t>
          </a:r>
          <a:r>
            <a:rPr lang="en-US" altLang="zh-CN" sz="1100" baseline="0">
              <a:solidFill>
                <a:schemeClr val="tx1"/>
              </a:solidFill>
              <a:effectLst/>
              <a:latin typeface="+mn-lt"/>
              <a:ea typeface="+mn-ea"/>
              <a:cs typeface="+mn-cs"/>
            </a:rPr>
            <a:t> </a:t>
          </a:r>
          <a:r>
            <a:rPr lang="zh-CN" altLang="zh-CN" sz="1100">
              <a:solidFill>
                <a:schemeClr val="tx1"/>
              </a:solidFill>
              <a:effectLst/>
              <a:latin typeface="+mn-lt"/>
              <a:ea typeface="+mn-ea"/>
              <a:cs typeface="+mn-cs"/>
            </a:rPr>
            <a:t>根据单元格</a:t>
          </a:r>
          <a:r>
            <a:rPr lang="en-US" altLang="zh-CN" sz="1100">
              <a:solidFill>
                <a:schemeClr val="tx1"/>
              </a:solidFill>
              <a:effectLst/>
              <a:latin typeface="+mn-lt"/>
              <a:ea typeface="+mn-ea"/>
              <a:cs typeface="+mn-cs"/>
            </a:rPr>
            <a:t>B18</a:t>
          </a:r>
          <a:r>
            <a:rPr lang="zh-CN" altLang="zh-CN" sz="1100">
              <a:solidFill>
                <a:schemeClr val="tx1"/>
              </a:solidFill>
              <a:effectLst/>
              <a:latin typeface="+mn-lt"/>
              <a:ea typeface="+mn-ea"/>
              <a:cs typeface="+mn-cs"/>
            </a:rPr>
            <a:t>：</a:t>
          </a:r>
          <a:r>
            <a:rPr lang="en-US" altLang="zh-CN" sz="1100">
              <a:solidFill>
                <a:schemeClr val="tx1"/>
              </a:solidFill>
              <a:effectLst/>
              <a:latin typeface="+mn-lt"/>
              <a:ea typeface="+mn-ea"/>
              <a:cs typeface="+mn-cs"/>
            </a:rPr>
            <a:t>G18</a:t>
          </a:r>
          <a:r>
            <a:rPr lang="zh-CN" altLang="zh-CN" sz="1100">
              <a:solidFill>
                <a:schemeClr val="tx1"/>
              </a:solidFill>
              <a:effectLst/>
              <a:latin typeface="+mn-lt"/>
              <a:ea typeface="+mn-ea"/>
              <a:cs typeface="+mn-cs"/>
            </a:rPr>
            <a:t>的数据结构</a:t>
          </a:r>
          <a:r>
            <a:rPr lang="zh-CN" altLang="zh-CN" sz="1100">
              <a:solidFill>
                <a:schemeClr val="dk1"/>
              </a:solidFill>
              <a:effectLst/>
              <a:latin typeface="+mn-lt"/>
              <a:ea typeface="+mn-ea"/>
              <a:cs typeface="+mn-cs"/>
            </a:rPr>
            <a:t>，</a:t>
          </a:r>
          <a:r>
            <a:rPr lang="zh-CN" altLang="en-US" sz="1100">
              <a:solidFill>
                <a:schemeClr val="dk1"/>
              </a:solidFill>
              <a:effectLst/>
              <a:latin typeface="+mn-lt"/>
              <a:ea typeface="+mn-ea"/>
              <a:cs typeface="+mn-cs"/>
            </a:rPr>
            <a:t>在</a:t>
          </a:r>
          <a:r>
            <a:rPr lang="zh-CN" altLang="en-US" sz="1100" b="1">
              <a:solidFill>
                <a:schemeClr val="dk1"/>
              </a:solidFill>
              <a:effectLst/>
              <a:latin typeface="+mn-lt"/>
              <a:ea typeface="+mn-ea"/>
              <a:cs typeface="+mn-cs"/>
            </a:rPr>
            <a:t>不使用</a:t>
          </a:r>
          <a:r>
            <a:rPr lang="en-US" altLang="zh-CN" sz="1100" b="1">
              <a:solidFill>
                <a:schemeClr val="dk1"/>
              </a:solidFill>
              <a:effectLst/>
              <a:latin typeface="+mn-lt"/>
              <a:ea typeface="+mn-ea"/>
              <a:cs typeface="+mn-cs"/>
            </a:rPr>
            <a:t>If</a:t>
          </a:r>
          <a:r>
            <a:rPr lang="zh-CN" altLang="en-US" sz="1100" b="1">
              <a:solidFill>
                <a:schemeClr val="dk1"/>
              </a:solidFill>
              <a:effectLst/>
              <a:latin typeface="+mn-lt"/>
              <a:ea typeface="+mn-ea"/>
              <a:cs typeface="+mn-cs"/>
            </a:rPr>
            <a:t>函数</a:t>
          </a:r>
          <a:r>
            <a:rPr lang="zh-CN" altLang="en-US" sz="1100">
              <a:solidFill>
                <a:schemeClr val="dk1"/>
              </a:solidFill>
              <a:effectLst/>
              <a:latin typeface="+mn-lt"/>
              <a:ea typeface="+mn-ea"/>
              <a:cs typeface="+mn-cs"/>
            </a:rPr>
            <a:t>的情况下，设计一个查询控制机制，使微调项控制当前期数按步长</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在</a:t>
          </a:r>
          <a:r>
            <a:rPr lang="en-US" altLang="zh-CN" sz="1100">
              <a:solidFill>
                <a:schemeClr val="dk1"/>
              </a:solidFill>
              <a:effectLst/>
              <a:latin typeface="+mn-lt"/>
              <a:ea typeface="+mn-ea"/>
              <a:cs typeface="+mn-cs"/>
            </a:rPr>
            <a:t>1-120</a:t>
          </a:r>
          <a:r>
            <a:rPr lang="zh-CN" altLang="en-US" sz="1100">
              <a:solidFill>
                <a:schemeClr val="dk1"/>
              </a:solidFill>
              <a:effectLst/>
              <a:latin typeface="+mn-lt"/>
              <a:ea typeface="+mn-ea"/>
              <a:cs typeface="+mn-cs"/>
            </a:rPr>
            <a:t>之间变化时，能在单元格</a:t>
          </a:r>
          <a:r>
            <a:rPr lang="en-US" altLang="zh-CN" sz="1100">
              <a:solidFill>
                <a:schemeClr val="dk1"/>
              </a:solidFill>
              <a:effectLst/>
              <a:latin typeface="+mn-lt"/>
              <a:ea typeface="+mn-ea"/>
              <a:cs typeface="+mn-cs"/>
            </a:rPr>
            <a:t>F4</a:t>
          </a:r>
          <a:r>
            <a:rPr lang="zh-CN" altLang="en-US" sz="1100">
              <a:solidFill>
                <a:schemeClr val="dk1"/>
              </a:solidFill>
              <a:effectLst/>
              <a:latin typeface="+mn-lt"/>
              <a:ea typeface="+mn-ea"/>
              <a:cs typeface="+mn-cs"/>
            </a:rPr>
            <a:t>：</a:t>
          </a:r>
          <a:r>
            <a:rPr lang="en-US" altLang="zh-CN" sz="1100">
              <a:solidFill>
                <a:schemeClr val="dk1"/>
              </a:solidFill>
              <a:effectLst/>
              <a:latin typeface="+mn-lt"/>
              <a:ea typeface="+mn-ea"/>
              <a:cs typeface="+mn-cs"/>
            </a:rPr>
            <a:t>F6</a:t>
          </a:r>
          <a:r>
            <a:rPr lang="zh-CN" altLang="en-US" sz="1100">
              <a:solidFill>
                <a:schemeClr val="dk1"/>
              </a:solidFill>
              <a:effectLst/>
              <a:latin typeface="+mn-lt"/>
              <a:ea typeface="+mn-ea"/>
              <a:cs typeface="+mn-cs"/>
            </a:rPr>
            <a:t>中显示当期</a:t>
          </a:r>
          <a:r>
            <a:rPr lang="zh-CN" altLang="zh-CN" sz="1100">
              <a:solidFill>
                <a:schemeClr val="dk1"/>
              </a:solidFill>
              <a:effectLst/>
              <a:latin typeface="+mn-lt"/>
              <a:ea typeface="+mn-ea"/>
              <a:cs typeface="+mn-cs"/>
            </a:rPr>
            <a:t>月还款本金、利息和还款总额</a:t>
          </a:r>
          <a:r>
            <a:rPr lang="zh-CN" altLang="en-US" sz="1100">
              <a:solidFill>
                <a:schemeClr val="dk1"/>
              </a:solidFill>
              <a:effectLst/>
              <a:latin typeface="+mn-lt"/>
              <a:ea typeface="+mn-ea"/>
              <a:cs typeface="+mn-cs"/>
            </a:rPr>
            <a:t>。</a:t>
          </a:r>
          <a:endParaRPr lang="zh-CN" altLang="en-US" sz="1100"/>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19050</xdr:colOff>
          <xdr:row>2</xdr:row>
          <xdr:rowOff>0</xdr:rowOff>
        </xdr:from>
        <xdr:to>
          <xdr:col>6</xdr:col>
          <xdr:colOff>304800</xdr:colOff>
          <xdr:row>2</xdr:row>
          <xdr:rowOff>190500</xdr:rowOff>
        </xdr:to>
        <xdr:sp macro="" textlink="">
          <xdr:nvSpPr>
            <xdr:cNvPr id="11265" name="Spinner 1" hidden="1">
              <a:extLst>
                <a:ext uri="{63B3BB69-23CF-44E3-9099-C40C66FF867C}">
                  <a14:compatExt spid="_x0000_s11265"/>
                </a:ext>
              </a:extLst>
            </xdr:cNvPr>
            <xdr:cNvSpPr/>
          </xdr:nvSpPr>
          <xdr:spPr>
            <a:xfrm>
              <a:off x="0" y="0"/>
              <a:ext cx="0" cy="0"/>
            </a:xfrm>
            <a:prstGeom prst="rect">
              <a:avLst/>
            </a:prstGeom>
          </xdr:spPr>
        </xdr:sp>
        <xdr:clientData/>
      </xdr:twoCellAnchor>
    </mc:Choice>
    <mc:Fallback/>
  </mc:AlternateContent>
  <xdr:twoCellAnchor>
    <xdr:from>
      <xdr:col>7</xdr:col>
      <xdr:colOff>142874</xdr:colOff>
      <xdr:row>1</xdr:row>
      <xdr:rowOff>171450</xdr:rowOff>
    </xdr:from>
    <xdr:to>
      <xdr:col>14</xdr:col>
      <xdr:colOff>590549</xdr:colOff>
      <xdr:row>17</xdr:row>
      <xdr:rowOff>28575</xdr:rowOff>
    </xdr:to>
    <xdr:sp macro="" textlink="">
      <xdr:nvSpPr>
        <xdr:cNvPr id="3" name="TextBox 2"/>
        <xdr:cNvSpPr txBox="1"/>
      </xdr:nvSpPr>
      <xdr:spPr>
        <a:xfrm>
          <a:off x="6934199" y="352425"/>
          <a:ext cx="4829175" cy="282892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zh-CN" altLang="en-US" sz="1100" b="1"/>
            <a:t>第</a:t>
          </a:r>
          <a:r>
            <a:rPr lang="en-US" altLang="zh-CN" sz="1100" b="1"/>
            <a:t>4</a:t>
          </a:r>
          <a:r>
            <a:rPr lang="zh-CN" altLang="en-US" sz="1100" b="1"/>
            <a:t>题</a:t>
          </a:r>
          <a:r>
            <a:rPr lang="zh-CN" altLang="en-US" sz="1100" b="1">
              <a:solidFill>
                <a:srgbClr val="FF0000"/>
              </a:solidFill>
            </a:rPr>
            <a:t>（</a:t>
          </a:r>
          <a:r>
            <a:rPr lang="en-US" altLang="zh-CN" sz="1100" b="1">
              <a:solidFill>
                <a:srgbClr val="FF0000"/>
              </a:solidFill>
            </a:rPr>
            <a:t>10</a:t>
          </a:r>
          <a:r>
            <a:rPr lang="zh-CN" altLang="en-US" sz="1100" b="1">
              <a:solidFill>
                <a:srgbClr val="FF0000"/>
              </a:solidFill>
            </a:rPr>
            <a:t>分）</a:t>
          </a:r>
          <a:r>
            <a:rPr lang="zh-CN" altLang="en-US" sz="1100"/>
            <a:t>某投资者购买公寓商业贷款</a:t>
          </a:r>
          <a:r>
            <a:rPr lang="en-US" altLang="zh-CN" sz="1100"/>
            <a:t>100</a:t>
          </a:r>
          <a:r>
            <a:rPr lang="zh-CN" altLang="en-US" sz="1100"/>
            <a:t>万，计划按照</a:t>
          </a:r>
          <a:r>
            <a:rPr lang="en-US" altLang="zh-CN" sz="1100"/>
            <a:t>10</a:t>
          </a:r>
          <a:r>
            <a:rPr lang="zh-CN" altLang="en-US" sz="1100"/>
            <a:t>年还清，按照等本金还款，请建立还贷查询模型计算每个月的还款本金、利息和总额。要求：</a:t>
          </a:r>
          <a:endParaRPr lang="en-US" altLang="zh-CN" sz="1100"/>
        </a:p>
        <a:p>
          <a:r>
            <a:rPr lang="en-US" altLang="zh-CN" sz="1100"/>
            <a:t>1.</a:t>
          </a:r>
          <a:r>
            <a:rPr lang="zh-CN" altLang="en-US" sz="1100"/>
            <a:t> 利用</a:t>
          </a:r>
          <a:r>
            <a:rPr lang="en-US" altLang="zh-CN" sz="1100"/>
            <a:t>EXCEL</a:t>
          </a:r>
          <a:r>
            <a:rPr lang="zh-CN" altLang="en-US" sz="1100"/>
            <a:t>函数计算按</a:t>
          </a:r>
          <a:r>
            <a:rPr lang="en-US" altLang="zh-CN" sz="1100"/>
            <a:t>10</a:t>
          </a:r>
          <a:r>
            <a:rPr lang="zh-CN" altLang="en-US" sz="1100"/>
            <a:t>年还贷、等本金还款方式下的月还款本金</a:t>
          </a:r>
          <a:r>
            <a:rPr lang="zh-CN" altLang="zh-CN" sz="1100">
              <a:solidFill>
                <a:schemeClr val="dk1"/>
              </a:solidFill>
              <a:effectLst/>
              <a:latin typeface="+mn-lt"/>
              <a:ea typeface="+mn-ea"/>
              <a:cs typeface="+mn-cs"/>
            </a:rPr>
            <a:t>、利息和</a:t>
          </a:r>
          <a:r>
            <a:rPr lang="zh-CN" altLang="en-US" sz="1100">
              <a:solidFill>
                <a:schemeClr val="dk1"/>
              </a:solidFill>
              <a:effectLst/>
              <a:latin typeface="+mn-lt"/>
              <a:ea typeface="+mn-ea"/>
              <a:cs typeface="+mn-cs"/>
            </a:rPr>
            <a:t>还款</a:t>
          </a:r>
          <a:r>
            <a:rPr lang="zh-CN" altLang="zh-CN" sz="1100">
              <a:solidFill>
                <a:schemeClr val="dk1"/>
              </a:solidFill>
              <a:effectLst/>
              <a:latin typeface="+mn-lt"/>
              <a:ea typeface="+mn-ea"/>
              <a:cs typeface="+mn-cs"/>
            </a:rPr>
            <a:t>总额</a:t>
          </a:r>
          <a:r>
            <a:rPr lang="zh-CN" altLang="en-US" sz="1100">
              <a:solidFill>
                <a:schemeClr val="dk1"/>
              </a:solidFill>
              <a:effectLst/>
              <a:latin typeface="+mn-lt"/>
              <a:ea typeface="+mn-ea"/>
              <a:cs typeface="+mn-cs"/>
            </a:rPr>
            <a:t>。</a:t>
          </a:r>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en-US" altLang="zh-CN" sz="1100">
              <a:solidFill>
                <a:schemeClr val="dk1"/>
              </a:solidFill>
              <a:effectLst/>
              <a:latin typeface="+mn-lt"/>
              <a:ea typeface="+mn-ea"/>
              <a:cs typeface="+mn-cs"/>
            </a:rPr>
            <a:t>2. </a:t>
          </a:r>
          <a:r>
            <a:rPr lang="zh-CN" altLang="en-US" sz="1100">
              <a:solidFill>
                <a:schemeClr val="dk1"/>
              </a:solidFill>
              <a:effectLst/>
              <a:latin typeface="+mn-lt"/>
              <a:ea typeface="+mn-ea"/>
              <a:cs typeface="+mn-cs"/>
            </a:rPr>
            <a:t>该投资者预计</a:t>
          </a:r>
          <a:r>
            <a:rPr lang="en-US" altLang="zh-CN" sz="1100">
              <a:solidFill>
                <a:schemeClr val="dk1"/>
              </a:solidFill>
              <a:effectLst/>
              <a:latin typeface="+mn-lt"/>
              <a:ea typeface="+mn-ea"/>
              <a:cs typeface="+mn-cs"/>
            </a:rPr>
            <a:t>5</a:t>
          </a:r>
          <a:r>
            <a:rPr lang="zh-CN" altLang="en-US" sz="1100">
              <a:solidFill>
                <a:schemeClr val="dk1"/>
              </a:solidFill>
              <a:effectLst/>
              <a:latin typeface="+mn-lt"/>
              <a:ea typeface="+mn-ea"/>
              <a:cs typeface="+mn-cs"/>
            </a:rPr>
            <a:t>年末有债券到期本息和</a:t>
          </a:r>
          <a:r>
            <a:rPr lang="en-US" altLang="zh-CN" sz="1100">
              <a:solidFill>
                <a:schemeClr val="dk1"/>
              </a:solidFill>
              <a:effectLst/>
              <a:latin typeface="+mn-lt"/>
              <a:ea typeface="+mn-ea"/>
              <a:cs typeface="+mn-cs"/>
            </a:rPr>
            <a:t>5</a:t>
          </a:r>
          <a:r>
            <a:rPr lang="zh-CN" altLang="zh-CN" sz="1100">
              <a:solidFill>
                <a:schemeClr val="dk1"/>
              </a:solidFill>
              <a:effectLst/>
              <a:latin typeface="+mn-lt"/>
              <a:ea typeface="+mn-ea"/>
              <a:cs typeface="+mn-cs"/>
            </a:rPr>
            <a:t>万元</a:t>
          </a:r>
          <a:r>
            <a:rPr lang="zh-CN" altLang="en-US" sz="1100">
              <a:solidFill>
                <a:schemeClr val="dk1"/>
              </a:solidFill>
              <a:effectLst/>
              <a:latin typeface="+mn-lt"/>
              <a:ea typeface="+mn-ea"/>
              <a:cs typeface="+mn-cs"/>
            </a:rPr>
            <a:t>，可以用于提前冲还贷，请计算冲还贷以后，剩余待归还本金。</a:t>
          </a:r>
          <a:endParaRPr lang="en-US" altLang="zh-CN" sz="110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en-US" altLang="zh-CN" sz="1100">
              <a:solidFill>
                <a:schemeClr val="dk1"/>
              </a:solidFill>
              <a:effectLst/>
              <a:latin typeface="+mn-lt"/>
              <a:ea typeface="+mn-ea"/>
              <a:cs typeface="+mn-cs"/>
            </a:rPr>
            <a:t>3. </a:t>
          </a:r>
          <a:r>
            <a:rPr lang="zh-CN" altLang="en-US" sz="1100">
              <a:solidFill>
                <a:schemeClr val="dk1"/>
              </a:solidFill>
              <a:effectLst/>
              <a:latin typeface="+mn-lt"/>
              <a:ea typeface="+mn-ea"/>
              <a:cs typeface="+mn-cs"/>
            </a:rPr>
            <a:t>单元格</a:t>
          </a:r>
          <a:r>
            <a:rPr lang="en-US" altLang="zh-CN" sz="1100">
              <a:solidFill>
                <a:schemeClr val="tx1"/>
              </a:solidFill>
              <a:effectLst/>
              <a:latin typeface="+mn-lt"/>
              <a:ea typeface="+mn-ea"/>
              <a:cs typeface="+mn-cs"/>
            </a:rPr>
            <a:t>B18</a:t>
          </a:r>
          <a:r>
            <a:rPr lang="zh-CN" altLang="en-US" sz="1100">
              <a:solidFill>
                <a:schemeClr val="tx1"/>
              </a:solidFill>
              <a:effectLst/>
              <a:latin typeface="+mn-lt"/>
              <a:ea typeface="+mn-ea"/>
              <a:cs typeface="+mn-cs"/>
            </a:rPr>
            <a:t>：</a:t>
          </a:r>
          <a:r>
            <a:rPr lang="en-US" altLang="zh-CN" sz="1100">
              <a:solidFill>
                <a:schemeClr val="tx1"/>
              </a:solidFill>
              <a:effectLst/>
              <a:latin typeface="+mn-lt"/>
              <a:ea typeface="+mn-ea"/>
              <a:cs typeface="+mn-cs"/>
            </a:rPr>
            <a:t>G18</a:t>
          </a:r>
          <a:r>
            <a:rPr lang="zh-CN" altLang="en-US" sz="1100">
              <a:solidFill>
                <a:schemeClr val="tx1"/>
              </a:solidFill>
              <a:effectLst/>
              <a:latin typeface="+mn-lt"/>
              <a:ea typeface="+mn-ea"/>
              <a:cs typeface="+mn-cs"/>
            </a:rPr>
            <a:t>中分别计算</a:t>
          </a:r>
          <a:r>
            <a:rPr lang="en-US" altLang="zh-CN" sz="1100">
              <a:solidFill>
                <a:schemeClr val="tx1"/>
              </a:solidFill>
              <a:effectLst/>
              <a:latin typeface="+mn-lt"/>
              <a:ea typeface="+mn-ea"/>
              <a:cs typeface="+mn-cs"/>
            </a:rPr>
            <a:t>1-5</a:t>
          </a:r>
          <a:r>
            <a:rPr lang="zh-CN" altLang="en-US" sz="1100">
              <a:solidFill>
                <a:schemeClr val="tx1"/>
              </a:solidFill>
              <a:effectLst/>
              <a:latin typeface="+mn-lt"/>
              <a:ea typeface="+mn-ea"/>
              <a:cs typeface="+mn-cs"/>
            </a:rPr>
            <a:t>年和</a:t>
          </a:r>
          <a:r>
            <a:rPr lang="en-US" altLang="zh-CN" sz="1100">
              <a:solidFill>
                <a:schemeClr val="tx1"/>
              </a:solidFill>
              <a:effectLst/>
              <a:latin typeface="+mn-lt"/>
              <a:ea typeface="+mn-ea"/>
              <a:cs typeface="+mn-cs"/>
            </a:rPr>
            <a:t>6-10</a:t>
          </a:r>
          <a:r>
            <a:rPr lang="zh-CN" altLang="en-US" sz="1100">
              <a:solidFill>
                <a:schemeClr val="tx1"/>
              </a:solidFill>
              <a:effectLst/>
              <a:latin typeface="+mn-lt"/>
              <a:ea typeface="+mn-ea"/>
              <a:cs typeface="+mn-cs"/>
            </a:rPr>
            <a:t>年的月还款</a:t>
          </a:r>
          <a:r>
            <a:rPr lang="zh-CN" altLang="zh-CN" sz="1100">
              <a:solidFill>
                <a:schemeClr val="tx1"/>
              </a:solidFill>
              <a:effectLst/>
              <a:latin typeface="+mn-lt"/>
              <a:ea typeface="+mn-ea"/>
              <a:cs typeface="+mn-cs"/>
            </a:rPr>
            <a:t>本金、利息和还款总额</a:t>
          </a:r>
          <a:r>
            <a:rPr lang="zh-CN" altLang="en-US" sz="1100">
              <a:solidFill>
                <a:schemeClr val="tx1"/>
              </a:solidFill>
              <a:effectLst/>
              <a:latin typeface="+mn-lt"/>
              <a:ea typeface="+mn-ea"/>
              <a:cs typeface="+mn-cs"/>
            </a:rPr>
            <a:t>，当前期数请放在单元格</a:t>
          </a:r>
          <a:r>
            <a:rPr lang="en-US" altLang="zh-CN" sz="1100">
              <a:solidFill>
                <a:schemeClr val="tx1"/>
              </a:solidFill>
              <a:effectLst/>
              <a:latin typeface="+mn-lt"/>
              <a:ea typeface="+mn-ea"/>
              <a:cs typeface="+mn-cs"/>
            </a:rPr>
            <a:t>F3</a:t>
          </a:r>
          <a:r>
            <a:rPr lang="zh-CN" altLang="en-US" sz="1100">
              <a:solidFill>
                <a:schemeClr val="tx1"/>
              </a:solidFill>
              <a:effectLst/>
              <a:latin typeface="+mn-lt"/>
              <a:ea typeface="+mn-ea"/>
              <a:cs typeface="+mn-cs"/>
            </a:rPr>
            <a:t>中。</a:t>
          </a:r>
          <a:endParaRPr lang="en-US" altLang="zh-CN" sz="1100">
            <a:solidFill>
              <a:schemeClr val="tx1"/>
            </a:solidFill>
            <a:effectLst/>
            <a:latin typeface="+mn-lt"/>
            <a:ea typeface="+mn-ea"/>
            <a:cs typeface="+mn-cs"/>
          </a:endParaRPr>
        </a:p>
        <a:p>
          <a:endParaRPr lang="en-US" altLang="zh-CN" sz="1100">
            <a:solidFill>
              <a:schemeClr val="tx1"/>
            </a:solidFill>
            <a:effectLst/>
            <a:latin typeface="+mn-lt"/>
            <a:ea typeface="+mn-ea"/>
            <a:cs typeface="+mn-cs"/>
          </a:endParaRPr>
        </a:p>
        <a:p>
          <a:r>
            <a:rPr lang="en-US" altLang="zh-CN" sz="1100">
              <a:solidFill>
                <a:schemeClr val="tx1"/>
              </a:solidFill>
              <a:effectLst/>
              <a:latin typeface="+mn-lt"/>
              <a:ea typeface="+mn-ea"/>
              <a:cs typeface="+mn-cs"/>
            </a:rPr>
            <a:t>4.</a:t>
          </a:r>
          <a:r>
            <a:rPr lang="en-US" altLang="zh-CN" sz="1100" baseline="0">
              <a:solidFill>
                <a:schemeClr val="tx1"/>
              </a:solidFill>
              <a:effectLst/>
              <a:latin typeface="+mn-lt"/>
              <a:ea typeface="+mn-ea"/>
              <a:cs typeface="+mn-cs"/>
            </a:rPr>
            <a:t> </a:t>
          </a:r>
          <a:r>
            <a:rPr lang="zh-CN" altLang="zh-CN" sz="1100">
              <a:solidFill>
                <a:schemeClr val="tx1"/>
              </a:solidFill>
              <a:effectLst/>
              <a:latin typeface="+mn-lt"/>
              <a:ea typeface="+mn-ea"/>
              <a:cs typeface="+mn-cs"/>
            </a:rPr>
            <a:t>根据单元格</a:t>
          </a:r>
          <a:r>
            <a:rPr lang="en-US" altLang="zh-CN" sz="1100">
              <a:solidFill>
                <a:schemeClr val="tx1"/>
              </a:solidFill>
              <a:effectLst/>
              <a:latin typeface="+mn-lt"/>
              <a:ea typeface="+mn-ea"/>
              <a:cs typeface="+mn-cs"/>
            </a:rPr>
            <a:t>B18</a:t>
          </a:r>
          <a:r>
            <a:rPr lang="zh-CN" altLang="zh-CN" sz="1100">
              <a:solidFill>
                <a:schemeClr val="tx1"/>
              </a:solidFill>
              <a:effectLst/>
              <a:latin typeface="+mn-lt"/>
              <a:ea typeface="+mn-ea"/>
              <a:cs typeface="+mn-cs"/>
            </a:rPr>
            <a:t>：</a:t>
          </a:r>
          <a:r>
            <a:rPr lang="en-US" altLang="zh-CN" sz="1100">
              <a:solidFill>
                <a:schemeClr val="tx1"/>
              </a:solidFill>
              <a:effectLst/>
              <a:latin typeface="+mn-lt"/>
              <a:ea typeface="+mn-ea"/>
              <a:cs typeface="+mn-cs"/>
            </a:rPr>
            <a:t>G18</a:t>
          </a:r>
          <a:r>
            <a:rPr lang="zh-CN" altLang="zh-CN" sz="1100">
              <a:solidFill>
                <a:schemeClr val="tx1"/>
              </a:solidFill>
              <a:effectLst/>
              <a:latin typeface="+mn-lt"/>
              <a:ea typeface="+mn-ea"/>
              <a:cs typeface="+mn-cs"/>
            </a:rPr>
            <a:t>的数据结构</a:t>
          </a:r>
          <a:r>
            <a:rPr lang="zh-CN" altLang="zh-CN" sz="1100">
              <a:solidFill>
                <a:schemeClr val="dk1"/>
              </a:solidFill>
              <a:effectLst/>
              <a:latin typeface="+mn-lt"/>
              <a:ea typeface="+mn-ea"/>
              <a:cs typeface="+mn-cs"/>
            </a:rPr>
            <a:t>，</a:t>
          </a:r>
          <a:r>
            <a:rPr lang="zh-CN" altLang="en-US" sz="1100">
              <a:solidFill>
                <a:schemeClr val="dk1"/>
              </a:solidFill>
              <a:effectLst/>
              <a:latin typeface="+mn-lt"/>
              <a:ea typeface="+mn-ea"/>
              <a:cs typeface="+mn-cs"/>
            </a:rPr>
            <a:t>在</a:t>
          </a:r>
          <a:r>
            <a:rPr lang="zh-CN" altLang="en-US" sz="1100" b="1">
              <a:solidFill>
                <a:schemeClr val="dk1"/>
              </a:solidFill>
              <a:effectLst/>
              <a:latin typeface="+mn-lt"/>
              <a:ea typeface="+mn-ea"/>
              <a:cs typeface="+mn-cs"/>
            </a:rPr>
            <a:t>不使用</a:t>
          </a:r>
          <a:r>
            <a:rPr lang="en-US" altLang="zh-CN" sz="1100" b="1">
              <a:solidFill>
                <a:schemeClr val="dk1"/>
              </a:solidFill>
              <a:effectLst/>
              <a:latin typeface="+mn-lt"/>
              <a:ea typeface="+mn-ea"/>
              <a:cs typeface="+mn-cs"/>
            </a:rPr>
            <a:t>If</a:t>
          </a:r>
          <a:r>
            <a:rPr lang="zh-CN" altLang="en-US" sz="1100" b="1">
              <a:solidFill>
                <a:schemeClr val="dk1"/>
              </a:solidFill>
              <a:effectLst/>
              <a:latin typeface="+mn-lt"/>
              <a:ea typeface="+mn-ea"/>
              <a:cs typeface="+mn-cs"/>
            </a:rPr>
            <a:t>函数</a:t>
          </a:r>
          <a:r>
            <a:rPr lang="zh-CN" altLang="en-US" sz="1100">
              <a:solidFill>
                <a:schemeClr val="dk1"/>
              </a:solidFill>
              <a:effectLst/>
              <a:latin typeface="+mn-lt"/>
              <a:ea typeface="+mn-ea"/>
              <a:cs typeface="+mn-cs"/>
            </a:rPr>
            <a:t>的情况下，设计一个查询控制机制，使微调项控制当前期数按步长</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在</a:t>
          </a:r>
          <a:r>
            <a:rPr lang="en-US" altLang="zh-CN" sz="1100">
              <a:solidFill>
                <a:schemeClr val="dk1"/>
              </a:solidFill>
              <a:effectLst/>
              <a:latin typeface="+mn-lt"/>
              <a:ea typeface="+mn-ea"/>
              <a:cs typeface="+mn-cs"/>
            </a:rPr>
            <a:t>1-120</a:t>
          </a:r>
          <a:r>
            <a:rPr lang="zh-CN" altLang="en-US" sz="1100">
              <a:solidFill>
                <a:schemeClr val="dk1"/>
              </a:solidFill>
              <a:effectLst/>
              <a:latin typeface="+mn-lt"/>
              <a:ea typeface="+mn-ea"/>
              <a:cs typeface="+mn-cs"/>
            </a:rPr>
            <a:t>之间变化时，能在单元格</a:t>
          </a:r>
          <a:r>
            <a:rPr lang="en-US" altLang="zh-CN" sz="1100">
              <a:solidFill>
                <a:schemeClr val="dk1"/>
              </a:solidFill>
              <a:effectLst/>
              <a:latin typeface="+mn-lt"/>
              <a:ea typeface="+mn-ea"/>
              <a:cs typeface="+mn-cs"/>
            </a:rPr>
            <a:t>F4</a:t>
          </a:r>
          <a:r>
            <a:rPr lang="zh-CN" altLang="en-US" sz="1100">
              <a:solidFill>
                <a:schemeClr val="dk1"/>
              </a:solidFill>
              <a:effectLst/>
              <a:latin typeface="+mn-lt"/>
              <a:ea typeface="+mn-ea"/>
              <a:cs typeface="+mn-cs"/>
            </a:rPr>
            <a:t>：</a:t>
          </a:r>
          <a:r>
            <a:rPr lang="en-US" altLang="zh-CN" sz="1100">
              <a:solidFill>
                <a:schemeClr val="dk1"/>
              </a:solidFill>
              <a:effectLst/>
              <a:latin typeface="+mn-lt"/>
              <a:ea typeface="+mn-ea"/>
              <a:cs typeface="+mn-cs"/>
            </a:rPr>
            <a:t>F6</a:t>
          </a:r>
          <a:r>
            <a:rPr lang="zh-CN" altLang="en-US" sz="1100">
              <a:solidFill>
                <a:schemeClr val="dk1"/>
              </a:solidFill>
              <a:effectLst/>
              <a:latin typeface="+mn-lt"/>
              <a:ea typeface="+mn-ea"/>
              <a:cs typeface="+mn-cs"/>
            </a:rPr>
            <a:t>中显示当期</a:t>
          </a:r>
          <a:r>
            <a:rPr lang="zh-CN" altLang="zh-CN" sz="1100">
              <a:solidFill>
                <a:schemeClr val="dk1"/>
              </a:solidFill>
              <a:effectLst/>
              <a:latin typeface="+mn-lt"/>
              <a:ea typeface="+mn-ea"/>
              <a:cs typeface="+mn-cs"/>
            </a:rPr>
            <a:t>月还款本金、利息和还款总额</a:t>
          </a:r>
          <a:r>
            <a:rPr lang="zh-CN" altLang="en-US" sz="1100">
              <a:solidFill>
                <a:schemeClr val="dk1"/>
              </a:solidFill>
              <a:effectLst/>
              <a:latin typeface="+mn-lt"/>
              <a:ea typeface="+mn-ea"/>
              <a:cs typeface="+mn-cs"/>
            </a:rPr>
            <a:t>。</a:t>
          </a:r>
          <a:endParaRPr lang="zh-CN"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619125</xdr:colOff>
      <xdr:row>0</xdr:row>
      <xdr:rowOff>133349</xdr:rowOff>
    </xdr:from>
    <xdr:to>
      <xdr:col>12</xdr:col>
      <xdr:colOff>371475</xdr:colOff>
      <xdr:row>36</xdr:row>
      <xdr:rowOff>9524</xdr:rowOff>
    </xdr:to>
    <xdr:grpSp>
      <xdr:nvGrpSpPr>
        <xdr:cNvPr id="2" name="组合 1"/>
        <xdr:cNvGrpSpPr/>
      </xdr:nvGrpSpPr>
      <xdr:grpSpPr>
        <a:xfrm>
          <a:off x="3667125" y="133349"/>
          <a:ext cx="5238750" cy="5638800"/>
          <a:chOff x="0" y="2876549"/>
          <a:chExt cx="5353050" cy="5648325"/>
        </a:xfrm>
      </xdr:grpSpPr>
      <xdr:sp macro="" textlink="">
        <xdr:nvSpPr>
          <xdr:cNvPr id="3" name="Text Box 2"/>
          <xdr:cNvSpPr txBox="1">
            <a:spLocks noChangeArrowheads="1"/>
          </xdr:cNvSpPr>
        </xdr:nvSpPr>
        <xdr:spPr bwMode="auto">
          <a:xfrm>
            <a:off x="0" y="2876549"/>
            <a:ext cx="5353050" cy="5648325"/>
          </a:xfrm>
          <a:prstGeom prst="rect">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82800" tIns="82800" rIns="90000" bIns="46800" anchor="t"/>
          <a:lstStyle/>
          <a:p>
            <a:pPr marL="0" indent="0" algn="l" rtl="0">
              <a:lnSpc>
                <a:spcPct val="100000"/>
              </a:lnSpc>
              <a:defRPr sz="1000"/>
            </a:pPr>
            <a:r>
              <a:rPr lang="zh-CN" altLang="en-US" sz="1200" b="1" i="0" u="none" strike="noStrike" baseline="0">
                <a:solidFill>
                  <a:srgbClr val="000000"/>
                </a:solidFill>
                <a:latin typeface="宋体"/>
                <a:ea typeface="宋体"/>
                <a:cs typeface="+mn-cs"/>
              </a:rPr>
              <a:t>第</a:t>
            </a:r>
            <a:r>
              <a:rPr lang="en-US" altLang="zh-CN" sz="1200" b="1" i="0" u="none" strike="noStrike" baseline="0">
                <a:solidFill>
                  <a:srgbClr val="000000"/>
                </a:solidFill>
                <a:latin typeface="宋体"/>
                <a:ea typeface="宋体"/>
                <a:cs typeface="+mn-cs"/>
              </a:rPr>
              <a:t>5</a:t>
            </a:r>
            <a:r>
              <a:rPr lang="zh-CN" altLang="en-US" sz="1200" b="1" i="0" u="none" strike="noStrike" baseline="0">
                <a:solidFill>
                  <a:srgbClr val="000000"/>
                </a:solidFill>
                <a:latin typeface="宋体"/>
                <a:ea typeface="宋体"/>
                <a:cs typeface="+mn-cs"/>
              </a:rPr>
              <a:t>题</a:t>
            </a:r>
            <a:r>
              <a:rPr lang="zh-CN" altLang="en-US" sz="1200" b="1" i="0" u="none" strike="noStrike" baseline="0">
                <a:solidFill>
                  <a:srgbClr val="FF0000"/>
                </a:solidFill>
                <a:latin typeface="宋体"/>
                <a:ea typeface="宋体"/>
                <a:cs typeface="+mn-cs"/>
              </a:rPr>
              <a:t>（1</a:t>
            </a:r>
            <a:r>
              <a:rPr lang="en-US" altLang="zh-CN" sz="1200" b="1" i="0" u="none" strike="noStrike" baseline="0">
                <a:solidFill>
                  <a:srgbClr val="FF0000"/>
                </a:solidFill>
                <a:latin typeface="宋体"/>
                <a:ea typeface="宋体"/>
                <a:cs typeface="+mn-cs"/>
              </a:rPr>
              <a:t>4</a:t>
            </a:r>
            <a:r>
              <a:rPr lang="zh-CN" altLang="en-US" sz="1200" b="1" i="0" u="none" strike="noStrike" baseline="0">
                <a:solidFill>
                  <a:srgbClr val="FF0000"/>
                </a:solidFill>
                <a:latin typeface="宋体"/>
                <a:ea typeface="宋体"/>
                <a:cs typeface="+mn-cs"/>
              </a:rPr>
              <a:t>分）</a:t>
            </a:r>
            <a:r>
              <a:rPr lang="zh-CN" altLang="en-US" sz="1200" b="1" i="0" u="none" strike="noStrike" baseline="0">
                <a:solidFill>
                  <a:srgbClr val="000000"/>
                </a:solidFill>
                <a:latin typeface="宋体"/>
                <a:ea typeface="宋体"/>
                <a:cs typeface="+mn-cs"/>
              </a:rPr>
              <a:t> </a:t>
            </a:r>
            <a:r>
              <a:rPr lang="zh-CN" altLang="en-US" sz="1200" b="0" i="0" u="none" strike="noStrike" baseline="0">
                <a:solidFill>
                  <a:srgbClr val="000000"/>
                </a:solidFill>
                <a:latin typeface="宋体"/>
                <a:ea typeface="宋体"/>
                <a:cs typeface="+mn-cs"/>
              </a:rPr>
              <a:t>有</a:t>
            </a:r>
            <a:r>
              <a:rPr lang="en-US" altLang="zh-CN" sz="1200" b="0" i="0" u="none" strike="noStrike" baseline="0">
                <a:solidFill>
                  <a:srgbClr val="000000"/>
                </a:solidFill>
                <a:latin typeface="宋体"/>
                <a:ea typeface="宋体"/>
                <a:cs typeface="+mn-cs"/>
              </a:rPr>
              <a:t>A</a:t>
            </a:r>
            <a:r>
              <a:rPr lang="zh-CN" altLang="en-US" sz="1200" b="0" i="0" u="none" strike="noStrike" baseline="0">
                <a:solidFill>
                  <a:srgbClr val="000000"/>
                </a:solidFill>
                <a:latin typeface="宋体"/>
                <a:ea typeface="宋体"/>
                <a:cs typeface="+mn-cs"/>
              </a:rPr>
              <a:t>、</a:t>
            </a:r>
            <a:r>
              <a:rPr lang="en-US" altLang="zh-CN" sz="1200" b="0" i="0" u="none" strike="noStrike" baseline="0">
                <a:solidFill>
                  <a:srgbClr val="000000"/>
                </a:solidFill>
                <a:latin typeface="宋体"/>
                <a:ea typeface="宋体"/>
                <a:cs typeface="+mn-cs"/>
              </a:rPr>
              <a:t>B</a:t>
            </a:r>
            <a:r>
              <a:rPr lang="zh-CN" altLang="en-US" sz="1200" b="0" i="0" u="none" strike="noStrike" baseline="0">
                <a:solidFill>
                  <a:srgbClr val="000000"/>
                </a:solidFill>
                <a:latin typeface="宋体"/>
                <a:ea typeface="宋体"/>
                <a:cs typeface="+mn-cs"/>
              </a:rPr>
              <a:t>两个投资项目，项目A在第0年要投入1500万，随后5年每年可获得500万收益；项目B在第0年投入500万，接下来两年每年还要再投入500万，第1年可获得200万收益，第2年可获得400万收益，随后3年每年可获得600万收益。假定贴现率为1</a:t>
            </a:r>
            <a:r>
              <a:rPr lang="en-US" altLang="zh-CN" sz="1200" b="0" i="0" u="none" strike="noStrike" baseline="0">
                <a:solidFill>
                  <a:srgbClr val="000000"/>
                </a:solidFill>
                <a:latin typeface="宋体"/>
                <a:ea typeface="宋体"/>
                <a:cs typeface="+mn-cs"/>
              </a:rPr>
              <a:t>5</a:t>
            </a:r>
            <a:r>
              <a:rPr lang="zh-CN" altLang="en-US" sz="1200" b="0" i="0" u="none" strike="noStrike" baseline="0">
                <a:solidFill>
                  <a:srgbClr val="000000"/>
                </a:solidFill>
                <a:latin typeface="宋体"/>
                <a:ea typeface="宋体"/>
                <a:cs typeface="+mn-cs"/>
              </a:rPr>
              <a:t>%，试在本工作表中完成如下操作：</a:t>
            </a:r>
          </a:p>
          <a:p>
            <a:pPr marL="0" indent="0" algn="l" rtl="0">
              <a:lnSpc>
                <a:spcPct val="100000"/>
              </a:lnSpc>
              <a:defRPr sz="1000"/>
            </a:pPr>
            <a:r>
              <a:rPr lang="en-US" altLang="zh-CN" sz="1200" b="0" i="0" u="none" strike="noStrike" baseline="0">
                <a:solidFill>
                  <a:srgbClr val="000000"/>
                </a:solidFill>
                <a:latin typeface="宋体"/>
                <a:ea typeface="宋体"/>
                <a:cs typeface="+mn-cs"/>
              </a:rPr>
              <a:t>1</a:t>
            </a:r>
            <a:r>
              <a:rPr lang="zh-CN" altLang="en-US" sz="1200" b="0" i="0" u="none" strike="noStrike" baseline="0">
                <a:solidFill>
                  <a:srgbClr val="000000"/>
                </a:solidFill>
                <a:latin typeface="宋体"/>
                <a:ea typeface="宋体"/>
                <a:cs typeface="+mn-cs"/>
              </a:rPr>
              <a:t>、计算两个投资项目的净现值。</a:t>
            </a:r>
          </a:p>
          <a:p>
            <a:pPr marL="0" indent="0" algn="l" rtl="0">
              <a:lnSpc>
                <a:spcPct val="100000"/>
              </a:lnSpc>
              <a:defRPr sz="1000"/>
            </a:pPr>
            <a:r>
              <a:rPr lang="zh-CN" altLang="en-US" sz="1200" b="0" i="0" u="none" strike="noStrike" baseline="0">
                <a:solidFill>
                  <a:srgbClr val="000000"/>
                </a:solidFill>
                <a:latin typeface="宋体"/>
                <a:ea typeface="+mn-ea"/>
                <a:cs typeface="+mn-cs"/>
              </a:rPr>
              <a:t>2、如样图所示，画出“净现值随贴现率变化的图形</a:t>
            </a:r>
            <a:r>
              <a:rPr lang="zh-CN" altLang="en-US" sz="1200" b="0" i="0" u="none" strike="noStrike" baseline="0">
                <a:solidFill>
                  <a:srgbClr val="000000"/>
                </a:solidFill>
                <a:latin typeface="宋体"/>
                <a:ea typeface="宋体"/>
                <a:cs typeface="+mn-cs"/>
              </a:rPr>
              <a:t>”。</a:t>
            </a:r>
            <a:endParaRPr lang="en-US" altLang="zh-CN" sz="1200" b="0" i="0" u="none" strike="noStrike" baseline="0">
              <a:solidFill>
                <a:srgbClr val="000000"/>
              </a:solidFill>
              <a:latin typeface="宋体"/>
              <a:ea typeface="宋体"/>
              <a:cs typeface="+mn-cs"/>
            </a:endParaRPr>
          </a:p>
          <a:p>
            <a:pPr marL="0" indent="0" algn="l" rtl="0">
              <a:lnSpc>
                <a:spcPct val="100000"/>
              </a:lnSpc>
              <a:defRPr sz="1000"/>
            </a:pPr>
            <a:r>
              <a:rPr lang="zh-CN" altLang="en-US" sz="1200" b="0" i="0" u="none" strike="noStrike" baseline="0">
                <a:solidFill>
                  <a:srgbClr val="000000"/>
                </a:solidFill>
                <a:latin typeface="宋体"/>
                <a:ea typeface="宋体"/>
                <a:cs typeface="+mn-cs"/>
              </a:rPr>
              <a:t>3、用数值调节钮调整贴现率在</a:t>
            </a:r>
            <a:r>
              <a:rPr lang="en-US" altLang="zh-CN" sz="1200" b="0" i="0" u="none" strike="noStrike" baseline="0">
                <a:solidFill>
                  <a:srgbClr val="000000"/>
                </a:solidFill>
                <a:latin typeface="宋体"/>
                <a:ea typeface="宋体"/>
                <a:cs typeface="+mn-cs"/>
              </a:rPr>
              <a:t>5%-20%</a:t>
            </a:r>
            <a:r>
              <a:rPr lang="zh-CN" altLang="en-US" sz="1200" b="0" i="0" u="none" strike="noStrike" baseline="0">
                <a:solidFill>
                  <a:srgbClr val="000000"/>
                </a:solidFill>
                <a:latin typeface="宋体"/>
                <a:ea typeface="宋体"/>
                <a:cs typeface="+mn-cs"/>
              </a:rPr>
              <a:t>范围、以步长</a:t>
            </a:r>
            <a:r>
              <a:rPr lang="en-US" altLang="zh-CN" sz="1200" b="0" i="0" u="none" strike="noStrike" baseline="0">
                <a:solidFill>
                  <a:srgbClr val="000000"/>
                </a:solidFill>
                <a:latin typeface="宋体"/>
                <a:ea typeface="宋体"/>
                <a:cs typeface="+mn-cs"/>
              </a:rPr>
              <a:t>1%</a:t>
            </a:r>
            <a:r>
              <a:rPr lang="zh-CN" altLang="en-US" sz="1200" b="0" i="0" u="none" strike="noStrike" baseline="0">
                <a:solidFill>
                  <a:srgbClr val="000000"/>
                </a:solidFill>
                <a:latin typeface="宋体"/>
                <a:ea typeface="宋体"/>
                <a:cs typeface="+mn-cs"/>
              </a:rPr>
              <a:t>变化，在图上画出相应的辅助线，并给出最优投资项目的决策结论。</a:t>
            </a: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219075" y="4619625"/>
            <a:ext cx="4938188" cy="3767655"/>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xdr:row>
      <xdr:rowOff>0</xdr:rowOff>
    </xdr:from>
    <xdr:to>
      <xdr:col>15</xdr:col>
      <xdr:colOff>66675</xdr:colOff>
      <xdr:row>16</xdr:row>
      <xdr:rowOff>57150</xdr:rowOff>
    </xdr:to>
    <xdr:grpSp>
      <xdr:nvGrpSpPr>
        <xdr:cNvPr id="2" name="组合 1"/>
        <xdr:cNvGrpSpPr/>
      </xdr:nvGrpSpPr>
      <xdr:grpSpPr>
        <a:xfrm>
          <a:off x="4800600" y="171450"/>
          <a:ext cx="5553075" cy="2628900"/>
          <a:chOff x="5486400" y="171450"/>
          <a:chExt cx="5553075" cy="2362200"/>
        </a:xfrm>
      </xdr:grpSpPr>
      <xdr:sp macro="" textlink="">
        <xdr:nvSpPr>
          <xdr:cNvPr id="3" name="Text Box 2"/>
          <xdr:cNvSpPr txBox="1">
            <a:spLocks noChangeArrowheads="1"/>
          </xdr:cNvSpPr>
        </xdr:nvSpPr>
        <xdr:spPr bwMode="auto">
          <a:xfrm>
            <a:off x="5486400" y="171450"/>
            <a:ext cx="5553075" cy="2362200"/>
          </a:xfrm>
          <a:prstGeom prst="rect">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1">
              <a:defRPr sz="1000"/>
            </a:pPr>
            <a:r>
              <a:rPr lang="zh-CN" altLang="en-US" sz="1000" b="1" i="0" strike="noStrike">
                <a:solidFill>
                  <a:srgbClr val="000000"/>
                </a:solidFill>
                <a:latin typeface="宋体"/>
                <a:ea typeface="宋体"/>
              </a:rPr>
              <a:t> </a:t>
            </a:r>
            <a:r>
              <a:rPr lang="zh-CN" altLang="en-US" sz="1200" b="1" i="0" strike="noStrike">
                <a:solidFill>
                  <a:srgbClr val="000000"/>
                </a:solidFill>
                <a:latin typeface="宋体"/>
                <a:ea typeface="宋体"/>
              </a:rPr>
              <a:t>第</a:t>
            </a:r>
            <a:r>
              <a:rPr lang="en-US" altLang="zh-CN" sz="1200" b="1" i="0" strike="noStrike">
                <a:solidFill>
                  <a:srgbClr val="000000"/>
                </a:solidFill>
                <a:latin typeface="宋体"/>
                <a:ea typeface="宋体"/>
              </a:rPr>
              <a:t>6</a:t>
            </a:r>
            <a:r>
              <a:rPr lang="zh-CN" altLang="en-US" sz="1200" b="1" i="0" strike="noStrike">
                <a:solidFill>
                  <a:srgbClr val="000000"/>
                </a:solidFill>
                <a:latin typeface="宋体"/>
                <a:ea typeface="宋体"/>
              </a:rPr>
              <a:t>题</a:t>
            </a:r>
            <a:r>
              <a:rPr lang="zh-CN" altLang="en-US" sz="1200" b="0" i="0" strike="noStrike">
                <a:solidFill>
                  <a:srgbClr val="000000"/>
                </a:solidFill>
                <a:latin typeface="宋体"/>
                <a:ea typeface="宋体"/>
              </a:rPr>
              <a:t> </a:t>
            </a:r>
            <a:r>
              <a:rPr lang="en-US" altLang="zh-CN" sz="1200" b="1" i="0" strike="noStrike">
                <a:solidFill>
                  <a:srgbClr val="FF0000"/>
                </a:solidFill>
                <a:latin typeface="宋体"/>
                <a:ea typeface="宋体"/>
              </a:rPr>
              <a:t>(14</a:t>
            </a:r>
            <a:r>
              <a:rPr lang="zh-CN" altLang="en-US" sz="1200" b="1" i="0" strike="noStrike">
                <a:solidFill>
                  <a:srgbClr val="FF0000"/>
                </a:solidFill>
                <a:latin typeface="宋体"/>
                <a:ea typeface="宋体"/>
              </a:rPr>
              <a:t>分</a:t>
            </a:r>
            <a:r>
              <a:rPr lang="en-US" altLang="zh-CN" sz="1200" b="1" i="0" strike="noStrike">
                <a:solidFill>
                  <a:srgbClr val="FF0000"/>
                </a:solidFill>
                <a:latin typeface="宋体"/>
                <a:ea typeface="宋体"/>
              </a:rPr>
              <a:t>)</a:t>
            </a:r>
            <a:r>
              <a:rPr lang="zh-CN" altLang="en-US" sz="1200" b="1" i="0" strike="noStrike" baseline="0">
                <a:solidFill>
                  <a:srgbClr val="FF0000"/>
                </a:solidFill>
                <a:latin typeface="宋体"/>
                <a:ea typeface="宋体"/>
              </a:rPr>
              <a:t> </a:t>
            </a:r>
            <a:r>
              <a:rPr lang="zh-CN" altLang="en-US" sz="1200" b="0" i="0" strike="noStrike">
                <a:solidFill>
                  <a:srgbClr val="000000"/>
                </a:solidFill>
                <a:latin typeface="宋体"/>
                <a:ea typeface="宋体"/>
              </a:rPr>
              <a:t>某连锁健身机构要把</a:t>
            </a:r>
            <a:r>
              <a:rPr lang="en-US" altLang="zh-CN" sz="1200" b="0" i="0" strike="noStrike">
                <a:solidFill>
                  <a:srgbClr val="000000"/>
                </a:solidFill>
                <a:latin typeface="宋体"/>
                <a:ea typeface="宋体"/>
              </a:rPr>
              <a:t>4</a:t>
            </a:r>
            <a:r>
              <a:rPr lang="zh-CN" altLang="en-US" sz="1200" b="0" i="0" strike="noStrike">
                <a:solidFill>
                  <a:srgbClr val="000000"/>
                </a:solidFill>
                <a:latin typeface="宋体"/>
                <a:ea typeface="宋体"/>
              </a:rPr>
              <a:t>位健身教练派去</a:t>
            </a:r>
            <a:r>
              <a:rPr lang="en-US" altLang="zh-CN" sz="1200" b="0" i="0" strike="noStrike">
                <a:solidFill>
                  <a:srgbClr val="000000"/>
                </a:solidFill>
                <a:latin typeface="宋体"/>
                <a:ea typeface="宋体"/>
              </a:rPr>
              <a:t>4</a:t>
            </a:r>
            <a:r>
              <a:rPr lang="zh-CN" altLang="en-US" sz="1200" b="0" i="0" strike="noStrike">
                <a:solidFill>
                  <a:srgbClr val="000000"/>
                </a:solidFill>
                <a:latin typeface="宋体"/>
                <a:ea typeface="宋体"/>
              </a:rPr>
              <a:t>家不同的健身房，每个健身教练必须负责一家健身房，每个健身房必须要有一位健身教练负责。由于各位健身教练住的地方不同，到各健身房的交通费如表所示。</a:t>
            </a:r>
          </a:p>
          <a:p>
            <a:pPr algn="l" rtl="1">
              <a:defRPr sz="1000"/>
            </a:pPr>
            <a:endParaRPr lang="en-US" altLang="zh-CN" sz="1200" b="0" i="0" strike="noStrike">
              <a:solidFill>
                <a:srgbClr val="000000"/>
              </a:solidFill>
              <a:latin typeface="宋体"/>
              <a:ea typeface="宋体"/>
            </a:endParaRPr>
          </a:p>
          <a:p>
            <a:pPr algn="l" rtl="1">
              <a:defRPr sz="1000"/>
            </a:pPr>
            <a:endParaRPr lang="en-US" altLang="zh-CN" sz="1200" b="0" i="0" strike="noStrike">
              <a:solidFill>
                <a:srgbClr val="000000"/>
              </a:solidFill>
              <a:latin typeface="宋体"/>
              <a:ea typeface="宋体"/>
            </a:endParaRPr>
          </a:p>
          <a:p>
            <a:pPr algn="l" rtl="1">
              <a:defRPr sz="1000"/>
            </a:pPr>
            <a:endParaRPr lang="en-US" altLang="zh-CN" sz="1200" b="0" i="0" strike="noStrike">
              <a:solidFill>
                <a:srgbClr val="000000"/>
              </a:solidFill>
              <a:latin typeface="宋体"/>
              <a:ea typeface="宋体"/>
            </a:endParaRPr>
          </a:p>
          <a:p>
            <a:pPr algn="l" rtl="1">
              <a:defRPr sz="1000"/>
            </a:pPr>
            <a:endParaRPr lang="en-US" altLang="zh-CN" sz="1200" b="0" i="0" strike="noStrike">
              <a:solidFill>
                <a:srgbClr val="000000"/>
              </a:solidFill>
              <a:latin typeface="宋体"/>
              <a:ea typeface="宋体"/>
            </a:endParaRPr>
          </a:p>
          <a:p>
            <a:pPr algn="l" rtl="1">
              <a:defRPr sz="1000"/>
            </a:pPr>
            <a:endParaRPr lang="en-US" altLang="zh-CN" sz="1200" b="0" i="0" strike="noStrike">
              <a:solidFill>
                <a:srgbClr val="000000"/>
              </a:solidFill>
              <a:latin typeface="宋体"/>
              <a:ea typeface="宋体"/>
            </a:endParaRPr>
          </a:p>
          <a:p>
            <a:pPr algn="l" rtl="1">
              <a:defRPr sz="1000"/>
            </a:pPr>
            <a:endParaRPr lang="en-US" altLang="zh-CN" sz="1200" b="0" i="0" strike="noStrike">
              <a:solidFill>
                <a:srgbClr val="000000"/>
              </a:solidFill>
              <a:latin typeface="宋体"/>
              <a:ea typeface="宋体"/>
            </a:endParaRPr>
          </a:p>
          <a:p>
            <a:pPr algn="l" rtl="1">
              <a:defRPr sz="1000"/>
            </a:pPr>
            <a:endParaRPr lang="en-US" altLang="zh-CN" sz="1200" b="0" i="0" strike="noStrike">
              <a:solidFill>
                <a:srgbClr val="000000"/>
              </a:solidFill>
              <a:latin typeface="宋体"/>
              <a:ea typeface="宋体"/>
            </a:endParaRPr>
          </a:p>
          <a:p>
            <a:pPr algn="l" rtl="1">
              <a:defRPr sz="1000"/>
            </a:pPr>
            <a:r>
              <a:rPr lang="zh-CN" altLang="en-US" sz="1200" b="0" i="0" strike="noStrike">
                <a:solidFill>
                  <a:srgbClr val="000000"/>
                </a:solidFill>
                <a:latin typeface="宋体"/>
                <a:ea typeface="宋体"/>
              </a:rPr>
              <a:t>要求：确定一种使总交通费最优的安排方案。把规划求解参数保存在</a:t>
            </a:r>
            <a:r>
              <a:rPr lang="en-US" altLang="zh-CN" sz="1200" b="0" i="0" strike="noStrike">
                <a:solidFill>
                  <a:srgbClr val="000000"/>
                </a:solidFill>
                <a:latin typeface="宋体"/>
                <a:ea typeface="宋体"/>
              </a:rPr>
              <a:t>A20</a:t>
            </a:r>
            <a:r>
              <a:rPr lang="zh-CN" altLang="en-US" sz="1200" b="0" i="0" strike="noStrike">
                <a:solidFill>
                  <a:srgbClr val="000000"/>
                </a:solidFill>
                <a:latin typeface="宋体"/>
                <a:ea typeface="宋体"/>
              </a:rPr>
              <a:t>开始的单元中</a:t>
            </a:r>
            <a:r>
              <a:rPr lang="zh-CN" altLang="en-US" sz="1000" b="0" i="0" strike="noStrike">
                <a:solidFill>
                  <a:srgbClr val="000000"/>
                </a:solidFill>
                <a:latin typeface="宋体"/>
                <a:ea typeface="宋体"/>
              </a:rPr>
              <a:t>。</a:t>
            </a:r>
          </a:p>
          <a:p>
            <a:pPr algn="l" rtl="1">
              <a:defRPr sz="1000"/>
            </a:pPr>
            <a:endParaRPr lang="zh-CN" altLang="en-US" sz="1000" b="0" i="0" strike="noStrike">
              <a:solidFill>
                <a:srgbClr val="000000"/>
              </a:solidFill>
              <a:latin typeface="宋体"/>
              <a:ea typeface="宋体"/>
            </a:endParaRP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6315075" y="981075"/>
            <a:ext cx="3438442" cy="865707"/>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304800</xdr:colOff>
      <xdr:row>1</xdr:row>
      <xdr:rowOff>76200</xdr:rowOff>
    </xdr:from>
    <xdr:to>
      <xdr:col>15</xdr:col>
      <xdr:colOff>95250</xdr:colOff>
      <xdr:row>14</xdr:row>
      <xdr:rowOff>114300</xdr:rowOff>
    </xdr:to>
    <xdr:grpSp>
      <xdr:nvGrpSpPr>
        <xdr:cNvPr id="2" name="组合 1"/>
        <xdr:cNvGrpSpPr/>
      </xdr:nvGrpSpPr>
      <xdr:grpSpPr>
        <a:xfrm>
          <a:off x="4638675" y="247650"/>
          <a:ext cx="5229225" cy="2286000"/>
          <a:chOff x="4638675" y="247650"/>
          <a:chExt cx="5229225" cy="2286000"/>
        </a:xfrm>
      </xdr:grpSpPr>
      <xdr:sp macro="" textlink="">
        <xdr:nvSpPr>
          <xdr:cNvPr id="3" name="Text Box 1"/>
          <xdr:cNvSpPr txBox="1">
            <a:spLocks noChangeArrowheads="1"/>
          </xdr:cNvSpPr>
        </xdr:nvSpPr>
        <xdr:spPr bwMode="auto">
          <a:xfrm>
            <a:off x="4638675" y="247650"/>
            <a:ext cx="5229225" cy="2286000"/>
          </a:xfrm>
          <a:prstGeom prst="rect">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82800" tIns="82800" rIns="90000" bIns="46800" anchor="t"/>
          <a:lstStyle/>
          <a:p>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Arial"/>
                <a:ea typeface="+mn-ea"/>
                <a:cs typeface="Arial"/>
              </a:rPr>
              <a:t>7</a:t>
            </a:r>
            <a:r>
              <a:rPr lang="zh-CN" altLang="en-US" sz="1200" b="1" i="0" u="none" strike="noStrike" baseline="0">
                <a:solidFill>
                  <a:srgbClr val="000000"/>
                </a:solidFill>
                <a:latin typeface="宋体"/>
                <a:ea typeface="宋体"/>
              </a:rPr>
              <a:t>题</a:t>
            </a:r>
            <a:r>
              <a:rPr lang="zh-CN" altLang="en-US" sz="1200" b="1" i="0" u="none" strike="noStrike" baseline="0">
                <a:solidFill>
                  <a:srgbClr val="FF0000"/>
                </a:solidFill>
                <a:latin typeface="宋体"/>
                <a:ea typeface="宋体"/>
              </a:rPr>
              <a:t>（</a:t>
            </a:r>
            <a:r>
              <a:rPr lang="en-US" altLang="zh-CN" sz="1200" b="1" i="0" u="none" strike="noStrike" baseline="0">
                <a:solidFill>
                  <a:srgbClr val="FF0000"/>
                </a:solidFill>
                <a:latin typeface="宋体"/>
                <a:ea typeface="宋体"/>
              </a:rPr>
              <a:t>1</a:t>
            </a:r>
            <a:r>
              <a:rPr lang="en-US" altLang="zh-CN" sz="1200" b="1" i="0" u="none" strike="noStrike" baseline="0">
                <a:solidFill>
                  <a:srgbClr val="FF0000"/>
                </a:solidFill>
                <a:latin typeface="Arial"/>
                <a:ea typeface="+mn-ea"/>
                <a:cs typeface="Arial"/>
              </a:rPr>
              <a:t>1</a:t>
            </a:r>
            <a:r>
              <a:rPr lang="zh-CN" altLang="en-US" sz="1200" b="1" i="0" u="none" strike="noStrike" baseline="0">
                <a:solidFill>
                  <a:srgbClr val="FF0000"/>
                </a:solidFill>
                <a:latin typeface="宋体"/>
                <a:ea typeface="宋体"/>
              </a:rPr>
              <a:t>分）</a:t>
            </a:r>
            <a:r>
              <a:rPr lang="zh-CN" altLang="en-US" sz="1200" b="1" i="0" u="none" strike="noStrike" baseline="0">
                <a:solidFill>
                  <a:srgbClr val="FF0000"/>
                </a:solidFill>
                <a:latin typeface="Arial"/>
                <a:cs typeface="Arial"/>
              </a:rPr>
              <a:t> </a:t>
            </a:r>
            <a:r>
              <a:rPr lang="zh-CN" altLang="en-US" sz="1100" b="0" i="0" u="none" strike="noStrike" baseline="0">
                <a:solidFill>
                  <a:schemeClr val="dk1"/>
                </a:solidFill>
                <a:effectLst/>
                <a:latin typeface="+mn-lt"/>
                <a:ea typeface="+mn-ea"/>
                <a:cs typeface="+mn-cs"/>
              </a:rPr>
              <a:t>有</a:t>
            </a:r>
            <a:r>
              <a:rPr lang="en-US" altLang="zh-CN" sz="1100" b="0" i="0" u="none" strike="noStrike" baseline="0">
                <a:solidFill>
                  <a:schemeClr val="dk1"/>
                </a:solidFill>
                <a:effectLst/>
                <a:latin typeface="+mn-lt"/>
                <a:ea typeface="+mn-ea"/>
                <a:cs typeface="+mn-cs"/>
              </a:rPr>
              <a:t>4</a:t>
            </a:r>
            <a:r>
              <a:rPr lang="zh-CN" altLang="en-US" sz="1100" b="0" i="0" u="none" strike="noStrike" baseline="0">
                <a:solidFill>
                  <a:schemeClr val="dk1"/>
                </a:solidFill>
                <a:effectLst/>
                <a:latin typeface="+mn-lt"/>
                <a:ea typeface="+mn-ea"/>
                <a:cs typeface="+mn-cs"/>
              </a:rPr>
              <a:t>个工人，要指派他们分别完成</a:t>
            </a:r>
            <a:r>
              <a:rPr lang="en-US" altLang="zh-CN" sz="1100" b="0" i="0" u="none" strike="noStrike" baseline="0">
                <a:solidFill>
                  <a:schemeClr val="dk1"/>
                </a:solidFill>
                <a:effectLst/>
                <a:latin typeface="+mn-lt"/>
                <a:ea typeface="+mn-ea"/>
                <a:cs typeface="+mn-cs"/>
              </a:rPr>
              <a:t>4</a:t>
            </a:r>
            <a:r>
              <a:rPr lang="zh-CN" altLang="en-US" sz="1100" b="0" i="0" u="none" strike="noStrike" baseline="0">
                <a:solidFill>
                  <a:schemeClr val="dk1"/>
                </a:solidFill>
                <a:effectLst/>
                <a:latin typeface="+mn-lt"/>
                <a:ea typeface="+mn-ea"/>
                <a:cs typeface="+mn-cs"/>
              </a:rPr>
              <a:t>种工作，每人做各种工作所消耗的时间如下表所示，问指派哪个人去完成哪种工作，可使总的消耗时间最少？</a:t>
            </a:r>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b="0" i="0" u="none" strike="noStrike" baseline="0">
              <a:solidFill>
                <a:schemeClr val="dk1"/>
              </a:solidFill>
              <a:effectLst/>
              <a:latin typeface="+mn-lt"/>
              <a:ea typeface="+mn-ea"/>
              <a:cs typeface="+mn-cs"/>
            </a:endParaRPr>
          </a:p>
          <a:p>
            <a:endParaRPr lang="en-US" altLang="zh-CN" sz="1100">
              <a:solidFill>
                <a:schemeClr val="dk1"/>
              </a:solidFill>
              <a:effectLst/>
              <a:latin typeface="+mn-lt"/>
              <a:ea typeface="+mn-ea"/>
              <a:cs typeface="+mn-cs"/>
            </a:endParaRPr>
          </a:p>
          <a:p>
            <a:r>
              <a:rPr lang="zh-CN" altLang="zh-CN" sz="1100">
                <a:solidFill>
                  <a:schemeClr val="dk1"/>
                </a:solidFill>
                <a:effectLst/>
                <a:latin typeface="+mn-lt"/>
                <a:ea typeface="+mn-ea"/>
                <a:cs typeface="+mn-cs"/>
              </a:rPr>
              <a:t>请用规划求解工具求解，并将结果保存在本工作表的</a:t>
            </a:r>
            <a:r>
              <a:rPr lang="en-US" altLang="zh-CN" sz="1100">
                <a:solidFill>
                  <a:schemeClr val="dk1"/>
                </a:solidFill>
                <a:effectLst/>
                <a:latin typeface="+mn-lt"/>
                <a:ea typeface="+mn-ea"/>
                <a:cs typeface="+mn-cs"/>
              </a:rPr>
              <a:t>A1</a:t>
            </a:r>
            <a:r>
              <a:rPr lang="zh-CN" altLang="zh-CN" sz="1100">
                <a:solidFill>
                  <a:schemeClr val="dk1"/>
                </a:solidFill>
                <a:effectLst/>
                <a:latin typeface="+mn-lt"/>
                <a:ea typeface="+mn-ea"/>
                <a:cs typeface="+mn-cs"/>
              </a:rPr>
              <a:t>单元格中。</a:t>
            </a:r>
            <a:endParaRPr lang="zh-CN" altLang="zh-CN" sz="1200">
              <a:effectLst/>
            </a:endParaRPr>
          </a:p>
          <a:p>
            <a:pPr algn="l" rtl="0">
              <a:lnSpc>
                <a:spcPts val="1500"/>
              </a:lnSpc>
              <a:defRPr sz="1000"/>
            </a:pPr>
            <a:endParaRPr lang="zh-CN" altLang="en-US" sz="1200" b="0" i="0" u="none" strike="noStrike" baseline="0">
              <a:solidFill>
                <a:srgbClr val="000000"/>
              </a:solidFill>
              <a:latin typeface="宋体"/>
              <a:ea typeface="宋体"/>
            </a:endParaRPr>
          </a:p>
        </xdr:txBody>
      </xdr:sp>
      <xdr:pic>
        <xdr:nvPicPr>
          <xdr:cNvPr id="4" name="图片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914400"/>
            <a:ext cx="3162300" cy="10572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285750</xdr:colOff>
      <xdr:row>7</xdr:row>
      <xdr:rowOff>133351</xdr:rowOff>
    </xdr:from>
    <xdr:to>
      <xdr:col>10</xdr:col>
      <xdr:colOff>600075</xdr:colOff>
      <xdr:row>29</xdr:row>
      <xdr:rowOff>9525</xdr:rowOff>
    </xdr:to>
    <xdr:grpSp>
      <xdr:nvGrpSpPr>
        <xdr:cNvPr id="2" name="组合 1"/>
        <xdr:cNvGrpSpPr/>
      </xdr:nvGrpSpPr>
      <xdr:grpSpPr>
        <a:xfrm>
          <a:off x="4333875" y="1400176"/>
          <a:ext cx="6029325" cy="3857624"/>
          <a:chOff x="4333875" y="1400176"/>
          <a:chExt cx="6029325" cy="3857624"/>
        </a:xfrm>
      </xdr:grpSpPr>
      <xdr:sp macro="" textlink="">
        <xdr:nvSpPr>
          <xdr:cNvPr id="3" name="Text Box 7"/>
          <xdr:cNvSpPr txBox="1">
            <a:spLocks noChangeArrowheads="1"/>
          </xdr:cNvSpPr>
        </xdr:nvSpPr>
        <xdr:spPr bwMode="auto">
          <a:xfrm>
            <a:off x="4333875" y="1400176"/>
            <a:ext cx="6029325" cy="3857624"/>
          </a:xfrm>
          <a:prstGeom prst="rect">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45720" tIns="41148" rIns="0" bIns="0" anchor="t" upright="1"/>
          <a:lstStyle/>
          <a:p>
            <a:pPr algn="l" rtl="0">
              <a:lnSpc>
                <a:spcPts val="15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8</a:t>
            </a:r>
            <a:r>
              <a:rPr lang="zh-CN" altLang="en-US" sz="1200" b="1" i="0" u="none" strike="noStrike" baseline="0">
                <a:solidFill>
                  <a:srgbClr val="000000"/>
                </a:solidFill>
                <a:latin typeface="宋体"/>
                <a:ea typeface="宋体"/>
              </a:rPr>
              <a:t>题</a:t>
            </a:r>
            <a:r>
              <a:rPr lang="zh-CN" altLang="en-US" sz="1200" b="1" i="0" u="none" strike="noStrike" baseline="0">
                <a:solidFill>
                  <a:srgbClr val="FF0000"/>
                </a:solidFill>
                <a:latin typeface="宋体"/>
                <a:ea typeface="宋体"/>
              </a:rPr>
              <a:t>（</a:t>
            </a:r>
            <a:r>
              <a:rPr lang="en-US" altLang="zh-CN" sz="1200" b="1" i="0" u="none" strike="noStrike" baseline="0">
                <a:solidFill>
                  <a:srgbClr val="FF0000"/>
                </a:solidFill>
                <a:latin typeface="宋体"/>
                <a:ea typeface="宋体"/>
              </a:rPr>
              <a:t>15</a:t>
            </a:r>
            <a:r>
              <a:rPr lang="zh-CN" altLang="en-US" sz="1200" b="1" i="0" u="none" strike="noStrike" baseline="0">
                <a:solidFill>
                  <a:srgbClr val="FF0000"/>
                </a:solidFill>
                <a:latin typeface="宋体"/>
                <a:ea typeface="宋体"/>
              </a:rPr>
              <a:t>分）</a:t>
            </a:r>
            <a:r>
              <a:rPr lang="en-US" altLang="zh-CN" sz="1200" b="0" i="0" u="none" strike="noStrike" baseline="0">
                <a:solidFill>
                  <a:srgbClr val="000000"/>
                </a:solidFill>
                <a:latin typeface="宋体"/>
                <a:ea typeface="宋体"/>
              </a:rPr>
              <a:t>Memory</a:t>
            </a:r>
            <a:r>
              <a:rPr lang="zh-CN" altLang="en-US" sz="1200" b="0" i="0" u="none" strike="noStrike" baseline="0">
                <a:solidFill>
                  <a:srgbClr val="000000"/>
                </a:solidFill>
                <a:latin typeface="宋体"/>
                <a:ea typeface="宋体"/>
              </a:rPr>
              <a:t>是一家咖啡店，他们经过对以往的统计数据分析发现，周末咖啡的需求量服从均值为500的泊松分布，而工作日的披萨需求量是服从均值为150，标准差为30的正态分布。当客户订咖啡时，他们才进行生产。咖啡原材料和人工的单位变动成本由于受到市场价的影响，可能为1</a:t>
            </a:r>
            <a:r>
              <a:rPr lang="en-US" altLang="zh-CN" sz="1200" b="0" i="0" u="none" strike="noStrike" baseline="0">
                <a:solidFill>
                  <a:srgbClr val="000000"/>
                </a:solidFill>
                <a:latin typeface="宋体"/>
                <a:ea typeface="宋体"/>
              </a:rPr>
              <a:t>5</a:t>
            </a:r>
            <a:r>
              <a:rPr lang="zh-CN" altLang="en-US" sz="1200" b="0" i="0" u="none" strike="noStrike" baseline="0">
                <a:solidFill>
                  <a:srgbClr val="000000"/>
                </a:solidFill>
                <a:latin typeface="宋体"/>
                <a:ea typeface="宋体"/>
              </a:rPr>
              <a:t>元、1</a:t>
            </a:r>
            <a:r>
              <a:rPr lang="en-US" altLang="zh-CN" sz="1200" b="0" i="0" u="none" strike="noStrike" baseline="0">
                <a:solidFill>
                  <a:srgbClr val="000000"/>
                </a:solidFill>
                <a:latin typeface="宋体"/>
                <a:ea typeface="宋体"/>
              </a:rPr>
              <a:t>6</a:t>
            </a:r>
            <a:r>
              <a:rPr lang="zh-CN" altLang="en-US" sz="1200" b="0" i="0" u="none" strike="noStrike" baseline="0">
                <a:solidFill>
                  <a:srgbClr val="000000"/>
                </a:solidFill>
                <a:latin typeface="宋体"/>
                <a:ea typeface="宋体"/>
              </a:rPr>
              <a:t>元、1</a:t>
            </a:r>
            <a:r>
              <a:rPr lang="en-US" altLang="zh-CN" sz="1200" b="0" i="0" u="none" strike="noStrike" baseline="0">
                <a:solidFill>
                  <a:srgbClr val="000000"/>
                </a:solidFill>
                <a:latin typeface="宋体"/>
                <a:ea typeface="宋体"/>
              </a:rPr>
              <a:t>7</a:t>
            </a:r>
            <a:r>
              <a:rPr lang="zh-CN" altLang="en-US" sz="1200" b="0" i="0" u="none" strike="noStrike" baseline="0">
                <a:solidFill>
                  <a:srgbClr val="000000"/>
                </a:solidFill>
                <a:latin typeface="宋体"/>
                <a:ea typeface="宋体"/>
              </a:rPr>
              <a:t>元或1</a:t>
            </a:r>
            <a:r>
              <a:rPr lang="en-US" altLang="zh-CN" sz="1200" b="0" i="0" u="none" strike="noStrike" baseline="0">
                <a:solidFill>
                  <a:srgbClr val="000000"/>
                </a:solidFill>
                <a:latin typeface="宋体"/>
                <a:ea typeface="宋体"/>
              </a:rPr>
              <a:t>8</a:t>
            </a:r>
            <a:r>
              <a:rPr lang="zh-CN" altLang="en-US" sz="1200" b="0" i="0" u="none" strike="noStrike" baseline="0">
                <a:solidFill>
                  <a:srgbClr val="000000"/>
                </a:solidFill>
                <a:latin typeface="宋体"/>
                <a:ea typeface="宋体"/>
              </a:rPr>
              <a:t>元，其概率分布见表。单价为50元，缺货成本为50元。他们使用咖啡机来制作咖啡，一个咖啡机的日折旧为300元，而一个咖啡机一天最多能制作咖啡的杯数为50。请为该店确定应购买的咖啡机的个数。请建立随机模型，做</a:t>
            </a:r>
            <a:r>
              <a:rPr lang="en-US" altLang="zh-CN" sz="1200" b="0" i="0" u="none" strike="noStrike" baseline="0">
                <a:solidFill>
                  <a:srgbClr val="000000"/>
                </a:solidFill>
                <a:latin typeface="宋体"/>
                <a:ea typeface="宋体"/>
              </a:rPr>
              <a:t>100</a:t>
            </a:r>
            <a:r>
              <a:rPr lang="zh-CN" altLang="en-US" sz="1200" b="0" i="0" u="none" strike="noStrike" baseline="0">
                <a:solidFill>
                  <a:srgbClr val="000000"/>
                </a:solidFill>
                <a:latin typeface="宋体"/>
                <a:ea typeface="宋体"/>
              </a:rPr>
              <a:t>次的模拟试验，并将试验结果反映到图形中，在图形中可以清晰地看到咖啡机数量对应该店周平均利润的变动情况。。</a:t>
            </a: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5343268" y="3048000"/>
            <a:ext cx="3709132" cy="1999587"/>
          </a:xfrm>
          <a:prstGeom prst="rect">
            <a:avLst/>
          </a:prstGeom>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trlProp" Target="../ctrlProps/ctrlProp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5"/>
  <sheetViews>
    <sheetView showGridLines="0" workbookViewId="0">
      <selection activeCell="I22" sqref="I22"/>
    </sheetView>
  </sheetViews>
  <sheetFormatPr defaultColWidth="9" defaultRowHeight="13.5"/>
  <cols>
    <col min="1" max="1" width="9" style="3"/>
    <col min="2" max="2" width="16.875" style="3" customWidth="1"/>
    <col min="3" max="4" width="9" style="3"/>
    <col min="5" max="5" width="14.5" style="3" customWidth="1"/>
    <col min="6" max="15" width="9" style="3"/>
    <col min="16" max="16" width="0" style="3" hidden="1" customWidth="1"/>
    <col min="17" max="16384" width="9" style="3"/>
  </cols>
  <sheetData>
    <row r="1" spans="1:256" ht="15">
      <c r="A1" s="1" t="s">
        <v>0</v>
      </c>
      <c r="B1" s="2"/>
      <c r="D1" s="1" t="s">
        <v>1</v>
      </c>
      <c r="E1" s="4"/>
      <c r="G1" s="5"/>
      <c r="P1" s="3" t="s">
        <v>104</v>
      </c>
      <c r="IV1" s="6" t="s">
        <v>2</v>
      </c>
    </row>
    <row r="4" spans="1:256" ht="22.5">
      <c r="A4" s="7"/>
    </row>
    <row r="6" spans="1:256" ht="14.25">
      <c r="I6" s="8" t="s">
        <v>3</v>
      </c>
      <c r="J6" s="8" t="s">
        <v>4</v>
      </c>
    </row>
    <row r="7" spans="1:256" ht="15">
      <c r="I7" s="9" t="s">
        <v>5</v>
      </c>
      <c r="J7" s="10">
        <v>13</v>
      </c>
    </row>
    <row r="8" spans="1:256" ht="15">
      <c r="I8" s="9" t="s">
        <v>6</v>
      </c>
      <c r="J8" s="10">
        <v>8</v>
      </c>
    </row>
    <row r="9" spans="1:256" ht="15">
      <c r="I9" s="9" t="s">
        <v>7</v>
      </c>
      <c r="J9" s="10">
        <v>15</v>
      </c>
    </row>
    <row r="10" spans="1:256" ht="15">
      <c r="I10" s="9" t="s">
        <v>8</v>
      </c>
      <c r="J10" s="10">
        <v>10</v>
      </c>
    </row>
    <row r="11" spans="1:256" ht="15">
      <c r="I11" s="9" t="s">
        <v>9</v>
      </c>
      <c r="J11" s="10">
        <v>14</v>
      </c>
    </row>
    <row r="12" spans="1:256" ht="15">
      <c r="I12" s="9" t="s">
        <v>10</v>
      </c>
      <c r="J12" s="10">
        <v>14</v>
      </c>
    </row>
    <row r="13" spans="1:256" ht="15">
      <c r="I13" s="9" t="s">
        <v>11</v>
      </c>
      <c r="J13" s="10">
        <v>11</v>
      </c>
    </row>
    <row r="14" spans="1:256" ht="15">
      <c r="I14" s="9" t="s">
        <v>12</v>
      </c>
      <c r="J14" s="10">
        <v>15</v>
      </c>
    </row>
    <row r="15" spans="1:256" ht="15">
      <c r="I15" s="9" t="s">
        <v>13</v>
      </c>
      <c r="J15" s="10">
        <f>SUM(J7:J14)</f>
        <v>100</v>
      </c>
    </row>
  </sheetData>
  <sheetProtection password="C1AF" sheet="1" objects="1" scenarios="1"/>
  <phoneticPr fontId="9"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C15" sqref="C15"/>
    </sheetView>
  </sheetViews>
  <sheetFormatPr defaultRowHeight="13.5"/>
  <sheetData>
    <row r="2" spans="2:2">
      <c r="B2" t="s">
        <v>103</v>
      </c>
    </row>
  </sheetData>
  <phoneticPr fontId="6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workbookViewId="0">
      <selection activeCell="B25" sqref="B25"/>
    </sheetView>
  </sheetViews>
  <sheetFormatPr defaultColWidth="9" defaultRowHeight="14.25"/>
  <cols>
    <col min="1" max="1" width="3.625" style="12" customWidth="1"/>
    <col min="2" max="2" width="27.25" style="27" bestFit="1" customWidth="1"/>
    <col min="3" max="3" width="16.125" style="27" customWidth="1"/>
    <col min="4" max="13" width="9" style="12"/>
    <col min="14" max="16384" width="9" style="28"/>
  </cols>
  <sheetData>
    <row r="1" spans="2:3">
      <c r="B1" s="11"/>
      <c r="C1" s="11"/>
    </row>
    <row r="2" spans="2:3" ht="15">
      <c r="B2" s="13" t="s">
        <v>14</v>
      </c>
      <c r="C2" s="14">
        <v>20000</v>
      </c>
    </row>
    <row r="3" spans="2:3" ht="15">
      <c r="B3" s="15"/>
      <c r="C3" s="15"/>
    </row>
    <row r="4" spans="2:3" ht="15">
      <c r="B4" s="16"/>
      <c r="C4" s="17" t="s">
        <v>15</v>
      </c>
    </row>
    <row r="5" spans="2:3" ht="15">
      <c r="B5" s="18" t="s">
        <v>16</v>
      </c>
      <c r="C5" s="19">
        <v>500</v>
      </c>
    </row>
    <row r="6" spans="2:3" ht="15">
      <c r="B6" s="20" t="s">
        <v>17</v>
      </c>
      <c r="C6" s="21">
        <v>0.05</v>
      </c>
    </row>
    <row r="7" spans="2:3" ht="15">
      <c r="B7" s="20" t="s">
        <v>18</v>
      </c>
      <c r="C7" s="22">
        <v>275</v>
      </c>
    </row>
    <row r="8" spans="2:3" ht="15">
      <c r="B8" s="13" t="s">
        <v>19</v>
      </c>
      <c r="C8" s="19">
        <v>10000000</v>
      </c>
    </row>
    <row r="9" spans="2:3" ht="15">
      <c r="B9" s="15"/>
      <c r="C9" s="15"/>
    </row>
    <row r="10" spans="2:3" ht="15">
      <c r="B10" s="13" t="s">
        <v>20</v>
      </c>
      <c r="C10" s="23"/>
    </row>
    <row r="11" spans="2:3" ht="15">
      <c r="B11" s="24" t="s">
        <v>21</v>
      </c>
      <c r="C11" s="25"/>
    </row>
    <row r="12" spans="2:3" ht="15">
      <c r="B12" s="13" t="s">
        <v>22</v>
      </c>
      <c r="C12" s="23"/>
    </row>
    <row r="13" spans="2:3" ht="15">
      <c r="B13" s="13" t="s">
        <v>23</v>
      </c>
      <c r="C13" s="23"/>
    </row>
    <row r="14" spans="2:3" ht="15">
      <c r="B14" s="13" t="s">
        <v>24</v>
      </c>
      <c r="C14" s="23"/>
    </row>
    <row r="15" spans="2:3" ht="15">
      <c r="B15" s="15"/>
      <c r="C15" s="15"/>
    </row>
    <row r="16" spans="2:3" ht="19.5">
      <c r="B16" s="13" t="s">
        <v>25</v>
      </c>
      <c r="C16" s="26"/>
    </row>
    <row r="17" spans="2:3" ht="19.5">
      <c r="B17" s="13" t="s">
        <v>26</v>
      </c>
      <c r="C17" s="26"/>
    </row>
    <row r="18" spans="2:3" ht="15">
      <c r="B18" s="15"/>
      <c r="C18" s="15"/>
    </row>
  </sheetData>
  <phoneticPr fontId="6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2"/>
  <sheetViews>
    <sheetView zoomScaleNormal="100" workbookViewId="0">
      <selection activeCell="K9" sqref="K9"/>
    </sheetView>
  </sheetViews>
  <sheetFormatPr defaultColWidth="9" defaultRowHeight="18.75" customHeight="1"/>
  <cols>
    <col min="1" max="1" width="3.375" style="31" customWidth="1"/>
    <col min="2" max="2" width="25" style="31" bestFit="1" customWidth="1"/>
    <col min="3" max="3" width="16.625" style="31" customWidth="1"/>
    <col min="4" max="4" width="4.125" style="31" customWidth="1"/>
    <col min="5" max="5" width="14.625" style="31" customWidth="1"/>
    <col min="6" max="6" width="15.375" style="31" customWidth="1"/>
    <col min="7" max="16384" width="9" style="31"/>
  </cols>
  <sheetData>
    <row r="2" spans="2:14" ht="18.75" customHeight="1">
      <c r="B2" s="29" t="s">
        <v>27</v>
      </c>
      <c r="C2" s="30">
        <v>50000</v>
      </c>
    </row>
    <row r="3" spans="2:14" ht="18.75" customHeight="1">
      <c r="B3" s="29" t="s">
        <v>28</v>
      </c>
      <c r="C3" s="30">
        <v>20</v>
      </c>
      <c r="N3" s="32"/>
    </row>
    <row r="4" spans="2:14" ht="18.75" customHeight="1">
      <c r="N4" s="33"/>
    </row>
    <row r="5" spans="2:14" ht="18.75" customHeight="1">
      <c r="N5" s="33"/>
    </row>
    <row r="6" spans="2:14" ht="18.75" customHeight="1">
      <c r="B6" s="106" t="s">
        <v>29</v>
      </c>
      <c r="C6" s="107"/>
      <c r="E6" s="106" t="s">
        <v>30</v>
      </c>
      <c r="F6" s="107"/>
      <c r="N6" s="33"/>
    </row>
    <row r="7" spans="2:14" ht="18.75" customHeight="1">
      <c r="B7" s="34" t="s">
        <v>31</v>
      </c>
      <c r="C7" s="30">
        <v>45000</v>
      </c>
      <c r="E7" s="34" t="s">
        <v>32</v>
      </c>
      <c r="F7" s="30">
        <v>8</v>
      </c>
      <c r="N7" s="33"/>
    </row>
    <row r="8" spans="2:14" ht="18.75" customHeight="1">
      <c r="B8" s="34" t="s">
        <v>33</v>
      </c>
      <c r="C8" s="30">
        <v>6</v>
      </c>
      <c r="E8" s="34" t="s">
        <v>34</v>
      </c>
      <c r="F8" s="35"/>
      <c r="N8" s="33"/>
    </row>
    <row r="9" spans="2:14" ht="18.75" customHeight="1">
      <c r="B9" s="34" t="s">
        <v>35</v>
      </c>
      <c r="C9" s="36"/>
      <c r="E9" s="34" t="s">
        <v>36</v>
      </c>
      <c r="F9" s="35"/>
      <c r="N9" s="33"/>
    </row>
    <row r="10" spans="2:14" ht="18.75" customHeight="1">
      <c r="B10" s="34" t="s">
        <v>37</v>
      </c>
      <c r="C10" s="36"/>
      <c r="N10" s="33"/>
    </row>
    <row r="13" spans="2:14" ht="18.75" customHeight="1">
      <c r="B13" s="34" t="s">
        <v>38</v>
      </c>
      <c r="C13" s="35"/>
    </row>
    <row r="14" spans="2:14" ht="18.75" customHeight="1">
      <c r="B14" s="34" t="s">
        <v>39</v>
      </c>
      <c r="C14" s="35"/>
    </row>
    <row r="15" spans="2:14" ht="18.75" customHeight="1">
      <c r="B15" s="34" t="s">
        <v>40</v>
      </c>
      <c r="C15" s="37"/>
    </row>
    <row r="20" spans="2:4" ht="18.75" customHeight="1">
      <c r="D20" s="38"/>
    </row>
    <row r="21" spans="2:4" ht="18.75" customHeight="1">
      <c r="D21" s="38"/>
    </row>
    <row r="22" spans="2:4" ht="18.75" customHeight="1">
      <c r="B22" s="38"/>
      <c r="C22" s="39"/>
      <c r="D22" s="38"/>
    </row>
  </sheetData>
  <mergeCells count="2">
    <mergeCell ref="B6:C6"/>
    <mergeCell ref="E6:F6"/>
  </mergeCells>
  <phoneticPr fontId="6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14"/>
  <sheetViews>
    <sheetView showGridLines="0" tabSelected="1" workbookViewId="0">
      <selection activeCell="C21" sqref="C21"/>
    </sheetView>
  </sheetViews>
  <sheetFormatPr defaultColWidth="9" defaultRowHeight="13.5"/>
  <cols>
    <col min="1" max="1" width="1.125" style="42" customWidth="1"/>
    <col min="2" max="2" width="2" style="42" customWidth="1"/>
    <col min="3" max="3" width="28" style="42" bestFit="1" customWidth="1"/>
    <col min="4" max="4" width="12.5" style="42" customWidth="1"/>
    <col min="5" max="5" width="2.5" style="42" bestFit="1" customWidth="1"/>
    <col min="6" max="16384" width="9" style="42"/>
  </cols>
  <sheetData>
    <row r="3" spans="3:4">
      <c r="C3" s="40" t="s">
        <v>41</v>
      </c>
      <c r="D3" s="41">
        <v>0.15</v>
      </c>
    </row>
    <row r="4" spans="3:4">
      <c r="C4" s="40" t="s">
        <v>42</v>
      </c>
      <c r="D4" s="41">
        <v>3100</v>
      </c>
    </row>
    <row r="5" spans="3:4">
      <c r="C5" s="40" t="s">
        <v>43</v>
      </c>
      <c r="D5" s="41">
        <v>46000</v>
      </c>
    </row>
    <row r="6" spans="3:4">
      <c r="C6" s="40" t="s">
        <v>44</v>
      </c>
      <c r="D6" s="41">
        <v>25</v>
      </c>
    </row>
    <row r="7" spans="3:4" ht="14.25" thickBot="1">
      <c r="C7" s="43" t="s">
        <v>45</v>
      </c>
      <c r="D7" s="44">
        <v>0.5</v>
      </c>
    </row>
    <row r="8" spans="3:4" ht="14.25" thickTop="1">
      <c r="C8" s="45" t="s">
        <v>46</v>
      </c>
      <c r="D8" s="46"/>
    </row>
    <row r="9" spans="3:4">
      <c r="C9" s="40" t="s">
        <v>47</v>
      </c>
      <c r="D9" s="47"/>
    </row>
    <row r="10" spans="3:4">
      <c r="C10" s="40" t="s">
        <v>48</v>
      </c>
      <c r="D10" s="47"/>
    </row>
    <row r="11" spans="3:4">
      <c r="C11" s="40" t="s">
        <v>49</v>
      </c>
      <c r="D11" s="47"/>
    </row>
    <row r="12" spans="3:4">
      <c r="D12" s="48"/>
    </row>
    <row r="13" spans="3:4">
      <c r="C13" s="40" t="s">
        <v>50</v>
      </c>
      <c r="D13" s="47"/>
    </row>
    <row r="14" spans="3:4">
      <c r="C14" s="40" t="s">
        <v>51</v>
      </c>
      <c r="D14" s="47"/>
    </row>
  </sheetData>
  <phoneticPr fontId="61" type="noConversion"/>
  <pageMargins left="0.75" right="0.75" top="1" bottom="1" header="0.5" footer="0.5"/>
  <pageSetup paperSize="9" orientation="portrait" verticalDpi="0"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G18"/>
  <sheetViews>
    <sheetView topLeftCell="A7" workbookViewId="0">
      <selection activeCell="D22" sqref="D22"/>
    </sheetView>
  </sheetViews>
  <sheetFormatPr defaultColWidth="9" defaultRowHeight="14.25"/>
  <cols>
    <col min="1" max="1" width="1.875" style="51" customWidth="1"/>
    <col min="2" max="2" width="16" style="51" customWidth="1"/>
    <col min="3" max="3" width="18" style="51" customWidth="1"/>
    <col min="4" max="4" width="13.125" style="51" bestFit="1" customWidth="1"/>
    <col min="5" max="5" width="13.875" style="51" bestFit="1" customWidth="1"/>
    <col min="6" max="7" width="13.125" style="51" bestFit="1" customWidth="1"/>
    <col min="8" max="8" width="2" style="51" customWidth="1"/>
    <col min="9" max="9" width="9" style="51"/>
    <col min="10" max="10" width="10.5" style="51" customWidth="1"/>
    <col min="11" max="16384" width="9" style="51"/>
  </cols>
  <sheetData>
    <row r="3" spans="2:6" ht="15.75" thickBot="1">
      <c r="B3" s="49" t="s">
        <v>52</v>
      </c>
      <c r="C3" s="50">
        <v>1000000</v>
      </c>
      <c r="E3" s="52" t="s">
        <v>53</v>
      </c>
      <c r="F3" s="53">
        <v>1</v>
      </c>
    </row>
    <row r="4" spans="2:6" ht="15.75" thickBot="1">
      <c r="B4" s="49" t="s">
        <v>54</v>
      </c>
      <c r="C4" s="54">
        <v>10</v>
      </c>
      <c r="E4" s="55" t="s">
        <v>55</v>
      </c>
      <c r="F4" s="56"/>
    </row>
    <row r="5" spans="2:6" ht="15.75" thickBot="1">
      <c r="B5" s="49" t="s">
        <v>56</v>
      </c>
      <c r="C5" s="57">
        <v>0.05</v>
      </c>
      <c r="E5" s="55" t="s">
        <v>57</v>
      </c>
      <c r="F5" s="56"/>
    </row>
    <row r="6" spans="2:6">
      <c r="E6" s="55" t="s">
        <v>58</v>
      </c>
      <c r="F6" s="56"/>
    </row>
    <row r="7" spans="2:6" ht="15">
      <c r="B7" s="58" t="s">
        <v>59</v>
      </c>
      <c r="C7" s="59"/>
    </row>
    <row r="8" spans="2:6">
      <c r="B8" s="60" t="s">
        <v>55</v>
      </c>
      <c r="C8" s="61"/>
    </row>
    <row r="9" spans="2:6">
      <c r="B9" s="60" t="s">
        <v>57</v>
      </c>
      <c r="C9" s="61"/>
    </row>
    <row r="10" spans="2:6">
      <c r="B10" s="60" t="s">
        <v>58</v>
      </c>
      <c r="C10" s="61"/>
    </row>
    <row r="12" spans="2:6">
      <c r="B12" s="51" t="s">
        <v>60</v>
      </c>
    </row>
    <row r="13" spans="2:6">
      <c r="B13" s="62" t="s">
        <v>61</v>
      </c>
      <c r="C13" s="61"/>
    </row>
    <row r="16" spans="2:6" ht="15" thickBot="1">
      <c r="B16" s="51" t="s">
        <v>62</v>
      </c>
      <c r="E16" s="51" t="s">
        <v>63</v>
      </c>
    </row>
    <row r="17" spans="2:7">
      <c r="B17" s="63" t="s">
        <v>55</v>
      </c>
      <c r="C17" s="64" t="s">
        <v>57</v>
      </c>
      <c r="D17" s="65" t="s">
        <v>58</v>
      </c>
      <c r="E17" s="63" t="s">
        <v>55</v>
      </c>
      <c r="F17" s="64" t="s">
        <v>57</v>
      </c>
      <c r="G17" s="65" t="s">
        <v>58</v>
      </c>
    </row>
    <row r="18" spans="2:7" ht="15.75" thickBot="1">
      <c r="B18" s="66"/>
      <c r="C18" s="67"/>
      <c r="D18" s="68"/>
      <c r="E18" s="69"/>
      <c r="F18" s="67"/>
      <c r="G18" s="68"/>
    </row>
  </sheetData>
  <phoneticPr fontId="61"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Spinner 1">
              <controlPr defaultSize="0" autoPict="0">
                <anchor moveWithCells="1" sizeWithCells="1">
                  <from>
                    <xdr:col>6</xdr:col>
                    <xdr:colOff>19050</xdr:colOff>
                    <xdr:row>2</xdr:row>
                    <xdr:rowOff>0</xdr:rowOff>
                  </from>
                  <to>
                    <xdr:col>6</xdr:col>
                    <xdr:colOff>304800</xdr:colOff>
                    <xdr:row>2</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G18"/>
  <sheetViews>
    <sheetView topLeftCell="A7" workbookViewId="0">
      <selection activeCell="G11" sqref="G11"/>
    </sheetView>
  </sheetViews>
  <sheetFormatPr defaultColWidth="9" defaultRowHeight="14.25"/>
  <cols>
    <col min="1" max="1" width="1.875" style="51" customWidth="1"/>
    <col min="2" max="2" width="16" style="51" customWidth="1"/>
    <col min="3" max="3" width="18" style="51" customWidth="1"/>
    <col min="4" max="4" width="13.125" style="51" bestFit="1" customWidth="1"/>
    <col min="5" max="5" width="13.875" style="51" bestFit="1" customWidth="1"/>
    <col min="6" max="7" width="13.125" style="51" bestFit="1" customWidth="1"/>
    <col min="8" max="8" width="2" style="51" customWidth="1"/>
    <col min="9" max="9" width="9" style="51"/>
    <col min="10" max="10" width="10.5" style="51" customWidth="1"/>
    <col min="11" max="16384" width="9" style="51"/>
  </cols>
  <sheetData>
    <row r="3" spans="2:6" ht="15.75" thickBot="1">
      <c r="B3" s="49" t="s">
        <v>52</v>
      </c>
      <c r="C3" s="50">
        <v>1000000</v>
      </c>
      <c r="E3" s="52" t="s">
        <v>53</v>
      </c>
      <c r="F3" s="53">
        <v>1</v>
      </c>
    </row>
    <row r="4" spans="2:6" ht="15.75" thickBot="1">
      <c r="B4" s="49" t="s">
        <v>54</v>
      </c>
      <c r="C4" s="54">
        <v>10</v>
      </c>
      <c r="E4" s="55" t="s">
        <v>55</v>
      </c>
      <c r="F4" s="56">
        <f>INDEX(B18:G18,1,INT((F3-1)/60)*3+1)</f>
        <v>8333.3333333333339</v>
      </c>
    </row>
    <row r="5" spans="2:6" ht="15.75" thickBot="1">
      <c r="B5" s="49" t="s">
        <v>56</v>
      </c>
      <c r="C5" s="57">
        <v>0.05</v>
      </c>
      <c r="E5" s="55" t="s">
        <v>57</v>
      </c>
      <c r="F5" s="56">
        <f>INDEX(B18:G18,1,INT((F3-1)/60)*3+2)</f>
        <v>4131.9444444444443</v>
      </c>
    </row>
    <row r="6" spans="2:6">
      <c r="E6" s="55" t="s">
        <v>58</v>
      </c>
      <c r="F6" s="56">
        <f>INDEX(B18:G18,1,INT((F3-1)/60)*3+3)</f>
        <v>12465.277777777777</v>
      </c>
    </row>
    <row r="7" spans="2:6" ht="15">
      <c r="B7" s="58" t="s">
        <v>59</v>
      </c>
      <c r="C7" s="59"/>
    </row>
    <row r="8" spans="2:6">
      <c r="B8" s="60" t="s">
        <v>55</v>
      </c>
      <c r="C8" s="61">
        <f>C3/(C4*12)</f>
        <v>8333.3333333333339</v>
      </c>
    </row>
    <row r="9" spans="2:6">
      <c r="B9" s="60" t="s">
        <v>57</v>
      </c>
      <c r="C9" s="61">
        <f>ISPMT(C5/12,F3,120,-C3)</f>
        <v>4131.9444444444443</v>
      </c>
    </row>
    <row r="10" spans="2:6">
      <c r="B10" s="60" t="s">
        <v>58</v>
      </c>
      <c r="C10" s="61">
        <f>SUM(C8:C9)</f>
        <v>12465.277777777777</v>
      </c>
    </row>
    <row r="12" spans="2:6">
      <c r="B12" s="51" t="s">
        <v>60</v>
      </c>
    </row>
    <row r="13" spans="2:6">
      <c r="B13" s="62" t="s">
        <v>61</v>
      </c>
      <c r="C13" s="61">
        <f>C3-C8*5*12-50000</f>
        <v>449999.99999999994</v>
      </c>
    </row>
    <row r="16" spans="2:6" ht="15" thickBot="1">
      <c r="B16" s="51" t="s">
        <v>62</v>
      </c>
      <c r="E16" s="51" t="s">
        <v>63</v>
      </c>
    </row>
    <row r="17" spans="2:7">
      <c r="B17" s="63" t="s">
        <v>55</v>
      </c>
      <c r="C17" s="64" t="s">
        <v>57</v>
      </c>
      <c r="D17" s="65" t="s">
        <v>58</v>
      </c>
      <c r="E17" s="63" t="s">
        <v>55</v>
      </c>
      <c r="F17" s="64" t="s">
        <v>57</v>
      </c>
      <c r="G17" s="65" t="s">
        <v>58</v>
      </c>
    </row>
    <row r="18" spans="2:7" ht="15.75" thickBot="1">
      <c r="B18" s="66">
        <f>C8</f>
        <v>8333.3333333333339</v>
      </c>
      <c r="C18" s="67">
        <f>C9</f>
        <v>4131.9444444444443</v>
      </c>
      <c r="D18" s="68">
        <f>B18+C18</f>
        <v>12465.277777777777</v>
      </c>
      <c r="E18" s="69">
        <f>C13/(5*12)</f>
        <v>7499.9999999999991</v>
      </c>
      <c r="F18" s="67">
        <f>ISPMT(C5/12,F3-60,60,-C13)</f>
        <v>3718.7499999999995</v>
      </c>
      <c r="G18" s="68">
        <f>SUM(E18:F18)</f>
        <v>11218.749999999998</v>
      </c>
    </row>
  </sheetData>
  <phoneticPr fontId="61"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Spinner 1">
              <controlPr defaultSize="0" autoPict="0">
                <anchor moveWithCells="1" sizeWithCells="1">
                  <from>
                    <xdr:col>6</xdr:col>
                    <xdr:colOff>19050</xdr:colOff>
                    <xdr:row>2</xdr:row>
                    <xdr:rowOff>0</xdr:rowOff>
                  </from>
                  <to>
                    <xdr:col>6</xdr:col>
                    <xdr:colOff>304800</xdr:colOff>
                    <xdr:row>2</xdr:row>
                    <xdr:rowOff>190500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1"/>
  <sheetViews>
    <sheetView topLeftCell="A13" workbookViewId="0">
      <selection activeCell="B25" sqref="B25"/>
    </sheetView>
  </sheetViews>
  <sheetFormatPr defaultRowHeight="12"/>
  <cols>
    <col min="1" max="1" width="9" style="70"/>
    <col min="2" max="2" width="12" style="70" customWidth="1"/>
    <col min="3" max="3" width="10" style="70" customWidth="1"/>
    <col min="4" max="5" width="9" style="70"/>
    <col min="6" max="8" width="9" style="70" customWidth="1"/>
    <col min="9" max="11" width="9" style="70"/>
    <col min="12" max="12" width="9" style="70" customWidth="1"/>
    <col min="13" max="248" width="9" style="70"/>
    <col min="249" max="249" width="12.75" style="70" customWidth="1"/>
    <col min="250" max="251" width="10.5" style="70" bestFit="1" customWidth="1"/>
    <col min="252" max="255" width="9" style="70"/>
    <col min="256" max="256" width="10.875" style="70" customWidth="1"/>
    <col min="257" max="504" width="9" style="70"/>
    <col min="505" max="505" width="12.75" style="70" customWidth="1"/>
    <col min="506" max="507" width="10.5" style="70" bestFit="1" customWidth="1"/>
    <col min="508" max="511" width="9" style="70"/>
    <col min="512" max="512" width="10.875" style="70" customWidth="1"/>
    <col min="513" max="760" width="9" style="70"/>
    <col min="761" max="761" width="12.75" style="70" customWidth="1"/>
    <col min="762" max="763" width="10.5" style="70" bestFit="1" customWidth="1"/>
    <col min="764" max="767" width="9" style="70"/>
    <col min="768" max="768" width="10.875" style="70" customWidth="1"/>
    <col min="769" max="1016" width="9" style="70"/>
    <col min="1017" max="1017" width="12.75" style="70" customWidth="1"/>
    <col min="1018" max="1019" width="10.5" style="70" bestFit="1" customWidth="1"/>
    <col min="1020" max="1023" width="9" style="70"/>
    <col min="1024" max="1024" width="10.875" style="70" customWidth="1"/>
    <col min="1025" max="1272" width="9" style="70"/>
    <col min="1273" max="1273" width="12.75" style="70" customWidth="1"/>
    <col min="1274" max="1275" width="10.5" style="70" bestFit="1" customWidth="1"/>
    <col min="1276" max="1279" width="9" style="70"/>
    <col min="1280" max="1280" width="10.875" style="70" customWidth="1"/>
    <col min="1281" max="1528" width="9" style="70"/>
    <col min="1529" max="1529" width="12.75" style="70" customWidth="1"/>
    <col min="1530" max="1531" width="10.5" style="70" bestFit="1" customWidth="1"/>
    <col min="1532" max="1535" width="9" style="70"/>
    <col min="1536" max="1536" width="10.875" style="70" customWidth="1"/>
    <col min="1537" max="1784" width="9" style="70"/>
    <col min="1785" max="1785" width="12.75" style="70" customWidth="1"/>
    <col min="1786" max="1787" width="10.5" style="70" bestFit="1" customWidth="1"/>
    <col min="1788" max="1791" width="9" style="70"/>
    <col min="1792" max="1792" width="10.875" style="70" customWidth="1"/>
    <col min="1793" max="2040" width="9" style="70"/>
    <col min="2041" max="2041" width="12.75" style="70" customWidth="1"/>
    <col min="2042" max="2043" width="10.5" style="70" bestFit="1" customWidth="1"/>
    <col min="2044" max="2047" width="9" style="70"/>
    <col min="2048" max="2048" width="10.875" style="70" customWidth="1"/>
    <col min="2049" max="2296" width="9" style="70"/>
    <col min="2297" max="2297" width="12.75" style="70" customWidth="1"/>
    <col min="2298" max="2299" width="10.5" style="70" bestFit="1" customWidth="1"/>
    <col min="2300" max="2303" width="9" style="70"/>
    <col min="2304" max="2304" width="10.875" style="70" customWidth="1"/>
    <col min="2305" max="2552" width="9" style="70"/>
    <col min="2553" max="2553" width="12.75" style="70" customWidth="1"/>
    <col min="2554" max="2555" width="10.5" style="70" bestFit="1" customWidth="1"/>
    <col min="2556" max="2559" width="9" style="70"/>
    <col min="2560" max="2560" width="10.875" style="70" customWidth="1"/>
    <col min="2561" max="2808" width="9" style="70"/>
    <col min="2809" max="2809" width="12.75" style="70" customWidth="1"/>
    <col min="2810" max="2811" width="10.5" style="70" bestFit="1" customWidth="1"/>
    <col min="2812" max="2815" width="9" style="70"/>
    <col min="2816" max="2816" width="10.875" style="70" customWidth="1"/>
    <col min="2817" max="3064" width="9" style="70"/>
    <col min="3065" max="3065" width="12.75" style="70" customWidth="1"/>
    <col min="3066" max="3067" width="10.5" style="70" bestFit="1" customWidth="1"/>
    <col min="3068" max="3071" width="9" style="70"/>
    <col min="3072" max="3072" width="10.875" style="70" customWidth="1"/>
    <col min="3073" max="3320" width="9" style="70"/>
    <col min="3321" max="3321" width="12.75" style="70" customWidth="1"/>
    <col min="3322" max="3323" width="10.5" style="70" bestFit="1" customWidth="1"/>
    <col min="3324" max="3327" width="9" style="70"/>
    <col min="3328" max="3328" width="10.875" style="70" customWidth="1"/>
    <col min="3329" max="3576" width="9" style="70"/>
    <col min="3577" max="3577" width="12.75" style="70" customWidth="1"/>
    <col min="3578" max="3579" width="10.5" style="70" bestFit="1" customWidth="1"/>
    <col min="3580" max="3583" width="9" style="70"/>
    <col min="3584" max="3584" width="10.875" style="70" customWidth="1"/>
    <col min="3585" max="3832" width="9" style="70"/>
    <col min="3833" max="3833" width="12.75" style="70" customWidth="1"/>
    <col min="3834" max="3835" width="10.5" style="70" bestFit="1" customWidth="1"/>
    <col min="3836" max="3839" width="9" style="70"/>
    <col min="3840" max="3840" width="10.875" style="70" customWidth="1"/>
    <col min="3841" max="4088" width="9" style="70"/>
    <col min="4089" max="4089" width="12.75" style="70" customWidth="1"/>
    <col min="4090" max="4091" width="10.5" style="70" bestFit="1" customWidth="1"/>
    <col min="4092" max="4095" width="9" style="70"/>
    <col min="4096" max="4096" width="10.875" style="70" customWidth="1"/>
    <col min="4097" max="4344" width="9" style="70"/>
    <col min="4345" max="4345" width="12.75" style="70" customWidth="1"/>
    <col min="4346" max="4347" width="10.5" style="70" bestFit="1" customWidth="1"/>
    <col min="4348" max="4351" width="9" style="70"/>
    <col min="4352" max="4352" width="10.875" style="70" customWidth="1"/>
    <col min="4353" max="4600" width="9" style="70"/>
    <col min="4601" max="4601" width="12.75" style="70" customWidth="1"/>
    <col min="4602" max="4603" width="10.5" style="70" bestFit="1" customWidth="1"/>
    <col min="4604" max="4607" width="9" style="70"/>
    <col min="4608" max="4608" width="10.875" style="70" customWidth="1"/>
    <col min="4609" max="4856" width="9" style="70"/>
    <col min="4857" max="4857" width="12.75" style="70" customWidth="1"/>
    <col min="4858" max="4859" width="10.5" style="70" bestFit="1" customWidth="1"/>
    <col min="4860" max="4863" width="9" style="70"/>
    <col min="4864" max="4864" width="10.875" style="70" customWidth="1"/>
    <col min="4865" max="5112" width="9" style="70"/>
    <col min="5113" max="5113" width="12.75" style="70" customWidth="1"/>
    <col min="5114" max="5115" width="10.5" style="70" bestFit="1" customWidth="1"/>
    <col min="5116" max="5119" width="9" style="70"/>
    <col min="5120" max="5120" width="10.875" style="70" customWidth="1"/>
    <col min="5121" max="5368" width="9" style="70"/>
    <col min="5369" max="5369" width="12.75" style="70" customWidth="1"/>
    <col min="5370" max="5371" width="10.5" style="70" bestFit="1" customWidth="1"/>
    <col min="5372" max="5375" width="9" style="70"/>
    <col min="5376" max="5376" width="10.875" style="70" customWidth="1"/>
    <col min="5377" max="5624" width="9" style="70"/>
    <col min="5625" max="5625" width="12.75" style="70" customWidth="1"/>
    <col min="5626" max="5627" width="10.5" style="70" bestFit="1" customWidth="1"/>
    <col min="5628" max="5631" width="9" style="70"/>
    <col min="5632" max="5632" width="10.875" style="70" customWidth="1"/>
    <col min="5633" max="5880" width="9" style="70"/>
    <col min="5881" max="5881" width="12.75" style="70" customWidth="1"/>
    <col min="5882" max="5883" width="10.5" style="70" bestFit="1" customWidth="1"/>
    <col min="5884" max="5887" width="9" style="70"/>
    <col min="5888" max="5888" width="10.875" style="70" customWidth="1"/>
    <col min="5889" max="6136" width="9" style="70"/>
    <col min="6137" max="6137" width="12.75" style="70" customWidth="1"/>
    <col min="6138" max="6139" width="10.5" style="70" bestFit="1" customWidth="1"/>
    <col min="6140" max="6143" width="9" style="70"/>
    <col min="6144" max="6144" width="10.875" style="70" customWidth="1"/>
    <col min="6145" max="6392" width="9" style="70"/>
    <col min="6393" max="6393" width="12.75" style="70" customWidth="1"/>
    <col min="6394" max="6395" width="10.5" style="70" bestFit="1" customWidth="1"/>
    <col min="6396" max="6399" width="9" style="70"/>
    <col min="6400" max="6400" width="10.875" style="70" customWidth="1"/>
    <col min="6401" max="6648" width="9" style="70"/>
    <col min="6649" max="6649" width="12.75" style="70" customWidth="1"/>
    <col min="6650" max="6651" width="10.5" style="70" bestFit="1" customWidth="1"/>
    <col min="6652" max="6655" width="9" style="70"/>
    <col min="6656" max="6656" width="10.875" style="70" customWidth="1"/>
    <col min="6657" max="6904" width="9" style="70"/>
    <col min="6905" max="6905" width="12.75" style="70" customWidth="1"/>
    <col min="6906" max="6907" width="10.5" style="70" bestFit="1" customWidth="1"/>
    <col min="6908" max="6911" width="9" style="70"/>
    <col min="6912" max="6912" width="10.875" style="70" customWidth="1"/>
    <col min="6913" max="7160" width="9" style="70"/>
    <col min="7161" max="7161" width="12.75" style="70" customWidth="1"/>
    <col min="7162" max="7163" width="10.5" style="70" bestFit="1" customWidth="1"/>
    <col min="7164" max="7167" width="9" style="70"/>
    <col min="7168" max="7168" width="10.875" style="70" customWidth="1"/>
    <col min="7169" max="7416" width="9" style="70"/>
    <col min="7417" max="7417" width="12.75" style="70" customWidth="1"/>
    <col min="7418" max="7419" width="10.5" style="70" bestFit="1" customWidth="1"/>
    <col min="7420" max="7423" width="9" style="70"/>
    <col min="7424" max="7424" width="10.875" style="70" customWidth="1"/>
    <col min="7425" max="7672" width="9" style="70"/>
    <col min="7673" max="7673" width="12.75" style="70" customWidth="1"/>
    <col min="7674" max="7675" width="10.5" style="70" bestFit="1" customWidth="1"/>
    <col min="7676" max="7679" width="9" style="70"/>
    <col min="7680" max="7680" width="10.875" style="70" customWidth="1"/>
    <col min="7681" max="7928" width="9" style="70"/>
    <col min="7929" max="7929" width="12.75" style="70" customWidth="1"/>
    <col min="7930" max="7931" width="10.5" style="70" bestFit="1" customWidth="1"/>
    <col min="7932" max="7935" width="9" style="70"/>
    <col min="7936" max="7936" width="10.875" style="70" customWidth="1"/>
    <col min="7937" max="8184" width="9" style="70"/>
    <col min="8185" max="8185" width="12.75" style="70" customWidth="1"/>
    <col min="8186" max="8187" width="10.5" style="70" bestFit="1" customWidth="1"/>
    <col min="8188" max="8191" width="9" style="70"/>
    <col min="8192" max="8192" width="10.875" style="70" customWidth="1"/>
    <col min="8193" max="8440" width="9" style="70"/>
    <col min="8441" max="8441" width="12.75" style="70" customWidth="1"/>
    <col min="8442" max="8443" width="10.5" style="70" bestFit="1" customWidth="1"/>
    <col min="8444" max="8447" width="9" style="70"/>
    <col min="8448" max="8448" width="10.875" style="70" customWidth="1"/>
    <col min="8449" max="8696" width="9" style="70"/>
    <col min="8697" max="8697" width="12.75" style="70" customWidth="1"/>
    <col min="8698" max="8699" width="10.5" style="70" bestFit="1" customWidth="1"/>
    <col min="8700" max="8703" width="9" style="70"/>
    <col min="8704" max="8704" width="10.875" style="70" customWidth="1"/>
    <col min="8705" max="8952" width="9" style="70"/>
    <col min="8953" max="8953" width="12.75" style="70" customWidth="1"/>
    <col min="8954" max="8955" width="10.5" style="70" bestFit="1" customWidth="1"/>
    <col min="8956" max="8959" width="9" style="70"/>
    <col min="8960" max="8960" width="10.875" style="70" customWidth="1"/>
    <col min="8961" max="9208" width="9" style="70"/>
    <col min="9209" max="9209" width="12.75" style="70" customWidth="1"/>
    <col min="9210" max="9211" width="10.5" style="70" bestFit="1" customWidth="1"/>
    <col min="9212" max="9215" width="9" style="70"/>
    <col min="9216" max="9216" width="10.875" style="70" customWidth="1"/>
    <col min="9217" max="9464" width="9" style="70"/>
    <col min="9465" max="9465" width="12.75" style="70" customWidth="1"/>
    <col min="9466" max="9467" width="10.5" style="70" bestFit="1" customWidth="1"/>
    <col min="9468" max="9471" width="9" style="70"/>
    <col min="9472" max="9472" width="10.875" style="70" customWidth="1"/>
    <col min="9473" max="9720" width="9" style="70"/>
    <col min="9721" max="9721" width="12.75" style="70" customWidth="1"/>
    <col min="9722" max="9723" width="10.5" style="70" bestFit="1" customWidth="1"/>
    <col min="9724" max="9727" width="9" style="70"/>
    <col min="9728" max="9728" width="10.875" style="70" customWidth="1"/>
    <col min="9729" max="9976" width="9" style="70"/>
    <col min="9977" max="9977" width="12.75" style="70" customWidth="1"/>
    <col min="9978" max="9979" width="10.5" style="70" bestFit="1" customWidth="1"/>
    <col min="9980" max="9983" width="9" style="70"/>
    <col min="9984" max="9984" width="10.875" style="70" customWidth="1"/>
    <col min="9985" max="10232" width="9" style="70"/>
    <col min="10233" max="10233" width="12.75" style="70" customWidth="1"/>
    <col min="10234" max="10235" width="10.5" style="70" bestFit="1" customWidth="1"/>
    <col min="10236" max="10239" width="9" style="70"/>
    <col min="10240" max="10240" width="10.875" style="70" customWidth="1"/>
    <col min="10241" max="10488" width="9" style="70"/>
    <col min="10489" max="10489" width="12.75" style="70" customWidth="1"/>
    <col min="10490" max="10491" width="10.5" style="70" bestFit="1" customWidth="1"/>
    <col min="10492" max="10495" width="9" style="70"/>
    <col min="10496" max="10496" width="10.875" style="70" customWidth="1"/>
    <col min="10497" max="10744" width="9" style="70"/>
    <col min="10745" max="10745" width="12.75" style="70" customWidth="1"/>
    <col min="10746" max="10747" width="10.5" style="70" bestFit="1" customWidth="1"/>
    <col min="10748" max="10751" width="9" style="70"/>
    <col min="10752" max="10752" width="10.875" style="70" customWidth="1"/>
    <col min="10753" max="11000" width="9" style="70"/>
    <col min="11001" max="11001" width="12.75" style="70" customWidth="1"/>
    <col min="11002" max="11003" width="10.5" style="70" bestFit="1" customWidth="1"/>
    <col min="11004" max="11007" width="9" style="70"/>
    <col min="11008" max="11008" width="10.875" style="70" customWidth="1"/>
    <col min="11009" max="11256" width="9" style="70"/>
    <col min="11257" max="11257" width="12.75" style="70" customWidth="1"/>
    <col min="11258" max="11259" width="10.5" style="70" bestFit="1" customWidth="1"/>
    <col min="11260" max="11263" width="9" style="70"/>
    <col min="11264" max="11264" width="10.875" style="70" customWidth="1"/>
    <col min="11265" max="11512" width="9" style="70"/>
    <col min="11513" max="11513" width="12.75" style="70" customWidth="1"/>
    <col min="11514" max="11515" width="10.5" style="70" bestFit="1" customWidth="1"/>
    <col min="11516" max="11519" width="9" style="70"/>
    <col min="11520" max="11520" width="10.875" style="70" customWidth="1"/>
    <col min="11521" max="11768" width="9" style="70"/>
    <col min="11769" max="11769" width="12.75" style="70" customWidth="1"/>
    <col min="11770" max="11771" width="10.5" style="70" bestFit="1" customWidth="1"/>
    <col min="11772" max="11775" width="9" style="70"/>
    <col min="11776" max="11776" width="10.875" style="70" customWidth="1"/>
    <col min="11777" max="12024" width="9" style="70"/>
    <col min="12025" max="12025" width="12.75" style="70" customWidth="1"/>
    <col min="12026" max="12027" width="10.5" style="70" bestFit="1" customWidth="1"/>
    <col min="12028" max="12031" width="9" style="70"/>
    <col min="12032" max="12032" width="10.875" style="70" customWidth="1"/>
    <col min="12033" max="12280" width="9" style="70"/>
    <col min="12281" max="12281" width="12.75" style="70" customWidth="1"/>
    <col min="12282" max="12283" width="10.5" style="70" bestFit="1" customWidth="1"/>
    <col min="12284" max="12287" width="9" style="70"/>
    <col min="12288" max="12288" width="10.875" style="70" customWidth="1"/>
    <col min="12289" max="12536" width="9" style="70"/>
    <col min="12537" max="12537" width="12.75" style="70" customWidth="1"/>
    <col min="12538" max="12539" width="10.5" style="70" bestFit="1" customWidth="1"/>
    <col min="12540" max="12543" width="9" style="70"/>
    <col min="12544" max="12544" width="10.875" style="70" customWidth="1"/>
    <col min="12545" max="12792" width="9" style="70"/>
    <col min="12793" max="12793" width="12.75" style="70" customWidth="1"/>
    <col min="12794" max="12795" width="10.5" style="70" bestFit="1" customWidth="1"/>
    <col min="12796" max="12799" width="9" style="70"/>
    <col min="12800" max="12800" width="10.875" style="70" customWidth="1"/>
    <col min="12801" max="13048" width="9" style="70"/>
    <col min="13049" max="13049" width="12.75" style="70" customWidth="1"/>
    <col min="13050" max="13051" width="10.5" style="70" bestFit="1" customWidth="1"/>
    <col min="13052" max="13055" width="9" style="70"/>
    <col min="13056" max="13056" width="10.875" style="70" customWidth="1"/>
    <col min="13057" max="13304" width="9" style="70"/>
    <col min="13305" max="13305" width="12.75" style="70" customWidth="1"/>
    <col min="13306" max="13307" width="10.5" style="70" bestFit="1" customWidth="1"/>
    <col min="13308" max="13311" width="9" style="70"/>
    <col min="13312" max="13312" width="10.875" style="70" customWidth="1"/>
    <col min="13313" max="13560" width="9" style="70"/>
    <col min="13561" max="13561" width="12.75" style="70" customWidth="1"/>
    <col min="13562" max="13563" width="10.5" style="70" bestFit="1" customWidth="1"/>
    <col min="13564" max="13567" width="9" style="70"/>
    <col min="13568" max="13568" width="10.875" style="70" customWidth="1"/>
    <col min="13569" max="13816" width="9" style="70"/>
    <col min="13817" max="13817" width="12.75" style="70" customWidth="1"/>
    <col min="13818" max="13819" width="10.5" style="70" bestFit="1" customWidth="1"/>
    <col min="13820" max="13823" width="9" style="70"/>
    <col min="13824" max="13824" width="10.875" style="70" customWidth="1"/>
    <col min="13825" max="14072" width="9" style="70"/>
    <col min="14073" max="14073" width="12.75" style="70" customWidth="1"/>
    <col min="14074" max="14075" width="10.5" style="70" bestFit="1" customWidth="1"/>
    <col min="14076" max="14079" width="9" style="70"/>
    <col min="14080" max="14080" width="10.875" style="70" customWidth="1"/>
    <col min="14081" max="14328" width="9" style="70"/>
    <col min="14329" max="14329" width="12.75" style="70" customWidth="1"/>
    <col min="14330" max="14331" width="10.5" style="70" bestFit="1" customWidth="1"/>
    <col min="14332" max="14335" width="9" style="70"/>
    <col min="14336" max="14336" width="10.875" style="70" customWidth="1"/>
    <col min="14337" max="14584" width="9" style="70"/>
    <col min="14585" max="14585" width="12.75" style="70" customWidth="1"/>
    <col min="14586" max="14587" width="10.5" style="70" bestFit="1" customWidth="1"/>
    <col min="14588" max="14591" width="9" style="70"/>
    <col min="14592" max="14592" width="10.875" style="70" customWidth="1"/>
    <col min="14593" max="14840" width="9" style="70"/>
    <col min="14841" max="14841" width="12.75" style="70" customWidth="1"/>
    <col min="14842" max="14843" width="10.5" style="70" bestFit="1" customWidth="1"/>
    <col min="14844" max="14847" width="9" style="70"/>
    <col min="14848" max="14848" width="10.875" style="70" customWidth="1"/>
    <col min="14849" max="15096" width="9" style="70"/>
    <col min="15097" max="15097" width="12.75" style="70" customWidth="1"/>
    <col min="15098" max="15099" width="10.5" style="70" bestFit="1" customWidth="1"/>
    <col min="15100" max="15103" width="9" style="70"/>
    <col min="15104" max="15104" width="10.875" style="70" customWidth="1"/>
    <col min="15105" max="15352" width="9" style="70"/>
    <col min="15353" max="15353" width="12.75" style="70" customWidth="1"/>
    <col min="15354" max="15355" width="10.5" style="70" bestFit="1" customWidth="1"/>
    <col min="15356" max="15359" width="9" style="70"/>
    <col min="15360" max="15360" width="10.875" style="70" customWidth="1"/>
    <col min="15361" max="15608" width="9" style="70"/>
    <col min="15609" max="15609" width="12.75" style="70" customWidth="1"/>
    <col min="15610" max="15611" width="10.5" style="70" bestFit="1" customWidth="1"/>
    <col min="15612" max="15615" width="9" style="70"/>
    <col min="15616" max="15616" width="10.875" style="70" customWidth="1"/>
    <col min="15617" max="15864" width="9" style="70"/>
    <col min="15865" max="15865" width="12.75" style="70" customWidth="1"/>
    <col min="15866" max="15867" width="10.5" style="70" bestFit="1" customWidth="1"/>
    <col min="15868" max="15871" width="9" style="70"/>
    <col min="15872" max="15872" width="10.875" style="70" customWidth="1"/>
    <col min="15873" max="16120" width="9" style="70"/>
    <col min="16121" max="16121" width="12.75" style="70" customWidth="1"/>
    <col min="16122" max="16123" width="10.5" style="70" bestFit="1" customWidth="1"/>
    <col min="16124" max="16127" width="9" style="70"/>
    <col min="16128" max="16128" width="10.875" style="70" customWidth="1"/>
    <col min="16129" max="16384" width="9" style="70"/>
  </cols>
  <sheetData>
    <row r="2" spans="2:13" ht="13.5">
      <c r="C2" s="71" t="s">
        <v>64</v>
      </c>
      <c r="D2" s="71" t="s">
        <v>65</v>
      </c>
    </row>
    <row r="3" spans="2:13" ht="14.25">
      <c r="B3" s="71" t="s">
        <v>66</v>
      </c>
      <c r="C3" s="108">
        <v>0.15</v>
      </c>
      <c r="D3" s="109"/>
      <c r="M3" s="72"/>
    </row>
    <row r="4" spans="2:13" ht="14.25">
      <c r="B4" s="71" t="s">
        <v>67</v>
      </c>
      <c r="C4" s="73">
        <v>1500</v>
      </c>
      <c r="D4" s="73">
        <v>500</v>
      </c>
      <c r="M4" s="74"/>
    </row>
    <row r="5" spans="2:13" ht="14.25">
      <c r="B5" s="71" t="s">
        <v>68</v>
      </c>
      <c r="C5" s="73">
        <v>0</v>
      </c>
      <c r="D5" s="73">
        <v>500</v>
      </c>
      <c r="M5" s="74"/>
    </row>
    <row r="6" spans="2:13" ht="14.25">
      <c r="B6" s="71" t="s">
        <v>69</v>
      </c>
      <c r="C6" s="73">
        <v>500</v>
      </c>
      <c r="D6" s="73">
        <v>200</v>
      </c>
    </row>
    <row r="7" spans="2:13" ht="14.25">
      <c r="B7" s="71" t="s">
        <v>70</v>
      </c>
      <c r="C7" s="73">
        <v>500</v>
      </c>
      <c r="D7" s="73">
        <v>400</v>
      </c>
    </row>
    <row r="8" spans="2:13" ht="14.25">
      <c r="B8" s="71" t="s">
        <v>71</v>
      </c>
      <c r="C8" s="73">
        <v>500</v>
      </c>
      <c r="D8" s="73">
        <v>600</v>
      </c>
    </row>
    <row r="9" spans="2:13" ht="14.25">
      <c r="B9" s="71" t="s">
        <v>72</v>
      </c>
      <c r="C9" s="75"/>
      <c r="D9" s="75"/>
    </row>
    <row r="11" spans="2:13">
      <c r="G11" s="76"/>
      <c r="H11" s="77"/>
      <c r="I11" s="77"/>
    </row>
    <row r="12" spans="2:13" ht="13.5">
      <c r="B12" s="78"/>
      <c r="G12" s="79"/>
      <c r="H12" s="80"/>
      <c r="I12" s="80"/>
    </row>
    <row r="13" spans="2:13" ht="13.5">
      <c r="B13" s="78"/>
      <c r="G13" s="79"/>
      <c r="H13" s="80"/>
      <c r="I13" s="80"/>
    </row>
    <row r="14" spans="2:13" ht="13.5">
      <c r="B14" s="78"/>
      <c r="G14" s="79"/>
      <c r="H14" s="80"/>
      <c r="I14" s="80"/>
    </row>
    <row r="15" spans="2:13">
      <c r="G15" s="79"/>
      <c r="H15" s="80"/>
      <c r="I15" s="80"/>
    </row>
    <row r="16" spans="2:13">
      <c r="G16" s="79"/>
      <c r="H16" s="80"/>
      <c r="I16" s="80"/>
    </row>
    <row r="17" spans="7:9">
      <c r="G17" s="79"/>
      <c r="H17" s="80"/>
      <c r="I17" s="80"/>
    </row>
    <row r="19" spans="7:9">
      <c r="G19" s="79"/>
      <c r="H19" s="80"/>
    </row>
    <row r="20" spans="7:9">
      <c r="G20" s="79"/>
      <c r="H20" s="80"/>
    </row>
    <row r="21" spans="7:9">
      <c r="G21" s="79"/>
      <c r="H21" s="80"/>
    </row>
    <row r="22" spans="7:9">
      <c r="G22" s="79"/>
      <c r="H22" s="80"/>
    </row>
    <row r="24" spans="7:9">
      <c r="G24" s="81"/>
    </row>
    <row r="26" spans="7:9">
      <c r="G26" s="81"/>
    </row>
    <row r="28" spans="7:9">
      <c r="G28" s="81"/>
    </row>
    <row r="29" spans="7:9">
      <c r="G29" s="81"/>
      <c r="H29" s="77"/>
    </row>
    <row r="30" spans="7:9">
      <c r="G30" s="81"/>
      <c r="H30" s="77"/>
    </row>
    <row r="31" spans="7:9">
      <c r="G31" s="81"/>
    </row>
  </sheetData>
  <mergeCells count="1">
    <mergeCell ref="C3:D3"/>
  </mergeCells>
  <phoneticPr fontId="61"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E13"/>
  <sheetViews>
    <sheetView workbookViewId="0">
      <selection activeCell="B25" sqref="B25"/>
    </sheetView>
  </sheetViews>
  <sheetFormatPr defaultColWidth="9" defaultRowHeight="13.5"/>
  <cols>
    <col min="1" max="16384" width="9" style="28"/>
  </cols>
  <sheetData>
    <row r="9" spans="1:5">
      <c r="A9" s="82"/>
      <c r="B9" s="82" t="s">
        <v>73</v>
      </c>
      <c r="C9" s="82" t="s">
        <v>74</v>
      </c>
      <c r="D9" s="82" t="s">
        <v>75</v>
      </c>
      <c r="E9" s="82" t="s">
        <v>76</v>
      </c>
    </row>
    <row r="10" spans="1:5">
      <c r="A10" s="82" t="s">
        <v>77</v>
      </c>
      <c r="B10" s="82">
        <v>78</v>
      </c>
      <c r="C10" s="82">
        <v>25</v>
      </c>
      <c r="D10" s="82">
        <v>50</v>
      </c>
      <c r="E10" s="82">
        <v>64</v>
      </c>
    </row>
    <row r="11" spans="1:5">
      <c r="A11" s="82" t="s">
        <v>78</v>
      </c>
      <c r="B11" s="82">
        <v>73</v>
      </c>
      <c r="C11" s="82">
        <v>30</v>
      </c>
      <c r="D11" s="82">
        <v>43</v>
      </c>
      <c r="E11" s="82">
        <v>56</v>
      </c>
    </row>
    <row r="12" spans="1:5">
      <c r="A12" s="82" t="s">
        <v>79</v>
      </c>
      <c r="B12" s="82">
        <v>79</v>
      </c>
      <c r="C12" s="82">
        <v>28</v>
      </c>
      <c r="D12" s="82">
        <v>60</v>
      </c>
      <c r="E12" s="82">
        <v>66</v>
      </c>
    </row>
    <row r="13" spans="1:5">
      <c r="A13" s="82" t="s">
        <v>80</v>
      </c>
      <c r="B13" s="82">
        <v>75</v>
      </c>
      <c r="C13" s="82">
        <v>29</v>
      </c>
      <c r="D13" s="82">
        <v>54</v>
      </c>
      <c r="E13" s="82">
        <v>60</v>
      </c>
    </row>
  </sheetData>
  <phoneticPr fontId="6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K9"/>
  <sheetViews>
    <sheetView workbookViewId="0">
      <selection activeCell="B25" sqref="B25"/>
    </sheetView>
  </sheetViews>
  <sheetFormatPr defaultColWidth="9" defaultRowHeight="13.5"/>
  <cols>
    <col min="1" max="1" width="9" style="28"/>
    <col min="2" max="2" width="2.875" style="28" customWidth="1"/>
    <col min="3" max="7" width="9" style="28"/>
    <col min="8" max="8" width="8.375" style="28" customWidth="1"/>
    <col min="9" max="16384" width="9" style="28"/>
  </cols>
  <sheetData>
    <row r="2" spans="3:11" ht="14.25" thickBot="1">
      <c r="C2" s="83"/>
      <c r="D2" s="83"/>
      <c r="E2" s="83"/>
      <c r="F2" s="83"/>
      <c r="G2" s="83"/>
    </row>
    <row r="3" spans="3:11">
      <c r="C3" s="110" t="s">
        <v>81</v>
      </c>
      <c r="D3" s="112" t="s">
        <v>82</v>
      </c>
      <c r="E3" s="113"/>
      <c r="F3" s="113"/>
      <c r="G3" s="113"/>
    </row>
    <row r="4" spans="3:11">
      <c r="C4" s="111"/>
      <c r="D4" s="84" t="s">
        <v>83</v>
      </c>
      <c r="E4" s="85" t="s">
        <v>84</v>
      </c>
      <c r="F4" s="85" t="s">
        <v>85</v>
      </c>
      <c r="G4" s="86" t="s">
        <v>86</v>
      </c>
      <c r="I4" s="87"/>
    </row>
    <row r="5" spans="3:11">
      <c r="C5" s="84" t="s">
        <v>87</v>
      </c>
      <c r="D5" s="82">
        <v>15</v>
      </c>
      <c r="E5" s="82">
        <v>18</v>
      </c>
      <c r="F5" s="82">
        <v>21</v>
      </c>
      <c r="G5" s="88">
        <v>24</v>
      </c>
      <c r="I5" s="87"/>
    </row>
    <row r="6" spans="3:11">
      <c r="C6" s="89" t="s">
        <v>88</v>
      </c>
      <c r="D6" s="82">
        <v>19</v>
      </c>
      <c r="E6" s="82">
        <v>23</v>
      </c>
      <c r="F6" s="82">
        <v>22</v>
      </c>
      <c r="G6" s="88">
        <v>18</v>
      </c>
      <c r="I6" s="87"/>
    </row>
    <row r="7" spans="3:11">
      <c r="C7" s="89" t="s">
        <v>89</v>
      </c>
      <c r="D7" s="82">
        <v>26</v>
      </c>
      <c r="E7" s="82">
        <v>17</v>
      </c>
      <c r="F7" s="82">
        <v>16</v>
      </c>
      <c r="G7" s="88">
        <v>19</v>
      </c>
      <c r="H7" s="90"/>
      <c r="I7" s="90"/>
      <c r="J7" s="90"/>
      <c r="K7" s="90"/>
    </row>
    <row r="8" spans="3:11" ht="14.25" thickBot="1">
      <c r="C8" s="91" t="s">
        <v>90</v>
      </c>
      <c r="D8" s="92">
        <v>19</v>
      </c>
      <c r="E8" s="92">
        <v>21</v>
      </c>
      <c r="F8" s="92">
        <v>23</v>
      </c>
      <c r="G8" s="93">
        <v>17</v>
      </c>
      <c r="I8" s="87"/>
    </row>
    <row r="9" spans="3:11">
      <c r="C9" s="87"/>
      <c r="I9" s="87"/>
    </row>
  </sheetData>
  <mergeCells count="2">
    <mergeCell ref="C3:C4"/>
    <mergeCell ref="D3:G3"/>
  </mergeCells>
  <phoneticPr fontId="61"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17"/>
  <sheetViews>
    <sheetView topLeftCell="A10" workbookViewId="0">
      <selection activeCell="B25" sqref="B25"/>
    </sheetView>
  </sheetViews>
  <sheetFormatPr defaultColWidth="9" defaultRowHeight="14.25"/>
  <cols>
    <col min="1" max="1" width="9" style="94"/>
    <col min="2" max="2" width="26.125" style="94" bestFit="1" customWidth="1"/>
    <col min="3" max="4" width="9" style="94"/>
    <col min="5" max="5" width="4.5" style="94" customWidth="1"/>
    <col min="6" max="6" width="18.25" style="94" customWidth="1"/>
    <col min="7" max="7" width="12.25" style="94" customWidth="1"/>
    <col min="8" max="8" width="14.125" style="94" customWidth="1"/>
    <col min="9" max="9" width="15.5" style="94" customWidth="1"/>
    <col min="10" max="10" width="10.375" style="94" customWidth="1"/>
    <col min="11" max="15" width="9" style="94"/>
    <col min="16" max="16" width="8.125" style="96" customWidth="1"/>
    <col min="17" max="28" width="6.625" style="96" customWidth="1"/>
    <col min="29" max="16384" width="9" style="94"/>
  </cols>
  <sheetData>
    <row r="2" spans="2:28">
      <c r="F2" s="95" t="s">
        <v>91</v>
      </c>
      <c r="G2" s="95" t="s">
        <v>92</v>
      </c>
    </row>
    <row r="3" spans="2:28">
      <c r="F3" s="95">
        <v>15</v>
      </c>
      <c r="G3" s="97">
        <v>0.2</v>
      </c>
      <c r="P3" s="98"/>
      <c r="Q3" s="98"/>
      <c r="R3" s="98"/>
      <c r="S3" s="98"/>
      <c r="T3" s="98"/>
      <c r="U3" s="98"/>
      <c r="V3" s="98"/>
      <c r="W3" s="98"/>
      <c r="X3" s="98"/>
      <c r="Y3" s="98"/>
      <c r="Z3" s="98"/>
      <c r="AA3" s="98"/>
      <c r="AB3" s="98"/>
    </row>
    <row r="4" spans="2:28">
      <c r="B4" s="99" t="s">
        <v>93</v>
      </c>
      <c r="C4" s="100">
        <v>500</v>
      </c>
      <c r="F4" s="95">
        <v>16</v>
      </c>
      <c r="G4" s="97">
        <v>0.5</v>
      </c>
      <c r="H4" s="101"/>
    </row>
    <row r="5" spans="2:28">
      <c r="B5" s="99" t="s">
        <v>94</v>
      </c>
      <c r="C5" s="100">
        <v>350</v>
      </c>
      <c r="F5" s="95">
        <v>17</v>
      </c>
      <c r="G5" s="97">
        <v>0.1</v>
      </c>
      <c r="H5" s="101"/>
    </row>
    <row r="6" spans="2:28">
      <c r="B6" s="99" t="s">
        <v>95</v>
      </c>
      <c r="C6" s="100">
        <v>100</v>
      </c>
      <c r="F6" s="95">
        <v>18</v>
      </c>
      <c r="G6" s="97">
        <v>0.2</v>
      </c>
      <c r="H6" s="101"/>
    </row>
    <row r="9" spans="2:28">
      <c r="B9" s="99" t="s">
        <v>96</v>
      </c>
      <c r="C9" s="100">
        <v>50</v>
      </c>
    </row>
    <row r="10" spans="2:28">
      <c r="B10" s="99" t="s">
        <v>97</v>
      </c>
      <c r="C10" s="100">
        <v>50</v>
      </c>
    </row>
    <row r="11" spans="2:28">
      <c r="B11" s="99" t="s">
        <v>98</v>
      </c>
      <c r="C11" s="100">
        <v>300</v>
      </c>
      <c r="F11" s="102"/>
      <c r="G11" s="102"/>
    </row>
    <row r="12" spans="2:28">
      <c r="B12" s="99" t="s">
        <v>99</v>
      </c>
      <c r="C12" s="100">
        <v>50</v>
      </c>
      <c r="F12" s="102"/>
      <c r="G12" s="102"/>
    </row>
    <row r="13" spans="2:28">
      <c r="B13" s="99" t="s">
        <v>100</v>
      </c>
      <c r="C13" s="103">
        <v>8</v>
      </c>
      <c r="F13" s="102"/>
      <c r="G13" s="102"/>
    </row>
    <row r="14" spans="2:28">
      <c r="F14" s="102"/>
      <c r="G14" s="102"/>
    </row>
    <row r="15" spans="2:28">
      <c r="B15" s="99" t="s">
        <v>101</v>
      </c>
      <c r="C15" s="104"/>
      <c r="F15" s="102"/>
      <c r="G15" s="102"/>
    </row>
    <row r="16" spans="2:28">
      <c r="F16" s="102"/>
      <c r="G16" s="102"/>
    </row>
    <row r="17" spans="2:7">
      <c r="B17" s="99" t="s">
        <v>102</v>
      </c>
      <c r="C17" s="105"/>
      <c r="F17" s="102"/>
      <c r="G17" s="102"/>
    </row>
  </sheetData>
  <phoneticPr fontId="61" type="noConversion"/>
  <pageMargins left="0.75" right="0.75" top="1" bottom="1" header="0.5" footer="0.5"/>
  <pageSetup paperSize="9" orientation="portrait" horizontalDpi="200" verticalDpi="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考试须知</vt:lpstr>
      <vt:lpstr>考卷时间</vt:lpstr>
      <vt:lpstr>第1题</vt:lpstr>
      <vt:lpstr>第2题</vt:lpstr>
      <vt:lpstr>第3题</vt:lpstr>
      <vt:lpstr>第4题</vt:lpstr>
      <vt:lpstr>第4题 (2)</vt:lpstr>
      <vt:lpstr>第5题</vt:lpstr>
      <vt:lpstr>第6题</vt:lpstr>
      <vt:lpstr>第7题</vt:lpstr>
      <vt:lpstr>第8题</vt:lpstr>
    </vt:vector>
  </TitlesOfParts>
  <Company>上海财经大学</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C02</cp:lastModifiedBy>
  <dcterms:created xsi:type="dcterms:W3CDTF">2010-12-28T07:11:34Z</dcterms:created>
  <dcterms:modified xsi:type="dcterms:W3CDTF">2018-06-10T03:10:30Z</dcterms:modified>
</cp:coreProperties>
</file>