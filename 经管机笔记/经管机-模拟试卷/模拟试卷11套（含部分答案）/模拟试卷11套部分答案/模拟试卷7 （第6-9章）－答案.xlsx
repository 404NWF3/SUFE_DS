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5" yWindow="4050" windowWidth="15330" windowHeight="4110"/>
  </bookViews>
  <sheets>
    <sheet name="第1题答案" sheetId="4" r:id="rId1"/>
    <sheet name="第2题答案" sheetId="5" r:id="rId2"/>
    <sheet name="第3题答案" sheetId="6" r:id="rId3"/>
    <sheet name="第4题答案" sheetId="7" r:id="rId4"/>
    <sheet name="第5题答案" sheetId="8" r:id="rId5"/>
    <sheet name="第6题答案" sheetId="9" r:id="rId6"/>
    <sheet name="第7题解答" sheetId="10" r:id="rId7"/>
    <sheet name="第8题答案" sheetId="11" r:id="rId8"/>
  </sheets>
  <definedNames>
    <definedName name="solver_adj" localSheetId="3" hidden="1">第4题答案!$C$12:$E$12</definedName>
    <definedName name="solver_adj" localSheetId="4" hidden="1">第5题答案!$C$11:$C$13,第5题答案!$F$11:$F$13,第5题答案!$I$11:$I$13</definedName>
    <definedName name="solver_cvg" localSheetId="3" hidden="1">0.0001</definedName>
    <definedName name="solver_cvg" localSheetId="4" hidden="1">0.0001</definedName>
    <definedName name="solver_drv" localSheetId="3" hidden="1">1</definedName>
    <definedName name="solver_drv" localSheetId="4" hidden="1">1</definedName>
    <definedName name="solver_est" localSheetId="3" hidden="1">1</definedName>
    <definedName name="solver_est" localSheetId="4" hidden="1">1</definedName>
    <definedName name="solver_itr" localSheetId="3" hidden="1">100</definedName>
    <definedName name="solver_itr" localSheetId="4" hidden="1">100</definedName>
    <definedName name="solver_lhs1" localSheetId="3" hidden="1">第4题答案!$C$12:$E$12</definedName>
    <definedName name="solver_lhs1" localSheetId="4" hidden="1">第5题答案!$L$11:$L$13</definedName>
    <definedName name="solver_lhs2" localSheetId="3" hidden="1">第4题答案!$F$8:$F$9</definedName>
    <definedName name="solver_lhs2" localSheetId="4" hidden="1">第5题答案!$C$11:$C$13</definedName>
    <definedName name="solver_lhs3" localSheetId="4" hidden="1">第5题答案!$F$11:$F$13</definedName>
    <definedName name="solver_lhs4" localSheetId="4" hidden="1">第5题答案!$D$11</definedName>
    <definedName name="solver_lhs5" localSheetId="4" hidden="1">第5题答案!$D$13</definedName>
    <definedName name="solver_lhs6" localSheetId="4" hidden="1">第5题答案!$G$11</definedName>
    <definedName name="solver_lhs7" localSheetId="4" hidden="1">第5题答案!$G$13</definedName>
    <definedName name="solver_lhs8" localSheetId="4" hidden="1">第5题答案!$J$13</definedName>
    <definedName name="solver_lhs9" localSheetId="4" hidden="1">第5题答案!$I$11:$I$13</definedName>
    <definedName name="solver_lin" localSheetId="3" hidden="1">2</definedName>
    <definedName name="solver_lin" localSheetId="4" hidden="1">2</definedName>
    <definedName name="solver_neg" localSheetId="3" hidden="1">2</definedName>
    <definedName name="solver_neg" localSheetId="4" hidden="1">2</definedName>
    <definedName name="solver_num" localSheetId="3" hidden="1">2</definedName>
    <definedName name="solver_num" localSheetId="4" hidden="1">9</definedName>
    <definedName name="solver_nwt" localSheetId="3" hidden="1">1</definedName>
    <definedName name="solver_nwt" localSheetId="4" hidden="1">1</definedName>
    <definedName name="solver_opt" localSheetId="3" hidden="1">第4题答案!$C$13</definedName>
    <definedName name="solver_opt" localSheetId="4" hidden="1">第5题答案!$C$21</definedName>
    <definedName name="solver_pre" localSheetId="3" hidden="1">0.000001</definedName>
    <definedName name="solver_pre" localSheetId="4" hidden="1">0.000001</definedName>
    <definedName name="solver_rel1" localSheetId="3" hidden="1">3</definedName>
    <definedName name="solver_rel1" localSheetId="4" hidden="1">1</definedName>
    <definedName name="solver_rel2" localSheetId="3" hidden="1">1</definedName>
    <definedName name="solver_rel2" localSheetId="4" hidden="1">3</definedName>
    <definedName name="solver_rel3" localSheetId="4" hidden="1">3</definedName>
    <definedName name="solver_rel4" localSheetId="4" hidden="1">3</definedName>
    <definedName name="solver_rel5" localSheetId="4" hidden="1">1</definedName>
    <definedName name="solver_rel6" localSheetId="4" hidden="1">3</definedName>
    <definedName name="solver_rel7" localSheetId="4" hidden="1">1</definedName>
    <definedName name="solver_rel8" localSheetId="4" hidden="1">1</definedName>
    <definedName name="solver_rel9" localSheetId="4" hidden="1">3</definedName>
    <definedName name="solver_rhs1" localSheetId="3" hidden="1">0</definedName>
    <definedName name="solver_rhs1" localSheetId="4" hidden="1">第5题答案!$N$11:$N$13</definedName>
    <definedName name="solver_rhs2" localSheetId="3" hidden="1">第4题答案!$G$8:$G$9</definedName>
    <definedName name="solver_rhs2" localSheetId="4" hidden="1">1</definedName>
    <definedName name="solver_rhs3" localSheetId="4" hidden="1">1</definedName>
    <definedName name="solver_rhs4" localSheetId="4" hidden="1">第5题答案!$E$11</definedName>
    <definedName name="solver_rhs5" localSheetId="4" hidden="1">第5题答案!$E$13</definedName>
    <definedName name="solver_rhs6" localSheetId="4" hidden="1">第5题答案!$H$11</definedName>
    <definedName name="solver_rhs7" localSheetId="4" hidden="1">第5题答案!$H$13</definedName>
    <definedName name="solver_rhs8" localSheetId="4" hidden="1">第5题答案!$K$13</definedName>
    <definedName name="solver_rhs9" localSheetId="4" hidden="1">1</definedName>
    <definedName name="solver_scl" localSheetId="3" hidden="1">2</definedName>
    <definedName name="solver_scl" localSheetId="4" hidden="1">2</definedName>
    <definedName name="solver_sho" localSheetId="3" hidden="1">2</definedName>
    <definedName name="solver_sho" localSheetId="4" hidden="1">2</definedName>
    <definedName name="solver_tim" localSheetId="3" hidden="1">100</definedName>
    <definedName name="solver_tim" localSheetId="4" hidden="1">100</definedName>
    <definedName name="solver_tol" localSheetId="3" hidden="1">0.05</definedName>
    <definedName name="solver_tol" localSheetId="4" hidden="1">0.05</definedName>
    <definedName name="solver_typ" localSheetId="3" hidden="1">1</definedName>
    <definedName name="solver_typ" localSheetId="4" hidden="1">1</definedName>
    <definedName name="solver_val" localSheetId="3" hidden="1">0</definedName>
    <definedName name="solver_val" localSheetId="4" hidden="1">0</definedName>
  </definedNames>
  <calcPr calcId="145621"/>
</workbook>
</file>

<file path=xl/calcChain.xml><?xml version="1.0" encoding="utf-8"?>
<calcChain xmlns="http://schemas.openxmlformats.org/spreadsheetml/2006/main">
  <c r="C6" i="6" l="1"/>
  <c r="C17" i="6" l="1"/>
  <c r="J5" i="11"/>
  <c r="J6" i="11"/>
  <c r="J7" i="11"/>
  <c r="J8" i="11" s="1"/>
  <c r="J9" i="11" s="1"/>
  <c r="O6" i="11" s="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D14" i="11"/>
  <c r="Q20" i="11"/>
  <c r="Q21" i="11"/>
  <c r="Q22" i="11"/>
  <c r="Q23" i="11"/>
  <c r="R3" i="10"/>
  <c r="R4" i="10"/>
  <c r="R5" i="10"/>
  <c r="R6" i="10"/>
  <c r="R7" i="10"/>
  <c r="R8" i="10"/>
  <c r="R9" i="10"/>
  <c r="R10" i="10"/>
  <c r="R11" i="10"/>
  <c r="R12" i="10"/>
  <c r="R13" i="10"/>
  <c r="R14" i="10"/>
  <c r="L3" i="10"/>
  <c r="L7" i="10"/>
  <c r="L8" i="10"/>
  <c r="L9" i="10"/>
  <c r="L10" i="10"/>
  <c r="L11" i="10"/>
  <c r="L12" i="10"/>
  <c r="L13" i="10"/>
  <c r="L4" i="10"/>
  <c r="L5" i="10"/>
  <c r="L6" i="10"/>
  <c r="C14" i="10" s="1"/>
  <c r="D13" i="10"/>
  <c r="Q2" i="10" s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D14" i="10"/>
  <c r="R15" i="10"/>
  <c r="R16" i="10"/>
  <c r="R17" i="10"/>
  <c r="Q1" i="10"/>
  <c r="P1" i="10"/>
  <c r="B9" i="9"/>
  <c r="C7" i="9"/>
  <c r="D7" i="9"/>
  <c r="E7" i="9"/>
  <c r="F7" i="9"/>
  <c r="G7" i="9"/>
  <c r="B35" i="8"/>
  <c r="B34" i="8" a="1"/>
  <c r="B34" i="8"/>
  <c r="B28" i="8" a="1"/>
  <c r="B28" i="8" s="1"/>
  <c r="B27" i="8" a="1"/>
  <c r="B27" i="8"/>
  <c r="L11" i="8"/>
  <c r="B26" i="8" s="1" a="1"/>
  <c r="B26" i="8" s="1"/>
  <c r="B25" i="8"/>
  <c r="L12" i="8"/>
  <c r="L13" i="8"/>
  <c r="I14" i="8"/>
  <c r="I18" i="8" s="1"/>
  <c r="F14" i="8"/>
  <c r="F17" i="8" s="1"/>
  <c r="F18" i="8"/>
  <c r="C14" i="8"/>
  <c r="D11" i="8" s="1"/>
  <c r="B29" i="8" s="1"/>
  <c r="D13" i="8"/>
  <c r="B30" i="8" s="1"/>
  <c r="I17" i="8"/>
  <c r="I19" i="8"/>
  <c r="J13" i="8"/>
  <c r="B33" i="8" s="1"/>
  <c r="C17" i="8"/>
  <c r="G11" i="8"/>
  <c r="B31" i="8" s="1"/>
  <c r="G13" i="8"/>
  <c r="B32" i="8" s="1"/>
  <c r="A5" i="7"/>
  <c r="F8" i="7" a="1"/>
  <c r="F8" i="7" s="1"/>
  <c r="A4" i="7" a="1"/>
  <c r="A4" i="7" s="1"/>
  <c r="A3" i="7" a="1"/>
  <c r="A3" i="7"/>
  <c r="A2" i="7"/>
  <c r="C13" i="7" a="1"/>
  <c r="A1" i="7"/>
  <c r="F9" i="7" a="1"/>
  <c r="F9" i="7" s="1"/>
  <c r="C13" i="7"/>
  <c r="C2" i="6"/>
  <c r="C3" i="6"/>
  <c r="C12" i="6"/>
  <c r="C13" i="6"/>
  <c r="P4" i="6"/>
  <c r="P5" i="6"/>
  <c r="P6" i="6"/>
  <c r="P7" i="6"/>
  <c r="P8" i="6"/>
  <c r="P9" i="6"/>
  <c r="P10" i="6"/>
  <c r="F13" i="6"/>
  <c r="P13" i="6"/>
  <c r="F14" i="6"/>
  <c r="P14" i="6" s="1"/>
  <c r="P15" i="6"/>
  <c r="C24" i="6"/>
  <c r="C23" i="6" s="1"/>
  <c r="B26" i="6"/>
  <c r="E8" i="5"/>
  <c r="H15" i="5" s="1"/>
  <c r="D8" i="5"/>
  <c r="C14" i="5"/>
  <c r="G17" i="5"/>
  <c r="G15" i="5"/>
  <c r="G16" i="5"/>
  <c r="G14" i="5"/>
  <c r="E11" i="5"/>
  <c r="H10" i="5" s="1"/>
  <c r="G10" i="5"/>
  <c r="G11" i="5"/>
  <c r="G9" i="5"/>
  <c r="C5" i="4"/>
  <c r="C21" i="4"/>
  <c r="C12" i="4"/>
  <c r="B27" i="6" l="1"/>
  <c r="C20" i="6"/>
  <c r="O14" i="11"/>
  <c r="F19" i="8"/>
  <c r="S19" i="10"/>
  <c r="O18" i="11"/>
  <c r="C21" i="10"/>
  <c r="C13" i="10"/>
  <c r="O22" i="11"/>
  <c r="H16" i="5"/>
  <c r="H4" i="5"/>
  <c r="J10" i="11"/>
  <c r="J11" i="11" s="1"/>
  <c r="J12" i="11" s="1"/>
  <c r="J13" i="11" s="1"/>
  <c r="J14" i="11" s="1"/>
  <c r="O9" i="11"/>
  <c r="O13" i="11"/>
  <c r="O17" i="11"/>
  <c r="O21" i="11"/>
  <c r="O8" i="11"/>
  <c r="O12" i="11"/>
  <c r="O16" i="11"/>
  <c r="O20" i="11"/>
  <c r="O4" i="11"/>
  <c r="P4" i="11" s="1"/>
  <c r="O7" i="11"/>
  <c r="O11" i="11"/>
  <c r="O15" i="11"/>
  <c r="O19" i="11"/>
  <c r="O23" i="11"/>
  <c r="O5" i="11"/>
  <c r="C20" i="4"/>
  <c r="C22" i="4" s="1"/>
  <c r="C11" i="4"/>
  <c r="C13" i="4" s="1"/>
  <c r="C15" i="5"/>
  <c r="C9" i="4"/>
  <c r="C18" i="6"/>
  <c r="C19" i="6"/>
  <c r="F12" i="6"/>
  <c r="P12" i="6" s="1"/>
  <c r="C10" i="6"/>
  <c r="C14" i="6" s="1"/>
  <c r="C15" i="6" s="1"/>
  <c r="F11" i="6"/>
  <c r="P11" i="6" s="1"/>
  <c r="C6" i="9"/>
  <c r="C8" i="9"/>
  <c r="C20" i="10"/>
  <c r="O10" i="11"/>
  <c r="I4" i="5"/>
  <c r="C18" i="8"/>
  <c r="C19" i="8" s="1"/>
  <c r="C21" i="8" s="1"/>
  <c r="B24" i="8" s="1"/>
  <c r="G17" i="6" l="1"/>
  <c r="P3" i="6"/>
  <c r="F3" i="6"/>
  <c r="C10" i="4"/>
  <c r="C15" i="4"/>
  <c r="C9" i="9"/>
  <c r="P5" i="11"/>
  <c r="U4" i="11"/>
  <c r="Q19" i="10"/>
  <c r="R19" i="10"/>
  <c r="O19" i="10"/>
  <c r="S21" i="10"/>
  <c r="P19" i="10"/>
  <c r="C21" i="6"/>
  <c r="B28" i="6" s="1"/>
  <c r="D15" i="10"/>
  <c r="C15" i="10" s="1"/>
  <c r="P2" i="10"/>
  <c r="E13" i="10"/>
  <c r="P6" i="11" l="1"/>
  <c r="U5" i="11"/>
  <c r="V5" i="11" s="1"/>
  <c r="D6" i="9"/>
  <c r="D9" i="9" s="1"/>
  <c r="D8" i="9"/>
  <c r="C16" i="4"/>
  <c r="C23" i="4"/>
  <c r="C24" i="4" s="1"/>
  <c r="R21" i="10"/>
  <c r="P21" i="10"/>
  <c r="O21" i="10"/>
  <c r="Q21" i="10"/>
  <c r="V4" i="11"/>
  <c r="O20" i="10" l="1"/>
  <c r="C16" i="10" s="1"/>
  <c r="Q20" i="10"/>
  <c r="P20" i="10"/>
  <c r="C17" i="10" s="1"/>
  <c r="U6" i="11"/>
  <c r="P7" i="11"/>
  <c r="E6" i="9"/>
  <c r="E9" i="9" s="1"/>
  <c r="E8" i="9"/>
  <c r="U7" i="11" l="1"/>
  <c r="V7" i="11" s="1"/>
  <c r="P8" i="11"/>
  <c r="V6" i="11"/>
  <c r="F6" i="9"/>
  <c r="F9" i="9" s="1"/>
  <c r="F8" i="9"/>
  <c r="G6" i="9" l="1"/>
  <c r="G9" i="9" s="1"/>
  <c r="G8" i="9"/>
  <c r="P9" i="11"/>
  <c r="U8" i="11"/>
  <c r="V8" i="11" s="1"/>
  <c r="P10" i="11" l="1"/>
  <c r="U9" i="11"/>
  <c r="U10" i="11" l="1"/>
  <c r="V10" i="11" s="1"/>
  <c r="P11" i="11"/>
  <c r="V9" i="11"/>
  <c r="U11" i="11" l="1"/>
  <c r="V11" i="11" s="1"/>
  <c r="P12" i="11"/>
  <c r="P13" i="11" l="1"/>
  <c r="U12" i="11"/>
  <c r="V12" i="11" s="1"/>
  <c r="P14" i="11" l="1"/>
  <c r="U13" i="11"/>
  <c r="V13" i="11" s="1"/>
  <c r="U14" i="11" l="1"/>
  <c r="V14" i="11" s="1"/>
  <c r="P15" i="11"/>
  <c r="U15" i="11" l="1"/>
  <c r="V15" i="11" s="1"/>
  <c r="P16" i="11"/>
  <c r="P17" i="11" l="1"/>
  <c r="U16" i="11"/>
  <c r="V16" i="11" s="1"/>
  <c r="P18" i="11" l="1"/>
  <c r="U17" i="11"/>
  <c r="V17" i="11" s="1"/>
  <c r="U18" i="11" l="1"/>
  <c r="V18" i="11" s="1"/>
  <c r="P19" i="11"/>
  <c r="U19" i="11" l="1"/>
  <c r="V19" i="11" s="1"/>
  <c r="P20" i="11"/>
  <c r="P21" i="11" l="1"/>
  <c r="U20" i="11"/>
  <c r="V20" i="11" s="1"/>
  <c r="P22" i="11" l="1"/>
  <c r="U21" i="11"/>
  <c r="V21" i="11" s="1"/>
  <c r="U22" i="11" l="1"/>
  <c r="V22" i="11" s="1"/>
  <c r="P23" i="11"/>
  <c r="U23" i="11" s="1"/>
  <c r="V23" i="11" l="1"/>
  <c r="V3" i="11" s="1"/>
  <c r="D9" i="11" s="1"/>
  <c r="U3" i="11"/>
  <c r="D8" i="11" s="1"/>
  <c r="D11" i="11" s="1"/>
  <c r="D12" i="11" s="1"/>
  <c r="Y2" i="11" l="1"/>
  <c r="D10" i="11"/>
</calcChain>
</file>

<file path=xl/sharedStrings.xml><?xml version="1.0" encoding="utf-8"?>
<sst xmlns="http://schemas.openxmlformats.org/spreadsheetml/2006/main" count="159" uniqueCount="146">
  <si>
    <r>
      <t>销量</t>
    </r>
    <r>
      <rPr>
        <b/>
        <sz val="11"/>
        <rFont val="Arial"/>
        <family val="2"/>
      </rPr>
      <t>(Q)</t>
    </r>
    <phoneticPr fontId="2" type="noConversion"/>
  </si>
  <si>
    <r>
      <t xml:space="preserve"> </t>
    </r>
    <r>
      <rPr>
        <b/>
        <sz val="11"/>
        <rFont val="宋体"/>
        <family val="3"/>
        <charset val="134"/>
      </rPr>
      <t>单位：元</t>
    </r>
    <phoneticPr fontId="2" type="noConversion"/>
  </si>
  <si>
    <r>
      <t>平均每双销售价格</t>
    </r>
    <r>
      <rPr>
        <b/>
        <sz val="11"/>
        <rFont val="Arial"/>
        <family val="2"/>
      </rPr>
      <t>(p)</t>
    </r>
    <phoneticPr fontId="2" type="noConversion"/>
  </si>
  <si>
    <r>
      <t>每双可变成本</t>
    </r>
    <r>
      <rPr>
        <b/>
        <sz val="11"/>
        <rFont val="Arial"/>
        <family val="2"/>
      </rPr>
      <t>(v)</t>
    </r>
    <r>
      <rPr>
        <b/>
        <sz val="11"/>
        <rFont val="宋体"/>
        <family val="3"/>
        <charset val="134"/>
      </rPr>
      <t>：</t>
    </r>
    <phoneticPr fontId="2" type="noConversion"/>
  </si>
  <si>
    <r>
      <t>固定成本</t>
    </r>
    <r>
      <rPr>
        <b/>
        <sz val="11"/>
        <rFont val="Arial"/>
        <family val="2"/>
      </rPr>
      <t>(F)</t>
    </r>
    <r>
      <rPr>
        <b/>
        <sz val="11"/>
        <rFont val="宋体"/>
        <family val="3"/>
        <charset val="134"/>
      </rPr>
      <t>：</t>
    </r>
    <phoneticPr fontId="2" type="noConversion"/>
  </si>
  <si>
    <t>单位边际贡献</t>
    <phoneticPr fontId="2" type="noConversion"/>
  </si>
  <si>
    <t>边际贡献率</t>
    <phoneticPr fontId="2" type="noConversion"/>
  </si>
  <si>
    <r>
      <t>销售收益</t>
    </r>
    <r>
      <rPr>
        <b/>
        <sz val="11"/>
        <rFont val="Arial"/>
        <family val="2"/>
      </rPr>
      <t>(R)</t>
    </r>
    <phoneticPr fontId="2" type="noConversion"/>
  </si>
  <si>
    <r>
      <t>总成本</t>
    </r>
    <r>
      <rPr>
        <b/>
        <sz val="11"/>
        <rFont val="Arial"/>
        <family val="2"/>
      </rPr>
      <t>(C)</t>
    </r>
    <phoneticPr fontId="2" type="noConversion"/>
  </si>
  <si>
    <r>
      <t>利润</t>
    </r>
    <r>
      <rPr>
        <b/>
        <sz val="11"/>
        <rFont val="Arial"/>
        <family val="2"/>
      </rPr>
      <t>(π)</t>
    </r>
    <phoneticPr fontId="2" type="noConversion"/>
  </si>
  <si>
    <r>
      <t>盈亏平衡销量</t>
    </r>
    <r>
      <rPr>
        <b/>
        <sz val="11"/>
        <rFont val="Arial"/>
        <family val="2"/>
      </rPr>
      <t>(Q</t>
    </r>
    <r>
      <rPr>
        <b/>
        <vertAlign val="subscript"/>
        <sz val="11"/>
        <rFont val="Arial"/>
        <family val="2"/>
      </rPr>
      <t>0</t>
    </r>
    <r>
      <rPr>
        <b/>
        <sz val="11"/>
        <rFont val="Arial"/>
        <family val="2"/>
      </rPr>
      <t>)</t>
    </r>
    <phoneticPr fontId="2" type="noConversion"/>
  </si>
  <si>
    <r>
      <t>盈亏平衡销售收益</t>
    </r>
    <r>
      <rPr>
        <b/>
        <sz val="11"/>
        <rFont val="Arial"/>
        <family val="2"/>
      </rPr>
      <t>(R</t>
    </r>
    <r>
      <rPr>
        <b/>
        <vertAlign val="subscript"/>
        <sz val="11"/>
        <rFont val="Arial"/>
        <family val="2"/>
      </rPr>
      <t>0</t>
    </r>
    <r>
      <rPr>
        <b/>
        <sz val="11"/>
        <rFont val="Arial"/>
        <family val="2"/>
      </rPr>
      <t>)</t>
    </r>
    <phoneticPr fontId="2" type="noConversion"/>
  </si>
  <si>
    <t>目标销量</t>
    <phoneticPr fontId="2" type="noConversion"/>
  </si>
  <si>
    <t>目标销量下收益</t>
    <phoneticPr fontId="2" type="noConversion"/>
  </si>
  <si>
    <t>目标销量下成本</t>
    <phoneticPr fontId="2" type="noConversion"/>
  </si>
  <si>
    <r>
      <t>目标利润</t>
    </r>
    <r>
      <rPr>
        <sz val="10"/>
        <rFont val="Times New Roman"/>
        <family val="1"/>
      </rPr>
      <t/>
    </r>
    <phoneticPr fontId="2" type="noConversion"/>
  </si>
  <si>
    <r>
      <t>安全边际</t>
    </r>
    <r>
      <rPr>
        <b/>
        <sz val="11"/>
        <rFont val="Arial"/>
        <family val="2"/>
      </rPr>
      <t>(S)</t>
    </r>
    <phoneticPr fontId="2" type="noConversion"/>
  </si>
  <si>
    <r>
      <t>安全边际率</t>
    </r>
    <r>
      <rPr>
        <b/>
        <sz val="11"/>
        <rFont val="Arial"/>
        <family val="2"/>
      </rPr>
      <t>(s)</t>
    </r>
    <phoneticPr fontId="6" type="noConversion"/>
  </si>
  <si>
    <t>月份</t>
    <phoneticPr fontId="2" type="noConversion"/>
  </si>
  <si>
    <t>方案一</t>
    <phoneticPr fontId="2" type="noConversion"/>
  </si>
  <si>
    <t>方案二</t>
    <phoneticPr fontId="2" type="noConversion"/>
  </si>
  <si>
    <t>免租金月份</t>
    <phoneticPr fontId="2" type="noConversion"/>
  </si>
  <si>
    <t>每月租金</t>
    <phoneticPr fontId="2" type="noConversion"/>
  </si>
  <si>
    <t>相对盈亏平衡点垂直参考线</t>
    <phoneticPr fontId="2" type="noConversion"/>
  </si>
  <si>
    <t>结论文字</t>
    <phoneticPr fontId="2" type="noConversion"/>
  </si>
  <si>
    <t>当前月份垂直参考线</t>
    <phoneticPr fontId="2" type="noConversion"/>
  </si>
  <si>
    <r>
      <t>月份（</t>
    </r>
    <r>
      <rPr>
        <b/>
        <sz val="11"/>
        <rFont val="Arial"/>
        <family val="2"/>
      </rPr>
      <t>T</t>
    </r>
    <r>
      <rPr>
        <b/>
        <sz val="11"/>
        <rFont val="宋体"/>
        <family val="3"/>
        <charset val="134"/>
      </rPr>
      <t>）</t>
    </r>
    <phoneticPr fontId="2" type="noConversion"/>
  </si>
  <si>
    <r>
      <t>T</t>
    </r>
    <r>
      <rPr>
        <b/>
        <sz val="11"/>
        <rFont val="宋体"/>
        <family val="3"/>
        <charset val="134"/>
      </rPr>
      <t>时刻租金</t>
    </r>
    <phoneticPr fontId="2" type="noConversion"/>
  </si>
  <si>
    <r>
      <t>两方案的相对盈亏平衡点</t>
    </r>
    <r>
      <rPr>
        <b/>
        <sz val="11"/>
        <rFont val="Arial"/>
        <family val="2"/>
      </rPr>
      <t>T</t>
    </r>
    <r>
      <rPr>
        <b/>
        <vertAlign val="subscript"/>
        <sz val="11"/>
        <rFont val="Arial"/>
        <family val="2"/>
      </rPr>
      <t>0</t>
    </r>
    <phoneticPr fontId="2" type="noConversion"/>
  </si>
  <si>
    <r>
      <t>T</t>
    </r>
    <r>
      <rPr>
        <b/>
        <vertAlign val="subscript"/>
        <sz val="11"/>
        <rFont val="Arial"/>
        <family val="2"/>
      </rPr>
      <t>0</t>
    </r>
    <r>
      <rPr>
        <b/>
        <sz val="11"/>
        <rFont val="宋体"/>
        <family val="3"/>
        <charset val="134"/>
      </rPr>
      <t>时的租金</t>
    </r>
    <phoneticPr fontId="2" type="noConversion"/>
  </si>
  <si>
    <t>单价折扣率</t>
    <phoneticPr fontId="2" type="noConversion"/>
  </si>
  <si>
    <t>折扣阈限值1</t>
    <phoneticPr fontId="2" type="noConversion"/>
  </si>
  <si>
    <t>单价折扣率2</t>
    <phoneticPr fontId="2" type="noConversion"/>
  </si>
  <si>
    <t>折扣阈限值2</t>
    <phoneticPr fontId="2" type="noConversion"/>
  </si>
  <si>
    <t>年需求量</t>
    <phoneticPr fontId="2" type="noConversion"/>
  </si>
  <si>
    <t>一次订货的订货成本</t>
    <phoneticPr fontId="2" type="noConversion"/>
  </si>
  <si>
    <t>单位年储存成本</t>
    <phoneticPr fontId="2" type="noConversion"/>
  </si>
  <si>
    <t>名义采购单价</t>
    <phoneticPr fontId="2" type="noConversion"/>
  </si>
  <si>
    <t>实际采购单价</t>
    <phoneticPr fontId="2" type="noConversion"/>
  </si>
  <si>
    <t>订货量</t>
    <phoneticPr fontId="2" type="noConversion"/>
  </si>
  <si>
    <t>年订货成本</t>
    <phoneticPr fontId="2" type="noConversion"/>
  </si>
  <si>
    <t>年储存成本</t>
    <phoneticPr fontId="2" type="noConversion"/>
  </si>
  <si>
    <t>年采购成本</t>
    <phoneticPr fontId="2" type="noConversion"/>
  </si>
  <si>
    <t>年总成本</t>
    <phoneticPr fontId="2" type="noConversion"/>
  </si>
  <si>
    <t>最低年总成本</t>
    <phoneticPr fontId="2" type="noConversion"/>
  </si>
  <si>
    <t>最优订货量</t>
    <phoneticPr fontId="2" type="noConversion"/>
  </si>
  <si>
    <r>
      <t>经济订货量</t>
    </r>
    <r>
      <rPr>
        <b/>
        <sz val="11"/>
        <rFont val="Arial"/>
        <family val="2"/>
      </rPr>
      <t>(EOQ)</t>
    </r>
    <phoneticPr fontId="2" type="noConversion"/>
  </si>
  <si>
    <r>
      <t>EOQ</t>
    </r>
    <r>
      <rPr>
        <b/>
        <sz val="11"/>
        <rFont val="宋体"/>
        <family val="3"/>
        <charset val="134"/>
      </rPr>
      <t>下的年订货成本</t>
    </r>
    <phoneticPr fontId="2" type="noConversion"/>
  </si>
  <si>
    <r>
      <t>EOQ</t>
    </r>
    <r>
      <rPr>
        <b/>
        <sz val="11"/>
        <rFont val="宋体"/>
        <family val="3"/>
        <charset val="134"/>
      </rPr>
      <t>下的年储存成本</t>
    </r>
    <phoneticPr fontId="2" type="noConversion"/>
  </si>
  <si>
    <r>
      <t>EOQ</t>
    </r>
    <r>
      <rPr>
        <b/>
        <sz val="11"/>
        <rFont val="宋体"/>
        <family val="3"/>
        <charset val="134"/>
      </rPr>
      <t>下的年采购成本</t>
    </r>
    <phoneticPr fontId="2" type="noConversion"/>
  </si>
  <si>
    <r>
      <t>EOQ</t>
    </r>
    <r>
      <rPr>
        <b/>
        <sz val="11"/>
        <rFont val="宋体"/>
        <family val="3"/>
        <charset val="134"/>
      </rPr>
      <t>下的年总成本</t>
    </r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</si>
  <si>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</si>
  <si>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</si>
  <si>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</si>
  <si>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用量</t>
    <phoneticPr fontId="2" type="noConversion"/>
  </si>
  <si>
    <t>资源限量</t>
    <phoneticPr fontId="2" type="noConversion"/>
  </si>
  <si>
    <t>产量</t>
    <phoneticPr fontId="2" type="noConversion"/>
  </si>
  <si>
    <t>利润</t>
    <phoneticPr fontId="2" type="noConversion"/>
  </si>
  <si>
    <r>
      <t>材料</t>
    </r>
    <r>
      <rPr>
        <b/>
        <sz val="11"/>
        <rFont val="Arial"/>
        <family val="2"/>
      </rPr>
      <t>(kg)</t>
    </r>
    <phoneticPr fontId="2" type="noConversion"/>
  </si>
  <si>
    <r>
      <t>设备</t>
    </r>
    <r>
      <rPr>
        <b/>
        <sz val="11"/>
        <rFont val="Arial"/>
        <family val="2"/>
      </rPr>
      <t>(</t>
    </r>
    <r>
      <rPr>
        <b/>
        <sz val="11"/>
        <rFont val="宋体"/>
        <family val="3"/>
        <charset val="134"/>
      </rPr>
      <t>台时</t>
    </r>
    <r>
      <rPr>
        <b/>
        <sz val="11"/>
        <rFont val="Arial"/>
        <family val="2"/>
      </rPr>
      <t>)</t>
    </r>
    <phoneticPr fontId="2" type="noConversion"/>
  </si>
  <si>
    <r>
      <t>利润</t>
    </r>
    <r>
      <rPr>
        <b/>
        <sz val="11"/>
        <rFont val="Arial"/>
        <family val="2"/>
      </rPr>
      <t>(</t>
    </r>
    <r>
      <rPr>
        <b/>
        <sz val="11"/>
        <rFont val="宋体"/>
        <family val="3"/>
        <charset val="134"/>
      </rPr>
      <t>元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件</t>
    </r>
    <r>
      <rPr>
        <b/>
        <sz val="11"/>
        <rFont val="Arial"/>
        <family val="2"/>
      </rPr>
      <t>)</t>
    </r>
    <phoneticPr fontId="2" type="noConversion"/>
  </si>
  <si>
    <t>原料</t>
    <phoneticPr fontId="2" type="noConversion"/>
  </si>
  <si>
    <t>甲</t>
    <phoneticPr fontId="2" type="noConversion"/>
  </si>
  <si>
    <t>乙</t>
    <phoneticPr fontId="2" type="noConversion"/>
  </si>
  <si>
    <t>丙</t>
    <phoneticPr fontId="2" type="noConversion"/>
  </si>
  <si>
    <t>每月限制用量（公斤）</t>
    <phoneticPr fontId="2" type="noConversion"/>
  </si>
  <si>
    <r>
      <t>原料成本
（元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宋体"/>
        <family val="3"/>
        <charset val="134"/>
      </rPr>
      <t>公斤）</t>
    </r>
    <phoneticPr fontId="2" type="noConversion"/>
  </si>
  <si>
    <t>A</t>
    <phoneticPr fontId="2" type="noConversion"/>
  </si>
  <si>
    <t>&gt;=60%</t>
    <phoneticPr fontId="2" type="noConversion"/>
  </si>
  <si>
    <t>&gt;=15%</t>
    <phoneticPr fontId="2" type="noConversion"/>
  </si>
  <si>
    <t>B</t>
    <phoneticPr fontId="2" type="noConversion"/>
  </si>
  <si>
    <t>C</t>
    <phoneticPr fontId="2" type="noConversion"/>
  </si>
  <si>
    <t>&lt;=20%</t>
    <phoneticPr fontId="2" type="noConversion"/>
  </si>
  <si>
    <t>&lt;=60%</t>
    <phoneticPr fontId="2" type="noConversion"/>
  </si>
  <si>
    <t>&lt;=50%</t>
    <phoneticPr fontId="2" type="noConversion"/>
  </si>
  <si>
    <r>
      <t>加工费
（元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宋体"/>
        <family val="3"/>
        <charset val="134"/>
      </rPr>
      <t>公斤）</t>
    </r>
    <phoneticPr fontId="2" type="noConversion"/>
  </si>
  <si>
    <r>
      <t>售价
（元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宋体"/>
        <family val="3"/>
        <charset val="134"/>
      </rPr>
      <t>公斤）</t>
    </r>
    <phoneticPr fontId="2" type="noConversion"/>
  </si>
  <si>
    <t>原料</t>
    <phoneticPr fontId="2" type="noConversion"/>
  </si>
  <si>
    <t>甲</t>
    <phoneticPr fontId="2" type="noConversion"/>
  </si>
  <si>
    <t>含量
比例</t>
    <phoneticPr fontId="2" type="noConversion"/>
  </si>
  <si>
    <t>含量
控制</t>
    <phoneticPr fontId="2" type="noConversion"/>
  </si>
  <si>
    <t>乙</t>
    <phoneticPr fontId="2" type="noConversion"/>
  </si>
  <si>
    <t>丙</t>
    <phoneticPr fontId="2" type="noConversion"/>
  </si>
  <si>
    <t>原料
总量</t>
    <phoneticPr fontId="2" type="noConversion"/>
  </si>
  <si>
    <r>
      <t>原料成本
（元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宋体"/>
        <family val="3"/>
        <charset val="134"/>
      </rPr>
      <t>公斤）</t>
    </r>
    <phoneticPr fontId="2" type="noConversion"/>
  </si>
  <si>
    <t>每月限制用量（公斤）</t>
    <phoneticPr fontId="2" type="noConversion"/>
  </si>
  <si>
    <t>产量</t>
    <phoneticPr fontId="2" type="noConversion"/>
  </si>
  <si>
    <t>收益</t>
    <phoneticPr fontId="2" type="noConversion"/>
  </si>
  <si>
    <t>成本</t>
    <phoneticPr fontId="2" type="noConversion"/>
  </si>
  <si>
    <t>利润</t>
    <phoneticPr fontId="2" type="noConversion"/>
  </si>
  <si>
    <t>总利润：</t>
    <phoneticPr fontId="2" type="noConversion"/>
  </si>
  <si>
    <t>现金流量</t>
  </si>
  <si>
    <t>期初贷款余额</t>
  </si>
  <si>
    <t>回报</t>
  </si>
  <si>
    <t>贷款利息</t>
  </si>
  <si>
    <t>期末贷款余额</t>
  </si>
  <si>
    <t>贷款利率</t>
    <phoneticPr fontId="2" type="noConversion"/>
  </si>
  <si>
    <t>贷款投资数据</t>
    <phoneticPr fontId="2" type="noConversion"/>
  </si>
  <si>
    <t>净现金流</t>
    <phoneticPr fontId="2" type="noConversion"/>
  </si>
  <si>
    <t>第0年</t>
  </si>
  <si>
    <t>第1年</t>
  </si>
  <si>
    <t>第2年</t>
  </si>
  <si>
    <r>
      <t>第3年</t>
    </r>
    <r>
      <rPr>
        <sz val="10"/>
        <rFont val="Arial"/>
        <family val="2"/>
      </rPr>
      <t/>
    </r>
  </si>
  <si>
    <r>
      <t>第4年</t>
    </r>
    <r>
      <rPr>
        <sz val="10"/>
        <rFont val="Arial"/>
        <family val="2"/>
      </rPr>
      <t/>
    </r>
  </si>
  <si>
    <r>
      <t>第5年</t>
    </r>
    <r>
      <rPr>
        <sz val="10"/>
        <rFont val="Arial"/>
        <family val="2"/>
      </rPr>
      <t/>
    </r>
  </si>
  <si>
    <t>年数</t>
    <phoneticPr fontId="2" type="noConversion"/>
  </si>
  <si>
    <t>项目B</t>
    <phoneticPr fontId="2" type="noConversion"/>
  </si>
  <si>
    <t>项目A</t>
    <phoneticPr fontId="2" type="noConversion"/>
  </si>
  <si>
    <t>年贴现率</t>
    <phoneticPr fontId="2" type="noConversion"/>
  </si>
  <si>
    <t>附表加插值法：两个项目相等时的年内部报酬率</t>
    <phoneticPr fontId="2" type="noConversion"/>
  </si>
  <si>
    <r>
      <t>A</t>
    </r>
    <r>
      <rPr>
        <b/>
        <sz val="11"/>
        <rFont val="宋体"/>
        <family val="3"/>
        <charset val="134"/>
      </rPr>
      <t>方案设备残值</t>
    </r>
    <phoneticPr fontId="2" type="noConversion"/>
  </si>
  <si>
    <r>
      <t>B</t>
    </r>
    <r>
      <rPr>
        <b/>
        <sz val="11"/>
        <rFont val="宋体"/>
        <family val="3"/>
        <charset val="134"/>
      </rPr>
      <t>方案设备残值</t>
    </r>
    <phoneticPr fontId="2" type="noConversion"/>
  </si>
  <si>
    <t>金额单位：万元</t>
    <phoneticPr fontId="2" type="noConversion"/>
  </si>
  <si>
    <r>
      <t>项目</t>
    </r>
    <r>
      <rPr>
        <b/>
        <sz val="11"/>
        <rFont val="Arial"/>
        <family val="2"/>
      </rPr>
      <t>A</t>
    </r>
    <phoneticPr fontId="2" type="noConversion"/>
  </si>
  <si>
    <r>
      <t>项目</t>
    </r>
    <r>
      <rPr>
        <b/>
        <sz val="11"/>
        <rFont val="Arial"/>
        <family val="2"/>
      </rPr>
      <t>B</t>
    </r>
    <phoneticPr fontId="2" type="noConversion"/>
  </si>
  <si>
    <r>
      <t>第</t>
    </r>
    <r>
      <rPr>
        <b/>
        <sz val="11"/>
        <rFont val="Arial"/>
        <family val="2"/>
      </rPr>
      <t>0</t>
    </r>
    <r>
      <rPr>
        <b/>
        <sz val="11"/>
        <rFont val="宋体"/>
        <family val="3"/>
        <charset val="134"/>
      </rPr>
      <t>年投资额</t>
    </r>
    <phoneticPr fontId="2" type="noConversion"/>
  </si>
  <si>
    <r>
      <t>第</t>
    </r>
    <r>
      <rPr>
        <b/>
        <sz val="11"/>
        <rFont val="Arial"/>
        <family val="2"/>
      </rPr>
      <t>1</t>
    </r>
    <r>
      <rPr>
        <b/>
        <sz val="11"/>
        <rFont val="宋体"/>
        <family val="3"/>
        <charset val="134"/>
      </rPr>
      <t>年至第</t>
    </r>
    <r>
      <rPr>
        <b/>
        <sz val="11"/>
        <rFont val="Arial"/>
        <family val="2"/>
      </rPr>
      <t>3</t>
    </r>
    <r>
      <rPr>
        <b/>
        <sz val="11"/>
        <rFont val="宋体"/>
        <family val="3"/>
        <charset val="134"/>
      </rPr>
      <t>年收益</t>
    </r>
    <phoneticPr fontId="2" type="noConversion"/>
  </si>
  <si>
    <r>
      <t>第</t>
    </r>
    <r>
      <rPr>
        <b/>
        <sz val="11"/>
        <rFont val="Arial"/>
        <family val="2"/>
      </rPr>
      <t>4</t>
    </r>
    <r>
      <rPr>
        <b/>
        <sz val="11"/>
        <rFont val="宋体"/>
        <family val="3"/>
        <charset val="134"/>
      </rPr>
      <t>年维修设备投资金额</t>
    </r>
    <phoneticPr fontId="2" type="noConversion"/>
  </si>
  <si>
    <r>
      <t>第</t>
    </r>
    <r>
      <rPr>
        <b/>
        <sz val="11"/>
        <rFont val="Arial"/>
        <family val="2"/>
      </rPr>
      <t>4</t>
    </r>
    <r>
      <rPr>
        <b/>
        <sz val="11"/>
        <rFont val="宋体"/>
        <family val="3"/>
        <charset val="134"/>
      </rPr>
      <t>年至第</t>
    </r>
    <r>
      <rPr>
        <b/>
        <sz val="11"/>
        <rFont val="Arial"/>
        <family val="2"/>
      </rPr>
      <t>10</t>
    </r>
    <r>
      <rPr>
        <b/>
        <sz val="11"/>
        <rFont val="宋体"/>
        <family val="3"/>
        <charset val="134"/>
      </rPr>
      <t>年收益</t>
    </r>
    <phoneticPr fontId="2" type="noConversion"/>
  </si>
  <si>
    <t>净现值</t>
    <phoneticPr fontId="2" type="noConversion"/>
  </si>
  <si>
    <t>年内部报酬率</t>
    <phoneticPr fontId="2" type="noConversion"/>
  </si>
  <si>
    <t>方案选择结论</t>
    <phoneticPr fontId="2" type="noConversion"/>
  </si>
  <si>
    <t>附表加插值法：两个项目相等时的净现值</t>
    <phoneticPr fontId="2" type="noConversion"/>
  </si>
  <si>
    <r>
      <t>项目</t>
    </r>
    <r>
      <rPr>
        <b/>
        <sz val="11"/>
        <rFont val="Arial"/>
        <family val="2"/>
      </rPr>
      <t>A</t>
    </r>
    <r>
      <rPr>
        <b/>
        <sz val="11"/>
        <rFont val="宋体"/>
        <family val="3"/>
        <charset val="134"/>
      </rPr>
      <t>的第</t>
    </r>
    <r>
      <rPr>
        <b/>
        <sz val="11"/>
        <rFont val="Arial"/>
        <family val="2"/>
      </rPr>
      <t>2</t>
    </r>
    <r>
      <rPr>
        <b/>
        <sz val="11"/>
        <rFont val="宋体"/>
        <family val="3"/>
        <charset val="134"/>
      </rPr>
      <t>种解法：</t>
    </r>
    <phoneticPr fontId="2" type="noConversion"/>
  </si>
  <si>
    <r>
      <t>使用</t>
    </r>
    <r>
      <rPr>
        <b/>
        <sz val="11"/>
        <rFont val="Arial"/>
        <family val="2"/>
      </rPr>
      <t>PV()</t>
    </r>
    <r>
      <rPr>
        <b/>
        <sz val="11"/>
        <rFont val="宋体"/>
        <family val="3"/>
        <charset val="134"/>
      </rPr>
      <t>函数</t>
    </r>
    <phoneticPr fontId="2" type="noConversion"/>
  </si>
  <si>
    <r>
      <t>使用</t>
    </r>
    <r>
      <rPr>
        <b/>
        <sz val="11"/>
        <rFont val="Arial"/>
        <family val="2"/>
      </rPr>
      <t>Rate()</t>
    </r>
    <r>
      <rPr>
        <b/>
        <sz val="11"/>
        <rFont val="宋体"/>
        <family val="3"/>
        <charset val="134"/>
      </rPr>
      <t>函数</t>
    </r>
    <phoneticPr fontId="2" type="noConversion"/>
  </si>
  <si>
    <t>零件寿命（小时）分布</t>
  </si>
  <si>
    <t>零件寿命</t>
  </si>
  <si>
    <t>零件更换个数</t>
  </si>
  <si>
    <t>更换零件停机成本</t>
  </si>
  <si>
    <t>零件更换个数</t>
    <phoneticPr fontId="2" type="noConversion"/>
  </si>
  <si>
    <t>延误时间</t>
    <phoneticPr fontId="2" type="noConversion"/>
  </si>
  <si>
    <t>每分钟停机成本</t>
    <phoneticPr fontId="2" type="noConversion"/>
  </si>
  <si>
    <t>概率</t>
    <phoneticPr fontId="2" type="noConversion"/>
  </si>
  <si>
    <t>累计概率</t>
    <phoneticPr fontId="2" type="noConversion"/>
  </si>
  <si>
    <t>累计寿命</t>
    <phoneticPr fontId="2" type="noConversion"/>
  </si>
  <si>
    <t>SUM</t>
    <phoneticPr fontId="2" type="noConversion"/>
  </si>
  <si>
    <t>（小时）</t>
    <phoneticPr fontId="2" type="noConversion"/>
  </si>
  <si>
    <t>修理工的到达延误时间下限</t>
    <phoneticPr fontId="2" type="noConversion"/>
  </si>
  <si>
    <t>修理工的到达延误时间上限</t>
    <phoneticPr fontId="2" type="noConversion"/>
  </si>
  <si>
    <t>修理工到达延误时间</t>
    <phoneticPr fontId="2" type="noConversion"/>
  </si>
  <si>
    <t>修理工到达延误时的停机成本</t>
    <phoneticPr fontId="2" type="noConversion"/>
  </si>
  <si>
    <t>更换零件停机时间</t>
    <phoneticPr fontId="2" type="noConversion"/>
  </si>
  <si>
    <r>
      <t>更换</t>
    </r>
    <r>
      <rPr>
        <b/>
        <sz val="11"/>
        <rFont val="Arial"/>
        <family val="2"/>
      </rPr>
      <t>1</t>
    </r>
    <r>
      <rPr>
        <b/>
        <sz val="11"/>
        <rFont val="宋体"/>
        <family val="3"/>
        <charset val="134"/>
      </rPr>
      <t>个零件的时间</t>
    </r>
    <phoneticPr fontId="2" type="noConversion"/>
  </si>
  <si>
    <r>
      <t>30</t>
    </r>
    <r>
      <rPr>
        <b/>
        <sz val="11"/>
        <rFont val="宋体"/>
        <family val="3"/>
        <charset val="134"/>
      </rPr>
      <t>次模拟后的平均延误时间</t>
    </r>
    <phoneticPr fontId="2" type="noConversion"/>
  </si>
  <si>
    <r>
      <t>1</t>
    </r>
    <r>
      <rPr>
        <b/>
        <sz val="11"/>
        <rFont val="宋体"/>
        <family val="3"/>
        <charset val="134"/>
      </rPr>
      <t>至</t>
    </r>
    <r>
      <rPr>
        <b/>
        <sz val="11"/>
        <rFont val="Arial"/>
        <family val="2"/>
      </rPr>
      <t>10</t>
    </r>
    <r>
      <rPr>
        <b/>
        <sz val="11"/>
        <rFont val="宋体"/>
        <family val="3"/>
        <charset val="134"/>
      </rPr>
      <t>年每月末收益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</si>
</sst>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.000"/>
    <numFmt numFmtId="177" formatCode="0.0"/>
    <numFmt numFmtId="178" formatCode="0.00_ "/>
    <numFmt numFmtId="179" formatCode="0.0%"/>
    <numFmt numFmtId="180" formatCode="0.000%"/>
    <numFmt numFmtId="181" formatCode="0.00000_ "/>
    <numFmt numFmtId="182" formatCode="0.00000%"/>
    <numFmt numFmtId="183" formatCode="#,##0.00_ ;[Red]\-#,##0.00\ "/>
    <numFmt numFmtId="184" formatCode="#,##0.000_ ;[Red]\-#,##0.000\ "/>
  </numFmts>
  <fonts count="32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b/>
      <i/>
      <sz val="12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1"/>
      <color indexed="19"/>
      <name val="Arial"/>
      <family val="2"/>
    </font>
    <font>
      <b/>
      <vertAlign val="subscript"/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9"/>
      <name val="Arial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8"/>
      <name val="Arial"/>
      <family val="2"/>
    </font>
    <font>
      <b/>
      <sz val="11"/>
      <color indexed="2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lightUp"/>
    </fill>
    <fill>
      <patternFill patternType="solid">
        <fgColor indexed="4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lightDown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lightDown">
        <bgColor indexed="9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/>
    <xf numFmtId="0" fontId="20" fillId="4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16" borderId="8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13" fillId="23" borderId="9" applyNumberFormat="0" applyFont="0" applyAlignment="0" applyProtection="0">
      <alignment vertical="center"/>
    </xf>
  </cellStyleXfs>
  <cellXfs count="159">
    <xf numFmtId="0" fontId="0" fillId="0" borderId="0" xfId="0"/>
    <xf numFmtId="0" fontId="7" fillId="0" borderId="0" xfId="32" applyFont="1" applyFill="1"/>
    <xf numFmtId="0" fontId="7" fillId="0" borderId="0" xfId="32" applyFont="1" applyFill="1" applyBorder="1"/>
    <xf numFmtId="0" fontId="8" fillId="0" borderId="10" xfId="32" applyFont="1" applyFill="1" applyBorder="1" applyAlignment="1">
      <alignment horizontal="left"/>
    </xf>
    <xf numFmtId="1" fontId="7" fillId="0" borderId="10" xfId="32" applyNumberFormat="1" applyFont="1" applyFill="1" applyBorder="1"/>
    <xf numFmtId="0" fontId="9" fillId="0" borderId="0" xfId="32" applyFont="1" applyFill="1"/>
    <xf numFmtId="0" fontId="8" fillId="0" borderId="0" xfId="32" applyFont="1" applyFill="1" applyBorder="1"/>
    <xf numFmtId="2" fontId="7" fillId="0" borderId="0" xfId="32" applyNumberFormat="1" applyFont="1" applyFill="1" applyBorder="1" applyAlignment="1">
      <alignment horizontal="right"/>
    </xf>
    <xf numFmtId="0" fontId="7" fillId="0" borderId="11" xfId="32" applyFont="1" applyFill="1" applyBorder="1"/>
    <xf numFmtId="0" fontId="7" fillId="0" borderId="10" xfId="32" applyFont="1" applyFill="1" applyBorder="1" applyAlignment="1">
      <alignment horizontal="center"/>
    </xf>
    <xf numFmtId="0" fontId="7" fillId="0" borderId="0" xfId="32" applyFont="1" applyFill="1" applyBorder="1" applyAlignment="1">
      <alignment horizontal="right"/>
    </xf>
    <xf numFmtId="0" fontId="8" fillId="0" borderId="12" xfId="32" applyFont="1" applyFill="1" applyBorder="1"/>
    <xf numFmtId="2" fontId="7" fillId="0" borderId="10" xfId="32" applyNumberFormat="1" applyFont="1" applyFill="1" applyBorder="1"/>
    <xf numFmtId="0" fontId="8" fillId="0" borderId="13" xfId="32" applyFont="1" applyFill="1" applyBorder="1"/>
    <xf numFmtId="2" fontId="7" fillId="0" borderId="13" xfId="32" applyNumberFormat="1" applyFont="1" applyFill="1" applyBorder="1"/>
    <xf numFmtId="0" fontId="8" fillId="0" borderId="10" xfId="32" applyFont="1" applyFill="1" applyBorder="1"/>
    <xf numFmtId="9" fontId="7" fillId="0" borderId="10" xfId="19" applyFont="1" applyFill="1" applyBorder="1"/>
    <xf numFmtId="0" fontId="7" fillId="0" borderId="10" xfId="32" applyFont="1" applyFill="1" applyBorder="1"/>
    <xf numFmtId="1" fontId="7" fillId="0" borderId="0" xfId="32" applyNumberFormat="1" applyFont="1" applyFill="1" applyBorder="1"/>
    <xf numFmtId="0" fontId="7" fillId="0" borderId="0" xfId="0" applyFont="1" applyFill="1"/>
    <xf numFmtId="0" fontId="7" fillId="0" borderId="0" xfId="0" applyFont="1"/>
    <xf numFmtId="0" fontId="8" fillId="24" borderId="14" xfId="28" applyFont="1" applyFill="1" applyBorder="1" applyAlignment="1">
      <alignment horizontal="center" vertical="center"/>
    </xf>
    <xf numFmtId="0" fontId="7" fillId="25" borderId="10" xfId="28" applyFont="1" applyFill="1" applyBorder="1">
      <alignment vertical="center"/>
    </xf>
    <xf numFmtId="0" fontId="8" fillId="0" borderId="0" xfId="0" applyFont="1"/>
    <xf numFmtId="0" fontId="7" fillId="0" borderId="10" xfId="0" applyFont="1" applyFill="1" applyBorder="1"/>
    <xf numFmtId="0" fontId="8" fillId="24" borderId="10" xfId="28" applyFont="1" applyFill="1" applyBorder="1" applyAlignment="1">
      <alignment vertical="center"/>
    </xf>
    <xf numFmtId="0" fontId="7" fillId="26" borderId="10" xfId="0" applyFont="1" applyFill="1" applyBorder="1"/>
    <xf numFmtId="0" fontId="7" fillId="24" borderId="14" xfId="28" applyFont="1" applyFill="1" applyBorder="1" applyAlignment="1">
      <alignment horizontal="center" vertical="center"/>
    </xf>
    <xf numFmtId="1" fontId="7" fillId="27" borderId="10" xfId="0" applyNumberFormat="1" applyFont="1" applyFill="1" applyBorder="1"/>
    <xf numFmtId="0" fontId="7" fillId="27" borderId="10" xfId="0" applyFont="1" applyFill="1" applyBorder="1"/>
    <xf numFmtId="0" fontId="7" fillId="0" borderId="15" xfId="28" applyFont="1" applyFill="1" applyBorder="1" applyAlignment="1">
      <alignment horizontal="center" vertical="center"/>
    </xf>
    <xf numFmtId="0" fontId="7" fillId="0" borderId="0" xfId="28" applyFont="1" applyFill="1" applyBorder="1">
      <alignment vertical="center"/>
    </xf>
    <xf numFmtId="1" fontId="7" fillId="0" borderId="0" xfId="0" applyNumberFormat="1" applyFont="1"/>
    <xf numFmtId="0" fontId="7" fillId="0" borderId="0" xfId="0" applyFont="1" applyFill="1" applyBorder="1"/>
    <xf numFmtId="0" fontId="7" fillId="28" borderId="0" xfId="0" applyFont="1" applyFill="1"/>
    <xf numFmtId="0" fontId="8" fillId="24" borderId="10" xfId="0" applyFont="1" applyFill="1" applyBorder="1"/>
    <xf numFmtId="179" fontId="7" fillId="25" borderId="10" xfId="19" applyNumberFormat="1" applyFont="1" applyFill="1" applyBorder="1"/>
    <xf numFmtId="0" fontId="12" fillId="28" borderId="0" xfId="0" applyFont="1" applyFill="1"/>
    <xf numFmtId="0" fontId="7" fillId="0" borderId="0" xfId="0" applyFont="1" applyAlignment="1">
      <alignment horizontal="center"/>
    </xf>
    <xf numFmtId="1" fontId="7" fillId="25" borderId="10" xfId="0" applyNumberFormat="1" applyFont="1" applyFill="1" applyBorder="1"/>
    <xf numFmtId="1" fontId="7" fillId="24" borderId="10" xfId="0" applyNumberFormat="1" applyFont="1" applyFill="1" applyBorder="1"/>
    <xf numFmtId="9" fontId="7" fillId="25" borderId="10" xfId="19" applyFont="1" applyFill="1" applyBorder="1"/>
    <xf numFmtId="2" fontId="7" fillId="25" borderId="10" xfId="0" applyNumberFormat="1" applyFont="1" applyFill="1" applyBorder="1"/>
    <xf numFmtId="2" fontId="7" fillId="29" borderId="10" xfId="0" applyNumberFormat="1" applyFont="1" applyFill="1" applyBorder="1"/>
    <xf numFmtId="1" fontId="7" fillId="0" borderId="10" xfId="0" applyNumberFormat="1" applyFont="1" applyBorder="1"/>
    <xf numFmtId="176" fontId="7" fillId="24" borderId="10" xfId="0" applyNumberFormat="1" applyFont="1" applyFill="1" applyBorder="1"/>
    <xf numFmtId="2" fontId="7" fillId="30" borderId="10" xfId="0" applyNumberFormat="1" applyFont="1" applyFill="1" applyBorder="1"/>
    <xf numFmtId="177" fontId="7" fillId="28" borderId="0" xfId="0" applyNumberFormat="1" applyFont="1" applyFill="1"/>
    <xf numFmtId="177" fontId="7" fillId="30" borderId="10" xfId="0" applyNumberFormat="1" applyFont="1" applyFill="1" applyBorder="1"/>
    <xf numFmtId="0" fontId="7" fillId="0" borderId="10" xfId="0" applyFont="1" applyBorder="1"/>
    <xf numFmtId="2" fontId="7" fillId="0" borderId="10" xfId="0" applyNumberFormat="1" applyFont="1" applyBorder="1"/>
    <xf numFmtId="0" fontId="7" fillId="24" borderId="10" xfId="0" applyFont="1" applyFill="1" applyBorder="1"/>
    <xf numFmtId="0" fontId="8" fillId="0" borderId="10" xfId="0" applyFont="1" applyBorder="1"/>
    <xf numFmtId="0" fontId="11" fillId="0" borderId="10" xfId="0" applyFont="1" applyBorder="1"/>
    <xf numFmtId="0" fontId="7" fillId="29" borderId="10" xfId="31" applyFont="1" applyFill="1" applyBorder="1">
      <alignment vertical="center"/>
    </xf>
    <xf numFmtId="0" fontId="7" fillId="0" borderId="0" xfId="31" applyFont="1">
      <alignment vertical="center"/>
    </xf>
    <xf numFmtId="0" fontId="7" fillId="0" borderId="10" xfId="31" applyFont="1" applyBorder="1" applyAlignment="1">
      <alignment horizontal="center" vertical="center"/>
    </xf>
    <xf numFmtId="0" fontId="7" fillId="24" borderId="10" xfId="31" applyFont="1" applyFill="1" applyBorder="1" applyAlignment="1">
      <alignment horizontal="center" vertical="center"/>
    </xf>
    <xf numFmtId="0" fontId="8" fillId="24" borderId="10" xfId="31" applyFont="1" applyFill="1" applyBorder="1" applyAlignment="1">
      <alignment horizontal="center" vertical="center"/>
    </xf>
    <xf numFmtId="0" fontId="7" fillId="27" borderId="10" xfId="31" applyFont="1" applyFill="1" applyBorder="1" applyAlignment="1">
      <alignment horizontal="center" vertical="center"/>
    </xf>
    <xf numFmtId="0" fontId="8" fillId="0" borderId="10" xfId="31" applyFont="1" applyFill="1" applyBorder="1" applyAlignment="1">
      <alignment horizontal="center" vertical="center"/>
    </xf>
    <xf numFmtId="0" fontId="7" fillId="0" borderId="0" xfId="31" applyFont="1" applyFill="1" applyBorder="1" applyAlignment="1">
      <alignment horizontal="center" vertical="center"/>
    </xf>
    <xf numFmtId="0" fontId="7" fillId="27" borderId="10" xfId="31" applyFont="1" applyFill="1" applyBorder="1">
      <alignment vertical="center"/>
    </xf>
    <xf numFmtId="0" fontId="21" fillId="0" borderId="10" xfId="27" applyFont="1" applyBorder="1" applyAlignment="1">
      <alignment horizontal="center" vertical="center"/>
    </xf>
    <xf numFmtId="0" fontId="21" fillId="0" borderId="10" xfId="27" applyFont="1" applyBorder="1" applyAlignment="1">
      <alignment horizontal="center" vertical="center" wrapText="1"/>
    </xf>
    <xf numFmtId="0" fontId="21" fillId="0" borderId="0" xfId="27" applyFont="1" applyFill="1" applyBorder="1" applyAlignment="1">
      <alignment horizontal="center" vertical="center"/>
    </xf>
    <xf numFmtId="0" fontId="30" fillId="0" borderId="0" xfId="27" applyFont="1" applyBorder="1" applyAlignment="1">
      <alignment horizontal="center" vertical="center" wrapText="1"/>
    </xf>
    <xf numFmtId="178" fontId="30" fillId="0" borderId="10" xfId="27" applyNumberFormat="1" applyFont="1" applyBorder="1" applyAlignment="1">
      <alignment horizontal="center" vertical="center"/>
    </xf>
    <xf numFmtId="178" fontId="30" fillId="0" borderId="0" xfId="27" applyNumberFormat="1" applyFont="1">
      <alignment vertical="center"/>
    </xf>
    <xf numFmtId="0" fontId="30" fillId="0" borderId="0" xfId="27" applyFont="1">
      <alignment vertical="center"/>
    </xf>
    <xf numFmtId="0" fontId="30" fillId="0" borderId="10" xfId="27" applyFont="1" applyBorder="1" applyAlignment="1">
      <alignment horizontal="center" vertical="center"/>
    </xf>
    <xf numFmtId="0" fontId="30" fillId="0" borderId="10" xfId="27" applyFont="1" applyBorder="1">
      <alignment vertical="center"/>
    </xf>
    <xf numFmtId="178" fontId="30" fillId="0" borderId="10" xfId="27" applyNumberFormat="1" applyFont="1" applyBorder="1">
      <alignment vertical="center"/>
    </xf>
    <xf numFmtId="0" fontId="30" fillId="0" borderId="0" xfId="27" applyFont="1" applyBorder="1" applyAlignment="1">
      <alignment horizontal="center" vertical="center"/>
    </xf>
    <xf numFmtId="0" fontId="21" fillId="0" borderId="10" xfId="27" applyFont="1" applyFill="1" applyBorder="1" applyAlignment="1">
      <alignment horizontal="center" vertical="center" wrapText="1"/>
    </xf>
    <xf numFmtId="9" fontId="30" fillId="0" borderId="10" xfId="19" applyFont="1" applyBorder="1" applyAlignment="1">
      <alignment vertical="center"/>
    </xf>
    <xf numFmtId="0" fontId="30" fillId="31" borderId="10" xfId="27" applyFont="1" applyFill="1" applyBorder="1">
      <alignment vertical="center"/>
    </xf>
    <xf numFmtId="0" fontId="30" fillId="0" borderId="10" xfId="27" applyFont="1" applyFill="1" applyBorder="1" applyAlignment="1">
      <alignment horizontal="center" vertical="center"/>
    </xf>
    <xf numFmtId="0" fontId="30" fillId="0" borderId="0" xfId="27" applyFont="1" applyFill="1" applyBorder="1">
      <alignment vertical="center"/>
    </xf>
    <xf numFmtId="178" fontId="30" fillId="0" borderId="0" xfId="27" applyNumberFormat="1" applyFont="1" applyBorder="1">
      <alignment vertical="center"/>
    </xf>
    <xf numFmtId="0" fontId="8" fillId="24" borderId="0" xfId="30" applyFont="1" applyFill="1"/>
    <xf numFmtId="10" fontId="7" fillId="32" borderId="0" xfId="30" applyNumberFormat="1" applyFont="1" applyFill="1"/>
    <xf numFmtId="0" fontId="7" fillId="0" borderId="0" xfId="30" applyFont="1"/>
    <xf numFmtId="0" fontId="7" fillId="24" borderId="10" xfId="30" applyFont="1" applyFill="1" applyBorder="1" applyAlignment="1">
      <alignment horizontal="center"/>
    </xf>
    <xf numFmtId="0" fontId="7" fillId="24" borderId="16" xfId="30" applyFont="1" applyFill="1" applyBorder="1"/>
    <xf numFmtId="0" fontId="7" fillId="32" borderId="10" xfId="30" applyFont="1" applyFill="1" applyBorder="1"/>
    <xf numFmtId="182" fontId="7" fillId="0" borderId="0" xfId="30" applyNumberFormat="1" applyFont="1"/>
    <xf numFmtId="0" fontId="7" fillId="24" borderId="17" xfId="30" applyFont="1" applyFill="1" applyBorder="1"/>
    <xf numFmtId="178" fontId="7" fillId="0" borderId="12" xfId="30" applyNumberFormat="1" applyFont="1" applyFill="1" applyBorder="1"/>
    <xf numFmtId="177" fontId="7" fillId="29" borderId="12" xfId="30" applyNumberFormat="1" applyFont="1" applyFill="1" applyBorder="1"/>
    <xf numFmtId="0" fontId="7" fillId="24" borderId="14" xfId="30" applyFont="1" applyFill="1" applyBorder="1"/>
    <xf numFmtId="178" fontId="7" fillId="0" borderId="10" xfId="30" applyNumberFormat="1" applyFont="1" applyFill="1" applyBorder="1"/>
    <xf numFmtId="177" fontId="7" fillId="29" borderId="10" xfId="30" applyNumberFormat="1" applyFont="1" applyFill="1" applyBorder="1"/>
    <xf numFmtId="0" fontId="7" fillId="24" borderId="10" xfId="26" applyFont="1" applyFill="1" applyBorder="1">
      <alignment vertical="center"/>
    </xf>
    <xf numFmtId="184" fontId="7" fillId="0" borderId="0" xfId="0" applyNumberFormat="1" applyFont="1"/>
    <xf numFmtId="180" fontId="7" fillId="0" borderId="0" xfId="0" applyNumberFormat="1" applyFont="1"/>
    <xf numFmtId="178" fontId="7" fillId="0" borderId="0" xfId="0" applyNumberFormat="1" applyFont="1"/>
    <xf numFmtId="0" fontId="8" fillId="24" borderId="10" xfId="26" applyFont="1" applyFill="1" applyBorder="1">
      <alignment vertical="center"/>
    </xf>
    <xf numFmtId="10" fontId="7" fillId="0" borderId="10" xfId="0" applyNumberFormat="1" applyFont="1" applyBorder="1"/>
    <xf numFmtId="0" fontId="7" fillId="33" borderId="10" xfId="0" applyFont="1" applyFill="1" applyBorder="1"/>
    <xf numFmtId="0" fontId="7" fillId="34" borderId="10" xfId="0" applyFont="1" applyFill="1" applyBorder="1"/>
    <xf numFmtId="184" fontId="7" fillId="29" borderId="10" xfId="0" applyNumberFormat="1" applyFont="1" applyFill="1" applyBorder="1"/>
    <xf numFmtId="183" fontId="7" fillId="29" borderId="10" xfId="0" applyNumberFormat="1" applyFont="1" applyFill="1" applyBorder="1"/>
    <xf numFmtId="180" fontId="7" fillId="29" borderId="10" xfId="19" applyNumberFormat="1" applyFont="1" applyFill="1" applyBorder="1"/>
    <xf numFmtId="10" fontId="7" fillId="29" borderId="10" xfId="19" applyNumberFormat="1" applyFont="1" applyFill="1" applyBorder="1"/>
    <xf numFmtId="0" fontId="7" fillId="29" borderId="10" xfId="0" applyFont="1" applyFill="1" applyBorder="1"/>
    <xf numFmtId="10" fontId="7" fillId="29" borderId="10" xfId="0" applyNumberFormat="1" applyFont="1" applyFill="1" applyBorder="1"/>
    <xf numFmtId="0" fontId="7" fillId="33" borderId="0" xfId="0" applyFont="1" applyFill="1" applyBorder="1"/>
    <xf numFmtId="178" fontId="7" fillId="29" borderId="10" xfId="0" applyNumberFormat="1" applyFont="1" applyFill="1" applyBorder="1"/>
    <xf numFmtId="178" fontId="7" fillId="33" borderId="0" xfId="0" applyNumberFormat="1" applyFont="1" applyFill="1" applyBorder="1"/>
    <xf numFmtId="181" fontId="7" fillId="0" borderId="0" xfId="0" applyNumberFormat="1" applyFont="1"/>
    <xf numFmtId="10" fontId="7" fillId="0" borderId="0" xfId="0" applyNumberFormat="1" applyFont="1"/>
    <xf numFmtId="10" fontId="7" fillId="32" borderId="0" xfId="19" applyNumberFormat="1" applyFont="1" applyFill="1"/>
    <xf numFmtId="178" fontId="7" fillId="32" borderId="0" xfId="0" applyNumberFormat="1" applyFont="1" applyFill="1"/>
    <xf numFmtId="10" fontId="7" fillId="0" borderId="0" xfId="19" applyNumberFormat="1" applyFont="1"/>
    <xf numFmtId="0" fontId="11" fillId="35" borderId="10" xfId="29" applyFont="1" applyFill="1" applyBorder="1" applyAlignment="1">
      <alignment horizontal="center"/>
    </xf>
    <xf numFmtId="0" fontId="7" fillId="36" borderId="0" xfId="29" applyFont="1" applyFill="1" applyAlignment="1"/>
    <xf numFmtId="0" fontId="7" fillId="36" borderId="0" xfId="29" applyFont="1" applyFill="1" applyAlignment="1">
      <alignment horizontal="center"/>
    </xf>
    <xf numFmtId="0" fontId="7" fillId="0" borderId="0" xfId="29" applyFont="1" applyAlignment="1"/>
    <xf numFmtId="0" fontId="12" fillId="36" borderId="0" xfId="29" applyFont="1" applyFill="1" applyAlignment="1"/>
    <xf numFmtId="0" fontId="31" fillId="36" borderId="0" xfId="29" applyFont="1" applyFill="1" applyAlignment="1"/>
    <xf numFmtId="0" fontId="7" fillId="33" borderId="0" xfId="29" applyFont="1" applyFill="1" applyAlignment="1"/>
    <xf numFmtId="0" fontId="30" fillId="37" borderId="10" xfId="29" applyFont="1" applyFill="1" applyBorder="1" applyAlignment="1">
      <alignment horizontal="center" vertical="center"/>
    </xf>
    <xf numFmtId="0" fontId="8" fillId="24" borderId="10" xfId="29" applyFont="1" applyFill="1" applyBorder="1" applyAlignment="1">
      <alignment horizontal="center"/>
    </xf>
    <xf numFmtId="0" fontId="30" fillId="0" borderId="0" xfId="29" applyFont="1">
      <alignment vertical="center"/>
    </xf>
    <xf numFmtId="0" fontId="30" fillId="0" borderId="10" xfId="29" applyFont="1" applyBorder="1" applyAlignment="1">
      <alignment horizontal="center" vertical="center"/>
    </xf>
    <xf numFmtId="0" fontId="8" fillId="24" borderId="12" xfId="29" applyFont="1" applyFill="1" applyBorder="1" applyAlignment="1"/>
    <xf numFmtId="0" fontId="7" fillId="25" borderId="18" xfId="29" applyFont="1" applyFill="1" applyBorder="1" applyAlignment="1">
      <alignment horizontal="center"/>
    </xf>
    <xf numFmtId="0" fontId="30" fillId="35" borderId="10" xfId="29" applyFont="1" applyFill="1" applyBorder="1" applyAlignment="1">
      <alignment horizontal="center" vertical="center"/>
    </xf>
    <xf numFmtId="0" fontId="8" fillId="24" borderId="10" xfId="29" applyFont="1" applyFill="1" applyBorder="1" applyAlignment="1"/>
    <xf numFmtId="0" fontId="7" fillId="25" borderId="19" xfId="29" applyFont="1" applyFill="1" applyBorder="1" applyAlignment="1">
      <alignment horizontal="center"/>
    </xf>
    <xf numFmtId="0" fontId="7" fillId="24" borderId="10" xfId="29" applyFont="1" applyFill="1" applyBorder="1" applyAlignment="1"/>
    <xf numFmtId="9" fontId="7" fillId="29" borderId="10" xfId="29" applyNumberFormat="1" applyFont="1" applyFill="1" applyBorder="1" applyAlignment="1">
      <alignment horizontal="center"/>
    </xf>
    <xf numFmtId="0" fontId="7" fillId="0" borderId="10" xfId="29" applyFont="1" applyBorder="1" applyAlignment="1">
      <alignment horizontal="center"/>
    </xf>
    <xf numFmtId="0" fontId="30" fillId="29" borderId="10" xfId="29" applyFont="1" applyFill="1" applyBorder="1" applyAlignment="1">
      <alignment horizontal="center" vertical="center"/>
    </xf>
    <xf numFmtId="0" fontId="7" fillId="25" borderId="10" xfId="29" applyFont="1" applyFill="1" applyBorder="1" applyAlignment="1">
      <alignment horizontal="center"/>
    </xf>
    <xf numFmtId="9" fontId="7" fillId="25" borderId="10" xfId="19" applyFont="1" applyFill="1" applyBorder="1" applyAlignment="1">
      <alignment horizontal="center"/>
    </xf>
    <xf numFmtId="0" fontId="7" fillId="29" borderId="19" xfId="29" applyFont="1" applyFill="1" applyBorder="1" applyAlignment="1"/>
    <xf numFmtId="0" fontId="7" fillId="29" borderId="18" xfId="29" applyFont="1" applyFill="1" applyBorder="1" applyAlignment="1"/>
    <xf numFmtId="0" fontId="7" fillId="29" borderId="10" xfId="29" applyFont="1" applyFill="1" applyBorder="1" applyAlignment="1"/>
    <xf numFmtId="0" fontId="7" fillId="24" borderId="12" xfId="29" applyFont="1" applyFill="1" applyBorder="1" applyAlignment="1"/>
    <xf numFmtId="0" fontId="30" fillId="0" borderId="0" xfId="29" applyFont="1" applyAlignment="1">
      <alignment horizontal="center" vertical="center"/>
    </xf>
    <xf numFmtId="0" fontId="30" fillId="33" borderId="0" xfId="29" applyFont="1" applyFill="1">
      <alignment vertical="center"/>
    </xf>
    <xf numFmtId="0" fontId="11" fillId="0" borderId="0" xfId="32" applyFont="1" applyFill="1" applyBorder="1" applyAlignment="1">
      <alignment horizontal="left"/>
    </xf>
    <xf numFmtId="0" fontId="7" fillId="27" borderId="10" xfId="0" applyFont="1" applyFill="1" applyBorder="1" applyAlignment="1">
      <alignment horizontal="center"/>
    </xf>
    <xf numFmtId="0" fontId="7" fillId="27" borderId="14" xfId="0" applyFont="1" applyFill="1" applyBorder="1" applyAlignment="1">
      <alignment horizontal="center"/>
    </xf>
    <xf numFmtId="0" fontId="7" fillId="27" borderId="19" xfId="0" applyFont="1" applyFill="1" applyBorder="1" applyAlignment="1">
      <alignment horizontal="center"/>
    </xf>
    <xf numFmtId="0" fontId="8" fillId="24" borderId="14" xfId="28" applyFont="1" applyFill="1" applyBorder="1" applyAlignment="1">
      <alignment horizontal="center" vertical="center"/>
    </xf>
    <xf numFmtId="0" fontId="7" fillId="24" borderId="19" xfId="28" applyFont="1" applyFill="1" applyBorder="1" applyAlignment="1">
      <alignment horizontal="center" vertical="center"/>
    </xf>
    <xf numFmtId="0" fontId="7" fillId="24" borderId="14" xfId="28" applyFont="1" applyFill="1" applyBorder="1" applyAlignment="1">
      <alignment horizontal="center" vertical="center"/>
    </xf>
    <xf numFmtId="0" fontId="8" fillId="24" borderId="17" xfId="28" applyFont="1" applyFill="1" applyBorder="1" applyAlignment="1">
      <alignment horizontal="center" vertical="center"/>
    </xf>
    <xf numFmtId="0" fontId="7" fillId="24" borderId="18" xfId="28" applyFont="1" applyFill="1" applyBorder="1" applyAlignment="1">
      <alignment horizontal="center" vertical="center"/>
    </xf>
    <xf numFmtId="0" fontId="11" fillId="0" borderId="10" xfId="0" applyFont="1" applyBorder="1" applyAlignment="1"/>
    <xf numFmtId="0" fontId="7" fillId="0" borderId="13" xfId="30" applyFont="1" applyFill="1" applyBorder="1" applyAlignment="1">
      <alignment horizontal="center" vertical="center" wrapText="1"/>
    </xf>
    <xf numFmtId="0" fontId="7" fillId="0" borderId="12" xfId="30" applyFont="1" applyFill="1" applyBorder="1" applyAlignment="1">
      <alignment horizontal="center" vertical="center" wrapText="1"/>
    </xf>
    <xf numFmtId="0" fontId="8" fillId="0" borderId="10" xfId="30" applyFont="1" applyFill="1" applyBorder="1" applyAlignment="1">
      <alignment horizontal="center"/>
    </xf>
    <xf numFmtId="0" fontId="7" fillId="0" borderId="10" xfId="30" applyFont="1" applyFill="1" applyBorder="1" applyAlignment="1">
      <alignment horizontal="center"/>
    </xf>
    <xf numFmtId="0" fontId="8" fillId="0" borderId="11" xfId="0" applyFont="1" applyBorder="1" applyAlignment="1">
      <alignment horizontal="right"/>
    </xf>
    <xf numFmtId="0" fontId="7" fillId="0" borderId="11" xfId="0" applyFont="1" applyBorder="1" applyAlignment="1">
      <alignment horizontal="right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百分比" xfId="19" builtinId="5"/>
    <cellStyle name="标题" xfId="20" builtinId="15" customBuiltin="1"/>
    <cellStyle name="标题 1" xfId="21" builtinId="16" customBuiltin="1"/>
    <cellStyle name="标题 2" xfId="22" builtinId="17" customBuiltin="1"/>
    <cellStyle name="标题 3" xfId="23" builtinId="18" customBuiltin="1"/>
    <cellStyle name="标题 4" xfId="24" builtinId="19" customBuiltin="1"/>
    <cellStyle name="差" xfId="25" builtinId="27" customBuiltin="1"/>
    <cellStyle name="常规" xfId="0" builtinId="0"/>
    <cellStyle name="常规_2006_2007第一学期第8题ABCD考题 经过改造" xfId="26"/>
    <cellStyle name="常规_2010-2011_S_第5题_参考答案" xfId="27"/>
    <cellStyle name="常规_第6章-经济订货量补考答案2" xfId="28"/>
    <cellStyle name="常规_第8题-2" xfId="29"/>
    <cellStyle name="常规_第8章财务函数出题-201106" xfId="30"/>
    <cellStyle name="常规_规划求解-期末试题" xfId="31"/>
    <cellStyle name="常规_例6-02 安全边际与目标销量分析模型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强调文字颜色 1" xfId="40" builtinId="29" customBuiltin="1"/>
    <cellStyle name="强调文字颜色 2" xfId="41" builtinId="33" customBuiltin="1"/>
    <cellStyle name="强调文字颜色 3" xfId="42" builtinId="37" customBuiltin="1"/>
    <cellStyle name="强调文字颜色 4" xfId="43" builtinId="41" customBuiltin="1"/>
    <cellStyle name="强调文字颜色 5" xfId="44" builtinId="45" customBuiltin="1"/>
    <cellStyle name="强调文字颜色 6" xfId="45" builtinId="49" customBuiltin="1"/>
    <cellStyle name="适中" xfId="46" builtinId="28" customBuiltin="1"/>
    <cellStyle name="输出" xfId="47" builtinId="21" customBuiltin="1"/>
    <cellStyle name="输入" xfId="48" builtinId="20" customBuiltin="1"/>
    <cellStyle name="注释" xfId="49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altLang="en-US"/>
              <a:t>两种租用设备方案的决策模型</a:t>
            </a:r>
          </a:p>
        </c:rich>
      </c:tx>
      <c:layout>
        <c:manualLayout>
          <c:xMode val="edge"/>
          <c:yMode val="edge"/>
          <c:x val="0.33333407653323999"/>
          <c:y val="3.66667860246940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0349668124082"/>
          <c:y val="0.18000058593940735"/>
          <c:w val="0.80822098008744492"/>
          <c:h val="0.63000205078792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第2题答案!$H$3</c:f>
              <c:strCache>
                <c:ptCount val="1"/>
                <c:pt idx="0">
                  <c:v>方案一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第2题答案!$G$5:$G$6</c:f>
              <c:numCache>
                <c:formatCode>General</c:formatCode>
                <c:ptCount val="2"/>
                <c:pt idx="0">
                  <c:v>13</c:v>
                </c:pt>
                <c:pt idx="1">
                  <c:v>36</c:v>
                </c:pt>
              </c:numCache>
            </c:numRef>
          </c:xVal>
          <c:yVal>
            <c:numRef>
              <c:f>第2题答案!$H$5:$H$6</c:f>
              <c:numCache>
                <c:formatCode>General</c:formatCode>
                <c:ptCount val="2"/>
                <c:pt idx="0">
                  <c:v>156</c:v>
                </c:pt>
                <c:pt idx="1">
                  <c:v>432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第2题答案!$I$3</c:f>
              <c:strCache>
                <c:ptCount val="1"/>
                <c:pt idx="0">
                  <c:v>方案二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第2题答案!$G$5:$G$6</c:f>
              <c:numCache>
                <c:formatCode>General</c:formatCode>
                <c:ptCount val="2"/>
                <c:pt idx="0">
                  <c:v>13</c:v>
                </c:pt>
                <c:pt idx="1">
                  <c:v>36</c:v>
                </c:pt>
              </c:numCache>
            </c:numRef>
          </c:xVal>
          <c:yVal>
            <c:numRef>
              <c:f>第2题答案!$I$5:$I$6</c:f>
              <c:numCache>
                <c:formatCode>General</c:formatCode>
                <c:ptCount val="2"/>
                <c:pt idx="0">
                  <c:v>20</c:v>
                </c:pt>
                <c:pt idx="1">
                  <c:v>480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square"/>
              <c:size val="6"/>
              <c:spPr>
                <a:noFill/>
                <a:ln>
                  <a:solidFill>
                    <a:srgbClr val="FFFF00"/>
                  </a:solidFill>
                  <a:prstDash val="solid"/>
                </a:ln>
              </c:spPr>
            </c:marker>
            <c:bubble3D val="0"/>
          </c:dPt>
          <c:xVal>
            <c:numRef>
              <c:f>第2题答案!$G$9:$G$11</c:f>
              <c:numCache>
                <c:formatCode>0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xVal>
          <c:yVal>
            <c:numRef>
              <c:f>第2题答案!$H$9:$H$11</c:f>
              <c:numCache>
                <c:formatCode>General</c:formatCode>
                <c:ptCount val="3"/>
                <c:pt idx="0">
                  <c:v>500</c:v>
                </c:pt>
                <c:pt idx="1">
                  <c:v>360</c:v>
                </c:pt>
                <c:pt idx="2">
                  <c:v>0</c:v>
                </c:pt>
              </c:numCache>
            </c:numRef>
          </c:yVal>
          <c:smooth val="1"/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square"/>
              <c:size val="5"/>
              <c:spPr>
                <a:noFill/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</c:dPt>
          <c:dPt>
            <c:idx val="2"/>
            <c:marker>
              <c:symbol val="square"/>
              <c:size val="5"/>
              <c:spPr>
                <a:noFill/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</c:dPt>
          <c:xVal>
            <c:numRef>
              <c:f>第2题答案!$G$14:$G$17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xVal>
          <c:yVal>
            <c:numRef>
              <c:f>第2题答案!$H$14:$H$17</c:f>
              <c:numCache>
                <c:formatCode>General</c:formatCode>
                <c:ptCount val="4"/>
                <c:pt idx="0">
                  <c:v>500</c:v>
                </c:pt>
                <c:pt idx="1">
                  <c:v>160</c:v>
                </c:pt>
                <c:pt idx="2">
                  <c:v>240</c:v>
                </c:pt>
                <c:pt idx="3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47040"/>
        <c:axId val="194879488"/>
      </c:scatterChart>
      <c:valAx>
        <c:axId val="76447040"/>
        <c:scaling>
          <c:orientation val="minMax"/>
          <c:max val="36"/>
          <c:min val="13"/>
        </c:scaling>
        <c:delete val="0"/>
        <c:axPos val="b"/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月份（T）</a:t>
                </a:r>
              </a:p>
            </c:rich>
          </c:tx>
          <c:layout>
            <c:manualLayout>
              <c:xMode val="edge"/>
              <c:yMode val="edge"/>
              <c:x val="0.81050409020068626"/>
              <c:y val="0.910002962249226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4879488"/>
        <c:crosses val="autoZero"/>
        <c:crossBetween val="midCat"/>
        <c:majorUnit val="2"/>
      </c:valAx>
      <c:valAx>
        <c:axId val="194879488"/>
        <c:scaling>
          <c:orientation val="minMax"/>
          <c:max val="500"/>
        </c:scaling>
        <c:delete val="0"/>
        <c:axPos val="l"/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租金</a:t>
                </a:r>
              </a:p>
            </c:rich>
          </c:tx>
          <c:layout>
            <c:manualLayout>
              <c:xMode val="edge"/>
              <c:yMode val="edge"/>
              <c:x val="2.9680431472137808E-2"/>
              <c:y val="0.450001464848518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447040"/>
        <c:crosses val="autoZero"/>
        <c:crossBetween val="midCat"/>
        <c:majorUnit val="5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9041182936427421"/>
          <c:y val="0.91333630643328922"/>
          <c:w val="0.30821986528758494"/>
          <c:h val="6.33335394971988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84305037965931"/>
          <c:y val="0.11922169447064722"/>
          <c:w val="0.75600807605280662"/>
          <c:h val="0.71046397521283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第3题答案!$G$3</c:f>
              <c:strCache>
                <c:ptCount val="1"/>
                <c:pt idx="0">
                  <c:v>11000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第3题答案!$G$4:$G$15</c:f>
              <c:numCache>
                <c:formatCode>0</c:formatCode>
                <c:ptCount val="12"/>
                <c:pt idx="0">
                  <c:v>94000</c:v>
                </c:pt>
                <c:pt idx="1">
                  <c:v>90500</c:v>
                </c:pt>
                <c:pt idx="2">
                  <c:v>89200</c:v>
                </c:pt>
                <c:pt idx="3">
                  <c:v>89000</c:v>
                </c:pt>
                <c:pt idx="4">
                  <c:v>89428.57142857142</c:v>
                </c:pt>
                <c:pt idx="5">
                  <c:v>90250</c:v>
                </c:pt>
                <c:pt idx="6">
                  <c:v>91333.333333333328</c:v>
                </c:pt>
                <c:pt idx="7">
                  <c:v>97076.90698225153</c:v>
                </c:pt>
                <c:pt idx="8">
                  <c:v>93776.923076923063</c:v>
                </c:pt>
                <c:pt idx="9">
                  <c:v>102366.4870371502</c:v>
                </c:pt>
                <c:pt idx="10">
                  <c:v>99066.666666666672</c:v>
                </c:pt>
                <c:pt idx="11">
                  <c:v>131285.71428571429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第3题答案!$H$3</c:f>
              <c:strCache>
                <c:ptCount val="1"/>
                <c:pt idx="0">
                  <c:v>12000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第3题答案!$H$4:$H$15</c:f>
              <c:numCache>
                <c:formatCode>0</c:formatCode>
                <c:ptCount val="12"/>
                <c:pt idx="0">
                  <c:v>102000</c:v>
                </c:pt>
                <c:pt idx="1">
                  <c:v>98000</c:v>
                </c:pt>
                <c:pt idx="2">
                  <c:v>96400</c:v>
                </c:pt>
                <c:pt idx="3">
                  <c:v>96000</c:v>
                </c:pt>
                <c:pt idx="4">
                  <c:v>96285.71428571429</c:v>
                </c:pt>
                <c:pt idx="5">
                  <c:v>97000</c:v>
                </c:pt>
                <c:pt idx="6">
                  <c:v>98000</c:v>
                </c:pt>
                <c:pt idx="7">
                  <c:v>103538.44579881984</c:v>
                </c:pt>
                <c:pt idx="8">
                  <c:v>99938.461538461532</c:v>
                </c:pt>
                <c:pt idx="9">
                  <c:v>108399.82222234567</c:v>
                </c:pt>
                <c:pt idx="10">
                  <c:v>104800</c:v>
                </c:pt>
                <c:pt idx="11">
                  <c:v>136857.14285714287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第3题答案!$I$5</c:f>
              <c:strCache>
                <c:ptCount val="1"/>
                <c:pt idx="0">
                  <c:v>105500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第3题答案!$I$4:$I$15</c:f>
              <c:numCache>
                <c:formatCode>0</c:formatCode>
                <c:ptCount val="12"/>
                <c:pt idx="0">
                  <c:v>110000</c:v>
                </c:pt>
                <c:pt idx="1">
                  <c:v>105500</c:v>
                </c:pt>
                <c:pt idx="2">
                  <c:v>103600</c:v>
                </c:pt>
                <c:pt idx="3">
                  <c:v>103000</c:v>
                </c:pt>
                <c:pt idx="4">
                  <c:v>103142.85714285714</c:v>
                </c:pt>
                <c:pt idx="5">
                  <c:v>103750</c:v>
                </c:pt>
                <c:pt idx="6">
                  <c:v>104666.66666666666</c:v>
                </c:pt>
                <c:pt idx="7">
                  <c:v>109999.98461538817</c:v>
                </c:pt>
                <c:pt idx="8">
                  <c:v>106099.99999999999</c:v>
                </c:pt>
                <c:pt idx="9">
                  <c:v>114433.15740754115</c:v>
                </c:pt>
                <c:pt idx="10">
                  <c:v>110533.33333333334</c:v>
                </c:pt>
                <c:pt idx="11">
                  <c:v>142428.57142857142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第3题答案!$J$3</c:f>
              <c:strCache>
                <c:ptCount val="1"/>
                <c:pt idx="0">
                  <c:v>14000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第3题答案!$J$4:$J$15</c:f>
              <c:numCache>
                <c:formatCode>0</c:formatCode>
                <c:ptCount val="12"/>
                <c:pt idx="0">
                  <c:v>118000</c:v>
                </c:pt>
                <c:pt idx="1">
                  <c:v>113000</c:v>
                </c:pt>
                <c:pt idx="2">
                  <c:v>110800</c:v>
                </c:pt>
                <c:pt idx="3">
                  <c:v>110000</c:v>
                </c:pt>
                <c:pt idx="4">
                  <c:v>110000</c:v>
                </c:pt>
                <c:pt idx="5">
                  <c:v>110500</c:v>
                </c:pt>
                <c:pt idx="6">
                  <c:v>111333.33333333334</c:v>
                </c:pt>
                <c:pt idx="7">
                  <c:v>116461.52343195648</c:v>
                </c:pt>
                <c:pt idx="8">
                  <c:v>112261.53846153844</c:v>
                </c:pt>
                <c:pt idx="9">
                  <c:v>120466.49259273661</c:v>
                </c:pt>
                <c:pt idx="10">
                  <c:v>116266.66666666666</c:v>
                </c:pt>
                <c:pt idx="11">
                  <c:v>148000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第3题答案!$K$3</c:f>
              <c:strCache>
                <c:ptCount val="1"/>
                <c:pt idx="0">
                  <c:v>15000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第3题答案!$K$4:$K$15</c:f>
              <c:numCache>
                <c:formatCode>0</c:formatCode>
                <c:ptCount val="12"/>
                <c:pt idx="0">
                  <c:v>126000</c:v>
                </c:pt>
                <c:pt idx="1">
                  <c:v>120500</c:v>
                </c:pt>
                <c:pt idx="2">
                  <c:v>118000</c:v>
                </c:pt>
                <c:pt idx="3">
                  <c:v>117000</c:v>
                </c:pt>
                <c:pt idx="4">
                  <c:v>116857.14285714286</c:v>
                </c:pt>
                <c:pt idx="5">
                  <c:v>117250</c:v>
                </c:pt>
                <c:pt idx="6">
                  <c:v>118000</c:v>
                </c:pt>
                <c:pt idx="7">
                  <c:v>122923.0622485248</c:v>
                </c:pt>
                <c:pt idx="8">
                  <c:v>118423.07692307691</c:v>
                </c:pt>
                <c:pt idx="9">
                  <c:v>126499.82777793208</c:v>
                </c:pt>
                <c:pt idx="10">
                  <c:v>122000</c:v>
                </c:pt>
                <c:pt idx="11">
                  <c:v>153571.42857142858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第3题答案!$L$3</c:f>
              <c:strCache>
                <c:ptCount val="1"/>
                <c:pt idx="0">
                  <c:v>16000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第3题答案!$L$4:$L$15</c:f>
              <c:numCache>
                <c:formatCode>0</c:formatCode>
                <c:ptCount val="12"/>
                <c:pt idx="0">
                  <c:v>134000</c:v>
                </c:pt>
                <c:pt idx="1">
                  <c:v>128000</c:v>
                </c:pt>
                <c:pt idx="2">
                  <c:v>125200</c:v>
                </c:pt>
                <c:pt idx="3">
                  <c:v>124000</c:v>
                </c:pt>
                <c:pt idx="4">
                  <c:v>123714.28571428571</c:v>
                </c:pt>
                <c:pt idx="5">
                  <c:v>124000</c:v>
                </c:pt>
                <c:pt idx="6">
                  <c:v>124666.66666666667</c:v>
                </c:pt>
                <c:pt idx="7">
                  <c:v>129384.60106509313</c:v>
                </c:pt>
                <c:pt idx="8">
                  <c:v>124584.61538461538</c:v>
                </c:pt>
                <c:pt idx="9">
                  <c:v>132533.16296312757</c:v>
                </c:pt>
                <c:pt idx="10">
                  <c:v>127733.33333333334</c:v>
                </c:pt>
                <c:pt idx="11">
                  <c:v>159142.85714285716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第3题答案!$M$3</c:f>
              <c:strCache>
                <c:ptCount val="1"/>
                <c:pt idx="0">
                  <c:v>17000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第3题答案!$M$4:$M$15</c:f>
              <c:numCache>
                <c:formatCode>0</c:formatCode>
                <c:ptCount val="12"/>
                <c:pt idx="0">
                  <c:v>142000</c:v>
                </c:pt>
                <c:pt idx="1">
                  <c:v>135500</c:v>
                </c:pt>
                <c:pt idx="2">
                  <c:v>132400</c:v>
                </c:pt>
                <c:pt idx="3">
                  <c:v>131000</c:v>
                </c:pt>
                <c:pt idx="4">
                  <c:v>130571.42857142858</c:v>
                </c:pt>
                <c:pt idx="5">
                  <c:v>130750</c:v>
                </c:pt>
                <c:pt idx="6">
                  <c:v>131333.33333333334</c:v>
                </c:pt>
                <c:pt idx="7">
                  <c:v>135846.13988166145</c:v>
                </c:pt>
                <c:pt idx="8">
                  <c:v>130746.15384615383</c:v>
                </c:pt>
                <c:pt idx="9">
                  <c:v>138566.49814832304</c:v>
                </c:pt>
                <c:pt idx="10">
                  <c:v>133466.66666666666</c:v>
                </c:pt>
                <c:pt idx="11">
                  <c:v>164714.28571428571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第3题答案!$N$3</c:f>
              <c:strCache>
                <c:ptCount val="1"/>
                <c:pt idx="0">
                  <c:v>18000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  <c:pt idx="10" formatCode="0.000">
                  <c:v>1800</c:v>
                </c:pt>
                <c:pt idx="11" formatCode="0.000">
                  <c:v>3500</c:v>
                </c:pt>
              </c:numCache>
            </c:numRef>
          </c:xVal>
          <c:yVal>
            <c:numRef>
              <c:f>第3题答案!$N$4:$N$15</c:f>
              <c:numCache>
                <c:formatCode>0</c:formatCode>
                <c:ptCount val="12"/>
                <c:pt idx="0">
                  <c:v>150000</c:v>
                </c:pt>
                <c:pt idx="1">
                  <c:v>143000</c:v>
                </c:pt>
                <c:pt idx="2">
                  <c:v>139600</c:v>
                </c:pt>
                <c:pt idx="3">
                  <c:v>138000</c:v>
                </c:pt>
                <c:pt idx="4">
                  <c:v>137428.57142857142</c:v>
                </c:pt>
                <c:pt idx="5">
                  <c:v>137500</c:v>
                </c:pt>
                <c:pt idx="6">
                  <c:v>138000</c:v>
                </c:pt>
                <c:pt idx="7">
                  <c:v>142307.67869822978</c:v>
                </c:pt>
                <c:pt idx="8">
                  <c:v>136907.69230769231</c:v>
                </c:pt>
                <c:pt idx="9">
                  <c:v>144599.8333335185</c:v>
                </c:pt>
                <c:pt idx="10">
                  <c:v>139200</c:v>
                </c:pt>
                <c:pt idx="11">
                  <c:v>170285.71428571429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第3题答案!$O$3</c:f>
              <c:strCache>
                <c:ptCount val="1"/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第3题答案!$F$4:$F$13</c:f>
              <c:numCache>
                <c:formatCode>0</c:formatCode>
                <c:ptCount val="10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 formatCode="0.000">
                  <c:v>1299.999</c:v>
                </c:pt>
                <c:pt idx="8">
                  <c:v>1300</c:v>
                </c:pt>
                <c:pt idx="9" formatCode="0.000">
                  <c:v>1799.99</c:v>
                </c:pt>
              </c:numCache>
            </c:numRef>
          </c:xVal>
          <c:yVal>
            <c:numRef>
              <c:f>第3题答案!$O$4:$O$13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0"/>
          <c:order val="9"/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第3题答案!$P$4:$P$15</c:f>
              <c:numCache>
                <c:formatCode>0</c:formatCode>
                <c:ptCount val="12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1299.999</c:v>
                </c:pt>
                <c:pt idx="8">
                  <c:v>1300</c:v>
                </c:pt>
                <c:pt idx="9">
                  <c:v>1799.99</c:v>
                </c:pt>
                <c:pt idx="10">
                  <c:v>1800</c:v>
                </c:pt>
                <c:pt idx="11">
                  <c:v>3500</c:v>
                </c:pt>
              </c:numCache>
            </c:numRef>
          </c:xVal>
          <c:yVal>
            <c:numRef>
              <c:f>第3题答案!$Q$4:$Q$15</c:f>
              <c:numCache>
                <c:formatCode>0</c:formatCode>
                <c:ptCount val="12"/>
                <c:pt idx="0">
                  <c:v>126000</c:v>
                </c:pt>
                <c:pt idx="1">
                  <c:v>120500</c:v>
                </c:pt>
                <c:pt idx="2">
                  <c:v>118000</c:v>
                </c:pt>
                <c:pt idx="3">
                  <c:v>117000</c:v>
                </c:pt>
                <c:pt idx="4">
                  <c:v>116857.14285714286</c:v>
                </c:pt>
                <c:pt idx="5">
                  <c:v>117250</c:v>
                </c:pt>
                <c:pt idx="6">
                  <c:v>118000</c:v>
                </c:pt>
                <c:pt idx="7">
                  <c:v>122923.0622485248</c:v>
                </c:pt>
                <c:pt idx="8">
                  <c:v>118423.07692307691</c:v>
                </c:pt>
                <c:pt idx="9">
                  <c:v>126499.82777793208</c:v>
                </c:pt>
                <c:pt idx="10">
                  <c:v>122000</c:v>
                </c:pt>
                <c:pt idx="11">
                  <c:v>153571.42857142858</c:v>
                </c:pt>
              </c:numCache>
            </c:numRef>
          </c:yVal>
          <c:smooth val="0"/>
        </c:ser>
        <c:ser>
          <c:idx val="9"/>
          <c:order val="10"/>
          <c:spPr>
            <a:ln w="12700">
              <a:solidFill>
                <a:srgbClr val="CCFFFF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0.29759731111125148"/>
                  <c:y val="0.552312747853814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第3题答案!$C$23</c:f>
              <c:numCache>
                <c:formatCode>General</c:formatCode>
                <c:ptCount val="1"/>
                <c:pt idx="0">
                  <c:v>670</c:v>
                </c:pt>
              </c:numCache>
            </c:numRef>
          </c:xVal>
          <c:yVal>
            <c:numRef>
              <c:f>第3题答案!$C$24</c:f>
              <c:numCache>
                <c:formatCode>General</c:formatCode>
                <c:ptCount val="1"/>
                <c:pt idx="0">
                  <c:v>116832.83582089552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83520"/>
        <c:axId val="194884096"/>
      </c:scatterChart>
      <c:valAx>
        <c:axId val="194883520"/>
        <c:scaling>
          <c:orientation val="minMax"/>
          <c:max val="3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订货量</a:t>
                </a:r>
              </a:p>
            </c:rich>
          </c:tx>
          <c:layout>
            <c:manualLayout>
              <c:xMode val="edge"/>
              <c:yMode val="edge"/>
              <c:x val="0.51386368005545291"/>
              <c:y val="0.909977831265756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4884096"/>
        <c:crosses val="autoZero"/>
        <c:crossBetween val="midCat"/>
      </c:valAx>
      <c:valAx>
        <c:axId val="194884096"/>
        <c:scaling>
          <c:orientation val="minMax"/>
          <c:max val="170000"/>
          <c:min val="800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总成本</a:t>
                </a:r>
              </a:p>
            </c:rich>
          </c:tx>
          <c:layout>
            <c:manualLayout>
              <c:xMode val="edge"/>
              <c:yMode val="edge"/>
              <c:x val="9.242152518982966E-3"/>
              <c:y val="0.420925574355550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948835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pin" dx="16" max="36" min="13" page="10" val="20"/>
</file>

<file path=xl/ctrlProps/ctrlProp2.xml><?xml version="1.0" encoding="utf-8"?>
<formControlPr xmlns="http://schemas.microsoft.com/office/spreadsheetml/2009/9/main" objectType="Spin" dx="15" fmlaLink="$D$2" max="10" min="2" page="10" val="5"/>
</file>

<file path=xl/ctrlProps/ctrlProp3.xml><?xml version="1.0" encoding="utf-8"?>
<formControlPr xmlns="http://schemas.microsoft.com/office/spreadsheetml/2009/9/main" objectType="Spin" dx="15" fmlaLink="$Q$3" inc="1000" max="20000" min="11000" page="10" val="1500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161925</xdr:rowOff>
    </xdr:from>
    <xdr:to>
      <xdr:col>13</xdr:col>
      <xdr:colOff>171450</xdr:colOff>
      <xdr:row>11</xdr:row>
      <xdr:rowOff>123825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2714625" y="314325"/>
          <a:ext cx="5048250" cy="186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题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(10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分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)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公司制造一种高档皮包。公司最大生产能力为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，固定成本为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30000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元，每双可变成本为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54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元，当前的销量为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900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，平均销售价格为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元，公司管理层需要建立一个决策模型用于盈亏平衡分析，在本工作表中建立模型应包含以下功能：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计算单位边际贡献及边际贡献率；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计算销售收益、总成本及利润；</a:t>
          </a:r>
        </a:p>
        <a:p>
          <a:pPr algn="l" rtl="0">
            <a:lnSpc>
              <a:spcPts val="13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计算盈亏平衡销量及盈亏平衡销售收益；</a:t>
          </a:r>
        </a:p>
        <a:p>
          <a:pPr algn="l" rtl="0">
            <a:lnSpc>
              <a:spcPts val="13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市场部门制定的销售目标为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个，求公司可获得销售收益和利润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,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并计算此时的安全边际和安全边际率。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8</xdr:col>
      <xdr:colOff>9525</xdr:colOff>
      <xdr:row>33</xdr:row>
      <xdr:rowOff>19050</xdr:rowOff>
    </xdr:to>
    <xdr:graphicFrame macro="">
      <xdr:nvGraphicFramePr>
        <xdr:cNvPr id="2050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361950</xdr:colOff>
          <xdr:row>19</xdr:row>
          <xdr:rowOff>152400</xdr:rowOff>
        </xdr:from>
        <xdr:to>
          <xdr:col>2</xdr:col>
          <xdr:colOff>571500</xdr:colOff>
          <xdr:row>20</xdr:row>
          <xdr:rowOff>142875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180975</xdr:colOff>
      <xdr:row>1</xdr:row>
      <xdr:rowOff>104775</xdr:rowOff>
    </xdr:from>
    <xdr:to>
      <xdr:col>17</xdr:col>
      <xdr:colOff>257175</xdr:colOff>
      <xdr:row>28</xdr:row>
      <xdr:rowOff>95250</xdr:rowOff>
    </xdr:to>
    <xdr:grpSp>
      <xdr:nvGrpSpPr>
        <xdr:cNvPr id="2051" name="Group 3"/>
        <xdr:cNvGrpSpPr>
          <a:grpSpLocks/>
        </xdr:cNvGrpSpPr>
      </xdr:nvGrpSpPr>
      <xdr:grpSpPr bwMode="auto">
        <a:xfrm>
          <a:off x="5715000" y="295275"/>
          <a:ext cx="5534025" cy="5172075"/>
          <a:chOff x="309" y="11"/>
          <a:chExt cx="581" cy="543"/>
        </a:xfrm>
      </xdr:grpSpPr>
      <xdr:sp macro="" textlink="">
        <xdr:nvSpPr>
          <xdr:cNvPr id="2052" name="Text Box 4"/>
          <xdr:cNvSpPr txBox="1">
            <a:spLocks noChangeArrowheads="1"/>
          </xdr:cNvSpPr>
        </xdr:nvSpPr>
        <xdr:spPr bwMode="auto">
          <a:xfrm>
            <a:off x="309" y="11"/>
            <a:ext cx="581" cy="5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2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题（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10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现有根据两种供租用设备超过一年的用户可选的方案，根据该方案建立的租金计算模型，模型中已计算得到两种方案的相对盈亏平衡点及平衡点处的租金。试在此模型基础上参照下图实现以下要求：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、绘制两种方案随月份变化的租金曲线。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、添加控制月份变化的控件微调项，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T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值的变化范围设定为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13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至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36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间。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、添加通过相对盈亏平衡点的垂直参考线和当前月份的垂直参考线，并用空心方块标出垂直参考线与租金曲线的交点。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、在单元格中显示出在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T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月时哪个方案最优的结论文字：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“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决策结论：最佳方案是方案一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”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或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“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决策结论：最佳方案是方案二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”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或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“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皆可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”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。</a:t>
            </a: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2053" name="Picture 5" descr="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8" y="228"/>
            <a:ext cx="453" cy="29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</xdr:spPr>
      </xdr:pic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0.22296</cdr:x>
      <cdr:y>0.11474</cdr:y>
    </cdr:from>
    <cdr:to>
      <cdr:x>0.4206</cdr:x>
      <cdr:y>0.17613</cdr:y>
    </cdr:to>
    <cdr:sp macro="" textlink="">
      <cdr:nvSpPr>
        <cdr:cNvPr id="307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935468" y="332135"/>
          <a:ext cx="826439" cy="1760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月份（T）=20</a:t>
          </a:r>
        </a:p>
      </cdr:txBody>
    </cdr:sp>
  </cdr:relSizeAnchor>
  <cdr:relSizeAnchor xmlns:cdr="http://schemas.openxmlformats.org/drawingml/2006/chartDrawing">
    <cdr:from>
      <cdr:x>0.49487</cdr:x>
      <cdr:y>0.1029</cdr:y>
    </cdr:from>
    <cdr:to>
      <cdr:x>0.91483</cdr:x>
      <cdr:y>0.17685</cdr:y>
    </cdr:to>
    <cdr:sp macro="" textlink="">
      <cdr:nvSpPr>
        <cdr:cNvPr id="3075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2072460" y="298181"/>
          <a:ext cx="1756055" cy="2120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决策结论：最佳方案是方案二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428625</xdr:colOff>
      <xdr:row>14</xdr:row>
      <xdr:rowOff>123825</xdr:rowOff>
    </xdr:from>
    <xdr:to>
      <xdr:col>21</xdr:col>
      <xdr:colOff>628650</xdr:colOff>
      <xdr:row>35</xdr:row>
      <xdr:rowOff>38100</xdr:rowOff>
    </xdr:to>
    <xdr:graphicFrame macro="">
      <xdr:nvGraphicFramePr>
        <xdr:cNvPr id="4097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514350</xdr:colOff>
      <xdr:row>17</xdr:row>
      <xdr:rowOff>133350</xdr:rowOff>
    </xdr:from>
    <xdr:to>
      <xdr:col>20</xdr:col>
      <xdr:colOff>323850</xdr:colOff>
      <xdr:row>18</xdr:row>
      <xdr:rowOff>142875</xdr:rowOff>
    </xdr:to>
    <xdr:grpSp>
      <xdr:nvGrpSpPr>
        <xdr:cNvPr id="4098" name="Group 2"/>
        <xdr:cNvGrpSpPr>
          <a:grpSpLocks/>
        </xdr:cNvGrpSpPr>
      </xdr:nvGrpSpPr>
      <xdr:grpSpPr bwMode="auto">
        <a:xfrm>
          <a:off x="9163050" y="3371850"/>
          <a:ext cx="2971800" cy="200025"/>
          <a:chOff x="939" y="303"/>
          <a:chExt cx="312" cy="18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9" name="Spinner 3" hidden="1">
                <a:extLst>
                  <a:ext uri="{63B3BB69-23CF-44E3-9099-C40C66FF867C}">
                    <a14:compatExt spid="_x0000_s4099"/>
                  </a:ext>
                </a:extLst>
              </xdr:cNvPr>
              <xdr:cNvSpPr/>
            </xdr:nvSpPr>
            <xdr:spPr>
              <a:xfrm>
                <a:off x="1092" y="304"/>
                <a:ext cx="30" cy="17"/>
              </a:xfrm>
              <a:prstGeom prst="rect">
                <a:avLst/>
              </a:prstGeom>
            </xdr:spPr>
          </xdr:sp>
        </mc:Choice>
        <mc:Fallback/>
      </mc:AlternateContent>
      <xdr:sp macro="" textlink="$B$26">
        <xdr:nvSpPr>
          <xdr:cNvPr id="4100" name="Text Box 4"/>
          <xdr:cNvSpPr txBox="1">
            <a:spLocks noChangeArrowheads="1" noTextEdit="1"/>
          </xdr:cNvSpPr>
        </xdr:nvSpPr>
        <xdr:spPr bwMode="auto">
          <a:xfrm>
            <a:off x="1120" y="303"/>
            <a:ext cx="131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fld id="{BD2C19EA-68FD-4763-9558-F54D752A1767}" type="TxLink">
              <a:rPr lang="zh-CN" alt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pPr algn="ctr" rtl="0">
                <a:defRPr sz="1000"/>
              </a:pPr>
              <a:t>单价折扣率=5%</a:t>
            </a:fld>
            <a:endPara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grpSp>
        <xdr:nvGrpSpPr>
          <xdr:cNvPr id="4101" name="Group 5"/>
          <xdr:cNvGrpSpPr>
            <a:grpSpLocks/>
          </xdr:cNvGrpSpPr>
        </xdr:nvGrpSpPr>
        <xdr:grpSpPr bwMode="auto">
          <a:xfrm>
            <a:off x="939" y="303"/>
            <a:ext cx="145" cy="18"/>
            <a:chOff x="496" y="313"/>
            <a:chExt cx="145" cy="18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4102" name="Spinner 6" hidden="1">
                  <a:extLst>
                    <a:ext uri="{63B3BB69-23CF-44E3-9099-C40C66FF867C}">
                      <a14:compatExt spid="_x0000_s4102"/>
                    </a:ext>
                  </a:extLst>
                </xdr:cNvPr>
                <xdr:cNvSpPr/>
              </xdr:nvSpPr>
              <xdr:spPr>
                <a:xfrm>
                  <a:off x="496" y="313"/>
                  <a:ext cx="29" cy="18"/>
                </a:xfrm>
                <a:prstGeom prst="rect">
                  <a:avLst/>
                </a:prstGeom>
              </xdr:spPr>
            </xdr:sp>
          </mc:Choice>
          <mc:Fallback/>
        </mc:AlternateContent>
        <xdr:sp macro="" textlink="$B$27">
          <xdr:nvSpPr>
            <xdr:cNvPr id="4103" name="Text Box 7"/>
            <xdr:cNvSpPr txBox="1">
              <a:spLocks noChangeArrowheads="1" noTextEdit="1"/>
            </xdr:cNvSpPr>
          </xdr:nvSpPr>
          <xdr:spPr bwMode="auto">
            <a:xfrm>
              <a:off x="523" y="313"/>
              <a:ext cx="118" cy="1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CCFFFF" mc:Ignorable="a14" a14:legacySpreadsheetColorIndex="41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fld id="{69259D16-FEF1-4C77-9D61-00697D497CF6}" type="TxLink">
                <a:rPr lang="zh-CN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pPr algn="ctr" rtl="0">
                  <a:defRPr sz="1000"/>
                </a:pPr>
                <a:t>年需求量=15000</a:t>
              </a:fld>
              <a:endParaRPr lang="zh-CN" alt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</xdr:grpSp>
    <xdr:clientData/>
  </xdr:twoCellAnchor>
  <xdr:twoCellAnchor>
    <xdr:from>
      <xdr:col>16</xdr:col>
      <xdr:colOff>323850</xdr:colOff>
      <xdr:row>15</xdr:row>
      <xdr:rowOff>152400</xdr:rowOff>
    </xdr:from>
    <xdr:to>
      <xdr:col>19</xdr:col>
      <xdr:colOff>647700</xdr:colOff>
      <xdr:row>17</xdr:row>
      <xdr:rowOff>19050</xdr:rowOff>
    </xdr:to>
    <xdr:sp macro="" textlink="$B$28">
      <xdr:nvSpPr>
        <xdr:cNvPr id="4104" name="Text Box 8"/>
        <xdr:cNvSpPr txBox="1">
          <a:spLocks noChangeArrowheads="1" noTextEdit="1"/>
        </xdr:cNvSpPr>
      </xdr:nvSpPr>
      <xdr:spPr bwMode="auto">
        <a:xfrm>
          <a:off x="9525000" y="3009900"/>
          <a:ext cx="2247900" cy="247650"/>
        </a:xfrm>
        <a:prstGeom prst="rect">
          <a:avLst/>
        </a:prstGeom>
        <a:solidFill>
          <a:srgbClr val="FFCC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fld id="{B836D178-1FB3-49FA-9872-BF48DFFE16D9}" type="TxLink">
            <a:rPr lang="zh-CN" alt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按照经济订货量 671件订货</a:t>
          </a:fld>
          <a:endParaRPr lang="zh-CN" alt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95250</xdr:colOff>
      <xdr:row>16</xdr:row>
      <xdr:rowOff>161925</xdr:rowOff>
    </xdr:from>
    <xdr:to>
      <xdr:col>18</xdr:col>
      <xdr:colOff>304800</xdr:colOff>
      <xdr:row>58</xdr:row>
      <xdr:rowOff>9525</xdr:rowOff>
    </xdr:to>
    <xdr:grpSp>
      <xdr:nvGrpSpPr>
        <xdr:cNvPr id="4108" name="Group 12"/>
        <xdr:cNvGrpSpPr>
          <a:grpSpLocks/>
        </xdr:cNvGrpSpPr>
      </xdr:nvGrpSpPr>
      <xdr:grpSpPr bwMode="auto">
        <a:xfrm>
          <a:off x="4876800" y="3209925"/>
          <a:ext cx="5867400" cy="7848600"/>
          <a:chOff x="107" y="299"/>
          <a:chExt cx="616" cy="712"/>
        </a:xfrm>
      </xdr:grpSpPr>
      <xdr:sp macro="" textlink="">
        <xdr:nvSpPr>
          <xdr:cNvPr id="4109" name="Text Box 13"/>
          <xdr:cNvSpPr txBox="1">
            <a:spLocks noChangeArrowheads="1"/>
          </xdr:cNvSpPr>
        </xdr:nvSpPr>
        <xdr:spPr bwMode="auto">
          <a:xfrm>
            <a:off x="107" y="299"/>
            <a:ext cx="616" cy="71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lnSpc>
                <a:spcPts val="1400"/>
              </a:lnSpc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3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题（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15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分）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XTREM是一家专门生产山地自行车的企业，该企业需要采购一种零件。该零件全年的需求量约为15000，一次采购的固定订货成本为600元，一件商品储存一年的储存成本为40元，购买该商品的单价为6元。假如该企业每次采购时的订货量为900，要求：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1）计算全年的固定订货成本、储存成本、采购成本与年总成本；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2）计算经济订货量，以及经济订货量下的全年的固定订货成本、储存成本、采购成本与年总成本；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3）假如批发公司提出一个折扣优惠方案：如果订货量超过1300件，给予5%的优惠；订货量超过1800件，基于10%的优惠。根据优惠方案，计算必要数据，绘制如下图的年总成本随订货量变化曲线；</a:t>
            </a:r>
          </a:p>
          <a:p>
            <a:pPr algn="l" rtl="0">
              <a:lnSpc>
                <a:spcPts val="15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4）添加一个对年需求量进行调整的微调器，最小值为11000，最大值为1800，步长为1000，并在图表上添加一个代表当前年需求量的红色总成本线；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5）在红色曲线上，添加一个代表最低成本点的红色点子，该点子旁边显示对应的订货量值；</a:t>
            </a:r>
          </a:p>
          <a:p>
            <a:pPr algn="l" rtl="0">
              <a:lnSpc>
                <a:spcPts val="15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6）添加一个对1300件折扣阈限值对应的单价折扣率进行调整的微调器，其最小值为5%，最大值为9%，调整步长为1% ;</a:t>
            </a:r>
          </a:p>
          <a:p>
            <a:pPr algn="l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7）在图表的标题栏位置，显示当前的订货方案是“按照经济订货量”订货，还是“按照折扣阈限值”订货，并显示具体的订货量。</a:t>
            </a:r>
            <a:endPara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4110" name="Picture 1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" y="639"/>
            <a:ext cx="542" cy="35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2</xdr:row>
      <xdr:rowOff>57150</xdr:rowOff>
    </xdr:from>
    <xdr:to>
      <xdr:col>16</xdr:col>
      <xdr:colOff>647700</xdr:colOff>
      <xdr:row>13</xdr:row>
      <xdr:rowOff>28575</xdr:rowOff>
    </xdr:to>
    <xdr:grpSp>
      <xdr:nvGrpSpPr>
        <xdr:cNvPr id="5124" name="Group 4"/>
        <xdr:cNvGrpSpPr>
          <a:grpSpLocks/>
        </xdr:cNvGrpSpPr>
      </xdr:nvGrpSpPr>
      <xdr:grpSpPr bwMode="auto">
        <a:xfrm>
          <a:off x="6276975" y="438150"/>
          <a:ext cx="5467350" cy="2066925"/>
          <a:chOff x="299" y="26"/>
          <a:chExt cx="574" cy="217"/>
        </a:xfrm>
      </xdr:grpSpPr>
      <xdr:sp macro="" textlink="">
        <xdr:nvSpPr>
          <xdr:cNvPr id="5125" name="Text Box 5"/>
          <xdr:cNvSpPr txBox="1">
            <a:spLocks noChangeArrowheads="1"/>
          </xdr:cNvSpPr>
        </xdr:nvSpPr>
        <xdr:spPr bwMode="auto">
          <a:xfrm>
            <a:off x="299" y="26"/>
            <a:ext cx="574" cy="2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4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题（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10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工厂每月生产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A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B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C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三种产品，单件产品的原材料消耗量、设备台时的消耗量、资源限量及单件产品利润如下表所示。</a:t>
            </a: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求：如何安排生产，可使每月利润最大，在本工作表中求解，并且将模型保存在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A1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开始的单元格内。</a:t>
            </a: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5126" name="Picture 6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1" y="77"/>
            <a:ext cx="505" cy="8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</xdr:row>
      <xdr:rowOff>142875</xdr:rowOff>
    </xdr:from>
    <xdr:to>
      <xdr:col>13</xdr:col>
      <xdr:colOff>361950</xdr:colOff>
      <xdr:row>7</xdr:row>
      <xdr:rowOff>19050</xdr:rowOff>
    </xdr:to>
    <xdr:sp macro="" textlink="">
      <xdr:nvSpPr>
        <xdr:cNvPr id="6146" name="TextBox 1"/>
        <xdr:cNvSpPr txBox="1">
          <a:spLocks noChangeArrowheads="1"/>
        </xdr:cNvSpPr>
      </xdr:nvSpPr>
      <xdr:spPr bwMode="auto">
        <a:xfrm>
          <a:off x="6000750" y="333375"/>
          <a:ext cx="3248025" cy="153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/>
        <a:lstStyle/>
        <a:p>
          <a:pPr algn="l" rtl="0">
            <a:lnSpc>
              <a:spcPts val="1300"/>
            </a:lnSpc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题（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某糖果厂用原料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B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C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加工成三种不同牌号的糖果甲、乙、丙。三种糖果中原料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B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C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的含量、原料成本、各种原料每月的限制用量、三种糖果的单位加工费及售价如表所示。试用规划求解工具求解该厂每月生产这三种牌号的糖果多少公斤，能使所获得的利润最大，并将规划求解模型保存在单元格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B24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开始的区域中。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11</xdr:row>
      <xdr:rowOff>142875</xdr:rowOff>
    </xdr:from>
    <xdr:to>
      <xdr:col>8</xdr:col>
      <xdr:colOff>142875</xdr:colOff>
      <xdr:row>20</xdr:row>
      <xdr:rowOff>123825</xdr:rowOff>
    </xdr:to>
    <xdr:grpSp>
      <xdr:nvGrpSpPr>
        <xdr:cNvPr id="7172" name="Group 4"/>
        <xdr:cNvGrpSpPr>
          <a:grpSpLocks/>
        </xdr:cNvGrpSpPr>
      </xdr:nvGrpSpPr>
      <xdr:grpSpPr bwMode="auto">
        <a:xfrm>
          <a:off x="285750" y="2257425"/>
          <a:ext cx="5562600" cy="1695450"/>
          <a:chOff x="142" y="55"/>
          <a:chExt cx="584" cy="178"/>
        </a:xfrm>
      </xdr:grpSpPr>
      <xdr:sp macro="" textlink="">
        <xdr:nvSpPr>
          <xdr:cNvPr id="7173" name="Text Box 5"/>
          <xdr:cNvSpPr txBox="1">
            <a:spLocks noChangeArrowheads="1"/>
          </xdr:cNvSpPr>
        </xdr:nvSpPr>
        <xdr:spPr bwMode="auto">
          <a:xfrm>
            <a:off x="142" y="55"/>
            <a:ext cx="584" cy="17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6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题（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10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分）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企业某项目的净现金流数据如下，该项目的内部报酬率为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8.5%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一个项目的内部报酬率可以理解为银行的贷款利率，企业为该项目而向银行贷款，几年后利用项目的回报恰好把银行的贷款还清。请对上述项目逐年模拟该过程。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7174" name="Picture 6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3" y="88"/>
            <a:ext cx="495" cy="6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21</xdr:row>
      <xdr:rowOff>114300</xdr:rowOff>
    </xdr:from>
    <xdr:to>
      <xdr:col>6</xdr:col>
      <xdr:colOff>95250</xdr:colOff>
      <xdr:row>31</xdr:row>
      <xdr:rowOff>9525</xdr:rowOff>
    </xdr:to>
    <xdr:sp macro="" textlink="">
      <xdr:nvSpPr>
        <xdr:cNvPr id="8194" name="Text Box 2"/>
        <xdr:cNvSpPr txBox="1">
          <a:spLocks noChangeArrowheads="1"/>
        </xdr:cNvSpPr>
      </xdr:nvSpPr>
      <xdr:spPr bwMode="auto">
        <a:xfrm>
          <a:off x="428625" y="4114800"/>
          <a:ext cx="7562850" cy="1800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7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题（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某企业实行设备投资改造，有两个方案，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B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两个方案第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年末的设备残值分别为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万和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90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万元。方案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在第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年末投入设备费用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万，随后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年中前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3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年末每年可获得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400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万收益，第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年末再投资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万维修了设备，第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至第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年末每年可获得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300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万收益；方案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B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在第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年末投入设备费用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万，接下来每月末获得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20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万现金收入，假定贴现率为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8%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。要求：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、计算两个投资项目的净现值；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、在单元格中得出方案选择结论：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“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最优方案是方案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X”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、用模拟运算表分析贴现率在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至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15%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范围变化时，两个方案的净现值变化；</a:t>
          </a:r>
        </a:p>
        <a:p>
          <a:pPr algn="l" rtl="0">
            <a:lnSpc>
              <a:spcPts val="13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、采用附表加插值法计算两个方案相等时的贴现率及净现值。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16</xdr:row>
      <xdr:rowOff>0</xdr:rowOff>
    </xdr:from>
    <xdr:to>
      <xdr:col>15</xdr:col>
      <xdr:colOff>209550</xdr:colOff>
      <xdr:row>27</xdr:row>
      <xdr:rowOff>9525</xdr:rowOff>
    </xdr:to>
    <xdr:grpSp>
      <xdr:nvGrpSpPr>
        <xdr:cNvPr id="9220" name="Group 4"/>
        <xdr:cNvGrpSpPr>
          <a:grpSpLocks/>
        </xdr:cNvGrpSpPr>
      </xdr:nvGrpSpPr>
      <xdr:grpSpPr bwMode="auto">
        <a:xfrm>
          <a:off x="476250" y="3048000"/>
          <a:ext cx="6410325" cy="2105025"/>
          <a:chOff x="17" y="301"/>
          <a:chExt cx="673" cy="198"/>
        </a:xfrm>
      </xdr:grpSpPr>
      <xdr:sp macro="" textlink="">
        <xdr:nvSpPr>
          <xdr:cNvPr id="9221" name="Text Box 2"/>
          <xdr:cNvSpPr txBox="1">
            <a:spLocks noChangeArrowheads="1"/>
          </xdr:cNvSpPr>
        </xdr:nvSpPr>
        <xdr:spPr bwMode="auto">
          <a:xfrm>
            <a:off x="17" y="301"/>
            <a:ext cx="673" cy="19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/>
          <a:lstStyle/>
          <a:p>
            <a:pPr algn="l" rtl="0"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8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题（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15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某工厂在生产过程中需要使用一台机器，该机器中有一个零件的使用寿命服从如下的概率分布：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零件损坏后机器就停止运转了，因此必须通知修理工来维修，修理工的到达延误时间为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5~8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分钟之间均匀分布的随机数。机器停机一分钟所造成的损失是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元，更换一个零件的时间为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20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分钟。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、试做一次模拟，计算机器运转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20000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小时内的零件更换个数、修理工到达延误时间、工人延误时的停机成本、更换零件的停机时间和停机成本。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、对延误时间做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30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次模拟，计算平均延误时间。</a:t>
            </a: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9222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" y="351"/>
            <a:ext cx="593" cy="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workbookViewId="0">
      <selection activeCell="O8" sqref="O8"/>
    </sheetView>
  </sheetViews>
  <sheetFormatPr defaultRowHeight="15"/>
  <cols>
    <col min="1" max="1" width="2.375" style="1" customWidth="1"/>
    <col min="2" max="2" width="17.125" style="1" bestFit="1" customWidth="1"/>
    <col min="3" max="3" width="9.625" style="1" customWidth="1"/>
    <col min="4" max="5" width="2" style="1" customWidth="1"/>
    <col min="6" max="6" width="9.75" style="2" customWidth="1"/>
    <col min="7" max="7" width="10.625" style="2" customWidth="1"/>
    <col min="8" max="8" width="1.125" style="1" customWidth="1"/>
    <col min="9" max="16384" width="9" style="1"/>
  </cols>
  <sheetData>
    <row r="1" spans="1:7" ht="12" customHeight="1"/>
    <row r="2" spans="1:7">
      <c r="B2" s="3" t="s">
        <v>0</v>
      </c>
      <c r="C2" s="4">
        <v>900</v>
      </c>
      <c r="D2" s="5"/>
      <c r="F2" s="6"/>
      <c r="G2" s="6"/>
    </row>
    <row r="3" spans="1:7">
      <c r="D3" s="5"/>
      <c r="G3" s="7"/>
    </row>
    <row r="4" spans="1:7">
      <c r="B4" s="8"/>
      <c r="C4" s="9" t="s">
        <v>1</v>
      </c>
      <c r="D4" s="5"/>
      <c r="F4" s="10"/>
    </row>
    <row r="5" spans="1:7">
      <c r="B5" s="11" t="s">
        <v>2</v>
      </c>
      <c r="C5" s="12">
        <f>150</f>
        <v>150</v>
      </c>
      <c r="D5" s="5"/>
      <c r="F5" s="10"/>
    </row>
    <row r="6" spans="1:7">
      <c r="B6" s="13" t="s">
        <v>3</v>
      </c>
      <c r="C6" s="14">
        <v>54</v>
      </c>
    </row>
    <row r="7" spans="1:7">
      <c r="A7" s="2"/>
      <c r="B7" s="3" t="s">
        <v>4</v>
      </c>
      <c r="C7" s="12">
        <v>30000</v>
      </c>
      <c r="D7" s="2"/>
      <c r="F7" s="6"/>
    </row>
    <row r="8" spans="1:7">
      <c r="G8" s="10"/>
    </row>
    <row r="9" spans="1:7">
      <c r="B9" s="3" t="s">
        <v>5</v>
      </c>
      <c r="C9" s="12">
        <f>C5-C6</f>
        <v>96</v>
      </c>
    </row>
    <row r="10" spans="1:7">
      <c r="B10" s="15" t="s">
        <v>6</v>
      </c>
      <c r="C10" s="16">
        <f>C9/C5</f>
        <v>0.64</v>
      </c>
      <c r="F10" s="6"/>
    </row>
    <row r="11" spans="1:7">
      <c r="B11" s="3" t="s">
        <v>7</v>
      </c>
      <c r="C11" s="12">
        <f>C2*C5</f>
        <v>135000</v>
      </c>
    </row>
    <row r="12" spans="1:7">
      <c r="B12" s="3" t="s">
        <v>8</v>
      </c>
      <c r="C12" s="12">
        <f>C6*C2+C7</f>
        <v>78600</v>
      </c>
    </row>
    <row r="13" spans="1:7">
      <c r="B13" s="3" t="s">
        <v>9</v>
      </c>
      <c r="C13" s="12">
        <f>C11-C12</f>
        <v>56400</v>
      </c>
    </row>
    <row r="15" spans="1:7" ht="16.5">
      <c r="B15" s="3" t="s">
        <v>10</v>
      </c>
      <c r="C15" s="4">
        <f>C7/C9</f>
        <v>312.5</v>
      </c>
      <c r="F15" s="6"/>
    </row>
    <row r="16" spans="1:7" ht="16.5">
      <c r="B16" s="3" t="s">
        <v>11</v>
      </c>
      <c r="C16" s="4">
        <f>C15*C5</f>
        <v>46875</v>
      </c>
    </row>
    <row r="17" spans="2:6">
      <c r="B17" s="3"/>
      <c r="C17" s="4"/>
    </row>
    <row r="18" spans="2:6">
      <c r="B18" s="3"/>
      <c r="C18" s="4"/>
    </row>
    <row r="19" spans="2:6">
      <c r="B19" s="4" t="s">
        <v>12</v>
      </c>
      <c r="C19" s="4">
        <v>1000</v>
      </c>
    </row>
    <row r="20" spans="2:6">
      <c r="B20" s="4" t="s">
        <v>13</v>
      </c>
      <c r="C20" s="4">
        <f>C5*C19</f>
        <v>150000</v>
      </c>
    </row>
    <row r="21" spans="2:6">
      <c r="B21" s="4" t="s">
        <v>14</v>
      </c>
      <c r="C21" s="4">
        <f>C7+C6*C19</f>
        <v>84000</v>
      </c>
    </row>
    <row r="22" spans="2:6">
      <c r="B22" s="3" t="s">
        <v>15</v>
      </c>
      <c r="C22" s="17">
        <f>C20-C21</f>
        <v>66000</v>
      </c>
    </row>
    <row r="23" spans="2:6">
      <c r="B23" s="3" t="s">
        <v>16</v>
      </c>
      <c r="C23" s="12">
        <f>C19-C15</f>
        <v>687.5</v>
      </c>
      <c r="F23" s="6"/>
    </row>
    <row r="24" spans="2:6">
      <c r="B24" s="3" t="s">
        <v>17</v>
      </c>
      <c r="C24" s="12">
        <f>C23/C19</f>
        <v>0.6875</v>
      </c>
      <c r="F24" s="18"/>
    </row>
    <row r="27" spans="2:6">
      <c r="B27" s="143"/>
      <c r="C27" s="143"/>
    </row>
  </sheetData>
  <mergeCells count="1">
    <mergeCell ref="B27:C27"/>
  </mergeCells>
  <phoneticPr fontId="2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17"/>
  <sheetViews>
    <sheetView showGridLines="0" workbookViewId="0">
      <selection activeCell="I5" sqref="I5"/>
    </sheetView>
  </sheetViews>
  <sheetFormatPr defaultRowHeight="15"/>
  <cols>
    <col min="1" max="2" width="2.375" style="20" customWidth="1"/>
    <col min="3" max="3" width="11.875" style="20" bestFit="1" customWidth="1"/>
    <col min="4" max="4" width="7.75" style="20" bestFit="1" customWidth="1"/>
    <col min="5" max="5" width="7.5" style="20" customWidth="1"/>
    <col min="6" max="6" width="2.375" style="20" customWidth="1"/>
    <col min="7" max="7" width="9" style="20"/>
    <col min="8" max="8" width="11.375" style="20" customWidth="1"/>
    <col min="9" max="10" width="9" style="20"/>
    <col min="11" max="11" width="17.625" style="20" customWidth="1"/>
    <col min="12" max="16384" width="9" style="20"/>
  </cols>
  <sheetData>
    <row r="2" spans="2:9">
      <c r="B2" s="19"/>
      <c r="C2" s="19"/>
      <c r="D2" s="19"/>
      <c r="E2" s="19"/>
      <c r="F2" s="19"/>
    </row>
    <row r="3" spans="2:9">
      <c r="B3" s="19"/>
      <c r="C3" s="147" t="s">
        <v>26</v>
      </c>
      <c r="D3" s="148"/>
      <c r="E3" s="22">
        <v>20</v>
      </c>
      <c r="F3" s="19"/>
      <c r="G3" s="23" t="s">
        <v>18</v>
      </c>
      <c r="H3" s="23" t="s">
        <v>19</v>
      </c>
      <c r="I3" s="23" t="s">
        <v>20</v>
      </c>
    </row>
    <row r="4" spans="2:9">
      <c r="B4" s="19"/>
      <c r="C4" s="19"/>
      <c r="D4" s="19"/>
      <c r="E4" s="19"/>
      <c r="F4" s="19"/>
      <c r="H4" s="20">
        <f>D8</f>
        <v>240</v>
      </c>
      <c r="I4" s="20">
        <f>E8</f>
        <v>160</v>
      </c>
    </row>
    <row r="5" spans="2:9">
      <c r="B5" s="19"/>
      <c r="C5" s="24"/>
      <c r="D5" s="25" t="s">
        <v>19</v>
      </c>
      <c r="E5" s="25" t="s">
        <v>20</v>
      </c>
      <c r="F5" s="19"/>
      <c r="G5" s="20">
        <v>13</v>
      </c>
      <c r="H5" s="20">
        <f t="dataTable" ref="H5:I6" dt2D="0" dtr="0" r1="E3"/>
        <v>156</v>
      </c>
      <c r="I5" s="20">
        <v>20</v>
      </c>
    </row>
    <row r="6" spans="2:9">
      <c r="B6" s="19"/>
      <c r="C6" s="21" t="s">
        <v>21</v>
      </c>
      <c r="D6" s="26"/>
      <c r="E6" s="22">
        <v>12</v>
      </c>
      <c r="F6" s="19"/>
      <c r="G6" s="20">
        <v>36</v>
      </c>
      <c r="H6" s="20">
        <v>432</v>
      </c>
      <c r="I6" s="20">
        <v>480</v>
      </c>
    </row>
    <row r="7" spans="2:9">
      <c r="B7" s="19"/>
      <c r="C7" s="21" t="s">
        <v>22</v>
      </c>
      <c r="D7" s="22">
        <v>12</v>
      </c>
      <c r="E7" s="22">
        <v>20</v>
      </c>
      <c r="F7" s="19"/>
    </row>
    <row r="8" spans="2:9">
      <c r="B8" s="19"/>
      <c r="C8" s="27" t="s">
        <v>27</v>
      </c>
      <c r="D8" s="22">
        <f>E3*D7</f>
        <v>240</v>
      </c>
      <c r="E8" s="22">
        <f>(E3-E6)*E7</f>
        <v>160</v>
      </c>
      <c r="F8" s="19"/>
      <c r="G8" s="147" t="s">
        <v>23</v>
      </c>
      <c r="H8" s="148"/>
    </row>
    <row r="9" spans="2:9">
      <c r="B9" s="19"/>
      <c r="C9" s="19"/>
      <c r="D9" s="19"/>
      <c r="E9" s="19"/>
      <c r="F9" s="19"/>
      <c r="G9" s="28">
        <f>$E$10</f>
        <v>30</v>
      </c>
      <c r="H9" s="29">
        <v>500</v>
      </c>
    </row>
    <row r="10" spans="2:9" ht="16.5">
      <c r="B10" s="19"/>
      <c r="C10" s="147" t="s">
        <v>28</v>
      </c>
      <c r="D10" s="148"/>
      <c r="E10" s="22">
        <v>30</v>
      </c>
      <c r="F10" s="19"/>
      <c r="G10" s="28">
        <f>$E$10</f>
        <v>30</v>
      </c>
      <c r="H10" s="29">
        <f>E11</f>
        <v>360</v>
      </c>
    </row>
    <row r="11" spans="2:9" ht="16.5">
      <c r="B11" s="19"/>
      <c r="C11" s="149" t="s">
        <v>29</v>
      </c>
      <c r="D11" s="148"/>
      <c r="E11" s="22">
        <f>E10*D7</f>
        <v>360</v>
      </c>
      <c r="F11" s="19"/>
      <c r="G11" s="28">
        <f>$E$10</f>
        <v>30</v>
      </c>
      <c r="H11" s="29">
        <v>0</v>
      </c>
    </row>
    <row r="12" spans="2:9">
      <c r="B12" s="19"/>
      <c r="C12" s="30"/>
      <c r="D12" s="30"/>
      <c r="E12" s="31"/>
      <c r="F12" s="19"/>
      <c r="G12" s="32"/>
    </row>
    <row r="13" spans="2:9">
      <c r="B13" s="19"/>
      <c r="C13" s="150" t="s">
        <v>24</v>
      </c>
      <c r="D13" s="151"/>
      <c r="E13" s="33"/>
      <c r="F13" s="19"/>
      <c r="G13" s="147" t="s">
        <v>25</v>
      </c>
      <c r="H13" s="148"/>
    </row>
    <row r="14" spans="2:9">
      <c r="B14" s="19"/>
      <c r="C14" s="145" t="str">
        <f>C3&amp;"="&amp;E3</f>
        <v>月份（T）=20</v>
      </c>
      <c r="D14" s="146"/>
      <c r="E14" s="19"/>
      <c r="F14" s="19"/>
      <c r="G14" s="29">
        <f>$E$3</f>
        <v>20</v>
      </c>
      <c r="H14" s="29">
        <v>500</v>
      </c>
    </row>
    <row r="15" spans="2:9">
      <c r="C15" s="144" t="str">
        <f>"决策结论：最佳方案是"&amp;IF(E8&lt;D8,"方案二",IF(E8&gt;D8,"方案一","皆可"))</f>
        <v>决策结论：最佳方案是方案二</v>
      </c>
      <c r="D15" s="144"/>
      <c r="G15" s="29">
        <f>$E$3</f>
        <v>20</v>
      </c>
      <c r="H15" s="29">
        <f>E8</f>
        <v>160</v>
      </c>
    </row>
    <row r="16" spans="2:9">
      <c r="E16" s="32"/>
      <c r="G16" s="29">
        <f>$E$3</f>
        <v>20</v>
      </c>
      <c r="H16" s="29">
        <f>D8</f>
        <v>240</v>
      </c>
    </row>
    <row r="17" spans="7:8">
      <c r="G17" s="29">
        <f>$E$3</f>
        <v>20</v>
      </c>
      <c r="H17" s="29">
        <v>0</v>
      </c>
    </row>
  </sheetData>
  <mergeCells count="8">
    <mergeCell ref="C15:D15"/>
    <mergeCell ref="C14:D14"/>
    <mergeCell ref="G8:H8"/>
    <mergeCell ref="G13:H13"/>
    <mergeCell ref="C3:D3"/>
    <mergeCell ref="C10:D10"/>
    <mergeCell ref="C11:D11"/>
    <mergeCell ref="C13:D13"/>
  </mergeCells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3" name="Spinner 6">
              <controlPr defaultSize="0" autoPict="0">
                <anchor moveWithCells="1" sizeWithCells="1">
                  <from>
                    <xdr:col>2</xdr:col>
                    <xdr:colOff>361950</xdr:colOff>
                    <xdr:row>19</xdr:row>
                    <xdr:rowOff>152400</xdr:rowOff>
                  </from>
                  <to>
                    <xdr:col>2</xdr:col>
                    <xdr:colOff>571500</xdr:colOff>
                    <xdr:row>20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8"/>
  <sheetViews>
    <sheetView showGridLines="0" workbookViewId="0">
      <selection activeCell="H17" sqref="H17"/>
    </sheetView>
  </sheetViews>
  <sheetFormatPr defaultRowHeight="15"/>
  <cols>
    <col min="1" max="1" width="2.625" style="20" customWidth="1"/>
    <col min="2" max="2" width="16.75" style="20" customWidth="1"/>
    <col min="3" max="3" width="12.75" style="20" bestFit="1" customWidth="1"/>
    <col min="4" max="5" width="2.375" style="20" customWidth="1"/>
    <col min="6" max="6" width="9" style="20"/>
    <col min="7" max="7" width="9.625" style="20" customWidth="1"/>
    <col min="8" max="17" width="7.25" style="20" customWidth="1"/>
    <col min="18" max="16384" width="9" style="20"/>
  </cols>
  <sheetData>
    <row r="1" spans="1:17">
      <c r="A1" s="34"/>
      <c r="B1" s="34"/>
      <c r="C1" s="34"/>
      <c r="D1" s="34"/>
    </row>
    <row r="2" spans="1:17">
      <c r="A2" s="34"/>
      <c r="B2" s="35" t="s">
        <v>30</v>
      </c>
      <c r="C2" s="36">
        <f>D2/100</f>
        <v>0.05</v>
      </c>
      <c r="D2" s="37">
        <v>5</v>
      </c>
      <c r="G2" s="38"/>
    </row>
    <row r="3" spans="1:17">
      <c r="A3" s="34"/>
      <c r="B3" s="35" t="s">
        <v>31</v>
      </c>
      <c r="C3" s="39">
        <f>D3</f>
        <v>1300</v>
      </c>
      <c r="D3" s="37">
        <v>1300</v>
      </c>
      <c r="F3" s="32">
        <f>C15</f>
        <v>118000</v>
      </c>
      <c r="G3" s="40">
        <v>11000</v>
      </c>
      <c r="H3" s="40">
        <v>12000</v>
      </c>
      <c r="I3" s="40">
        <v>13000</v>
      </c>
      <c r="J3" s="40">
        <v>14000</v>
      </c>
      <c r="K3" s="40">
        <v>15000</v>
      </c>
      <c r="L3" s="40">
        <v>16000</v>
      </c>
      <c r="M3" s="40">
        <v>17000</v>
      </c>
      <c r="N3" s="40">
        <v>18000</v>
      </c>
      <c r="P3" s="32">
        <f>C15</f>
        <v>118000</v>
      </c>
      <c r="Q3" s="40">
        <v>15000</v>
      </c>
    </row>
    <row r="4" spans="1:17">
      <c r="A4" s="34"/>
      <c r="B4" s="35" t="s">
        <v>32</v>
      </c>
      <c r="C4" s="41">
        <v>0.1</v>
      </c>
      <c r="D4" s="37"/>
      <c r="F4" s="40">
        <v>300</v>
      </c>
      <c r="G4" s="28">
        <f t="dataTable" ref="G4:N15" dt2D="1" dtr="0" r1="C6" r2="C11"/>
        <v>94000</v>
      </c>
      <c r="H4" s="28">
        <v>102000</v>
      </c>
      <c r="I4" s="28">
        <v>110000</v>
      </c>
      <c r="J4" s="28">
        <v>118000</v>
      </c>
      <c r="K4" s="28">
        <v>126000</v>
      </c>
      <c r="L4" s="28">
        <v>134000</v>
      </c>
      <c r="M4" s="28">
        <v>142000</v>
      </c>
      <c r="N4" s="28">
        <v>150000</v>
      </c>
      <c r="P4" s="40">
        <f t="shared" ref="P4:P15" si="0">F4</f>
        <v>300</v>
      </c>
      <c r="Q4" s="28">
        <f t="dataTable" ref="Q4:Q15" dt2D="1" dtr="0" r1="C6" r2="C11" ca="1"/>
        <v>126000</v>
      </c>
    </row>
    <row r="5" spans="1:17">
      <c r="A5" s="34"/>
      <c r="B5" s="35" t="s">
        <v>33</v>
      </c>
      <c r="C5" s="39">
        <v>1800</v>
      </c>
      <c r="D5" s="37"/>
      <c r="F5" s="40">
        <v>400</v>
      </c>
      <c r="G5" s="28">
        <v>90500</v>
      </c>
      <c r="H5" s="28">
        <v>98000</v>
      </c>
      <c r="I5" s="28">
        <v>105500</v>
      </c>
      <c r="J5" s="28">
        <v>113000</v>
      </c>
      <c r="K5" s="28">
        <v>120500</v>
      </c>
      <c r="L5" s="28">
        <v>128000</v>
      </c>
      <c r="M5" s="28">
        <v>135500</v>
      </c>
      <c r="N5" s="28">
        <v>143000</v>
      </c>
      <c r="P5" s="40">
        <f t="shared" si="0"/>
        <v>400</v>
      </c>
      <c r="Q5" s="28">
        <v>120500</v>
      </c>
    </row>
    <row r="6" spans="1:17">
      <c r="A6" s="34"/>
      <c r="B6" s="35" t="s">
        <v>34</v>
      </c>
      <c r="C6" s="39">
        <f>Q3</f>
        <v>15000</v>
      </c>
      <c r="D6" s="34"/>
      <c r="F6" s="40">
        <v>500</v>
      </c>
      <c r="G6" s="28">
        <v>89200</v>
      </c>
      <c r="H6" s="28">
        <v>96400</v>
      </c>
      <c r="I6" s="28">
        <v>103600</v>
      </c>
      <c r="J6" s="28">
        <v>110800</v>
      </c>
      <c r="K6" s="28">
        <v>118000</v>
      </c>
      <c r="L6" s="28">
        <v>125200</v>
      </c>
      <c r="M6" s="28">
        <v>132400</v>
      </c>
      <c r="N6" s="28">
        <v>139600</v>
      </c>
      <c r="P6" s="40">
        <f t="shared" si="0"/>
        <v>500</v>
      </c>
      <c r="Q6" s="28">
        <v>118000</v>
      </c>
    </row>
    <row r="7" spans="1:17">
      <c r="A7" s="34"/>
      <c r="B7" s="35" t="s">
        <v>35</v>
      </c>
      <c r="C7" s="42">
        <v>600</v>
      </c>
      <c r="D7" s="34"/>
      <c r="F7" s="40">
        <v>600</v>
      </c>
      <c r="G7" s="28">
        <v>89000</v>
      </c>
      <c r="H7" s="28">
        <v>96000</v>
      </c>
      <c r="I7" s="28">
        <v>103000</v>
      </c>
      <c r="J7" s="28">
        <v>110000</v>
      </c>
      <c r="K7" s="28">
        <v>117000</v>
      </c>
      <c r="L7" s="28">
        <v>124000</v>
      </c>
      <c r="M7" s="28">
        <v>131000</v>
      </c>
      <c r="N7" s="28">
        <v>138000</v>
      </c>
      <c r="P7" s="40">
        <f t="shared" si="0"/>
        <v>600</v>
      </c>
      <c r="Q7" s="28">
        <v>117000</v>
      </c>
    </row>
    <row r="8" spans="1:17">
      <c r="A8" s="34"/>
      <c r="B8" s="35" t="s">
        <v>36</v>
      </c>
      <c r="C8" s="42">
        <v>40</v>
      </c>
      <c r="D8" s="34"/>
      <c r="F8" s="40">
        <v>700</v>
      </c>
      <c r="G8" s="28">
        <v>89428.57142857142</v>
      </c>
      <c r="H8" s="28">
        <v>96285.71428571429</v>
      </c>
      <c r="I8" s="28">
        <v>103142.85714285714</v>
      </c>
      <c r="J8" s="28">
        <v>110000</v>
      </c>
      <c r="K8" s="28">
        <v>116857.14285714286</v>
      </c>
      <c r="L8" s="28">
        <v>123714.28571428571</v>
      </c>
      <c r="M8" s="28">
        <v>130571.42857142858</v>
      </c>
      <c r="N8" s="28">
        <v>137428.57142857142</v>
      </c>
      <c r="P8" s="40">
        <f t="shared" si="0"/>
        <v>700</v>
      </c>
      <c r="Q8" s="28">
        <v>116857.14285714286</v>
      </c>
    </row>
    <row r="9" spans="1:17">
      <c r="A9" s="34"/>
      <c r="B9" s="35" t="s">
        <v>37</v>
      </c>
      <c r="C9" s="42">
        <v>6</v>
      </c>
      <c r="D9" s="34"/>
      <c r="F9" s="40">
        <v>800</v>
      </c>
      <c r="G9" s="28">
        <v>90250</v>
      </c>
      <c r="H9" s="28">
        <v>97000</v>
      </c>
      <c r="I9" s="28">
        <v>103750</v>
      </c>
      <c r="J9" s="28">
        <v>110500</v>
      </c>
      <c r="K9" s="28">
        <v>117250</v>
      </c>
      <c r="L9" s="28">
        <v>124000</v>
      </c>
      <c r="M9" s="28">
        <v>130750</v>
      </c>
      <c r="N9" s="28">
        <v>137500</v>
      </c>
      <c r="P9" s="40">
        <f t="shared" si="0"/>
        <v>800</v>
      </c>
      <c r="Q9" s="28">
        <v>117250</v>
      </c>
    </row>
    <row r="10" spans="1:17">
      <c r="A10" s="34"/>
      <c r="B10" s="35" t="s">
        <v>38</v>
      </c>
      <c r="C10" s="43">
        <f>IF(C11&gt;=C3,IF(C11&gt;=C5,C9*(1-C4),C9*(1-C2)),C9)</f>
        <v>6</v>
      </c>
      <c r="D10" s="34"/>
      <c r="F10" s="40">
        <v>900</v>
      </c>
      <c r="G10" s="28">
        <v>91333.333333333328</v>
      </c>
      <c r="H10" s="28">
        <v>98000</v>
      </c>
      <c r="I10" s="28">
        <v>104666.66666666666</v>
      </c>
      <c r="J10" s="28">
        <v>111333.33333333334</v>
      </c>
      <c r="K10" s="28">
        <v>118000</v>
      </c>
      <c r="L10" s="28">
        <v>124666.66666666667</v>
      </c>
      <c r="M10" s="28">
        <v>131333.33333333334</v>
      </c>
      <c r="N10" s="28">
        <v>138000</v>
      </c>
      <c r="P10" s="40">
        <f t="shared" si="0"/>
        <v>900</v>
      </c>
      <c r="Q10" s="28">
        <v>118000</v>
      </c>
    </row>
    <row r="11" spans="1:17">
      <c r="A11" s="34"/>
      <c r="B11" s="35" t="s">
        <v>39</v>
      </c>
      <c r="C11" s="44">
        <v>900</v>
      </c>
      <c r="D11" s="34"/>
      <c r="F11" s="45">
        <f>C3-0.001</f>
        <v>1299.999</v>
      </c>
      <c r="G11" s="28">
        <v>97076.90698225153</v>
      </c>
      <c r="H11" s="28">
        <v>103538.44579881984</v>
      </c>
      <c r="I11" s="28">
        <v>109999.98461538817</v>
      </c>
      <c r="J11" s="28">
        <v>116461.52343195648</v>
      </c>
      <c r="K11" s="28">
        <v>122923.0622485248</v>
      </c>
      <c r="L11" s="28">
        <v>129384.60106509313</v>
      </c>
      <c r="M11" s="28">
        <v>135846.13988166145</v>
      </c>
      <c r="N11" s="28">
        <v>142307.67869822978</v>
      </c>
      <c r="P11" s="40">
        <f t="shared" si="0"/>
        <v>1299.999</v>
      </c>
      <c r="Q11" s="28">
        <v>122923.0622485248</v>
      </c>
    </row>
    <row r="12" spans="1:17">
      <c r="A12" s="34"/>
      <c r="B12" s="35" t="s">
        <v>40</v>
      </c>
      <c r="C12" s="43">
        <f>C6/C11*C7</f>
        <v>10000</v>
      </c>
      <c r="D12" s="34"/>
      <c r="F12" s="40">
        <f>C3</f>
        <v>1300</v>
      </c>
      <c r="G12" s="28">
        <v>93776.923076923063</v>
      </c>
      <c r="H12" s="28">
        <v>99938.461538461532</v>
      </c>
      <c r="I12" s="28">
        <v>106099.99999999999</v>
      </c>
      <c r="J12" s="28">
        <v>112261.53846153844</v>
      </c>
      <c r="K12" s="28">
        <v>118423.07692307691</v>
      </c>
      <c r="L12" s="28">
        <v>124584.61538461538</v>
      </c>
      <c r="M12" s="28">
        <v>130746.15384615383</v>
      </c>
      <c r="N12" s="28">
        <v>136907.69230769231</v>
      </c>
      <c r="P12" s="40">
        <f t="shared" si="0"/>
        <v>1300</v>
      </c>
      <c r="Q12" s="28">
        <v>118423.07692307691</v>
      </c>
    </row>
    <row r="13" spans="1:17">
      <c r="A13" s="34"/>
      <c r="B13" s="35" t="s">
        <v>41</v>
      </c>
      <c r="C13" s="43">
        <f>C8*C11/2</f>
        <v>18000</v>
      </c>
      <c r="D13" s="34"/>
      <c r="F13" s="45">
        <f>C5-0.01</f>
        <v>1799.99</v>
      </c>
      <c r="G13" s="28">
        <v>102366.4870371502</v>
      </c>
      <c r="H13" s="28">
        <v>108399.82222234567</v>
      </c>
      <c r="I13" s="28">
        <v>114433.15740754115</v>
      </c>
      <c r="J13" s="28">
        <v>120466.49259273661</v>
      </c>
      <c r="K13" s="28">
        <v>126499.82777793208</v>
      </c>
      <c r="L13" s="28">
        <v>132533.16296312757</v>
      </c>
      <c r="M13" s="28">
        <v>138566.49814832304</v>
      </c>
      <c r="N13" s="28">
        <v>144599.8333335185</v>
      </c>
      <c r="P13" s="40">
        <f t="shared" si="0"/>
        <v>1799.99</v>
      </c>
      <c r="Q13" s="28">
        <v>126499.82777793208</v>
      </c>
    </row>
    <row r="14" spans="1:17">
      <c r="A14" s="34"/>
      <c r="B14" s="35" t="s">
        <v>42</v>
      </c>
      <c r="C14" s="43">
        <f>C6*C10</f>
        <v>90000</v>
      </c>
      <c r="D14" s="34"/>
      <c r="F14" s="45">
        <f>C5</f>
        <v>1800</v>
      </c>
      <c r="G14" s="28">
        <v>99066.666666666672</v>
      </c>
      <c r="H14" s="28">
        <v>104800</v>
      </c>
      <c r="I14" s="28">
        <v>110533.33333333334</v>
      </c>
      <c r="J14" s="28">
        <v>116266.66666666666</v>
      </c>
      <c r="K14" s="28">
        <v>122000</v>
      </c>
      <c r="L14" s="28">
        <v>127733.33333333334</v>
      </c>
      <c r="M14" s="28">
        <v>133466.66666666666</v>
      </c>
      <c r="N14" s="28">
        <v>139200</v>
      </c>
      <c r="P14" s="40">
        <f t="shared" si="0"/>
        <v>1800</v>
      </c>
      <c r="Q14" s="28">
        <v>122000</v>
      </c>
    </row>
    <row r="15" spans="1:17">
      <c r="A15" s="34"/>
      <c r="B15" s="35" t="s">
        <v>43</v>
      </c>
      <c r="C15" s="46">
        <f>C12+C13+C14</f>
        <v>118000</v>
      </c>
      <c r="D15" s="34"/>
      <c r="F15" s="45">
        <v>3500</v>
      </c>
      <c r="G15" s="28">
        <v>131285.71428571429</v>
      </c>
      <c r="H15" s="28">
        <v>136857.14285714287</v>
      </c>
      <c r="I15" s="28">
        <v>142428.57142857142</v>
      </c>
      <c r="J15" s="28">
        <v>148000</v>
      </c>
      <c r="K15" s="28">
        <v>153571.42857142858</v>
      </c>
      <c r="L15" s="28">
        <v>159142.85714285716</v>
      </c>
      <c r="M15" s="28">
        <v>164714.28571428571</v>
      </c>
      <c r="N15" s="28">
        <v>170285.71428571429</v>
      </c>
      <c r="P15" s="40">
        <f t="shared" si="0"/>
        <v>3500</v>
      </c>
      <c r="Q15" s="28">
        <v>153571.42857142858</v>
      </c>
    </row>
    <row r="16" spans="1:17">
      <c r="A16" s="34"/>
      <c r="B16" s="34"/>
      <c r="C16" s="47"/>
      <c r="D16" s="34"/>
    </row>
    <row r="17" spans="1:7">
      <c r="A17" s="34"/>
      <c r="B17" s="35" t="s">
        <v>46</v>
      </c>
      <c r="C17" s="48">
        <f>SQRT(2*C6*C7/C8)</f>
        <v>670.82039324993696</v>
      </c>
      <c r="D17" s="34"/>
      <c r="F17" s="49"/>
      <c r="G17" s="50">
        <f>C15</f>
        <v>118000</v>
      </c>
    </row>
    <row r="18" spans="1:7">
      <c r="A18" s="34"/>
      <c r="B18" s="51" t="s">
        <v>47</v>
      </c>
      <c r="C18" s="43">
        <f>C6/C17*C7</f>
        <v>13416.407864998737</v>
      </c>
      <c r="D18" s="34"/>
      <c r="F18" s="49">
        <v>670</v>
      </c>
      <c r="G18" s="49">
        <f t="dataTable" ref="G18:G20" dt2D="0" dtr="0" r1="C11" ca="1"/>
        <v>116832.83582089552</v>
      </c>
    </row>
    <row r="19" spans="1:7">
      <c r="A19" s="34"/>
      <c r="B19" s="51" t="s">
        <v>48</v>
      </c>
      <c r="C19" s="43">
        <f>C17/2*C8</f>
        <v>13416.407864998739</v>
      </c>
      <c r="D19" s="34"/>
      <c r="F19" s="49">
        <v>1300</v>
      </c>
      <c r="G19" s="49">
        <v>118423.07692307691</v>
      </c>
    </row>
    <row r="20" spans="1:7">
      <c r="A20" s="34"/>
      <c r="B20" s="51" t="s">
        <v>49</v>
      </c>
      <c r="C20" s="43">
        <f>C9*C6</f>
        <v>90000</v>
      </c>
      <c r="D20" s="34"/>
      <c r="F20" s="49">
        <v>1800</v>
      </c>
      <c r="G20" s="49">
        <v>122000</v>
      </c>
    </row>
    <row r="21" spans="1:7">
      <c r="A21" s="34"/>
      <c r="B21" s="51" t="s">
        <v>50</v>
      </c>
      <c r="C21" s="46">
        <f>C18+C19+C20</f>
        <v>116832.81572999747</v>
      </c>
      <c r="D21" s="34"/>
    </row>
    <row r="22" spans="1:7">
      <c r="A22" s="34"/>
      <c r="B22" s="34"/>
      <c r="C22" s="34"/>
      <c r="D22" s="34"/>
    </row>
    <row r="23" spans="1:7">
      <c r="B23" s="52" t="s">
        <v>44</v>
      </c>
      <c r="C23" s="49">
        <f>INDEX(F18:F20,MATCH(C24,G18:G20,0))</f>
        <v>670</v>
      </c>
    </row>
    <row r="24" spans="1:7">
      <c r="B24" s="52" t="s">
        <v>45</v>
      </c>
      <c r="C24" s="49">
        <f>MIN(G18:G20)</f>
        <v>116832.83582089552</v>
      </c>
    </row>
    <row r="26" spans="1:7">
      <c r="B26" s="152" t="str">
        <f>"单价折扣率="&amp;C2*100&amp;"%"</f>
        <v>单价折扣率=5%</v>
      </c>
      <c r="C26" s="152"/>
    </row>
    <row r="27" spans="1:7">
      <c r="B27" s="53" t="str">
        <f>"年需求量="&amp;C6</f>
        <v>年需求量=15000</v>
      </c>
      <c r="C27" s="53"/>
    </row>
    <row r="28" spans="1:7">
      <c r="B28" s="20" t="str">
        <f>IF(C15&gt;C21,"按照经济订货量 "&amp;ROUND(C17,0),"按照折扣阈限值"&amp;C3)&amp;"件订货"</f>
        <v>按照经济订货量 671件订货</v>
      </c>
    </row>
  </sheetData>
  <mergeCells count="1">
    <mergeCell ref="B26:C26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Spinner 3">
              <controlPr defaultSize="0" autoPict="0">
                <anchor moveWithCells="1" sizeWithCells="1">
                  <from>
                    <xdr:col>18</xdr:col>
                    <xdr:colOff>180975</xdr:colOff>
                    <xdr:row>17</xdr:row>
                    <xdr:rowOff>142875</xdr:rowOff>
                  </from>
                  <to>
                    <xdr:col>18</xdr:col>
                    <xdr:colOff>466725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5" name="Spinner 6">
              <controlPr defaultSize="0" autoPict="0">
                <anchor moveWithCells="1" sizeWithCells="1">
                  <from>
                    <xdr:col>15</xdr:col>
                    <xdr:colOff>514350</xdr:colOff>
                    <xdr:row>17</xdr:row>
                    <xdr:rowOff>133350</xdr:rowOff>
                  </from>
                  <to>
                    <xdr:col>16</xdr:col>
                    <xdr:colOff>238125</xdr:colOff>
                    <xdr:row>18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activeCell="G4" sqref="G4"/>
    </sheetView>
  </sheetViews>
  <sheetFormatPr defaultRowHeight="15"/>
  <cols>
    <col min="1" max="1" width="6.875" style="55" customWidth="1"/>
    <col min="2" max="2" width="12.75" style="55" bestFit="1" customWidth="1"/>
    <col min="3" max="16384" width="9" style="55"/>
  </cols>
  <sheetData>
    <row r="1" spans="1:7">
      <c r="A1" s="54">
        <f>MAX($C$13)</f>
        <v>54193.548387096766</v>
      </c>
    </row>
    <row r="2" spans="1:7">
      <c r="A2" s="54">
        <f>COUNT($C$12:$E$12)</f>
        <v>3</v>
      </c>
    </row>
    <row r="3" spans="1:7">
      <c r="A3" s="54" t="b">
        <f t="array" ref="A3">$C$12:$E$12&gt;=0</f>
        <v>1</v>
      </c>
    </row>
    <row r="4" spans="1:7">
      <c r="A4" s="54" t="b">
        <f t="array" ref="A4">$F$8:$F$9&lt;=第4题答案!$G$8:$G$9</f>
        <v>1</v>
      </c>
    </row>
    <row r="5" spans="1:7">
      <c r="A5" s="54">
        <f>{100,100,0.000001,0.05,FALSE,FALSE,FALSE,1,1,1,0.0001,FALSE}</f>
        <v>100</v>
      </c>
    </row>
    <row r="7" spans="1:7">
      <c r="B7" s="56"/>
      <c r="C7" s="57" t="s">
        <v>51</v>
      </c>
      <c r="D7" s="57" t="s">
        <v>52</v>
      </c>
      <c r="E7" s="57" t="s">
        <v>53</v>
      </c>
      <c r="F7" s="58" t="s">
        <v>54</v>
      </c>
      <c r="G7" s="58" t="s">
        <v>55</v>
      </c>
    </row>
    <row r="8" spans="1:7">
      <c r="B8" s="58" t="s">
        <v>58</v>
      </c>
      <c r="C8" s="56">
        <v>1.5</v>
      </c>
      <c r="D8" s="56">
        <v>1.2</v>
      </c>
      <c r="E8" s="56">
        <v>4</v>
      </c>
      <c r="F8" s="59">
        <f t="array" ref="F8">SUM(C8:E8*$C$12:$E$12)</f>
        <v>8000</v>
      </c>
      <c r="G8" s="56">
        <v>8000</v>
      </c>
    </row>
    <row r="9" spans="1:7">
      <c r="B9" s="58" t="s">
        <v>59</v>
      </c>
      <c r="C9" s="56">
        <v>3</v>
      </c>
      <c r="D9" s="56">
        <v>1.6</v>
      </c>
      <c r="E9" s="56">
        <v>1.2</v>
      </c>
      <c r="F9" s="59">
        <f t="array" ref="F9">SUM(C9:E9*$C$12:$E$12)</f>
        <v>5999.9999999999991</v>
      </c>
      <c r="G9" s="56">
        <v>6000</v>
      </c>
    </row>
    <row r="10" spans="1:7">
      <c r="B10" s="58" t="s">
        <v>60</v>
      </c>
      <c r="C10" s="56">
        <v>10</v>
      </c>
      <c r="D10" s="56">
        <v>14</v>
      </c>
      <c r="E10" s="56">
        <v>12</v>
      </c>
      <c r="F10" s="56"/>
      <c r="G10" s="56"/>
    </row>
    <row r="12" spans="1:7">
      <c r="B12" s="60" t="s">
        <v>56</v>
      </c>
      <c r="C12" s="59">
        <v>0</v>
      </c>
      <c r="D12" s="59">
        <v>2903.2258064516122</v>
      </c>
      <c r="E12" s="59">
        <v>1129.0322580645163</v>
      </c>
      <c r="F12" s="61"/>
    </row>
    <row r="13" spans="1:7">
      <c r="B13" s="60" t="s">
        <v>57</v>
      </c>
      <c r="C13" s="62">
        <f t="array" ref="C13">SUM(C10:E10*C12:E12)</f>
        <v>54193.548387096766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showGridLines="0" topLeftCell="A3" workbookViewId="0">
      <selection activeCell="C21" sqref="C21"/>
    </sheetView>
  </sheetViews>
  <sheetFormatPr defaultRowHeight="15"/>
  <cols>
    <col min="1" max="1" width="4.5" style="69" customWidth="1"/>
    <col min="2" max="2" width="12.5" style="69" customWidth="1"/>
    <col min="3" max="3" width="10.375" style="69" customWidth="1"/>
    <col min="4" max="4" width="6.625" style="69" customWidth="1"/>
    <col min="5" max="5" width="7.25" style="69" customWidth="1"/>
    <col min="6" max="6" width="12.125" style="69" customWidth="1"/>
    <col min="7" max="7" width="12.875" style="69" customWidth="1"/>
    <col min="8" max="8" width="10" style="69" customWidth="1"/>
    <col min="9" max="9" width="9" style="69"/>
    <col min="10" max="10" width="7.875" style="69" customWidth="1"/>
    <col min="11" max="12" width="7.25" style="69" customWidth="1"/>
    <col min="13" max="16384" width="9" style="69"/>
  </cols>
  <sheetData>
    <row r="2" spans="2:14" ht="28.5">
      <c r="B2" s="63" t="s">
        <v>61</v>
      </c>
      <c r="C2" s="63" t="s">
        <v>62</v>
      </c>
      <c r="D2" s="63" t="s">
        <v>63</v>
      </c>
      <c r="E2" s="63" t="s">
        <v>64</v>
      </c>
      <c r="F2" s="64" t="s">
        <v>66</v>
      </c>
      <c r="G2" s="64" t="s">
        <v>65</v>
      </c>
      <c r="H2" s="66"/>
    </row>
    <row r="3" spans="2:14">
      <c r="B3" s="70" t="s">
        <v>67</v>
      </c>
      <c r="C3" s="71" t="s">
        <v>68</v>
      </c>
      <c r="D3" s="71" t="s">
        <v>69</v>
      </c>
      <c r="E3" s="71"/>
      <c r="F3" s="72">
        <v>2</v>
      </c>
      <c r="G3" s="70">
        <v>2000</v>
      </c>
      <c r="H3" s="73"/>
    </row>
    <row r="4" spans="2:14">
      <c r="B4" s="70" t="s">
        <v>70</v>
      </c>
      <c r="C4" s="71"/>
      <c r="D4" s="71"/>
      <c r="E4" s="71"/>
      <c r="F4" s="72">
        <v>1.5</v>
      </c>
      <c r="G4" s="70">
        <v>2500</v>
      </c>
      <c r="H4" s="73"/>
    </row>
    <row r="5" spans="2:14">
      <c r="B5" s="70" t="s">
        <v>71</v>
      </c>
      <c r="C5" s="71" t="s">
        <v>72</v>
      </c>
      <c r="D5" s="71" t="s">
        <v>73</v>
      </c>
      <c r="E5" s="71" t="s">
        <v>74</v>
      </c>
      <c r="F5" s="72">
        <v>1</v>
      </c>
      <c r="G5" s="70">
        <v>1200</v>
      </c>
      <c r="H5" s="73"/>
    </row>
    <row r="6" spans="2:14" ht="28.5">
      <c r="B6" s="64" t="s">
        <v>75</v>
      </c>
      <c r="C6" s="72">
        <v>0.5</v>
      </c>
      <c r="D6" s="72">
        <v>0.4</v>
      </c>
      <c r="E6" s="72">
        <v>0.3</v>
      </c>
    </row>
    <row r="7" spans="2:14" ht="28.5">
      <c r="B7" s="64" t="s">
        <v>76</v>
      </c>
      <c r="C7" s="72">
        <v>3.4</v>
      </c>
      <c r="D7" s="72">
        <v>2.85</v>
      </c>
      <c r="E7" s="72">
        <v>2.25</v>
      </c>
    </row>
    <row r="10" spans="2:14" ht="42">
      <c r="B10" s="63" t="s">
        <v>77</v>
      </c>
      <c r="C10" s="63" t="s">
        <v>78</v>
      </c>
      <c r="D10" s="64" t="s">
        <v>79</v>
      </c>
      <c r="E10" s="64" t="s">
        <v>80</v>
      </c>
      <c r="F10" s="63" t="s">
        <v>81</v>
      </c>
      <c r="G10" s="64" t="s">
        <v>79</v>
      </c>
      <c r="H10" s="64" t="s">
        <v>80</v>
      </c>
      <c r="I10" s="63" t="s">
        <v>82</v>
      </c>
      <c r="J10" s="64" t="s">
        <v>79</v>
      </c>
      <c r="K10" s="64" t="s">
        <v>80</v>
      </c>
      <c r="L10" s="74" t="s">
        <v>83</v>
      </c>
      <c r="M10" s="64" t="s">
        <v>84</v>
      </c>
      <c r="N10" s="64" t="s">
        <v>85</v>
      </c>
    </row>
    <row r="11" spans="2:14">
      <c r="B11" s="70" t="s">
        <v>67</v>
      </c>
      <c r="C11" s="67">
        <v>1525.9333333558557</v>
      </c>
      <c r="D11" s="75">
        <f>C11/C14</f>
        <v>0.59999999999259102</v>
      </c>
      <c r="E11" s="75">
        <v>0.6</v>
      </c>
      <c r="F11" s="67">
        <v>473.06666664414433</v>
      </c>
      <c r="G11" s="75">
        <f>F11/F14</f>
        <v>0.14999999999613764</v>
      </c>
      <c r="H11" s="75">
        <v>0.15</v>
      </c>
      <c r="I11" s="67">
        <v>1</v>
      </c>
      <c r="J11" s="76"/>
      <c r="K11" s="76"/>
      <c r="L11" s="77">
        <f>C11+F11+I11</f>
        <v>2000</v>
      </c>
      <c r="M11" s="72">
        <v>2</v>
      </c>
      <c r="N11" s="70">
        <v>2000</v>
      </c>
    </row>
    <row r="12" spans="2:14">
      <c r="B12" s="70" t="s">
        <v>70</v>
      </c>
      <c r="C12" s="67">
        <v>508.64470578223205</v>
      </c>
      <c r="D12" s="76"/>
      <c r="E12" s="76"/>
      <c r="F12" s="67">
        <v>1990.3552942177678</v>
      </c>
      <c r="G12" s="76"/>
      <c r="H12" s="76"/>
      <c r="I12" s="67">
        <v>1</v>
      </c>
      <c r="J12" s="76"/>
      <c r="K12" s="76"/>
      <c r="L12" s="77">
        <f>C12+F12+I12</f>
        <v>2500</v>
      </c>
      <c r="M12" s="72">
        <v>1.5</v>
      </c>
      <c r="N12" s="70">
        <v>2500</v>
      </c>
    </row>
    <row r="13" spans="2:14">
      <c r="B13" s="70" t="s">
        <v>71</v>
      </c>
      <c r="C13" s="67">
        <v>508.64418315307665</v>
      </c>
      <c r="D13" s="75">
        <f>C13/C14</f>
        <v>0.19999989725429659</v>
      </c>
      <c r="E13" s="75">
        <v>0.2</v>
      </c>
      <c r="F13" s="67">
        <v>690.3558168469234</v>
      </c>
      <c r="G13" s="75">
        <f>F13/F14</f>
        <v>0.21889805354277522</v>
      </c>
      <c r="H13" s="75">
        <v>0.6</v>
      </c>
      <c r="I13" s="67">
        <v>1</v>
      </c>
      <c r="J13" s="75">
        <f>I13/I14</f>
        <v>0.33333333333333331</v>
      </c>
      <c r="K13" s="75">
        <v>0.5</v>
      </c>
      <c r="L13" s="77">
        <f>C13+F13+I13</f>
        <v>1200</v>
      </c>
      <c r="M13" s="72">
        <v>1</v>
      </c>
      <c r="N13" s="70">
        <v>1200</v>
      </c>
    </row>
    <row r="14" spans="2:14" ht="21" customHeight="1">
      <c r="B14" s="63" t="s">
        <v>86</v>
      </c>
      <c r="C14" s="67">
        <f>SUM(C11:C13)</f>
        <v>2543.2222222911641</v>
      </c>
      <c r="D14" s="76"/>
      <c r="E14" s="76"/>
      <c r="F14" s="67">
        <f>SUM(F11:F13)</f>
        <v>3153.7777777088359</v>
      </c>
      <c r="G14" s="76"/>
      <c r="H14" s="76"/>
      <c r="I14" s="67">
        <f>SUM(I11:I13)</f>
        <v>3</v>
      </c>
      <c r="J14" s="76"/>
      <c r="K14" s="76"/>
      <c r="L14" s="78"/>
      <c r="M14" s="79"/>
      <c r="N14" s="73"/>
    </row>
    <row r="15" spans="2:14" ht="28.5">
      <c r="B15" s="64" t="s">
        <v>75</v>
      </c>
      <c r="C15" s="72">
        <v>0.5</v>
      </c>
      <c r="D15" s="76"/>
      <c r="E15" s="76"/>
      <c r="F15" s="72">
        <v>0.4</v>
      </c>
      <c r="G15" s="76"/>
      <c r="H15" s="76"/>
      <c r="I15" s="72">
        <v>0.3</v>
      </c>
      <c r="J15" s="76"/>
      <c r="K15" s="76"/>
      <c r="L15" s="78"/>
    </row>
    <row r="16" spans="2:14" ht="28.5">
      <c r="B16" s="64" t="s">
        <v>76</v>
      </c>
      <c r="C16" s="72">
        <v>3.4</v>
      </c>
      <c r="D16" s="76"/>
      <c r="E16" s="76"/>
      <c r="F16" s="72">
        <v>2.85</v>
      </c>
      <c r="G16" s="76"/>
      <c r="H16" s="76"/>
      <c r="I16" s="72">
        <v>2.25</v>
      </c>
      <c r="J16" s="76"/>
      <c r="K16" s="76"/>
      <c r="L16" s="78"/>
    </row>
    <row r="17" spans="2:12">
      <c r="B17" s="63" t="s">
        <v>87</v>
      </c>
      <c r="C17" s="72">
        <f>C16*C14</f>
        <v>8646.9555557899585</v>
      </c>
      <c r="D17" s="76"/>
      <c r="E17" s="76"/>
      <c r="F17" s="72">
        <f>F16*F14</f>
        <v>8988.2666664701828</v>
      </c>
      <c r="G17" s="76"/>
      <c r="H17" s="76"/>
      <c r="I17" s="72">
        <f>I16*I14</f>
        <v>6.75</v>
      </c>
      <c r="J17" s="76"/>
      <c r="K17" s="76"/>
      <c r="L17" s="78"/>
    </row>
    <row r="18" spans="2:12">
      <c r="B18" s="63" t="s">
        <v>88</v>
      </c>
      <c r="C18" s="72">
        <f>C11*$M$11+C12*$M$12+C13*$M$13+C14*C15</f>
        <v>5595.0890196837181</v>
      </c>
      <c r="D18" s="76"/>
      <c r="E18" s="76"/>
      <c r="F18" s="72">
        <f>F11*$M$11+F12*$M$12+F13*$M$13+F14*F15</f>
        <v>5883.5332025453981</v>
      </c>
      <c r="G18" s="76"/>
      <c r="H18" s="76"/>
      <c r="I18" s="72">
        <f>I11*$M$11+I12*$M$12+I13*$M$13+I14*I15</f>
        <v>5.4</v>
      </c>
      <c r="J18" s="76"/>
      <c r="K18" s="76"/>
      <c r="L18" s="78"/>
    </row>
    <row r="19" spans="2:12">
      <c r="B19" s="63" t="s">
        <v>89</v>
      </c>
      <c r="C19" s="72">
        <f>C17-C18</f>
        <v>3051.8665361062403</v>
      </c>
      <c r="D19" s="76"/>
      <c r="E19" s="76"/>
      <c r="F19" s="72">
        <f>F17-F18</f>
        <v>3104.7334639247847</v>
      </c>
      <c r="G19" s="76"/>
      <c r="H19" s="76"/>
      <c r="I19" s="72">
        <f>I17-I18</f>
        <v>1.3499999999999996</v>
      </c>
      <c r="J19" s="76"/>
      <c r="K19" s="76"/>
      <c r="L19" s="78"/>
    </row>
    <row r="21" spans="2:12">
      <c r="B21" s="65" t="s">
        <v>90</v>
      </c>
      <c r="C21" s="68">
        <f>C19+F19+I19</f>
        <v>6157.9500000310254</v>
      </c>
    </row>
    <row r="24" spans="2:12">
      <c r="B24" s="68">
        <f>MAX($C$21)</f>
        <v>6157.9500000310254</v>
      </c>
    </row>
    <row r="25" spans="2:12">
      <c r="B25" s="68">
        <f>COUNT($C$11:$C$13,$F$11:$F$13,$I$11:$I$13)</f>
        <v>9</v>
      </c>
    </row>
    <row r="26" spans="2:12">
      <c r="B26" s="69" t="b">
        <f t="array" ref="B26">$L$11:$L$13&lt;=第5题答案!$N$11:$N$13</f>
        <v>1</v>
      </c>
    </row>
    <row r="27" spans="2:12">
      <c r="B27" s="69" t="b">
        <f t="array" ref="B27">$C$11:$C$13&gt;=1</f>
        <v>1</v>
      </c>
    </row>
    <row r="28" spans="2:12">
      <c r="B28" s="69" t="b">
        <f t="array" ref="B28">$F$11:$F$13&gt;=1</f>
        <v>1</v>
      </c>
    </row>
    <row r="29" spans="2:12">
      <c r="B29" s="69" t="b">
        <f>$D$11&gt;=第5题答案!$E$11</f>
        <v>0</v>
      </c>
    </row>
    <row r="30" spans="2:12">
      <c r="B30" s="69" t="b">
        <f>$D$13&lt;=第5题答案!$E$13</f>
        <v>1</v>
      </c>
    </row>
    <row r="31" spans="2:12">
      <c r="B31" s="69" t="b">
        <f>$G$11&gt;=第5题答案!$H$11</f>
        <v>0</v>
      </c>
    </row>
    <row r="32" spans="2:12">
      <c r="B32" s="69" t="b">
        <f>$G$13&lt;=第5题答案!$H$13</f>
        <v>1</v>
      </c>
    </row>
    <row r="33" spans="2:2">
      <c r="B33" s="69" t="b">
        <f>$J$13&lt;=第5题答案!$K$13</f>
        <v>1</v>
      </c>
    </row>
    <row r="34" spans="2:2">
      <c r="B34" s="69" t="b">
        <f t="array" ref="B34">$I$11:$I$13&gt;=1</f>
        <v>1</v>
      </c>
    </row>
    <row r="35" spans="2:2">
      <c r="B35" s="69">
        <f>{100,100,0.000001,0.05,FALSE,FALSE,FALSE,1,1,1,0.0001,FALSE}</f>
        <v>100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>
      <selection activeCell="J12" sqref="J12"/>
    </sheetView>
  </sheetViews>
  <sheetFormatPr defaultColWidth="8" defaultRowHeight="15"/>
  <cols>
    <col min="1" max="1" width="14" style="82" customWidth="1"/>
    <col min="2" max="2" width="8.75" style="82" customWidth="1"/>
    <col min="3" max="3" width="10.25" style="82" customWidth="1"/>
    <col min="4" max="4" width="9.875" style="82" customWidth="1"/>
    <col min="5" max="8" width="8" style="82" customWidth="1"/>
    <col min="9" max="9" width="8.75" style="82" bestFit="1" customWidth="1"/>
    <col min="10" max="16384" width="8" style="82"/>
  </cols>
  <sheetData>
    <row r="1" spans="1:9">
      <c r="A1" s="80" t="s">
        <v>96</v>
      </c>
      <c r="B1" s="81">
        <v>8.5000000000000006E-2</v>
      </c>
    </row>
    <row r="3" spans="1:9">
      <c r="A3" s="153" t="s">
        <v>97</v>
      </c>
      <c r="B3" s="155" t="s">
        <v>98</v>
      </c>
      <c r="C3" s="156"/>
      <c r="D3" s="156"/>
      <c r="E3" s="156"/>
      <c r="F3" s="156"/>
      <c r="G3" s="156"/>
    </row>
    <row r="4" spans="1:9">
      <c r="A4" s="154"/>
      <c r="B4" s="83" t="s">
        <v>99</v>
      </c>
      <c r="C4" s="83" t="s">
        <v>100</v>
      </c>
      <c r="D4" s="83" t="s">
        <v>101</v>
      </c>
      <c r="E4" s="83" t="s">
        <v>102</v>
      </c>
      <c r="F4" s="83" t="s">
        <v>103</v>
      </c>
      <c r="G4" s="83" t="s">
        <v>104</v>
      </c>
    </row>
    <row r="5" spans="1:9" ht="15.75" thickBot="1">
      <c r="A5" s="84" t="s">
        <v>91</v>
      </c>
      <c r="B5" s="85">
        <v>-40000</v>
      </c>
      <c r="C5" s="85">
        <v>-15000</v>
      </c>
      <c r="D5" s="85">
        <v>5000</v>
      </c>
      <c r="E5" s="85">
        <v>20000</v>
      </c>
      <c r="F5" s="85">
        <v>30000</v>
      </c>
      <c r="G5" s="85">
        <v>18453.2</v>
      </c>
      <c r="I5" s="86"/>
    </row>
    <row r="6" spans="1:9" ht="15.75" thickTop="1">
      <c r="A6" s="87" t="s">
        <v>92</v>
      </c>
      <c r="B6" s="88"/>
      <c r="C6" s="89">
        <f>B9</f>
        <v>-40000</v>
      </c>
      <c r="D6" s="89">
        <f>C9</f>
        <v>-58400</v>
      </c>
      <c r="E6" s="89">
        <f>D9</f>
        <v>-58364</v>
      </c>
      <c r="F6" s="89">
        <f>E9</f>
        <v>-43324.94</v>
      </c>
      <c r="G6" s="89">
        <f>F9</f>
        <v>-17007.559900000004</v>
      </c>
    </row>
    <row r="7" spans="1:9">
      <c r="A7" s="90" t="s">
        <v>93</v>
      </c>
      <c r="B7" s="91"/>
      <c r="C7" s="92">
        <f>C5</f>
        <v>-15000</v>
      </c>
      <c r="D7" s="92">
        <f>D5</f>
        <v>5000</v>
      </c>
      <c r="E7" s="92">
        <f>E5</f>
        <v>20000</v>
      </c>
      <c r="F7" s="92">
        <f>F5</f>
        <v>30000</v>
      </c>
      <c r="G7" s="92">
        <f>G5</f>
        <v>18453.2</v>
      </c>
    </row>
    <row r="8" spans="1:9">
      <c r="A8" s="90" t="s">
        <v>94</v>
      </c>
      <c r="B8" s="91"/>
      <c r="C8" s="92">
        <f>B9*$B$1</f>
        <v>-3400.0000000000005</v>
      </c>
      <c r="D8" s="92">
        <f>C9*$B$1</f>
        <v>-4964</v>
      </c>
      <c r="E8" s="92">
        <f>D9*$B$1</f>
        <v>-4960.9400000000005</v>
      </c>
      <c r="F8" s="92">
        <f>E9*$B$1</f>
        <v>-3682.6199000000006</v>
      </c>
      <c r="G8" s="92">
        <f>F9*$B$1</f>
        <v>-1445.6425915000004</v>
      </c>
    </row>
    <row r="9" spans="1:9">
      <c r="A9" s="87" t="s">
        <v>95</v>
      </c>
      <c r="B9" s="92">
        <f>B5</f>
        <v>-40000</v>
      </c>
      <c r="C9" s="92">
        <f>SUM(C6:C8)</f>
        <v>-58400</v>
      </c>
      <c r="D9" s="92">
        <f>SUM(D6:D8)</f>
        <v>-58364</v>
      </c>
      <c r="E9" s="92">
        <f>SUM(E6:E8)</f>
        <v>-43324.94</v>
      </c>
      <c r="F9" s="92">
        <f>SUM(F6:F8)</f>
        <v>-17007.559900000004</v>
      </c>
      <c r="G9" s="92">
        <f>SUM(G6:G8)</f>
        <v>-2.4915000035434787E-3</v>
      </c>
    </row>
  </sheetData>
  <mergeCells count="2">
    <mergeCell ref="A3:A4"/>
    <mergeCell ref="B3:G3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23"/>
  <sheetViews>
    <sheetView showGridLines="0" workbookViewId="0">
      <selection activeCell="B9" sqref="B9"/>
    </sheetView>
  </sheetViews>
  <sheetFormatPr defaultRowHeight="15"/>
  <cols>
    <col min="1" max="1" width="3.875" style="20" customWidth="1"/>
    <col min="2" max="2" width="50.375" style="20" bestFit="1" customWidth="1"/>
    <col min="3" max="3" width="17.375" style="20" bestFit="1" customWidth="1"/>
    <col min="4" max="4" width="14" style="20" customWidth="1"/>
    <col min="5" max="7" width="9" style="20"/>
    <col min="8" max="8" width="5.125" style="20" bestFit="1" customWidth="1"/>
    <col min="9" max="9" width="10.375" style="20" customWidth="1"/>
    <col min="10" max="10" width="3.875" style="20" customWidth="1"/>
    <col min="11" max="11" width="4" style="20" bestFit="1" customWidth="1"/>
    <col min="12" max="12" width="7.5" style="20" bestFit="1" customWidth="1"/>
    <col min="13" max="14" width="9" style="20"/>
    <col min="15" max="15" width="9.875" style="20" bestFit="1" customWidth="1"/>
    <col min="16" max="17" width="9.5" style="20" bestFit="1" customWidth="1"/>
    <col min="18" max="18" width="16.5" style="20" bestFit="1" customWidth="1"/>
    <col min="19" max="16384" width="9" style="20"/>
  </cols>
  <sheetData>
    <row r="1" spans="2:18">
      <c r="P1" s="20" t="str">
        <f>I2</f>
        <v>项目B</v>
      </c>
      <c r="Q1" s="20" t="str">
        <f>L2</f>
        <v>项目A</v>
      </c>
    </row>
    <row r="2" spans="2:18">
      <c r="B2" s="93" t="s">
        <v>105</v>
      </c>
      <c r="C2" s="49">
        <v>10</v>
      </c>
      <c r="I2" s="23" t="s">
        <v>106</v>
      </c>
      <c r="L2" s="23" t="s">
        <v>107</v>
      </c>
      <c r="P2" s="94">
        <f>C13</f>
        <v>766.71015634027754</v>
      </c>
      <c r="Q2" s="94">
        <f>D13</f>
        <v>688.97672933159356</v>
      </c>
    </row>
    <row r="3" spans="2:18">
      <c r="B3" s="93" t="s">
        <v>110</v>
      </c>
      <c r="C3" s="49">
        <v>150</v>
      </c>
      <c r="H3" s="20">
        <v>0</v>
      </c>
      <c r="I3" s="20">
        <f>-D8</f>
        <v>-1000</v>
      </c>
      <c r="K3" s="20">
        <v>0</v>
      </c>
      <c r="L3" s="20">
        <f>-C8</f>
        <v>-1500</v>
      </c>
      <c r="O3" s="95">
        <v>0.01</v>
      </c>
      <c r="P3" s="96">
        <f t="dataTable" ref="P3:Q17" dt2D="0" dtr="0" r1="C5"/>
        <v>1675.1848886897233</v>
      </c>
      <c r="Q3" s="96">
        <v>1364.4363722122757</v>
      </c>
      <c r="R3" s="96">
        <f>P3-Q3</f>
        <v>310.74851647744754</v>
      </c>
    </row>
    <row r="4" spans="2:18">
      <c r="B4" s="93" t="s">
        <v>111</v>
      </c>
      <c r="C4" s="49">
        <v>90</v>
      </c>
      <c r="H4" s="20">
        <v>1</v>
      </c>
      <c r="I4" s="20">
        <f>$D$9</f>
        <v>20</v>
      </c>
      <c r="K4" s="20">
        <v>1</v>
      </c>
      <c r="L4" s="20">
        <f>$C$10</f>
        <v>400</v>
      </c>
      <c r="O4" s="95">
        <v>0.02</v>
      </c>
      <c r="P4" s="96">
        <v>1513.8315315160703</v>
      </c>
      <c r="Q4" s="96">
        <v>1247.2932186596336</v>
      </c>
      <c r="R4" s="96">
        <f t="shared" ref="R4:R17" si="0">P4-Q4</f>
        <v>266.53831285643673</v>
      </c>
    </row>
    <row r="5" spans="2:18">
      <c r="B5" s="97" t="s">
        <v>108</v>
      </c>
      <c r="C5" s="98">
        <v>0.08</v>
      </c>
      <c r="H5" s="20">
        <v>2</v>
      </c>
      <c r="I5" s="20">
        <f t="shared" ref="I5:I68" si="1">$D$9</f>
        <v>20</v>
      </c>
      <c r="K5" s="20">
        <v>2</v>
      </c>
      <c r="L5" s="20">
        <f>$C$10</f>
        <v>400</v>
      </c>
      <c r="O5" s="95">
        <v>0.03</v>
      </c>
      <c r="P5" s="96">
        <v>1364.6873689651566</v>
      </c>
      <c r="Q5" s="96">
        <v>1137.9336672234153</v>
      </c>
      <c r="R5" s="96">
        <f t="shared" si="0"/>
        <v>226.75370174174122</v>
      </c>
    </row>
    <row r="6" spans="2:18">
      <c r="C6" s="157" t="s">
        <v>112</v>
      </c>
      <c r="D6" s="158"/>
      <c r="H6" s="20">
        <v>3</v>
      </c>
      <c r="I6" s="20">
        <f t="shared" si="1"/>
        <v>20</v>
      </c>
      <c r="K6" s="20">
        <v>3</v>
      </c>
      <c r="L6" s="20">
        <f>$C$10</f>
        <v>400</v>
      </c>
      <c r="O6" s="95">
        <v>0.04</v>
      </c>
      <c r="P6" s="96">
        <v>1226.6320433501173</v>
      </c>
      <c r="Q6" s="96">
        <v>1035.772444689467</v>
      </c>
      <c r="R6" s="96">
        <f t="shared" si="0"/>
        <v>190.85959866065036</v>
      </c>
    </row>
    <row r="7" spans="2:18">
      <c r="B7" s="49"/>
      <c r="C7" s="35" t="s">
        <v>113</v>
      </c>
      <c r="D7" s="35" t="s">
        <v>114</v>
      </c>
      <c r="H7" s="20">
        <v>4</v>
      </c>
      <c r="I7" s="20">
        <f t="shared" si="1"/>
        <v>20</v>
      </c>
      <c r="K7" s="20">
        <v>4</v>
      </c>
      <c r="L7" s="20">
        <f>C12-C11</f>
        <v>200</v>
      </c>
      <c r="O7" s="95">
        <v>0.05</v>
      </c>
      <c r="P7" s="96">
        <v>1098.6620222444171</v>
      </c>
      <c r="Q7" s="96">
        <v>940.27150019161718</v>
      </c>
      <c r="R7" s="96">
        <f t="shared" si="0"/>
        <v>158.39052205279995</v>
      </c>
    </row>
    <row r="8" spans="2:18">
      <c r="B8" s="35" t="s">
        <v>115</v>
      </c>
      <c r="C8" s="99">
        <v>1500</v>
      </c>
      <c r="D8" s="99">
        <v>1000</v>
      </c>
      <c r="H8" s="20">
        <v>5</v>
      </c>
      <c r="I8" s="20">
        <f t="shared" si="1"/>
        <v>20</v>
      </c>
      <c r="K8" s="20">
        <v>5</v>
      </c>
      <c r="L8" s="20">
        <f>$C$12</f>
        <v>300</v>
      </c>
      <c r="O8" s="95">
        <v>0.06</v>
      </c>
      <c r="P8" s="96">
        <v>979.87716058403748</v>
      </c>
      <c r="Q8" s="96">
        <v>850.93601254610826</v>
      </c>
      <c r="R8" s="96">
        <f t="shared" si="0"/>
        <v>128.94114803792922</v>
      </c>
    </row>
    <row r="9" spans="2:18">
      <c r="B9" s="51" t="s">
        <v>145</v>
      </c>
      <c r="C9" s="100"/>
      <c r="D9" s="99">
        <v>20</v>
      </c>
      <c r="H9" s="20">
        <v>6</v>
      </c>
      <c r="I9" s="20">
        <f t="shared" si="1"/>
        <v>20</v>
      </c>
      <c r="K9" s="20">
        <v>6</v>
      </c>
      <c r="L9" s="20">
        <f>$C$12</f>
        <v>300</v>
      </c>
      <c r="O9" s="95">
        <v>7.0000000000000007E-2</v>
      </c>
      <c r="P9" s="96">
        <v>869.46893933687443</v>
      </c>
      <c r="Q9" s="96">
        <v>767.31074690333253</v>
      </c>
      <c r="R9" s="96">
        <f t="shared" si="0"/>
        <v>102.1581924335419</v>
      </c>
    </row>
    <row r="10" spans="2:18">
      <c r="B10" s="35" t="s">
        <v>116</v>
      </c>
      <c r="C10" s="99">
        <v>400</v>
      </c>
      <c r="D10" s="100"/>
      <c r="H10" s="20">
        <v>7</v>
      </c>
      <c r="I10" s="20">
        <f t="shared" si="1"/>
        <v>20</v>
      </c>
      <c r="K10" s="20">
        <v>7</v>
      </c>
      <c r="L10" s="20">
        <f>$C$12</f>
        <v>300</v>
      </c>
      <c r="O10" s="95">
        <v>0.08</v>
      </c>
      <c r="P10" s="96">
        <v>766.71015634027754</v>
      </c>
      <c r="Q10" s="96">
        <v>688.97672933159356</v>
      </c>
      <c r="R10" s="96">
        <f t="shared" si="0"/>
        <v>77.733427008683975</v>
      </c>
    </row>
    <row r="11" spans="2:18">
      <c r="B11" s="35" t="s">
        <v>117</v>
      </c>
      <c r="C11" s="99">
        <v>100</v>
      </c>
      <c r="D11" s="100"/>
      <c r="H11" s="20">
        <v>8</v>
      </c>
      <c r="I11" s="20">
        <f t="shared" si="1"/>
        <v>20</v>
      </c>
      <c r="K11" s="20">
        <v>8</v>
      </c>
      <c r="L11" s="20">
        <f>$C$12</f>
        <v>300</v>
      </c>
      <c r="O11" s="95">
        <v>0.09</v>
      </c>
      <c r="P11" s="96">
        <v>670.94587687435387</v>
      </c>
      <c r="Q11" s="96">
        <v>615.54821082843978</v>
      </c>
      <c r="R11" s="96">
        <f t="shared" si="0"/>
        <v>55.397666045914093</v>
      </c>
    </row>
    <row r="12" spans="2:18">
      <c r="B12" s="35" t="s">
        <v>118</v>
      </c>
      <c r="C12" s="99">
        <v>300</v>
      </c>
      <c r="D12" s="100"/>
      <c r="H12" s="20">
        <v>9</v>
      </c>
      <c r="I12" s="20">
        <f t="shared" si="1"/>
        <v>20</v>
      </c>
      <c r="K12" s="20">
        <v>9</v>
      </c>
      <c r="L12" s="20">
        <f>$C$12</f>
        <v>300</v>
      </c>
      <c r="O12" s="95">
        <v>0.1</v>
      </c>
      <c r="P12" s="96">
        <v>581.58547868774895</v>
      </c>
      <c r="Q12" s="96">
        <v>546.66989486584316</v>
      </c>
      <c r="R12" s="96">
        <f t="shared" si="0"/>
        <v>34.915583821905784</v>
      </c>
    </row>
    <row r="13" spans="2:18">
      <c r="B13" s="97" t="s">
        <v>119</v>
      </c>
      <c r="C13" s="101">
        <f>NPV(C5,L4:L13)+L3</f>
        <v>766.71015634027754</v>
      </c>
      <c r="D13" s="102">
        <f>-PV(C5/12,C2*12,D9,C4)-D8</f>
        <v>688.97672933159356</v>
      </c>
      <c r="E13" s="94">
        <f>C13-D13</f>
        <v>77.733427008683975</v>
      </c>
      <c r="H13" s="20">
        <v>10</v>
      </c>
      <c r="I13" s="20">
        <f t="shared" si="1"/>
        <v>20</v>
      </c>
      <c r="K13" s="20">
        <v>10</v>
      </c>
      <c r="L13" s="20">
        <f>$C$12+C3</f>
        <v>450</v>
      </c>
      <c r="O13" s="95">
        <v>0.11</v>
      </c>
      <c r="P13" s="96">
        <v>498.09564928862233</v>
      </c>
      <c r="Q13" s="96">
        <v>482.01440494723988</v>
      </c>
      <c r="R13" s="96">
        <f t="shared" si="0"/>
        <v>16.081244341382444</v>
      </c>
    </row>
    <row r="14" spans="2:18">
      <c r="B14" s="97" t="s">
        <v>120</v>
      </c>
      <c r="C14" s="103">
        <f>IRR(L3:L13)</f>
        <v>0.18840882694506811</v>
      </c>
      <c r="D14" s="104">
        <f>RATE(C2*12,D9,-D8,C4)*12</f>
        <v>0.21336079000846442</v>
      </c>
      <c r="H14" s="20">
        <v>11</v>
      </c>
      <c r="I14" s="20">
        <f t="shared" si="1"/>
        <v>20</v>
      </c>
      <c r="O14" s="95">
        <v>0.12</v>
      </c>
      <c r="P14" s="96">
        <v>419.99421299353776</v>
      </c>
      <c r="Q14" s="96">
        <v>421.2799707996885</v>
      </c>
      <c r="R14" s="96">
        <f t="shared" si="0"/>
        <v>-1.2857578061507411</v>
      </c>
    </row>
    <row r="15" spans="2:18">
      <c r="B15" s="97" t="s">
        <v>121</v>
      </c>
      <c r="C15" s="105" t="str">
        <f>IF(MAX(C13:D13)&gt;0,D15&amp;"好","两个方案都不行")</f>
        <v>项目A好</v>
      </c>
      <c r="D15" s="20" t="str">
        <f>INDEX(C7:D7,MATCH(MAX(C13:D13),C13:D13,0))</f>
        <v>项目A</v>
      </c>
      <c r="H15" s="20">
        <v>12</v>
      </c>
      <c r="I15" s="20">
        <f t="shared" si="1"/>
        <v>20</v>
      </c>
      <c r="O15" s="95">
        <v>0.13</v>
      </c>
      <c r="P15" s="96">
        <v>346.84468202323478</v>
      </c>
      <c r="Q15" s="96">
        <v>364.18831377447714</v>
      </c>
      <c r="R15" s="96">
        <f t="shared" si="0"/>
        <v>-17.343631751242356</v>
      </c>
    </row>
    <row r="16" spans="2:18">
      <c r="B16" s="97" t="s">
        <v>109</v>
      </c>
      <c r="C16" s="106">
        <f>O20</f>
        <v>0.11925965472035518</v>
      </c>
      <c r="D16" s="107"/>
      <c r="H16" s="20">
        <v>13</v>
      </c>
      <c r="I16" s="20">
        <f t="shared" si="1"/>
        <v>20</v>
      </c>
      <c r="O16" s="95">
        <v>0.14000000000000001</v>
      </c>
      <c r="P16" s="96">
        <v>278.25144029173498</v>
      </c>
      <c r="Q16" s="96">
        <v>310.48271379493485</v>
      </c>
      <c r="R16" s="96">
        <f t="shared" si="0"/>
        <v>-32.231273503199873</v>
      </c>
    </row>
    <row r="17" spans="2:19">
      <c r="B17" s="97" t="s">
        <v>122</v>
      </c>
      <c r="C17" s="108">
        <f>P20</f>
        <v>425.7764159629923</v>
      </c>
      <c r="D17" s="109"/>
      <c r="H17" s="20">
        <v>14</v>
      </c>
      <c r="I17" s="20">
        <f t="shared" si="1"/>
        <v>20</v>
      </c>
      <c r="O17" s="95">
        <v>0.15</v>
      </c>
      <c r="P17" s="96">
        <v>213.85548082725381</v>
      </c>
      <c r="Q17" s="96">
        <v>259.92624179430754</v>
      </c>
      <c r="R17" s="96">
        <f t="shared" si="0"/>
        <v>-46.070760967053729</v>
      </c>
    </row>
    <row r="18" spans="2:19">
      <c r="H18" s="20">
        <v>15</v>
      </c>
      <c r="I18" s="20">
        <f t="shared" si="1"/>
        <v>20</v>
      </c>
      <c r="R18" s="110"/>
    </row>
    <row r="19" spans="2:19">
      <c r="B19" s="23" t="s">
        <v>123</v>
      </c>
      <c r="H19" s="20">
        <v>16</v>
      </c>
      <c r="I19" s="20">
        <f t="shared" si="1"/>
        <v>20</v>
      </c>
      <c r="O19" s="111">
        <f>INDEX(O3:O17,$S$19)</f>
        <v>0.11</v>
      </c>
      <c r="P19" s="96">
        <f>INDEX(P3:P17,$S$19)</f>
        <v>498.09564928862233</v>
      </c>
      <c r="Q19" s="96">
        <f>INDEX(Q3:Q17,$S$19)</f>
        <v>482.01440494723988</v>
      </c>
      <c r="R19" s="110">
        <f>INDEX(R3:R17,$S$19)</f>
        <v>16.081244341382444</v>
      </c>
      <c r="S19" s="20">
        <f>MATCH(R20,R3:R17,-1)</f>
        <v>11</v>
      </c>
    </row>
    <row r="20" spans="2:19">
      <c r="B20" s="23" t="s">
        <v>124</v>
      </c>
      <c r="C20" s="96">
        <f>NPV(C5/12,I4:I123)+I3</f>
        <v>688.97672933160993</v>
      </c>
      <c r="H20" s="20">
        <v>17</v>
      </c>
      <c r="I20" s="20">
        <f t="shared" si="1"/>
        <v>20</v>
      </c>
      <c r="O20" s="112">
        <f>O19+($R$20-$R$19)/($R$21-$R$19)*(O21-O19)</f>
        <v>0.11925965472035518</v>
      </c>
      <c r="P20" s="113">
        <f>P19+($R$20-$R$19)/($R$21-$R$19)*(P21-P19)</f>
        <v>425.7764159629923</v>
      </c>
      <c r="Q20" s="113">
        <f>Q19+($R$20-$R$19)/($R$21-$R$19)*(Q21-Q19)</f>
        <v>425.7764159629923</v>
      </c>
      <c r="R20" s="110">
        <v>0</v>
      </c>
    </row>
    <row r="21" spans="2:19">
      <c r="B21" s="23" t="s">
        <v>125</v>
      </c>
      <c r="C21" s="111">
        <f>IRR(I3:I123,0.001)*12</f>
        <v>0.21336078999780206</v>
      </c>
      <c r="H21" s="20">
        <v>18</v>
      </c>
      <c r="I21" s="20">
        <f t="shared" si="1"/>
        <v>20</v>
      </c>
      <c r="O21" s="114">
        <f>INDEX(O3:O17,$S$21)</f>
        <v>0.12</v>
      </c>
      <c r="P21" s="96">
        <f>INDEX(P3:P17,$S$21)</f>
        <v>419.99421299353776</v>
      </c>
      <c r="Q21" s="96">
        <f>INDEX(Q3:Q17,$S$21)</f>
        <v>421.2799707996885</v>
      </c>
      <c r="R21" s="110">
        <f>INDEX(R3:R17,$S$21)</f>
        <v>-1.2857578061507411</v>
      </c>
      <c r="S21" s="20">
        <f>S19+1</f>
        <v>12</v>
      </c>
    </row>
    <row r="22" spans="2:19">
      <c r="H22" s="20">
        <v>19</v>
      </c>
      <c r="I22" s="20">
        <f t="shared" si="1"/>
        <v>20</v>
      </c>
    </row>
    <row r="23" spans="2:19">
      <c r="H23" s="20">
        <v>20</v>
      </c>
      <c r="I23" s="20">
        <f t="shared" si="1"/>
        <v>20</v>
      </c>
    </row>
    <row r="24" spans="2:19">
      <c r="H24" s="20">
        <v>21</v>
      </c>
      <c r="I24" s="20">
        <f t="shared" si="1"/>
        <v>20</v>
      </c>
    </row>
    <row r="25" spans="2:19">
      <c r="H25" s="20">
        <v>22</v>
      </c>
      <c r="I25" s="20">
        <f t="shared" si="1"/>
        <v>20</v>
      </c>
    </row>
    <row r="26" spans="2:19">
      <c r="H26" s="20">
        <v>23</v>
      </c>
      <c r="I26" s="20">
        <f t="shared" si="1"/>
        <v>20</v>
      </c>
    </row>
    <row r="27" spans="2:19">
      <c r="H27" s="20">
        <v>24</v>
      </c>
      <c r="I27" s="20">
        <f t="shared" si="1"/>
        <v>20</v>
      </c>
    </row>
    <row r="28" spans="2:19">
      <c r="H28" s="20">
        <v>25</v>
      </c>
      <c r="I28" s="20">
        <f t="shared" si="1"/>
        <v>20</v>
      </c>
    </row>
    <row r="29" spans="2:19">
      <c r="H29" s="20">
        <v>26</v>
      </c>
      <c r="I29" s="20">
        <f t="shared" si="1"/>
        <v>20</v>
      </c>
    </row>
    <row r="30" spans="2:19">
      <c r="H30" s="20">
        <v>27</v>
      </c>
      <c r="I30" s="20">
        <f t="shared" si="1"/>
        <v>20</v>
      </c>
    </row>
    <row r="31" spans="2:19">
      <c r="H31" s="20">
        <v>28</v>
      </c>
      <c r="I31" s="20">
        <f t="shared" si="1"/>
        <v>20</v>
      </c>
    </row>
    <row r="32" spans="2:19">
      <c r="H32" s="20">
        <v>29</v>
      </c>
      <c r="I32" s="20">
        <f t="shared" si="1"/>
        <v>20</v>
      </c>
    </row>
    <row r="33" spans="8:9">
      <c r="H33" s="20">
        <v>30</v>
      </c>
      <c r="I33" s="20">
        <f t="shared" si="1"/>
        <v>20</v>
      </c>
    </row>
    <row r="34" spans="8:9">
      <c r="H34" s="20">
        <v>31</v>
      </c>
      <c r="I34" s="20">
        <f t="shared" si="1"/>
        <v>20</v>
      </c>
    </row>
    <row r="35" spans="8:9">
      <c r="H35" s="20">
        <v>32</v>
      </c>
      <c r="I35" s="20">
        <f t="shared" si="1"/>
        <v>20</v>
      </c>
    </row>
    <row r="36" spans="8:9">
      <c r="H36" s="20">
        <v>33</v>
      </c>
      <c r="I36" s="20">
        <f t="shared" si="1"/>
        <v>20</v>
      </c>
    </row>
    <row r="37" spans="8:9">
      <c r="H37" s="20">
        <v>34</v>
      </c>
      <c r="I37" s="20">
        <f t="shared" si="1"/>
        <v>20</v>
      </c>
    </row>
    <row r="38" spans="8:9">
      <c r="H38" s="20">
        <v>35</v>
      </c>
      <c r="I38" s="20">
        <f t="shared" si="1"/>
        <v>20</v>
      </c>
    </row>
    <row r="39" spans="8:9">
      <c r="H39" s="20">
        <v>36</v>
      </c>
      <c r="I39" s="20">
        <f t="shared" si="1"/>
        <v>20</v>
      </c>
    </row>
    <row r="40" spans="8:9">
      <c r="H40" s="20">
        <v>37</v>
      </c>
      <c r="I40" s="20">
        <f t="shared" si="1"/>
        <v>20</v>
      </c>
    </row>
    <row r="41" spans="8:9">
      <c r="H41" s="20">
        <v>38</v>
      </c>
      <c r="I41" s="20">
        <f t="shared" si="1"/>
        <v>20</v>
      </c>
    </row>
    <row r="42" spans="8:9">
      <c r="H42" s="20">
        <v>39</v>
      </c>
      <c r="I42" s="20">
        <f t="shared" si="1"/>
        <v>20</v>
      </c>
    </row>
    <row r="43" spans="8:9">
      <c r="H43" s="20">
        <v>40</v>
      </c>
      <c r="I43" s="20">
        <f t="shared" si="1"/>
        <v>20</v>
      </c>
    </row>
    <row r="44" spans="8:9">
      <c r="H44" s="20">
        <v>41</v>
      </c>
      <c r="I44" s="20">
        <f t="shared" si="1"/>
        <v>20</v>
      </c>
    </row>
    <row r="45" spans="8:9">
      <c r="H45" s="20">
        <v>42</v>
      </c>
      <c r="I45" s="20">
        <f t="shared" si="1"/>
        <v>20</v>
      </c>
    </row>
    <row r="46" spans="8:9">
      <c r="H46" s="20">
        <v>43</v>
      </c>
      <c r="I46" s="20">
        <f t="shared" si="1"/>
        <v>20</v>
      </c>
    </row>
    <row r="47" spans="8:9">
      <c r="H47" s="20">
        <v>44</v>
      </c>
      <c r="I47" s="20">
        <f t="shared" si="1"/>
        <v>20</v>
      </c>
    </row>
    <row r="48" spans="8:9">
      <c r="H48" s="20">
        <v>45</v>
      </c>
      <c r="I48" s="20">
        <f t="shared" si="1"/>
        <v>20</v>
      </c>
    </row>
    <row r="49" spans="8:9">
      <c r="H49" s="20">
        <v>46</v>
      </c>
      <c r="I49" s="20">
        <f t="shared" si="1"/>
        <v>20</v>
      </c>
    </row>
    <row r="50" spans="8:9">
      <c r="H50" s="20">
        <v>47</v>
      </c>
      <c r="I50" s="20">
        <f t="shared" si="1"/>
        <v>20</v>
      </c>
    </row>
    <row r="51" spans="8:9">
      <c r="H51" s="20">
        <v>48</v>
      </c>
      <c r="I51" s="20">
        <f t="shared" si="1"/>
        <v>20</v>
      </c>
    </row>
    <row r="52" spans="8:9">
      <c r="H52" s="20">
        <v>49</v>
      </c>
      <c r="I52" s="20">
        <f t="shared" si="1"/>
        <v>20</v>
      </c>
    </row>
    <row r="53" spans="8:9">
      <c r="H53" s="20">
        <v>50</v>
      </c>
      <c r="I53" s="20">
        <f t="shared" si="1"/>
        <v>20</v>
      </c>
    </row>
    <row r="54" spans="8:9">
      <c r="H54" s="20">
        <v>51</v>
      </c>
      <c r="I54" s="20">
        <f t="shared" si="1"/>
        <v>20</v>
      </c>
    </row>
    <row r="55" spans="8:9">
      <c r="H55" s="20">
        <v>52</v>
      </c>
      <c r="I55" s="20">
        <f t="shared" si="1"/>
        <v>20</v>
      </c>
    </row>
    <row r="56" spans="8:9">
      <c r="H56" s="20">
        <v>53</v>
      </c>
      <c r="I56" s="20">
        <f t="shared" si="1"/>
        <v>20</v>
      </c>
    </row>
    <row r="57" spans="8:9">
      <c r="H57" s="20">
        <v>54</v>
      </c>
      <c r="I57" s="20">
        <f t="shared" si="1"/>
        <v>20</v>
      </c>
    </row>
    <row r="58" spans="8:9">
      <c r="H58" s="20">
        <v>55</v>
      </c>
      <c r="I58" s="20">
        <f t="shared" si="1"/>
        <v>20</v>
      </c>
    </row>
    <row r="59" spans="8:9">
      <c r="H59" s="20">
        <v>56</v>
      </c>
      <c r="I59" s="20">
        <f t="shared" si="1"/>
        <v>20</v>
      </c>
    </row>
    <row r="60" spans="8:9">
      <c r="H60" s="20">
        <v>57</v>
      </c>
      <c r="I60" s="20">
        <f t="shared" si="1"/>
        <v>20</v>
      </c>
    </row>
    <row r="61" spans="8:9">
      <c r="H61" s="20">
        <v>58</v>
      </c>
      <c r="I61" s="20">
        <f t="shared" si="1"/>
        <v>20</v>
      </c>
    </row>
    <row r="62" spans="8:9">
      <c r="H62" s="20">
        <v>59</v>
      </c>
      <c r="I62" s="20">
        <f t="shared" si="1"/>
        <v>20</v>
      </c>
    </row>
    <row r="63" spans="8:9">
      <c r="H63" s="20">
        <v>60</v>
      </c>
      <c r="I63" s="20">
        <f t="shared" si="1"/>
        <v>20</v>
      </c>
    </row>
    <row r="64" spans="8:9">
      <c r="H64" s="20">
        <v>61</v>
      </c>
      <c r="I64" s="20">
        <f t="shared" si="1"/>
        <v>20</v>
      </c>
    </row>
    <row r="65" spans="8:9">
      <c r="H65" s="20">
        <v>62</v>
      </c>
      <c r="I65" s="20">
        <f t="shared" si="1"/>
        <v>20</v>
      </c>
    </row>
    <row r="66" spans="8:9">
      <c r="H66" s="20">
        <v>63</v>
      </c>
      <c r="I66" s="20">
        <f t="shared" si="1"/>
        <v>20</v>
      </c>
    </row>
    <row r="67" spans="8:9">
      <c r="H67" s="20">
        <v>64</v>
      </c>
      <c r="I67" s="20">
        <f t="shared" si="1"/>
        <v>20</v>
      </c>
    </row>
    <row r="68" spans="8:9">
      <c r="H68" s="20">
        <v>65</v>
      </c>
      <c r="I68" s="20">
        <f t="shared" si="1"/>
        <v>20</v>
      </c>
    </row>
    <row r="69" spans="8:9">
      <c r="H69" s="20">
        <v>66</v>
      </c>
      <c r="I69" s="20">
        <f t="shared" ref="I69:I122" si="2">$D$9</f>
        <v>20</v>
      </c>
    </row>
    <row r="70" spans="8:9">
      <c r="H70" s="20">
        <v>67</v>
      </c>
      <c r="I70" s="20">
        <f t="shared" si="2"/>
        <v>20</v>
      </c>
    </row>
    <row r="71" spans="8:9">
      <c r="H71" s="20">
        <v>68</v>
      </c>
      <c r="I71" s="20">
        <f t="shared" si="2"/>
        <v>20</v>
      </c>
    </row>
    <row r="72" spans="8:9">
      <c r="H72" s="20">
        <v>69</v>
      </c>
      <c r="I72" s="20">
        <f t="shared" si="2"/>
        <v>20</v>
      </c>
    </row>
    <row r="73" spans="8:9">
      <c r="H73" s="20">
        <v>70</v>
      </c>
      <c r="I73" s="20">
        <f t="shared" si="2"/>
        <v>20</v>
      </c>
    </row>
    <row r="74" spans="8:9">
      <c r="H74" s="20">
        <v>71</v>
      </c>
      <c r="I74" s="20">
        <f t="shared" si="2"/>
        <v>20</v>
      </c>
    </row>
    <row r="75" spans="8:9">
      <c r="H75" s="20">
        <v>72</v>
      </c>
      <c r="I75" s="20">
        <f t="shared" si="2"/>
        <v>20</v>
      </c>
    </row>
    <row r="76" spans="8:9">
      <c r="H76" s="20">
        <v>73</v>
      </c>
      <c r="I76" s="20">
        <f t="shared" si="2"/>
        <v>20</v>
      </c>
    </row>
    <row r="77" spans="8:9">
      <c r="H77" s="20">
        <v>74</v>
      </c>
      <c r="I77" s="20">
        <f t="shared" si="2"/>
        <v>20</v>
      </c>
    </row>
    <row r="78" spans="8:9">
      <c r="H78" s="20">
        <v>75</v>
      </c>
      <c r="I78" s="20">
        <f t="shared" si="2"/>
        <v>20</v>
      </c>
    </row>
    <row r="79" spans="8:9">
      <c r="H79" s="20">
        <v>76</v>
      </c>
      <c r="I79" s="20">
        <f t="shared" si="2"/>
        <v>20</v>
      </c>
    </row>
    <row r="80" spans="8:9">
      <c r="H80" s="20">
        <v>77</v>
      </c>
      <c r="I80" s="20">
        <f t="shared" si="2"/>
        <v>20</v>
      </c>
    </row>
    <row r="81" spans="8:9">
      <c r="H81" s="20">
        <v>78</v>
      </c>
      <c r="I81" s="20">
        <f t="shared" si="2"/>
        <v>20</v>
      </c>
    </row>
    <row r="82" spans="8:9">
      <c r="H82" s="20">
        <v>79</v>
      </c>
      <c r="I82" s="20">
        <f t="shared" si="2"/>
        <v>20</v>
      </c>
    </row>
    <row r="83" spans="8:9">
      <c r="H83" s="20">
        <v>80</v>
      </c>
      <c r="I83" s="20">
        <f t="shared" si="2"/>
        <v>20</v>
      </c>
    </row>
    <row r="84" spans="8:9">
      <c r="H84" s="20">
        <v>81</v>
      </c>
      <c r="I84" s="20">
        <f t="shared" si="2"/>
        <v>20</v>
      </c>
    </row>
    <row r="85" spans="8:9">
      <c r="H85" s="20">
        <v>82</v>
      </c>
      <c r="I85" s="20">
        <f t="shared" si="2"/>
        <v>20</v>
      </c>
    </row>
    <row r="86" spans="8:9">
      <c r="H86" s="20">
        <v>83</v>
      </c>
      <c r="I86" s="20">
        <f t="shared" si="2"/>
        <v>20</v>
      </c>
    </row>
    <row r="87" spans="8:9">
      <c r="H87" s="20">
        <v>84</v>
      </c>
      <c r="I87" s="20">
        <f t="shared" si="2"/>
        <v>20</v>
      </c>
    </row>
    <row r="88" spans="8:9">
      <c r="H88" s="20">
        <v>85</v>
      </c>
      <c r="I88" s="20">
        <f t="shared" si="2"/>
        <v>20</v>
      </c>
    </row>
    <row r="89" spans="8:9">
      <c r="H89" s="20">
        <v>86</v>
      </c>
      <c r="I89" s="20">
        <f t="shared" si="2"/>
        <v>20</v>
      </c>
    </row>
    <row r="90" spans="8:9">
      <c r="H90" s="20">
        <v>87</v>
      </c>
      <c r="I90" s="20">
        <f t="shared" si="2"/>
        <v>20</v>
      </c>
    </row>
    <row r="91" spans="8:9">
      <c r="H91" s="20">
        <v>88</v>
      </c>
      <c r="I91" s="20">
        <f t="shared" si="2"/>
        <v>20</v>
      </c>
    </row>
    <row r="92" spans="8:9">
      <c r="H92" s="20">
        <v>89</v>
      </c>
      <c r="I92" s="20">
        <f t="shared" si="2"/>
        <v>20</v>
      </c>
    </row>
    <row r="93" spans="8:9">
      <c r="H93" s="20">
        <v>90</v>
      </c>
      <c r="I93" s="20">
        <f t="shared" si="2"/>
        <v>20</v>
      </c>
    </row>
    <row r="94" spans="8:9">
      <c r="H94" s="20">
        <v>91</v>
      </c>
      <c r="I94" s="20">
        <f t="shared" si="2"/>
        <v>20</v>
      </c>
    </row>
    <row r="95" spans="8:9">
      <c r="H95" s="20">
        <v>92</v>
      </c>
      <c r="I95" s="20">
        <f t="shared" si="2"/>
        <v>20</v>
      </c>
    </row>
    <row r="96" spans="8:9">
      <c r="H96" s="20">
        <v>93</v>
      </c>
      <c r="I96" s="20">
        <f t="shared" si="2"/>
        <v>20</v>
      </c>
    </row>
    <row r="97" spans="8:9">
      <c r="H97" s="20">
        <v>94</v>
      </c>
      <c r="I97" s="20">
        <f t="shared" si="2"/>
        <v>20</v>
      </c>
    </row>
    <row r="98" spans="8:9">
      <c r="H98" s="20">
        <v>95</v>
      </c>
      <c r="I98" s="20">
        <f t="shared" si="2"/>
        <v>20</v>
      </c>
    </row>
    <row r="99" spans="8:9">
      <c r="H99" s="20">
        <v>96</v>
      </c>
      <c r="I99" s="20">
        <f t="shared" si="2"/>
        <v>20</v>
      </c>
    </row>
    <row r="100" spans="8:9">
      <c r="H100" s="20">
        <v>97</v>
      </c>
      <c r="I100" s="20">
        <f t="shared" si="2"/>
        <v>20</v>
      </c>
    </row>
    <row r="101" spans="8:9">
      <c r="H101" s="20">
        <v>98</v>
      </c>
      <c r="I101" s="20">
        <f t="shared" si="2"/>
        <v>20</v>
      </c>
    </row>
    <row r="102" spans="8:9">
      <c r="H102" s="20">
        <v>99</v>
      </c>
      <c r="I102" s="20">
        <f t="shared" si="2"/>
        <v>20</v>
      </c>
    </row>
    <row r="103" spans="8:9">
      <c r="H103" s="20">
        <v>100</v>
      </c>
      <c r="I103" s="20">
        <f t="shared" si="2"/>
        <v>20</v>
      </c>
    </row>
    <row r="104" spans="8:9">
      <c r="H104" s="20">
        <v>101</v>
      </c>
      <c r="I104" s="20">
        <f t="shared" si="2"/>
        <v>20</v>
      </c>
    </row>
    <row r="105" spans="8:9">
      <c r="H105" s="20">
        <v>102</v>
      </c>
      <c r="I105" s="20">
        <f t="shared" si="2"/>
        <v>20</v>
      </c>
    </row>
    <row r="106" spans="8:9">
      <c r="H106" s="20">
        <v>103</v>
      </c>
      <c r="I106" s="20">
        <f t="shared" si="2"/>
        <v>20</v>
      </c>
    </row>
    <row r="107" spans="8:9">
      <c r="H107" s="20">
        <v>104</v>
      </c>
      <c r="I107" s="20">
        <f t="shared" si="2"/>
        <v>20</v>
      </c>
    </row>
    <row r="108" spans="8:9">
      <c r="H108" s="20">
        <v>105</v>
      </c>
      <c r="I108" s="20">
        <f t="shared" si="2"/>
        <v>20</v>
      </c>
    </row>
    <row r="109" spans="8:9">
      <c r="H109" s="20">
        <v>106</v>
      </c>
      <c r="I109" s="20">
        <f t="shared" si="2"/>
        <v>20</v>
      </c>
    </row>
    <row r="110" spans="8:9">
      <c r="H110" s="20">
        <v>107</v>
      </c>
      <c r="I110" s="20">
        <f t="shared" si="2"/>
        <v>20</v>
      </c>
    </row>
    <row r="111" spans="8:9">
      <c r="H111" s="20">
        <v>108</v>
      </c>
      <c r="I111" s="20">
        <f t="shared" si="2"/>
        <v>20</v>
      </c>
    </row>
    <row r="112" spans="8:9">
      <c r="H112" s="20">
        <v>109</v>
      </c>
      <c r="I112" s="20">
        <f t="shared" si="2"/>
        <v>20</v>
      </c>
    </row>
    <row r="113" spans="8:9">
      <c r="H113" s="20">
        <v>110</v>
      </c>
      <c r="I113" s="20">
        <f t="shared" si="2"/>
        <v>20</v>
      </c>
    </row>
    <row r="114" spans="8:9">
      <c r="H114" s="20">
        <v>111</v>
      </c>
      <c r="I114" s="20">
        <f t="shared" si="2"/>
        <v>20</v>
      </c>
    </row>
    <row r="115" spans="8:9">
      <c r="H115" s="20">
        <v>112</v>
      </c>
      <c r="I115" s="20">
        <f t="shared" si="2"/>
        <v>20</v>
      </c>
    </row>
    <row r="116" spans="8:9">
      <c r="H116" s="20">
        <v>113</v>
      </c>
      <c r="I116" s="20">
        <f t="shared" si="2"/>
        <v>20</v>
      </c>
    </row>
    <row r="117" spans="8:9">
      <c r="H117" s="20">
        <v>114</v>
      </c>
      <c r="I117" s="20">
        <f t="shared" si="2"/>
        <v>20</v>
      </c>
    </row>
    <row r="118" spans="8:9">
      <c r="H118" s="20">
        <v>115</v>
      </c>
      <c r="I118" s="20">
        <f t="shared" si="2"/>
        <v>20</v>
      </c>
    </row>
    <row r="119" spans="8:9">
      <c r="H119" s="20">
        <v>116</v>
      </c>
      <c r="I119" s="20">
        <f t="shared" si="2"/>
        <v>20</v>
      </c>
    </row>
    <row r="120" spans="8:9">
      <c r="H120" s="20">
        <v>117</v>
      </c>
      <c r="I120" s="20">
        <f t="shared" si="2"/>
        <v>20</v>
      </c>
    </row>
    <row r="121" spans="8:9">
      <c r="H121" s="20">
        <v>118</v>
      </c>
      <c r="I121" s="20">
        <f t="shared" si="2"/>
        <v>20</v>
      </c>
    </row>
    <row r="122" spans="8:9">
      <c r="H122" s="20">
        <v>119</v>
      </c>
      <c r="I122" s="20">
        <f t="shared" si="2"/>
        <v>20</v>
      </c>
    </row>
    <row r="123" spans="8:9">
      <c r="H123" s="20">
        <v>120</v>
      </c>
      <c r="I123" s="20">
        <f>$D$9+C4</f>
        <v>110</v>
      </c>
    </row>
  </sheetData>
  <mergeCells count="1">
    <mergeCell ref="C6:D6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2"/>
  <sheetViews>
    <sheetView showGridLines="0" workbookViewId="0">
      <selection activeCell="D14" sqref="D14"/>
    </sheetView>
  </sheetViews>
  <sheetFormatPr defaultRowHeight="15"/>
  <cols>
    <col min="1" max="2" width="1.875" style="124" customWidth="1"/>
    <col min="3" max="3" width="29.375" style="124" customWidth="1"/>
    <col min="4" max="4" width="7.125" style="124" customWidth="1"/>
    <col min="5" max="7" width="1.875" style="124" customWidth="1"/>
    <col min="8" max="8" width="9.375" style="124" customWidth="1"/>
    <col min="9" max="9" width="5.25" style="124" bestFit="1" customWidth="1"/>
    <col min="10" max="10" width="9" style="124"/>
    <col min="11" max="13" width="1.875" style="124" customWidth="1"/>
    <col min="14" max="14" width="3.5" style="124" bestFit="1" customWidth="1"/>
    <col min="15" max="17" width="9" style="124"/>
    <col min="18" max="18" width="2.625" style="124" customWidth="1"/>
    <col min="19" max="19" width="2.625" style="142" customWidth="1"/>
    <col min="20" max="20" width="3.875" style="141" customWidth="1"/>
    <col min="21" max="21" width="14.75" style="124" customWidth="1"/>
    <col min="22" max="22" width="11" style="124" bestFit="1" customWidth="1"/>
    <col min="23" max="23" width="2.375" style="124" customWidth="1"/>
    <col min="24" max="25" width="8.875" style="141" customWidth="1"/>
    <col min="26" max="16384" width="9" style="124"/>
  </cols>
  <sheetData>
    <row r="2" spans="2:25">
      <c r="B2" s="116"/>
      <c r="C2" s="116"/>
      <c r="D2" s="117"/>
      <c r="E2" s="116"/>
      <c r="F2" s="118"/>
      <c r="G2" s="116"/>
      <c r="H2" s="119" t="s">
        <v>126</v>
      </c>
      <c r="I2" s="120"/>
      <c r="J2" s="120"/>
      <c r="K2" s="116"/>
      <c r="L2" s="118"/>
      <c r="M2" s="116"/>
      <c r="N2" s="116"/>
      <c r="O2" s="116"/>
      <c r="P2" s="116"/>
      <c r="Q2" s="116"/>
      <c r="R2" s="116"/>
      <c r="S2" s="121"/>
      <c r="T2" s="122"/>
      <c r="U2" s="123" t="s">
        <v>130</v>
      </c>
      <c r="V2" s="123" t="s">
        <v>131</v>
      </c>
      <c r="X2" s="125"/>
      <c r="Y2" s="125">
        <f ca="1">D9</f>
        <v>90</v>
      </c>
    </row>
    <row r="3" spans="2:25">
      <c r="B3" s="116"/>
      <c r="C3" s="126" t="s">
        <v>132</v>
      </c>
      <c r="D3" s="127">
        <v>5</v>
      </c>
      <c r="E3" s="116"/>
      <c r="F3" s="118"/>
      <c r="G3" s="116"/>
      <c r="H3" s="123" t="s">
        <v>127</v>
      </c>
      <c r="I3" s="123" t="s">
        <v>133</v>
      </c>
      <c r="J3" s="123" t="s">
        <v>134</v>
      </c>
      <c r="K3" s="116"/>
      <c r="L3" s="118"/>
      <c r="M3" s="116"/>
      <c r="N3" s="116"/>
      <c r="O3" s="123" t="s">
        <v>127</v>
      </c>
      <c r="P3" s="123" t="s">
        <v>135</v>
      </c>
      <c r="Q3" s="123" t="s">
        <v>131</v>
      </c>
      <c r="R3" s="116"/>
      <c r="S3" s="121"/>
      <c r="T3" s="128" t="s">
        <v>136</v>
      </c>
      <c r="U3" s="115">
        <f ca="1">SUM(U4:U23)</f>
        <v>14</v>
      </c>
      <c r="V3" s="115">
        <f ca="1">SUM(V4:V23)</f>
        <v>90</v>
      </c>
      <c r="X3" s="125">
        <v>1</v>
      </c>
      <c r="Y3" s="125">
        <f t="dataTable" ref="Y3:Y32" dt2D="0" dtr="0" r1="V27" ca="1"/>
        <v>96</v>
      </c>
    </row>
    <row r="4" spans="2:25">
      <c r="B4" s="116"/>
      <c r="C4" s="129" t="s">
        <v>143</v>
      </c>
      <c r="D4" s="130">
        <v>20</v>
      </c>
      <c r="E4" s="116"/>
      <c r="F4" s="118"/>
      <c r="G4" s="116"/>
      <c r="H4" s="123" t="s">
        <v>137</v>
      </c>
      <c r="I4" s="131"/>
      <c r="J4" s="132">
        <v>0</v>
      </c>
      <c r="K4" s="116"/>
      <c r="L4" s="118"/>
      <c r="M4" s="116"/>
      <c r="N4" s="133">
        <v>1</v>
      </c>
      <c r="O4" s="133">
        <f t="shared" ref="O4:O23" ca="1" si="0">INDEX($H$5:$H$14,MATCH(RAND(),$J$4:$J$14,1))</f>
        <v>1300</v>
      </c>
      <c r="P4" s="133">
        <f ca="1">O4</f>
        <v>1300</v>
      </c>
      <c r="Q4" s="133">
        <f t="shared" ref="Q4:Q23" ca="1" si="1">RANDBETWEEN($D$5,$D$6)</f>
        <v>6</v>
      </c>
      <c r="R4" s="116"/>
      <c r="S4" s="121"/>
      <c r="T4" s="125">
        <v>1</v>
      </c>
      <c r="U4" s="134">
        <f t="shared" ref="U4:U23" ca="1" si="2">IF(P4&gt;=20000,0,1)</f>
        <v>1</v>
      </c>
      <c r="V4" s="134">
        <f t="shared" ref="V4:V23" ca="1" si="3">IF(U4=1,Q4,0)</f>
        <v>6</v>
      </c>
      <c r="X4" s="125">
        <v>2</v>
      </c>
      <c r="Y4" s="125">
        <v>94</v>
      </c>
    </row>
    <row r="5" spans="2:25">
      <c r="B5" s="116"/>
      <c r="C5" s="129" t="s">
        <v>138</v>
      </c>
      <c r="D5" s="130">
        <v>5</v>
      </c>
      <c r="E5" s="116"/>
      <c r="F5" s="118"/>
      <c r="G5" s="116"/>
      <c r="H5" s="135">
        <v>1000</v>
      </c>
      <c r="I5" s="136">
        <v>0.05</v>
      </c>
      <c r="J5" s="132">
        <f t="shared" ref="J5:J14" si="4">J4+I5</f>
        <v>0.05</v>
      </c>
      <c r="K5" s="116"/>
      <c r="L5" s="118"/>
      <c r="M5" s="116"/>
      <c r="N5" s="133">
        <v>2</v>
      </c>
      <c r="O5" s="133">
        <f t="shared" ca="1" si="0"/>
        <v>1200</v>
      </c>
      <c r="P5" s="133">
        <f t="shared" ref="P5:P23" ca="1" si="5">P4+O5</f>
        <v>2500</v>
      </c>
      <c r="Q5" s="133">
        <f t="shared" ca="1" si="1"/>
        <v>7</v>
      </c>
      <c r="R5" s="116"/>
      <c r="S5" s="121"/>
      <c r="T5" s="125">
        <v>2</v>
      </c>
      <c r="U5" s="134">
        <f t="shared" ca="1" si="2"/>
        <v>1</v>
      </c>
      <c r="V5" s="134">
        <f t="shared" ca="1" si="3"/>
        <v>7</v>
      </c>
      <c r="X5" s="125">
        <v>3</v>
      </c>
      <c r="Y5" s="125">
        <v>91</v>
      </c>
    </row>
    <row r="6" spans="2:25">
      <c r="B6" s="116"/>
      <c r="C6" s="129" t="s">
        <v>139</v>
      </c>
      <c r="D6" s="130">
        <v>8</v>
      </c>
      <c r="E6" s="116"/>
      <c r="F6" s="118"/>
      <c r="G6" s="116"/>
      <c r="H6" s="135">
        <v>1100</v>
      </c>
      <c r="I6" s="136">
        <v>0.12</v>
      </c>
      <c r="J6" s="132">
        <f t="shared" si="4"/>
        <v>0.16999999999999998</v>
      </c>
      <c r="K6" s="116"/>
      <c r="L6" s="118"/>
      <c r="M6" s="116"/>
      <c r="N6" s="133">
        <v>3</v>
      </c>
      <c r="O6" s="133">
        <f t="shared" ca="1" si="0"/>
        <v>1600</v>
      </c>
      <c r="P6" s="133">
        <f t="shared" ca="1" si="5"/>
        <v>4100</v>
      </c>
      <c r="Q6" s="133">
        <f t="shared" ca="1" si="1"/>
        <v>5</v>
      </c>
      <c r="R6" s="116"/>
      <c r="S6" s="121"/>
      <c r="T6" s="125">
        <v>3</v>
      </c>
      <c r="U6" s="134">
        <f t="shared" ca="1" si="2"/>
        <v>1</v>
      </c>
      <c r="V6" s="134">
        <f t="shared" ca="1" si="3"/>
        <v>5</v>
      </c>
      <c r="X6" s="125">
        <v>4</v>
      </c>
      <c r="Y6" s="125">
        <v>89</v>
      </c>
    </row>
    <row r="7" spans="2:25">
      <c r="B7" s="116"/>
      <c r="C7" s="116"/>
      <c r="D7" s="116"/>
      <c r="E7" s="116"/>
      <c r="F7" s="118"/>
      <c r="G7" s="116"/>
      <c r="H7" s="135">
        <v>1200</v>
      </c>
      <c r="I7" s="136">
        <v>0.161</v>
      </c>
      <c r="J7" s="132">
        <f t="shared" si="4"/>
        <v>0.33099999999999996</v>
      </c>
      <c r="K7" s="116"/>
      <c r="L7" s="118"/>
      <c r="M7" s="116"/>
      <c r="N7" s="133">
        <v>4</v>
      </c>
      <c r="O7" s="133">
        <f t="shared" ca="1" si="0"/>
        <v>1600</v>
      </c>
      <c r="P7" s="133">
        <f t="shared" ca="1" si="5"/>
        <v>5700</v>
      </c>
      <c r="Q7" s="133">
        <f t="shared" ca="1" si="1"/>
        <v>8</v>
      </c>
      <c r="R7" s="116"/>
      <c r="S7" s="121"/>
      <c r="T7" s="125">
        <v>4</v>
      </c>
      <c r="U7" s="134">
        <f t="shared" ca="1" si="2"/>
        <v>1</v>
      </c>
      <c r="V7" s="134">
        <f t="shared" ca="1" si="3"/>
        <v>8</v>
      </c>
      <c r="X7" s="125">
        <v>5</v>
      </c>
      <c r="Y7" s="125">
        <v>94</v>
      </c>
    </row>
    <row r="8" spans="2:25">
      <c r="B8" s="116"/>
      <c r="C8" s="129" t="s">
        <v>128</v>
      </c>
      <c r="D8" s="137">
        <f ca="1">U3</f>
        <v>14</v>
      </c>
      <c r="E8" s="116"/>
      <c r="F8" s="118"/>
      <c r="G8" s="116"/>
      <c r="H8" s="135">
        <v>1300</v>
      </c>
      <c r="I8" s="136">
        <v>0.193</v>
      </c>
      <c r="J8" s="132">
        <f t="shared" si="4"/>
        <v>0.52400000000000002</v>
      </c>
      <c r="K8" s="116"/>
      <c r="L8" s="118"/>
      <c r="M8" s="116"/>
      <c r="N8" s="133">
        <v>5</v>
      </c>
      <c r="O8" s="133">
        <f t="shared" ca="1" si="0"/>
        <v>1400</v>
      </c>
      <c r="P8" s="133">
        <f t="shared" ca="1" si="5"/>
        <v>7100</v>
      </c>
      <c r="Q8" s="133">
        <f t="shared" ca="1" si="1"/>
        <v>8</v>
      </c>
      <c r="R8" s="116"/>
      <c r="S8" s="121"/>
      <c r="T8" s="125">
        <v>5</v>
      </c>
      <c r="U8" s="134">
        <f t="shared" ca="1" si="2"/>
        <v>1</v>
      </c>
      <c r="V8" s="134">
        <f t="shared" ca="1" si="3"/>
        <v>8</v>
      </c>
      <c r="X8" s="125">
        <v>6</v>
      </c>
      <c r="Y8" s="125">
        <v>95</v>
      </c>
    </row>
    <row r="9" spans="2:25">
      <c r="B9" s="116"/>
      <c r="C9" s="126" t="s">
        <v>140</v>
      </c>
      <c r="D9" s="137">
        <f ca="1">V3</f>
        <v>90</v>
      </c>
      <c r="E9" s="116"/>
      <c r="F9" s="118"/>
      <c r="G9" s="116"/>
      <c r="H9" s="135">
        <v>1400</v>
      </c>
      <c r="I9" s="136">
        <v>0.183</v>
      </c>
      <c r="J9" s="132">
        <f t="shared" si="4"/>
        <v>0.70700000000000007</v>
      </c>
      <c r="K9" s="116"/>
      <c r="L9" s="118"/>
      <c r="M9" s="116"/>
      <c r="N9" s="133">
        <v>6</v>
      </c>
      <c r="O9" s="133">
        <f t="shared" ca="1" si="0"/>
        <v>1400</v>
      </c>
      <c r="P9" s="133">
        <f t="shared" ca="1" si="5"/>
        <v>8500</v>
      </c>
      <c r="Q9" s="133">
        <f t="shared" ca="1" si="1"/>
        <v>6</v>
      </c>
      <c r="R9" s="116"/>
      <c r="S9" s="121"/>
      <c r="T9" s="125">
        <v>6</v>
      </c>
      <c r="U9" s="134">
        <f t="shared" ca="1" si="2"/>
        <v>1</v>
      </c>
      <c r="V9" s="134">
        <f t="shared" ca="1" si="3"/>
        <v>6</v>
      </c>
      <c r="X9" s="125">
        <v>7</v>
      </c>
      <c r="Y9" s="125">
        <v>89</v>
      </c>
    </row>
    <row r="10" spans="2:25">
      <c r="B10" s="116"/>
      <c r="C10" s="129" t="s">
        <v>141</v>
      </c>
      <c r="D10" s="138">
        <f ca="1">D9*D3</f>
        <v>450</v>
      </c>
      <c r="E10" s="116"/>
      <c r="F10" s="118"/>
      <c r="G10" s="116"/>
      <c r="H10" s="135">
        <v>1500</v>
      </c>
      <c r="I10" s="136">
        <v>0.151</v>
      </c>
      <c r="J10" s="132">
        <f t="shared" si="4"/>
        <v>0.8580000000000001</v>
      </c>
      <c r="K10" s="116"/>
      <c r="L10" s="118"/>
      <c r="M10" s="116"/>
      <c r="N10" s="133">
        <v>7</v>
      </c>
      <c r="O10" s="133">
        <f t="shared" ca="1" si="0"/>
        <v>1300</v>
      </c>
      <c r="P10" s="133">
        <f t="shared" ca="1" si="5"/>
        <v>9800</v>
      </c>
      <c r="Q10" s="133">
        <f t="shared" ca="1" si="1"/>
        <v>5</v>
      </c>
      <c r="R10" s="116"/>
      <c r="S10" s="121"/>
      <c r="T10" s="125">
        <v>7</v>
      </c>
      <c r="U10" s="134">
        <f t="shared" ca="1" si="2"/>
        <v>1</v>
      </c>
      <c r="V10" s="134">
        <f t="shared" ca="1" si="3"/>
        <v>5</v>
      </c>
      <c r="X10" s="125">
        <v>8</v>
      </c>
      <c r="Y10" s="125">
        <v>87</v>
      </c>
    </row>
    <row r="11" spans="2:25">
      <c r="B11" s="116"/>
      <c r="C11" s="126" t="s">
        <v>142</v>
      </c>
      <c r="D11" s="139">
        <f ca="1">D8*D4</f>
        <v>280</v>
      </c>
      <c r="E11" s="116"/>
      <c r="F11" s="118"/>
      <c r="G11" s="116"/>
      <c r="H11" s="135">
        <v>1600</v>
      </c>
      <c r="I11" s="136">
        <v>8.6000000000000007E-2</v>
      </c>
      <c r="J11" s="132">
        <f t="shared" si="4"/>
        <v>0.94400000000000006</v>
      </c>
      <c r="K11" s="116"/>
      <c r="L11" s="118"/>
      <c r="M11" s="116"/>
      <c r="N11" s="133">
        <v>8</v>
      </c>
      <c r="O11" s="133">
        <f t="shared" ca="1" si="0"/>
        <v>1300</v>
      </c>
      <c r="P11" s="133">
        <f t="shared" ca="1" si="5"/>
        <v>11100</v>
      </c>
      <c r="Q11" s="133">
        <f t="shared" ca="1" si="1"/>
        <v>8</v>
      </c>
      <c r="R11" s="116"/>
      <c r="S11" s="121"/>
      <c r="T11" s="125">
        <v>8</v>
      </c>
      <c r="U11" s="134">
        <f t="shared" ca="1" si="2"/>
        <v>1</v>
      </c>
      <c r="V11" s="134">
        <f t="shared" ca="1" si="3"/>
        <v>8</v>
      </c>
      <c r="X11" s="125">
        <v>9</v>
      </c>
      <c r="Y11" s="125">
        <v>101</v>
      </c>
    </row>
    <row r="12" spans="2:25">
      <c r="B12" s="116"/>
      <c r="C12" s="126" t="s">
        <v>129</v>
      </c>
      <c r="D12" s="138">
        <f ca="1">D11*D3</f>
        <v>1400</v>
      </c>
      <c r="E12" s="116"/>
      <c r="F12" s="118"/>
      <c r="G12" s="116"/>
      <c r="H12" s="135">
        <v>1700</v>
      </c>
      <c r="I12" s="136">
        <v>2.8000000000000001E-2</v>
      </c>
      <c r="J12" s="132">
        <f t="shared" si="4"/>
        <v>0.97200000000000009</v>
      </c>
      <c r="K12" s="116"/>
      <c r="L12" s="118"/>
      <c r="M12" s="116"/>
      <c r="N12" s="133">
        <v>9</v>
      </c>
      <c r="O12" s="133">
        <f t="shared" ca="1" si="0"/>
        <v>1400</v>
      </c>
      <c r="P12" s="133">
        <f t="shared" ca="1" si="5"/>
        <v>12500</v>
      </c>
      <c r="Q12" s="133">
        <f t="shared" ca="1" si="1"/>
        <v>7</v>
      </c>
      <c r="R12" s="116"/>
      <c r="S12" s="121"/>
      <c r="T12" s="125">
        <v>9</v>
      </c>
      <c r="U12" s="134">
        <f t="shared" ca="1" si="2"/>
        <v>1</v>
      </c>
      <c r="V12" s="134">
        <f t="shared" ca="1" si="3"/>
        <v>7</v>
      </c>
      <c r="X12" s="125">
        <v>10</v>
      </c>
      <c r="Y12" s="125">
        <v>84</v>
      </c>
    </row>
    <row r="13" spans="2:25">
      <c r="B13" s="116"/>
      <c r="C13" s="116"/>
      <c r="D13" s="116"/>
      <c r="E13" s="116"/>
      <c r="F13" s="118"/>
      <c r="G13" s="116"/>
      <c r="H13" s="135">
        <v>1800</v>
      </c>
      <c r="I13" s="136">
        <v>1.6E-2</v>
      </c>
      <c r="J13" s="132">
        <f t="shared" si="4"/>
        <v>0.9880000000000001</v>
      </c>
      <c r="K13" s="116"/>
      <c r="L13" s="118"/>
      <c r="M13" s="116"/>
      <c r="N13" s="133">
        <v>10</v>
      </c>
      <c r="O13" s="133">
        <f t="shared" ca="1" si="0"/>
        <v>1300</v>
      </c>
      <c r="P13" s="133">
        <f t="shared" ca="1" si="5"/>
        <v>13800</v>
      </c>
      <c r="Q13" s="133">
        <f t="shared" ca="1" si="1"/>
        <v>5</v>
      </c>
      <c r="R13" s="116"/>
      <c r="S13" s="121"/>
      <c r="T13" s="125">
        <v>10</v>
      </c>
      <c r="U13" s="134">
        <f t="shared" ca="1" si="2"/>
        <v>1</v>
      </c>
      <c r="V13" s="134">
        <f t="shared" ca="1" si="3"/>
        <v>5</v>
      </c>
      <c r="X13" s="125">
        <v>11</v>
      </c>
      <c r="Y13" s="125">
        <v>99</v>
      </c>
    </row>
    <row r="14" spans="2:25">
      <c r="B14" s="116"/>
      <c r="C14" s="140" t="s">
        <v>144</v>
      </c>
      <c r="D14" s="138">
        <f>AVERAGE(Y3:Y32)</f>
        <v>93.5</v>
      </c>
      <c r="E14" s="116"/>
      <c r="F14" s="118"/>
      <c r="G14" s="116"/>
      <c r="H14" s="135">
        <v>1900</v>
      </c>
      <c r="I14" s="136">
        <v>1.2E-2</v>
      </c>
      <c r="J14" s="132">
        <f t="shared" si="4"/>
        <v>1</v>
      </c>
      <c r="K14" s="116"/>
      <c r="L14" s="118"/>
      <c r="M14" s="116"/>
      <c r="N14" s="133">
        <v>11</v>
      </c>
      <c r="O14" s="133">
        <f t="shared" ca="1" si="0"/>
        <v>1500</v>
      </c>
      <c r="P14" s="133">
        <f t="shared" ca="1" si="5"/>
        <v>15300</v>
      </c>
      <c r="Q14" s="133">
        <f t="shared" ca="1" si="1"/>
        <v>6</v>
      </c>
      <c r="R14" s="116"/>
      <c r="S14" s="121"/>
      <c r="T14" s="125">
        <v>11</v>
      </c>
      <c r="U14" s="134">
        <f t="shared" ca="1" si="2"/>
        <v>1</v>
      </c>
      <c r="V14" s="134">
        <f t="shared" ca="1" si="3"/>
        <v>6</v>
      </c>
      <c r="X14" s="125">
        <v>12</v>
      </c>
      <c r="Y14" s="125">
        <v>85</v>
      </c>
    </row>
    <row r="15" spans="2:25">
      <c r="B15" s="116"/>
      <c r="C15" s="116"/>
      <c r="D15" s="116"/>
      <c r="E15" s="116"/>
      <c r="F15" s="118"/>
      <c r="G15" s="116"/>
      <c r="H15" s="116"/>
      <c r="I15" s="116"/>
      <c r="J15" s="116"/>
      <c r="K15" s="116"/>
      <c r="L15" s="118"/>
      <c r="M15" s="116"/>
      <c r="N15" s="133">
        <v>12</v>
      </c>
      <c r="O15" s="133">
        <f t="shared" ca="1" si="0"/>
        <v>1500</v>
      </c>
      <c r="P15" s="133">
        <f t="shared" ca="1" si="5"/>
        <v>16800</v>
      </c>
      <c r="Q15" s="133">
        <f t="shared" ca="1" si="1"/>
        <v>6</v>
      </c>
      <c r="R15" s="116"/>
      <c r="S15" s="121"/>
      <c r="T15" s="125">
        <v>12</v>
      </c>
      <c r="U15" s="134">
        <f t="shared" ca="1" si="2"/>
        <v>1</v>
      </c>
      <c r="V15" s="134">
        <f t="shared" ca="1" si="3"/>
        <v>6</v>
      </c>
      <c r="X15" s="125">
        <v>13</v>
      </c>
      <c r="Y15" s="125">
        <v>101</v>
      </c>
    </row>
    <row r="16" spans="2:25">
      <c r="F16" s="118"/>
      <c r="G16" s="118"/>
      <c r="H16" s="118"/>
      <c r="I16" s="118"/>
      <c r="J16" s="118"/>
      <c r="K16" s="118"/>
      <c r="L16" s="118"/>
      <c r="M16" s="116"/>
      <c r="N16" s="133">
        <v>13</v>
      </c>
      <c r="O16" s="133">
        <f t="shared" ca="1" si="0"/>
        <v>1700</v>
      </c>
      <c r="P16" s="133">
        <f t="shared" ca="1" si="5"/>
        <v>18500</v>
      </c>
      <c r="Q16" s="133">
        <f t="shared" ca="1" si="1"/>
        <v>7</v>
      </c>
      <c r="R16" s="116"/>
      <c r="S16" s="121"/>
      <c r="T16" s="125">
        <v>13</v>
      </c>
      <c r="U16" s="134">
        <f t="shared" ca="1" si="2"/>
        <v>1</v>
      </c>
      <c r="V16" s="134">
        <f t="shared" ca="1" si="3"/>
        <v>7</v>
      </c>
      <c r="X16" s="125">
        <v>14</v>
      </c>
      <c r="Y16" s="125">
        <v>87</v>
      </c>
    </row>
    <row r="17" spans="2:25">
      <c r="F17" s="118"/>
      <c r="G17" s="118"/>
      <c r="H17" s="118"/>
      <c r="I17" s="118"/>
      <c r="J17" s="118"/>
      <c r="K17" s="118"/>
      <c r="L17" s="118"/>
      <c r="M17" s="116"/>
      <c r="N17" s="133">
        <v>14</v>
      </c>
      <c r="O17" s="133">
        <f t="shared" ca="1" si="0"/>
        <v>1100</v>
      </c>
      <c r="P17" s="133">
        <f t="shared" ca="1" si="5"/>
        <v>19600</v>
      </c>
      <c r="Q17" s="133">
        <f t="shared" ca="1" si="1"/>
        <v>6</v>
      </c>
      <c r="R17" s="116"/>
      <c r="S17" s="121"/>
      <c r="T17" s="125">
        <v>14</v>
      </c>
      <c r="U17" s="134">
        <f t="shared" ca="1" si="2"/>
        <v>1</v>
      </c>
      <c r="V17" s="134">
        <f t="shared" ca="1" si="3"/>
        <v>6</v>
      </c>
      <c r="X17" s="125">
        <v>15</v>
      </c>
      <c r="Y17" s="125">
        <v>93</v>
      </c>
    </row>
    <row r="18" spans="2:25"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6"/>
      <c r="N18" s="133">
        <v>15</v>
      </c>
      <c r="O18" s="133">
        <f t="shared" ca="1" si="0"/>
        <v>1100</v>
      </c>
      <c r="P18" s="133">
        <f t="shared" ca="1" si="5"/>
        <v>20700</v>
      </c>
      <c r="Q18" s="133">
        <f t="shared" ca="1" si="1"/>
        <v>5</v>
      </c>
      <c r="R18" s="116"/>
      <c r="S18" s="121"/>
      <c r="T18" s="125">
        <v>15</v>
      </c>
      <c r="U18" s="134">
        <f t="shared" ca="1" si="2"/>
        <v>0</v>
      </c>
      <c r="V18" s="134">
        <f t="shared" ca="1" si="3"/>
        <v>0</v>
      </c>
      <c r="X18" s="125">
        <v>16</v>
      </c>
      <c r="Y18" s="125">
        <v>88</v>
      </c>
    </row>
    <row r="19" spans="2:25"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6"/>
      <c r="N19" s="133">
        <v>16</v>
      </c>
      <c r="O19" s="133">
        <f t="shared" ca="1" si="0"/>
        <v>1400</v>
      </c>
      <c r="P19" s="133">
        <f t="shared" ca="1" si="5"/>
        <v>22100</v>
      </c>
      <c r="Q19" s="133">
        <f t="shared" ca="1" si="1"/>
        <v>8</v>
      </c>
      <c r="R19" s="116"/>
      <c r="S19" s="121"/>
      <c r="T19" s="125">
        <v>16</v>
      </c>
      <c r="U19" s="134">
        <f t="shared" ca="1" si="2"/>
        <v>0</v>
      </c>
      <c r="V19" s="134">
        <f t="shared" ca="1" si="3"/>
        <v>0</v>
      </c>
      <c r="X19" s="125">
        <v>17</v>
      </c>
      <c r="Y19" s="125">
        <v>98</v>
      </c>
    </row>
    <row r="20" spans="2:25"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6"/>
      <c r="N20" s="133">
        <v>17</v>
      </c>
      <c r="O20" s="133">
        <f t="shared" ca="1" si="0"/>
        <v>1500</v>
      </c>
      <c r="P20" s="133">
        <f t="shared" ca="1" si="5"/>
        <v>23600</v>
      </c>
      <c r="Q20" s="133">
        <f t="shared" ca="1" si="1"/>
        <v>6</v>
      </c>
      <c r="R20" s="116"/>
      <c r="S20" s="121"/>
      <c r="T20" s="125">
        <v>17</v>
      </c>
      <c r="U20" s="134">
        <f t="shared" ca="1" si="2"/>
        <v>0</v>
      </c>
      <c r="V20" s="134">
        <f t="shared" ca="1" si="3"/>
        <v>0</v>
      </c>
      <c r="X20" s="125">
        <v>18</v>
      </c>
      <c r="Y20" s="125">
        <v>82</v>
      </c>
    </row>
    <row r="21" spans="2:25"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6"/>
      <c r="N21" s="133">
        <v>18</v>
      </c>
      <c r="O21" s="133">
        <f t="shared" ca="1" si="0"/>
        <v>1400</v>
      </c>
      <c r="P21" s="133">
        <f t="shared" ca="1" si="5"/>
        <v>25000</v>
      </c>
      <c r="Q21" s="133">
        <f t="shared" ca="1" si="1"/>
        <v>6</v>
      </c>
      <c r="R21" s="116"/>
      <c r="S21" s="121"/>
      <c r="T21" s="125">
        <v>18</v>
      </c>
      <c r="U21" s="134">
        <f t="shared" ca="1" si="2"/>
        <v>0</v>
      </c>
      <c r="V21" s="134">
        <f t="shared" ca="1" si="3"/>
        <v>0</v>
      </c>
      <c r="X21" s="125">
        <v>19</v>
      </c>
      <c r="Y21" s="125">
        <v>101</v>
      </c>
    </row>
    <row r="22" spans="2:25"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6"/>
      <c r="N22" s="133">
        <v>19</v>
      </c>
      <c r="O22" s="133">
        <f t="shared" ca="1" si="0"/>
        <v>1700</v>
      </c>
      <c r="P22" s="133">
        <f t="shared" ca="1" si="5"/>
        <v>26700</v>
      </c>
      <c r="Q22" s="133">
        <f t="shared" ca="1" si="1"/>
        <v>5</v>
      </c>
      <c r="R22" s="116"/>
      <c r="S22" s="121"/>
      <c r="T22" s="125">
        <v>19</v>
      </c>
      <c r="U22" s="134">
        <f t="shared" ca="1" si="2"/>
        <v>0</v>
      </c>
      <c r="V22" s="134">
        <f t="shared" ca="1" si="3"/>
        <v>0</v>
      </c>
      <c r="X22" s="125">
        <v>20</v>
      </c>
      <c r="Y22" s="125">
        <v>84</v>
      </c>
    </row>
    <row r="23" spans="2:25"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6"/>
      <c r="N23" s="133">
        <v>20</v>
      </c>
      <c r="O23" s="133">
        <f t="shared" ca="1" si="0"/>
        <v>1500</v>
      </c>
      <c r="P23" s="133">
        <f t="shared" ca="1" si="5"/>
        <v>28200</v>
      </c>
      <c r="Q23" s="133">
        <f t="shared" ca="1" si="1"/>
        <v>5</v>
      </c>
      <c r="R23" s="116"/>
      <c r="S23" s="121"/>
      <c r="T23" s="125">
        <v>20</v>
      </c>
      <c r="U23" s="134">
        <f t="shared" ca="1" si="2"/>
        <v>0</v>
      </c>
      <c r="V23" s="134">
        <f t="shared" ca="1" si="3"/>
        <v>0</v>
      </c>
      <c r="X23" s="125">
        <v>21</v>
      </c>
      <c r="Y23" s="125">
        <v>97</v>
      </c>
    </row>
    <row r="24" spans="2:25"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6"/>
      <c r="N24" s="116"/>
      <c r="O24" s="116"/>
      <c r="P24" s="116"/>
      <c r="Q24" s="116"/>
      <c r="R24" s="116"/>
      <c r="S24" s="121"/>
      <c r="X24" s="125">
        <v>22</v>
      </c>
      <c r="Y24" s="125">
        <v>104</v>
      </c>
    </row>
    <row r="25" spans="2:25"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X25" s="125">
        <v>23</v>
      </c>
      <c r="Y25" s="125">
        <v>94</v>
      </c>
    </row>
    <row r="26" spans="2:25">
      <c r="F26" s="118"/>
      <c r="G26" s="118"/>
      <c r="K26" s="118"/>
      <c r="L26" s="118"/>
      <c r="X26" s="125">
        <v>24</v>
      </c>
      <c r="Y26" s="125">
        <v>95</v>
      </c>
    </row>
    <row r="27" spans="2:25">
      <c r="X27" s="125">
        <v>25</v>
      </c>
      <c r="Y27" s="125">
        <v>96</v>
      </c>
    </row>
    <row r="28" spans="2:25">
      <c r="X28" s="125">
        <v>26</v>
      </c>
      <c r="Y28" s="125">
        <v>96</v>
      </c>
    </row>
    <row r="29" spans="2:25">
      <c r="X29" s="125">
        <v>27</v>
      </c>
      <c r="Y29" s="125">
        <v>95</v>
      </c>
    </row>
    <row r="30" spans="2:25">
      <c r="X30" s="125">
        <v>28</v>
      </c>
      <c r="Y30" s="125">
        <v>88</v>
      </c>
    </row>
    <row r="31" spans="2:25">
      <c r="X31" s="125">
        <v>29</v>
      </c>
      <c r="Y31" s="125">
        <v>101</v>
      </c>
    </row>
    <row r="32" spans="2:25">
      <c r="X32" s="125">
        <v>30</v>
      </c>
      <c r="Y32" s="125">
        <v>101</v>
      </c>
    </row>
  </sheetData>
  <phoneticPr fontId="2" type="noConversion"/>
  <pageMargins left="0.7" right="0.7" top="0.75" bottom="0.75" header="0.3" footer="0.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第1题答案</vt:lpstr>
      <vt:lpstr>第2题答案</vt:lpstr>
      <vt:lpstr>第3题答案</vt:lpstr>
      <vt:lpstr>第4题答案</vt:lpstr>
      <vt:lpstr>第5题答案</vt:lpstr>
      <vt:lpstr>第6题答案</vt:lpstr>
      <vt:lpstr>第7题解答</vt:lpstr>
      <vt:lpstr>第8题答案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2018-06-10T07:38:12Z</dcterms:modified>
</cp:coreProperties>
</file>